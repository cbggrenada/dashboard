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1.xml" ContentType="application/vnd.openxmlformats-officedocument.drawing+xml"/>
  <Override PartName="/xl/comments2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2FE4A5D4-E4F8-4151-B35C-2FDE54CC5520}" xr6:coauthVersionLast="47" xr6:coauthVersionMax="47" xr10:uidLastSave="{00000000-0000-0000-0000-000000000000}"/>
  <bookViews>
    <workbookView xWindow="-108" yWindow="-108" windowWidth="23256" windowHeight="12456" tabRatio="599" firstSheet="11" activeTab="18" xr2:uid="{1120807F-7390-4E10-A66F-84111922E872}"/>
  </bookViews>
  <sheets>
    <sheet name="Dec 18th" sheetId="658" state="hidden" r:id="rId1"/>
    <sheet name="Jan 2nd" sheetId="688" r:id="rId2"/>
    <sheet name="Jan 3rd" sheetId="690" r:id="rId3"/>
    <sheet name="Jan 6th" sheetId="691" r:id="rId4"/>
    <sheet name="Jan 7th" sheetId="692" r:id="rId5"/>
    <sheet name="Jan 8th" sheetId="693" r:id="rId6"/>
    <sheet name="Jan. 10th" sheetId="667" r:id="rId7"/>
    <sheet name="Jan. 14th " sheetId="695" r:id="rId8"/>
    <sheet name="Jan.15th " sheetId="696" r:id="rId9"/>
    <sheet name="Jan.16th" sheetId="697" r:id="rId10"/>
    <sheet name="Jan.17th -19th" sheetId="698" r:id="rId11"/>
    <sheet name="Jan.20th" sheetId="699" r:id="rId12"/>
    <sheet name="Jan.21ST " sheetId="700" r:id="rId13"/>
    <sheet name="Jan 22nd" sheetId="701" r:id="rId14"/>
    <sheet name="Jan 23rd " sheetId="702" r:id="rId15"/>
    <sheet name="Jan 24th, 27th, 28th" sheetId="703" r:id="rId16"/>
    <sheet name="Jan 29th " sheetId="704" r:id="rId17"/>
    <sheet name="Jan 30th" sheetId="705" r:id="rId18"/>
    <sheet name="Jan 31st" sheetId="706" r:id="rId19"/>
    <sheet name="MTD_Links" sheetId="18" r:id="rId20"/>
    <sheet name="YTD_Links" sheetId="19" r:id="rId21"/>
    <sheet name="KPIs" sheetId="20" state="hidden" r:id="rId22"/>
    <sheet name="Brewer Performance" sheetId="21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xlnm.Print_Area" localSheetId="22">'Brewer Performance'!$B$2:$K$35</definedName>
    <definedName name="_xlnm.Print_Area" localSheetId="19">MTD_Links!$B$2:$K$64</definedName>
    <definedName name="_xlnm.Print_Area" localSheetId="20">YTD_Links!$B$2:$K$64</definedName>
    <definedName name="ProductList" localSheetId="22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0" i="706" l="1"/>
  <c r="K69" i="690"/>
  <c r="K61" i="706"/>
  <c r="C55" i="706" a="1"/>
  <c r="C55" i="706" s="1"/>
  <c r="B55" i="706"/>
  <c r="K97" i="706"/>
  <c r="G97" i="706"/>
  <c r="C97" i="706"/>
  <c r="G84" i="706"/>
  <c r="D84" i="706"/>
  <c r="K84" i="706"/>
  <c r="B84" i="706"/>
  <c r="M55" i="706" l="1"/>
  <c r="L55" i="706"/>
  <c r="K55" i="706"/>
  <c r="C11" i="706"/>
  <c r="D11" i="706"/>
  <c r="E11" i="706"/>
  <c r="F11" i="706"/>
  <c r="G11" i="706"/>
  <c r="I11" i="706"/>
  <c r="J11" i="706"/>
  <c r="K11" i="706"/>
  <c r="L11" i="706"/>
  <c r="M11" i="706"/>
  <c r="N11" i="706"/>
  <c r="O11" i="706"/>
  <c r="C12" i="706"/>
  <c r="D12" i="706"/>
  <c r="E12" i="706"/>
  <c r="F12" i="706"/>
  <c r="G12" i="706"/>
  <c r="I12" i="706"/>
  <c r="J12" i="706"/>
  <c r="K12" i="706"/>
  <c r="L12" i="706"/>
  <c r="M12" i="706"/>
  <c r="N12" i="706"/>
  <c r="O12" i="706"/>
  <c r="C13" i="706"/>
  <c r="D13" i="706"/>
  <c r="E13" i="706"/>
  <c r="F13" i="706"/>
  <c r="G13" i="706"/>
  <c r="I13" i="706"/>
  <c r="J13" i="706"/>
  <c r="K13" i="706"/>
  <c r="L13" i="706"/>
  <c r="M13" i="706"/>
  <c r="N13" i="706"/>
  <c r="O13" i="706"/>
  <c r="C14" i="706"/>
  <c r="D14" i="706"/>
  <c r="E14" i="706"/>
  <c r="F14" i="706"/>
  <c r="G14" i="706"/>
  <c r="I14" i="706"/>
  <c r="J14" i="706"/>
  <c r="K14" i="706"/>
  <c r="L14" i="706"/>
  <c r="M14" i="706"/>
  <c r="N14" i="706"/>
  <c r="O14" i="706"/>
  <c r="C15" i="706"/>
  <c r="D15" i="706"/>
  <c r="E15" i="706"/>
  <c r="F15" i="706"/>
  <c r="G15" i="706"/>
  <c r="I15" i="706"/>
  <c r="J15" i="706"/>
  <c r="K15" i="706"/>
  <c r="L15" i="706"/>
  <c r="M15" i="706"/>
  <c r="N15" i="706"/>
  <c r="O15" i="706"/>
  <c r="O10" i="706"/>
  <c r="N10" i="706"/>
  <c r="M10" i="706"/>
  <c r="L10" i="706"/>
  <c r="K10" i="706"/>
  <c r="J10" i="706"/>
  <c r="I10" i="706"/>
  <c r="J55" i="706" s="1"/>
  <c r="G10" i="706"/>
  <c r="F10" i="706"/>
  <c r="E10" i="706"/>
  <c r="D10" i="706"/>
  <c r="C10" i="706"/>
  <c r="F99" i="706"/>
  <c r="L86" i="706"/>
  <c r="I86" i="706"/>
  <c r="H86" i="706"/>
  <c r="AY85" i="706"/>
  <c r="AX85" i="706"/>
  <c r="AW85" i="706"/>
  <c r="AV85" i="706"/>
  <c r="AU85" i="706"/>
  <c r="AT85" i="706"/>
  <c r="AS85" i="706"/>
  <c r="AR85" i="706"/>
  <c r="AQ85" i="706"/>
  <c r="AP85" i="706"/>
  <c r="AO85" i="706"/>
  <c r="AN85" i="706"/>
  <c r="AM85" i="706"/>
  <c r="AL85" i="706"/>
  <c r="AK85" i="706"/>
  <c r="AJ85" i="706"/>
  <c r="AI85" i="706"/>
  <c r="AH85" i="706"/>
  <c r="AG85" i="706"/>
  <c r="AF85" i="706"/>
  <c r="AE85" i="706"/>
  <c r="AD85" i="706"/>
  <c r="AC85" i="706"/>
  <c r="AB85" i="706"/>
  <c r="AA85" i="706"/>
  <c r="Z85" i="706"/>
  <c r="Y85" i="706"/>
  <c r="X85" i="706"/>
  <c r="W85" i="706"/>
  <c r="V85" i="706"/>
  <c r="U85" i="706"/>
  <c r="K79" i="706"/>
  <c r="M70" i="706" s="1"/>
  <c r="D77" i="706"/>
  <c r="M62" i="706"/>
  <c r="L62" i="706"/>
  <c r="K62" i="706"/>
  <c r="M61" i="706"/>
  <c r="L61" i="706"/>
  <c r="M60" i="706"/>
  <c r="L60" i="706"/>
  <c r="K60" i="706"/>
  <c r="M58" i="706"/>
  <c r="L58" i="706"/>
  <c r="K58" i="706"/>
  <c r="M57" i="706"/>
  <c r="L57" i="706"/>
  <c r="K57" i="706"/>
  <c r="M56" i="706"/>
  <c r="L56" i="706"/>
  <c r="K56" i="706"/>
  <c r="AA52" i="706"/>
  <c r="Z52" i="706"/>
  <c r="Y52" i="706"/>
  <c r="X52" i="706"/>
  <c r="W52" i="706"/>
  <c r="V52" i="706"/>
  <c r="U52" i="706"/>
  <c r="T52" i="706"/>
  <c r="S52" i="706"/>
  <c r="AA51" i="706"/>
  <c r="Z51" i="706"/>
  <c r="Y51" i="706"/>
  <c r="X51" i="706"/>
  <c r="W51" i="706"/>
  <c r="V51" i="706"/>
  <c r="U51" i="706"/>
  <c r="T51" i="706"/>
  <c r="S51" i="706"/>
  <c r="AA50" i="706"/>
  <c r="Z50" i="706"/>
  <c r="Y50" i="706"/>
  <c r="X50" i="706"/>
  <c r="W50" i="706"/>
  <c r="V50" i="706"/>
  <c r="U50" i="706"/>
  <c r="T50" i="706"/>
  <c r="S50" i="706"/>
  <c r="AA49" i="706"/>
  <c r="Z49" i="706"/>
  <c r="Y49" i="706"/>
  <c r="X49" i="706"/>
  <c r="W49" i="706"/>
  <c r="V49" i="706"/>
  <c r="U49" i="706"/>
  <c r="T49" i="706"/>
  <c r="S49" i="706"/>
  <c r="AA48" i="706"/>
  <c r="Z48" i="706"/>
  <c r="Y48" i="706"/>
  <c r="X48" i="706"/>
  <c r="W48" i="706"/>
  <c r="V48" i="706"/>
  <c r="U48" i="706"/>
  <c r="T48" i="706"/>
  <c r="S48" i="706"/>
  <c r="AA47" i="706"/>
  <c r="Z47" i="706"/>
  <c r="Y47" i="706"/>
  <c r="X47" i="706"/>
  <c r="W47" i="706"/>
  <c r="V47" i="706"/>
  <c r="U47" i="706"/>
  <c r="T47" i="706"/>
  <c r="S47" i="706"/>
  <c r="AA46" i="706"/>
  <c r="Z46" i="706"/>
  <c r="Y46" i="706"/>
  <c r="X46" i="706"/>
  <c r="W46" i="706"/>
  <c r="V46" i="706"/>
  <c r="U46" i="706"/>
  <c r="T46" i="706"/>
  <c r="S46" i="706"/>
  <c r="AA45" i="706"/>
  <c r="Z45" i="706"/>
  <c r="Y45" i="706"/>
  <c r="X45" i="706"/>
  <c r="W45" i="706"/>
  <c r="V45" i="706"/>
  <c r="U45" i="706"/>
  <c r="T45" i="706"/>
  <c r="S45" i="706"/>
  <c r="AA44" i="706"/>
  <c r="Z44" i="706"/>
  <c r="Y44" i="706"/>
  <c r="X44" i="706"/>
  <c r="W44" i="706"/>
  <c r="V44" i="706"/>
  <c r="U44" i="706"/>
  <c r="T44" i="706"/>
  <c r="S44" i="706"/>
  <c r="AA43" i="706"/>
  <c r="Z43" i="706"/>
  <c r="Y43" i="706"/>
  <c r="X43" i="706"/>
  <c r="W43" i="706"/>
  <c r="V43" i="706"/>
  <c r="U43" i="706"/>
  <c r="T43" i="706"/>
  <c r="S43" i="706"/>
  <c r="AA42" i="706"/>
  <c r="Z42" i="706"/>
  <c r="Y42" i="706"/>
  <c r="X42" i="706"/>
  <c r="W42" i="706"/>
  <c r="V42" i="706"/>
  <c r="U42" i="706"/>
  <c r="T42" i="706"/>
  <c r="S42" i="706"/>
  <c r="AA41" i="706"/>
  <c r="Z41" i="706"/>
  <c r="Y41" i="706"/>
  <c r="X41" i="706"/>
  <c r="W41" i="706"/>
  <c r="V41" i="706"/>
  <c r="U41" i="706"/>
  <c r="T41" i="706"/>
  <c r="S41" i="706"/>
  <c r="AA40" i="706"/>
  <c r="Z40" i="706"/>
  <c r="Y40" i="706"/>
  <c r="X40" i="706"/>
  <c r="W40" i="706"/>
  <c r="V40" i="706"/>
  <c r="U40" i="706"/>
  <c r="T40" i="706"/>
  <c r="S40" i="706"/>
  <c r="AA39" i="706"/>
  <c r="Z39" i="706"/>
  <c r="Y39" i="706"/>
  <c r="X39" i="706"/>
  <c r="W39" i="706"/>
  <c r="V39" i="706"/>
  <c r="U39" i="706"/>
  <c r="T39" i="706"/>
  <c r="S39" i="706"/>
  <c r="AA38" i="706"/>
  <c r="Z38" i="706"/>
  <c r="Y38" i="706"/>
  <c r="X38" i="706"/>
  <c r="W38" i="706"/>
  <c r="V38" i="706"/>
  <c r="U38" i="706"/>
  <c r="T38" i="706"/>
  <c r="S38" i="706"/>
  <c r="AA37" i="706"/>
  <c r="Z37" i="706"/>
  <c r="Y37" i="706"/>
  <c r="X37" i="706"/>
  <c r="W37" i="706"/>
  <c r="V37" i="706"/>
  <c r="U37" i="706"/>
  <c r="T37" i="706"/>
  <c r="S37" i="706"/>
  <c r="AA36" i="706"/>
  <c r="Z36" i="706"/>
  <c r="Y36" i="706"/>
  <c r="X36" i="706"/>
  <c r="W36" i="706"/>
  <c r="V36" i="706"/>
  <c r="U36" i="706"/>
  <c r="T36" i="706"/>
  <c r="S36" i="706"/>
  <c r="AA35" i="706"/>
  <c r="Z35" i="706"/>
  <c r="Y35" i="706"/>
  <c r="X35" i="706"/>
  <c r="W35" i="706"/>
  <c r="V35" i="706"/>
  <c r="U35" i="706"/>
  <c r="T35" i="706"/>
  <c r="S35" i="706"/>
  <c r="AA34" i="706"/>
  <c r="Z34" i="706"/>
  <c r="Y34" i="706"/>
  <c r="X34" i="706"/>
  <c r="W34" i="706"/>
  <c r="V34" i="706"/>
  <c r="U34" i="706"/>
  <c r="T34" i="706"/>
  <c r="S34" i="706"/>
  <c r="AA33" i="706"/>
  <c r="Z33" i="706"/>
  <c r="Y33" i="706"/>
  <c r="X33" i="706"/>
  <c r="W33" i="706"/>
  <c r="V33" i="706"/>
  <c r="U33" i="706"/>
  <c r="T33" i="706"/>
  <c r="S33" i="706"/>
  <c r="AA32" i="706"/>
  <c r="Z32" i="706"/>
  <c r="Y32" i="706"/>
  <c r="X32" i="706"/>
  <c r="W32" i="706"/>
  <c r="V32" i="706"/>
  <c r="U32" i="706"/>
  <c r="T32" i="706"/>
  <c r="S32" i="706"/>
  <c r="AA31" i="706"/>
  <c r="Z31" i="706"/>
  <c r="Y31" i="706"/>
  <c r="X31" i="706"/>
  <c r="W31" i="706"/>
  <c r="V31" i="706"/>
  <c r="U31" i="706"/>
  <c r="T31" i="706"/>
  <c r="S31" i="706"/>
  <c r="AA30" i="706"/>
  <c r="Z30" i="706"/>
  <c r="Y30" i="706"/>
  <c r="X30" i="706"/>
  <c r="W30" i="706"/>
  <c r="V30" i="706"/>
  <c r="U30" i="706"/>
  <c r="T30" i="706"/>
  <c r="S30" i="706"/>
  <c r="AA29" i="706"/>
  <c r="Z29" i="706"/>
  <c r="Y29" i="706"/>
  <c r="X29" i="706"/>
  <c r="W29" i="706"/>
  <c r="V29" i="706"/>
  <c r="U29" i="706"/>
  <c r="T29" i="706"/>
  <c r="S29" i="706"/>
  <c r="AA28" i="706"/>
  <c r="Z28" i="706"/>
  <c r="Y28" i="706"/>
  <c r="X28" i="706"/>
  <c r="W28" i="706"/>
  <c r="V28" i="706"/>
  <c r="U28" i="706"/>
  <c r="T28" i="706"/>
  <c r="S28" i="706"/>
  <c r="AA27" i="706"/>
  <c r="Z27" i="706"/>
  <c r="Y27" i="706"/>
  <c r="X27" i="706"/>
  <c r="W27" i="706"/>
  <c r="V27" i="706"/>
  <c r="U27" i="706"/>
  <c r="T27" i="706"/>
  <c r="S27" i="706"/>
  <c r="AA26" i="706"/>
  <c r="Z26" i="706"/>
  <c r="Y26" i="706"/>
  <c r="X26" i="706"/>
  <c r="W26" i="706"/>
  <c r="V26" i="706"/>
  <c r="U26" i="706"/>
  <c r="T26" i="706"/>
  <c r="S26" i="706"/>
  <c r="AA25" i="706"/>
  <c r="Z25" i="706"/>
  <c r="Y25" i="706"/>
  <c r="X25" i="706"/>
  <c r="W25" i="706"/>
  <c r="V25" i="706"/>
  <c r="U25" i="706"/>
  <c r="T25" i="706"/>
  <c r="S25" i="706"/>
  <c r="AA24" i="706"/>
  <c r="Z24" i="706"/>
  <c r="Y24" i="706"/>
  <c r="X24" i="706"/>
  <c r="W24" i="706"/>
  <c r="V24" i="706"/>
  <c r="U24" i="706"/>
  <c r="T24" i="706"/>
  <c r="S24" i="706"/>
  <c r="AA23" i="706"/>
  <c r="Z23" i="706"/>
  <c r="Y23" i="706"/>
  <c r="X23" i="706"/>
  <c r="W23" i="706"/>
  <c r="V23" i="706"/>
  <c r="U23" i="706"/>
  <c r="T23" i="706"/>
  <c r="S23" i="706"/>
  <c r="AA22" i="706"/>
  <c r="Z22" i="706"/>
  <c r="Y22" i="706"/>
  <c r="X22" i="706"/>
  <c r="W22" i="706"/>
  <c r="V22" i="706"/>
  <c r="U22" i="706"/>
  <c r="T22" i="706"/>
  <c r="S22" i="706"/>
  <c r="AA21" i="706"/>
  <c r="Z21" i="706"/>
  <c r="Y21" i="706"/>
  <c r="X21" i="706"/>
  <c r="W21" i="706"/>
  <c r="V21" i="706"/>
  <c r="U21" i="706"/>
  <c r="T21" i="706"/>
  <c r="S21" i="706"/>
  <c r="AA20" i="706"/>
  <c r="Z20" i="706"/>
  <c r="Y20" i="706"/>
  <c r="X20" i="706"/>
  <c r="W20" i="706"/>
  <c r="V20" i="706"/>
  <c r="U20" i="706"/>
  <c r="T20" i="706"/>
  <c r="S20" i="706"/>
  <c r="AA19" i="706"/>
  <c r="Z19" i="706"/>
  <c r="Y19" i="706"/>
  <c r="X19" i="706"/>
  <c r="W19" i="706"/>
  <c r="V19" i="706"/>
  <c r="U19" i="706"/>
  <c r="T19" i="706"/>
  <c r="S19" i="706"/>
  <c r="AA18" i="706"/>
  <c r="Z18" i="706"/>
  <c r="Y18" i="706"/>
  <c r="X18" i="706"/>
  <c r="W18" i="706"/>
  <c r="V18" i="706"/>
  <c r="U18" i="706"/>
  <c r="T18" i="706"/>
  <c r="S18" i="706"/>
  <c r="AA17" i="706"/>
  <c r="Z17" i="706"/>
  <c r="Y17" i="706"/>
  <c r="X17" i="706"/>
  <c r="W17" i="706"/>
  <c r="V17" i="706"/>
  <c r="U17" i="706"/>
  <c r="T17" i="706"/>
  <c r="S17" i="706"/>
  <c r="AA16" i="706"/>
  <c r="Z16" i="706"/>
  <c r="Y16" i="706"/>
  <c r="X16" i="706"/>
  <c r="W16" i="706"/>
  <c r="V16" i="706"/>
  <c r="U16" i="706"/>
  <c r="T16" i="706"/>
  <c r="S16" i="706"/>
  <c r="AA15" i="706"/>
  <c r="Z15" i="706"/>
  <c r="Y15" i="706"/>
  <c r="X15" i="706"/>
  <c r="W15" i="706"/>
  <c r="V15" i="706"/>
  <c r="U15" i="706"/>
  <c r="T15" i="706"/>
  <c r="S15" i="706"/>
  <c r="AA14" i="706"/>
  <c r="Z14" i="706"/>
  <c r="Y14" i="706"/>
  <c r="X14" i="706"/>
  <c r="W14" i="706"/>
  <c r="V14" i="706"/>
  <c r="U14" i="706"/>
  <c r="T14" i="706"/>
  <c r="S14" i="706"/>
  <c r="AA13" i="706"/>
  <c r="Z13" i="706"/>
  <c r="Y13" i="706"/>
  <c r="X13" i="706"/>
  <c r="W13" i="706"/>
  <c r="V13" i="706"/>
  <c r="U13" i="706"/>
  <c r="T13" i="706"/>
  <c r="S13" i="706"/>
  <c r="AA12" i="706"/>
  <c r="Z12" i="706"/>
  <c r="Y12" i="706"/>
  <c r="X12" i="706"/>
  <c r="W12" i="706"/>
  <c r="V12" i="706"/>
  <c r="U12" i="706"/>
  <c r="T12" i="706"/>
  <c r="S12" i="706"/>
  <c r="AA11" i="706"/>
  <c r="Z11" i="706"/>
  <c r="Y11" i="706"/>
  <c r="X11" i="706"/>
  <c r="W11" i="706"/>
  <c r="V11" i="706"/>
  <c r="U11" i="706"/>
  <c r="T11" i="706"/>
  <c r="S11" i="706"/>
  <c r="AA10" i="706"/>
  <c r="Z10" i="706"/>
  <c r="Y10" i="706"/>
  <c r="X10" i="706"/>
  <c r="W10" i="706"/>
  <c r="V10" i="706"/>
  <c r="U10" i="706"/>
  <c r="T10" i="706"/>
  <c r="S10" i="706"/>
  <c r="L70" i="705"/>
  <c r="M70" i="705" s="1"/>
  <c r="G84" i="705"/>
  <c r="F84" i="705"/>
  <c r="B84" i="705"/>
  <c r="M56" i="705"/>
  <c r="L56" i="705"/>
  <c r="K56" i="705"/>
  <c r="K55" i="705"/>
  <c r="B55" i="705"/>
  <c r="C16" i="705"/>
  <c r="D16" i="705"/>
  <c r="E16" i="705"/>
  <c r="F16" i="705"/>
  <c r="G16" i="705"/>
  <c r="K16" i="705"/>
  <c r="L16" i="705"/>
  <c r="M16" i="705"/>
  <c r="N16" i="705"/>
  <c r="O16" i="705"/>
  <c r="C17" i="705"/>
  <c r="D17" i="705"/>
  <c r="E17" i="705"/>
  <c r="F17" i="705"/>
  <c r="G17" i="705"/>
  <c r="K17" i="705"/>
  <c r="L17" i="705"/>
  <c r="M17" i="705"/>
  <c r="N17" i="705"/>
  <c r="O17" i="705"/>
  <c r="C18" i="705"/>
  <c r="D18" i="705"/>
  <c r="E18" i="705"/>
  <c r="F18" i="705"/>
  <c r="G18" i="705"/>
  <c r="K18" i="705"/>
  <c r="L18" i="705"/>
  <c r="M18" i="705"/>
  <c r="N18" i="705"/>
  <c r="O18" i="705"/>
  <c r="O15" i="705"/>
  <c r="N15" i="705"/>
  <c r="M15" i="705"/>
  <c r="L15" i="705"/>
  <c r="K15" i="705"/>
  <c r="G15" i="705"/>
  <c r="F15" i="705"/>
  <c r="E15" i="705"/>
  <c r="D15" i="705"/>
  <c r="C15" i="705"/>
  <c r="C11" i="705"/>
  <c r="D11" i="705"/>
  <c r="E11" i="705"/>
  <c r="F11" i="705"/>
  <c r="G11" i="705"/>
  <c r="I11" i="705"/>
  <c r="J11" i="705"/>
  <c r="K11" i="705"/>
  <c r="L11" i="705"/>
  <c r="M11" i="705"/>
  <c r="N11" i="705"/>
  <c r="O11" i="705"/>
  <c r="C12" i="705"/>
  <c r="D12" i="705"/>
  <c r="E12" i="705"/>
  <c r="F12" i="705"/>
  <c r="G12" i="705"/>
  <c r="I12" i="705"/>
  <c r="J56" i="705" s="1"/>
  <c r="J12" i="705"/>
  <c r="K12" i="705"/>
  <c r="L12" i="705"/>
  <c r="M12" i="705"/>
  <c r="N12" i="705"/>
  <c r="O12" i="705"/>
  <c r="C13" i="705"/>
  <c r="D13" i="705"/>
  <c r="E13" i="705"/>
  <c r="F13" i="705"/>
  <c r="G13" i="705"/>
  <c r="I13" i="705"/>
  <c r="J13" i="705"/>
  <c r="K13" i="705"/>
  <c r="L13" i="705"/>
  <c r="M13" i="705"/>
  <c r="N13" i="705"/>
  <c r="O13" i="705"/>
  <c r="O10" i="705"/>
  <c r="N10" i="705"/>
  <c r="M10" i="705"/>
  <c r="L10" i="705"/>
  <c r="K10" i="705"/>
  <c r="J10" i="705"/>
  <c r="I10" i="705"/>
  <c r="G10" i="705"/>
  <c r="F10" i="705"/>
  <c r="E10" i="705"/>
  <c r="D10" i="705"/>
  <c r="C10" i="705"/>
  <c r="M102" i="705"/>
  <c r="I102" i="705"/>
  <c r="E102" i="705"/>
  <c r="M100" i="705"/>
  <c r="I100" i="705"/>
  <c r="E100" i="705"/>
  <c r="M99" i="705"/>
  <c r="I99" i="705"/>
  <c r="F99" i="705"/>
  <c r="E99" i="705"/>
  <c r="M97" i="705"/>
  <c r="I97" i="705"/>
  <c r="E97" i="705"/>
  <c r="M96" i="705"/>
  <c r="I96" i="705"/>
  <c r="E96" i="705"/>
  <c r="M95" i="705"/>
  <c r="I95" i="705"/>
  <c r="E95" i="705"/>
  <c r="M94" i="705"/>
  <c r="I94" i="705"/>
  <c r="E94" i="705"/>
  <c r="L86" i="705"/>
  <c r="I86" i="705"/>
  <c r="H86" i="705"/>
  <c r="AY85" i="705"/>
  <c r="AX85" i="705"/>
  <c r="AW85" i="705"/>
  <c r="AV85" i="705"/>
  <c r="AU85" i="705"/>
  <c r="AT85" i="705"/>
  <c r="AS85" i="705"/>
  <c r="AR85" i="705"/>
  <c r="AQ85" i="705"/>
  <c r="AP85" i="705"/>
  <c r="AO85" i="705"/>
  <c r="AN85" i="705"/>
  <c r="AM85" i="705"/>
  <c r="AL85" i="705"/>
  <c r="AK85" i="705"/>
  <c r="AJ85" i="705"/>
  <c r="AI85" i="705"/>
  <c r="AH85" i="705"/>
  <c r="AG85" i="705"/>
  <c r="AF85" i="705"/>
  <c r="AE85" i="705"/>
  <c r="AD85" i="705"/>
  <c r="AC85" i="705"/>
  <c r="AB85" i="705"/>
  <c r="AA85" i="705"/>
  <c r="Z85" i="705"/>
  <c r="Y85" i="705"/>
  <c r="X85" i="705"/>
  <c r="W85" i="705"/>
  <c r="V85" i="705"/>
  <c r="U85" i="705"/>
  <c r="K79" i="705"/>
  <c r="D77" i="705"/>
  <c r="M62" i="705"/>
  <c r="L62" i="705"/>
  <c r="K62" i="705"/>
  <c r="M61" i="705"/>
  <c r="L61" i="705"/>
  <c r="K61" i="705"/>
  <c r="M60" i="705"/>
  <c r="L60" i="705"/>
  <c r="K60" i="705"/>
  <c r="M58" i="705"/>
  <c r="L58" i="705"/>
  <c r="K58" i="705"/>
  <c r="M57" i="705"/>
  <c r="L57" i="705"/>
  <c r="K57" i="705"/>
  <c r="AA52" i="705"/>
  <c r="Z52" i="705"/>
  <c r="Y52" i="705"/>
  <c r="X52" i="705"/>
  <c r="W52" i="705"/>
  <c r="V52" i="705"/>
  <c r="U52" i="705"/>
  <c r="T52" i="705"/>
  <c r="S52" i="705"/>
  <c r="AA51" i="705"/>
  <c r="Z51" i="705"/>
  <c r="Y51" i="705"/>
  <c r="X51" i="705"/>
  <c r="W51" i="705"/>
  <c r="V51" i="705"/>
  <c r="U51" i="705"/>
  <c r="T51" i="705"/>
  <c r="S51" i="705"/>
  <c r="AA50" i="705"/>
  <c r="Z50" i="705"/>
  <c r="Y50" i="705"/>
  <c r="X50" i="705"/>
  <c r="W50" i="705"/>
  <c r="V50" i="705"/>
  <c r="U50" i="705"/>
  <c r="T50" i="705"/>
  <c r="S50" i="705"/>
  <c r="AA49" i="705"/>
  <c r="Z49" i="705"/>
  <c r="Y49" i="705"/>
  <c r="X49" i="705"/>
  <c r="W49" i="705"/>
  <c r="V49" i="705"/>
  <c r="U49" i="705"/>
  <c r="T49" i="705"/>
  <c r="S49" i="705"/>
  <c r="AA48" i="705"/>
  <c r="Z48" i="705"/>
  <c r="Y48" i="705"/>
  <c r="X48" i="705"/>
  <c r="W48" i="705"/>
  <c r="V48" i="705"/>
  <c r="U48" i="705"/>
  <c r="T48" i="705"/>
  <c r="S48" i="705"/>
  <c r="AA47" i="705"/>
  <c r="Z47" i="705"/>
  <c r="Y47" i="705"/>
  <c r="X47" i="705"/>
  <c r="W47" i="705"/>
  <c r="V47" i="705"/>
  <c r="U47" i="705"/>
  <c r="T47" i="705"/>
  <c r="S47" i="705"/>
  <c r="AA46" i="705"/>
  <c r="Z46" i="705"/>
  <c r="Y46" i="705"/>
  <c r="X46" i="705"/>
  <c r="W46" i="705"/>
  <c r="V46" i="705"/>
  <c r="U46" i="705"/>
  <c r="T46" i="705"/>
  <c r="S46" i="705"/>
  <c r="AA45" i="705"/>
  <c r="Z45" i="705"/>
  <c r="Y45" i="705"/>
  <c r="X45" i="705"/>
  <c r="W45" i="705"/>
  <c r="V45" i="705"/>
  <c r="U45" i="705"/>
  <c r="T45" i="705"/>
  <c r="S45" i="705"/>
  <c r="AA44" i="705"/>
  <c r="Z44" i="705"/>
  <c r="Y44" i="705"/>
  <c r="X44" i="705"/>
  <c r="W44" i="705"/>
  <c r="V44" i="705"/>
  <c r="U44" i="705"/>
  <c r="T44" i="705"/>
  <c r="S44" i="705"/>
  <c r="AA43" i="705"/>
  <c r="Z43" i="705"/>
  <c r="Y43" i="705"/>
  <c r="X43" i="705"/>
  <c r="W43" i="705"/>
  <c r="V43" i="705"/>
  <c r="U43" i="705"/>
  <c r="T43" i="705"/>
  <c r="S43" i="705"/>
  <c r="AA42" i="705"/>
  <c r="Z42" i="705"/>
  <c r="Y42" i="705"/>
  <c r="X42" i="705"/>
  <c r="W42" i="705"/>
  <c r="V42" i="705"/>
  <c r="U42" i="705"/>
  <c r="T42" i="705"/>
  <c r="S42" i="705"/>
  <c r="AA41" i="705"/>
  <c r="Z41" i="705"/>
  <c r="Y41" i="705"/>
  <c r="X41" i="705"/>
  <c r="W41" i="705"/>
  <c r="V41" i="705"/>
  <c r="U41" i="705"/>
  <c r="T41" i="705"/>
  <c r="S41" i="705"/>
  <c r="AA40" i="705"/>
  <c r="Z40" i="705"/>
  <c r="Y40" i="705"/>
  <c r="X40" i="705"/>
  <c r="W40" i="705"/>
  <c r="V40" i="705"/>
  <c r="U40" i="705"/>
  <c r="T40" i="705"/>
  <c r="S40" i="705"/>
  <c r="AA39" i="705"/>
  <c r="Z39" i="705"/>
  <c r="Y39" i="705"/>
  <c r="X39" i="705"/>
  <c r="W39" i="705"/>
  <c r="V39" i="705"/>
  <c r="U39" i="705"/>
  <c r="T39" i="705"/>
  <c r="S39" i="705"/>
  <c r="AA38" i="705"/>
  <c r="Z38" i="705"/>
  <c r="Y38" i="705"/>
  <c r="X38" i="705"/>
  <c r="W38" i="705"/>
  <c r="V38" i="705"/>
  <c r="U38" i="705"/>
  <c r="T38" i="705"/>
  <c r="S38" i="705"/>
  <c r="AA37" i="705"/>
  <c r="Z37" i="705"/>
  <c r="Y37" i="705"/>
  <c r="X37" i="705"/>
  <c r="W37" i="705"/>
  <c r="V37" i="705"/>
  <c r="U37" i="705"/>
  <c r="T37" i="705"/>
  <c r="S37" i="705"/>
  <c r="AA36" i="705"/>
  <c r="Z36" i="705"/>
  <c r="Y36" i="705"/>
  <c r="X36" i="705"/>
  <c r="W36" i="705"/>
  <c r="V36" i="705"/>
  <c r="U36" i="705"/>
  <c r="T36" i="705"/>
  <c r="S36" i="705"/>
  <c r="AA35" i="705"/>
  <c r="Z35" i="705"/>
  <c r="Y35" i="705"/>
  <c r="X35" i="705"/>
  <c r="W35" i="705"/>
  <c r="V35" i="705"/>
  <c r="U35" i="705"/>
  <c r="T35" i="705"/>
  <c r="S35" i="705"/>
  <c r="AA34" i="705"/>
  <c r="Z34" i="705"/>
  <c r="Y34" i="705"/>
  <c r="X34" i="705"/>
  <c r="W34" i="705"/>
  <c r="V34" i="705"/>
  <c r="U34" i="705"/>
  <c r="T34" i="705"/>
  <c r="S34" i="705"/>
  <c r="AA33" i="705"/>
  <c r="Z33" i="705"/>
  <c r="Y33" i="705"/>
  <c r="X33" i="705"/>
  <c r="W33" i="705"/>
  <c r="V33" i="705"/>
  <c r="U33" i="705"/>
  <c r="T33" i="705"/>
  <c r="S33" i="705"/>
  <c r="AA32" i="705"/>
  <c r="Z32" i="705"/>
  <c r="Y32" i="705"/>
  <c r="X32" i="705"/>
  <c r="W32" i="705"/>
  <c r="V32" i="705"/>
  <c r="U32" i="705"/>
  <c r="T32" i="705"/>
  <c r="S32" i="705"/>
  <c r="AA31" i="705"/>
  <c r="Z31" i="705"/>
  <c r="Y31" i="705"/>
  <c r="X31" i="705"/>
  <c r="W31" i="705"/>
  <c r="V31" i="705"/>
  <c r="U31" i="705"/>
  <c r="T31" i="705"/>
  <c r="S31" i="705"/>
  <c r="AA30" i="705"/>
  <c r="Z30" i="705"/>
  <c r="Y30" i="705"/>
  <c r="X30" i="705"/>
  <c r="W30" i="705"/>
  <c r="V30" i="705"/>
  <c r="U30" i="705"/>
  <c r="T30" i="705"/>
  <c r="S30" i="705"/>
  <c r="AA29" i="705"/>
  <c r="Z29" i="705"/>
  <c r="Y29" i="705"/>
  <c r="X29" i="705"/>
  <c r="W29" i="705"/>
  <c r="V29" i="705"/>
  <c r="U29" i="705"/>
  <c r="T29" i="705"/>
  <c r="S29" i="705"/>
  <c r="AA28" i="705"/>
  <c r="Z28" i="705"/>
  <c r="Y28" i="705"/>
  <c r="X28" i="705"/>
  <c r="W28" i="705"/>
  <c r="V28" i="705"/>
  <c r="U28" i="705"/>
  <c r="T28" i="705"/>
  <c r="S28" i="705"/>
  <c r="AA27" i="705"/>
  <c r="Z27" i="705"/>
  <c r="Y27" i="705"/>
  <c r="X27" i="705"/>
  <c r="W27" i="705"/>
  <c r="V27" i="705"/>
  <c r="U27" i="705"/>
  <c r="T27" i="705"/>
  <c r="S27" i="705"/>
  <c r="AA26" i="705"/>
  <c r="Z26" i="705"/>
  <c r="Y26" i="705"/>
  <c r="X26" i="705"/>
  <c r="W26" i="705"/>
  <c r="V26" i="705"/>
  <c r="U26" i="705"/>
  <c r="T26" i="705"/>
  <c r="S26" i="705"/>
  <c r="AA25" i="705"/>
  <c r="Z25" i="705"/>
  <c r="Y25" i="705"/>
  <c r="X25" i="705"/>
  <c r="W25" i="705"/>
  <c r="V25" i="705"/>
  <c r="U25" i="705"/>
  <c r="T25" i="705"/>
  <c r="S25" i="705"/>
  <c r="AA24" i="705"/>
  <c r="Z24" i="705"/>
  <c r="Y24" i="705"/>
  <c r="X24" i="705"/>
  <c r="W24" i="705"/>
  <c r="V24" i="705"/>
  <c r="U24" i="705"/>
  <c r="T24" i="705"/>
  <c r="S24" i="705"/>
  <c r="AA23" i="705"/>
  <c r="Z23" i="705"/>
  <c r="Y23" i="705"/>
  <c r="X23" i="705"/>
  <c r="W23" i="705"/>
  <c r="V23" i="705"/>
  <c r="U23" i="705"/>
  <c r="T23" i="705"/>
  <c r="S23" i="705"/>
  <c r="AA22" i="705"/>
  <c r="Z22" i="705"/>
  <c r="Y22" i="705"/>
  <c r="X22" i="705"/>
  <c r="W22" i="705"/>
  <c r="V22" i="705"/>
  <c r="U22" i="705"/>
  <c r="T22" i="705"/>
  <c r="S22" i="705"/>
  <c r="AA21" i="705"/>
  <c r="Z21" i="705"/>
  <c r="Y21" i="705"/>
  <c r="X21" i="705"/>
  <c r="W21" i="705"/>
  <c r="V21" i="705"/>
  <c r="U21" i="705"/>
  <c r="T21" i="705"/>
  <c r="S21" i="705"/>
  <c r="AA20" i="705"/>
  <c r="Z20" i="705"/>
  <c r="Y20" i="705"/>
  <c r="X20" i="705"/>
  <c r="W20" i="705"/>
  <c r="V20" i="705"/>
  <c r="U20" i="705"/>
  <c r="T20" i="705"/>
  <c r="S20" i="705"/>
  <c r="AA19" i="705"/>
  <c r="Z19" i="705"/>
  <c r="Y19" i="705"/>
  <c r="X19" i="705"/>
  <c r="W19" i="705"/>
  <c r="V19" i="705"/>
  <c r="U19" i="705"/>
  <c r="T19" i="705"/>
  <c r="S19" i="705"/>
  <c r="AA18" i="705"/>
  <c r="Z18" i="705"/>
  <c r="Y18" i="705"/>
  <c r="X18" i="705"/>
  <c r="W18" i="705"/>
  <c r="V18" i="705"/>
  <c r="U18" i="705"/>
  <c r="T18" i="705"/>
  <c r="S18" i="705"/>
  <c r="AA17" i="705"/>
  <c r="Z17" i="705"/>
  <c r="Y17" i="705"/>
  <c r="X17" i="705"/>
  <c r="W17" i="705"/>
  <c r="V17" i="705"/>
  <c r="U17" i="705"/>
  <c r="T17" i="705"/>
  <c r="S17" i="705"/>
  <c r="AA16" i="705"/>
  <c r="Z16" i="705"/>
  <c r="Y16" i="705"/>
  <c r="X16" i="705"/>
  <c r="W16" i="705"/>
  <c r="V16" i="705"/>
  <c r="U16" i="705"/>
  <c r="T16" i="705"/>
  <c r="S16" i="705"/>
  <c r="AA15" i="705"/>
  <c r="Z15" i="705"/>
  <c r="Y15" i="705"/>
  <c r="X15" i="705"/>
  <c r="W15" i="705"/>
  <c r="V15" i="705"/>
  <c r="U15" i="705"/>
  <c r="T15" i="705"/>
  <c r="S15" i="705"/>
  <c r="AA14" i="705"/>
  <c r="Z14" i="705"/>
  <c r="Y14" i="705"/>
  <c r="X14" i="705"/>
  <c r="W14" i="705"/>
  <c r="V14" i="705"/>
  <c r="U14" i="705"/>
  <c r="T14" i="705"/>
  <c r="S14" i="705"/>
  <c r="AA13" i="705"/>
  <c r="Z13" i="705"/>
  <c r="Y13" i="705"/>
  <c r="X13" i="705"/>
  <c r="W13" i="705"/>
  <c r="V13" i="705"/>
  <c r="U13" i="705"/>
  <c r="T13" i="705"/>
  <c r="S13" i="705"/>
  <c r="AA12" i="705"/>
  <c r="Z12" i="705"/>
  <c r="Y12" i="705"/>
  <c r="X12" i="705"/>
  <c r="W12" i="705"/>
  <c r="V12" i="705"/>
  <c r="U12" i="705"/>
  <c r="T12" i="705"/>
  <c r="S12" i="705"/>
  <c r="AA11" i="705"/>
  <c r="Z11" i="705"/>
  <c r="Y11" i="705"/>
  <c r="X11" i="705"/>
  <c r="W11" i="705"/>
  <c r="V11" i="705"/>
  <c r="U11" i="705"/>
  <c r="T11" i="705"/>
  <c r="S11" i="705"/>
  <c r="AA10" i="705"/>
  <c r="Z10" i="705"/>
  <c r="Y10" i="705"/>
  <c r="X10" i="705"/>
  <c r="W10" i="705"/>
  <c r="V10" i="705"/>
  <c r="U10" i="705"/>
  <c r="T10" i="705"/>
  <c r="S10" i="705"/>
  <c r="K65" i="706" l="1"/>
  <c r="L65" i="706" s="1"/>
  <c r="I84" i="705"/>
  <c r="L84" i="706"/>
  <c r="K84" i="705"/>
  <c r="K94" i="705" s="1"/>
  <c r="K65" i="705"/>
  <c r="M65" i="706" l="1"/>
  <c r="L70" i="704"/>
  <c r="I35" i="704"/>
  <c r="I36" i="704"/>
  <c r="M57" i="704"/>
  <c r="L57" i="704"/>
  <c r="K57" i="704"/>
  <c r="K55" i="704"/>
  <c r="O33" i="704"/>
  <c r="O34" i="704"/>
  <c r="O35" i="704"/>
  <c r="O36" i="704"/>
  <c r="O37" i="704"/>
  <c r="N33" i="704"/>
  <c r="N34" i="704"/>
  <c r="N35" i="704"/>
  <c r="N36" i="704"/>
  <c r="N37" i="704"/>
  <c r="M33" i="704"/>
  <c r="M34" i="704"/>
  <c r="M35" i="704"/>
  <c r="M36" i="704"/>
  <c r="M37" i="704"/>
  <c r="L33" i="704"/>
  <c r="L34" i="704"/>
  <c r="L35" i="704"/>
  <c r="L36" i="704"/>
  <c r="L37" i="704"/>
  <c r="K33" i="704"/>
  <c r="K34" i="704"/>
  <c r="K35" i="704"/>
  <c r="K36" i="704"/>
  <c r="K37" i="704"/>
  <c r="J33" i="704"/>
  <c r="J34" i="704"/>
  <c r="J35" i="704"/>
  <c r="J36" i="704"/>
  <c r="I33" i="704"/>
  <c r="I34" i="704"/>
  <c r="G33" i="704"/>
  <c r="G34" i="704"/>
  <c r="G35" i="704"/>
  <c r="G36" i="704"/>
  <c r="G37" i="704"/>
  <c r="F33" i="704"/>
  <c r="F34" i="704"/>
  <c r="F35" i="704"/>
  <c r="F36" i="704"/>
  <c r="F37" i="704"/>
  <c r="E33" i="704"/>
  <c r="E34" i="704"/>
  <c r="E35" i="704"/>
  <c r="E36" i="704"/>
  <c r="E37" i="704"/>
  <c r="D33" i="704"/>
  <c r="D34" i="704"/>
  <c r="D35" i="704"/>
  <c r="D36" i="704"/>
  <c r="D37" i="704"/>
  <c r="C33" i="704"/>
  <c r="C34" i="704"/>
  <c r="C35" i="704"/>
  <c r="C36" i="704"/>
  <c r="C37" i="704"/>
  <c r="O32" i="704"/>
  <c r="N32" i="704"/>
  <c r="M32" i="704"/>
  <c r="L32" i="704"/>
  <c r="K32" i="704"/>
  <c r="J32" i="704"/>
  <c r="I32" i="704"/>
  <c r="G32" i="704"/>
  <c r="F32" i="704"/>
  <c r="E32" i="704"/>
  <c r="D32" i="704"/>
  <c r="C32" i="704"/>
  <c r="O30" i="704"/>
  <c r="N30" i="704"/>
  <c r="M30" i="704"/>
  <c r="L30" i="704"/>
  <c r="K30" i="704"/>
  <c r="J30" i="704"/>
  <c r="I30" i="704"/>
  <c r="J57" i="704" s="1"/>
  <c r="F30" i="704"/>
  <c r="G30" i="704"/>
  <c r="E30" i="704"/>
  <c r="D30" i="704"/>
  <c r="C30" i="704"/>
  <c r="S10" i="704"/>
  <c r="T10" i="704"/>
  <c r="U10" i="704"/>
  <c r="V10" i="704"/>
  <c r="W10" i="704"/>
  <c r="X10" i="704"/>
  <c r="Y10" i="704"/>
  <c r="Z10" i="704"/>
  <c r="AA10" i="704"/>
  <c r="M102" i="704" l="1"/>
  <c r="I102" i="704"/>
  <c r="E102" i="704"/>
  <c r="M100" i="704"/>
  <c r="I100" i="704"/>
  <c r="E100" i="704"/>
  <c r="M99" i="704"/>
  <c r="I99" i="704"/>
  <c r="F99" i="704"/>
  <c r="E99" i="704"/>
  <c r="M97" i="704"/>
  <c r="I97" i="704"/>
  <c r="E97" i="704"/>
  <c r="M96" i="704"/>
  <c r="I96" i="704"/>
  <c r="E96" i="704"/>
  <c r="M95" i="704"/>
  <c r="I95" i="704"/>
  <c r="E95" i="704"/>
  <c r="M94" i="704"/>
  <c r="I94" i="704"/>
  <c r="E94" i="704"/>
  <c r="L86" i="704"/>
  <c r="H86" i="704"/>
  <c r="I86" i="704"/>
  <c r="AY85" i="704"/>
  <c r="AX85" i="704"/>
  <c r="AW85" i="704"/>
  <c r="AV85" i="704"/>
  <c r="AU85" i="704"/>
  <c r="AT85" i="704"/>
  <c r="AS85" i="704"/>
  <c r="AR85" i="704"/>
  <c r="AQ85" i="704"/>
  <c r="AP85" i="704"/>
  <c r="AO85" i="704"/>
  <c r="AN85" i="704"/>
  <c r="AM85" i="704"/>
  <c r="AL85" i="704"/>
  <c r="AK85" i="704"/>
  <c r="AJ85" i="704"/>
  <c r="AI85" i="704"/>
  <c r="AH85" i="704"/>
  <c r="AG85" i="704"/>
  <c r="AF85" i="704"/>
  <c r="AE85" i="704"/>
  <c r="AD85" i="704"/>
  <c r="AC85" i="704"/>
  <c r="AB85" i="704"/>
  <c r="AA85" i="704"/>
  <c r="Z85" i="704"/>
  <c r="Y85" i="704"/>
  <c r="X85" i="704"/>
  <c r="W85" i="704"/>
  <c r="V85" i="704"/>
  <c r="U85" i="704"/>
  <c r="L84" i="704"/>
  <c r="H84" i="704"/>
  <c r="K79" i="704"/>
  <c r="M70" i="704" s="1"/>
  <c r="D77" i="704"/>
  <c r="M62" i="704"/>
  <c r="L62" i="704"/>
  <c r="K62" i="704"/>
  <c r="M61" i="704"/>
  <c r="L61" i="704"/>
  <c r="K61" i="704"/>
  <c r="M60" i="704"/>
  <c r="L60" i="704"/>
  <c r="K60" i="704"/>
  <c r="M58" i="704"/>
  <c r="L58" i="704"/>
  <c r="K58" i="704"/>
  <c r="M56" i="704"/>
  <c r="L56" i="704"/>
  <c r="K56" i="704"/>
  <c r="AA52" i="704"/>
  <c r="Z52" i="704"/>
  <c r="Y52" i="704"/>
  <c r="X52" i="704"/>
  <c r="W52" i="704"/>
  <c r="V52" i="704"/>
  <c r="U52" i="704"/>
  <c r="T52" i="704"/>
  <c r="S52" i="704"/>
  <c r="AA51" i="704"/>
  <c r="Z51" i="704"/>
  <c r="Y51" i="704"/>
  <c r="X51" i="704"/>
  <c r="W51" i="704"/>
  <c r="V51" i="704"/>
  <c r="U51" i="704"/>
  <c r="T51" i="704"/>
  <c r="S51" i="704"/>
  <c r="AA50" i="704"/>
  <c r="Z50" i="704"/>
  <c r="Y50" i="704"/>
  <c r="X50" i="704"/>
  <c r="W50" i="704"/>
  <c r="V50" i="704"/>
  <c r="U50" i="704"/>
  <c r="T50" i="704"/>
  <c r="S50" i="704"/>
  <c r="AA49" i="704"/>
  <c r="Z49" i="704"/>
  <c r="Y49" i="704"/>
  <c r="X49" i="704"/>
  <c r="W49" i="704"/>
  <c r="V49" i="704"/>
  <c r="U49" i="704"/>
  <c r="T49" i="704"/>
  <c r="S49" i="704"/>
  <c r="AA48" i="704"/>
  <c r="Z48" i="704"/>
  <c r="Y48" i="704"/>
  <c r="X48" i="704"/>
  <c r="W48" i="704"/>
  <c r="V48" i="704"/>
  <c r="U48" i="704"/>
  <c r="T48" i="704"/>
  <c r="S48" i="704"/>
  <c r="AA47" i="704"/>
  <c r="Z47" i="704"/>
  <c r="Y47" i="704"/>
  <c r="X47" i="704"/>
  <c r="W47" i="704"/>
  <c r="V47" i="704"/>
  <c r="U47" i="704"/>
  <c r="T47" i="704"/>
  <c r="S47" i="704"/>
  <c r="AA46" i="704"/>
  <c r="Z46" i="704"/>
  <c r="Y46" i="704"/>
  <c r="X46" i="704"/>
  <c r="W46" i="704"/>
  <c r="V46" i="704"/>
  <c r="U46" i="704"/>
  <c r="T46" i="704"/>
  <c r="S46" i="704"/>
  <c r="AA45" i="704"/>
  <c r="Z45" i="704"/>
  <c r="Y45" i="704"/>
  <c r="X45" i="704"/>
  <c r="W45" i="704"/>
  <c r="V45" i="704"/>
  <c r="U45" i="704"/>
  <c r="T45" i="704"/>
  <c r="S45" i="704"/>
  <c r="AA44" i="704"/>
  <c r="Z44" i="704"/>
  <c r="Y44" i="704"/>
  <c r="X44" i="704"/>
  <c r="W44" i="704"/>
  <c r="V44" i="704"/>
  <c r="U44" i="704"/>
  <c r="T44" i="704"/>
  <c r="S44" i="704"/>
  <c r="AA43" i="704"/>
  <c r="Z43" i="704"/>
  <c r="Y43" i="704"/>
  <c r="X43" i="704"/>
  <c r="W43" i="704"/>
  <c r="V43" i="704"/>
  <c r="U43" i="704"/>
  <c r="T43" i="704"/>
  <c r="S43" i="704"/>
  <c r="AA42" i="704"/>
  <c r="Z42" i="704"/>
  <c r="Y42" i="704"/>
  <c r="X42" i="704"/>
  <c r="W42" i="704"/>
  <c r="V42" i="704"/>
  <c r="U42" i="704"/>
  <c r="T42" i="704"/>
  <c r="S42" i="704"/>
  <c r="AA41" i="704"/>
  <c r="Z41" i="704"/>
  <c r="Y41" i="704"/>
  <c r="X41" i="704"/>
  <c r="W41" i="704"/>
  <c r="V41" i="704"/>
  <c r="U41" i="704"/>
  <c r="T41" i="704"/>
  <c r="S41" i="704"/>
  <c r="AA40" i="704"/>
  <c r="Z40" i="704"/>
  <c r="Y40" i="704"/>
  <c r="X40" i="704"/>
  <c r="W40" i="704"/>
  <c r="V40" i="704"/>
  <c r="U40" i="704"/>
  <c r="T40" i="704"/>
  <c r="S40" i="704"/>
  <c r="AA39" i="704"/>
  <c r="Z39" i="704"/>
  <c r="Y39" i="704"/>
  <c r="X39" i="704"/>
  <c r="W39" i="704"/>
  <c r="V39" i="704"/>
  <c r="U39" i="704"/>
  <c r="T39" i="704"/>
  <c r="S39" i="704"/>
  <c r="AA38" i="704"/>
  <c r="Z38" i="704"/>
  <c r="Y38" i="704"/>
  <c r="X38" i="704"/>
  <c r="W38" i="704"/>
  <c r="V38" i="704"/>
  <c r="U38" i="704"/>
  <c r="T38" i="704"/>
  <c r="S38" i="704"/>
  <c r="AA37" i="704"/>
  <c r="Z37" i="704"/>
  <c r="Y37" i="704"/>
  <c r="X37" i="704"/>
  <c r="W37" i="704"/>
  <c r="V37" i="704"/>
  <c r="U37" i="704"/>
  <c r="T37" i="704"/>
  <c r="S37" i="704"/>
  <c r="AA36" i="704"/>
  <c r="Z36" i="704"/>
  <c r="Y36" i="704"/>
  <c r="X36" i="704"/>
  <c r="W36" i="704"/>
  <c r="V36" i="704"/>
  <c r="U36" i="704"/>
  <c r="T36" i="704"/>
  <c r="S36" i="704"/>
  <c r="AA35" i="704"/>
  <c r="Z35" i="704"/>
  <c r="Y35" i="704"/>
  <c r="X35" i="704"/>
  <c r="W35" i="704"/>
  <c r="V35" i="704"/>
  <c r="U35" i="704"/>
  <c r="T35" i="704"/>
  <c r="S35" i="704"/>
  <c r="AA34" i="704"/>
  <c r="Z34" i="704"/>
  <c r="Y34" i="704"/>
  <c r="X34" i="704"/>
  <c r="W34" i="704"/>
  <c r="V34" i="704"/>
  <c r="U34" i="704"/>
  <c r="T34" i="704"/>
  <c r="S34" i="704"/>
  <c r="AA33" i="704"/>
  <c r="Z33" i="704"/>
  <c r="Y33" i="704"/>
  <c r="X33" i="704"/>
  <c r="W33" i="704"/>
  <c r="V33" i="704"/>
  <c r="U33" i="704"/>
  <c r="T33" i="704"/>
  <c r="S33" i="704"/>
  <c r="AA32" i="704"/>
  <c r="Z32" i="704"/>
  <c r="Y32" i="704"/>
  <c r="X32" i="704"/>
  <c r="W32" i="704"/>
  <c r="V32" i="704"/>
  <c r="U32" i="704"/>
  <c r="T32" i="704"/>
  <c r="S32" i="704"/>
  <c r="AA31" i="704"/>
  <c r="Z31" i="704"/>
  <c r="Y31" i="704"/>
  <c r="X31" i="704"/>
  <c r="W31" i="704"/>
  <c r="V31" i="704"/>
  <c r="U31" i="704"/>
  <c r="T31" i="704"/>
  <c r="S31" i="704"/>
  <c r="AA30" i="704"/>
  <c r="Z30" i="704"/>
  <c r="Y30" i="704"/>
  <c r="X30" i="704"/>
  <c r="W30" i="704"/>
  <c r="V30" i="704"/>
  <c r="U30" i="704"/>
  <c r="T30" i="704"/>
  <c r="S30" i="704"/>
  <c r="AA29" i="704"/>
  <c r="Z29" i="704"/>
  <c r="Y29" i="704"/>
  <c r="X29" i="704"/>
  <c r="W29" i="704"/>
  <c r="V29" i="704"/>
  <c r="U29" i="704"/>
  <c r="T29" i="704"/>
  <c r="S29" i="704"/>
  <c r="AA28" i="704"/>
  <c r="Z28" i="704"/>
  <c r="Y28" i="704"/>
  <c r="X28" i="704"/>
  <c r="W28" i="704"/>
  <c r="V28" i="704"/>
  <c r="U28" i="704"/>
  <c r="T28" i="704"/>
  <c r="S28" i="704"/>
  <c r="AA27" i="704"/>
  <c r="Z27" i="704"/>
  <c r="Y27" i="704"/>
  <c r="X27" i="704"/>
  <c r="W27" i="704"/>
  <c r="V27" i="704"/>
  <c r="U27" i="704"/>
  <c r="T27" i="704"/>
  <c r="S27" i="704"/>
  <c r="AA26" i="704"/>
  <c r="Z26" i="704"/>
  <c r="Y26" i="704"/>
  <c r="X26" i="704"/>
  <c r="W26" i="704"/>
  <c r="V26" i="704"/>
  <c r="U26" i="704"/>
  <c r="T26" i="704"/>
  <c r="S26" i="704"/>
  <c r="AA25" i="704"/>
  <c r="Z25" i="704"/>
  <c r="Y25" i="704"/>
  <c r="X25" i="704"/>
  <c r="W25" i="704"/>
  <c r="V25" i="704"/>
  <c r="U25" i="704"/>
  <c r="T25" i="704"/>
  <c r="S25" i="704"/>
  <c r="AA24" i="704"/>
  <c r="Z24" i="704"/>
  <c r="Y24" i="704"/>
  <c r="X24" i="704"/>
  <c r="W24" i="704"/>
  <c r="V24" i="704"/>
  <c r="U24" i="704"/>
  <c r="T24" i="704"/>
  <c r="S24" i="704"/>
  <c r="AA23" i="704"/>
  <c r="Z23" i="704"/>
  <c r="Y23" i="704"/>
  <c r="X23" i="704"/>
  <c r="W23" i="704"/>
  <c r="V23" i="704"/>
  <c r="U23" i="704"/>
  <c r="T23" i="704"/>
  <c r="S23" i="704"/>
  <c r="AA22" i="704"/>
  <c r="Z22" i="704"/>
  <c r="Y22" i="704"/>
  <c r="X22" i="704"/>
  <c r="W22" i="704"/>
  <c r="V22" i="704"/>
  <c r="U22" i="704"/>
  <c r="T22" i="704"/>
  <c r="S22" i="704"/>
  <c r="AA21" i="704"/>
  <c r="Z21" i="704"/>
  <c r="Y21" i="704"/>
  <c r="X21" i="704"/>
  <c r="W21" i="704"/>
  <c r="V21" i="704"/>
  <c r="U21" i="704"/>
  <c r="T21" i="704"/>
  <c r="S21" i="704"/>
  <c r="AA20" i="704"/>
  <c r="Z20" i="704"/>
  <c r="Y20" i="704"/>
  <c r="X20" i="704"/>
  <c r="W20" i="704"/>
  <c r="V20" i="704"/>
  <c r="U20" i="704"/>
  <c r="T20" i="704"/>
  <c r="S20" i="704"/>
  <c r="AA19" i="704"/>
  <c r="Z19" i="704"/>
  <c r="Y19" i="704"/>
  <c r="X19" i="704"/>
  <c r="W19" i="704"/>
  <c r="V19" i="704"/>
  <c r="U19" i="704"/>
  <c r="T19" i="704"/>
  <c r="S19" i="704"/>
  <c r="AA18" i="704"/>
  <c r="Z18" i="704"/>
  <c r="Y18" i="704"/>
  <c r="X18" i="704"/>
  <c r="W18" i="704"/>
  <c r="V18" i="704"/>
  <c r="U18" i="704"/>
  <c r="T18" i="704"/>
  <c r="S18" i="704"/>
  <c r="AA17" i="704"/>
  <c r="Z17" i="704"/>
  <c r="Y17" i="704"/>
  <c r="X17" i="704"/>
  <c r="W17" i="704"/>
  <c r="V17" i="704"/>
  <c r="U17" i="704"/>
  <c r="T17" i="704"/>
  <c r="S17" i="704"/>
  <c r="AA16" i="704"/>
  <c r="Z16" i="704"/>
  <c r="Y16" i="704"/>
  <c r="X16" i="704"/>
  <c r="W16" i="704"/>
  <c r="V16" i="704"/>
  <c r="U16" i="704"/>
  <c r="T16" i="704"/>
  <c r="S16" i="704"/>
  <c r="AA15" i="704"/>
  <c r="Z15" i="704"/>
  <c r="Y15" i="704"/>
  <c r="X15" i="704"/>
  <c r="W15" i="704"/>
  <c r="V15" i="704"/>
  <c r="U15" i="704"/>
  <c r="T15" i="704"/>
  <c r="S15" i="704"/>
  <c r="AA14" i="704"/>
  <c r="Z14" i="704"/>
  <c r="Y14" i="704"/>
  <c r="X14" i="704"/>
  <c r="W14" i="704"/>
  <c r="V14" i="704"/>
  <c r="U14" i="704"/>
  <c r="T14" i="704"/>
  <c r="S14" i="704"/>
  <c r="AA13" i="704"/>
  <c r="Z13" i="704"/>
  <c r="Y13" i="704"/>
  <c r="X13" i="704"/>
  <c r="W13" i="704"/>
  <c r="V13" i="704"/>
  <c r="U13" i="704"/>
  <c r="T13" i="704"/>
  <c r="S13" i="704"/>
  <c r="AA12" i="704"/>
  <c r="Z12" i="704"/>
  <c r="Y12" i="704"/>
  <c r="X12" i="704"/>
  <c r="W12" i="704"/>
  <c r="V12" i="704"/>
  <c r="U12" i="704"/>
  <c r="T12" i="704"/>
  <c r="S12" i="704"/>
  <c r="AA11" i="704"/>
  <c r="Z11" i="704"/>
  <c r="Y11" i="704"/>
  <c r="X11" i="704"/>
  <c r="W11" i="704"/>
  <c r="V11" i="704"/>
  <c r="U11" i="704"/>
  <c r="T11" i="704"/>
  <c r="S11" i="704"/>
  <c r="C20" i="703"/>
  <c r="C21" i="703"/>
  <c r="M58" i="703"/>
  <c r="L58" i="703"/>
  <c r="K58" i="703"/>
  <c r="M57" i="703"/>
  <c r="L57" i="703"/>
  <c r="K57" i="703"/>
  <c r="M56" i="703"/>
  <c r="L56" i="703"/>
  <c r="K56" i="703"/>
  <c r="B88" i="703"/>
  <c r="M95" i="703"/>
  <c r="M96" i="703"/>
  <c r="M97" i="703"/>
  <c r="M99" i="703"/>
  <c r="M100" i="703"/>
  <c r="M102" i="703"/>
  <c r="M94" i="703"/>
  <c r="I95" i="703"/>
  <c r="I96" i="703"/>
  <c r="I97" i="703"/>
  <c r="I99" i="703"/>
  <c r="I100" i="703"/>
  <c r="I102" i="703"/>
  <c r="I94" i="703"/>
  <c r="E95" i="703"/>
  <c r="E96" i="703"/>
  <c r="E97" i="703"/>
  <c r="E99" i="703"/>
  <c r="E100" i="703"/>
  <c r="E102" i="703"/>
  <c r="E94" i="703"/>
  <c r="F86" i="703"/>
  <c r="G86" i="703"/>
  <c r="G95" i="703"/>
  <c r="K84" i="703"/>
  <c r="K95" i="703" s="1"/>
  <c r="D84" i="705" l="1"/>
  <c r="I86" i="703"/>
  <c r="K65" i="704"/>
  <c r="I84" i="704"/>
  <c r="G84" i="703"/>
  <c r="D84" i="703"/>
  <c r="D86" i="703"/>
  <c r="H86" i="703" s="1"/>
  <c r="L70" i="703"/>
  <c r="B86" i="703"/>
  <c r="B84" i="703"/>
  <c r="I79" i="703"/>
  <c r="H79" i="703"/>
  <c r="B67" i="703"/>
  <c r="B55" i="703"/>
  <c r="J55" i="703"/>
  <c r="C29" i="703"/>
  <c r="D29" i="703"/>
  <c r="E29" i="703"/>
  <c r="F29" i="703"/>
  <c r="G29" i="703"/>
  <c r="L29" i="703"/>
  <c r="M29" i="703"/>
  <c r="N29" i="703"/>
  <c r="O29" i="703"/>
  <c r="C30" i="703"/>
  <c r="D30" i="703"/>
  <c r="E30" i="703"/>
  <c r="F30" i="703"/>
  <c r="G30" i="703"/>
  <c r="L30" i="703"/>
  <c r="M30" i="703"/>
  <c r="N30" i="703"/>
  <c r="O30" i="703"/>
  <c r="O28" i="703"/>
  <c r="N28" i="703"/>
  <c r="M28" i="703"/>
  <c r="L28" i="703"/>
  <c r="E28" i="703"/>
  <c r="D28" i="703"/>
  <c r="C28" i="703"/>
  <c r="G28" i="703"/>
  <c r="F28" i="703"/>
  <c r="K86" i="703" l="1"/>
  <c r="K94" i="703" s="1"/>
  <c r="L84" i="705"/>
  <c r="C94" i="705" s="1"/>
  <c r="H84" i="705"/>
  <c r="G94" i="705"/>
  <c r="G94" i="703"/>
  <c r="D21" i="703"/>
  <c r="E21" i="703"/>
  <c r="F21" i="703"/>
  <c r="G21" i="703"/>
  <c r="I21" i="703"/>
  <c r="J21" i="703"/>
  <c r="K21" i="703"/>
  <c r="L21" i="703"/>
  <c r="M21" i="703"/>
  <c r="N21" i="703"/>
  <c r="O21" i="703"/>
  <c r="C22" i="703"/>
  <c r="D22" i="703"/>
  <c r="E22" i="703"/>
  <c r="F22" i="703"/>
  <c r="G22" i="703"/>
  <c r="I22" i="703"/>
  <c r="J22" i="703"/>
  <c r="K22" i="703"/>
  <c r="L22" i="703"/>
  <c r="M22" i="703"/>
  <c r="N22" i="703"/>
  <c r="O22" i="703"/>
  <c r="C23" i="703"/>
  <c r="D23" i="703"/>
  <c r="E23" i="703"/>
  <c r="F23" i="703"/>
  <c r="G23" i="703"/>
  <c r="I23" i="703"/>
  <c r="J23" i="703"/>
  <c r="K23" i="703"/>
  <c r="L23" i="703"/>
  <c r="M23" i="703"/>
  <c r="N23" i="703"/>
  <c r="O23" i="703"/>
  <c r="C24" i="703"/>
  <c r="D24" i="703"/>
  <c r="E24" i="703"/>
  <c r="F24" i="703"/>
  <c r="G24" i="703"/>
  <c r="I24" i="703"/>
  <c r="J24" i="703"/>
  <c r="K24" i="703"/>
  <c r="L24" i="703"/>
  <c r="M24" i="703"/>
  <c r="N24" i="703"/>
  <c r="O24" i="703"/>
  <c r="C25" i="703"/>
  <c r="D25" i="703"/>
  <c r="E25" i="703"/>
  <c r="F25" i="703"/>
  <c r="G25" i="703"/>
  <c r="I25" i="703"/>
  <c r="J25" i="703"/>
  <c r="K25" i="703"/>
  <c r="L25" i="703"/>
  <c r="M25" i="703"/>
  <c r="N25" i="703"/>
  <c r="O25" i="703"/>
  <c r="O20" i="703"/>
  <c r="N20" i="703"/>
  <c r="M20" i="703"/>
  <c r="L20" i="703"/>
  <c r="K20" i="703"/>
  <c r="J20" i="703"/>
  <c r="I20" i="703"/>
  <c r="G20" i="703"/>
  <c r="F20" i="703"/>
  <c r="E20" i="703"/>
  <c r="D20" i="703"/>
  <c r="C11" i="703"/>
  <c r="D11" i="703"/>
  <c r="E11" i="703"/>
  <c r="F11" i="703"/>
  <c r="G11" i="703"/>
  <c r="I11" i="703"/>
  <c r="J11" i="703"/>
  <c r="L11" i="703"/>
  <c r="M11" i="703"/>
  <c r="N11" i="703"/>
  <c r="O11" i="703"/>
  <c r="C12" i="703"/>
  <c r="D12" i="703"/>
  <c r="E12" i="703"/>
  <c r="F12" i="703"/>
  <c r="G12" i="703"/>
  <c r="I12" i="703"/>
  <c r="J12" i="703"/>
  <c r="L12" i="703"/>
  <c r="M12" i="703"/>
  <c r="N12" i="703"/>
  <c r="O12" i="703"/>
  <c r="O10" i="703"/>
  <c r="N10" i="703"/>
  <c r="M10" i="703"/>
  <c r="L10" i="703"/>
  <c r="J10" i="703"/>
  <c r="I10" i="703"/>
  <c r="G10" i="703"/>
  <c r="F10" i="703"/>
  <c r="E10" i="703"/>
  <c r="D10" i="703"/>
  <c r="C10" i="703"/>
  <c r="S49" i="702"/>
  <c r="T49" i="702"/>
  <c r="U49" i="702"/>
  <c r="V49" i="702"/>
  <c r="W49" i="702"/>
  <c r="X49" i="702"/>
  <c r="Y49" i="702"/>
  <c r="Z49" i="702"/>
  <c r="AA49" i="702"/>
  <c r="S50" i="702"/>
  <c r="T50" i="702"/>
  <c r="U50" i="702"/>
  <c r="V50" i="702"/>
  <c r="W50" i="702"/>
  <c r="X50" i="702"/>
  <c r="Y50" i="702"/>
  <c r="Z50" i="702"/>
  <c r="AA50" i="702"/>
  <c r="S51" i="702"/>
  <c r="T51" i="702"/>
  <c r="U51" i="702"/>
  <c r="V51" i="702"/>
  <c r="W51" i="702"/>
  <c r="X51" i="702"/>
  <c r="Y51" i="702"/>
  <c r="Z51" i="702"/>
  <c r="AA51" i="702"/>
  <c r="S52" i="702"/>
  <c r="T52" i="702"/>
  <c r="U52" i="702"/>
  <c r="V52" i="702"/>
  <c r="W52" i="702"/>
  <c r="X52" i="702"/>
  <c r="Y52" i="702"/>
  <c r="Z52" i="702"/>
  <c r="AA52" i="702"/>
  <c r="S53" i="702"/>
  <c r="T53" i="702"/>
  <c r="U53" i="702"/>
  <c r="V53" i="702"/>
  <c r="W53" i="702"/>
  <c r="X53" i="702"/>
  <c r="Y53" i="702"/>
  <c r="Z53" i="702"/>
  <c r="AA53" i="702"/>
  <c r="S54" i="702"/>
  <c r="T54" i="702"/>
  <c r="U54" i="702"/>
  <c r="V54" i="702"/>
  <c r="W54" i="702"/>
  <c r="X54" i="702"/>
  <c r="Y54" i="702"/>
  <c r="Z54" i="702"/>
  <c r="AA54" i="702"/>
  <c r="S55" i="702"/>
  <c r="T55" i="702"/>
  <c r="U55" i="702"/>
  <c r="V55" i="702"/>
  <c r="W55" i="702"/>
  <c r="X55" i="702"/>
  <c r="Y55" i="702"/>
  <c r="Z55" i="702"/>
  <c r="AA55" i="702"/>
  <c r="S56" i="702"/>
  <c r="T56" i="702"/>
  <c r="U56" i="702"/>
  <c r="V56" i="702"/>
  <c r="W56" i="702"/>
  <c r="X56" i="702"/>
  <c r="Y56" i="702"/>
  <c r="Z56" i="702"/>
  <c r="AA56" i="702"/>
  <c r="S57" i="702"/>
  <c r="T57" i="702"/>
  <c r="U57" i="702"/>
  <c r="V57" i="702"/>
  <c r="W57" i="702"/>
  <c r="X57" i="702"/>
  <c r="Y57" i="702"/>
  <c r="Z57" i="702"/>
  <c r="AA57" i="702"/>
  <c r="S58" i="702"/>
  <c r="T58" i="702"/>
  <c r="U58" i="702"/>
  <c r="V58" i="702"/>
  <c r="W58" i="702"/>
  <c r="X58" i="702"/>
  <c r="Y58" i="702"/>
  <c r="Z58" i="702"/>
  <c r="AA58" i="702"/>
  <c r="S59" i="702"/>
  <c r="T59" i="702"/>
  <c r="U59" i="702"/>
  <c r="V59" i="702"/>
  <c r="W59" i="702"/>
  <c r="X59" i="702"/>
  <c r="Y59" i="702"/>
  <c r="Z59" i="702"/>
  <c r="AA59" i="702"/>
  <c r="K10" i="703"/>
  <c r="K11" i="703"/>
  <c r="K12" i="703"/>
  <c r="J56" i="703" l="1"/>
  <c r="J58" i="703"/>
  <c r="K28" i="703" l="1"/>
  <c r="K29" i="703"/>
  <c r="K30" i="703"/>
  <c r="F99" i="703"/>
  <c r="L86" i="703"/>
  <c r="C94" i="703" s="1"/>
  <c r="AY85" i="703"/>
  <c r="AX85" i="703"/>
  <c r="AW85" i="703"/>
  <c r="AV85" i="703"/>
  <c r="AU85" i="703"/>
  <c r="AT85" i="703"/>
  <c r="AS85" i="703"/>
  <c r="AR85" i="703"/>
  <c r="AQ85" i="703"/>
  <c r="AP85" i="703"/>
  <c r="AO85" i="703"/>
  <c r="AN85" i="703"/>
  <c r="AM85" i="703"/>
  <c r="AL85" i="703"/>
  <c r="AK85" i="703"/>
  <c r="AJ85" i="703"/>
  <c r="AI85" i="703"/>
  <c r="AH85" i="703"/>
  <c r="AG85" i="703"/>
  <c r="AF85" i="703"/>
  <c r="AE85" i="703"/>
  <c r="AD85" i="703"/>
  <c r="AC85" i="703"/>
  <c r="AB85" i="703"/>
  <c r="AA85" i="703"/>
  <c r="Z85" i="703"/>
  <c r="Y85" i="703"/>
  <c r="X85" i="703"/>
  <c r="W85" i="703"/>
  <c r="V85" i="703"/>
  <c r="U85" i="703"/>
  <c r="L84" i="703"/>
  <c r="C95" i="703" s="1"/>
  <c r="K79" i="703"/>
  <c r="M70" i="703" s="1"/>
  <c r="D77" i="703"/>
  <c r="M62" i="703"/>
  <c r="L62" i="703"/>
  <c r="K62" i="703"/>
  <c r="M61" i="703"/>
  <c r="L61" i="703"/>
  <c r="K61" i="703"/>
  <c r="M60" i="703"/>
  <c r="L60" i="703"/>
  <c r="K60" i="703"/>
  <c r="M55" i="703"/>
  <c r="L55" i="703"/>
  <c r="K55" i="703"/>
  <c r="AA52" i="703"/>
  <c r="Z52" i="703"/>
  <c r="Y52" i="703"/>
  <c r="X52" i="703"/>
  <c r="W52" i="703"/>
  <c r="V52" i="703"/>
  <c r="U52" i="703"/>
  <c r="T52" i="703"/>
  <c r="S52" i="703"/>
  <c r="AA51" i="703"/>
  <c r="Z51" i="703"/>
  <c r="Y51" i="703"/>
  <c r="X51" i="703"/>
  <c r="W51" i="703"/>
  <c r="V51" i="703"/>
  <c r="U51" i="703"/>
  <c r="T51" i="703"/>
  <c r="S51" i="703"/>
  <c r="AA50" i="703"/>
  <c r="Z50" i="703"/>
  <c r="Y50" i="703"/>
  <c r="X50" i="703"/>
  <c r="W50" i="703"/>
  <c r="V50" i="703"/>
  <c r="U50" i="703"/>
  <c r="T50" i="703"/>
  <c r="S50" i="703"/>
  <c r="AA49" i="703"/>
  <c r="Z49" i="703"/>
  <c r="Y49" i="703"/>
  <c r="X49" i="703"/>
  <c r="W49" i="703"/>
  <c r="V49" i="703"/>
  <c r="U49" i="703"/>
  <c r="T49" i="703"/>
  <c r="S49" i="703"/>
  <c r="AA48" i="703"/>
  <c r="Z48" i="703"/>
  <c r="Y48" i="703"/>
  <c r="X48" i="703"/>
  <c r="W48" i="703"/>
  <c r="V48" i="703"/>
  <c r="U48" i="703"/>
  <c r="T48" i="703"/>
  <c r="S48" i="703"/>
  <c r="AA47" i="703"/>
  <c r="Z47" i="703"/>
  <c r="Y47" i="703"/>
  <c r="X47" i="703"/>
  <c r="W47" i="703"/>
  <c r="V47" i="703"/>
  <c r="U47" i="703"/>
  <c r="T47" i="703"/>
  <c r="S47" i="703"/>
  <c r="AA46" i="703"/>
  <c r="Z46" i="703"/>
  <c r="Y46" i="703"/>
  <c r="X46" i="703"/>
  <c r="W46" i="703"/>
  <c r="V46" i="703"/>
  <c r="U46" i="703"/>
  <c r="T46" i="703"/>
  <c r="S46" i="703"/>
  <c r="AA45" i="703"/>
  <c r="Z45" i="703"/>
  <c r="Y45" i="703"/>
  <c r="X45" i="703"/>
  <c r="W45" i="703"/>
  <c r="V45" i="703"/>
  <c r="U45" i="703"/>
  <c r="T45" i="703"/>
  <c r="S45" i="703"/>
  <c r="AA44" i="703"/>
  <c r="Z44" i="703"/>
  <c r="Y44" i="703"/>
  <c r="X44" i="703"/>
  <c r="W44" i="703"/>
  <c r="V44" i="703"/>
  <c r="U44" i="703"/>
  <c r="T44" i="703"/>
  <c r="S44" i="703"/>
  <c r="AA43" i="703"/>
  <c r="Z43" i="703"/>
  <c r="Y43" i="703"/>
  <c r="X43" i="703"/>
  <c r="W43" i="703"/>
  <c r="V43" i="703"/>
  <c r="U43" i="703"/>
  <c r="T43" i="703"/>
  <c r="S43" i="703"/>
  <c r="AA42" i="703"/>
  <c r="Z42" i="703"/>
  <c r="Y42" i="703"/>
  <c r="X42" i="703"/>
  <c r="W42" i="703"/>
  <c r="V42" i="703"/>
  <c r="U42" i="703"/>
  <c r="T42" i="703"/>
  <c r="S42" i="703"/>
  <c r="AA41" i="703"/>
  <c r="Z41" i="703"/>
  <c r="Y41" i="703"/>
  <c r="X41" i="703"/>
  <c r="W41" i="703"/>
  <c r="V41" i="703"/>
  <c r="U41" i="703"/>
  <c r="T41" i="703"/>
  <c r="S41" i="703"/>
  <c r="AA40" i="703"/>
  <c r="Z40" i="703"/>
  <c r="Y40" i="703"/>
  <c r="X40" i="703"/>
  <c r="W40" i="703"/>
  <c r="V40" i="703"/>
  <c r="U40" i="703"/>
  <c r="T40" i="703"/>
  <c r="S40" i="703"/>
  <c r="AA39" i="703"/>
  <c r="Z39" i="703"/>
  <c r="Y39" i="703"/>
  <c r="X39" i="703"/>
  <c r="W39" i="703"/>
  <c r="V39" i="703"/>
  <c r="U39" i="703"/>
  <c r="T39" i="703"/>
  <c r="S39" i="703"/>
  <c r="AA38" i="703"/>
  <c r="Z38" i="703"/>
  <c r="Y38" i="703"/>
  <c r="X38" i="703"/>
  <c r="W38" i="703"/>
  <c r="V38" i="703"/>
  <c r="U38" i="703"/>
  <c r="T38" i="703"/>
  <c r="S38" i="703"/>
  <c r="AA37" i="703"/>
  <c r="Z37" i="703"/>
  <c r="Y37" i="703"/>
  <c r="X37" i="703"/>
  <c r="W37" i="703"/>
  <c r="V37" i="703"/>
  <c r="U37" i="703"/>
  <c r="T37" i="703"/>
  <c r="S37" i="703"/>
  <c r="AA36" i="703"/>
  <c r="Z36" i="703"/>
  <c r="Y36" i="703"/>
  <c r="X36" i="703"/>
  <c r="W36" i="703"/>
  <c r="V36" i="703"/>
  <c r="U36" i="703"/>
  <c r="T36" i="703"/>
  <c r="S36" i="703"/>
  <c r="AA35" i="703"/>
  <c r="Z35" i="703"/>
  <c r="Y35" i="703"/>
  <c r="X35" i="703"/>
  <c r="W35" i="703"/>
  <c r="V35" i="703"/>
  <c r="U35" i="703"/>
  <c r="T35" i="703"/>
  <c r="S35" i="703"/>
  <c r="AA34" i="703"/>
  <c r="Z34" i="703"/>
  <c r="Y34" i="703"/>
  <c r="X34" i="703"/>
  <c r="W34" i="703"/>
  <c r="V34" i="703"/>
  <c r="U34" i="703"/>
  <c r="T34" i="703"/>
  <c r="S34" i="703"/>
  <c r="AA33" i="703"/>
  <c r="Z33" i="703"/>
  <c r="Y33" i="703"/>
  <c r="X33" i="703"/>
  <c r="W33" i="703"/>
  <c r="V33" i="703"/>
  <c r="U33" i="703"/>
  <c r="T33" i="703"/>
  <c r="S33" i="703"/>
  <c r="AA32" i="703"/>
  <c r="Z32" i="703"/>
  <c r="Y32" i="703"/>
  <c r="X32" i="703"/>
  <c r="W32" i="703"/>
  <c r="V32" i="703"/>
  <c r="U32" i="703"/>
  <c r="T32" i="703"/>
  <c r="S32" i="703"/>
  <c r="AA31" i="703"/>
  <c r="Z31" i="703"/>
  <c r="Y31" i="703"/>
  <c r="X31" i="703"/>
  <c r="W31" i="703"/>
  <c r="V31" i="703"/>
  <c r="U31" i="703"/>
  <c r="T31" i="703"/>
  <c r="S31" i="703"/>
  <c r="AA30" i="703"/>
  <c r="Z30" i="703"/>
  <c r="Y30" i="703"/>
  <c r="X30" i="703"/>
  <c r="W30" i="703"/>
  <c r="V30" i="703"/>
  <c r="U30" i="703"/>
  <c r="T30" i="703"/>
  <c r="S30" i="703"/>
  <c r="AA29" i="703"/>
  <c r="Z29" i="703"/>
  <c r="Y29" i="703"/>
  <c r="X29" i="703"/>
  <c r="W29" i="703"/>
  <c r="V29" i="703"/>
  <c r="U29" i="703"/>
  <c r="T29" i="703"/>
  <c r="S29" i="703"/>
  <c r="AA28" i="703"/>
  <c r="Z28" i="703"/>
  <c r="Y28" i="703"/>
  <c r="X28" i="703"/>
  <c r="W28" i="703"/>
  <c r="V28" i="703"/>
  <c r="U28" i="703"/>
  <c r="T28" i="703"/>
  <c r="S28" i="703"/>
  <c r="AA27" i="703"/>
  <c r="Z27" i="703"/>
  <c r="Y27" i="703"/>
  <c r="X27" i="703"/>
  <c r="W27" i="703"/>
  <c r="V27" i="703"/>
  <c r="U27" i="703"/>
  <c r="T27" i="703"/>
  <c r="S27" i="703"/>
  <c r="AA26" i="703"/>
  <c r="Z26" i="703"/>
  <c r="Y26" i="703"/>
  <c r="X26" i="703"/>
  <c r="W26" i="703"/>
  <c r="V26" i="703"/>
  <c r="U26" i="703"/>
  <c r="T26" i="703"/>
  <c r="S26" i="703"/>
  <c r="AA25" i="703"/>
  <c r="Z25" i="703"/>
  <c r="Y25" i="703"/>
  <c r="X25" i="703"/>
  <c r="W25" i="703"/>
  <c r="V25" i="703"/>
  <c r="U25" i="703"/>
  <c r="T25" i="703"/>
  <c r="S25" i="703"/>
  <c r="AA24" i="703"/>
  <c r="Z24" i="703"/>
  <c r="Y24" i="703"/>
  <c r="X24" i="703"/>
  <c r="W24" i="703"/>
  <c r="V24" i="703"/>
  <c r="U24" i="703"/>
  <c r="T24" i="703"/>
  <c r="S24" i="703"/>
  <c r="AA23" i="703"/>
  <c r="Z23" i="703"/>
  <c r="Y23" i="703"/>
  <c r="X23" i="703"/>
  <c r="W23" i="703"/>
  <c r="V23" i="703"/>
  <c r="U23" i="703"/>
  <c r="T23" i="703"/>
  <c r="S23" i="703"/>
  <c r="AA22" i="703"/>
  <c r="Z22" i="703"/>
  <c r="Y22" i="703"/>
  <c r="X22" i="703"/>
  <c r="W22" i="703"/>
  <c r="V22" i="703"/>
  <c r="U22" i="703"/>
  <c r="T22" i="703"/>
  <c r="S22" i="703"/>
  <c r="AA21" i="703"/>
  <c r="Z21" i="703"/>
  <c r="Y21" i="703"/>
  <c r="X21" i="703"/>
  <c r="W21" i="703"/>
  <c r="V21" i="703"/>
  <c r="U21" i="703"/>
  <c r="T21" i="703"/>
  <c r="S21" i="703"/>
  <c r="AA20" i="703"/>
  <c r="Z20" i="703"/>
  <c r="Y20" i="703"/>
  <c r="X20" i="703"/>
  <c r="W20" i="703"/>
  <c r="V20" i="703"/>
  <c r="U20" i="703"/>
  <c r="T20" i="703"/>
  <c r="S20" i="703"/>
  <c r="AA19" i="703"/>
  <c r="Z19" i="703"/>
  <c r="Y19" i="703"/>
  <c r="X19" i="703"/>
  <c r="W19" i="703"/>
  <c r="V19" i="703"/>
  <c r="U19" i="703"/>
  <c r="T19" i="703"/>
  <c r="S19" i="703"/>
  <c r="AA18" i="703"/>
  <c r="Z18" i="703"/>
  <c r="Y18" i="703"/>
  <c r="X18" i="703"/>
  <c r="W18" i="703"/>
  <c r="V18" i="703"/>
  <c r="U18" i="703"/>
  <c r="T18" i="703"/>
  <c r="S18" i="703"/>
  <c r="AA17" i="703"/>
  <c r="Z17" i="703"/>
  <c r="Y17" i="703"/>
  <c r="X17" i="703"/>
  <c r="W17" i="703"/>
  <c r="V17" i="703"/>
  <c r="U17" i="703"/>
  <c r="T17" i="703"/>
  <c r="S17" i="703"/>
  <c r="AA16" i="703"/>
  <c r="Z16" i="703"/>
  <c r="Y16" i="703"/>
  <c r="X16" i="703"/>
  <c r="W16" i="703"/>
  <c r="V16" i="703"/>
  <c r="U16" i="703"/>
  <c r="T16" i="703"/>
  <c r="S16" i="703"/>
  <c r="AA15" i="703"/>
  <c r="Z15" i="703"/>
  <c r="Y15" i="703"/>
  <c r="X15" i="703"/>
  <c r="W15" i="703"/>
  <c r="V15" i="703"/>
  <c r="U15" i="703"/>
  <c r="T15" i="703"/>
  <c r="S15" i="703"/>
  <c r="AA14" i="703"/>
  <c r="Z14" i="703"/>
  <c r="Y14" i="703"/>
  <c r="X14" i="703"/>
  <c r="W14" i="703"/>
  <c r="V14" i="703"/>
  <c r="U14" i="703"/>
  <c r="T14" i="703"/>
  <c r="S14" i="703"/>
  <c r="AA13" i="703"/>
  <c r="Z13" i="703"/>
  <c r="Y13" i="703"/>
  <c r="X13" i="703"/>
  <c r="W13" i="703"/>
  <c r="V13" i="703"/>
  <c r="U13" i="703"/>
  <c r="T13" i="703"/>
  <c r="S13" i="703"/>
  <c r="AA12" i="703"/>
  <c r="Z12" i="703"/>
  <c r="Y12" i="703"/>
  <c r="X12" i="703"/>
  <c r="W12" i="703"/>
  <c r="V12" i="703"/>
  <c r="U12" i="703"/>
  <c r="T12" i="703"/>
  <c r="S12" i="703"/>
  <c r="AA11" i="703"/>
  <c r="Z11" i="703"/>
  <c r="Y11" i="703"/>
  <c r="X11" i="703"/>
  <c r="W11" i="703"/>
  <c r="V11" i="703"/>
  <c r="U11" i="703"/>
  <c r="T11" i="703"/>
  <c r="S11" i="703"/>
  <c r="AA10" i="703"/>
  <c r="Z10" i="703"/>
  <c r="Y10" i="703"/>
  <c r="X10" i="703"/>
  <c r="W10" i="703"/>
  <c r="V10" i="703"/>
  <c r="U10" i="703"/>
  <c r="T10" i="703"/>
  <c r="S10" i="703"/>
  <c r="M63" i="702"/>
  <c r="L63" i="702"/>
  <c r="C62" i="702"/>
  <c r="C63" i="702"/>
  <c r="C64" i="702"/>
  <c r="C65" i="702"/>
  <c r="C66" i="702"/>
  <c r="C67" i="702"/>
  <c r="J30" i="703" l="1"/>
  <c r="I30" i="703"/>
  <c r="J29" i="703"/>
  <c r="I28" i="703"/>
  <c r="I29" i="703"/>
  <c r="J28" i="703"/>
  <c r="K65" i="703"/>
  <c r="L65" i="703" s="1"/>
  <c r="M65" i="703" s="1"/>
  <c r="B62" i="702"/>
  <c r="E84" i="701"/>
  <c r="E86" i="701"/>
  <c r="G101" i="702"/>
  <c r="G91" i="702"/>
  <c r="J57" i="703" l="1"/>
  <c r="K91" i="702"/>
  <c r="K101" i="702" s="1"/>
  <c r="D91" i="702"/>
  <c r="L91" i="702" s="1"/>
  <c r="C101" i="702" s="1"/>
  <c r="B91" i="702"/>
  <c r="C39" i="700"/>
  <c r="C40" i="700"/>
  <c r="C41" i="700"/>
  <c r="C42" i="700"/>
  <c r="C43" i="701"/>
  <c r="C44" i="701"/>
  <c r="C45" i="701"/>
  <c r="C42" i="702"/>
  <c r="C44" i="702"/>
  <c r="J44" i="702"/>
  <c r="C45" i="702"/>
  <c r="C46" i="702"/>
  <c r="K56" i="701"/>
  <c r="S45" i="702"/>
  <c r="T45" i="702"/>
  <c r="U45" i="702"/>
  <c r="V45" i="702"/>
  <c r="W45" i="702"/>
  <c r="X45" i="702"/>
  <c r="Y45" i="702"/>
  <c r="Z45" i="702"/>
  <c r="AA45" i="702"/>
  <c r="S46" i="702"/>
  <c r="T46" i="702"/>
  <c r="U46" i="702"/>
  <c r="V46" i="702"/>
  <c r="W46" i="702"/>
  <c r="X46" i="702"/>
  <c r="Y46" i="702"/>
  <c r="Z46" i="702"/>
  <c r="AA46" i="702"/>
  <c r="S47" i="702"/>
  <c r="T47" i="702"/>
  <c r="U47" i="702"/>
  <c r="V47" i="702"/>
  <c r="W47" i="702"/>
  <c r="X47" i="702"/>
  <c r="Y47" i="702"/>
  <c r="Z47" i="702"/>
  <c r="AA47" i="702"/>
  <c r="S48" i="702"/>
  <c r="T48" i="702"/>
  <c r="U48" i="702"/>
  <c r="V48" i="702"/>
  <c r="W48" i="702"/>
  <c r="X48" i="702"/>
  <c r="Y48" i="702"/>
  <c r="Z48" i="702"/>
  <c r="AA48" i="702"/>
  <c r="M62" i="702"/>
  <c r="L62" i="702"/>
  <c r="K62" i="702"/>
  <c r="O49" i="702"/>
  <c r="O50" i="702"/>
  <c r="O51" i="702"/>
  <c r="O48" i="702"/>
  <c r="N49" i="702"/>
  <c r="N50" i="702"/>
  <c r="N51" i="702"/>
  <c r="N48" i="702"/>
  <c r="M49" i="702"/>
  <c r="M50" i="702"/>
  <c r="M51" i="702"/>
  <c r="M48" i="702"/>
  <c r="L49" i="702"/>
  <c r="L50" i="702"/>
  <c r="L51" i="702"/>
  <c r="L48" i="702"/>
  <c r="K49" i="702"/>
  <c r="K50" i="702"/>
  <c r="K51" i="702"/>
  <c r="K48" i="702"/>
  <c r="J49" i="702"/>
  <c r="J50" i="702"/>
  <c r="J51" i="702"/>
  <c r="J48" i="702"/>
  <c r="I49" i="702"/>
  <c r="I50" i="702"/>
  <c r="I51" i="702"/>
  <c r="I48" i="702"/>
  <c r="G49" i="702"/>
  <c r="G50" i="702"/>
  <c r="G51" i="702"/>
  <c r="G48" i="702"/>
  <c r="F49" i="702"/>
  <c r="F50" i="702"/>
  <c r="F51" i="702"/>
  <c r="F48" i="702"/>
  <c r="E49" i="702"/>
  <c r="E50" i="702"/>
  <c r="E51" i="702"/>
  <c r="E48" i="702"/>
  <c r="D49" i="702"/>
  <c r="D50" i="702"/>
  <c r="D51" i="702"/>
  <c r="D48" i="702"/>
  <c r="C49" i="702"/>
  <c r="C50" i="702"/>
  <c r="C51" i="702"/>
  <c r="C48" i="702"/>
  <c r="E43" i="702"/>
  <c r="F43" i="702"/>
  <c r="G43" i="702"/>
  <c r="K43" i="702"/>
  <c r="L43" i="702"/>
  <c r="M43" i="702"/>
  <c r="N43" i="702"/>
  <c r="O43" i="702"/>
  <c r="E44" i="702"/>
  <c r="F44" i="702"/>
  <c r="G44" i="702"/>
  <c r="K44" i="702"/>
  <c r="L44" i="702"/>
  <c r="M44" i="702"/>
  <c r="N44" i="702"/>
  <c r="O44" i="702"/>
  <c r="E45" i="702"/>
  <c r="F45" i="702"/>
  <c r="G45" i="702"/>
  <c r="K45" i="702"/>
  <c r="L45" i="702"/>
  <c r="M45" i="702"/>
  <c r="N45" i="702"/>
  <c r="O45" i="702"/>
  <c r="E46" i="702"/>
  <c r="F46" i="702"/>
  <c r="G46" i="702"/>
  <c r="K46" i="702"/>
  <c r="L46" i="702"/>
  <c r="M46" i="702"/>
  <c r="N46" i="702"/>
  <c r="O46" i="702"/>
  <c r="D43" i="702"/>
  <c r="D44" i="702"/>
  <c r="D45" i="702"/>
  <c r="D46" i="702"/>
  <c r="C43" i="702"/>
  <c r="O42" i="702"/>
  <c r="N42" i="702"/>
  <c r="M42" i="702"/>
  <c r="L42" i="702"/>
  <c r="K42" i="702"/>
  <c r="G42" i="702"/>
  <c r="F42" i="702"/>
  <c r="E42" i="702"/>
  <c r="D42" i="702"/>
  <c r="F106" i="702"/>
  <c r="L93" i="702"/>
  <c r="AY92" i="702"/>
  <c r="AX92" i="702"/>
  <c r="AW92" i="702"/>
  <c r="AV92" i="702"/>
  <c r="AU92" i="702"/>
  <c r="AT92" i="702"/>
  <c r="AS92" i="702"/>
  <c r="AR92" i="702"/>
  <c r="AQ92" i="702"/>
  <c r="AP92" i="702"/>
  <c r="AO92" i="702"/>
  <c r="AN92" i="702"/>
  <c r="AM92" i="702"/>
  <c r="AL92" i="702"/>
  <c r="AK92" i="702"/>
  <c r="AJ92" i="702"/>
  <c r="AI92" i="702"/>
  <c r="AH92" i="702"/>
  <c r="AG92" i="702"/>
  <c r="AF92" i="702"/>
  <c r="AE92" i="702"/>
  <c r="AD92" i="702"/>
  <c r="AC92" i="702"/>
  <c r="AB92" i="702"/>
  <c r="AA92" i="702"/>
  <c r="Z92" i="702"/>
  <c r="Y92" i="702"/>
  <c r="X92" i="702"/>
  <c r="W92" i="702"/>
  <c r="V92" i="702"/>
  <c r="U92" i="702"/>
  <c r="K86" i="702"/>
  <c r="L77" i="702" s="1"/>
  <c r="D84" i="702"/>
  <c r="M69" i="702"/>
  <c r="L69" i="702"/>
  <c r="K69" i="702"/>
  <c r="M68" i="702"/>
  <c r="L68" i="702"/>
  <c r="K68" i="702"/>
  <c r="M67" i="702"/>
  <c r="L67" i="702"/>
  <c r="K67" i="702"/>
  <c r="M65" i="702"/>
  <c r="L65" i="702"/>
  <c r="K65" i="702"/>
  <c r="AA44" i="702"/>
  <c r="Z44" i="702"/>
  <c r="Y44" i="702"/>
  <c r="X44" i="702"/>
  <c r="W44" i="702"/>
  <c r="V44" i="702"/>
  <c r="U44" i="702"/>
  <c r="T44" i="702"/>
  <c r="S44" i="702"/>
  <c r="AA43" i="702"/>
  <c r="Z43" i="702"/>
  <c r="Y43" i="702"/>
  <c r="X43" i="702"/>
  <c r="W43" i="702"/>
  <c r="V43" i="702"/>
  <c r="U43" i="702"/>
  <c r="T43" i="702"/>
  <c r="S43" i="702"/>
  <c r="AA42" i="702"/>
  <c r="Z42" i="702"/>
  <c r="Y42" i="702"/>
  <c r="X42" i="702"/>
  <c r="W42" i="702"/>
  <c r="V42" i="702"/>
  <c r="U42" i="702"/>
  <c r="T42" i="702"/>
  <c r="S42" i="702"/>
  <c r="AA41" i="702"/>
  <c r="Z41" i="702"/>
  <c r="Y41" i="702"/>
  <c r="X41" i="702"/>
  <c r="W41" i="702"/>
  <c r="V41" i="702"/>
  <c r="U41" i="702"/>
  <c r="T41" i="702"/>
  <c r="S41" i="702"/>
  <c r="AA40" i="702"/>
  <c r="Z40" i="702"/>
  <c r="Y40" i="702"/>
  <c r="X40" i="702"/>
  <c r="W40" i="702"/>
  <c r="V40" i="702"/>
  <c r="U40" i="702"/>
  <c r="T40" i="702"/>
  <c r="S40" i="702"/>
  <c r="AA39" i="702"/>
  <c r="Z39" i="702"/>
  <c r="Y39" i="702"/>
  <c r="X39" i="702"/>
  <c r="W39" i="702"/>
  <c r="V39" i="702"/>
  <c r="U39" i="702"/>
  <c r="T39" i="702"/>
  <c r="S39" i="702"/>
  <c r="AA38" i="702"/>
  <c r="Z38" i="702"/>
  <c r="Y38" i="702"/>
  <c r="X38" i="702"/>
  <c r="W38" i="702"/>
  <c r="V38" i="702"/>
  <c r="U38" i="702"/>
  <c r="T38" i="702"/>
  <c r="S38" i="702"/>
  <c r="AA37" i="702"/>
  <c r="Z37" i="702"/>
  <c r="Y37" i="702"/>
  <c r="X37" i="702"/>
  <c r="W37" i="702"/>
  <c r="V37" i="702"/>
  <c r="U37" i="702"/>
  <c r="T37" i="702"/>
  <c r="S37" i="702"/>
  <c r="AA36" i="702"/>
  <c r="Z36" i="702"/>
  <c r="Y36" i="702"/>
  <c r="X36" i="702"/>
  <c r="W36" i="702"/>
  <c r="V36" i="702"/>
  <c r="U36" i="702"/>
  <c r="T36" i="702"/>
  <c r="S36" i="702"/>
  <c r="AA35" i="702"/>
  <c r="Z35" i="702"/>
  <c r="Y35" i="702"/>
  <c r="X35" i="702"/>
  <c r="W35" i="702"/>
  <c r="V35" i="702"/>
  <c r="U35" i="702"/>
  <c r="T35" i="702"/>
  <c r="S35" i="702"/>
  <c r="AA34" i="702"/>
  <c r="Z34" i="702"/>
  <c r="Y34" i="702"/>
  <c r="X34" i="702"/>
  <c r="W34" i="702"/>
  <c r="V34" i="702"/>
  <c r="U34" i="702"/>
  <c r="T34" i="702"/>
  <c r="S34" i="702"/>
  <c r="AA33" i="702"/>
  <c r="Z33" i="702"/>
  <c r="Y33" i="702"/>
  <c r="X33" i="702"/>
  <c r="W33" i="702"/>
  <c r="V33" i="702"/>
  <c r="U33" i="702"/>
  <c r="T33" i="702"/>
  <c r="S33" i="702"/>
  <c r="AA32" i="702"/>
  <c r="Z32" i="702"/>
  <c r="Y32" i="702"/>
  <c r="X32" i="702"/>
  <c r="W32" i="702"/>
  <c r="V32" i="702"/>
  <c r="U32" i="702"/>
  <c r="T32" i="702"/>
  <c r="S32" i="702"/>
  <c r="AA31" i="702"/>
  <c r="Z31" i="702"/>
  <c r="Y31" i="702"/>
  <c r="X31" i="702"/>
  <c r="W31" i="702"/>
  <c r="V31" i="702"/>
  <c r="U31" i="702"/>
  <c r="T31" i="702"/>
  <c r="S31" i="702"/>
  <c r="AA30" i="702"/>
  <c r="Z30" i="702"/>
  <c r="Y30" i="702"/>
  <c r="X30" i="702"/>
  <c r="W30" i="702"/>
  <c r="V30" i="702"/>
  <c r="U30" i="702"/>
  <c r="T30" i="702"/>
  <c r="S30" i="702"/>
  <c r="AA29" i="702"/>
  <c r="Z29" i="702"/>
  <c r="Y29" i="702"/>
  <c r="X29" i="702"/>
  <c r="W29" i="702"/>
  <c r="V29" i="702"/>
  <c r="U29" i="702"/>
  <c r="T29" i="702"/>
  <c r="S29" i="702"/>
  <c r="AA28" i="702"/>
  <c r="Z28" i="702"/>
  <c r="Y28" i="702"/>
  <c r="X28" i="702"/>
  <c r="W28" i="702"/>
  <c r="V28" i="702"/>
  <c r="U28" i="702"/>
  <c r="T28" i="702"/>
  <c r="S28" i="702"/>
  <c r="AA27" i="702"/>
  <c r="Z27" i="702"/>
  <c r="Y27" i="702"/>
  <c r="X27" i="702"/>
  <c r="W27" i="702"/>
  <c r="V27" i="702"/>
  <c r="U27" i="702"/>
  <c r="T27" i="702"/>
  <c r="S27" i="702"/>
  <c r="AA26" i="702"/>
  <c r="Z26" i="702"/>
  <c r="Y26" i="702"/>
  <c r="X26" i="702"/>
  <c r="W26" i="702"/>
  <c r="V26" i="702"/>
  <c r="U26" i="702"/>
  <c r="T26" i="702"/>
  <c r="S26" i="702"/>
  <c r="AA25" i="702"/>
  <c r="Z25" i="702"/>
  <c r="Y25" i="702"/>
  <c r="X25" i="702"/>
  <c r="W25" i="702"/>
  <c r="V25" i="702"/>
  <c r="U25" i="702"/>
  <c r="T25" i="702"/>
  <c r="S25" i="702"/>
  <c r="AA24" i="702"/>
  <c r="Z24" i="702"/>
  <c r="Y24" i="702"/>
  <c r="X24" i="702"/>
  <c r="W24" i="702"/>
  <c r="V24" i="702"/>
  <c r="U24" i="702"/>
  <c r="T24" i="702"/>
  <c r="S24" i="702"/>
  <c r="AA23" i="702"/>
  <c r="Z23" i="702"/>
  <c r="Y23" i="702"/>
  <c r="X23" i="702"/>
  <c r="W23" i="702"/>
  <c r="V23" i="702"/>
  <c r="U23" i="702"/>
  <c r="T23" i="702"/>
  <c r="S23" i="702"/>
  <c r="AA22" i="702"/>
  <c r="Z22" i="702"/>
  <c r="Y22" i="702"/>
  <c r="X22" i="702"/>
  <c r="W22" i="702"/>
  <c r="V22" i="702"/>
  <c r="U22" i="702"/>
  <c r="T22" i="702"/>
  <c r="S22" i="702"/>
  <c r="AA21" i="702"/>
  <c r="Z21" i="702"/>
  <c r="Y21" i="702"/>
  <c r="X21" i="702"/>
  <c r="W21" i="702"/>
  <c r="V21" i="702"/>
  <c r="U21" i="702"/>
  <c r="T21" i="702"/>
  <c r="S21" i="702"/>
  <c r="AA20" i="702"/>
  <c r="Z20" i="702"/>
  <c r="Y20" i="702"/>
  <c r="X20" i="702"/>
  <c r="W20" i="702"/>
  <c r="V20" i="702"/>
  <c r="U20" i="702"/>
  <c r="T20" i="702"/>
  <c r="S20" i="702"/>
  <c r="AA19" i="702"/>
  <c r="Z19" i="702"/>
  <c r="Y19" i="702"/>
  <c r="X19" i="702"/>
  <c r="W19" i="702"/>
  <c r="V19" i="702"/>
  <c r="U19" i="702"/>
  <c r="T19" i="702"/>
  <c r="S19" i="702"/>
  <c r="AA18" i="702"/>
  <c r="Z18" i="702"/>
  <c r="Y18" i="702"/>
  <c r="X18" i="702"/>
  <c r="W18" i="702"/>
  <c r="V18" i="702"/>
  <c r="U18" i="702"/>
  <c r="T18" i="702"/>
  <c r="S18" i="702"/>
  <c r="AA17" i="702"/>
  <c r="Z17" i="702"/>
  <c r="Y17" i="702"/>
  <c r="X17" i="702"/>
  <c r="W17" i="702"/>
  <c r="V17" i="702"/>
  <c r="U17" i="702"/>
  <c r="T17" i="702"/>
  <c r="S17" i="702"/>
  <c r="AA16" i="702"/>
  <c r="Z16" i="702"/>
  <c r="Y16" i="702"/>
  <c r="X16" i="702"/>
  <c r="W16" i="702"/>
  <c r="V16" i="702"/>
  <c r="U16" i="702"/>
  <c r="T16" i="702"/>
  <c r="S16" i="702"/>
  <c r="AA15" i="702"/>
  <c r="Z15" i="702"/>
  <c r="Y15" i="702"/>
  <c r="X15" i="702"/>
  <c r="W15" i="702"/>
  <c r="V15" i="702"/>
  <c r="U15" i="702"/>
  <c r="T15" i="702"/>
  <c r="S15" i="702"/>
  <c r="AA14" i="702"/>
  <c r="Z14" i="702"/>
  <c r="Y14" i="702"/>
  <c r="X14" i="702"/>
  <c r="W14" i="702"/>
  <c r="V14" i="702"/>
  <c r="U14" i="702"/>
  <c r="T14" i="702"/>
  <c r="S14" i="702"/>
  <c r="AA13" i="702"/>
  <c r="Z13" i="702"/>
  <c r="Y13" i="702"/>
  <c r="X13" i="702"/>
  <c r="W13" i="702"/>
  <c r="V13" i="702"/>
  <c r="U13" i="702"/>
  <c r="T13" i="702"/>
  <c r="S13" i="702"/>
  <c r="AA12" i="702"/>
  <c r="Z12" i="702"/>
  <c r="Y12" i="702"/>
  <c r="X12" i="702"/>
  <c r="W12" i="702"/>
  <c r="V12" i="702"/>
  <c r="U12" i="702"/>
  <c r="T12" i="702"/>
  <c r="S12" i="702"/>
  <c r="AA11" i="702"/>
  <c r="Z11" i="702"/>
  <c r="Y11" i="702"/>
  <c r="X11" i="702"/>
  <c r="W11" i="702"/>
  <c r="V11" i="702"/>
  <c r="U11" i="702"/>
  <c r="T11" i="702"/>
  <c r="S11" i="702"/>
  <c r="AA10" i="702"/>
  <c r="Z10" i="702"/>
  <c r="Y10" i="702"/>
  <c r="X10" i="702"/>
  <c r="W10" i="702"/>
  <c r="V10" i="702"/>
  <c r="U10" i="702"/>
  <c r="T10" i="702"/>
  <c r="S10" i="702"/>
  <c r="L70" i="701"/>
  <c r="G99" i="701"/>
  <c r="K86" i="701"/>
  <c r="K99" i="701" s="1"/>
  <c r="G86" i="701"/>
  <c r="D86" i="701"/>
  <c r="L86" i="701" s="1"/>
  <c r="C99" i="701" s="1"/>
  <c r="B86" i="701"/>
  <c r="B84" i="701"/>
  <c r="B67" i="701"/>
  <c r="B55" i="701"/>
  <c r="K90" i="700"/>
  <c r="G90" i="700"/>
  <c r="K77" i="700"/>
  <c r="G77" i="700"/>
  <c r="D77" i="700"/>
  <c r="L77" i="700" s="1"/>
  <c r="C90" i="700" s="1"/>
  <c r="B77" i="700"/>
  <c r="B75" i="700"/>
  <c r="B58" i="700"/>
  <c r="B46" i="700"/>
  <c r="K83" i="699"/>
  <c r="G83" i="699"/>
  <c r="K72" i="699"/>
  <c r="G72" i="699"/>
  <c r="D72" i="699"/>
  <c r="B72" i="699"/>
  <c r="S43" i="701"/>
  <c r="T43" i="701"/>
  <c r="U43" i="701"/>
  <c r="V43" i="701"/>
  <c r="W43" i="701"/>
  <c r="X43" i="701"/>
  <c r="Y43" i="701"/>
  <c r="Z43" i="701"/>
  <c r="AA43" i="701"/>
  <c r="S44" i="701"/>
  <c r="T44" i="701"/>
  <c r="U44" i="701"/>
  <c r="V44" i="701"/>
  <c r="W44" i="701"/>
  <c r="X44" i="701"/>
  <c r="Y44" i="701"/>
  <c r="Z44" i="701"/>
  <c r="AA44" i="701"/>
  <c r="S45" i="701"/>
  <c r="T45" i="701"/>
  <c r="U45" i="701"/>
  <c r="V45" i="701"/>
  <c r="W45" i="701"/>
  <c r="X45" i="701"/>
  <c r="Y45" i="701"/>
  <c r="Z45" i="701"/>
  <c r="AA45" i="701"/>
  <c r="S46" i="701"/>
  <c r="T46" i="701"/>
  <c r="U46" i="701"/>
  <c r="V46" i="701"/>
  <c r="W46" i="701"/>
  <c r="X46" i="701"/>
  <c r="Y46" i="701"/>
  <c r="Z46" i="701"/>
  <c r="AA46" i="701"/>
  <c r="S47" i="701"/>
  <c r="T47" i="701"/>
  <c r="U47" i="701"/>
  <c r="V47" i="701"/>
  <c r="W47" i="701"/>
  <c r="X47" i="701"/>
  <c r="Y47" i="701"/>
  <c r="Z47" i="701"/>
  <c r="AA47" i="701"/>
  <c r="S48" i="701"/>
  <c r="T48" i="701"/>
  <c r="U48" i="701"/>
  <c r="V48" i="701"/>
  <c r="W48" i="701"/>
  <c r="X48" i="701"/>
  <c r="Y48" i="701"/>
  <c r="Z48" i="701"/>
  <c r="AA48" i="701"/>
  <c r="S49" i="701"/>
  <c r="T49" i="701"/>
  <c r="U49" i="701"/>
  <c r="V49" i="701"/>
  <c r="W49" i="701"/>
  <c r="X49" i="701"/>
  <c r="Y49" i="701"/>
  <c r="Z49" i="701"/>
  <c r="AA49" i="701"/>
  <c r="S50" i="701"/>
  <c r="T50" i="701"/>
  <c r="U50" i="701"/>
  <c r="V50" i="701"/>
  <c r="W50" i="701"/>
  <c r="X50" i="701"/>
  <c r="Y50" i="701"/>
  <c r="Z50" i="701"/>
  <c r="AA50" i="701"/>
  <c r="M55" i="701"/>
  <c r="L55" i="701"/>
  <c r="K55" i="701"/>
  <c r="O48" i="701"/>
  <c r="O49" i="701"/>
  <c r="O50" i="701"/>
  <c r="N48" i="701"/>
  <c r="N49" i="701"/>
  <c r="N50" i="701"/>
  <c r="M48" i="701"/>
  <c r="M49" i="701"/>
  <c r="M50" i="701"/>
  <c r="L48" i="701"/>
  <c r="L49" i="701"/>
  <c r="L50" i="701"/>
  <c r="K48" i="701"/>
  <c r="K49" i="701"/>
  <c r="K50" i="701"/>
  <c r="J48" i="701"/>
  <c r="J49" i="701"/>
  <c r="J50" i="701"/>
  <c r="I48" i="701"/>
  <c r="I49" i="701"/>
  <c r="I50" i="701"/>
  <c r="G48" i="701"/>
  <c r="G49" i="701"/>
  <c r="G50" i="701"/>
  <c r="F48" i="701"/>
  <c r="F49" i="701"/>
  <c r="F50" i="701"/>
  <c r="E48" i="701"/>
  <c r="E49" i="701"/>
  <c r="E50" i="701"/>
  <c r="D48" i="701"/>
  <c r="D49" i="701"/>
  <c r="D50" i="701"/>
  <c r="C48" i="701"/>
  <c r="C49" i="701"/>
  <c r="C50" i="701"/>
  <c r="O47" i="701"/>
  <c r="N47" i="701"/>
  <c r="M47" i="701"/>
  <c r="L47" i="701"/>
  <c r="K47" i="701"/>
  <c r="J47" i="701"/>
  <c r="I47" i="701"/>
  <c r="G47" i="701"/>
  <c r="F47" i="701"/>
  <c r="E47" i="701"/>
  <c r="D47" i="701"/>
  <c r="C47" i="701"/>
  <c r="D43" i="701"/>
  <c r="E43" i="701"/>
  <c r="F43" i="701"/>
  <c r="G43" i="701"/>
  <c r="L43" i="701"/>
  <c r="M43" i="701"/>
  <c r="N43" i="701"/>
  <c r="O43" i="701"/>
  <c r="D44" i="701"/>
  <c r="E44" i="701"/>
  <c r="F44" i="701"/>
  <c r="G44" i="701"/>
  <c r="L44" i="701"/>
  <c r="M44" i="701"/>
  <c r="N44" i="701"/>
  <c r="O44" i="701"/>
  <c r="D45" i="701"/>
  <c r="E45" i="701"/>
  <c r="F45" i="701"/>
  <c r="G45" i="701"/>
  <c r="L45" i="701"/>
  <c r="M45" i="701"/>
  <c r="N45" i="701"/>
  <c r="O45" i="701"/>
  <c r="O42" i="701"/>
  <c r="N42" i="701"/>
  <c r="M42" i="701"/>
  <c r="L42" i="701"/>
  <c r="G42" i="701"/>
  <c r="F42" i="701"/>
  <c r="E42" i="701"/>
  <c r="D42" i="701"/>
  <c r="C42" i="701"/>
  <c r="F99" i="701"/>
  <c r="AY85" i="701"/>
  <c r="AX85" i="701"/>
  <c r="AW85" i="701"/>
  <c r="AV85" i="701"/>
  <c r="AU85" i="701"/>
  <c r="AT85" i="701"/>
  <c r="AS85" i="701"/>
  <c r="AR85" i="701"/>
  <c r="AQ85" i="701"/>
  <c r="AP85" i="701"/>
  <c r="AO85" i="701"/>
  <c r="AN85" i="701"/>
  <c r="AM85" i="701"/>
  <c r="AL85" i="701"/>
  <c r="AK85" i="701"/>
  <c r="AJ85" i="701"/>
  <c r="AI85" i="701"/>
  <c r="AH85" i="701"/>
  <c r="AG85" i="701"/>
  <c r="AF85" i="701"/>
  <c r="AE85" i="701"/>
  <c r="AD85" i="701"/>
  <c r="AC85" i="701"/>
  <c r="AB85" i="701"/>
  <c r="AA85" i="701"/>
  <c r="Z85" i="701"/>
  <c r="Y85" i="701"/>
  <c r="X85" i="701"/>
  <c r="W85" i="701"/>
  <c r="V85" i="701"/>
  <c r="U85" i="701"/>
  <c r="K79" i="701"/>
  <c r="D77" i="701"/>
  <c r="M62" i="701"/>
  <c r="L62" i="701"/>
  <c r="K62" i="701"/>
  <c r="M61" i="701"/>
  <c r="L61" i="701"/>
  <c r="K61" i="701"/>
  <c r="M60" i="701"/>
  <c r="L60" i="701"/>
  <c r="K60" i="701"/>
  <c r="M58" i="701"/>
  <c r="L58" i="701"/>
  <c r="K58" i="701"/>
  <c r="AA52" i="701"/>
  <c r="Z52" i="701"/>
  <c r="Y52" i="701"/>
  <c r="X52" i="701"/>
  <c r="W52" i="701"/>
  <c r="V52" i="701"/>
  <c r="U52" i="701"/>
  <c r="T52" i="701"/>
  <c r="S52" i="701"/>
  <c r="AA42" i="701"/>
  <c r="Z42" i="701"/>
  <c r="Y42" i="701"/>
  <c r="X42" i="701"/>
  <c r="W42" i="701"/>
  <c r="V42" i="701"/>
  <c r="U42" i="701"/>
  <c r="T42" i="701"/>
  <c r="S42" i="701"/>
  <c r="AA41" i="701"/>
  <c r="Z41" i="701"/>
  <c r="Y41" i="701"/>
  <c r="X41" i="701"/>
  <c r="W41" i="701"/>
  <c r="V41" i="701"/>
  <c r="U41" i="701"/>
  <c r="T41" i="701"/>
  <c r="S41" i="701"/>
  <c r="AA40" i="701"/>
  <c r="Z40" i="701"/>
  <c r="Y40" i="701"/>
  <c r="X40" i="701"/>
  <c r="W40" i="701"/>
  <c r="V40" i="701"/>
  <c r="U40" i="701"/>
  <c r="T40" i="701"/>
  <c r="S40" i="701"/>
  <c r="AA39" i="701"/>
  <c r="Z39" i="701"/>
  <c r="Y39" i="701"/>
  <c r="X39" i="701"/>
  <c r="W39" i="701"/>
  <c r="V39" i="701"/>
  <c r="U39" i="701"/>
  <c r="T39" i="701"/>
  <c r="S39" i="701"/>
  <c r="AA38" i="701"/>
  <c r="Z38" i="701"/>
  <c r="Y38" i="701"/>
  <c r="X38" i="701"/>
  <c r="W38" i="701"/>
  <c r="V38" i="701"/>
  <c r="U38" i="701"/>
  <c r="T38" i="701"/>
  <c r="S38" i="701"/>
  <c r="AA37" i="701"/>
  <c r="Z37" i="701"/>
  <c r="Y37" i="701"/>
  <c r="X37" i="701"/>
  <c r="W37" i="701"/>
  <c r="V37" i="701"/>
  <c r="U37" i="701"/>
  <c r="T37" i="701"/>
  <c r="S37" i="701"/>
  <c r="AA36" i="701"/>
  <c r="Z36" i="701"/>
  <c r="Y36" i="701"/>
  <c r="X36" i="701"/>
  <c r="W36" i="701"/>
  <c r="V36" i="701"/>
  <c r="U36" i="701"/>
  <c r="T36" i="701"/>
  <c r="S36" i="701"/>
  <c r="AA35" i="701"/>
  <c r="Z35" i="701"/>
  <c r="Y35" i="701"/>
  <c r="X35" i="701"/>
  <c r="W35" i="701"/>
  <c r="V35" i="701"/>
  <c r="U35" i="701"/>
  <c r="T35" i="701"/>
  <c r="S35" i="701"/>
  <c r="AA34" i="701"/>
  <c r="Z34" i="701"/>
  <c r="Y34" i="701"/>
  <c r="X34" i="701"/>
  <c r="W34" i="701"/>
  <c r="V34" i="701"/>
  <c r="U34" i="701"/>
  <c r="T34" i="701"/>
  <c r="S34" i="701"/>
  <c r="AA33" i="701"/>
  <c r="Z33" i="701"/>
  <c r="Y33" i="701"/>
  <c r="X33" i="701"/>
  <c r="W33" i="701"/>
  <c r="V33" i="701"/>
  <c r="U33" i="701"/>
  <c r="T33" i="701"/>
  <c r="S33" i="701"/>
  <c r="AA32" i="701"/>
  <c r="Z32" i="701"/>
  <c r="Y32" i="701"/>
  <c r="X32" i="701"/>
  <c r="W32" i="701"/>
  <c r="V32" i="701"/>
  <c r="U32" i="701"/>
  <c r="T32" i="701"/>
  <c r="S32" i="701"/>
  <c r="AA31" i="701"/>
  <c r="Z31" i="701"/>
  <c r="Y31" i="701"/>
  <c r="X31" i="701"/>
  <c r="W31" i="701"/>
  <c r="V31" i="701"/>
  <c r="U31" i="701"/>
  <c r="T31" i="701"/>
  <c r="S31" i="701"/>
  <c r="AA30" i="701"/>
  <c r="Z30" i="701"/>
  <c r="Y30" i="701"/>
  <c r="X30" i="701"/>
  <c r="W30" i="701"/>
  <c r="V30" i="701"/>
  <c r="U30" i="701"/>
  <c r="T30" i="701"/>
  <c r="S30" i="701"/>
  <c r="AA29" i="701"/>
  <c r="Z29" i="701"/>
  <c r="Y29" i="701"/>
  <c r="X29" i="701"/>
  <c r="W29" i="701"/>
  <c r="V29" i="701"/>
  <c r="U29" i="701"/>
  <c r="T29" i="701"/>
  <c r="S29" i="701"/>
  <c r="AA28" i="701"/>
  <c r="Z28" i="701"/>
  <c r="Y28" i="701"/>
  <c r="X28" i="701"/>
  <c r="W28" i="701"/>
  <c r="V28" i="701"/>
  <c r="U28" i="701"/>
  <c r="T28" i="701"/>
  <c r="S28" i="701"/>
  <c r="AA27" i="701"/>
  <c r="Z27" i="701"/>
  <c r="Y27" i="701"/>
  <c r="X27" i="701"/>
  <c r="W27" i="701"/>
  <c r="V27" i="701"/>
  <c r="U27" i="701"/>
  <c r="T27" i="701"/>
  <c r="S27" i="701"/>
  <c r="AA26" i="701"/>
  <c r="Z26" i="701"/>
  <c r="Y26" i="701"/>
  <c r="X26" i="701"/>
  <c r="W26" i="701"/>
  <c r="V26" i="701"/>
  <c r="U26" i="701"/>
  <c r="T26" i="701"/>
  <c r="S26" i="701"/>
  <c r="AA25" i="701"/>
  <c r="Z25" i="701"/>
  <c r="Y25" i="701"/>
  <c r="X25" i="701"/>
  <c r="W25" i="701"/>
  <c r="V25" i="701"/>
  <c r="U25" i="701"/>
  <c r="T25" i="701"/>
  <c r="S25" i="701"/>
  <c r="AA24" i="701"/>
  <c r="Z24" i="701"/>
  <c r="Y24" i="701"/>
  <c r="X24" i="701"/>
  <c r="W24" i="701"/>
  <c r="V24" i="701"/>
  <c r="U24" i="701"/>
  <c r="T24" i="701"/>
  <c r="S24" i="701"/>
  <c r="AA23" i="701"/>
  <c r="Z23" i="701"/>
  <c r="Y23" i="701"/>
  <c r="X23" i="701"/>
  <c r="W23" i="701"/>
  <c r="V23" i="701"/>
  <c r="U23" i="701"/>
  <c r="T23" i="701"/>
  <c r="S23" i="701"/>
  <c r="AA22" i="701"/>
  <c r="Z22" i="701"/>
  <c r="Y22" i="701"/>
  <c r="X22" i="701"/>
  <c r="W22" i="701"/>
  <c r="V22" i="701"/>
  <c r="U22" i="701"/>
  <c r="T22" i="701"/>
  <c r="S22" i="701"/>
  <c r="AA21" i="701"/>
  <c r="Z21" i="701"/>
  <c r="Y21" i="701"/>
  <c r="X21" i="701"/>
  <c r="W21" i="701"/>
  <c r="V21" i="701"/>
  <c r="U21" i="701"/>
  <c r="T21" i="701"/>
  <c r="S21" i="701"/>
  <c r="AA20" i="701"/>
  <c r="Z20" i="701"/>
  <c r="Y20" i="701"/>
  <c r="X20" i="701"/>
  <c r="W20" i="701"/>
  <c r="V20" i="701"/>
  <c r="U20" i="701"/>
  <c r="T20" i="701"/>
  <c r="S20" i="701"/>
  <c r="AA19" i="701"/>
  <c r="Z19" i="701"/>
  <c r="Y19" i="701"/>
  <c r="X19" i="701"/>
  <c r="W19" i="701"/>
  <c r="V19" i="701"/>
  <c r="U19" i="701"/>
  <c r="T19" i="701"/>
  <c r="S19" i="701"/>
  <c r="AA18" i="701"/>
  <c r="Z18" i="701"/>
  <c r="Y18" i="701"/>
  <c r="X18" i="701"/>
  <c r="W18" i="701"/>
  <c r="V18" i="701"/>
  <c r="U18" i="701"/>
  <c r="T18" i="701"/>
  <c r="S18" i="701"/>
  <c r="AA17" i="701"/>
  <c r="Z17" i="701"/>
  <c r="Y17" i="701"/>
  <c r="X17" i="701"/>
  <c r="W17" i="701"/>
  <c r="V17" i="701"/>
  <c r="U17" i="701"/>
  <c r="T17" i="701"/>
  <c r="S17" i="701"/>
  <c r="AA16" i="701"/>
  <c r="Z16" i="701"/>
  <c r="Y16" i="701"/>
  <c r="X16" i="701"/>
  <c r="W16" i="701"/>
  <c r="V16" i="701"/>
  <c r="U16" i="701"/>
  <c r="T16" i="701"/>
  <c r="S16" i="701"/>
  <c r="AA15" i="701"/>
  <c r="Z15" i="701"/>
  <c r="Y15" i="701"/>
  <c r="X15" i="701"/>
  <c r="W15" i="701"/>
  <c r="V15" i="701"/>
  <c r="U15" i="701"/>
  <c r="T15" i="701"/>
  <c r="S15" i="701"/>
  <c r="AA14" i="701"/>
  <c r="Z14" i="701"/>
  <c r="Y14" i="701"/>
  <c r="X14" i="701"/>
  <c r="W14" i="701"/>
  <c r="V14" i="701"/>
  <c r="U14" i="701"/>
  <c r="T14" i="701"/>
  <c r="S14" i="701"/>
  <c r="AA13" i="701"/>
  <c r="Z13" i="701"/>
  <c r="Y13" i="701"/>
  <c r="X13" i="701"/>
  <c r="W13" i="701"/>
  <c r="V13" i="701"/>
  <c r="U13" i="701"/>
  <c r="T13" i="701"/>
  <c r="S13" i="701"/>
  <c r="AA12" i="701"/>
  <c r="Z12" i="701"/>
  <c r="Y12" i="701"/>
  <c r="X12" i="701"/>
  <c r="W12" i="701"/>
  <c r="V12" i="701"/>
  <c r="U12" i="701"/>
  <c r="T12" i="701"/>
  <c r="S12" i="701"/>
  <c r="AA11" i="701"/>
  <c r="Z11" i="701"/>
  <c r="Y11" i="701"/>
  <c r="X11" i="701"/>
  <c r="W11" i="701"/>
  <c r="V11" i="701"/>
  <c r="U11" i="701"/>
  <c r="T11" i="701"/>
  <c r="S11" i="701"/>
  <c r="AA10" i="701"/>
  <c r="Z10" i="701"/>
  <c r="Y10" i="701"/>
  <c r="X10" i="701"/>
  <c r="W10" i="701"/>
  <c r="V10" i="701"/>
  <c r="U10" i="701"/>
  <c r="T10" i="701"/>
  <c r="S10" i="701"/>
  <c r="L61" i="700"/>
  <c r="M52" i="700"/>
  <c r="L52" i="700"/>
  <c r="K52" i="700"/>
  <c r="G37" i="700"/>
  <c r="O40" i="700"/>
  <c r="O41" i="700"/>
  <c r="O42" i="700"/>
  <c r="O39" i="700"/>
  <c r="N40" i="700"/>
  <c r="N41" i="700"/>
  <c r="N42" i="700"/>
  <c r="N39" i="700"/>
  <c r="M40" i="700"/>
  <c r="M41" i="700"/>
  <c r="M42" i="700"/>
  <c r="M39" i="700"/>
  <c r="L40" i="700"/>
  <c r="L41" i="700"/>
  <c r="L42" i="700"/>
  <c r="L39" i="700"/>
  <c r="G40" i="700"/>
  <c r="G41" i="700"/>
  <c r="G42" i="700"/>
  <c r="G39" i="700"/>
  <c r="F40" i="700"/>
  <c r="F41" i="700"/>
  <c r="F42" i="700"/>
  <c r="F39" i="700"/>
  <c r="E40" i="700"/>
  <c r="E41" i="700"/>
  <c r="E42" i="700"/>
  <c r="E39" i="700"/>
  <c r="D40" i="700"/>
  <c r="D41" i="700"/>
  <c r="D42" i="700"/>
  <c r="D39" i="700"/>
  <c r="S39" i="700"/>
  <c r="T39" i="700"/>
  <c r="U39" i="700"/>
  <c r="V39" i="700"/>
  <c r="W39" i="700"/>
  <c r="X39" i="700"/>
  <c r="Y39" i="700"/>
  <c r="Z39" i="700"/>
  <c r="AA39" i="700"/>
  <c r="S40" i="700"/>
  <c r="T40" i="700"/>
  <c r="U40" i="700"/>
  <c r="V40" i="700"/>
  <c r="W40" i="700"/>
  <c r="X40" i="700"/>
  <c r="Y40" i="700"/>
  <c r="Z40" i="700"/>
  <c r="AA40" i="700"/>
  <c r="S41" i="700"/>
  <c r="T41" i="700"/>
  <c r="U41" i="700"/>
  <c r="V41" i="700"/>
  <c r="W41" i="700"/>
  <c r="X41" i="700"/>
  <c r="Y41" i="700"/>
  <c r="Z41" i="700"/>
  <c r="AA41" i="700"/>
  <c r="O35" i="700"/>
  <c r="O36" i="700"/>
  <c r="O37" i="700"/>
  <c r="O34" i="700"/>
  <c r="C35" i="700"/>
  <c r="D35" i="700"/>
  <c r="E35" i="700"/>
  <c r="F35" i="700"/>
  <c r="G35" i="700"/>
  <c r="L35" i="700"/>
  <c r="C36" i="700"/>
  <c r="D36" i="700"/>
  <c r="E36" i="700"/>
  <c r="F36" i="700"/>
  <c r="G36" i="700"/>
  <c r="L36" i="700"/>
  <c r="C37" i="700"/>
  <c r="D37" i="700"/>
  <c r="E37" i="700"/>
  <c r="F37" i="700"/>
  <c r="L37" i="700"/>
  <c r="N35" i="700"/>
  <c r="N37" i="700"/>
  <c r="M35" i="700"/>
  <c r="M36" i="700"/>
  <c r="M37" i="700"/>
  <c r="M34" i="700"/>
  <c r="L34" i="700"/>
  <c r="G34" i="700"/>
  <c r="F34" i="700"/>
  <c r="E34" i="700"/>
  <c r="D34" i="700"/>
  <c r="C34" i="700"/>
  <c r="F90" i="700"/>
  <c r="AY76" i="700"/>
  <c r="AX76" i="700"/>
  <c r="AW76" i="700"/>
  <c r="AV76" i="700"/>
  <c r="AU76" i="700"/>
  <c r="AT76" i="700"/>
  <c r="AS76" i="700"/>
  <c r="AR76" i="700"/>
  <c r="AQ76" i="700"/>
  <c r="AP76" i="700"/>
  <c r="AO76" i="700"/>
  <c r="AN76" i="700"/>
  <c r="AM76" i="700"/>
  <c r="AL76" i="700"/>
  <c r="AK76" i="700"/>
  <c r="AJ76" i="700"/>
  <c r="AI76" i="700"/>
  <c r="AH76" i="700"/>
  <c r="AG76" i="700"/>
  <c r="AF76" i="700"/>
  <c r="AE76" i="700"/>
  <c r="AD76" i="700"/>
  <c r="AC76" i="700"/>
  <c r="AB76" i="700"/>
  <c r="AA76" i="700"/>
  <c r="Z76" i="700"/>
  <c r="Y76" i="700"/>
  <c r="X76" i="700"/>
  <c r="W76" i="700"/>
  <c r="V76" i="700"/>
  <c r="U76" i="700"/>
  <c r="K70" i="700"/>
  <c r="D68" i="700"/>
  <c r="M53" i="700"/>
  <c r="L53" i="700"/>
  <c r="K53" i="700"/>
  <c r="M51" i="700"/>
  <c r="L51" i="700"/>
  <c r="K51" i="700"/>
  <c r="M49" i="700"/>
  <c r="L49" i="700"/>
  <c r="K49" i="700"/>
  <c r="M46" i="700"/>
  <c r="L46" i="700"/>
  <c r="K46" i="700"/>
  <c r="AA43" i="700"/>
  <c r="Z43" i="700"/>
  <c r="Y43" i="700"/>
  <c r="X43" i="700"/>
  <c r="W43" i="700"/>
  <c r="V43" i="700"/>
  <c r="U43" i="700"/>
  <c r="T43" i="700"/>
  <c r="S43" i="700"/>
  <c r="AA42" i="700"/>
  <c r="Z42" i="700"/>
  <c r="Y42" i="700"/>
  <c r="X42" i="700"/>
  <c r="W42" i="700"/>
  <c r="V42" i="700"/>
  <c r="U42" i="700"/>
  <c r="T42" i="700"/>
  <c r="S42" i="700"/>
  <c r="AA38" i="700"/>
  <c r="Z38" i="700"/>
  <c r="Y38" i="700"/>
  <c r="X38" i="700"/>
  <c r="W38" i="700"/>
  <c r="V38" i="700"/>
  <c r="U38" i="700"/>
  <c r="T38" i="700"/>
  <c r="S38" i="700"/>
  <c r="AA37" i="700"/>
  <c r="Z37" i="700"/>
  <c r="Y37" i="700"/>
  <c r="X37" i="700"/>
  <c r="W37" i="700"/>
  <c r="V37" i="700"/>
  <c r="U37" i="700"/>
  <c r="T37" i="700"/>
  <c r="S37" i="700"/>
  <c r="AA36" i="700"/>
  <c r="Z36" i="700"/>
  <c r="Y36" i="700"/>
  <c r="X36" i="700"/>
  <c r="W36" i="700"/>
  <c r="V36" i="700"/>
  <c r="U36" i="700"/>
  <c r="T36" i="700"/>
  <c r="S36" i="700"/>
  <c r="AA35" i="700"/>
  <c r="Z35" i="700"/>
  <c r="Y35" i="700"/>
  <c r="X35" i="700"/>
  <c r="W35" i="700"/>
  <c r="V35" i="700"/>
  <c r="U35" i="700"/>
  <c r="T35" i="700"/>
  <c r="S35" i="700"/>
  <c r="AA34" i="700"/>
  <c r="Z34" i="700"/>
  <c r="Y34" i="700"/>
  <c r="X34" i="700"/>
  <c r="W34" i="700"/>
  <c r="V34" i="700"/>
  <c r="U34" i="700"/>
  <c r="T34" i="700"/>
  <c r="S34" i="700"/>
  <c r="N34" i="700"/>
  <c r="AA33" i="700"/>
  <c r="Z33" i="700"/>
  <c r="Y33" i="700"/>
  <c r="X33" i="700"/>
  <c r="W33" i="700"/>
  <c r="V33" i="700"/>
  <c r="U33" i="700"/>
  <c r="T33" i="700"/>
  <c r="S33" i="700"/>
  <c r="AA32" i="700"/>
  <c r="Z32" i="700"/>
  <c r="Y32" i="700"/>
  <c r="X32" i="700"/>
  <c r="W32" i="700"/>
  <c r="V32" i="700"/>
  <c r="U32" i="700"/>
  <c r="T32" i="700"/>
  <c r="S32" i="700"/>
  <c r="AA31" i="700"/>
  <c r="Z31" i="700"/>
  <c r="Y31" i="700"/>
  <c r="X31" i="700"/>
  <c r="W31" i="700"/>
  <c r="V31" i="700"/>
  <c r="U31" i="700"/>
  <c r="T31" i="700"/>
  <c r="S31" i="700"/>
  <c r="AA30" i="700"/>
  <c r="Z30" i="700"/>
  <c r="Y30" i="700"/>
  <c r="X30" i="700"/>
  <c r="W30" i="700"/>
  <c r="V30" i="700"/>
  <c r="U30" i="700"/>
  <c r="T30" i="700"/>
  <c r="S30" i="700"/>
  <c r="AA29" i="700"/>
  <c r="Z29" i="700"/>
  <c r="Y29" i="700"/>
  <c r="X29" i="700"/>
  <c r="W29" i="700"/>
  <c r="V29" i="700"/>
  <c r="U29" i="700"/>
  <c r="T29" i="700"/>
  <c r="S29" i="700"/>
  <c r="AA28" i="700"/>
  <c r="Z28" i="700"/>
  <c r="Y28" i="700"/>
  <c r="X28" i="700"/>
  <c r="W28" i="700"/>
  <c r="V28" i="700"/>
  <c r="U28" i="700"/>
  <c r="T28" i="700"/>
  <c r="S28" i="700"/>
  <c r="AA27" i="700"/>
  <c r="Z27" i="700"/>
  <c r="Y27" i="700"/>
  <c r="X27" i="700"/>
  <c r="W27" i="700"/>
  <c r="V27" i="700"/>
  <c r="U27" i="700"/>
  <c r="T27" i="700"/>
  <c r="S27" i="700"/>
  <c r="AA26" i="700"/>
  <c r="Z26" i="700"/>
  <c r="Y26" i="700"/>
  <c r="X26" i="700"/>
  <c r="W26" i="700"/>
  <c r="V26" i="700"/>
  <c r="U26" i="700"/>
  <c r="T26" i="700"/>
  <c r="S26" i="700"/>
  <c r="AA25" i="700"/>
  <c r="Z25" i="700"/>
  <c r="Y25" i="700"/>
  <c r="X25" i="700"/>
  <c r="W25" i="700"/>
  <c r="V25" i="700"/>
  <c r="U25" i="700"/>
  <c r="T25" i="700"/>
  <c r="S25" i="700"/>
  <c r="AA24" i="700"/>
  <c r="Z24" i="700"/>
  <c r="Y24" i="700"/>
  <c r="X24" i="700"/>
  <c r="W24" i="700"/>
  <c r="V24" i="700"/>
  <c r="U24" i="700"/>
  <c r="T24" i="700"/>
  <c r="S24" i="700"/>
  <c r="AA23" i="700"/>
  <c r="Z23" i="700"/>
  <c r="Y23" i="700"/>
  <c r="X23" i="700"/>
  <c r="W23" i="700"/>
  <c r="V23" i="700"/>
  <c r="U23" i="700"/>
  <c r="T23" i="700"/>
  <c r="S23" i="700"/>
  <c r="AA22" i="700"/>
  <c r="Z22" i="700"/>
  <c r="Y22" i="700"/>
  <c r="X22" i="700"/>
  <c r="W22" i="700"/>
  <c r="V22" i="700"/>
  <c r="U22" i="700"/>
  <c r="T22" i="700"/>
  <c r="S22" i="700"/>
  <c r="AA21" i="700"/>
  <c r="Z21" i="700"/>
  <c r="Y21" i="700"/>
  <c r="X21" i="700"/>
  <c r="W21" i="700"/>
  <c r="V21" i="700"/>
  <c r="U21" i="700"/>
  <c r="T21" i="700"/>
  <c r="S21" i="700"/>
  <c r="AA20" i="700"/>
  <c r="Z20" i="700"/>
  <c r="Y20" i="700"/>
  <c r="X20" i="700"/>
  <c r="W20" i="700"/>
  <c r="V20" i="700"/>
  <c r="U20" i="700"/>
  <c r="T20" i="700"/>
  <c r="S20" i="700"/>
  <c r="AA19" i="700"/>
  <c r="Z19" i="700"/>
  <c r="Y19" i="700"/>
  <c r="X19" i="700"/>
  <c r="W19" i="700"/>
  <c r="V19" i="700"/>
  <c r="U19" i="700"/>
  <c r="T19" i="700"/>
  <c r="S19" i="700"/>
  <c r="AA18" i="700"/>
  <c r="Z18" i="700"/>
  <c r="Y18" i="700"/>
  <c r="X18" i="700"/>
  <c r="W18" i="700"/>
  <c r="V18" i="700"/>
  <c r="U18" i="700"/>
  <c r="T18" i="700"/>
  <c r="S18" i="700"/>
  <c r="AA17" i="700"/>
  <c r="Z17" i="700"/>
  <c r="Y17" i="700"/>
  <c r="X17" i="700"/>
  <c r="W17" i="700"/>
  <c r="V17" i="700"/>
  <c r="U17" i="700"/>
  <c r="T17" i="700"/>
  <c r="S17" i="700"/>
  <c r="AA16" i="700"/>
  <c r="Z16" i="700"/>
  <c r="Y16" i="700"/>
  <c r="X16" i="700"/>
  <c r="W16" i="700"/>
  <c r="V16" i="700"/>
  <c r="U16" i="700"/>
  <c r="T16" i="700"/>
  <c r="S16" i="700"/>
  <c r="AA15" i="700"/>
  <c r="Z15" i="700"/>
  <c r="Y15" i="700"/>
  <c r="X15" i="700"/>
  <c r="W15" i="700"/>
  <c r="V15" i="700"/>
  <c r="U15" i="700"/>
  <c r="T15" i="700"/>
  <c r="S15" i="700"/>
  <c r="AA14" i="700"/>
  <c r="Z14" i="700"/>
  <c r="Y14" i="700"/>
  <c r="X14" i="700"/>
  <c r="W14" i="700"/>
  <c r="V14" i="700"/>
  <c r="U14" i="700"/>
  <c r="T14" i="700"/>
  <c r="S14" i="700"/>
  <c r="AA13" i="700"/>
  <c r="Z13" i="700"/>
  <c r="Y13" i="700"/>
  <c r="X13" i="700"/>
  <c r="W13" i="700"/>
  <c r="V13" i="700"/>
  <c r="U13" i="700"/>
  <c r="T13" i="700"/>
  <c r="S13" i="700"/>
  <c r="AA12" i="700"/>
  <c r="Z12" i="700"/>
  <c r="Y12" i="700"/>
  <c r="X12" i="700"/>
  <c r="W12" i="700"/>
  <c r="V12" i="700"/>
  <c r="U12" i="700"/>
  <c r="T12" i="700"/>
  <c r="S12" i="700"/>
  <c r="AA11" i="700"/>
  <c r="Z11" i="700"/>
  <c r="Y11" i="700"/>
  <c r="X11" i="700"/>
  <c r="W11" i="700"/>
  <c r="V11" i="700"/>
  <c r="U11" i="700"/>
  <c r="T11" i="700"/>
  <c r="S11" i="700"/>
  <c r="AA10" i="700"/>
  <c r="Z10" i="700"/>
  <c r="Y10" i="700"/>
  <c r="X10" i="700"/>
  <c r="W10" i="700"/>
  <c r="V10" i="700"/>
  <c r="U10" i="700"/>
  <c r="T10" i="700"/>
  <c r="S10" i="700"/>
  <c r="K49" i="699"/>
  <c r="I26" i="699"/>
  <c r="I27" i="699"/>
  <c r="I28" i="699"/>
  <c r="I29" i="699"/>
  <c r="H67" i="699"/>
  <c r="I67" i="699"/>
  <c r="B43" i="699"/>
  <c r="M43" i="699"/>
  <c r="L43" i="699"/>
  <c r="K43" i="699"/>
  <c r="M32" i="699"/>
  <c r="M33" i="699"/>
  <c r="M34" i="699"/>
  <c r="M31" i="699"/>
  <c r="M61" i="700" l="1"/>
  <c r="J62" i="702"/>
  <c r="J55" i="701"/>
  <c r="J46" i="702"/>
  <c r="J45" i="702"/>
  <c r="J44" i="701"/>
  <c r="J42" i="701"/>
  <c r="J40" i="700"/>
  <c r="I44" i="702"/>
  <c r="K63" i="702"/>
  <c r="K72" i="702" s="1"/>
  <c r="J42" i="702"/>
  <c r="K47" i="700"/>
  <c r="K56" i="700" s="1"/>
  <c r="J43" i="701"/>
  <c r="J39" i="700"/>
  <c r="I43" i="702"/>
  <c r="J42" i="700"/>
  <c r="I40" i="700"/>
  <c r="I42" i="700"/>
  <c r="I45" i="702"/>
  <c r="I46" i="702"/>
  <c r="J45" i="701"/>
  <c r="J41" i="700"/>
  <c r="J43" i="702"/>
  <c r="I43" i="701"/>
  <c r="M77" i="702"/>
  <c r="M70" i="701"/>
  <c r="K65" i="701"/>
  <c r="O32" i="699"/>
  <c r="O33" i="699"/>
  <c r="O34" i="699"/>
  <c r="N32" i="699"/>
  <c r="N34" i="699"/>
  <c r="C34" i="699"/>
  <c r="C32" i="699"/>
  <c r="C33" i="699"/>
  <c r="D32" i="699"/>
  <c r="D33" i="699"/>
  <c r="D34" i="699"/>
  <c r="E32" i="699"/>
  <c r="E33" i="699"/>
  <c r="E34" i="699"/>
  <c r="F32" i="699"/>
  <c r="F33" i="699"/>
  <c r="F34" i="699"/>
  <c r="G32" i="699"/>
  <c r="G33" i="699"/>
  <c r="G34" i="699"/>
  <c r="L32" i="699"/>
  <c r="L33" i="699"/>
  <c r="L34" i="699"/>
  <c r="O31" i="699"/>
  <c r="N31" i="699"/>
  <c r="L31" i="699"/>
  <c r="G31" i="699"/>
  <c r="F31" i="699"/>
  <c r="E31" i="699"/>
  <c r="D31" i="699"/>
  <c r="C31" i="699"/>
  <c r="I44" i="701" l="1"/>
  <c r="I41" i="700"/>
  <c r="I42" i="701"/>
  <c r="I39" i="700"/>
  <c r="M44" i="698"/>
  <c r="I42" i="702"/>
  <c r="J63" i="702" s="1"/>
  <c r="J43" i="699"/>
  <c r="O27" i="699"/>
  <c r="O28" i="699"/>
  <c r="O29" i="699"/>
  <c r="O26" i="699"/>
  <c r="N27" i="699"/>
  <c r="N28" i="699"/>
  <c r="N29" i="699"/>
  <c r="N26" i="699"/>
  <c r="M27" i="699"/>
  <c r="M28" i="699"/>
  <c r="M29" i="699"/>
  <c r="M26" i="699"/>
  <c r="L27" i="699"/>
  <c r="L28" i="699"/>
  <c r="L29" i="699"/>
  <c r="L26" i="699"/>
  <c r="K27" i="699"/>
  <c r="K28" i="699"/>
  <c r="K29" i="699"/>
  <c r="K26" i="699"/>
  <c r="J27" i="699"/>
  <c r="J28" i="699"/>
  <c r="J29" i="699"/>
  <c r="J26" i="699"/>
  <c r="G27" i="699"/>
  <c r="G28" i="699"/>
  <c r="G29" i="699"/>
  <c r="G26" i="699"/>
  <c r="F27" i="699"/>
  <c r="F28" i="699"/>
  <c r="F29" i="699"/>
  <c r="F26" i="699"/>
  <c r="E27" i="699"/>
  <c r="E28" i="699"/>
  <c r="E29" i="699"/>
  <c r="E26" i="699"/>
  <c r="D27" i="699"/>
  <c r="D28" i="699"/>
  <c r="D29" i="699"/>
  <c r="D26" i="699"/>
  <c r="C27" i="699"/>
  <c r="C28" i="699"/>
  <c r="C29" i="699"/>
  <c r="C26" i="699"/>
  <c r="F87" i="699"/>
  <c r="AY73" i="699"/>
  <c r="AX73" i="699"/>
  <c r="AW73" i="699"/>
  <c r="AV73" i="699"/>
  <c r="AU73" i="699"/>
  <c r="AT73" i="699"/>
  <c r="AS73" i="699"/>
  <c r="AR73" i="699"/>
  <c r="AQ73" i="699"/>
  <c r="AP73" i="699"/>
  <c r="AO73" i="699"/>
  <c r="AN73" i="699"/>
  <c r="AM73" i="699"/>
  <c r="AL73" i="699"/>
  <c r="AK73" i="699"/>
  <c r="AJ73" i="699"/>
  <c r="AI73" i="699"/>
  <c r="AH73" i="699"/>
  <c r="AG73" i="699"/>
  <c r="AF73" i="699"/>
  <c r="AE73" i="699"/>
  <c r="AD73" i="699"/>
  <c r="AC73" i="699"/>
  <c r="AB73" i="699"/>
  <c r="AA73" i="699"/>
  <c r="Z73" i="699"/>
  <c r="Y73" i="699"/>
  <c r="X73" i="699"/>
  <c r="W73" i="699"/>
  <c r="V73" i="699"/>
  <c r="U73" i="699"/>
  <c r="L72" i="699"/>
  <c r="C83" i="699" s="1"/>
  <c r="K67" i="699"/>
  <c r="L58" i="699" s="1"/>
  <c r="M58" i="699" s="1"/>
  <c r="D65" i="699"/>
  <c r="M50" i="699"/>
  <c r="L50" i="699"/>
  <c r="K50" i="699"/>
  <c r="M48" i="699"/>
  <c r="L48" i="699"/>
  <c r="K48" i="699"/>
  <c r="M46" i="699"/>
  <c r="L46" i="699"/>
  <c r="K46" i="699"/>
  <c r="K44" i="699"/>
  <c r="AA40" i="699"/>
  <c r="Z40" i="699"/>
  <c r="Y40" i="699"/>
  <c r="X40" i="699"/>
  <c r="W40" i="699"/>
  <c r="V40" i="699"/>
  <c r="U40" i="699"/>
  <c r="T40" i="699"/>
  <c r="S40" i="699"/>
  <c r="AA39" i="699"/>
  <c r="Z39" i="699"/>
  <c r="Y39" i="699"/>
  <c r="X39" i="699"/>
  <c r="W39" i="699"/>
  <c r="V39" i="699"/>
  <c r="U39" i="699"/>
  <c r="T39" i="699"/>
  <c r="S39" i="699"/>
  <c r="AA38" i="699"/>
  <c r="Z38" i="699"/>
  <c r="Y38" i="699"/>
  <c r="X38" i="699"/>
  <c r="W38" i="699"/>
  <c r="V38" i="699"/>
  <c r="U38" i="699"/>
  <c r="T38" i="699"/>
  <c r="S38" i="699"/>
  <c r="AA37" i="699"/>
  <c r="Z37" i="699"/>
  <c r="Y37" i="699"/>
  <c r="X37" i="699"/>
  <c r="W37" i="699"/>
  <c r="V37" i="699"/>
  <c r="U37" i="699"/>
  <c r="T37" i="699"/>
  <c r="S37" i="699"/>
  <c r="AA36" i="699"/>
  <c r="Z36" i="699"/>
  <c r="Y36" i="699"/>
  <c r="X36" i="699"/>
  <c r="W36" i="699"/>
  <c r="V36" i="699"/>
  <c r="U36" i="699"/>
  <c r="T36" i="699"/>
  <c r="S36" i="699"/>
  <c r="AA35" i="699"/>
  <c r="Z35" i="699"/>
  <c r="Y35" i="699"/>
  <c r="X35" i="699"/>
  <c r="W35" i="699"/>
  <c r="V35" i="699"/>
  <c r="U35" i="699"/>
  <c r="T35" i="699"/>
  <c r="S35" i="699"/>
  <c r="AA34" i="699"/>
  <c r="Z34" i="699"/>
  <c r="Y34" i="699"/>
  <c r="X34" i="699"/>
  <c r="W34" i="699"/>
  <c r="V34" i="699"/>
  <c r="U34" i="699"/>
  <c r="T34" i="699"/>
  <c r="S34" i="699"/>
  <c r="AA33" i="699"/>
  <c r="Z33" i="699"/>
  <c r="Y33" i="699"/>
  <c r="X33" i="699"/>
  <c r="W33" i="699"/>
  <c r="V33" i="699"/>
  <c r="U33" i="699"/>
  <c r="T33" i="699"/>
  <c r="S33" i="699"/>
  <c r="AA32" i="699"/>
  <c r="Z32" i="699"/>
  <c r="Y32" i="699"/>
  <c r="X32" i="699"/>
  <c r="W32" i="699"/>
  <c r="V32" i="699"/>
  <c r="U32" i="699"/>
  <c r="T32" i="699"/>
  <c r="S32" i="699"/>
  <c r="AA31" i="699"/>
  <c r="Z31" i="699"/>
  <c r="Y31" i="699"/>
  <c r="X31" i="699"/>
  <c r="W31" i="699"/>
  <c r="V31" i="699"/>
  <c r="U31" i="699"/>
  <c r="T31" i="699"/>
  <c r="S31" i="699"/>
  <c r="AA30" i="699"/>
  <c r="Z30" i="699"/>
  <c r="Y30" i="699"/>
  <c r="X30" i="699"/>
  <c r="W30" i="699"/>
  <c r="V30" i="699"/>
  <c r="U30" i="699"/>
  <c r="T30" i="699"/>
  <c r="S30" i="699"/>
  <c r="AA29" i="699"/>
  <c r="Z29" i="699"/>
  <c r="Y29" i="699"/>
  <c r="X29" i="699"/>
  <c r="W29" i="699"/>
  <c r="V29" i="699"/>
  <c r="U29" i="699"/>
  <c r="T29" i="699"/>
  <c r="S29" i="699"/>
  <c r="AA28" i="699"/>
  <c r="Z28" i="699"/>
  <c r="Y28" i="699"/>
  <c r="X28" i="699"/>
  <c r="W28" i="699"/>
  <c r="V28" i="699"/>
  <c r="U28" i="699"/>
  <c r="T28" i="699"/>
  <c r="S28" i="699"/>
  <c r="AA27" i="699"/>
  <c r="Z27" i="699"/>
  <c r="Y27" i="699"/>
  <c r="X27" i="699"/>
  <c r="W27" i="699"/>
  <c r="V27" i="699"/>
  <c r="U27" i="699"/>
  <c r="T27" i="699"/>
  <c r="S27" i="699"/>
  <c r="AA26" i="699"/>
  <c r="Z26" i="699"/>
  <c r="Y26" i="699"/>
  <c r="X26" i="699"/>
  <c r="W26" i="699"/>
  <c r="V26" i="699"/>
  <c r="U26" i="699"/>
  <c r="T26" i="699"/>
  <c r="S26" i="699"/>
  <c r="AA25" i="699"/>
  <c r="Z25" i="699"/>
  <c r="Y25" i="699"/>
  <c r="X25" i="699"/>
  <c r="W25" i="699"/>
  <c r="V25" i="699"/>
  <c r="U25" i="699"/>
  <c r="T25" i="699"/>
  <c r="S25" i="699"/>
  <c r="AA24" i="699"/>
  <c r="Z24" i="699"/>
  <c r="Y24" i="699"/>
  <c r="X24" i="699"/>
  <c r="W24" i="699"/>
  <c r="V24" i="699"/>
  <c r="U24" i="699"/>
  <c r="T24" i="699"/>
  <c r="S24" i="699"/>
  <c r="AA23" i="699"/>
  <c r="Z23" i="699"/>
  <c r="Y23" i="699"/>
  <c r="X23" i="699"/>
  <c r="W23" i="699"/>
  <c r="V23" i="699"/>
  <c r="U23" i="699"/>
  <c r="T23" i="699"/>
  <c r="S23" i="699"/>
  <c r="AA22" i="699"/>
  <c r="Z22" i="699"/>
  <c r="Y22" i="699"/>
  <c r="X22" i="699"/>
  <c r="W22" i="699"/>
  <c r="V22" i="699"/>
  <c r="U22" i="699"/>
  <c r="T22" i="699"/>
  <c r="S22" i="699"/>
  <c r="AA21" i="699"/>
  <c r="Z21" i="699"/>
  <c r="Y21" i="699"/>
  <c r="X21" i="699"/>
  <c r="W21" i="699"/>
  <c r="V21" i="699"/>
  <c r="U21" i="699"/>
  <c r="T21" i="699"/>
  <c r="S21" i="699"/>
  <c r="AA20" i="699"/>
  <c r="Z20" i="699"/>
  <c r="Y20" i="699"/>
  <c r="X20" i="699"/>
  <c r="W20" i="699"/>
  <c r="V20" i="699"/>
  <c r="U20" i="699"/>
  <c r="T20" i="699"/>
  <c r="S20" i="699"/>
  <c r="AA19" i="699"/>
  <c r="Z19" i="699"/>
  <c r="Y19" i="699"/>
  <c r="X19" i="699"/>
  <c r="W19" i="699"/>
  <c r="V19" i="699"/>
  <c r="U19" i="699"/>
  <c r="T19" i="699"/>
  <c r="S19" i="699"/>
  <c r="AA18" i="699"/>
  <c r="Z18" i="699"/>
  <c r="Y18" i="699"/>
  <c r="X18" i="699"/>
  <c r="W18" i="699"/>
  <c r="V18" i="699"/>
  <c r="U18" i="699"/>
  <c r="T18" i="699"/>
  <c r="S18" i="699"/>
  <c r="AA17" i="699"/>
  <c r="Z17" i="699"/>
  <c r="Y17" i="699"/>
  <c r="X17" i="699"/>
  <c r="W17" i="699"/>
  <c r="V17" i="699"/>
  <c r="U17" i="699"/>
  <c r="T17" i="699"/>
  <c r="S17" i="699"/>
  <c r="AA16" i="699"/>
  <c r="Z16" i="699"/>
  <c r="Y16" i="699"/>
  <c r="X16" i="699"/>
  <c r="W16" i="699"/>
  <c r="V16" i="699"/>
  <c r="U16" i="699"/>
  <c r="T16" i="699"/>
  <c r="S16" i="699"/>
  <c r="AA15" i="699"/>
  <c r="Z15" i="699"/>
  <c r="Y15" i="699"/>
  <c r="X15" i="699"/>
  <c r="W15" i="699"/>
  <c r="V15" i="699"/>
  <c r="U15" i="699"/>
  <c r="T15" i="699"/>
  <c r="S15" i="699"/>
  <c r="AA14" i="699"/>
  <c r="Z14" i="699"/>
  <c r="Y14" i="699"/>
  <c r="X14" i="699"/>
  <c r="W14" i="699"/>
  <c r="V14" i="699"/>
  <c r="U14" i="699"/>
  <c r="T14" i="699"/>
  <c r="S14" i="699"/>
  <c r="AA13" i="699"/>
  <c r="Z13" i="699"/>
  <c r="Y13" i="699"/>
  <c r="X13" i="699"/>
  <c r="W13" i="699"/>
  <c r="V13" i="699"/>
  <c r="U13" i="699"/>
  <c r="T13" i="699"/>
  <c r="S13" i="699"/>
  <c r="AA12" i="699"/>
  <c r="Z12" i="699"/>
  <c r="Y12" i="699"/>
  <c r="X12" i="699"/>
  <c r="W12" i="699"/>
  <c r="V12" i="699"/>
  <c r="U12" i="699"/>
  <c r="T12" i="699"/>
  <c r="S12" i="699"/>
  <c r="AA11" i="699"/>
  <c r="Z11" i="699"/>
  <c r="Y11" i="699"/>
  <c r="X11" i="699"/>
  <c r="W11" i="699"/>
  <c r="V11" i="699"/>
  <c r="U11" i="699"/>
  <c r="T11" i="699"/>
  <c r="S11" i="699"/>
  <c r="AA10" i="699"/>
  <c r="Z10" i="699"/>
  <c r="Y10" i="699"/>
  <c r="X10" i="699"/>
  <c r="W10" i="699"/>
  <c r="V10" i="699"/>
  <c r="U10" i="699"/>
  <c r="T10" i="699"/>
  <c r="S10" i="699"/>
  <c r="B43" i="698"/>
  <c r="B72" i="698"/>
  <c r="I67" i="698"/>
  <c r="H67" i="698"/>
  <c r="M43" i="698"/>
  <c r="L43" i="698"/>
  <c r="K43" i="698"/>
  <c r="J47" i="700" l="1"/>
  <c r="L44" i="699"/>
  <c r="M44" i="699"/>
  <c r="L47" i="700"/>
  <c r="L56" i="700" s="1"/>
  <c r="M56" i="700" s="1"/>
  <c r="M47" i="700"/>
  <c r="L72" i="702"/>
  <c r="M72" i="702" s="1"/>
  <c r="L44" i="698"/>
  <c r="K53" i="699"/>
  <c r="L53" i="699" s="1"/>
  <c r="M53" i="699" s="1"/>
  <c r="S10" i="698"/>
  <c r="T10" i="698"/>
  <c r="U10" i="698"/>
  <c r="V10" i="698"/>
  <c r="W10" i="698"/>
  <c r="X10" i="698"/>
  <c r="Y10" i="698"/>
  <c r="Z10" i="698"/>
  <c r="AA10" i="698"/>
  <c r="S11" i="698"/>
  <c r="T11" i="698"/>
  <c r="U11" i="698"/>
  <c r="V11" i="698"/>
  <c r="W11" i="698"/>
  <c r="X11" i="698"/>
  <c r="Y11" i="698"/>
  <c r="Z11" i="698"/>
  <c r="AA11" i="698"/>
  <c r="S12" i="698"/>
  <c r="T12" i="698"/>
  <c r="U12" i="698"/>
  <c r="V12" i="698"/>
  <c r="W12" i="698"/>
  <c r="X12" i="698"/>
  <c r="Y12" i="698"/>
  <c r="Z12" i="698"/>
  <c r="AA12" i="698"/>
  <c r="S13" i="698"/>
  <c r="T13" i="698"/>
  <c r="U13" i="698"/>
  <c r="V13" i="698"/>
  <c r="W13" i="698"/>
  <c r="X13" i="698"/>
  <c r="Y13" i="698"/>
  <c r="Z13" i="698"/>
  <c r="AA13" i="698"/>
  <c r="S14" i="698"/>
  <c r="T14" i="698"/>
  <c r="U14" i="698"/>
  <c r="V14" i="698"/>
  <c r="W14" i="698"/>
  <c r="X14" i="698"/>
  <c r="Y14" i="698"/>
  <c r="Z14" i="698"/>
  <c r="AA14" i="698"/>
  <c r="S15" i="698"/>
  <c r="T15" i="698"/>
  <c r="U15" i="698"/>
  <c r="V15" i="698"/>
  <c r="W15" i="698"/>
  <c r="X15" i="698"/>
  <c r="Y15" i="698"/>
  <c r="Z15" i="698"/>
  <c r="AA15" i="698"/>
  <c r="S16" i="698"/>
  <c r="T16" i="698"/>
  <c r="U16" i="698"/>
  <c r="V16" i="698"/>
  <c r="W16" i="698"/>
  <c r="X16" i="698"/>
  <c r="Y16" i="698"/>
  <c r="Z16" i="698"/>
  <c r="AA16" i="698"/>
  <c r="S17" i="698"/>
  <c r="T17" i="698"/>
  <c r="U17" i="698"/>
  <c r="V17" i="698"/>
  <c r="W17" i="698"/>
  <c r="X17" i="698"/>
  <c r="Y17" i="698"/>
  <c r="Z17" i="698"/>
  <c r="AA17" i="698"/>
  <c r="S18" i="698"/>
  <c r="T18" i="698"/>
  <c r="U18" i="698"/>
  <c r="V18" i="698"/>
  <c r="W18" i="698"/>
  <c r="X18" i="698"/>
  <c r="Y18" i="698"/>
  <c r="Z18" i="698"/>
  <c r="AA18" i="698"/>
  <c r="S19" i="698"/>
  <c r="T19" i="698"/>
  <c r="U19" i="698"/>
  <c r="V19" i="698"/>
  <c r="W19" i="698"/>
  <c r="X19" i="698"/>
  <c r="Y19" i="698"/>
  <c r="Z19" i="698"/>
  <c r="AA19" i="698"/>
  <c r="S20" i="698"/>
  <c r="T20" i="698"/>
  <c r="U20" i="698"/>
  <c r="V20" i="698"/>
  <c r="W20" i="698"/>
  <c r="X20" i="698"/>
  <c r="Y20" i="698"/>
  <c r="Z20" i="698"/>
  <c r="AA20" i="698"/>
  <c r="S21" i="698"/>
  <c r="T21" i="698"/>
  <c r="U21" i="698"/>
  <c r="V21" i="698"/>
  <c r="W21" i="698"/>
  <c r="X21" i="698"/>
  <c r="Y21" i="698"/>
  <c r="Z21" i="698"/>
  <c r="AA21" i="698"/>
  <c r="S22" i="698"/>
  <c r="T22" i="698"/>
  <c r="U22" i="698"/>
  <c r="V22" i="698"/>
  <c r="W22" i="698"/>
  <c r="X22" i="698"/>
  <c r="Y22" i="698"/>
  <c r="Z22" i="698"/>
  <c r="AA22" i="698"/>
  <c r="S23" i="698"/>
  <c r="T23" i="698"/>
  <c r="U23" i="698"/>
  <c r="V23" i="698"/>
  <c r="W23" i="698"/>
  <c r="X23" i="698"/>
  <c r="Y23" i="698"/>
  <c r="Z23" i="698"/>
  <c r="AA23" i="698"/>
  <c r="S24" i="698"/>
  <c r="T24" i="698"/>
  <c r="U24" i="698"/>
  <c r="V24" i="698"/>
  <c r="W24" i="698"/>
  <c r="X24" i="698"/>
  <c r="Y24" i="698"/>
  <c r="Z24" i="698"/>
  <c r="AA24" i="698"/>
  <c r="S25" i="698"/>
  <c r="T25" i="698"/>
  <c r="U25" i="698"/>
  <c r="V25" i="698"/>
  <c r="W25" i="698"/>
  <c r="X25" i="698"/>
  <c r="Y25" i="698"/>
  <c r="Z25" i="698"/>
  <c r="AA25" i="698"/>
  <c r="S26" i="698"/>
  <c r="T26" i="698"/>
  <c r="U26" i="698"/>
  <c r="V26" i="698"/>
  <c r="W26" i="698"/>
  <c r="X26" i="698"/>
  <c r="Y26" i="698"/>
  <c r="Z26" i="698"/>
  <c r="AA26" i="698"/>
  <c r="S27" i="698"/>
  <c r="T27" i="698"/>
  <c r="U27" i="698"/>
  <c r="V27" i="698"/>
  <c r="W27" i="698"/>
  <c r="X27" i="698"/>
  <c r="Y27" i="698"/>
  <c r="Z27" i="698"/>
  <c r="AA27" i="698"/>
  <c r="S28" i="698"/>
  <c r="T28" i="698"/>
  <c r="U28" i="698"/>
  <c r="V28" i="698"/>
  <c r="W28" i="698"/>
  <c r="X28" i="698"/>
  <c r="Y28" i="698"/>
  <c r="Z28" i="698"/>
  <c r="AA28" i="698"/>
  <c r="S29" i="698"/>
  <c r="T29" i="698"/>
  <c r="U29" i="698"/>
  <c r="V29" i="698"/>
  <c r="W29" i="698"/>
  <c r="X29" i="698"/>
  <c r="Y29" i="698"/>
  <c r="Z29" i="698"/>
  <c r="AA29" i="698"/>
  <c r="S30" i="698"/>
  <c r="T30" i="698"/>
  <c r="U30" i="698"/>
  <c r="V30" i="698"/>
  <c r="W30" i="698"/>
  <c r="X30" i="698"/>
  <c r="Y30" i="698"/>
  <c r="Z30" i="698"/>
  <c r="AA30" i="698"/>
  <c r="S31" i="698"/>
  <c r="T31" i="698"/>
  <c r="U31" i="698"/>
  <c r="V31" i="698"/>
  <c r="W31" i="698"/>
  <c r="X31" i="698"/>
  <c r="Y31" i="698"/>
  <c r="Z31" i="698"/>
  <c r="AA31" i="698"/>
  <c r="S32" i="698"/>
  <c r="T32" i="698"/>
  <c r="U32" i="698"/>
  <c r="V32" i="698"/>
  <c r="W32" i="698"/>
  <c r="X32" i="698"/>
  <c r="Y32" i="698"/>
  <c r="Z32" i="698"/>
  <c r="AA32" i="698"/>
  <c r="S33" i="698"/>
  <c r="T33" i="698"/>
  <c r="U33" i="698"/>
  <c r="V33" i="698"/>
  <c r="W33" i="698"/>
  <c r="X33" i="698"/>
  <c r="Y33" i="698"/>
  <c r="Z33" i="698"/>
  <c r="AA33" i="698"/>
  <c r="S34" i="698"/>
  <c r="T34" i="698"/>
  <c r="U34" i="698"/>
  <c r="V34" i="698"/>
  <c r="W34" i="698"/>
  <c r="X34" i="698"/>
  <c r="Y34" i="698"/>
  <c r="Z34" i="698"/>
  <c r="AA34" i="698"/>
  <c r="S35" i="698"/>
  <c r="T35" i="698"/>
  <c r="U35" i="698"/>
  <c r="V35" i="698"/>
  <c r="W35" i="698"/>
  <c r="X35" i="698"/>
  <c r="Y35" i="698"/>
  <c r="Z35" i="698"/>
  <c r="AA35" i="698"/>
  <c r="S36" i="698"/>
  <c r="T36" i="698"/>
  <c r="U36" i="698"/>
  <c r="V36" i="698"/>
  <c r="W36" i="698"/>
  <c r="X36" i="698"/>
  <c r="Y36" i="698"/>
  <c r="Z36" i="698"/>
  <c r="AA36" i="698"/>
  <c r="S37" i="698"/>
  <c r="T37" i="698"/>
  <c r="U37" i="698"/>
  <c r="V37" i="698"/>
  <c r="W37" i="698"/>
  <c r="X37" i="698"/>
  <c r="Y37" i="698"/>
  <c r="Z37" i="698"/>
  <c r="AA37" i="698"/>
  <c r="S38" i="698"/>
  <c r="T38" i="698"/>
  <c r="U38" i="698"/>
  <c r="V38" i="698"/>
  <c r="W38" i="698"/>
  <c r="X38" i="698"/>
  <c r="Y38" i="698"/>
  <c r="Z38" i="698"/>
  <c r="AA38" i="698"/>
  <c r="S39" i="698"/>
  <c r="T39" i="698"/>
  <c r="U39" i="698"/>
  <c r="V39" i="698"/>
  <c r="W39" i="698"/>
  <c r="X39" i="698"/>
  <c r="Y39" i="698"/>
  <c r="Z39" i="698"/>
  <c r="AA39" i="698"/>
  <c r="S40" i="698"/>
  <c r="T40" i="698"/>
  <c r="U40" i="698"/>
  <c r="V40" i="698"/>
  <c r="W40" i="698"/>
  <c r="X40" i="698"/>
  <c r="Y40" i="698"/>
  <c r="Z40" i="698"/>
  <c r="AA40" i="698"/>
  <c r="C29" i="698"/>
  <c r="D29" i="698"/>
  <c r="E29" i="698"/>
  <c r="F29" i="698"/>
  <c r="G29" i="698"/>
  <c r="I29" i="698"/>
  <c r="J29" i="698"/>
  <c r="L29" i="698"/>
  <c r="M29" i="698"/>
  <c r="N29" i="698"/>
  <c r="O29" i="698"/>
  <c r="C30" i="698"/>
  <c r="D30" i="698"/>
  <c r="E30" i="698"/>
  <c r="F30" i="698"/>
  <c r="G30" i="698"/>
  <c r="I30" i="698"/>
  <c r="J30" i="698"/>
  <c r="L30" i="698"/>
  <c r="M30" i="698"/>
  <c r="N30" i="698"/>
  <c r="O30" i="698"/>
  <c r="C31" i="698"/>
  <c r="D31" i="698"/>
  <c r="E31" i="698"/>
  <c r="F31" i="698"/>
  <c r="G31" i="698"/>
  <c r="I31" i="698"/>
  <c r="J31" i="698"/>
  <c r="L31" i="698"/>
  <c r="M31" i="698"/>
  <c r="N31" i="698"/>
  <c r="O31" i="698"/>
  <c r="C32" i="698"/>
  <c r="D32" i="698"/>
  <c r="E32" i="698"/>
  <c r="F32" i="698"/>
  <c r="G32" i="698"/>
  <c r="I32" i="698"/>
  <c r="J32" i="698"/>
  <c r="L32" i="698"/>
  <c r="M32" i="698"/>
  <c r="N32" i="698"/>
  <c r="O32" i="698"/>
  <c r="C33" i="698"/>
  <c r="D33" i="698"/>
  <c r="E33" i="698"/>
  <c r="F33" i="698"/>
  <c r="G33" i="698"/>
  <c r="I33" i="698"/>
  <c r="J33" i="698"/>
  <c r="L33" i="698"/>
  <c r="M33" i="698"/>
  <c r="N33" i="698"/>
  <c r="O33" i="698"/>
  <c r="C34" i="698"/>
  <c r="D34" i="698"/>
  <c r="E34" i="698"/>
  <c r="F34" i="698"/>
  <c r="G34" i="698"/>
  <c r="I34" i="698"/>
  <c r="J34" i="698"/>
  <c r="L34" i="698"/>
  <c r="M34" i="698"/>
  <c r="N34" i="698"/>
  <c r="O34" i="698"/>
  <c r="C35" i="698"/>
  <c r="D35" i="698"/>
  <c r="E35" i="698"/>
  <c r="F35" i="698"/>
  <c r="G35" i="698"/>
  <c r="I35" i="698"/>
  <c r="J35" i="698"/>
  <c r="L35" i="698"/>
  <c r="M35" i="698"/>
  <c r="N35" i="698"/>
  <c r="O35" i="698"/>
  <c r="C36" i="698"/>
  <c r="D36" i="698"/>
  <c r="E36" i="698"/>
  <c r="F36" i="698"/>
  <c r="G36" i="698"/>
  <c r="I36" i="698"/>
  <c r="J36" i="698"/>
  <c r="L36" i="698"/>
  <c r="M36" i="698"/>
  <c r="N36" i="698"/>
  <c r="O36" i="698"/>
  <c r="C25" i="698"/>
  <c r="D25" i="698"/>
  <c r="E25" i="698"/>
  <c r="F25" i="698"/>
  <c r="G25" i="698"/>
  <c r="I25" i="698"/>
  <c r="J25" i="698"/>
  <c r="K25" i="698"/>
  <c r="L25" i="698"/>
  <c r="M25" i="698"/>
  <c r="N25" i="698"/>
  <c r="O25" i="698"/>
  <c r="C26" i="698"/>
  <c r="D26" i="698"/>
  <c r="E26" i="698"/>
  <c r="F26" i="698"/>
  <c r="G26" i="698"/>
  <c r="I26" i="698"/>
  <c r="J26" i="698"/>
  <c r="K26" i="698"/>
  <c r="L26" i="698"/>
  <c r="M26" i="698"/>
  <c r="N26" i="698"/>
  <c r="O26" i="698"/>
  <c r="C10" i="698"/>
  <c r="D10" i="698"/>
  <c r="E10" i="698"/>
  <c r="F10" i="698"/>
  <c r="G10" i="698"/>
  <c r="I10" i="698"/>
  <c r="J10" i="698"/>
  <c r="K10" i="698"/>
  <c r="L10" i="698"/>
  <c r="M10" i="698"/>
  <c r="N10" i="698"/>
  <c r="O10" i="698"/>
  <c r="C11" i="698"/>
  <c r="D11" i="698"/>
  <c r="E11" i="698"/>
  <c r="F11" i="698"/>
  <c r="G11" i="698"/>
  <c r="I11" i="698"/>
  <c r="J11" i="698"/>
  <c r="K11" i="698"/>
  <c r="L11" i="698"/>
  <c r="M11" i="698"/>
  <c r="N11" i="698"/>
  <c r="O11" i="698"/>
  <c r="C12" i="698"/>
  <c r="D12" i="698"/>
  <c r="E12" i="698"/>
  <c r="F12" i="698"/>
  <c r="G12" i="698"/>
  <c r="I12" i="698"/>
  <c r="J12" i="698"/>
  <c r="K12" i="698"/>
  <c r="L12" i="698"/>
  <c r="M12" i="698"/>
  <c r="N12" i="698"/>
  <c r="O12" i="698"/>
  <c r="C13" i="698"/>
  <c r="D13" i="698"/>
  <c r="E13" i="698"/>
  <c r="F13" i="698"/>
  <c r="G13" i="698"/>
  <c r="I13" i="698"/>
  <c r="J13" i="698"/>
  <c r="K13" i="698"/>
  <c r="L13" i="698"/>
  <c r="M13" i="698"/>
  <c r="N13" i="698"/>
  <c r="O13" i="698"/>
  <c r="C14" i="698"/>
  <c r="D14" i="698"/>
  <c r="E14" i="698"/>
  <c r="F14" i="698"/>
  <c r="G14" i="698"/>
  <c r="I14" i="698"/>
  <c r="J14" i="698"/>
  <c r="K14" i="698"/>
  <c r="L14" i="698"/>
  <c r="M14" i="698"/>
  <c r="N14" i="698"/>
  <c r="O14" i="698"/>
  <c r="C15" i="698"/>
  <c r="D15" i="698"/>
  <c r="E15" i="698"/>
  <c r="F15" i="698"/>
  <c r="G15" i="698"/>
  <c r="I15" i="698"/>
  <c r="J15" i="698"/>
  <c r="K15" i="698"/>
  <c r="L15" i="698"/>
  <c r="M15" i="698"/>
  <c r="N15" i="698"/>
  <c r="O15" i="698"/>
  <c r="C16" i="698"/>
  <c r="D16" i="698"/>
  <c r="E16" i="698"/>
  <c r="F16" i="698"/>
  <c r="G16" i="698"/>
  <c r="I16" i="698"/>
  <c r="J16" i="698"/>
  <c r="K16" i="698"/>
  <c r="L16" i="698"/>
  <c r="M16" i="698"/>
  <c r="N16" i="698"/>
  <c r="O16" i="698"/>
  <c r="C17" i="698"/>
  <c r="D17" i="698"/>
  <c r="E17" i="698"/>
  <c r="F17" i="698"/>
  <c r="G17" i="698"/>
  <c r="I17" i="698"/>
  <c r="J17" i="698"/>
  <c r="K17" i="698"/>
  <c r="L17" i="698"/>
  <c r="M17" i="698"/>
  <c r="N17" i="698"/>
  <c r="O17" i="698"/>
  <c r="C18" i="698"/>
  <c r="D18" i="698"/>
  <c r="E18" i="698"/>
  <c r="F18" i="698"/>
  <c r="G18" i="698"/>
  <c r="I18" i="698"/>
  <c r="J18" i="698"/>
  <c r="K18" i="698"/>
  <c r="L18" i="698"/>
  <c r="M18" i="698"/>
  <c r="N18" i="698"/>
  <c r="O18" i="698"/>
  <c r="C19" i="698"/>
  <c r="D19" i="698"/>
  <c r="E19" i="698"/>
  <c r="F19" i="698"/>
  <c r="G19" i="698"/>
  <c r="I19" i="698"/>
  <c r="J19" i="698"/>
  <c r="K19" i="698"/>
  <c r="L19" i="698"/>
  <c r="M19" i="698"/>
  <c r="N19" i="698"/>
  <c r="O19" i="698"/>
  <c r="C20" i="698"/>
  <c r="D20" i="698"/>
  <c r="E20" i="698"/>
  <c r="F20" i="698"/>
  <c r="G20" i="698"/>
  <c r="I20" i="698"/>
  <c r="J20" i="698"/>
  <c r="K20" i="698"/>
  <c r="L20" i="698"/>
  <c r="M20" i="698"/>
  <c r="N20" i="698"/>
  <c r="O20" i="698"/>
  <c r="C21" i="698"/>
  <c r="D21" i="698"/>
  <c r="E21" i="698"/>
  <c r="F21" i="698"/>
  <c r="G21" i="698"/>
  <c r="I21" i="698"/>
  <c r="J21" i="698"/>
  <c r="K21" i="698"/>
  <c r="L21" i="698"/>
  <c r="M21" i="698"/>
  <c r="N21" i="698"/>
  <c r="O21" i="698"/>
  <c r="C22" i="698"/>
  <c r="D22" i="698"/>
  <c r="E22" i="698"/>
  <c r="F22" i="698"/>
  <c r="G22" i="698"/>
  <c r="I22" i="698"/>
  <c r="J22" i="698"/>
  <c r="K22" i="698"/>
  <c r="L22" i="698"/>
  <c r="M22" i="698"/>
  <c r="N22" i="698"/>
  <c r="O22" i="698"/>
  <c r="C23" i="698"/>
  <c r="D23" i="698"/>
  <c r="E23" i="698"/>
  <c r="F23" i="698"/>
  <c r="G23" i="698"/>
  <c r="I23" i="698"/>
  <c r="J23" i="698"/>
  <c r="K23" i="698"/>
  <c r="L23" i="698"/>
  <c r="M23" i="698"/>
  <c r="N23" i="698"/>
  <c r="O23" i="698"/>
  <c r="C24" i="698"/>
  <c r="D24" i="698"/>
  <c r="E24" i="698"/>
  <c r="F24" i="698"/>
  <c r="G24" i="698"/>
  <c r="I24" i="698"/>
  <c r="J24" i="698"/>
  <c r="K24" i="698"/>
  <c r="L24" i="698"/>
  <c r="M24" i="698"/>
  <c r="N24" i="698"/>
  <c r="O24" i="698"/>
  <c r="F87" i="698"/>
  <c r="AY73" i="698"/>
  <c r="AX73" i="698"/>
  <c r="AW73" i="698"/>
  <c r="AV73" i="698"/>
  <c r="AU73" i="698"/>
  <c r="AT73" i="698"/>
  <c r="AS73" i="698"/>
  <c r="AR73" i="698"/>
  <c r="AQ73" i="698"/>
  <c r="AP73" i="698"/>
  <c r="AO73" i="698"/>
  <c r="AN73" i="698"/>
  <c r="AM73" i="698"/>
  <c r="AL73" i="698"/>
  <c r="AK73" i="698"/>
  <c r="AJ73" i="698"/>
  <c r="AI73" i="698"/>
  <c r="AH73" i="698"/>
  <c r="AG73" i="698"/>
  <c r="AF73" i="698"/>
  <c r="AE73" i="698"/>
  <c r="AD73" i="698"/>
  <c r="AC73" i="698"/>
  <c r="AB73" i="698"/>
  <c r="AA73" i="698"/>
  <c r="Z73" i="698"/>
  <c r="Y73" i="698"/>
  <c r="X73" i="698"/>
  <c r="W73" i="698"/>
  <c r="V73" i="698"/>
  <c r="U73" i="698"/>
  <c r="K67" i="698"/>
  <c r="D65" i="698"/>
  <c r="M50" i="698"/>
  <c r="L50" i="698"/>
  <c r="K50" i="698"/>
  <c r="M48" i="698"/>
  <c r="L48" i="698"/>
  <c r="K48" i="698"/>
  <c r="M46" i="698"/>
  <c r="L46" i="698"/>
  <c r="K46" i="698"/>
  <c r="K44" i="698"/>
  <c r="B63" i="697"/>
  <c r="B33" i="697"/>
  <c r="L58" i="698" l="1"/>
  <c r="M58" i="698" s="1"/>
  <c r="J44" i="698"/>
  <c r="J43" i="698"/>
  <c r="K53" i="698"/>
  <c r="L53" i="698" s="1"/>
  <c r="M53" i="698" s="1"/>
  <c r="L49" i="697"/>
  <c r="M34" i="697" l="1"/>
  <c r="M33" i="697"/>
  <c r="L34" i="697"/>
  <c r="L33" i="697"/>
  <c r="K34" i="697"/>
  <c r="K33" i="697"/>
  <c r="O27" i="697"/>
  <c r="O28" i="697"/>
  <c r="O29" i="697"/>
  <c r="O26" i="697"/>
  <c r="N27" i="697"/>
  <c r="N28" i="697"/>
  <c r="N29" i="697"/>
  <c r="M27" i="697"/>
  <c r="M28" i="697"/>
  <c r="M29" i="697"/>
  <c r="M26" i="697"/>
  <c r="L27" i="697"/>
  <c r="L28" i="697"/>
  <c r="L29" i="697"/>
  <c r="L26" i="697"/>
  <c r="J27" i="697"/>
  <c r="J28" i="697"/>
  <c r="J29" i="697"/>
  <c r="J26" i="697"/>
  <c r="I27" i="697"/>
  <c r="I28" i="697"/>
  <c r="I29" i="697"/>
  <c r="I26" i="697"/>
  <c r="G27" i="697"/>
  <c r="G28" i="697"/>
  <c r="G29" i="697"/>
  <c r="G26" i="697"/>
  <c r="F27" i="697"/>
  <c r="F28" i="697"/>
  <c r="F29" i="697"/>
  <c r="F26" i="697"/>
  <c r="E27" i="697"/>
  <c r="E28" i="697"/>
  <c r="E29" i="697"/>
  <c r="E26" i="697"/>
  <c r="D27" i="697"/>
  <c r="D28" i="697"/>
  <c r="D29" i="697"/>
  <c r="D26" i="697"/>
  <c r="C27" i="697"/>
  <c r="C28" i="697"/>
  <c r="C29" i="697"/>
  <c r="C26" i="697"/>
  <c r="O22" i="697"/>
  <c r="O23" i="697"/>
  <c r="O24" i="697"/>
  <c r="O21" i="697"/>
  <c r="N22" i="697"/>
  <c r="N23" i="697"/>
  <c r="N24" i="697"/>
  <c r="N21" i="697"/>
  <c r="M22" i="697"/>
  <c r="M23" i="697"/>
  <c r="M24" i="697"/>
  <c r="M21" i="697"/>
  <c r="L22" i="697"/>
  <c r="L23" i="697"/>
  <c r="L24" i="697"/>
  <c r="L21" i="697"/>
  <c r="K22" i="697"/>
  <c r="K23" i="697"/>
  <c r="K24" i="697"/>
  <c r="K21" i="697"/>
  <c r="J22" i="697"/>
  <c r="J23" i="697"/>
  <c r="J24" i="697"/>
  <c r="J21" i="697"/>
  <c r="I22" i="697"/>
  <c r="I23" i="697"/>
  <c r="I24" i="697"/>
  <c r="I21" i="697"/>
  <c r="G22" i="697"/>
  <c r="G23" i="697"/>
  <c r="G24" i="697"/>
  <c r="G21" i="697"/>
  <c r="F22" i="697"/>
  <c r="F23" i="697"/>
  <c r="F24" i="697"/>
  <c r="F21" i="697"/>
  <c r="E22" i="697"/>
  <c r="E23" i="697"/>
  <c r="E24" i="697"/>
  <c r="E21" i="697"/>
  <c r="D22" i="697"/>
  <c r="D23" i="697"/>
  <c r="D24" i="697"/>
  <c r="D21" i="697"/>
  <c r="C22" i="697"/>
  <c r="C23" i="697"/>
  <c r="C24" i="697"/>
  <c r="C21" i="697"/>
  <c r="F78" i="697"/>
  <c r="AY64" i="697"/>
  <c r="AX64" i="697"/>
  <c r="AW64" i="697"/>
  <c r="AV64" i="697"/>
  <c r="AU64" i="697"/>
  <c r="AT64" i="697"/>
  <c r="AS64" i="697"/>
  <c r="AR64" i="697"/>
  <c r="AQ64" i="697"/>
  <c r="AP64" i="697"/>
  <c r="AO64" i="697"/>
  <c r="AN64" i="697"/>
  <c r="AM64" i="697"/>
  <c r="AL64" i="697"/>
  <c r="AK64" i="697"/>
  <c r="AJ64" i="697"/>
  <c r="AI64" i="697"/>
  <c r="AH64" i="697"/>
  <c r="AG64" i="697"/>
  <c r="AF64" i="697"/>
  <c r="AE64" i="697"/>
  <c r="AD64" i="697"/>
  <c r="AC64" i="697"/>
  <c r="AB64" i="697"/>
  <c r="AA64" i="697"/>
  <c r="Z64" i="697"/>
  <c r="Y64" i="697"/>
  <c r="X64" i="697"/>
  <c r="W64" i="697"/>
  <c r="V64" i="697"/>
  <c r="U64" i="697"/>
  <c r="K58" i="697"/>
  <c r="D56" i="697"/>
  <c r="M49" i="697"/>
  <c r="M40" i="697"/>
  <c r="L40" i="697"/>
  <c r="K40" i="697"/>
  <c r="M38" i="697"/>
  <c r="L38" i="697"/>
  <c r="K38" i="697"/>
  <c r="M36" i="697"/>
  <c r="L36" i="697"/>
  <c r="K36" i="697"/>
  <c r="AA30" i="697"/>
  <c r="Z30" i="697"/>
  <c r="Y30" i="697"/>
  <c r="X30" i="697"/>
  <c r="W30" i="697"/>
  <c r="V30" i="697"/>
  <c r="U30" i="697"/>
  <c r="T30" i="697"/>
  <c r="S30" i="697"/>
  <c r="AA25" i="697"/>
  <c r="Z25" i="697"/>
  <c r="Y25" i="697"/>
  <c r="X25" i="697"/>
  <c r="W25" i="697"/>
  <c r="V25" i="697"/>
  <c r="U25" i="697"/>
  <c r="T25" i="697"/>
  <c r="S25" i="697"/>
  <c r="AA24" i="697"/>
  <c r="Z24" i="697"/>
  <c r="Y24" i="697"/>
  <c r="X24" i="697"/>
  <c r="W24" i="697"/>
  <c r="V24" i="697"/>
  <c r="U24" i="697"/>
  <c r="T24" i="697"/>
  <c r="S24" i="697"/>
  <c r="AA23" i="697"/>
  <c r="Z23" i="697"/>
  <c r="Y23" i="697"/>
  <c r="X23" i="697"/>
  <c r="W23" i="697"/>
  <c r="V23" i="697"/>
  <c r="U23" i="697"/>
  <c r="T23" i="697"/>
  <c r="S23" i="697"/>
  <c r="AA22" i="697"/>
  <c r="Z22" i="697"/>
  <c r="Y22" i="697"/>
  <c r="X22" i="697"/>
  <c r="W22" i="697"/>
  <c r="V22" i="697"/>
  <c r="U22" i="697"/>
  <c r="T22" i="697"/>
  <c r="S22" i="697"/>
  <c r="AA21" i="697"/>
  <c r="Z21" i="697"/>
  <c r="Y21" i="697"/>
  <c r="X21" i="697"/>
  <c r="W21" i="697"/>
  <c r="V21" i="697"/>
  <c r="U21" i="697"/>
  <c r="T21" i="697"/>
  <c r="S21" i="697"/>
  <c r="AA20" i="697"/>
  <c r="Z20" i="697"/>
  <c r="Y20" i="697"/>
  <c r="X20" i="697"/>
  <c r="W20" i="697"/>
  <c r="V20" i="697"/>
  <c r="U20" i="697"/>
  <c r="T20" i="697"/>
  <c r="S20" i="697"/>
  <c r="AA19" i="697"/>
  <c r="Z19" i="697"/>
  <c r="Y19" i="697"/>
  <c r="X19" i="697"/>
  <c r="W19" i="697"/>
  <c r="V19" i="697"/>
  <c r="U19" i="697"/>
  <c r="T19" i="697"/>
  <c r="S19" i="697"/>
  <c r="AA18" i="697"/>
  <c r="Z18" i="697"/>
  <c r="Y18" i="697"/>
  <c r="X18" i="697"/>
  <c r="W18" i="697"/>
  <c r="V18" i="697"/>
  <c r="U18" i="697"/>
  <c r="T18" i="697"/>
  <c r="S18" i="697"/>
  <c r="AA17" i="697"/>
  <c r="Z17" i="697"/>
  <c r="Y17" i="697"/>
  <c r="X17" i="697"/>
  <c r="W17" i="697"/>
  <c r="V17" i="697"/>
  <c r="U17" i="697"/>
  <c r="T17" i="697"/>
  <c r="S17" i="697"/>
  <c r="AA16" i="697"/>
  <c r="Z16" i="697"/>
  <c r="Y16" i="697"/>
  <c r="X16" i="697"/>
  <c r="W16" i="697"/>
  <c r="V16" i="697"/>
  <c r="U16" i="697"/>
  <c r="T16" i="697"/>
  <c r="S16" i="697"/>
  <c r="AA15" i="697"/>
  <c r="Z15" i="697"/>
  <c r="Y15" i="697"/>
  <c r="X15" i="697"/>
  <c r="W15" i="697"/>
  <c r="V15" i="697"/>
  <c r="U15" i="697"/>
  <c r="T15" i="697"/>
  <c r="S15" i="697"/>
  <c r="AA14" i="697"/>
  <c r="Z14" i="697"/>
  <c r="Y14" i="697"/>
  <c r="X14" i="697"/>
  <c r="W14" i="697"/>
  <c r="V14" i="697"/>
  <c r="U14" i="697"/>
  <c r="T14" i="697"/>
  <c r="S14" i="697"/>
  <c r="AA13" i="697"/>
  <c r="Z13" i="697"/>
  <c r="Y13" i="697"/>
  <c r="X13" i="697"/>
  <c r="W13" i="697"/>
  <c r="V13" i="697"/>
  <c r="U13" i="697"/>
  <c r="T13" i="697"/>
  <c r="S13" i="697"/>
  <c r="AA12" i="697"/>
  <c r="Z12" i="697"/>
  <c r="Y12" i="697"/>
  <c r="X12" i="697"/>
  <c r="W12" i="697"/>
  <c r="V12" i="697"/>
  <c r="U12" i="697"/>
  <c r="T12" i="697"/>
  <c r="S12" i="697"/>
  <c r="AA11" i="697"/>
  <c r="Z11" i="697"/>
  <c r="Y11" i="697"/>
  <c r="X11" i="697"/>
  <c r="W11" i="697"/>
  <c r="V11" i="697"/>
  <c r="U11" i="697"/>
  <c r="T11" i="697"/>
  <c r="S11" i="697"/>
  <c r="AA10" i="697"/>
  <c r="Z10" i="697"/>
  <c r="Y10" i="697"/>
  <c r="X10" i="697"/>
  <c r="W10" i="697"/>
  <c r="V10" i="697"/>
  <c r="U10" i="697"/>
  <c r="T10" i="697"/>
  <c r="S10" i="697"/>
  <c r="O14" i="695"/>
  <c r="O15" i="695"/>
  <c r="O13" i="695"/>
  <c r="N14" i="695"/>
  <c r="N15" i="695"/>
  <c r="N13" i="695"/>
  <c r="C14" i="695"/>
  <c r="C15" i="695"/>
  <c r="D14" i="695"/>
  <c r="D15" i="695"/>
  <c r="E14" i="695"/>
  <c r="E15" i="695"/>
  <c r="F14" i="695"/>
  <c r="F15" i="695"/>
  <c r="G14" i="695"/>
  <c r="G15" i="695"/>
  <c r="I14" i="695"/>
  <c r="I15" i="695"/>
  <c r="J14" i="695"/>
  <c r="J15" i="695"/>
  <c r="K14" i="695"/>
  <c r="K15" i="695"/>
  <c r="L14" i="695"/>
  <c r="L15" i="695"/>
  <c r="M14" i="695"/>
  <c r="M15" i="695"/>
  <c r="M13" i="695"/>
  <c r="L13" i="695"/>
  <c r="K13" i="695"/>
  <c r="J13" i="695"/>
  <c r="I13" i="695"/>
  <c r="G13" i="695"/>
  <c r="F13" i="695"/>
  <c r="E13" i="695"/>
  <c r="D13" i="695"/>
  <c r="C13" i="695"/>
  <c r="L46" i="696"/>
  <c r="J33" i="697" l="1"/>
  <c r="J34" i="697"/>
  <c r="K43" i="697"/>
  <c r="L43" i="697" s="1"/>
  <c r="M43" i="697" s="1"/>
  <c r="O26" i="696"/>
  <c r="N26" i="696"/>
  <c r="M26" i="696"/>
  <c r="L26" i="696"/>
  <c r="J26" i="696"/>
  <c r="I26" i="696"/>
  <c r="G26" i="696"/>
  <c r="F26" i="696"/>
  <c r="E26" i="696"/>
  <c r="D26" i="696"/>
  <c r="C26" i="696"/>
  <c r="M31" i="696"/>
  <c r="L31" i="696"/>
  <c r="K31" i="696"/>
  <c r="M30" i="696"/>
  <c r="L30" i="696"/>
  <c r="K30" i="696"/>
  <c r="O24" i="696"/>
  <c r="O25" i="696"/>
  <c r="N24" i="696"/>
  <c r="N25" i="696"/>
  <c r="M24" i="696"/>
  <c r="M25" i="696"/>
  <c r="L24" i="696"/>
  <c r="L25" i="696"/>
  <c r="J24" i="696"/>
  <c r="J25" i="696"/>
  <c r="I24" i="696"/>
  <c r="I25" i="696"/>
  <c r="G24" i="696"/>
  <c r="G25" i="696"/>
  <c r="F24" i="696"/>
  <c r="F25" i="696"/>
  <c r="E24" i="696"/>
  <c r="E25" i="696"/>
  <c r="D24" i="696"/>
  <c r="D25" i="696"/>
  <c r="C24" i="696"/>
  <c r="C25" i="696"/>
  <c r="O23" i="696"/>
  <c r="N23" i="696"/>
  <c r="M23" i="696"/>
  <c r="L23" i="696"/>
  <c r="J23" i="696"/>
  <c r="I23" i="696"/>
  <c r="G23" i="696"/>
  <c r="F23" i="696"/>
  <c r="E23" i="696"/>
  <c r="D23" i="696"/>
  <c r="C23" i="696"/>
  <c r="O20" i="696"/>
  <c r="O21" i="696"/>
  <c r="O19" i="696"/>
  <c r="N20" i="696"/>
  <c r="N21" i="696"/>
  <c r="N19" i="696"/>
  <c r="M20" i="696"/>
  <c r="M21" i="696"/>
  <c r="M19" i="696"/>
  <c r="L20" i="696"/>
  <c r="L21" i="696"/>
  <c r="L19" i="696"/>
  <c r="K20" i="696"/>
  <c r="K21" i="696"/>
  <c r="K19" i="696"/>
  <c r="J20" i="696"/>
  <c r="J21" i="696"/>
  <c r="J19" i="696"/>
  <c r="I20" i="696"/>
  <c r="I21" i="696"/>
  <c r="I19" i="696"/>
  <c r="G20" i="696"/>
  <c r="G21" i="696"/>
  <c r="G19" i="696"/>
  <c r="F20" i="696"/>
  <c r="F21" i="696"/>
  <c r="F19" i="696"/>
  <c r="E20" i="696"/>
  <c r="E21" i="696"/>
  <c r="E19" i="696"/>
  <c r="D20" i="696"/>
  <c r="D21" i="696"/>
  <c r="D19" i="696"/>
  <c r="C20" i="696"/>
  <c r="C21" i="696"/>
  <c r="C19" i="696"/>
  <c r="F75" i="696"/>
  <c r="K70" i="696"/>
  <c r="AY61" i="696"/>
  <c r="AX61" i="696"/>
  <c r="AW61" i="696"/>
  <c r="AV61" i="696"/>
  <c r="AU61" i="696"/>
  <c r="AT61" i="696"/>
  <c r="AS61" i="696"/>
  <c r="AR61" i="696"/>
  <c r="AQ61" i="696"/>
  <c r="AP61" i="696"/>
  <c r="AO61" i="696"/>
  <c r="AN61" i="696"/>
  <c r="AM61" i="696"/>
  <c r="AL61" i="696"/>
  <c r="AK61" i="696"/>
  <c r="AJ61" i="696"/>
  <c r="AI61" i="696"/>
  <c r="AH61" i="696"/>
  <c r="AG61" i="696"/>
  <c r="AF61" i="696"/>
  <c r="AE61" i="696"/>
  <c r="AD61" i="696"/>
  <c r="AC61" i="696"/>
  <c r="AB61" i="696"/>
  <c r="AA61" i="696"/>
  <c r="Z61" i="696"/>
  <c r="Y61" i="696"/>
  <c r="X61" i="696"/>
  <c r="W61" i="696"/>
  <c r="V61" i="696"/>
  <c r="U61" i="696"/>
  <c r="L60" i="696"/>
  <c r="C70" i="696" s="1"/>
  <c r="K55" i="696"/>
  <c r="M46" i="696" s="1"/>
  <c r="D53" i="696"/>
  <c r="M37" i="696"/>
  <c r="L37" i="696"/>
  <c r="K37" i="696"/>
  <c r="M35" i="696"/>
  <c r="L35" i="696"/>
  <c r="K35" i="696"/>
  <c r="M33" i="696"/>
  <c r="L33" i="696"/>
  <c r="K33" i="696"/>
  <c r="AA27" i="696"/>
  <c r="Z27" i="696"/>
  <c r="Y27" i="696"/>
  <c r="X27" i="696"/>
  <c r="W27" i="696"/>
  <c r="V27" i="696"/>
  <c r="U27" i="696"/>
  <c r="T27" i="696"/>
  <c r="S27" i="696"/>
  <c r="AA25" i="696"/>
  <c r="Z25" i="696"/>
  <c r="Y25" i="696"/>
  <c r="X25" i="696"/>
  <c r="W25" i="696"/>
  <c r="V25" i="696"/>
  <c r="U25" i="696"/>
  <c r="T25" i="696"/>
  <c r="S25" i="696"/>
  <c r="AA24" i="696"/>
  <c r="Z24" i="696"/>
  <c r="Y24" i="696"/>
  <c r="X24" i="696"/>
  <c r="W24" i="696"/>
  <c r="V24" i="696"/>
  <c r="U24" i="696"/>
  <c r="T24" i="696"/>
  <c r="S24" i="696"/>
  <c r="AA23" i="696"/>
  <c r="Z23" i="696"/>
  <c r="Y23" i="696"/>
  <c r="X23" i="696"/>
  <c r="W23" i="696"/>
  <c r="V23" i="696"/>
  <c r="U23" i="696"/>
  <c r="T23" i="696"/>
  <c r="S23" i="696"/>
  <c r="AA22" i="696"/>
  <c r="Z22" i="696"/>
  <c r="Y22" i="696"/>
  <c r="X22" i="696"/>
  <c r="W22" i="696"/>
  <c r="V22" i="696"/>
  <c r="U22" i="696"/>
  <c r="T22" i="696"/>
  <c r="S22" i="696"/>
  <c r="AA21" i="696"/>
  <c r="Z21" i="696"/>
  <c r="Y21" i="696"/>
  <c r="X21" i="696"/>
  <c r="W21" i="696"/>
  <c r="V21" i="696"/>
  <c r="U21" i="696"/>
  <c r="T21" i="696"/>
  <c r="S21" i="696"/>
  <c r="AA20" i="696"/>
  <c r="Z20" i="696"/>
  <c r="Y20" i="696"/>
  <c r="X20" i="696"/>
  <c r="W20" i="696"/>
  <c r="V20" i="696"/>
  <c r="U20" i="696"/>
  <c r="T20" i="696"/>
  <c r="S20" i="696"/>
  <c r="AA19" i="696"/>
  <c r="Z19" i="696"/>
  <c r="Y19" i="696"/>
  <c r="X19" i="696"/>
  <c r="W19" i="696"/>
  <c r="V19" i="696"/>
  <c r="U19" i="696"/>
  <c r="T19" i="696"/>
  <c r="S19" i="696"/>
  <c r="AA18" i="696"/>
  <c r="Z18" i="696"/>
  <c r="Y18" i="696"/>
  <c r="X18" i="696"/>
  <c r="W18" i="696"/>
  <c r="V18" i="696"/>
  <c r="U18" i="696"/>
  <c r="T18" i="696"/>
  <c r="S18" i="696"/>
  <c r="AA17" i="696"/>
  <c r="Z17" i="696"/>
  <c r="Y17" i="696"/>
  <c r="X17" i="696"/>
  <c r="W17" i="696"/>
  <c r="V17" i="696"/>
  <c r="U17" i="696"/>
  <c r="T17" i="696"/>
  <c r="S17" i="696"/>
  <c r="AA16" i="696"/>
  <c r="Z16" i="696"/>
  <c r="Y16" i="696"/>
  <c r="X16" i="696"/>
  <c r="W16" i="696"/>
  <c r="V16" i="696"/>
  <c r="U16" i="696"/>
  <c r="T16" i="696"/>
  <c r="S16" i="696"/>
  <c r="AA15" i="696"/>
  <c r="Z15" i="696"/>
  <c r="Y15" i="696"/>
  <c r="X15" i="696"/>
  <c r="W15" i="696"/>
  <c r="V15" i="696"/>
  <c r="U15" i="696"/>
  <c r="T15" i="696"/>
  <c r="S15" i="696"/>
  <c r="AA14" i="696"/>
  <c r="Z14" i="696"/>
  <c r="Y14" i="696"/>
  <c r="X14" i="696"/>
  <c r="W14" i="696"/>
  <c r="V14" i="696"/>
  <c r="U14" i="696"/>
  <c r="T14" i="696"/>
  <c r="S14" i="696"/>
  <c r="AA13" i="696"/>
  <c r="Z13" i="696"/>
  <c r="Y13" i="696"/>
  <c r="X13" i="696"/>
  <c r="W13" i="696"/>
  <c r="V13" i="696"/>
  <c r="U13" i="696"/>
  <c r="T13" i="696"/>
  <c r="S13" i="696"/>
  <c r="AA12" i="696"/>
  <c r="Z12" i="696"/>
  <c r="Y12" i="696"/>
  <c r="X12" i="696"/>
  <c r="W12" i="696"/>
  <c r="V12" i="696"/>
  <c r="U12" i="696"/>
  <c r="T12" i="696"/>
  <c r="S12" i="696"/>
  <c r="AA11" i="696"/>
  <c r="Z11" i="696"/>
  <c r="Y11" i="696"/>
  <c r="X11" i="696"/>
  <c r="W11" i="696"/>
  <c r="V11" i="696"/>
  <c r="U11" i="696"/>
  <c r="T11" i="696"/>
  <c r="S11" i="696"/>
  <c r="AA10" i="696"/>
  <c r="Z10" i="696"/>
  <c r="Y10" i="696"/>
  <c r="X10" i="696"/>
  <c r="W10" i="696"/>
  <c r="V10" i="696"/>
  <c r="U10" i="696"/>
  <c r="T10" i="696"/>
  <c r="S10" i="696"/>
  <c r="J56" i="19"/>
  <c r="L45" i="695"/>
  <c r="D56" i="19"/>
  <c r="J60" i="18"/>
  <c r="J61" i="18"/>
  <c r="J63" i="18"/>
  <c r="J30" i="696" l="1"/>
  <c r="J31" i="696"/>
  <c r="K40" i="696"/>
  <c r="L40" i="696" s="1"/>
  <c r="M40" i="696" s="1"/>
  <c r="K29" i="695"/>
  <c r="O17" i="695"/>
  <c r="O18" i="695"/>
  <c r="O19" i="695"/>
  <c r="O16" i="695"/>
  <c r="N17" i="695"/>
  <c r="N18" i="695"/>
  <c r="N19" i="695"/>
  <c r="N16" i="695"/>
  <c r="M17" i="695"/>
  <c r="M18" i="695"/>
  <c r="M19" i="695"/>
  <c r="M16" i="695"/>
  <c r="L17" i="695"/>
  <c r="L18" i="695"/>
  <c r="L19" i="695"/>
  <c r="L16" i="695"/>
  <c r="J17" i="695"/>
  <c r="J18" i="695"/>
  <c r="J16" i="695"/>
  <c r="I17" i="695"/>
  <c r="I18" i="695"/>
  <c r="I16" i="695"/>
  <c r="G17" i="695"/>
  <c r="G18" i="695"/>
  <c r="G19" i="695"/>
  <c r="G16" i="695"/>
  <c r="F17" i="695"/>
  <c r="F18" i="695"/>
  <c r="F19" i="695"/>
  <c r="F16" i="695"/>
  <c r="E17" i="695"/>
  <c r="E18" i="695"/>
  <c r="E19" i="695"/>
  <c r="E16" i="695"/>
  <c r="D17" i="695"/>
  <c r="D18" i="695"/>
  <c r="D19" i="695"/>
  <c r="D16" i="695"/>
  <c r="C17" i="695"/>
  <c r="C18" i="695"/>
  <c r="C19" i="695"/>
  <c r="C16" i="695"/>
  <c r="F74" i="695"/>
  <c r="AY60" i="695"/>
  <c r="AX60" i="695"/>
  <c r="AW60" i="695"/>
  <c r="AV60" i="695"/>
  <c r="AU60" i="695"/>
  <c r="AT60" i="695"/>
  <c r="AS60" i="695"/>
  <c r="AR60" i="695"/>
  <c r="AQ60" i="695"/>
  <c r="AP60" i="695"/>
  <c r="AO60" i="695"/>
  <c r="AN60" i="695"/>
  <c r="AM60" i="695"/>
  <c r="AL60" i="695"/>
  <c r="AK60" i="695"/>
  <c r="AJ60" i="695"/>
  <c r="AI60" i="695"/>
  <c r="AH60" i="695"/>
  <c r="AG60" i="695"/>
  <c r="AF60" i="695"/>
  <c r="AE60" i="695"/>
  <c r="AD60" i="695"/>
  <c r="AC60" i="695"/>
  <c r="AB60" i="695"/>
  <c r="AA60" i="695"/>
  <c r="Z60" i="695"/>
  <c r="Y60" i="695"/>
  <c r="X60" i="695"/>
  <c r="W60" i="695"/>
  <c r="V60" i="695"/>
  <c r="U60" i="695"/>
  <c r="K69" i="695"/>
  <c r="L59" i="695"/>
  <c r="C69" i="695" s="1"/>
  <c r="K54" i="695"/>
  <c r="M45" i="695" s="1"/>
  <c r="D52" i="695"/>
  <c r="M36" i="695"/>
  <c r="L36" i="695"/>
  <c r="K36" i="695"/>
  <c r="M34" i="695"/>
  <c r="L34" i="695"/>
  <c r="K34" i="695"/>
  <c r="M32" i="695"/>
  <c r="L32" i="695"/>
  <c r="K32" i="695"/>
  <c r="M30" i="695"/>
  <c r="L30" i="695"/>
  <c r="K30" i="695"/>
  <c r="AA26" i="695"/>
  <c r="Z26" i="695"/>
  <c r="Y26" i="695"/>
  <c r="X26" i="695"/>
  <c r="W26" i="695"/>
  <c r="V26" i="695"/>
  <c r="U26" i="695"/>
  <c r="T26" i="695"/>
  <c r="S26" i="695"/>
  <c r="AA25" i="695"/>
  <c r="Z25" i="695"/>
  <c r="Y25" i="695"/>
  <c r="X25" i="695"/>
  <c r="W25" i="695"/>
  <c r="V25" i="695"/>
  <c r="U25" i="695"/>
  <c r="T25" i="695"/>
  <c r="S25" i="695"/>
  <c r="AA24" i="695"/>
  <c r="Z24" i="695"/>
  <c r="Y24" i="695"/>
  <c r="X24" i="695"/>
  <c r="W24" i="695"/>
  <c r="V24" i="695"/>
  <c r="U24" i="695"/>
  <c r="T24" i="695"/>
  <c r="S24" i="695"/>
  <c r="AA23" i="695"/>
  <c r="Z23" i="695"/>
  <c r="Y23" i="695"/>
  <c r="X23" i="695"/>
  <c r="W23" i="695"/>
  <c r="V23" i="695"/>
  <c r="U23" i="695"/>
  <c r="T23" i="695"/>
  <c r="S23" i="695"/>
  <c r="AA22" i="695"/>
  <c r="Z22" i="695"/>
  <c r="Y22" i="695"/>
  <c r="X22" i="695"/>
  <c r="W22" i="695"/>
  <c r="V22" i="695"/>
  <c r="U22" i="695"/>
  <c r="T22" i="695"/>
  <c r="S22" i="695"/>
  <c r="AA21" i="695"/>
  <c r="Z21" i="695"/>
  <c r="Y21" i="695"/>
  <c r="X21" i="695"/>
  <c r="W21" i="695"/>
  <c r="V21" i="695"/>
  <c r="U21" i="695"/>
  <c r="T21" i="695"/>
  <c r="S21" i="695"/>
  <c r="AA20" i="695"/>
  <c r="Z20" i="695"/>
  <c r="Y20" i="695"/>
  <c r="X20" i="695"/>
  <c r="W20" i="695"/>
  <c r="V20" i="695"/>
  <c r="U20" i="695"/>
  <c r="T20" i="695"/>
  <c r="S20" i="695"/>
  <c r="AA19" i="695"/>
  <c r="Z19" i="695"/>
  <c r="Y19" i="695"/>
  <c r="X19" i="695"/>
  <c r="W19" i="695"/>
  <c r="V19" i="695"/>
  <c r="U19" i="695"/>
  <c r="T19" i="695"/>
  <c r="S19" i="695"/>
  <c r="AA18" i="695"/>
  <c r="Z18" i="695"/>
  <c r="Y18" i="695"/>
  <c r="X18" i="695"/>
  <c r="W18" i="695"/>
  <c r="V18" i="695"/>
  <c r="U18" i="695"/>
  <c r="T18" i="695"/>
  <c r="S18" i="695"/>
  <c r="AA17" i="695"/>
  <c r="Z17" i="695"/>
  <c r="Y17" i="695"/>
  <c r="X17" i="695"/>
  <c r="W17" i="695"/>
  <c r="V17" i="695"/>
  <c r="U17" i="695"/>
  <c r="T17" i="695"/>
  <c r="S17" i="695"/>
  <c r="AA16" i="695"/>
  <c r="Z16" i="695"/>
  <c r="Y16" i="695"/>
  <c r="X16" i="695"/>
  <c r="W16" i="695"/>
  <c r="V16" i="695"/>
  <c r="U16" i="695"/>
  <c r="T16" i="695"/>
  <c r="S16" i="695"/>
  <c r="AA15" i="695"/>
  <c r="Z15" i="695"/>
  <c r="Y15" i="695"/>
  <c r="X15" i="695"/>
  <c r="W15" i="695"/>
  <c r="V15" i="695"/>
  <c r="U15" i="695"/>
  <c r="T15" i="695"/>
  <c r="S15" i="695"/>
  <c r="AA14" i="695"/>
  <c r="Z14" i="695"/>
  <c r="Y14" i="695"/>
  <c r="X14" i="695"/>
  <c r="W14" i="695"/>
  <c r="V14" i="695"/>
  <c r="U14" i="695"/>
  <c r="T14" i="695"/>
  <c r="S14" i="695"/>
  <c r="AA13" i="695"/>
  <c r="Z13" i="695"/>
  <c r="Y13" i="695"/>
  <c r="X13" i="695"/>
  <c r="W13" i="695"/>
  <c r="V13" i="695"/>
  <c r="U13" i="695"/>
  <c r="T13" i="695"/>
  <c r="S13" i="695"/>
  <c r="AA12" i="695"/>
  <c r="Z12" i="695"/>
  <c r="Y12" i="695"/>
  <c r="X12" i="695"/>
  <c r="W12" i="695"/>
  <c r="V12" i="695"/>
  <c r="U12" i="695"/>
  <c r="T12" i="695"/>
  <c r="S12" i="695"/>
  <c r="AA11" i="695"/>
  <c r="Z11" i="695"/>
  <c r="Y11" i="695"/>
  <c r="X11" i="695"/>
  <c r="W11" i="695"/>
  <c r="V11" i="695"/>
  <c r="U11" i="695"/>
  <c r="T11" i="695"/>
  <c r="S11" i="695"/>
  <c r="AA10" i="695"/>
  <c r="Z10" i="695"/>
  <c r="Y10" i="695"/>
  <c r="X10" i="695"/>
  <c r="W10" i="695"/>
  <c r="V10" i="695"/>
  <c r="U10" i="695"/>
  <c r="T10" i="695"/>
  <c r="S10" i="695"/>
  <c r="B44" i="688"/>
  <c r="B44" i="690"/>
  <c r="B42" i="691"/>
  <c r="B29" i="691"/>
  <c r="B64" i="692"/>
  <c r="B51" i="692"/>
  <c r="B64" i="693"/>
  <c r="B29" i="667"/>
  <c r="B59" i="667"/>
  <c r="B51" i="693"/>
  <c r="B83" i="693"/>
  <c r="B81" i="693"/>
  <c r="B83" i="692"/>
  <c r="B81" i="692"/>
  <c r="K39" i="695" l="1"/>
  <c r="B61" i="691"/>
  <c r="B59" i="691"/>
  <c r="G61" i="18"/>
  <c r="G63" i="18"/>
  <c r="D60" i="18"/>
  <c r="D61" i="18"/>
  <c r="D63" i="18"/>
  <c r="B74" i="690"/>
  <c r="G60" i="18" l="1"/>
  <c r="D56" i="18"/>
  <c r="B74" i="688" l="1"/>
  <c r="L52" i="692" l="1"/>
  <c r="M52" i="692" s="1"/>
  <c r="L67" i="693"/>
  <c r="M67" i="693" s="1"/>
  <c r="L45" i="667"/>
  <c r="L67" i="692"/>
  <c r="M67" i="692" s="1"/>
  <c r="L45" i="691"/>
  <c r="M45" i="691" s="1"/>
  <c r="L60" i="690"/>
  <c r="M60" i="690" s="1"/>
  <c r="M60" i="688"/>
  <c r="L60" i="688"/>
  <c r="M36" i="667" l="1"/>
  <c r="L36" i="667"/>
  <c r="K36" i="667"/>
  <c r="M34" i="667" l="1"/>
  <c r="L34" i="667"/>
  <c r="K34" i="667"/>
  <c r="M32" i="667"/>
  <c r="L32" i="667"/>
  <c r="K32" i="667"/>
  <c r="M30" i="667"/>
  <c r="L30" i="667"/>
  <c r="K30" i="667"/>
  <c r="J52" i="692"/>
  <c r="O13" i="693" l="1"/>
  <c r="O14" i="693"/>
  <c r="O15" i="693"/>
  <c r="O16" i="693"/>
  <c r="O17" i="693"/>
  <c r="O18" i="693"/>
  <c r="O19" i="693"/>
  <c r="O12" i="693"/>
  <c r="N13" i="693"/>
  <c r="N14" i="693"/>
  <c r="N15" i="693"/>
  <c r="N17" i="693"/>
  <c r="N18" i="693"/>
  <c r="N19" i="693"/>
  <c r="N12" i="693"/>
  <c r="L13" i="693"/>
  <c r="L14" i="693"/>
  <c r="L15" i="693"/>
  <c r="L16" i="693"/>
  <c r="L17" i="693"/>
  <c r="L18" i="693"/>
  <c r="L19" i="693"/>
  <c r="L12" i="693"/>
  <c r="M13" i="693"/>
  <c r="M14" i="693"/>
  <c r="M15" i="693"/>
  <c r="M16" i="693"/>
  <c r="M17" i="693"/>
  <c r="M18" i="693"/>
  <c r="M19" i="693"/>
  <c r="M12" i="693"/>
  <c r="J13" i="693"/>
  <c r="J14" i="693"/>
  <c r="J15" i="693"/>
  <c r="J16" i="693"/>
  <c r="J17" i="693"/>
  <c r="J18" i="693"/>
  <c r="J19" i="693"/>
  <c r="J12" i="693"/>
  <c r="I13" i="693"/>
  <c r="I14" i="693"/>
  <c r="I15" i="693"/>
  <c r="I16" i="693"/>
  <c r="I17" i="693"/>
  <c r="I18" i="693"/>
  <c r="I19" i="693"/>
  <c r="I12" i="693"/>
  <c r="G13" i="693"/>
  <c r="G14" i="693"/>
  <c r="G15" i="693"/>
  <c r="G16" i="693"/>
  <c r="G17" i="693"/>
  <c r="G18" i="693"/>
  <c r="G19" i="693"/>
  <c r="G12" i="693"/>
  <c r="F13" i="693"/>
  <c r="F14" i="693"/>
  <c r="F15" i="693"/>
  <c r="F16" i="693"/>
  <c r="F17" i="693"/>
  <c r="F18" i="693"/>
  <c r="F19" i="693"/>
  <c r="F12" i="693"/>
  <c r="C13" i="693"/>
  <c r="D13" i="693"/>
  <c r="E13" i="693"/>
  <c r="C14" i="693"/>
  <c r="D14" i="693"/>
  <c r="E14" i="693"/>
  <c r="C15" i="693"/>
  <c r="D15" i="693"/>
  <c r="E15" i="693"/>
  <c r="C16" i="693"/>
  <c r="D16" i="693"/>
  <c r="E16" i="693"/>
  <c r="C17" i="693"/>
  <c r="D17" i="693"/>
  <c r="E17" i="693"/>
  <c r="C18" i="693"/>
  <c r="D18" i="693"/>
  <c r="E18" i="693"/>
  <c r="C19" i="693"/>
  <c r="D19" i="693"/>
  <c r="E19" i="693"/>
  <c r="E12" i="693"/>
  <c r="D12" i="693"/>
  <c r="C12" i="693"/>
  <c r="J56" i="693" l="1"/>
  <c r="L56" i="693" s="1"/>
  <c r="M56" i="693" s="1"/>
  <c r="N16" i="693"/>
  <c r="F95" i="693"/>
  <c r="L85" i="693"/>
  <c r="K76" i="693"/>
  <c r="D74" i="693"/>
  <c r="K61" i="693"/>
  <c r="Z49" i="693"/>
  <c r="Y49" i="693"/>
  <c r="X49" i="693"/>
  <c r="W49" i="693"/>
  <c r="V49" i="693"/>
  <c r="U49" i="693"/>
  <c r="T49" i="693"/>
  <c r="S49" i="693"/>
  <c r="R49" i="693"/>
  <c r="Z48" i="693"/>
  <c r="Y48" i="693"/>
  <c r="X48" i="693"/>
  <c r="W48" i="693"/>
  <c r="V48" i="693"/>
  <c r="U48" i="693"/>
  <c r="T48" i="693"/>
  <c r="S48" i="693"/>
  <c r="R48" i="693"/>
  <c r="Z47" i="693"/>
  <c r="Y47" i="693"/>
  <c r="X47" i="693"/>
  <c r="W47" i="693"/>
  <c r="V47" i="693"/>
  <c r="U47" i="693"/>
  <c r="T47" i="693"/>
  <c r="S47" i="693"/>
  <c r="R47" i="693"/>
  <c r="Z46" i="693"/>
  <c r="Y46" i="693"/>
  <c r="X46" i="693"/>
  <c r="W46" i="693"/>
  <c r="V46" i="693"/>
  <c r="U46" i="693"/>
  <c r="T46" i="693"/>
  <c r="S46" i="693"/>
  <c r="R46" i="693"/>
  <c r="Z45" i="693"/>
  <c r="Y45" i="693"/>
  <c r="X45" i="693"/>
  <c r="W45" i="693"/>
  <c r="V45" i="693"/>
  <c r="U45" i="693"/>
  <c r="T45" i="693"/>
  <c r="S45" i="693"/>
  <c r="R45" i="693"/>
  <c r="Z44" i="693"/>
  <c r="Y44" i="693"/>
  <c r="X44" i="693"/>
  <c r="W44" i="693"/>
  <c r="V44" i="693"/>
  <c r="U44" i="693"/>
  <c r="T44" i="693"/>
  <c r="S44" i="693"/>
  <c r="R44" i="693"/>
  <c r="Z43" i="693"/>
  <c r="Y43" i="693"/>
  <c r="X43" i="693"/>
  <c r="W43" i="693"/>
  <c r="V43" i="693"/>
  <c r="U43" i="693"/>
  <c r="T43" i="693"/>
  <c r="S43" i="693"/>
  <c r="R43" i="693"/>
  <c r="Z42" i="693"/>
  <c r="Y42" i="693"/>
  <c r="X42" i="693"/>
  <c r="W42" i="693"/>
  <c r="V42" i="693"/>
  <c r="U42" i="693"/>
  <c r="T42" i="693"/>
  <c r="S42" i="693"/>
  <c r="R42" i="693"/>
  <c r="Z41" i="693"/>
  <c r="Y41" i="693"/>
  <c r="X41" i="693"/>
  <c r="W41" i="693"/>
  <c r="V41" i="693"/>
  <c r="U41" i="693"/>
  <c r="T41" i="693"/>
  <c r="S41" i="693"/>
  <c r="R41" i="693"/>
  <c r="Z40" i="693"/>
  <c r="Y40" i="693"/>
  <c r="X40" i="693"/>
  <c r="W40" i="693"/>
  <c r="V40" i="693"/>
  <c r="U40" i="693"/>
  <c r="T40" i="693"/>
  <c r="S40" i="693"/>
  <c r="R40" i="693"/>
  <c r="Z39" i="693"/>
  <c r="Y39" i="693"/>
  <c r="X39" i="693"/>
  <c r="W39" i="693"/>
  <c r="V39" i="693"/>
  <c r="U39" i="693"/>
  <c r="T39" i="693"/>
  <c r="S39" i="693"/>
  <c r="R39" i="693"/>
  <c r="Z38" i="693"/>
  <c r="Y38" i="693"/>
  <c r="X38" i="693"/>
  <c r="W38" i="693"/>
  <c r="V38" i="693"/>
  <c r="U38" i="693"/>
  <c r="T38" i="693"/>
  <c r="S38" i="693"/>
  <c r="R38" i="693"/>
  <c r="Z37" i="693"/>
  <c r="Y37" i="693"/>
  <c r="X37" i="693"/>
  <c r="W37" i="693"/>
  <c r="V37" i="693"/>
  <c r="U37" i="693"/>
  <c r="T37" i="693"/>
  <c r="S37" i="693"/>
  <c r="R37" i="693"/>
  <c r="Z36" i="693"/>
  <c r="Y36" i="693"/>
  <c r="X36" i="693"/>
  <c r="W36" i="693"/>
  <c r="V36" i="693"/>
  <c r="U36" i="693"/>
  <c r="T36" i="693"/>
  <c r="S36" i="693"/>
  <c r="R36" i="693"/>
  <c r="Z35" i="693"/>
  <c r="Y35" i="693"/>
  <c r="X35" i="693"/>
  <c r="W35" i="693"/>
  <c r="V35" i="693"/>
  <c r="U35" i="693"/>
  <c r="T35" i="693"/>
  <c r="S35" i="693"/>
  <c r="R35" i="693"/>
  <c r="Z34" i="693"/>
  <c r="Y34" i="693"/>
  <c r="X34" i="693"/>
  <c r="W34" i="693"/>
  <c r="V34" i="693"/>
  <c r="U34" i="693"/>
  <c r="T34" i="693"/>
  <c r="S34" i="693"/>
  <c r="R34" i="693"/>
  <c r="Z33" i="693"/>
  <c r="Y33" i="693"/>
  <c r="X33" i="693"/>
  <c r="W33" i="693"/>
  <c r="V33" i="693"/>
  <c r="U33" i="693"/>
  <c r="T33" i="693"/>
  <c r="S33" i="693"/>
  <c r="R33" i="693"/>
  <c r="Z32" i="693"/>
  <c r="Y32" i="693"/>
  <c r="X32" i="693"/>
  <c r="W32" i="693"/>
  <c r="V32" i="693"/>
  <c r="U32" i="693"/>
  <c r="T32" i="693"/>
  <c r="S32" i="693"/>
  <c r="R32" i="693"/>
  <c r="Z31" i="693"/>
  <c r="Y31" i="693"/>
  <c r="X31" i="693"/>
  <c r="W31" i="693"/>
  <c r="V31" i="693"/>
  <c r="U31" i="693"/>
  <c r="T31" i="693"/>
  <c r="S31" i="693"/>
  <c r="R31" i="693"/>
  <c r="Z30" i="693"/>
  <c r="Y30" i="693"/>
  <c r="X30" i="693"/>
  <c r="W30" i="693"/>
  <c r="V30" i="693"/>
  <c r="U30" i="693"/>
  <c r="T30" i="693"/>
  <c r="S30" i="693"/>
  <c r="R30" i="693"/>
  <c r="Z29" i="693"/>
  <c r="Y29" i="693"/>
  <c r="X29" i="693"/>
  <c r="W29" i="693"/>
  <c r="V29" i="693"/>
  <c r="U29" i="693"/>
  <c r="T29" i="693"/>
  <c r="S29" i="693"/>
  <c r="R29" i="693"/>
  <c r="Z28" i="693"/>
  <c r="Y28" i="693"/>
  <c r="X28" i="693"/>
  <c r="W28" i="693"/>
  <c r="V28" i="693"/>
  <c r="U28" i="693"/>
  <c r="T28" i="693"/>
  <c r="S28" i="693"/>
  <c r="R28" i="693"/>
  <c r="Z27" i="693"/>
  <c r="Y27" i="693"/>
  <c r="X27" i="693"/>
  <c r="W27" i="693"/>
  <c r="V27" i="693"/>
  <c r="U27" i="693"/>
  <c r="T27" i="693"/>
  <c r="S27" i="693"/>
  <c r="R27" i="693"/>
  <c r="Z26" i="693"/>
  <c r="Y26" i="693"/>
  <c r="X26" i="693"/>
  <c r="W26" i="693"/>
  <c r="V26" i="693"/>
  <c r="U26" i="693"/>
  <c r="T26" i="693"/>
  <c r="S26" i="693"/>
  <c r="R26" i="693"/>
  <c r="Z25" i="693"/>
  <c r="Y25" i="693"/>
  <c r="X25" i="693"/>
  <c r="W25" i="693"/>
  <c r="V25" i="693"/>
  <c r="U25" i="693"/>
  <c r="T25" i="693"/>
  <c r="S25" i="693"/>
  <c r="R25" i="693"/>
  <c r="Z24" i="693"/>
  <c r="Y24" i="693"/>
  <c r="X24" i="693"/>
  <c r="W24" i="693"/>
  <c r="V24" i="693"/>
  <c r="U24" i="693"/>
  <c r="T24" i="693"/>
  <c r="S24" i="693"/>
  <c r="R24" i="693"/>
  <c r="Z23" i="693"/>
  <c r="Y23" i="693"/>
  <c r="X23" i="693"/>
  <c r="W23" i="693"/>
  <c r="V23" i="693"/>
  <c r="U23" i="693"/>
  <c r="T23" i="693"/>
  <c r="S23" i="693"/>
  <c r="R23" i="693"/>
  <c r="Z22" i="693"/>
  <c r="Y22" i="693"/>
  <c r="X22" i="693"/>
  <c r="W22" i="693"/>
  <c r="V22" i="693"/>
  <c r="U22" i="693"/>
  <c r="T22" i="693"/>
  <c r="S22" i="693"/>
  <c r="R22" i="693"/>
  <c r="Z21" i="693"/>
  <c r="Y21" i="693"/>
  <c r="X21" i="693"/>
  <c r="W21" i="693"/>
  <c r="V21" i="693"/>
  <c r="U21" i="693"/>
  <c r="T21" i="693"/>
  <c r="S21" i="693"/>
  <c r="R21" i="693"/>
  <c r="Z20" i="693"/>
  <c r="Y20" i="693"/>
  <c r="X20" i="693"/>
  <c r="W20" i="693"/>
  <c r="V20" i="693"/>
  <c r="U20" i="693"/>
  <c r="T20" i="693"/>
  <c r="S20" i="693"/>
  <c r="R20" i="693"/>
  <c r="Z19" i="693"/>
  <c r="Y19" i="693"/>
  <c r="X19" i="693"/>
  <c r="W19" i="693"/>
  <c r="V19" i="693"/>
  <c r="U19" i="693"/>
  <c r="T19" i="693"/>
  <c r="S19" i="693"/>
  <c r="R19" i="693"/>
  <c r="Z18" i="693"/>
  <c r="Y18" i="693"/>
  <c r="X18" i="693"/>
  <c r="W18" i="693"/>
  <c r="V18" i="693"/>
  <c r="U18" i="693"/>
  <c r="T18" i="693"/>
  <c r="S18" i="693"/>
  <c r="R18" i="693"/>
  <c r="Z17" i="693"/>
  <c r="Y17" i="693"/>
  <c r="X17" i="693"/>
  <c r="W17" i="693"/>
  <c r="V17" i="693"/>
  <c r="U17" i="693"/>
  <c r="T17" i="693"/>
  <c r="S17" i="693"/>
  <c r="R17" i="693"/>
  <c r="Z16" i="693"/>
  <c r="Y16" i="693"/>
  <c r="X16" i="693"/>
  <c r="W16" i="693"/>
  <c r="V16" i="693"/>
  <c r="U16" i="693"/>
  <c r="T16" i="693"/>
  <c r="S16" i="693"/>
  <c r="R16" i="693"/>
  <c r="Z15" i="693"/>
  <c r="Y15" i="693"/>
  <c r="X15" i="693"/>
  <c r="W15" i="693"/>
  <c r="V15" i="693"/>
  <c r="U15" i="693"/>
  <c r="T15" i="693"/>
  <c r="S15" i="693"/>
  <c r="R15" i="693"/>
  <c r="Z14" i="693"/>
  <c r="Y14" i="693"/>
  <c r="X14" i="693"/>
  <c r="W14" i="693"/>
  <c r="V14" i="693"/>
  <c r="U14" i="693"/>
  <c r="T14" i="693"/>
  <c r="S14" i="693"/>
  <c r="R14" i="693"/>
  <c r="Z13" i="693"/>
  <c r="Y13" i="693"/>
  <c r="X13" i="693"/>
  <c r="W13" i="693"/>
  <c r="V13" i="693"/>
  <c r="U13" i="693"/>
  <c r="T13" i="693"/>
  <c r="S13" i="693"/>
  <c r="R13" i="693"/>
  <c r="Z12" i="693"/>
  <c r="Y12" i="693"/>
  <c r="X12" i="693"/>
  <c r="W12" i="693"/>
  <c r="V12" i="693"/>
  <c r="U12" i="693"/>
  <c r="T12" i="693"/>
  <c r="S12" i="693"/>
  <c r="R12" i="693"/>
  <c r="R15" i="692"/>
  <c r="S15" i="692"/>
  <c r="T15" i="692"/>
  <c r="U15" i="692"/>
  <c r="V15" i="692"/>
  <c r="W15" i="692"/>
  <c r="X15" i="692"/>
  <c r="Y15" i="692"/>
  <c r="Z15" i="692"/>
  <c r="R12" i="692"/>
  <c r="S12" i="692"/>
  <c r="T12" i="692"/>
  <c r="U12" i="692"/>
  <c r="V12" i="692"/>
  <c r="W12" i="692"/>
  <c r="X12" i="692"/>
  <c r="Y12" i="692"/>
  <c r="Z12" i="692"/>
  <c r="R13" i="692"/>
  <c r="S13" i="692"/>
  <c r="T13" i="692"/>
  <c r="U13" i="692"/>
  <c r="V13" i="692"/>
  <c r="W13" i="692"/>
  <c r="X13" i="692"/>
  <c r="Y13" i="692"/>
  <c r="Z13" i="692"/>
  <c r="R14" i="692"/>
  <c r="S14" i="692"/>
  <c r="T14" i="692"/>
  <c r="U14" i="692"/>
  <c r="V14" i="692"/>
  <c r="W14" i="692"/>
  <c r="X14" i="692"/>
  <c r="Y14" i="692"/>
  <c r="Z14" i="692"/>
  <c r="R16" i="692"/>
  <c r="S16" i="692"/>
  <c r="T16" i="692"/>
  <c r="U16" i="692"/>
  <c r="V16" i="692"/>
  <c r="W16" i="692"/>
  <c r="X16" i="692"/>
  <c r="Y16" i="692"/>
  <c r="Z16" i="692"/>
  <c r="R17" i="692"/>
  <c r="S17" i="692"/>
  <c r="T17" i="692"/>
  <c r="U17" i="692"/>
  <c r="V17" i="692"/>
  <c r="W17" i="692"/>
  <c r="X17" i="692"/>
  <c r="Y17" i="692"/>
  <c r="Z17" i="692"/>
  <c r="C18" i="692"/>
  <c r="C19" i="692"/>
  <c r="C20" i="692"/>
  <c r="C17" i="692"/>
  <c r="D18" i="692"/>
  <c r="E18" i="692"/>
  <c r="F18" i="692"/>
  <c r="G18" i="692"/>
  <c r="I18" i="692"/>
  <c r="J18" i="692"/>
  <c r="L18" i="692"/>
  <c r="M18" i="692"/>
  <c r="N18" i="692"/>
  <c r="O18" i="692"/>
  <c r="D19" i="692"/>
  <c r="E19" i="692"/>
  <c r="F19" i="692"/>
  <c r="G19" i="692"/>
  <c r="I19" i="692"/>
  <c r="J19" i="692"/>
  <c r="L19" i="692"/>
  <c r="M19" i="692"/>
  <c r="N19" i="692"/>
  <c r="O19" i="692"/>
  <c r="D20" i="692"/>
  <c r="E20" i="692"/>
  <c r="F20" i="692"/>
  <c r="G20" i="692"/>
  <c r="I20" i="692"/>
  <c r="J20" i="692"/>
  <c r="L20" i="692"/>
  <c r="M20" i="692"/>
  <c r="N20" i="692"/>
  <c r="O20" i="692"/>
  <c r="O17" i="692"/>
  <c r="N17" i="692"/>
  <c r="M17" i="692"/>
  <c r="L17" i="692"/>
  <c r="J17" i="692"/>
  <c r="I17" i="692"/>
  <c r="G17" i="692"/>
  <c r="F17" i="692"/>
  <c r="E17" i="692"/>
  <c r="D17" i="692"/>
  <c r="L61" i="693" l="1"/>
  <c r="M61" i="693" s="1"/>
  <c r="J58" i="692"/>
  <c r="L58" i="692" s="1"/>
  <c r="M58" i="692" s="1"/>
  <c r="F95" i="692"/>
  <c r="L85" i="692"/>
  <c r="K76" i="692"/>
  <c r="D74" i="692"/>
  <c r="K61" i="692"/>
  <c r="L61" i="692" s="1"/>
  <c r="M61" i="692" s="1"/>
  <c r="Z49" i="692"/>
  <c r="Y49" i="692"/>
  <c r="X49" i="692"/>
  <c r="W49" i="692"/>
  <c r="V49" i="692"/>
  <c r="U49" i="692"/>
  <c r="T49" i="692"/>
  <c r="S49" i="692"/>
  <c r="R49" i="692"/>
  <c r="Z48" i="692"/>
  <c r="Y48" i="692"/>
  <c r="X48" i="692"/>
  <c r="W48" i="692"/>
  <c r="V48" i="692"/>
  <c r="U48" i="692"/>
  <c r="T48" i="692"/>
  <c r="S48" i="692"/>
  <c r="R48" i="692"/>
  <c r="Z47" i="692"/>
  <c r="Y47" i="692"/>
  <c r="X47" i="692"/>
  <c r="W47" i="692"/>
  <c r="V47" i="692"/>
  <c r="U47" i="692"/>
  <c r="T47" i="692"/>
  <c r="S47" i="692"/>
  <c r="R47" i="692"/>
  <c r="Z46" i="692"/>
  <c r="Y46" i="692"/>
  <c r="X46" i="692"/>
  <c r="W46" i="692"/>
  <c r="V46" i="692"/>
  <c r="U46" i="692"/>
  <c r="T46" i="692"/>
  <c r="S46" i="692"/>
  <c r="R46" i="692"/>
  <c r="Z45" i="692"/>
  <c r="Y45" i="692"/>
  <c r="X45" i="692"/>
  <c r="W45" i="692"/>
  <c r="V45" i="692"/>
  <c r="U45" i="692"/>
  <c r="T45" i="692"/>
  <c r="S45" i="692"/>
  <c r="R45" i="692"/>
  <c r="Z44" i="692"/>
  <c r="Y44" i="692"/>
  <c r="X44" i="692"/>
  <c r="W44" i="692"/>
  <c r="V44" i="692"/>
  <c r="U44" i="692"/>
  <c r="T44" i="692"/>
  <c r="S44" i="692"/>
  <c r="R44" i="692"/>
  <c r="Z43" i="692"/>
  <c r="Y43" i="692"/>
  <c r="X43" i="692"/>
  <c r="W43" i="692"/>
  <c r="V43" i="692"/>
  <c r="U43" i="692"/>
  <c r="T43" i="692"/>
  <c r="S43" i="692"/>
  <c r="R43" i="692"/>
  <c r="Z42" i="692"/>
  <c r="Y42" i="692"/>
  <c r="X42" i="692"/>
  <c r="W42" i="692"/>
  <c r="V42" i="692"/>
  <c r="U42" i="692"/>
  <c r="T42" i="692"/>
  <c r="S42" i="692"/>
  <c r="R42" i="692"/>
  <c r="Z41" i="692"/>
  <c r="Y41" i="692"/>
  <c r="X41" i="692"/>
  <c r="W41" i="692"/>
  <c r="V41" i="692"/>
  <c r="U41" i="692"/>
  <c r="T41" i="692"/>
  <c r="S41" i="692"/>
  <c r="R41" i="692"/>
  <c r="Z40" i="692"/>
  <c r="Y40" i="692"/>
  <c r="X40" i="692"/>
  <c r="W40" i="692"/>
  <c r="V40" i="692"/>
  <c r="U40" i="692"/>
  <c r="T40" i="692"/>
  <c r="S40" i="692"/>
  <c r="R40" i="692"/>
  <c r="Z39" i="692"/>
  <c r="Y39" i="692"/>
  <c r="X39" i="692"/>
  <c r="W39" i="692"/>
  <c r="V39" i="692"/>
  <c r="U39" i="692"/>
  <c r="T39" i="692"/>
  <c r="S39" i="692"/>
  <c r="R39" i="692"/>
  <c r="Z38" i="692"/>
  <c r="Y38" i="692"/>
  <c r="X38" i="692"/>
  <c r="W38" i="692"/>
  <c r="V38" i="692"/>
  <c r="U38" i="692"/>
  <c r="T38" i="692"/>
  <c r="S38" i="692"/>
  <c r="R38" i="692"/>
  <c r="Z37" i="692"/>
  <c r="Y37" i="692"/>
  <c r="X37" i="692"/>
  <c r="W37" i="692"/>
  <c r="V37" i="692"/>
  <c r="U37" i="692"/>
  <c r="T37" i="692"/>
  <c r="S37" i="692"/>
  <c r="R37" i="692"/>
  <c r="Z36" i="692"/>
  <c r="Y36" i="692"/>
  <c r="X36" i="692"/>
  <c r="W36" i="692"/>
  <c r="V36" i="692"/>
  <c r="U36" i="692"/>
  <c r="T36" i="692"/>
  <c r="S36" i="692"/>
  <c r="R36" i="692"/>
  <c r="Z35" i="692"/>
  <c r="Y35" i="692"/>
  <c r="X35" i="692"/>
  <c r="W35" i="692"/>
  <c r="V35" i="692"/>
  <c r="U35" i="692"/>
  <c r="T35" i="692"/>
  <c r="S35" i="692"/>
  <c r="R35" i="692"/>
  <c r="Z34" i="692"/>
  <c r="Y34" i="692"/>
  <c r="X34" i="692"/>
  <c r="W34" i="692"/>
  <c r="V34" i="692"/>
  <c r="U34" i="692"/>
  <c r="T34" i="692"/>
  <c r="S34" i="692"/>
  <c r="R34" i="692"/>
  <c r="Z33" i="692"/>
  <c r="Y33" i="692"/>
  <c r="X33" i="692"/>
  <c r="W33" i="692"/>
  <c r="V33" i="692"/>
  <c r="U33" i="692"/>
  <c r="T33" i="692"/>
  <c r="S33" i="692"/>
  <c r="R33" i="692"/>
  <c r="Z32" i="692"/>
  <c r="Y32" i="692"/>
  <c r="X32" i="692"/>
  <c r="W32" i="692"/>
  <c r="V32" i="692"/>
  <c r="U32" i="692"/>
  <c r="T32" i="692"/>
  <c r="S32" i="692"/>
  <c r="R32" i="692"/>
  <c r="Z31" i="692"/>
  <c r="Y31" i="692"/>
  <c r="X31" i="692"/>
  <c r="W31" i="692"/>
  <c r="V31" i="692"/>
  <c r="U31" i="692"/>
  <c r="T31" i="692"/>
  <c r="S31" i="692"/>
  <c r="R31" i="692"/>
  <c r="Z30" i="692"/>
  <c r="Y30" i="692"/>
  <c r="X30" i="692"/>
  <c r="W30" i="692"/>
  <c r="V30" i="692"/>
  <c r="U30" i="692"/>
  <c r="T30" i="692"/>
  <c r="S30" i="692"/>
  <c r="R30" i="692"/>
  <c r="Z29" i="692"/>
  <c r="Y29" i="692"/>
  <c r="X29" i="692"/>
  <c r="W29" i="692"/>
  <c r="V29" i="692"/>
  <c r="U29" i="692"/>
  <c r="T29" i="692"/>
  <c r="S29" i="692"/>
  <c r="R29" i="692"/>
  <c r="Z28" i="692"/>
  <c r="Y28" i="692"/>
  <c r="X28" i="692"/>
  <c r="W28" i="692"/>
  <c r="V28" i="692"/>
  <c r="U28" i="692"/>
  <c r="T28" i="692"/>
  <c r="S28" i="692"/>
  <c r="R28" i="692"/>
  <c r="Z27" i="692"/>
  <c r="Y27" i="692"/>
  <c r="X27" i="692"/>
  <c r="W27" i="692"/>
  <c r="V27" i="692"/>
  <c r="U27" i="692"/>
  <c r="T27" i="692"/>
  <c r="S27" i="692"/>
  <c r="R27" i="692"/>
  <c r="Z26" i="692"/>
  <c r="Y26" i="692"/>
  <c r="X26" i="692"/>
  <c r="W26" i="692"/>
  <c r="V26" i="692"/>
  <c r="U26" i="692"/>
  <c r="T26" i="692"/>
  <c r="S26" i="692"/>
  <c r="R26" i="692"/>
  <c r="Z25" i="692"/>
  <c r="Y25" i="692"/>
  <c r="X25" i="692"/>
  <c r="W25" i="692"/>
  <c r="V25" i="692"/>
  <c r="U25" i="692"/>
  <c r="T25" i="692"/>
  <c r="S25" i="692"/>
  <c r="R25" i="692"/>
  <c r="Z24" i="692"/>
  <c r="Y24" i="692"/>
  <c r="X24" i="692"/>
  <c r="W24" i="692"/>
  <c r="V24" i="692"/>
  <c r="U24" i="692"/>
  <c r="T24" i="692"/>
  <c r="S24" i="692"/>
  <c r="R24" i="692"/>
  <c r="Z23" i="692"/>
  <c r="Y23" i="692"/>
  <c r="X23" i="692"/>
  <c r="W23" i="692"/>
  <c r="V23" i="692"/>
  <c r="U23" i="692"/>
  <c r="T23" i="692"/>
  <c r="S23" i="692"/>
  <c r="R23" i="692"/>
  <c r="Z22" i="692"/>
  <c r="Y22" i="692"/>
  <c r="X22" i="692"/>
  <c r="W22" i="692"/>
  <c r="V22" i="692"/>
  <c r="U22" i="692"/>
  <c r="T22" i="692"/>
  <c r="S22" i="692"/>
  <c r="R22" i="692"/>
  <c r="Z21" i="692"/>
  <c r="Y21" i="692"/>
  <c r="X21" i="692"/>
  <c r="W21" i="692"/>
  <c r="V21" i="692"/>
  <c r="U21" i="692"/>
  <c r="T21" i="692"/>
  <c r="S21" i="692"/>
  <c r="R21" i="692"/>
  <c r="Z20" i="692"/>
  <c r="Y20" i="692"/>
  <c r="X20" i="692"/>
  <c r="W20" i="692"/>
  <c r="V20" i="692"/>
  <c r="U20" i="692"/>
  <c r="T20" i="692"/>
  <c r="S20" i="692"/>
  <c r="R20" i="692"/>
  <c r="Z19" i="692"/>
  <c r="Y19" i="692"/>
  <c r="X19" i="692"/>
  <c r="W19" i="692"/>
  <c r="V19" i="692"/>
  <c r="U19" i="692"/>
  <c r="T19" i="692"/>
  <c r="S19" i="692"/>
  <c r="R19" i="692"/>
  <c r="Z18" i="692"/>
  <c r="Y18" i="692"/>
  <c r="X18" i="692"/>
  <c r="W18" i="692"/>
  <c r="V18" i="692"/>
  <c r="U18" i="692"/>
  <c r="T18" i="692"/>
  <c r="S18" i="692"/>
  <c r="R18" i="692"/>
  <c r="K18" i="692"/>
  <c r="K17" i="692" l="1"/>
  <c r="K19" i="692"/>
  <c r="K20" i="692"/>
  <c r="C11" i="691" l="1"/>
  <c r="D11" i="691"/>
  <c r="E11" i="691"/>
  <c r="F11" i="691"/>
  <c r="G11" i="691"/>
  <c r="L11" i="691"/>
  <c r="M11" i="691"/>
  <c r="N11" i="691"/>
  <c r="O11" i="691"/>
  <c r="C12" i="691"/>
  <c r="D12" i="691"/>
  <c r="E12" i="691"/>
  <c r="F12" i="691"/>
  <c r="G12" i="691"/>
  <c r="L12" i="691"/>
  <c r="M12" i="691"/>
  <c r="N12" i="691"/>
  <c r="O12" i="691"/>
  <c r="C13" i="691"/>
  <c r="D13" i="691"/>
  <c r="E13" i="691"/>
  <c r="F13" i="691"/>
  <c r="G13" i="691"/>
  <c r="L13" i="691"/>
  <c r="M13" i="691"/>
  <c r="N13" i="691"/>
  <c r="O13" i="691"/>
  <c r="N10" i="691"/>
  <c r="O10" i="691" l="1"/>
  <c r="M10" i="691"/>
  <c r="G10" i="691"/>
  <c r="F10" i="691"/>
  <c r="E10" i="691"/>
  <c r="D10" i="691"/>
  <c r="F73" i="691"/>
  <c r="L63" i="691"/>
  <c r="K54" i="691"/>
  <c r="D52" i="691"/>
  <c r="K39" i="691"/>
  <c r="Z28" i="691"/>
  <c r="Y28" i="691"/>
  <c r="X28" i="691"/>
  <c r="W28" i="691"/>
  <c r="V28" i="691"/>
  <c r="U28" i="691"/>
  <c r="T28" i="691"/>
  <c r="S28" i="691"/>
  <c r="R28" i="691"/>
  <c r="Z27" i="691"/>
  <c r="Y27" i="691"/>
  <c r="X27" i="691"/>
  <c r="W27" i="691"/>
  <c r="V27" i="691"/>
  <c r="U27" i="691"/>
  <c r="T27" i="691"/>
  <c r="S27" i="691"/>
  <c r="R27" i="691"/>
  <c r="Z26" i="691"/>
  <c r="Y26" i="691"/>
  <c r="X26" i="691"/>
  <c r="W26" i="691"/>
  <c r="V26" i="691"/>
  <c r="U26" i="691"/>
  <c r="T26" i="691"/>
  <c r="S26" i="691"/>
  <c r="R26" i="691"/>
  <c r="Z25" i="691"/>
  <c r="Y25" i="691"/>
  <c r="X25" i="691"/>
  <c r="W25" i="691"/>
  <c r="V25" i="691"/>
  <c r="U25" i="691"/>
  <c r="T25" i="691"/>
  <c r="S25" i="691"/>
  <c r="R25" i="691"/>
  <c r="Z24" i="691"/>
  <c r="Y24" i="691"/>
  <c r="X24" i="691"/>
  <c r="W24" i="691"/>
  <c r="V24" i="691"/>
  <c r="U24" i="691"/>
  <c r="T24" i="691"/>
  <c r="S24" i="691"/>
  <c r="R24" i="691"/>
  <c r="Z23" i="691"/>
  <c r="Y23" i="691"/>
  <c r="X23" i="691"/>
  <c r="W23" i="691"/>
  <c r="V23" i="691"/>
  <c r="U23" i="691"/>
  <c r="T23" i="691"/>
  <c r="S23" i="691"/>
  <c r="R23" i="691"/>
  <c r="Z22" i="691"/>
  <c r="Y22" i="691"/>
  <c r="X22" i="691"/>
  <c r="W22" i="691"/>
  <c r="V22" i="691"/>
  <c r="U22" i="691"/>
  <c r="T22" i="691"/>
  <c r="S22" i="691"/>
  <c r="R22" i="691"/>
  <c r="Z21" i="691"/>
  <c r="Y21" i="691"/>
  <c r="X21" i="691"/>
  <c r="W21" i="691"/>
  <c r="V21" i="691"/>
  <c r="U21" i="691"/>
  <c r="T21" i="691"/>
  <c r="S21" i="691"/>
  <c r="R21" i="691"/>
  <c r="Z20" i="691"/>
  <c r="Y20" i="691"/>
  <c r="X20" i="691"/>
  <c r="W20" i="691"/>
  <c r="V20" i="691"/>
  <c r="U20" i="691"/>
  <c r="T20" i="691"/>
  <c r="S20" i="691"/>
  <c r="R20" i="691"/>
  <c r="Z19" i="691"/>
  <c r="Y19" i="691"/>
  <c r="X19" i="691"/>
  <c r="W19" i="691"/>
  <c r="V19" i="691"/>
  <c r="U19" i="691"/>
  <c r="T19" i="691"/>
  <c r="S19" i="691"/>
  <c r="R19" i="691"/>
  <c r="Z18" i="691"/>
  <c r="Y18" i="691"/>
  <c r="X18" i="691"/>
  <c r="W18" i="691"/>
  <c r="V18" i="691"/>
  <c r="U18" i="691"/>
  <c r="T18" i="691"/>
  <c r="S18" i="691"/>
  <c r="R18" i="691"/>
  <c r="Z17" i="691"/>
  <c r="Y17" i="691"/>
  <c r="X17" i="691"/>
  <c r="W17" i="691"/>
  <c r="V17" i="691"/>
  <c r="U17" i="691"/>
  <c r="T17" i="691"/>
  <c r="S17" i="691"/>
  <c r="R17" i="691"/>
  <c r="Z16" i="691"/>
  <c r="Y16" i="691"/>
  <c r="X16" i="691"/>
  <c r="W16" i="691"/>
  <c r="V16" i="691"/>
  <c r="U16" i="691"/>
  <c r="T16" i="691"/>
  <c r="S16" i="691"/>
  <c r="R16" i="691"/>
  <c r="Z15" i="691"/>
  <c r="Y15" i="691"/>
  <c r="X15" i="691"/>
  <c r="W15" i="691"/>
  <c r="V15" i="691"/>
  <c r="U15" i="691"/>
  <c r="T15" i="691"/>
  <c r="S15" i="691"/>
  <c r="R15" i="691"/>
  <c r="Z14" i="691"/>
  <c r="Y14" i="691"/>
  <c r="X14" i="691"/>
  <c r="W14" i="691"/>
  <c r="V14" i="691"/>
  <c r="U14" i="691"/>
  <c r="T14" i="691"/>
  <c r="S14" i="691"/>
  <c r="R14" i="691"/>
  <c r="Z13" i="691"/>
  <c r="Y13" i="691"/>
  <c r="X13" i="691"/>
  <c r="W13" i="691"/>
  <c r="V13" i="691"/>
  <c r="U13" i="691"/>
  <c r="T13" i="691"/>
  <c r="S13" i="691"/>
  <c r="R13" i="691"/>
  <c r="Z12" i="691"/>
  <c r="Y12" i="691"/>
  <c r="X12" i="691"/>
  <c r="W12" i="691"/>
  <c r="V12" i="691"/>
  <c r="U12" i="691"/>
  <c r="T12" i="691"/>
  <c r="S12" i="691"/>
  <c r="R12" i="691"/>
  <c r="Z11" i="691"/>
  <c r="Y11" i="691"/>
  <c r="X11" i="691"/>
  <c r="W11" i="691"/>
  <c r="V11" i="691"/>
  <c r="U11" i="691"/>
  <c r="T11" i="691"/>
  <c r="S11" i="691"/>
  <c r="R11" i="691"/>
  <c r="Z10" i="691"/>
  <c r="Y10" i="691"/>
  <c r="X10" i="691"/>
  <c r="W10" i="691"/>
  <c r="V10" i="691"/>
  <c r="U10" i="691"/>
  <c r="T10" i="691"/>
  <c r="S10" i="691"/>
  <c r="R10" i="691"/>
  <c r="L10" i="691" l="1"/>
  <c r="K10" i="691"/>
  <c r="C10" i="691"/>
  <c r="K11" i="691"/>
  <c r="K12" i="691"/>
  <c r="K13" i="691"/>
  <c r="J10" i="691"/>
  <c r="J12" i="691"/>
  <c r="I12" i="691"/>
  <c r="F88" i="690"/>
  <c r="L78" i="690"/>
  <c r="L76" i="690"/>
  <c r="B76" i="690"/>
  <c r="D67" i="690"/>
  <c r="K54" i="690"/>
  <c r="Z43" i="690"/>
  <c r="Y43" i="690"/>
  <c r="X43" i="690"/>
  <c r="W43" i="690"/>
  <c r="V43" i="690"/>
  <c r="U43" i="690"/>
  <c r="T43" i="690"/>
  <c r="S43" i="690"/>
  <c r="R43" i="690"/>
  <c r="Z42" i="690"/>
  <c r="Y42" i="690"/>
  <c r="X42" i="690"/>
  <c r="W42" i="690"/>
  <c r="V42" i="690"/>
  <c r="U42" i="690"/>
  <c r="T42" i="690"/>
  <c r="S42" i="690"/>
  <c r="R42" i="690"/>
  <c r="Z41" i="690"/>
  <c r="Y41" i="690"/>
  <c r="X41" i="690"/>
  <c r="W41" i="690"/>
  <c r="V41" i="690"/>
  <c r="U41" i="690"/>
  <c r="T41" i="690"/>
  <c r="S41" i="690"/>
  <c r="R41" i="690"/>
  <c r="Z40" i="690"/>
  <c r="Y40" i="690"/>
  <c r="X40" i="690"/>
  <c r="W40" i="690"/>
  <c r="V40" i="690"/>
  <c r="U40" i="690"/>
  <c r="T40" i="690"/>
  <c r="S40" i="690"/>
  <c r="R40" i="690"/>
  <c r="Z39" i="690"/>
  <c r="Y39" i="690"/>
  <c r="X39" i="690"/>
  <c r="W39" i="690"/>
  <c r="V39" i="690"/>
  <c r="U39" i="690"/>
  <c r="T39" i="690"/>
  <c r="S39" i="690"/>
  <c r="R39" i="690"/>
  <c r="Z38" i="690"/>
  <c r="Y38" i="690"/>
  <c r="X38" i="690"/>
  <c r="W38" i="690"/>
  <c r="V38" i="690"/>
  <c r="U38" i="690"/>
  <c r="T38" i="690"/>
  <c r="S38" i="690"/>
  <c r="R38" i="690"/>
  <c r="Z37" i="690"/>
  <c r="Y37" i="690"/>
  <c r="X37" i="690"/>
  <c r="W37" i="690"/>
  <c r="V37" i="690"/>
  <c r="U37" i="690"/>
  <c r="T37" i="690"/>
  <c r="S37" i="690"/>
  <c r="R37" i="690"/>
  <c r="Z36" i="690"/>
  <c r="Y36" i="690"/>
  <c r="X36" i="690"/>
  <c r="W36" i="690"/>
  <c r="V36" i="690"/>
  <c r="U36" i="690"/>
  <c r="T36" i="690"/>
  <c r="S36" i="690"/>
  <c r="R36" i="690"/>
  <c r="Z35" i="690"/>
  <c r="Y35" i="690"/>
  <c r="X35" i="690"/>
  <c r="W35" i="690"/>
  <c r="V35" i="690"/>
  <c r="U35" i="690"/>
  <c r="T35" i="690"/>
  <c r="S35" i="690"/>
  <c r="R35" i="690"/>
  <c r="Z34" i="690"/>
  <c r="Y34" i="690"/>
  <c r="X34" i="690"/>
  <c r="W34" i="690"/>
  <c r="V34" i="690"/>
  <c r="U34" i="690"/>
  <c r="T34" i="690"/>
  <c r="S34" i="690"/>
  <c r="R34" i="690"/>
  <c r="Z33" i="690"/>
  <c r="Y33" i="690"/>
  <c r="X33" i="690"/>
  <c r="W33" i="690"/>
  <c r="V33" i="690"/>
  <c r="U33" i="690"/>
  <c r="T33" i="690"/>
  <c r="S33" i="690"/>
  <c r="R33" i="690"/>
  <c r="Z32" i="690"/>
  <c r="Y32" i="690"/>
  <c r="X32" i="690"/>
  <c r="W32" i="690"/>
  <c r="V32" i="690"/>
  <c r="U32" i="690"/>
  <c r="T32" i="690"/>
  <c r="S32" i="690"/>
  <c r="R32" i="690"/>
  <c r="Z31" i="690"/>
  <c r="Y31" i="690"/>
  <c r="X31" i="690"/>
  <c r="W31" i="690"/>
  <c r="V31" i="690"/>
  <c r="U31" i="690"/>
  <c r="T31" i="690"/>
  <c r="S31" i="690"/>
  <c r="R31" i="690"/>
  <c r="Z30" i="690"/>
  <c r="Y30" i="690"/>
  <c r="X30" i="690"/>
  <c r="W30" i="690"/>
  <c r="V30" i="690"/>
  <c r="U30" i="690"/>
  <c r="T30" i="690"/>
  <c r="S30" i="690"/>
  <c r="R30" i="690"/>
  <c r="Z29" i="690"/>
  <c r="Y29" i="690"/>
  <c r="X29" i="690"/>
  <c r="W29" i="690"/>
  <c r="V29" i="690"/>
  <c r="U29" i="690"/>
  <c r="T29" i="690"/>
  <c r="S29" i="690"/>
  <c r="R29" i="690"/>
  <c r="Z28" i="690"/>
  <c r="Y28" i="690"/>
  <c r="X28" i="690"/>
  <c r="W28" i="690"/>
  <c r="V28" i="690"/>
  <c r="U28" i="690"/>
  <c r="T28" i="690"/>
  <c r="S28" i="690"/>
  <c r="R28" i="690"/>
  <c r="Z27" i="690"/>
  <c r="Y27" i="690"/>
  <c r="X27" i="690"/>
  <c r="W27" i="690"/>
  <c r="V27" i="690"/>
  <c r="U27" i="690"/>
  <c r="T27" i="690"/>
  <c r="S27" i="690"/>
  <c r="R27" i="690"/>
  <c r="Z26" i="690"/>
  <c r="Y26" i="690"/>
  <c r="X26" i="690"/>
  <c r="W26" i="690"/>
  <c r="V26" i="690"/>
  <c r="U26" i="690"/>
  <c r="T26" i="690"/>
  <c r="S26" i="690"/>
  <c r="R26" i="690"/>
  <c r="Z25" i="690"/>
  <c r="Y25" i="690"/>
  <c r="X25" i="690"/>
  <c r="W25" i="690"/>
  <c r="V25" i="690"/>
  <c r="U25" i="690"/>
  <c r="T25" i="690"/>
  <c r="S25" i="690"/>
  <c r="R25" i="690"/>
  <c r="Z24" i="690"/>
  <c r="Y24" i="690"/>
  <c r="X24" i="690"/>
  <c r="W24" i="690"/>
  <c r="V24" i="690"/>
  <c r="U24" i="690"/>
  <c r="T24" i="690"/>
  <c r="S24" i="690"/>
  <c r="R24" i="690"/>
  <c r="Z23" i="690"/>
  <c r="Y23" i="690"/>
  <c r="X23" i="690"/>
  <c r="W23" i="690"/>
  <c r="V23" i="690"/>
  <c r="U23" i="690"/>
  <c r="T23" i="690"/>
  <c r="S23" i="690"/>
  <c r="R23" i="690"/>
  <c r="Z22" i="690"/>
  <c r="Y22" i="690"/>
  <c r="X22" i="690"/>
  <c r="W22" i="690"/>
  <c r="V22" i="690"/>
  <c r="U22" i="690"/>
  <c r="T22" i="690"/>
  <c r="S22" i="690"/>
  <c r="R22" i="690"/>
  <c r="Z21" i="690"/>
  <c r="Y21" i="690"/>
  <c r="X21" i="690"/>
  <c r="W21" i="690"/>
  <c r="V21" i="690"/>
  <c r="U21" i="690"/>
  <c r="T21" i="690"/>
  <c r="S21" i="690"/>
  <c r="R21" i="690"/>
  <c r="Z20" i="690"/>
  <c r="Y20" i="690"/>
  <c r="X20" i="690"/>
  <c r="W20" i="690"/>
  <c r="V20" i="690"/>
  <c r="U20" i="690"/>
  <c r="T20" i="690"/>
  <c r="S20" i="690"/>
  <c r="R20" i="690"/>
  <c r="Z19" i="690"/>
  <c r="Y19" i="690"/>
  <c r="X19" i="690"/>
  <c r="W19" i="690"/>
  <c r="V19" i="690"/>
  <c r="U19" i="690"/>
  <c r="T19" i="690"/>
  <c r="S19" i="690"/>
  <c r="R19" i="690"/>
  <c r="O19" i="690"/>
  <c r="N19" i="690"/>
  <c r="M19" i="690"/>
  <c r="L19" i="690"/>
  <c r="J19" i="690"/>
  <c r="I19" i="690"/>
  <c r="G19" i="690"/>
  <c r="F19" i="690"/>
  <c r="E19" i="690"/>
  <c r="D19" i="690"/>
  <c r="C19" i="690"/>
  <c r="Z18" i="690"/>
  <c r="Y18" i="690"/>
  <c r="X18" i="690"/>
  <c r="W18" i="690"/>
  <c r="V18" i="690"/>
  <c r="U18" i="690"/>
  <c r="T18" i="690"/>
  <c r="S18" i="690"/>
  <c r="R18" i="690"/>
  <c r="O18" i="690"/>
  <c r="N18" i="690"/>
  <c r="M18" i="690"/>
  <c r="L18" i="690"/>
  <c r="J18" i="690"/>
  <c r="I18" i="690"/>
  <c r="G18" i="690"/>
  <c r="F18" i="690"/>
  <c r="E18" i="690"/>
  <c r="D18" i="690"/>
  <c r="C18" i="690"/>
  <c r="Z17" i="690"/>
  <c r="Y17" i="690"/>
  <c r="X17" i="690"/>
  <c r="W17" i="690"/>
  <c r="V17" i="690"/>
  <c r="U17" i="690"/>
  <c r="T17" i="690"/>
  <c r="S17" i="690"/>
  <c r="R17" i="690"/>
  <c r="O17" i="690"/>
  <c r="N17" i="690"/>
  <c r="M17" i="690"/>
  <c r="L17" i="690"/>
  <c r="J17" i="690"/>
  <c r="I17" i="690"/>
  <c r="G17" i="690"/>
  <c r="F17" i="690"/>
  <c r="E17" i="690"/>
  <c r="D17" i="690"/>
  <c r="C17" i="690"/>
  <c r="Z16" i="690"/>
  <c r="Y16" i="690"/>
  <c r="X16" i="690"/>
  <c r="W16" i="690"/>
  <c r="V16" i="690"/>
  <c r="U16" i="690"/>
  <c r="T16" i="690"/>
  <c r="S16" i="690"/>
  <c r="R16" i="690"/>
  <c r="O16" i="690"/>
  <c r="N16" i="690"/>
  <c r="M16" i="690"/>
  <c r="L16" i="690"/>
  <c r="J16" i="690"/>
  <c r="I16" i="690"/>
  <c r="G16" i="690"/>
  <c r="F16" i="690"/>
  <c r="E16" i="690"/>
  <c r="D16" i="690"/>
  <c r="C16" i="690"/>
  <c r="Z15" i="690"/>
  <c r="Y15" i="690"/>
  <c r="X15" i="690"/>
  <c r="W15" i="690"/>
  <c r="V15" i="690"/>
  <c r="U15" i="690"/>
  <c r="T15" i="690"/>
  <c r="S15" i="690"/>
  <c r="R15" i="690"/>
  <c r="O15" i="690"/>
  <c r="N15" i="690"/>
  <c r="M15" i="690"/>
  <c r="L15" i="690"/>
  <c r="J15" i="690"/>
  <c r="I15" i="690"/>
  <c r="G15" i="690"/>
  <c r="F15" i="690"/>
  <c r="E15" i="690"/>
  <c r="D15" i="690"/>
  <c r="C15" i="690"/>
  <c r="Z14" i="690"/>
  <c r="Y14" i="690"/>
  <c r="X14" i="690"/>
  <c r="W14" i="690"/>
  <c r="V14" i="690"/>
  <c r="U14" i="690"/>
  <c r="T14" i="690"/>
  <c r="S14" i="690"/>
  <c r="R14" i="690"/>
  <c r="Z13" i="690"/>
  <c r="Y13" i="690"/>
  <c r="X13" i="690"/>
  <c r="W13" i="690"/>
  <c r="V13" i="690"/>
  <c r="U13" i="690"/>
  <c r="T13" i="690"/>
  <c r="S13" i="690"/>
  <c r="R13" i="690"/>
  <c r="Z12" i="690"/>
  <c r="Y12" i="690"/>
  <c r="X12" i="690"/>
  <c r="W12" i="690"/>
  <c r="V12" i="690"/>
  <c r="U12" i="690"/>
  <c r="T12" i="690"/>
  <c r="S12" i="690"/>
  <c r="R12" i="690"/>
  <c r="Z11" i="690"/>
  <c r="Y11" i="690"/>
  <c r="X11" i="690"/>
  <c r="W11" i="690"/>
  <c r="V11" i="690"/>
  <c r="U11" i="690"/>
  <c r="T11" i="690"/>
  <c r="S11" i="690"/>
  <c r="R11" i="690"/>
  <c r="Z10" i="690"/>
  <c r="Y10" i="690"/>
  <c r="X10" i="690"/>
  <c r="W10" i="690"/>
  <c r="V10" i="690"/>
  <c r="U10" i="690"/>
  <c r="T10" i="690"/>
  <c r="S10" i="690"/>
  <c r="R10" i="690"/>
  <c r="O11" i="688"/>
  <c r="O12" i="688"/>
  <c r="O13" i="688"/>
  <c r="O14" i="688"/>
  <c r="O10" i="688"/>
  <c r="N11" i="688"/>
  <c r="N12" i="688"/>
  <c r="N13" i="688"/>
  <c r="N14" i="688"/>
  <c r="N10" i="688"/>
  <c r="M11" i="688"/>
  <c r="M12" i="688"/>
  <c r="M13" i="688"/>
  <c r="M14" i="688"/>
  <c r="M10" i="688"/>
  <c r="L11" i="688"/>
  <c r="L12" i="688"/>
  <c r="L13" i="688"/>
  <c r="L14" i="688"/>
  <c r="L10" i="688"/>
  <c r="J11" i="688"/>
  <c r="J12" i="688"/>
  <c r="J13" i="688"/>
  <c r="J14" i="688"/>
  <c r="J10" i="688"/>
  <c r="I11" i="688"/>
  <c r="I12" i="688"/>
  <c r="I13" i="688"/>
  <c r="I14" i="688"/>
  <c r="I10" i="688"/>
  <c r="G11" i="688"/>
  <c r="G12" i="688"/>
  <c r="G13" i="688"/>
  <c r="G14" i="688"/>
  <c r="G10" i="688"/>
  <c r="F11" i="688"/>
  <c r="F12" i="688"/>
  <c r="F13" i="688"/>
  <c r="F14" i="688"/>
  <c r="F10" i="688"/>
  <c r="E11" i="688"/>
  <c r="E12" i="688"/>
  <c r="E13" i="688"/>
  <c r="E14" i="688"/>
  <c r="E10" i="688"/>
  <c r="C11" i="688"/>
  <c r="D11" i="688"/>
  <c r="C12" i="688"/>
  <c r="D12" i="688"/>
  <c r="C13" i="688"/>
  <c r="D13" i="688"/>
  <c r="C14" i="688"/>
  <c r="D14" i="688"/>
  <c r="D10" i="688"/>
  <c r="C10" i="688"/>
  <c r="M29" i="667"/>
  <c r="L29" i="667"/>
  <c r="K29" i="667"/>
  <c r="O11" i="667"/>
  <c r="O12" i="667"/>
  <c r="O13" i="667"/>
  <c r="O14" i="667"/>
  <c r="O15" i="667"/>
  <c r="O16" i="667"/>
  <c r="O10" i="667"/>
  <c r="N11" i="667"/>
  <c r="N12" i="667"/>
  <c r="N13" i="667"/>
  <c r="N14" i="667"/>
  <c r="N15" i="667"/>
  <c r="N16" i="667"/>
  <c r="N10" i="667"/>
  <c r="M11" i="667"/>
  <c r="M12" i="667"/>
  <c r="M13" i="667"/>
  <c r="M14" i="667"/>
  <c r="M15" i="667"/>
  <c r="M16" i="667"/>
  <c r="M10" i="667"/>
  <c r="L11" i="667"/>
  <c r="L12" i="667"/>
  <c r="L13" i="667"/>
  <c r="L14" i="667"/>
  <c r="L15" i="667"/>
  <c r="L16" i="667"/>
  <c r="L10" i="667"/>
  <c r="J11" i="667"/>
  <c r="J12" i="667"/>
  <c r="J13" i="667"/>
  <c r="J14" i="667"/>
  <c r="J15" i="667"/>
  <c r="J16" i="667"/>
  <c r="J10" i="667"/>
  <c r="I11" i="667"/>
  <c r="I12" i="667"/>
  <c r="I13" i="667"/>
  <c r="I14" i="667"/>
  <c r="I15" i="667"/>
  <c r="I16" i="667"/>
  <c r="C11" i="667"/>
  <c r="D11" i="667"/>
  <c r="E11" i="667"/>
  <c r="F11" i="667"/>
  <c r="G11" i="667"/>
  <c r="C12" i="667"/>
  <c r="D12" i="667"/>
  <c r="E12" i="667"/>
  <c r="F12" i="667"/>
  <c r="G12" i="667"/>
  <c r="C13" i="667"/>
  <c r="D13" i="667"/>
  <c r="E13" i="667"/>
  <c r="F13" i="667"/>
  <c r="G13" i="667"/>
  <c r="C14" i="667"/>
  <c r="D14" i="667"/>
  <c r="E14" i="667"/>
  <c r="F14" i="667"/>
  <c r="G14" i="667"/>
  <c r="C15" i="667"/>
  <c r="D15" i="667"/>
  <c r="E15" i="667"/>
  <c r="F15" i="667"/>
  <c r="G15" i="667"/>
  <c r="C16" i="667"/>
  <c r="D16" i="667"/>
  <c r="E16" i="667"/>
  <c r="F16" i="667"/>
  <c r="G16" i="667"/>
  <c r="G10" i="667"/>
  <c r="F10" i="667"/>
  <c r="E10" i="667"/>
  <c r="D10" i="667"/>
  <c r="C10" i="667"/>
  <c r="F88" i="688"/>
  <c r="L78" i="688"/>
  <c r="L76" i="688"/>
  <c r="B76" i="688"/>
  <c r="K69" i="688"/>
  <c r="D67" i="688"/>
  <c r="Z43" i="688"/>
  <c r="Y43" i="688"/>
  <c r="X43" i="688"/>
  <c r="W43" i="688"/>
  <c r="V43" i="688"/>
  <c r="U43" i="688"/>
  <c r="T43" i="688"/>
  <c r="S43" i="688"/>
  <c r="R43" i="688"/>
  <c r="Z42" i="688"/>
  <c r="Y42" i="688"/>
  <c r="X42" i="688"/>
  <c r="W42" i="688"/>
  <c r="V42" i="688"/>
  <c r="U42" i="688"/>
  <c r="T42" i="688"/>
  <c r="S42" i="688"/>
  <c r="R42" i="688"/>
  <c r="Z41" i="688"/>
  <c r="Y41" i="688"/>
  <c r="X41" i="688"/>
  <c r="W41" i="688"/>
  <c r="V41" i="688"/>
  <c r="U41" i="688"/>
  <c r="T41" i="688"/>
  <c r="S41" i="688"/>
  <c r="R41" i="688"/>
  <c r="Z40" i="688"/>
  <c r="Y40" i="688"/>
  <c r="X40" i="688"/>
  <c r="W40" i="688"/>
  <c r="V40" i="688"/>
  <c r="U40" i="688"/>
  <c r="T40" i="688"/>
  <c r="S40" i="688"/>
  <c r="R40" i="688"/>
  <c r="Z39" i="688"/>
  <c r="Y39" i="688"/>
  <c r="X39" i="688"/>
  <c r="W39" i="688"/>
  <c r="V39" i="688"/>
  <c r="U39" i="688"/>
  <c r="T39" i="688"/>
  <c r="S39" i="688"/>
  <c r="R39" i="688"/>
  <c r="Z38" i="688"/>
  <c r="Y38" i="688"/>
  <c r="X38" i="688"/>
  <c r="W38" i="688"/>
  <c r="V38" i="688"/>
  <c r="U38" i="688"/>
  <c r="T38" i="688"/>
  <c r="S38" i="688"/>
  <c r="R38" i="688"/>
  <c r="Z37" i="688"/>
  <c r="Y37" i="688"/>
  <c r="X37" i="688"/>
  <c r="W37" i="688"/>
  <c r="V37" i="688"/>
  <c r="U37" i="688"/>
  <c r="T37" i="688"/>
  <c r="S37" i="688"/>
  <c r="R37" i="688"/>
  <c r="Z36" i="688"/>
  <c r="Y36" i="688"/>
  <c r="X36" i="688"/>
  <c r="W36" i="688"/>
  <c r="V36" i="688"/>
  <c r="U36" i="688"/>
  <c r="T36" i="688"/>
  <c r="S36" i="688"/>
  <c r="R36" i="688"/>
  <c r="Z35" i="688"/>
  <c r="Y35" i="688"/>
  <c r="X35" i="688"/>
  <c r="W35" i="688"/>
  <c r="V35" i="688"/>
  <c r="U35" i="688"/>
  <c r="T35" i="688"/>
  <c r="S35" i="688"/>
  <c r="R35" i="688"/>
  <c r="Z34" i="688"/>
  <c r="Y34" i="688"/>
  <c r="X34" i="688"/>
  <c r="W34" i="688"/>
  <c r="V34" i="688"/>
  <c r="U34" i="688"/>
  <c r="T34" i="688"/>
  <c r="S34" i="688"/>
  <c r="R34" i="688"/>
  <c r="Z33" i="688"/>
  <c r="Y33" i="688"/>
  <c r="X33" i="688"/>
  <c r="W33" i="688"/>
  <c r="V33" i="688"/>
  <c r="U33" i="688"/>
  <c r="T33" i="688"/>
  <c r="S33" i="688"/>
  <c r="R33" i="688"/>
  <c r="Z32" i="688"/>
  <c r="Y32" i="688"/>
  <c r="X32" i="688"/>
  <c r="W32" i="688"/>
  <c r="V32" i="688"/>
  <c r="U32" i="688"/>
  <c r="T32" i="688"/>
  <c r="S32" i="688"/>
  <c r="R32" i="688"/>
  <c r="Z31" i="688"/>
  <c r="Y31" i="688"/>
  <c r="X31" i="688"/>
  <c r="W31" i="688"/>
  <c r="V31" i="688"/>
  <c r="U31" i="688"/>
  <c r="T31" i="688"/>
  <c r="S31" i="688"/>
  <c r="R31" i="688"/>
  <c r="Z30" i="688"/>
  <c r="Y30" i="688"/>
  <c r="X30" i="688"/>
  <c r="W30" i="688"/>
  <c r="V30" i="688"/>
  <c r="U30" i="688"/>
  <c r="T30" i="688"/>
  <c r="S30" i="688"/>
  <c r="R30" i="688"/>
  <c r="Z29" i="688"/>
  <c r="Y29" i="688"/>
  <c r="X29" i="688"/>
  <c r="W29" i="688"/>
  <c r="V29" i="688"/>
  <c r="U29" i="688"/>
  <c r="T29" i="688"/>
  <c r="S29" i="688"/>
  <c r="R29" i="688"/>
  <c r="Z28" i="688"/>
  <c r="Y28" i="688"/>
  <c r="X28" i="688"/>
  <c r="W28" i="688"/>
  <c r="V28" i="688"/>
  <c r="U28" i="688"/>
  <c r="T28" i="688"/>
  <c r="S28" i="688"/>
  <c r="R28" i="688"/>
  <c r="Z27" i="688"/>
  <c r="Y27" i="688"/>
  <c r="X27" i="688"/>
  <c r="W27" i="688"/>
  <c r="V27" i="688"/>
  <c r="U27" i="688"/>
  <c r="T27" i="688"/>
  <c r="S27" i="688"/>
  <c r="R27" i="688"/>
  <c r="Z26" i="688"/>
  <c r="Y26" i="688"/>
  <c r="X26" i="688"/>
  <c r="W26" i="688"/>
  <c r="V26" i="688"/>
  <c r="U26" i="688"/>
  <c r="T26" i="688"/>
  <c r="S26" i="688"/>
  <c r="R26" i="688"/>
  <c r="Z25" i="688"/>
  <c r="Y25" i="688"/>
  <c r="X25" i="688"/>
  <c r="W25" i="688"/>
  <c r="V25" i="688"/>
  <c r="U25" i="688"/>
  <c r="T25" i="688"/>
  <c r="S25" i="688"/>
  <c r="R25" i="688"/>
  <c r="Z24" i="688"/>
  <c r="Y24" i="688"/>
  <c r="X24" i="688"/>
  <c r="W24" i="688"/>
  <c r="V24" i="688"/>
  <c r="U24" i="688"/>
  <c r="T24" i="688"/>
  <c r="S24" i="688"/>
  <c r="R24" i="688"/>
  <c r="Z23" i="688"/>
  <c r="Y23" i="688"/>
  <c r="X23" i="688"/>
  <c r="W23" i="688"/>
  <c r="V23" i="688"/>
  <c r="U23" i="688"/>
  <c r="T23" i="688"/>
  <c r="S23" i="688"/>
  <c r="R23" i="688"/>
  <c r="Z22" i="688"/>
  <c r="Y22" i="688"/>
  <c r="X22" i="688"/>
  <c r="W22" i="688"/>
  <c r="V22" i="688"/>
  <c r="U22" i="688"/>
  <c r="T22" i="688"/>
  <c r="S22" i="688"/>
  <c r="R22" i="688"/>
  <c r="Z21" i="688"/>
  <c r="Y21" i="688"/>
  <c r="X21" i="688"/>
  <c r="W21" i="688"/>
  <c r="V21" i="688"/>
  <c r="U21" i="688"/>
  <c r="T21" i="688"/>
  <c r="S21" i="688"/>
  <c r="R21" i="688"/>
  <c r="Z20" i="688"/>
  <c r="Y20" i="688"/>
  <c r="X20" i="688"/>
  <c r="W20" i="688"/>
  <c r="V20" i="688"/>
  <c r="U20" i="688"/>
  <c r="T20" i="688"/>
  <c r="S20" i="688"/>
  <c r="R20" i="688"/>
  <c r="Z19" i="688"/>
  <c r="Y19" i="688"/>
  <c r="X19" i="688"/>
  <c r="W19" i="688"/>
  <c r="V19" i="688"/>
  <c r="U19" i="688"/>
  <c r="T19" i="688"/>
  <c r="S19" i="688"/>
  <c r="R19" i="688"/>
  <c r="Z18" i="688"/>
  <c r="Y18" i="688"/>
  <c r="X18" i="688"/>
  <c r="W18" i="688"/>
  <c r="V18" i="688"/>
  <c r="U18" i="688"/>
  <c r="T18" i="688"/>
  <c r="S18" i="688"/>
  <c r="R18" i="688"/>
  <c r="Z17" i="688"/>
  <c r="Y17" i="688"/>
  <c r="X17" i="688"/>
  <c r="W17" i="688"/>
  <c r="V17" i="688"/>
  <c r="U17" i="688"/>
  <c r="T17" i="688"/>
  <c r="S17" i="688"/>
  <c r="R17" i="688"/>
  <c r="Z16" i="688"/>
  <c r="Y16" i="688"/>
  <c r="X16" i="688"/>
  <c r="W16" i="688"/>
  <c r="V16" i="688"/>
  <c r="U16" i="688"/>
  <c r="T16" i="688"/>
  <c r="S16" i="688"/>
  <c r="R16" i="688"/>
  <c r="Z15" i="688"/>
  <c r="Y15" i="688"/>
  <c r="X15" i="688"/>
  <c r="W15" i="688"/>
  <c r="V15" i="688"/>
  <c r="U15" i="688"/>
  <c r="T15" i="688"/>
  <c r="S15" i="688"/>
  <c r="R15" i="688"/>
  <c r="Z14" i="688"/>
  <c r="Y14" i="688"/>
  <c r="X14" i="688"/>
  <c r="W14" i="688"/>
  <c r="V14" i="688"/>
  <c r="U14" i="688"/>
  <c r="T14" i="688"/>
  <c r="S14" i="688"/>
  <c r="R14" i="688"/>
  <c r="Z13" i="688"/>
  <c r="Y13" i="688"/>
  <c r="X13" i="688"/>
  <c r="W13" i="688"/>
  <c r="V13" i="688"/>
  <c r="U13" i="688"/>
  <c r="T13" i="688"/>
  <c r="S13" i="688"/>
  <c r="R13" i="688"/>
  <c r="Z12" i="688"/>
  <c r="Y12" i="688"/>
  <c r="X12" i="688"/>
  <c r="W12" i="688"/>
  <c r="V12" i="688"/>
  <c r="U12" i="688"/>
  <c r="T12" i="688"/>
  <c r="S12" i="688"/>
  <c r="R12" i="688"/>
  <c r="Z11" i="688"/>
  <c r="Y11" i="688"/>
  <c r="X11" i="688"/>
  <c r="W11" i="688"/>
  <c r="V11" i="688"/>
  <c r="U11" i="688"/>
  <c r="T11" i="688"/>
  <c r="S11" i="688"/>
  <c r="R11" i="688"/>
  <c r="Z10" i="688"/>
  <c r="Y10" i="688"/>
  <c r="X10" i="688"/>
  <c r="W10" i="688"/>
  <c r="V10" i="688"/>
  <c r="U10" i="688"/>
  <c r="T10" i="688"/>
  <c r="S10" i="688"/>
  <c r="R10" i="688"/>
  <c r="J45" i="688" l="1"/>
  <c r="L45" i="688" s="1"/>
  <c r="M45" i="688" s="1"/>
  <c r="L45" i="690"/>
  <c r="M45" i="690" s="1"/>
  <c r="J45" i="690"/>
  <c r="K45" i="688"/>
  <c r="K54" i="688" s="1"/>
  <c r="J13" i="691"/>
  <c r="J11" i="691"/>
  <c r="I13" i="691"/>
  <c r="D60" i="19"/>
  <c r="D63" i="19"/>
  <c r="L54" i="688" l="1"/>
  <c r="L54" i="690"/>
  <c r="M54" i="690" s="1"/>
  <c r="I11" i="691"/>
  <c r="I10" i="691"/>
  <c r="J32" i="691" s="1"/>
  <c r="L32" i="691" s="1"/>
  <c r="F74" i="667"/>
  <c r="AY60" i="667"/>
  <c r="AX60" i="667"/>
  <c r="AW60" i="667"/>
  <c r="AV60" i="667"/>
  <c r="AU60" i="667"/>
  <c r="AT60" i="667"/>
  <c r="AS60" i="667"/>
  <c r="AR60" i="667"/>
  <c r="AQ60" i="667"/>
  <c r="AP60" i="667"/>
  <c r="AO60" i="667"/>
  <c r="AN60" i="667"/>
  <c r="AM60" i="667"/>
  <c r="AL60" i="667"/>
  <c r="AK60" i="667"/>
  <c r="AJ60" i="667"/>
  <c r="AI60" i="667"/>
  <c r="AH60" i="667"/>
  <c r="AG60" i="667"/>
  <c r="AF60" i="667"/>
  <c r="AE60" i="667"/>
  <c r="AD60" i="667"/>
  <c r="AC60" i="667"/>
  <c r="AB60" i="667"/>
  <c r="AA60" i="667"/>
  <c r="Z60" i="667"/>
  <c r="Y60" i="667"/>
  <c r="X60" i="667"/>
  <c r="W60" i="667"/>
  <c r="V60" i="667"/>
  <c r="U60" i="667"/>
  <c r="D52" i="667"/>
  <c r="AA26" i="667"/>
  <c r="Z26" i="667"/>
  <c r="Y26" i="667"/>
  <c r="X26" i="667"/>
  <c r="W26" i="667"/>
  <c r="V26" i="667"/>
  <c r="U26" i="667"/>
  <c r="T26" i="667"/>
  <c r="S26" i="667"/>
  <c r="AA25" i="667"/>
  <c r="Z25" i="667"/>
  <c r="Y25" i="667"/>
  <c r="X25" i="667"/>
  <c r="W25" i="667"/>
  <c r="V25" i="667"/>
  <c r="U25" i="667"/>
  <c r="T25" i="667"/>
  <c r="S25" i="667"/>
  <c r="AA24" i="667"/>
  <c r="Z24" i="667"/>
  <c r="Y24" i="667"/>
  <c r="X24" i="667"/>
  <c r="W24" i="667"/>
  <c r="V24" i="667"/>
  <c r="U24" i="667"/>
  <c r="T24" i="667"/>
  <c r="S24" i="667"/>
  <c r="AA23" i="667"/>
  <c r="Z23" i="667"/>
  <c r="Y23" i="667"/>
  <c r="X23" i="667"/>
  <c r="W23" i="667"/>
  <c r="V23" i="667"/>
  <c r="U23" i="667"/>
  <c r="T23" i="667"/>
  <c r="S23" i="667"/>
  <c r="AA22" i="667"/>
  <c r="Z22" i="667"/>
  <c r="Y22" i="667"/>
  <c r="X22" i="667"/>
  <c r="W22" i="667"/>
  <c r="V22" i="667"/>
  <c r="U22" i="667"/>
  <c r="T22" i="667"/>
  <c r="S22" i="667"/>
  <c r="AA21" i="667"/>
  <c r="Z21" i="667"/>
  <c r="Y21" i="667"/>
  <c r="X21" i="667"/>
  <c r="W21" i="667"/>
  <c r="V21" i="667"/>
  <c r="U21" i="667"/>
  <c r="T21" i="667"/>
  <c r="S21" i="667"/>
  <c r="AA20" i="667"/>
  <c r="Z20" i="667"/>
  <c r="Y20" i="667"/>
  <c r="X20" i="667"/>
  <c r="W20" i="667"/>
  <c r="V20" i="667"/>
  <c r="U20" i="667"/>
  <c r="T20" i="667"/>
  <c r="S20" i="667"/>
  <c r="AA19" i="667"/>
  <c r="Z19" i="667"/>
  <c r="Y19" i="667"/>
  <c r="X19" i="667"/>
  <c r="W19" i="667"/>
  <c r="V19" i="667"/>
  <c r="U19" i="667"/>
  <c r="T19" i="667"/>
  <c r="S19" i="667"/>
  <c r="AA18" i="667"/>
  <c r="Z18" i="667"/>
  <c r="Y18" i="667"/>
  <c r="X18" i="667"/>
  <c r="W18" i="667"/>
  <c r="V18" i="667"/>
  <c r="U18" i="667"/>
  <c r="T18" i="667"/>
  <c r="S18" i="667"/>
  <c r="AA17" i="667"/>
  <c r="Z17" i="667"/>
  <c r="Y17" i="667"/>
  <c r="X17" i="667"/>
  <c r="W17" i="667"/>
  <c r="V17" i="667"/>
  <c r="U17" i="667"/>
  <c r="T17" i="667"/>
  <c r="S17" i="667"/>
  <c r="AA16" i="667"/>
  <c r="Z16" i="667"/>
  <c r="Y16" i="667"/>
  <c r="X16" i="667"/>
  <c r="W16" i="667"/>
  <c r="V16" i="667"/>
  <c r="U16" i="667"/>
  <c r="T16" i="667"/>
  <c r="S16" i="667"/>
  <c r="AA15" i="667"/>
  <c r="Z15" i="667"/>
  <c r="Y15" i="667"/>
  <c r="X15" i="667"/>
  <c r="W15" i="667"/>
  <c r="V15" i="667"/>
  <c r="U15" i="667"/>
  <c r="T15" i="667"/>
  <c r="S15" i="667"/>
  <c r="AA14" i="667"/>
  <c r="Z14" i="667"/>
  <c r="Y14" i="667"/>
  <c r="X14" i="667"/>
  <c r="W14" i="667"/>
  <c r="V14" i="667"/>
  <c r="U14" i="667"/>
  <c r="T14" i="667"/>
  <c r="S14" i="667"/>
  <c r="AA13" i="667"/>
  <c r="Z13" i="667"/>
  <c r="Y13" i="667"/>
  <c r="X13" i="667"/>
  <c r="W13" i="667"/>
  <c r="V13" i="667"/>
  <c r="U13" i="667"/>
  <c r="T13" i="667"/>
  <c r="S13" i="667"/>
  <c r="AA12" i="667"/>
  <c r="Z12" i="667"/>
  <c r="Y12" i="667"/>
  <c r="X12" i="667"/>
  <c r="W12" i="667"/>
  <c r="V12" i="667"/>
  <c r="U12" i="667"/>
  <c r="T12" i="667"/>
  <c r="S12" i="667"/>
  <c r="AA11" i="667"/>
  <c r="Z11" i="667"/>
  <c r="Y11" i="667"/>
  <c r="X11" i="667"/>
  <c r="W11" i="667"/>
  <c r="V11" i="667"/>
  <c r="U11" i="667"/>
  <c r="T11" i="667"/>
  <c r="S11" i="667"/>
  <c r="AA10" i="667"/>
  <c r="Z10" i="667"/>
  <c r="Y10" i="667"/>
  <c r="X10" i="667"/>
  <c r="W10" i="667"/>
  <c r="V10" i="667"/>
  <c r="U10" i="667"/>
  <c r="T10" i="667"/>
  <c r="S10" i="667"/>
  <c r="M32" i="691" l="1"/>
  <c r="L39" i="691"/>
  <c r="M39" i="691" s="1"/>
  <c r="K54" i="667"/>
  <c r="J60" i="19" l="1"/>
  <c r="J63" i="19"/>
  <c r="G60" i="19"/>
  <c r="G63" i="19"/>
  <c r="M45" i="667" l="1"/>
  <c r="F94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4" i="658"/>
  <c r="L65" i="658" s="1"/>
  <c r="M65" i="658" s="1"/>
  <c r="D72" i="658"/>
  <c r="M58" i="658"/>
  <c r="M57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D65" i="19" l="1"/>
  <c r="H40" i="21" l="1"/>
  <c r="H41" i="21"/>
  <c r="H44" i="21"/>
  <c r="D40" i="21" l="1"/>
  <c r="D41" i="21"/>
  <c r="D44" i="21"/>
  <c r="D45" i="21"/>
  <c r="D47" i="21"/>
  <c r="N47" i="21" l="1"/>
  <c r="F38" i="21" l="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C33" i="18" l="1"/>
  <c r="I20" i="18"/>
  <c r="C33" i="19"/>
  <c r="D40" i="19"/>
  <c r="I20" i="19"/>
  <c r="D40" i="18"/>
  <c r="O47" i="21" l="1"/>
  <c r="E44" i="21" l="1"/>
  <c r="E41" i="21" l="1"/>
  <c r="E40" i="21"/>
  <c r="E47" i="21" l="1"/>
  <c r="F47" i="21" l="1"/>
  <c r="G47" i="21" l="1"/>
  <c r="H47" i="21" l="1"/>
  <c r="E7" i="21" l="1"/>
  <c r="P42" i="21"/>
  <c r="F7" i="21" s="1"/>
  <c r="E6" i="21" l="1"/>
  <c r="E9" i="21" l="1"/>
  <c r="E8" i="21"/>
  <c r="E5" i="21"/>
  <c r="I47" i="21"/>
  <c r="E10" i="21" l="1"/>
  <c r="J47" i="21" l="1"/>
  <c r="P45" i="21" l="1"/>
  <c r="F9" i="21" s="1"/>
  <c r="K47" i="21" l="1"/>
  <c r="L47" i="21" l="1"/>
  <c r="P40" i="21" l="1"/>
  <c r="F5" i="21" s="1"/>
  <c r="P44" i="21" l="1"/>
  <c r="F8" i="21" s="1"/>
  <c r="P41" i="21"/>
  <c r="F6" i="21" s="1"/>
  <c r="M47" i="21" l="1"/>
  <c r="P47" i="21" s="1"/>
  <c r="F10" i="21" s="1"/>
  <c r="L56" i="658" l="1"/>
  <c r="L59" i="658" s="1"/>
  <c r="M59" i="658" s="1"/>
  <c r="M56" i="658"/>
  <c r="G79" i="658" l="1"/>
  <c r="K79" i="658" l="1"/>
  <c r="K90" i="658" s="1"/>
  <c r="D79" i="658" l="1"/>
  <c r="L79" i="658" s="1"/>
  <c r="C90" i="658" s="1"/>
  <c r="G90" i="658"/>
  <c r="K39" i="667" l="1"/>
  <c r="L39" i="667" s="1"/>
  <c r="M39" i="667" l="1"/>
  <c r="J61" i="19" l="1"/>
  <c r="J58" i="19"/>
  <c r="J59" i="19" l="1"/>
  <c r="J62" i="19" l="1"/>
  <c r="J57" i="19" l="1"/>
  <c r="J64" i="18" l="1"/>
  <c r="J64" i="19"/>
  <c r="G56" i="19" l="1"/>
  <c r="D62" i="19" l="1"/>
  <c r="D59" i="19" l="1"/>
  <c r="D61" i="19" l="1"/>
  <c r="D58" i="19"/>
  <c r="G59" i="19" l="1"/>
  <c r="G58" i="19"/>
  <c r="G61" i="19"/>
  <c r="G62" i="19"/>
  <c r="G64" i="18" l="1"/>
  <c r="G57" i="19"/>
  <c r="G64" i="19" l="1"/>
  <c r="D57" i="19" l="1"/>
  <c r="D64" i="19" l="1"/>
  <c r="I10" i="667" l="1"/>
  <c r="J29" i="667" s="1"/>
  <c r="K11" i="667" l="1"/>
  <c r="K12" i="667"/>
  <c r="K13" i="667"/>
  <c r="K14" i="667"/>
  <c r="K15" i="667"/>
  <c r="K16" i="667"/>
  <c r="K16" i="695"/>
  <c r="K17" i="695"/>
  <c r="K18" i="695"/>
  <c r="K19" i="695"/>
  <c r="K10" i="667"/>
  <c r="J19" i="695" l="1"/>
  <c r="M29" i="695" l="1"/>
  <c r="L29" i="695"/>
  <c r="L39" i="695" s="1"/>
  <c r="M39" i="695" s="1"/>
  <c r="I19" i="695"/>
  <c r="J29" i="695" s="1"/>
  <c r="N26" i="697"/>
  <c r="G72" i="698" l="1"/>
  <c r="G82" i="698" l="1"/>
  <c r="D72" i="698"/>
  <c r="L72" i="698" s="1"/>
  <c r="C82" i="698" s="1"/>
  <c r="K72" i="698" l="1"/>
  <c r="K82" i="698" s="1"/>
  <c r="D74" i="690"/>
  <c r="D61" i="691"/>
  <c r="D74" i="688"/>
  <c r="D83" i="693"/>
  <c r="D81" i="692"/>
  <c r="D59" i="667"/>
  <c r="G68" i="691"/>
  <c r="G83" i="692" l="1"/>
  <c r="G59" i="667"/>
  <c r="L59" i="667" s="1"/>
  <c r="C69" i="667" s="1"/>
  <c r="G74" i="688"/>
  <c r="L74" i="688" s="1"/>
  <c r="C83" i="688" s="1"/>
  <c r="D83" i="688" s="1"/>
  <c r="G61" i="691"/>
  <c r="L61" i="691" s="1"/>
  <c r="C68" i="691" s="1"/>
  <c r="E81" i="693"/>
  <c r="G63" i="697"/>
  <c r="G83" i="693"/>
  <c r="L83" i="693" s="1"/>
  <c r="C90" i="693" s="1"/>
  <c r="G81" i="692"/>
  <c r="L81" i="692" s="1"/>
  <c r="C90" i="692" s="1"/>
  <c r="D59" i="691"/>
  <c r="G81" i="693"/>
  <c r="G59" i="691"/>
  <c r="G83" i="690"/>
  <c r="H83" i="690" s="1"/>
  <c r="G90" i="692"/>
  <c r="G69" i="667"/>
  <c r="E83" i="692"/>
  <c r="G74" i="697"/>
  <c r="D63" i="697"/>
  <c r="G74" i="690"/>
  <c r="L74" i="690" s="1"/>
  <c r="C83" i="690" s="1"/>
  <c r="D83" i="690" s="1"/>
  <c r="G69" i="691"/>
  <c r="G83" i="688"/>
  <c r="H83" i="688" s="1"/>
  <c r="G90" i="693"/>
  <c r="L59" i="691" l="1"/>
  <c r="C69" i="691" s="1"/>
  <c r="L63" i="697"/>
  <c r="C74" i="697" s="1"/>
  <c r="G57" i="18"/>
  <c r="G56" i="18"/>
  <c r="K81" i="693" l="1"/>
  <c r="K92" i="693" s="1"/>
  <c r="K74" i="690"/>
  <c r="K83" i="690" s="1"/>
  <c r="L83" i="690" s="1"/>
  <c r="K83" i="693"/>
  <c r="K90" i="693" s="1"/>
  <c r="K59" i="667"/>
  <c r="K69" i="667" s="1"/>
  <c r="K59" i="691"/>
  <c r="K69" i="691" s="1"/>
  <c r="K74" i="688"/>
  <c r="K83" i="688" s="1"/>
  <c r="L83" i="688" s="1"/>
  <c r="K83" i="692"/>
  <c r="K61" i="691"/>
  <c r="K68" i="691" s="1"/>
  <c r="K81" i="692"/>
  <c r="K90" i="692" s="1"/>
  <c r="K63" i="697"/>
  <c r="K74" i="697" s="1"/>
  <c r="J59" i="18" l="1"/>
  <c r="J56" i="18"/>
  <c r="J57" i="18"/>
  <c r="J58" i="18"/>
  <c r="N33" i="699" l="1"/>
  <c r="J32" i="699" l="1"/>
  <c r="I33" i="699"/>
  <c r="N36" i="700"/>
  <c r="J33" i="699"/>
  <c r="J36" i="700"/>
  <c r="J34" i="699"/>
  <c r="I34" i="700"/>
  <c r="I31" i="699"/>
  <c r="J31" i="699"/>
  <c r="I34" i="699"/>
  <c r="I32" i="699"/>
  <c r="J44" i="699" l="1"/>
  <c r="I36" i="700"/>
  <c r="J34" i="700"/>
  <c r="I35" i="700"/>
  <c r="J35" i="700"/>
  <c r="J37" i="700"/>
  <c r="I37" i="700" l="1"/>
  <c r="J52" i="700" s="1"/>
  <c r="K40" i="700" l="1"/>
  <c r="K32" i="698"/>
  <c r="K33" i="698"/>
  <c r="K34" i="698"/>
  <c r="K35" i="698"/>
  <c r="K36" i="698"/>
  <c r="K39" i="700"/>
  <c r="K41" i="700"/>
  <c r="K42" i="700"/>
  <c r="K42" i="701"/>
  <c r="K43" i="701"/>
  <c r="K44" i="701"/>
  <c r="K45" i="701"/>
  <c r="K26" i="697"/>
  <c r="K27" i="697"/>
  <c r="K28" i="697"/>
  <c r="K29" i="697"/>
  <c r="K29" i="698"/>
  <c r="K30" i="698"/>
  <c r="K19" i="690"/>
  <c r="K23" i="696"/>
  <c r="K24" i="696"/>
  <c r="K25" i="696"/>
  <c r="K26" i="696"/>
  <c r="K17" i="690"/>
  <c r="K18" i="690"/>
  <c r="K16" i="690"/>
  <c r="K10" i="688"/>
  <c r="K11" i="688"/>
  <c r="K12" i="688"/>
  <c r="K13" i="688"/>
  <c r="K14" i="688"/>
  <c r="K15" i="690"/>
  <c r="M56" i="701" l="1"/>
  <c r="L56" i="701"/>
  <c r="L65" i="701" s="1"/>
  <c r="M65" i="701" s="1"/>
  <c r="I45" i="701"/>
  <c r="J56" i="701" s="1"/>
  <c r="K35" i="700"/>
  <c r="K31" i="699"/>
  <c r="K32" i="699"/>
  <c r="K33" i="699"/>
  <c r="K34" i="699"/>
  <c r="K34" i="700"/>
  <c r="K36" i="700"/>
  <c r="K37" i="700"/>
  <c r="K13" i="693" l="1"/>
  <c r="K14" i="693"/>
  <c r="K15" i="693"/>
  <c r="K16" i="693"/>
  <c r="K17" i="693"/>
  <c r="K18" i="693"/>
  <c r="K19" i="693"/>
  <c r="K12" i="693"/>
  <c r="F91" i="702" l="1"/>
  <c r="D83" i="692"/>
  <c r="L83" i="692" s="1"/>
  <c r="H91" i="702" l="1"/>
  <c r="I91" i="702"/>
  <c r="G75" i="700"/>
  <c r="G84" i="701"/>
  <c r="D81" i="693"/>
  <c r="L81" i="693" s="1"/>
  <c r="D75" i="700"/>
  <c r="L75" i="700" s="1"/>
  <c r="C91" i="700" s="1"/>
  <c r="K75" i="700" l="1"/>
  <c r="K91" i="700"/>
  <c r="D84" i="701"/>
  <c r="L84" i="701" s="1"/>
  <c r="C100" i="701" s="1"/>
  <c r="G100" i="701" l="1"/>
  <c r="G59" i="18"/>
  <c r="G91" i="700"/>
  <c r="K84" i="701" l="1"/>
  <c r="K100" i="701"/>
  <c r="J62" i="18"/>
  <c r="G58" i="18"/>
  <c r="G62" i="18"/>
  <c r="J17" i="705" l="1"/>
  <c r="I18" i="705"/>
  <c r="J16" i="705"/>
  <c r="J15" i="705"/>
  <c r="I17" i="705"/>
  <c r="J37" i="704"/>
  <c r="I16" i="705"/>
  <c r="I15" i="705"/>
  <c r="J18" i="705"/>
  <c r="J55" i="705" l="1"/>
  <c r="M55" i="705"/>
  <c r="L55" i="705"/>
  <c r="L65" i="705" s="1"/>
  <c r="M65" i="705" s="1"/>
  <c r="I37" i="704"/>
  <c r="J55" i="704" s="1"/>
  <c r="M55" i="704"/>
  <c r="L55" i="704"/>
  <c r="L65" i="704" s="1"/>
  <c r="M65" i="704" s="1"/>
  <c r="D62" i="18" l="1"/>
  <c r="F84" i="703" l="1"/>
  <c r="I84" i="703" l="1"/>
  <c r="H84" i="703"/>
  <c r="D57" i="18"/>
  <c r="D59" i="18"/>
  <c r="D58" i="18" l="1"/>
  <c r="D64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5E0AFF0-2CAC-4DF0-A53C-9D9694D0EF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B72CC59-2511-4119-B3D4-8D8BA23D70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0306482-871A-4BA0-84C1-B1385ABAA5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A97417F-E4FE-4E89-825B-ACC32A0320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4B8862A-6861-4452-8DC0-EDB2175A20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F53E446-D1E0-491D-BD3A-5786B65C39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3D8A8BE-F791-4C69-A0AB-B5D2B73AF9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BDC32B1-15E9-4813-8234-606F17905A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EA9FE92-892E-4D4F-B979-96869D69AA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A67DAAB-7DB3-4CC0-9851-DF1434EB8B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6DCEF65F-6023-40F6-B60F-394747DAA8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402D0C7-1547-4CB7-9025-A9CC1F8F53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6B360BE-6F83-4524-A038-CAA5D03062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DDAD139-D525-48D5-A18B-1F761FDCE4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D7CA435-97A5-4F49-ACB1-C9A9672471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3044631-30C3-4B1F-A79D-FDA79638FD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E9C961B-B9EC-4EC7-8024-6EDFFC96AE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82D5251-0110-4963-89C4-6583AFB584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803E05F-77FB-418F-8FF4-89FCC86B89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562388A-6A1E-4074-9D3D-47A78021D8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7345E4E-5DCB-4C56-993A-10303F960F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1A2BF37-C16C-4CE4-9001-47032A2796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159002D-1DAF-469D-9BAD-0FB596EEA5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6D7C09C-B0D2-4BF2-AC7D-E4C612BA0A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A88AEE7-BC3B-4E89-ACB1-2A8CCC690A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B556027-0552-4A59-BB6B-622741EC52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3A02635-39D4-48F2-BE5A-B135702304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280AA90-6A60-4FE8-9123-48921DDAC0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0DC3C989-26C1-45F7-9E34-D357FBBFBE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9E4333B-AC02-4BB6-A7B5-F4445C8FC4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93C20CB-EF43-40CE-945E-73F45DF519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824833B-99D7-4E32-B760-5BDF371EC9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EC3DF1B-9FEA-4B52-AE81-5F5F579168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936CDCF-BD74-48D4-A5A8-80AB60ACF4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4237632-2CCA-4D77-BA24-C6D655829E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CD07C18-4A84-41BE-AD98-DF1C48C8F0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115EA42-2C72-47EE-8A82-01B14641E4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F140064-E2F9-4F77-8249-31A968AAB0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81598E2-8E3F-4AA5-8CF7-A12D657792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11" authorId="0" shapeId="0" xr:uid="{34B2CC39-661C-45EC-B7A2-E19F9440CB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39AE57F4-7EBE-442C-8F15-06462EA56E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1253855-21ED-4BC5-A78D-6531BFC436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D048A32-F66B-4DCC-B849-AAA63B0435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04AB757-2D51-4BA9-AF05-3730C9174C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B5120FC-7255-40EF-8A65-7F19D56BEE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DF2AF2-7853-40D8-AE02-A5A5EBBD99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97A6B4F-7448-46DE-BBAA-C8997EC81A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EFE23E-800D-4C65-AF2A-04974FE481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50074F2-F98A-439E-A0AF-5DD361668C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11" authorId="0" shapeId="0" xr:uid="{F16ECD58-6209-400E-84ED-798393539F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2E49D41B-494B-46E7-8C46-A260417991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D557A62-22D6-41E9-B508-914A8CD5AB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5A29D0D-11F5-4309-BA8F-723889FF90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2FBA45D4-C6C5-4F87-9D46-63B6B7B4ED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536C276-38A5-4FB9-BBF4-FB20AC1DED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4BDA7BD-23BB-4B14-A2C3-618C4C84C0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964C421-D847-4268-91B4-7632038BEB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6FBE01EE-B247-4660-B3CA-20040FEC56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B007F61D-25D4-4446-8BA7-C350EE6F4B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4FFE1B4D-E75D-4285-B7DB-1D10C6691E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3" authorId="0" shapeId="0" xr:uid="{FE3EC2E3-C723-4815-A91C-D830705FDC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A37F517-1581-40F5-A211-9FE60A8314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8C741AAC-0666-471B-951A-1415D63B6D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CE37F35-D634-4E0A-B348-48304B19E2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7B6753B-C185-46AB-B315-E43B521469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16F97516-44C5-4EE1-AAE3-FFCADD9874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945C901-2B54-484D-A9C4-23A7D3FE03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E394274-6927-40C4-BEB3-BC1485AFC9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EAB60451-4138-4B4F-8622-F328734D84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2EB59FA-1C90-47E9-A46E-907369945F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E82DA33-0232-47E3-964B-786D510198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3" authorId="0" shapeId="0" xr:uid="{F2D78E15-7410-45DE-B2F5-21C3279019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A46C122-9C4E-47DF-A66A-10E70974A6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3C11B98-FF66-469F-8BCD-E8164EAE77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540E589-E91E-47B1-916C-8A3F189059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B6B936BF-1612-4C50-B6D2-DEDB4C0BA1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8D8CBFE-D0F7-4345-98A5-89CE3356D5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170BFBE6-6525-4463-B81B-039DB56262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5A450A88-ABA9-4999-AA38-897BECF4A6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13AF113A-2BC5-461A-AE97-501CBC78CA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2342028-FA88-4104-88AC-8EC8A62C1B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04C669C7-B647-43A9-879C-AE91DE500A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4" authorId="0" shapeId="0" xr:uid="{AE912055-258E-477B-A3A9-CB5E1EEDA1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77156BC7-0FCA-4E90-81C7-45093076E5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F8C3B2FE-C9F5-43BD-8B77-1E659417A7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7EAFC6-4BC8-4769-A010-C187CD41A8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2FF008EB-90FE-49A6-9EEB-AC1AF8861E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F449B7B3-96F2-4A5D-A079-64E914EF54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04717CA0-2078-4212-BE8B-5D5E0D548F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79BCCBA-FEB5-441A-A11A-9CAF3F8C09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91B809FD-9E98-4B4B-93AA-79C51D87F5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B9BE59C-D62D-47AD-9B0F-2C41B0891D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28F82F00-FC4D-4186-BA56-552CC67932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0" shapeId="0" xr:uid="{1889D5AF-91B7-4A72-8DBD-51A1C960DD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CD680E99-62B8-42F7-8EB7-4C961E1D1B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0D452F62-1A55-4CD9-A52D-9ECBE7DB76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AE3124B-1DEE-4BF8-904C-2E6473DF3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6DC5C817-1774-4830-8095-B82C96144C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00D777A2-F173-452C-8D28-D1870FCFC8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A52965C4-DF87-4716-B7C2-F9974A499A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178E79F9-FE4B-4F89-84D8-1FF1CE1824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E01B47EB-D40F-403D-B9F3-941EEB1CB9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D32CEAA-9B69-4EFD-9F4F-4A38960E44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430F90A9-595F-43DC-AC27-13F97F1BC3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EBAD414-3294-4D81-B3A9-7C4E994C25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8A95FE1C-D85B-4C1B-B39C-CFFCD8DCC3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D1CF09E-C55D-4BFA-BC77-0BE33B6E30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973E85E-9373-4ACD-9A52-3D02538810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238637DE-F176-49CE-A7C8-46CE7E0C4F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54517678-14A1-4825-8BDE-7F224E1E9B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4AB3DC1-CD0C-409A-A93D-3544EF30E8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5C2AFB0-25E0-4418-A258-0E768CECF7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DD8B2855-CC66-40C1-B557-C73AD7896A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789F3E8B-6866-40D8-B5C5-E801C11AED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8114DA5-3718-444E-B1D0-C8C5C3A647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A8B21E0E-C2B0-4E62-A394-5833A5C38A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B560190-80B5-4615-98B1-F9AC84D90A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04D43444-DDB6-40F9-BA7B-BDBE268BA3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3DE61C1-643A-4504-A46D-EEEADA7377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005FE521-A5B5-40AD-94CD-591527F62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CD6CEECD-C016-44D9-8583-FE6D776DA0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56870047-FEDE-4986-B0D6-CC052E447C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35C91B06-AFE8-4787-ABB5-C8312CEE19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C500ECA7-254C-48CE-A35B-1D80A10060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75747994-9582-4935-AF6A-1E6AD418F9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CFF2C718-6408-4844-A4AE-B55AEA64E1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C9A9BD8-04C5-4D11-991A-316B5C835A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92959C2-47E4-43FB-BFB0-051F18BD89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B4A8139-0B18-49B3-99D6-8957AFBCAD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B442FE55-58E2-4F2A-84AB-8C4708492C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B1C84C75-42EB-4861-85CB-4D89551071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F9230D61-276E-4AA5-8213-BFC14176E7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4C026CF5-6FAE-44B0-A960-D0513028A9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C2FBB2D-8C58-4BFD-909E-92C1501FF0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84EE15E-8AA4-4641-AA47-BDC98045A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0A699B86-5938-40EA-994A-B4F3568DAF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A64D432-1691-4D19-B300-B8A8718644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3E128A20-E8A6-4CB0-9953-67090DF914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187F70F6-0F76-48CD-A05E-3EAAD6A974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D7363E6E-7DC4-4752-A0B8-3AA5E8B080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2830F774-ACD4-4F6D-9AC9-335CC5A67C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66D88E5F-FC96-4FDD-A5AE-D11A0EE58A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F3E54B89-20DE-4C77-AF04-6D42C13C3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A6C20D22-A6B3-4A56-BF36-318D256E8E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65CEE604-695C-4E39-B4B4-D3D24FF0A4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4CE2EDF4-BC7C-4559-9D4E-0F871FABAF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88E597C-44FD-4E94-9FC9-04C84E31BE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5501966-E785-455B-BD42-59A276D288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43855010-2519-478A-A530-00D2BA875E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14580308-8B60-430E-A5C8-A936F825C1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DE35E522-73E6-44DB-AEA3-B5E1EF353E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406417FF-4AE2-49DE-B2BF-5F69F1A65E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4970C59-C7E0-42CA-884E-3F0EE2B8BB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49701E80-D09E-4911-9EE4-B10AD78E6A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9" authorId="0" shapeId="0" xr:uid="{2DEEA326-1859-418C-9EBB-D3CA5CF648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4DBD87E4-D2FE-4F96-86D5-AB727C4593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142BA106-12FB-4E28-A166-491A98A44B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5B5220D-F206-41CC-846D-69A36212B5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2846455D-CD58-42C4-9A25-F3312EF9EA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BB3DA7F0-6327-44EE-BE2E-F6B34CD09C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5A3879AE-EFAC-4E5F-9DE8-D7A5450CEA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A5673E30-EC8D-4AEA-955E-CFA63173DD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F06EF758-E637-4DD2-B265-D869727EB5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6888FA4-25FD-4DBD-A4F3-0D3E05937E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C292264-BFB5-4A4C-9355-FA74591798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9" authorId="0" shapeId="0" xr:uid="{C07077B6-362F-4281-9BF6-5E775086BC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6394CE83-3DEE-463F-A264-BE947606DC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E6128899-0BA8-429B-A4B2-CC96B47156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DB1FF13-ACBA-4293-83A5-006049AE20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B4F8626-E93B-4174-ACB5-94DFBC8C8A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7BE3F230-096C-4BBF-A83B-C62394A130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A1E607A1-F420-4288-94C7-91FEE510DA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7BD54972-870D-4548-9C0C-AE2F0F453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DBCD6F92-EAD3-4916-89B0-8AAD793AB7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40EF0E58-0588-44BF-AFE7-C623EC5CE9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A89DB133-C43A-4FE4-813E-A7EA0C05DC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9" authorId="0" shapeId="0" xr:uid="{F4039878-D8FA-4C9D-AB89-8DF90E2C29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DD36263-B3E9-417E-9F5B-E8B7688FFA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3A53C51-5EA1-483A-BFB5-8B8B0D4526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AF7479-63F9-4DEE-A97E-957CEDF64A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A604554-3C94-427A-B0B9-0C49E4C807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B152920A-2CD8-4391-A864-34ADB05C01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7A462F0-BAEB-449A-90C4-E4344BACA9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492EA6C-A361-4614-B047-E395EE15D8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20336264-999D-4352-9623-295E2A2731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EEA64AD-C5AF-41CF-BBCA-C23F6C13DC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644A9805-2D9B-43F3-A2A8-89B33A1A5B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89" authorId="0" shapeId="0" xr:uid="{F3646F7B-E2E9-48D2-8B49-75B83681CA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<sst xmlns="http://schemas.openxmlformats.org/spreadsheetml/2006/main" count="2990" uniqueCount="207">
  <si>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</si>
  <si>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</si>
  <si>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</si>
  <si>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</si>
  <si>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</si>
  <si>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</si>
  <si>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</si>
  <si>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</si>
  <si>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</si>
  <si>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</si>
  <si>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</si>
  <si>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</si>
  <si>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</si>
  <si>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</si>
  <si>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</si>
  <si>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</si>
  <si>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</si>
  <si>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</si>
  <si>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</si>
  <si>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</si>
  <si>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</si>
  <si>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</si>
  <si>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</si>
  <si>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</si>
  <si>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</si>
  <si>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</si>
  <si>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</si>
  <si>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</si>
  <si>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</si>
  <si>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</si>
  <si>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</si>
  <si>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</si>
  <si>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</si>
  <si>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</si>
  <si>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</si>
  <si>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</si>
  <si>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</si>
  <si>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</si>
  <si>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</si>
  <si>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</si>
  <si>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</si>
  <si>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</si>
  <si>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</si>
  <si>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</si>
  <si>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</si>
  <si>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</si>
  <si>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</si>
  <si>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</si>
  <si>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</si>
  <si>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</si>
  <si>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</si>
  <si>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</si>
  <si>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</si>
  <si>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</si>
  <si>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</si>
  <si>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</si>
  <si>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</si>
  <si>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</si>
  <si>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</si>
  <si>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</si>
  <si>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</si>
  <si>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</si>
  <si>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</si>
  <si>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</si>
  <si>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</si>
  <si>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</si>
  <si>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</si>
  <si>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</si>
  <si>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</si>
  <si>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</si>
  <si>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</si>
  <si>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</si>
  <si>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</si>
  <si>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</si>
  <si>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</si>
  <si>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</si>
  <si>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</si>
  <si>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</si>
  <si>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</si>
  <si>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</si>
  <si>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</si>
  <si>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</si>
  <si>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</si>
  <si>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</si>
  <si>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</si>
  <si>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</si>
  <si>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</si>
  <si>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</si>
  <si>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</si>
  <si>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</si>
  <si>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</si>
  <si>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</si>
  <si>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</si>
  <si>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</si>
  <si>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</si>
  <si>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</si>
  <si>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</si>
  <si>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</si>
  <si>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</si>
  <si>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</si>
  <si>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</si>
  <si>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</si>
  <si>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</si>
  <si>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</si>
  <si>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</si>
  <si>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</si>
  <si>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</si>
  <si>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</si>
  <si>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</si>
  <si>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</si>
  <si>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</si>
  <si>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</si>
  <si>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</si>
  <si>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</si>
  <si>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</si>
  <si>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</si>
  <si>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</si>
  <si>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</si>
  <si>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</si>
  <si>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</si>
  <si>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</si>
  <si>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</si>
  <si>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</si>
  <si>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</si>
  <si>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</si>
  <si>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</si>
  <si>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</si>
  <si>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</si>
  <si>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</si>
  <si>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</si>
  <si>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</si>
  <si>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</si>
  <si>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</si>
  <si>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</si>
  <si>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</si>
  <si>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</si>
  <si>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</si>
  <si>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</si>
  <si>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</si>
  <si>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</si>
  <si>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</si>
  <si>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</si>
  <si>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</si>
  <si>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</si>
  <si>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</si>
  <si>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</si>
  <si>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</si>
  <si>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</si>
  <si>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</si>
  <si>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</si>
  <si>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</si>
  <si>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</si>
  <si>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</si>
  <si>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</si>
  <si>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</si>
  <si>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</si>
  <si>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 xml:space="preserve">K. Hosten </t>
  </si>
  <si>
    <t>HR-IPA</t>
  </si>
  <si>
    <t>HR-APA</t>
  </si>
  <si>
    <t>1 BREAK</t>
  </si>
  <si>
    <t xml:space="preserve">         NO  BREAK</t>
  </si>
  <si>
    <t xml:space="preserve">T. Charles </t>
  </si>
  <si>
    <t>HURRICANE REEF-APA</t>
  </si>
  <si>
    <t>HURRICANE REEF-IPA</t>
  </si>
  <si>
    <t>Ag trial. Lot Silo #1</t>
  </si>
  <si>
    <t>HR- APA</t>
  </si>
  <si>
    <t>HR- IPA</t>
  </si>
  <si>
    <t>HR-PILSNER</t>
  </si>
  <si>
    <t>ST011</t>
  </si>
  <si>
    <t>Regis</t>
  </si>
  <si>
    <t>ST012</t>
  </si>
  <si>
    <t>ST013</t>
  </si>
  <si>
    <t>R.Sookram</t>
  </si>
  <si>
    <t>ST014</t>
  </si>
  <si>
    <t>HR- Pils</t>
  </si>
  <si>
    <t xml:space="preserve"> MALT LOT: Lot 25</t>
  </si>
  <si>
    <t>Extr. Rec (80.9%)</t>
  </si>
  <si>
    <t>No breaks</t>
  </si>
  <si>
    <t>G.Mason</t>
  </si>
  <si>
    <t>T.Charles</t>
  </si>
  <si>
    <t>No Breaks</t>
  </si>
  <si>
    <t>NO breaks</t>
  </si>
  <si>
    <t>T.CHARLES</t>
  </si>
  <si>
    <t>g</t>
  </si>
  <si>
    <t>Brews Achieved 17th</t>
  </si>
  <si>
    <t>18th</t>
  </si>
  <si>
    <t>19th</t>
  </si>
  <si>
    <t>G.mason</t>
  </si>
  <si>
    <t xml:space="preserve">J. Charles </t>
  </si>
  <si>
    <t>1 Break</t>
  </si>
  <si>
    <t xml:space="preserve"> MALT LOT: Lot 24</t>
  </si>
  <si>
    <t>LOT WORT COLOUR: 3.5</t>
  </si>
  <si>
    <t>CA051</t>
  </si>
  <si>
    <t>R. Sookram</t>
  </si>
  <si>
    <t>CA052</t>
  </si>
  <si>
    <t>CA053</t>
  </si>
  <si>
    <t>CA054</t>
  </si>
  <si>
    <t>K.Benjamin</t>
  </si>
  <si>
    <t>27TH</t>
  </si>
  <si>
    <t>28th</t>
  </si>
  <si>
    <t>24TH</t>
  </si>
  <si>
    <t>Brews Achieved 24TH</t>
  </si>
  <si>
    <t>NO Break</t>
  </si>
  <si>
    <t>28th. Damaged gasket in mash tun vessel - Steam leak</t>
  </si>
  <si>
    <t>J. Charles / G. Mason</t>
  </si>
  <si>
    <t>Sh'dy Lime</t>
  </si>
  <si>
    <t>Pearsecco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</si>
</sst>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theme="9" tint="-0.249977111117893"/>
      <name val="Arial"/>
      <family val="2"/>
    </font>
    <font>
      <b/>
      <sz val="11"/>
      <color rgb="FF7030A0"/>
      <name val="Arial"/>
      <family val="2"/>
    </font>
    <font>
      <sz val="11"/>
      <color theme="1" tint="0.14999847407452621"/>
      <name val="Arial"/>
      <family val="2"/>
    </font>
    <font>
      <b/>
      <sz val="11"/>
      <color theme="2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1"/>
      <color rgb="FFFF66FF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06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165" fontId="29" fillId="0" borderId="13" xfId="3" applyFont="1" applyBorder="1" applyAlignment="1">
      <alignment horizontal="left"/>
    </xf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9" fillId="24" borderId="1" xfId="3" applyNumberFormat="1" applyFont="1" applyFill="1" applyBorder="1" applyAlignment="1">
      <alignment horizontal="right" vertical="center"/>
    </xf>
    <xf numFmtId="165" fontId="9" fillId="4" borderId="13" xfId="3" applyFont="1" applyFill="1" applyBorder="1" applyAlignment="1">
      <alignment horizontal="left" vertical="center" wrapText="1"/>
    </xf>
    <xf numFmtId="1" fontId="9" fillId="4" borderId="15" xfId="3" applyNumberFormat="1" applyFont="1" applyFill="1" applyBorder="1" applyAlignment="1">
      <alignment horizontal="center" vertical="center" wrapText="1"/>
    </xf>
    <xf numFmtId="165" fontId="26" fillId="4" borderId="13" xfId="3" applyFont="1" applyFill="1" applyBorder="1" applyAlignment="1">
      <alignment horizontal="left"/>
    </xf>
    <xf numFmtId="1" fontId="9" fillId="0" borderId="15" xfId="3" applyNumberFormat="1" applyFont="1" applyBorder="1" applyAlignment="1">
      <alignment horizontal="center"/>
    </xf>
    <xf numFmtId="165" fontId="27" fillId="4" borderId="13" xfId="3" applyFont="1" applyFill="1" applyBorder="1"/>
    <xf numFmtId="165" fontId="28" fillId="4" borderId="13" xfId="3" applyFont="1" applyFill="1" applyBorder="1"/>
    <xf numFmtId="165" fontId="23" fillId="4" borderId="13" xfId="3" applyFont="1" applyFill="1" applyBorder="1" applyAlignment="1">
      <alignment horizontal="left"/>
    </xf>
    <xf numFmtId="165" fontId="29" fillId="4" borderId="13" xfId="3" applyFont="1" applyFill="1" applyBorder="1"/>
    <xf numFmtId="165" fontId="30" fillId="4" borderId="13" xfId="3" applyFont="1" applyFill="1" applyBorder="1" applyAlignment="1">
      <alignment horizontal="left"/>
    </xf>
    <xf numFmtId="165" fontId="77" fillId="4" borderId="13" xfId="3" applyFont="1" applyFill="1" applyBorder="1" applyAlignment="1">
      <alignment horizontal="left"/>
    </xf>
    <xf numFmtId="2" fontId="76" fillId="6" borderId="31" xfId="3" applyNumberFormat="1" applyFont="1" applyFill="1" applyBorder="1"/>
    <xf numFmtId="1" fontId="9" fillId="0" borderId="36" xfId="3" applyNumberFormat="1" applyFont="1" applyBorder="1" applyAlignment="1">
      <alignment horizontal="center"/>
    </xf>
    <xf numFmtId="166" fontId="8" fillId="0" borderId="10" xfId="3" applyNumberFormat="1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0" fontId="10" fillId="3" borderId="1" xfId="9" applyFont="1" applyFill="1" applyBorder="1"/>
    <xf numFmtId="166" fontId="10" fillId="3" borderId="1" xfId="9" applyNumberFormat="1" applyFont="1" applyFill="1" applyBorder="1"/>
    <xf numFmtId="166" fontId="10" fillId="3" borderId="2" xfId="9" applyNumberFormat="1" applyFont="1" applyFill="1" applyBorder="1"/>
    <xf numFmtId="1" fontId="10" fillId="3" borderId="1" xfId="9" applyNumberFormat="1" applyFont="1" applyFill="1" applyBorder="1" applyAlignment="1">
      <alignment horizontal="center"/>
    </xf>
    <xf numFmtId="166" fontId="10" fillId="3" borderId="14" xfId="9" applyNumberFormat="1" applyFont="1" applyFill="1" applyBorder="1"/>
    <xf numFmtId="165" fontId="81" fillId="0" borderId="13" xfId="3" applyFont="1" applyBorder="1" applyAlignment="1">
      <alignment horizontal="left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6" fontId="10" fillId="0" borderId="0" xfId="9" applyNumberFormat="1" applyFont="1" applyAlignment="1">
      <alignment vertical="center"/>
    </xf>
    <xf numFmtId="2" fontId="9" fillId="23" borderId="1" xfId="3" applyNumberFormat="1" applyFont="1" applyFill="1" applyBorder="1" applyAlignment="1">
      <alignment horizontal="center" vertical="center"/>
    </xf>
    <xf numFmtId="167" fontId="21" fillId="23" borderId="11" xfId="3" applyNumberFormat="1" applyFont="1" applyFill="1" applyBorder="1" applyAlignment="1">
      <alignment horizontal="center" vertical="center"/>
    </xf>
    <xf numFmtId="165" fontId="9" fillId="0" borderId="18" xfId="3" applyFont="1" applyBorder="1" applyAlignment="1">
      <alignment horizontal="center"/>
    </xf>
    <xf numFmtId="165" fontId="9" fillId="0" borderId="25" xfId="3" applyFont="1" applyBorder="1"/>
    <xf numFmtId="165" fontId="9" fillId="0" borderId="23" xfId="3" applyFont="1" applyBorder="1"/>
    <xf numFmtId="2" fontId="25" fillId="0" borderId="59" xfId="3" applyNumberFormat="1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right"/>
    </xf>
    <xf numFmtId="166" fontId="9" fillId="0" borderId="14" xfId="3" applyNumberFormat="1" applyFont="1" applyBorder="1" applyAlignment="1">
      <alignment horizontal="left"/>
    </xf>
    <xf numFmtId="166" fontId="9" fillId="23" borderId="14" xfId="3" applyNumberFormat="1" applyFont="1" applyFill="1" applyBorder="1" applyAlignment="1">
      <alignment horizontal="center"/>
    </xf>
    <xf numFmtId="165" fontId="82" fillId="0" borderId="31" xfId="3" applyFont="1" applyBorder="1"/>
    <xf numFmtId="1" fontId="9" fillId="23" borderId="33" xfId="3" applyNumberFormat="1" applyFont="1" applyFill="1" applyBorder="1"/>
    <xf numFmtId="166" fontId="9" fillId="23" borderId="33" xfId="3" applyNumberFormat="1" applyFont="1" applyFill="1" applyBorder="1"/>
    <xf numFmtId="2" fontId="25" fillId="0" borderId="60" xfId="3" applyNumberFormat="1" applyFont="1" applyBorder="1" applyAlignment="1">
      <alignment horizontal="center" vertical="center"/>
    </xf>
    <xf numFmtId="2" fontId="25" fillId="0" borderId="56" xfId="3" applyNumberFormat="1" applyFont="1" applyBorder="1" applyAlignment="1">
      <alignment horizontal="center" vertical="center"/>
    </xf>
    <xf numFmtId="2" fontId="31" fillId="0" borderId="0" xfId="3" applyNumberFormat="1" applyFont="1" applyAlignment="1">
      <alignment horizontal="center"/>
    </xf>
    <xf numFmtId="1" fontId="9" fillId="23" borderId="15" xfId="3" applyNumberFormat="1" applyFont="1" applyFill="1" applyBorder="1" applyAlignment="1">
      <alignment horizontal="center"/>
    </xf>
    <xf numFmtId="20" fontId="9" fillId="4" borderId="17" xfId="9" applyNumberFormat="1" applyFont="1" applyFill="1" applyBorder="1" applyAlignment="1">
      <alignment horizontal="center" vertical="center" wrapText="1"/>
    </xf>
    <xf numFmtId="20" fontId="9" fillId="4" borderId="18" xfId="9" applyNumberFormat="1" applyFont="1" applyFill="1" applyBorder="1" applyAlignment="1">
      <alignment horizontal="center" vertical="center" wrapText="1"/>
    </xf>
    <xf numFmtId="169" fontId="34" fillId="0" borderId="41" xfId="9" applyNumberFormat="1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6" fontId="8" fillId="0" borderId="86" xfId="3" applyNumberFormat="1" applyFont="1" applyBorder="1" applyAlignment="1">
      <alignment horizontal="center" vertical="center"/>
    </xf>
    <xf numFmtId="4" fontId="8" fillId="0" borderId="86" xfId="3" applyNumberFormat="1" applyFont="1" applyBorder="1" applyAlignment="1">
      <alignment horizontal="center" vertical="center"/>
    </xf>
    <xf numFmtId="171" fontId="8" fillId="0" borderId="86" xfId="3" applyNumberFormat="1" applyFont="1" applyBorder="1" applyAlignment="1">
      <alignment horizontal="center" vertical="center"/>
    </xf>
    <xf numFmtId="2" fontId="21" fillId="0" borderId="86" xfId="3" applyNumberFormat="1" applyFont="1" applyBorder="1" applyAlignment="1">
      <alignment horizontal="center" vertical="center"/>
    </xf>
    <xf numFmtId="2" fontId="31" fillId="0" borderId="86" xfId="4" applyNumberFormat="1" applyFont="1" applyBorder="1" applyAlignment="1">
      <alignment horizontal="center" vertical="center"/>
    </xf>
    <xf numFmtId="170" fontId="83" fillId="0" borderId="87" xfId="4" applyNumberFormat="1" applyFont="1" applyBorder="1" applyAlignment="1">
      <alignment horizontal="center" vertical="center"/>
    </xf>
    <xf numFmtId="2" fontId="79" fillId="23" borderId="86" xfId="3" applyNumberFormat="1" applyFont="1" applyFill="1" applyBorder="1" applyAlignment="1">
      <alignment horizontal="center" vertical="center"/>
    </xf>
    <xf numFmtId="165" fontId="9" fillId="0" borderId="88" xfId="3" applyFont="1" applyBorder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" fontId="8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21" fillId="0" borderId="76" xfId="3" applyNumberFormat="1" applyFont="1" applyBorder="1" applyAlignment="1">
      <alignment horizontal="center" vertical="center"/>
    </xf>
    <xf numFmtId="2" fontId="79" fillId="0" borderId="80" xfId="4" applyNumberFormat="1" applyFont="1" applyFill="1" applyBorder="1" applyAlignment="1">
      <alignment horizontal="center" vertical="center"/>
    </xf>
    <xf numFmtId="2" fontId="9" fillId="23" borderId="0" xfId="3" applyNumberFormat="1" applyFont="1" applyFill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" fillId="0" borderId="81" xfId="3" applyFont="1" applyBorder="1" applyAlignment="1">
      <alignment horizontal="center" vertical="center" wrapText="1"/>
    </xf>
    <xf numFmtId="170" fontId="8" fillId="0" borderId="87" xfId="4" applyNumberFormat="1" applyFont="1" applyFill="1" applyBorder="1" applyAlignment="1">
      <alignment horizontal="center" vertical="center"/>
    </xf>
    <xf numFmtId="2" fontId="31" fillId="23" borderId="86" xfId="3" applyNumberFormat="1" applyFont="1" applyFill="1" applyBorder="1" applyAlignment="1">
      <alignment horizontal="center" vertical="center"/>
    </xf>
    <xf numFmtId="165" fontId="84" fillId="0" borderId="38" xfId="3" applyFont="1" applyBorder="1" applyAlignment="1">
      <alignment horizontal="center" vertical="center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21" fillId="0" borderId="39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2" fontId="79" fillId="0" borderId="62" xfId="4" applyNumberFormat="1" applyFont="1" applyFill="1" applyBorder="1" applyAlignment="1">
      <alignment horizontal="center" vertical="center"/>
    </xf>
    <xf numFmtId="2" fontId="9" fillId="0" borderId="4" xfId="3" applyNumberFormat="1" applyFont="1" applyBorder="1" applyAlignment="1">
      <alignment horizontal="center" vertical="center" wrapText="1"/>
    </xf>
    <xf numFmtId="170" fontId="8" fillId="0" borderId="79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165" fontId="8" fillId="0" borderId="40" xfId="3" applyFont="1" applyBorder="1" applyAlignment="1">
      <alignment horizontal="center" vertical="center" wrapText="1"/>
    </xf>
    <xf numFmtId="165" fontId="26" fillId="0" borderId="89" xfId="3" applyFont="1" applyBorder="1" applyAlignment="1">
      <alignment horizontal="center" vertical="center"/>
    </xf>
    <xf numFmtId="2" fontId="31" fillId="0" borderId="10" xfId="4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vertical="center" wrapText="1"/>
    </xf>
    <xf numFmtId="170" fontId="8" fillId="0" borderId="86" xfId="4" applyNumberFormat="1" applyFont="1" applyBorder="1" applyAlignment="1">
      <alignment horizontal="center" vertical="center"/>
    </xf>
    <xf numFmtId="2" fontId="79" fillId="0" borderId="86" xfId="3" applyNumberFormat="1" applyFont="1" applyBorder="1" applyAlignment="1">
      <alignment horizontal="center" vertical="center"/>
    </xf>
    <xf numFmtId="165" fontId="27" fillId="0" borderId="50" xfId="3" applyFont="1" applyBorder="1"/>
    <xf numFmtId="16" fontId="8" fillId="0" borderId="39" xfId="3" applyNumberFormat="1" applyFont="1" applyBorder="1" applyAlignment="1">
      <alignment vertical="center"/>
    </xf>
    <xf numFmtId="2" fontId="9" fillId="0" borderId="76" xfId="10" applyNumberFormat="1" applyFont="1" applyBorder="1" applyAlignment="1">
      <alignment horizontal="center" vertical="center"/>
    </xf>
    <xf numFmtId="2" fontId="31" fillId="0" borderId="11" xfId="3" applyNumberFormat="1" applyFont="1" applyBorder="1" applyAlignment="1">
      <alignment horizontal="center" vertical="center"/>
    </xf>
    <xf numFmtId="165" fontId="9" fillId="0" borderId="35" xfId="3" applyFont="1" applyBorder="1" applyAlignment="1">
      <alignment vertical="center" wrapText="1"/>
    </xf>
    <xf numFmtId="166" fontId="35" fillId="4" borderId="1" xfId="3" applyNumberFormat="1" applyFont="1" applyFill="1" applyBorder="1" applyAlignment="1">
      <alignment horizontal="right"/>
    </xf>
    <xf numFmtId="166" fontId="9" fillId="4" borderId="21" xfId="3" applyNumberFormat="1" applyFont="1" applyFill="1" applyBorder="1" applyAlignment="1">
      <alignment horizontal="right"/>
    </xf>
    <xf numFmtId="170" fontId="9" fillId="4" borderId="1" xfId="3" applyNumberFormat="1" applyFont="1" applyFill="1" applyBorder="1" applyAlignment="1">
      <alignment horizontal="right"/>
    </xf>
    <xf numFmtId="166" fontId="9" fillId="4" borderId="1" xfId="3" applyNumberFormat="1" applyFont="1" applyFill="1" applyBorder="1" applyAlignment="1">
      <alignment horizontal="center" vertical="center"/>
    </xf>
    <xf numFmtId="166" fontId="31" fillId="4" borderId="1" xfId="3" applyNumberFormat="1" applyFont="1" applyFill="1" applyBorder="1" applyAlignment="1">
      <alignment horizontal="center" vertical="center"/>
    </xf>
    <xf numFmtId="1" fontId="9" fillId="26" borderId="63" xfId="3" applyNumberFormat="1" applyFont="1" applyFill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" fontId="9" fillId="27" borderId="63" xfId="3" applyNumberFormat="1" applyFont="1" applyFill="1" applyBorder="1" applyAlignment="1">
      <alignment horizontal="center"/>
    </xf>
    <xf numFmtId="166" fontId="8" fillId="28" borderId="1" xfId="3" applyNumberFormat="1" applyFont="1" applyFill="1" applyBorder="1" applyAlignment="1">
      <alignment horizontal="center" vertical="center"/>
    </xf>
    <xf numFmtId="166" fontId="8" fillId="0" borderId="14" xfId="3" applyNumberFormat="1" applyFont="1" applyBorder="1" applyAlignment="1">
      <alignment horizontal="center" vertical="center"/>
    </xf>
    <xf numFmtId="166" fontId="8" fillId="7" borderId="10" xfId="3" applyNumberFormat="1" applyFont="1" applyFill="1" applyBorder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5" fillId="0" borderId="52" xfId="3" applyFont="1" applyBorder="1"/>
    <xf numFmtId="165" fontId="86" fillId="0" borderId="52" xfId="3" applyFont="1" applyBorder="1"/>
    <xf numFmtId="2" fontId="87" fillId="4" borderId="18" xfId="3" applyNumberFormat="1" applyFont="1" applyFill="1" applyBorder="1" applyAlignment="1">
      <alignment horizontal="center" vertical="center"/>
    </xf>
    <xf numFmtId="165" fontId="23" fillId="0" borderId="13" xfId="3" applyFont="1" applyBorder="1" applyAlignment="1">
      <alignment horizontal="center" vertical="center"/>
    </xf>
    <xf numFmtId="165" fontId="28" fillId="0" borderId="13" xfId="3" applyFont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" fontId="9" fillId="0" borderId="90" xfId="3" applyNumberFormat="1" applyFont="1" applyBorder="1" applyAlignment="1">
      <alignment horizontal="center"/>
    </xf>
    <xf numFmtId="2" fontId="8" fillId="4" borderId="83" xfId="3" applyNumberFormat="1" applyFont="1" applyFill="1" applyBorder="1" applyAlignment="1">
      <alignment horizontal="center"/>
    </xf>
    <xf numFmtId="1" fontId="21" fillId="0" borderId="37" xfId="3" applyNumberFormat="1" applyFont="1" applyBorder="1" applyAlignment="1">
      <alignment horizontal="center"/>
    </xf>
    <xf numFmtId="2" fontId="9" fillId="4" borderId="83" xfId="3" applyNumberFormat="1" applyFont="1" applyFill="1" applyBorder="1" applyAlignment="1">
      <alignment horizontal="center"/>
    </xf>
    <xf numFmtId="167" fontId="21" fillId="0" borderId="1" xfId="3" applyNumberFormat="1" applyFont="1" applyBorder="1" applyAlignment="1">
      <alignment horizontal="center" vertical="center"/>
    </xf>
    <xf numFmtId="167" fontId="21" fillId="5" borderId="1" xfId="3" applyNumberFormat="1" applyFont="1" applyFill="1" applyBorder="1" applyAlignment="1">
      <alignment horizontal="center" vertical="center"/>
    </xf>
    <xf numFmtId="2" fontId="9" fillId="23" borderId="3" xfId="3" applyNumberFormat="1" applyFont="1" applyFill="1" applyBorder="1" applyAlignment="1">
      <alignment horizontal="center"/>
    </xf>
    <xf numFmtId="1" fontId="21" fillId="0" borderId="0" xfId="3" applyNumberFormat="1" applyFont="1" applyAlignment="1">
      <alignment horizontal="center"/>
    </xf>
    <xf numFmtId="1" fontId="9" fillId="0" borderId="67" xfId="3" applyNumberFormat="1" applyFont="1" applyBorder="1" applyAlignment="1">
      <alignment horizontal="center"/>
    </xf>
    <xf numFmtId="2" fontId="8" fillId="23" borderId="13" xfId="3" applyNumberFormat="1" applyFont="1" applyFill="1" applyBorder="1" applyAlignment="1">
      <alignment horizontal="center"/>
    </xf>
    <xf numFmtId="1" fontId="21" fillId="0" borderId="85" xfId="3" applyNumberFormat="1" applyFont="1" applyBorder="1" applyAlignment="1">
      <alignment horizontal="center"/>
    </xf>
    <xf numFmtId="1" fontId="9" fillId="0" borderId="31" xfId="3" applyNumberFormat="1" applyFont="1" applyBorder="1" applyAlignment="1">
      <alignment horizontal="center"/>
    </xf>
    <xf numFmtId="165" fontId="9" fillId="4" borderId="3" xfId="3" applyFont="1" applyFill="1" applyBorder="1" applyAlignment="1">
      <alignment horizontal="left" vertical="center" wrapText="1"/>
    </xf>
    <xf numFmtId="165" fontId="26" fillId="4" borderId="3" xfId="3" applyFont="1" applyFill="1" applyBorder="1" applyAlignment="1">
      <alignment horizontal="left"/>
    </xf>
    <xf numFmtId="165" fontId="27" fillId="4" borderId="3" xfId="3" applyFont="1" applyFill="1" applyBorder="1"/>
    <xf numFmtId="165" fontId="28" fillId="4" borderId="3" xfId="3" applyFont="1" applyFill="1" applyBorder="1"/>
    <xf numFmtId="165" fontId="23" fillId="4" borderId="3" xfId="3" applyFont="1" applyFill="1" applyBorder="1" applyAlignment="1">
      <alignment horizontal="left"/>
    </xf>
    <xf numFmtId="165" fontId="29" fillId="4" borderId="3" xfId="3" applyFont="1" applyFill="1" applyBorder="1"/>
    <xf numFmtId="165" fontId="30" fillId="4" borderId="3" xfId="3" applyFont="1" applyFill="1" applyBorder="1" applyAlignment="1">
      <alignment horizontal="left"/>
    </xf>
    <xf numFmtId="165" fontId="77" fillId="4" borderId="3" xfId="3" applyFont="1" applyFill="1" applyBorder="1" applyAlignment="1">
      <alignment horizontal="left"/>
    </xf>
    <xf numFmtId="2" fontId="76" fillId="6" borderId="3" xfId="3" applyNumberFormat="1" applyFont="1" applyFill="1" applyBorder="1"/>
    <xf numFmtId="2" fontId="8" fillId="0" borderId="37" xfId="3" applyNumberFormat="1" applyFont="1" applyBorder="1" applyAlignment="1">
      <alignment horizontal="center"/>
    </xf>
    <xf numFmtId="2" fontId="9" fillId="0" borderId="27" xfId="3" applyNumberFormat="1" applyFont="1" applyBorder="1" applyAlignment="1">
      <alignment horizontal="center"/>
    </xf>
    <xf numFmtId="1" fontId="9" fillId="0" borderId="54" xfId="3" applyNumberFormat="1" applyFont="1" applyBorder="1" applyAlignment="1">
      <alignment horizontal="center"/>
    </xf>
    <xf numFmtId="2" fontId="9" fillId="0" borderId="83" xfId="3" applyNumberFormat="1" applyFont="1" applyBorder="1" applyAlignment="1">
      <alignment horizontal="center"/>
    </xf>
    <xf numFmtId="2" fontId="9" fillId="0" borderId="18" xfId="3" applyNumberFormat="1" applyFont="1" applyBorder="1" applyAlignment="1">
      <alignment horizontal="center"/>
    </xf>
    <xf numFmtId="165" fontId="20" fillId="0" borderId="13" xfId="3" applyFont="1" applyBorder="1" applyAlignment="1">
      <alignment horizontal="center" vertical="center"/>
    </xf>
    <xf numFmtId="1" fontId="9" fillId="0" borderId="37" xfId="3" applyNumberFormat="1" applyFont="1" applyBorder="1" applyAlignment="1">
      <alignment horizontal="center"/>
    </xf>
    <xf numFmtId="1" fontId="31" fillId="0" borderId="37" xfId="3" applyNumberFormat="1" applyFont="1" applyBorder="1" applyAlignment="1">
      <alignment horizontal="center"/>
    </xf>
    <xf numFmtId="1" fontId="9" fillId="0" borderId="27" xfId="3" applyNumberFormat="1" applyFont="1" applyBorder="1" applyAlignment="1">
      <alignment horizontal="center"/>
    </xf>
    <xf numFmtId="165" fontId="89" fillId="0" borderId="13" xfId="3" applyFont="1" applyBorder="1" applyAlignment="1">
      <alignment horizontal="center" vertical="center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 vertical="center"/>
    </xf>
    <xf numFmtId="165" fontId="27" fillId="0" borderId="5" xfId="3" applyFont="1" applyBorder="1" applyAlignment="1">
      <alignment horizontal="center" vertical="center"/>
    </xf>
    <xf numFmtId="165" fontId="27" fillId="0" borderId="85" xfId="3" applyFont="1" applyBorder="1" applyAlignment="1">
      <alignment horizontal="center" vertical="center"/>
    </xf>
    <xf numFmtId="165" fontId="27" fillId="0" borderId="50" xfId="3" applyFont="1" applyBorder="1" applyAlignment="1">
      <alignment horizontal="center" vertical="center"/>
    </xf>
    <xf numFmtId="2" fontId="31" fillId="24" borderId="84" xfId="3" applyNumberFormat="1" applyFont="1" applyFill="1" applyBorder="1" applyAlignment="1">
      <alignment horizontal="center"/>
    </xf>
    <xf numFmtId="2" fontId="31" fillId="24" borderId="56" xfId="3" applyNumberFormat="1" applyFont="1" applyFill="1" applyBorder="1" applyAlignment="1">
      <alignment horizontal="center"/>
    </xf>
    <xf numFmtId="165" fontId="9" fillId="0" borderId="67" xfId="3" applyFont="1" applyBorder="1" applyAlignment="1">
      <alignment horizontal="center"/>
    </xf>
    <xf numFmtId="165" fontId="9" fillId="0" borderId="17" xfId="3" applyFont="1" applyBorder="1" applyAlignment="1">
      <alignment horizontal="center" wrapText="1"/>
    </xf>
    <xf numFmtId="165" fontId="9" fillId="0" borderId="26" xfId="3" applyFont="1" applyBorder="1" applyAlignment="1">
      <alignment horizontal="center" wrapText="1"/>
    </xf>
    <xf numFmtId="165" fontId="26" fillId="0" borderId="52" xfId="3" applyFont="1" applyBorder="1" applyAlignment="1">
      <alignment horizontal="center" vertical="center"/>
    </xf>
    <xf numFmtId="165" fontId="26" fillId="0" borderId="85" xfId="3" applyFont="1" applyBorder="1" applyAlignment="1">
      <alignment horizontal="center" vertical="center"/>
    </xf>
    <xf numFmtId="165" fontId="26" fillId="0" borderId="38" xfId="3" applyFont="1" applyBorder="1" applyAlignment="1">
      <alignment horizontal="center" vertical="center"/>
    </xf>
    <xf numFmtId="166" fontId="8" fillId="0" borderId="17" xfId="3" applyNumberFormat="1" applyFont="1" applyBorder="1" applyAlignment="1">
      <alignment horizontal="center" vertical="center"/>
    </xf>
    <xf numFmtId="165" fontId="9" fillId="23" borderId="6" xfId="3" applyFont="1" applyFill="1" applyBorder="1" applyAlignment="1">
      <alignment horizontal="center" vertical="center" wrapText="1"/>
    </xf>
    <xf numFmtId="165" fontId="9" fillId="23" borderId="10" xfId="3" applyFont="1" applyFill="1" applyBorder="1" applyAlignment="1">
      <alignment horizontal="center" vertical="center" wrapText="1"/>
    </xf>
    <xf numFmtId="0" fontId="10" fillId="3" borderId="1" xfId="9" applyFont="1" applyFill="1" applyBorder="1" applyAlignment="1">
      <alignment horizontal="center"/>
    </xf>
    <xf numFmtId="165" fontId="81" fillId="0" borderId="52" xfId="3" applyFont="1" applyBorder="1" applyAlignment="1">
      <alignment horizontal="center" vertical="center"/>
    </xf>
    <xf numFmtId="165" fontId="81" fillId="0" borderId="85" xfId="3" applyFont="1" applyBorder="1" applyAlignment="1">
      <alignment horizontal="center" vertical="center"/>
    </xf>
    <xf numFmtId="165" fontId="81" fillId="0" borderId="38" xfId="3" applyFont="1" applyBorder="1" applyAlignment="1">
      <alignment horizontal="center" vertical="center"/>
    </xf>
    <xf numFmtId="165" fontId="26" fillId="0" borderId="5" xfId="3" applyFont="1" applyBorder="1" applyAlignment="1">
      <alignment horizontal="center" vertical="center"/>
    </xf>
    <xf numFmtId="165" fontId="26" fillId="0" borderId="50" xfId="3" applyFont="1" applyBorder="1" applyAlignment="1">
      <alignment horizontal="center" vertical="center"/>
    </xf>
    <xf numFmtId="165" fontId="23" fillId="0" borderId="5" xfId="3" applyFont="1" applyBorder="1" applyAlignment="1">
      <alignment horizontal="center" vertical="center"/>
    </xf>
    <xf numFmtId="165" fontId="23" fillId="0" borderId="85" xfId="3" applyFont="1" applyBorder="1" applyAlignment="1">
      <alignment horizontal="center" vertical="center"/>
    </xf>
    <xf numFmtId="165" fontId="23" fillId="0" borderId="50" xfId="3" applyFont="1" applyBorder="1" applyAlignment="1">
      <alignment horizontal="center" vertical="center"/>
    </xf>
    <xf numFmtId="165" fontId="28" fillId="0" borderId="52" xfId="3" applyFont="1" applyBorder="1" applyAlignment="1">
      <alignment horizontal="center" vertical="center"/>
    </xf>
    <xf numFmtId="165" fontId="28" fillId="0" borderId="85" xfId="3" applyFont="1" applyBorder="1" applyAlignment="1">
      <alignment horizontal="center" vertical="center"/>
    </xf>
    <xf numFmtId="165" fontId="28" fillId="0" borderId="38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81" fillId="0" borderId="23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27" fillId="0" borderId="23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2944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FF"/>
      <color rgb="FFCC66FF"/>
      <color rgb="FF0000FF"/>
      <color rgb="FF008200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GD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GD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GD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GD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GD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GD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January_2025.xls" TargetMode="External"/><Relationship Id="rId1" Type="http://schemas.openxmlformats.org/officeDocument/2006/relationships/externalLinkPath" Target="/Operations/Brewing/Reports%20Local/Losses%202025/January_2025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4\NewGuinnLog2024.xls" TargetMode="External"/><Relationship Id="rId1" Type="http://schemas.openxmlformats.org/officeDocument/2006/relationships/externalLinkPath" Target="/Operations/Brewing/Logbooks/Logbooks%202024/NewGuinnLog202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4.xls" TargetMode="External"/><Relationship Id="rId1" Type="http://schemas.openxmlformats.org/officeDocument/2006/relationships/externalLinkPath" Target="/Operations/Reshelle/Brewing/Daily_Brewhouse_Efficiency/Daily_Brewhouse_Efficiency_2024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4.xlsx" TargetMode="External"/><Relationship Id="rId1" Type="http://schemas.openxmlformats.org/officeDocument/2006/relationships/externalLinkPath" Target="/Operations/Reshelle/Brewing/Filtration_Throughput/Filtration_Throughput_2024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4\January_2024.xls" TargetMode="External"/><Relationship Id="rId1" Type="http://schemas.openxmlformats.org/officeDocument/2006/relationships/externalLinkPath" Target="/Operations/Brewing/Reports%20Local/Losses%202024/January_202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24">
          <cell r="AU24">
            <v>95.033114450535422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20">
          <cell r="B20">
            <v>44581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7">
          <cell r="D7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2">
          <cell r="AY12">
            <v>96.029058348682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208.10000000000002</v>
          </cell>
        </row>
      </sheetData>
      <sheetData sheetId="9"/>
      <sheetData sheetId="10"/>
      <sheetData sheetId="11"/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February '25"/>
      <sheetName val="Summary January '25"/>
      <sheetName val="Summary December '24  "/>
      <sheetName val="Summary November '24   "/>
      <sheetName val="Summary October '24  "/>
      <sheetName val="Summary May '24 "/>
      <sheetName val="Summary April '24 "/>
      <sheetName val="Summary March '24  "/>
      <sheetName val="Summary February '24 "/>
      <sheetName val="Summary January '24"/>
      <sheetName val="Summary December '23 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9">
          <cell r="A9" t="str">
            <v>ST469</v>
          </cell>
        </row>
        <row r="15">
          <cell r="A15" t="str">
            <v>ST001</v>
          </cell>
          <cell r="P15">
            <v>63</v>
          </cell>
          <cell r="Q15">
            <v>5.4945054945054945</v>
          </cell>
          <cell r="T15">
            <v>0.49930555555555556</v>
          </cell>
          <cell r="U15">
            <v>0.61944444444444446</v>
          </cell>
          <cell r="V15">
            <v>71</v>
          </cell>
          <cell r="AD15">
            <v>53.3</v>
          </cell>
          <cell r="AE15">
            <v>11.6</v>
          </cell>
          <cell r="AG15">
            <v>49.8</v>
          </cell>
          <cell r="AS15">
            <v>93.952909228354414</v>
          </cell>
          <cell r="AT15">
            <v>97.220197168337876</v>
          </cell>
          <cell r="AV15" t="str">
            <v>k.Benjamin</v>
          </cell>
          <cell r="AW15">
            <v>0.28611111111111115</v>
          </cell>
        </row>
        <row r="16">
          <cell r="A16" t="str">
            <v>ST002</v>
          </cell>
          <cell r="P16">
            <v>60</v>
          </cell>
          <cell r="Q16">
            <v>6.6176470588235201</v>
          </cell>
          <cell r="T16">
            <v>0.60555555555555551</v>
          </cell>
          <cell r="U16">
            <v>0.67708333333333337</v>
          </cell>
          <cell r="V16">
            <v>60</v>
          </cell>
          <cell r="AD16">
            <v>53.4</v>
          </cell>
          <cell r="AE16">
            <v>11.8</v>
          </cell>
          <cell r="AG16">
            <v>50.2</v>
          </cell>
          <cell r="AS16">
            <v>96.305388330846725</v>
          </cell>
          <cell r="AT16">
            <v>99.655577680218755</v>
          </cell>
          <cell r="AV16" t="str">
            <v>k.Benjamin</v>
          </cell>
          <cell r="AW16">
            <v>0.21875000000000006</v>
          </cell>
        </row>
        <row r="17">
          <cell r="A17" t="str">
            <v>ST003</v>
          </cell>
          <cell r="P17">
            <v>61</v>
          </cell>
          <cell r="Q17">
            <v>5.3604436229205144</v>
          </cell>
          <cell r="T17">
            <v>0.71111111111111114</v>
          </cell>
          <cell r="U17">
            <v>0.8208333333333333</v>
          </cell>
          <cell r="V17">
            <v>56</v>
          </cell>
          <cell r="AD17">
            <v>53.8</v>
          </cell>
          <cell r="AE17">
            <v>11.8</v>
          </cell>
          <cell r="AG17">
            <v>50.6</v>
          </cell>
          <cell r="AS17">
            <v>97.317556311342841</v>
          </cell>
          <cell r="AT17">
            <v>100.70074626451651</v>
          </cell>
          <cell r="AV17" t="str">
            <v>R.Regis</v>
          </cell>
          <cell r="AW17">
            <v>0.25138888888888888</v>
          </cell>
        </row>
        <row r="18">
          <cell r="A18" t="str">
            <v>ST004</v>
          </cell>
          <cell r="P18">
            <v>60</v>
          </cell>
          <cell r="Q18">
            <v>6.2615101289134421</v>
          </cell>
          <cell r="T18">
            <v>0.8354166666666667</v>
          </cell>
          <cell r="U18">
            <v>0.95138888888888884</v>
          </cell>
          <cell r="V18">
            <v>63</v>
          </cell>
          <cell r="AD18">
            <v>53.5</v>
          </cell>
          <cell r="AE18">
            <v>11.8</v>
          </cell>
          <cell r="AG18">
            <v>50.3</v>
          </cell>
          <cell r="AS18">
            <v>96.740574752184699</v>
          </cell>
          <cell r="AT18">
            <v>100.10370626690079</v>
          </cell>
          <cell r="AV18" t="str">
            <v>R.Regis</v>
          </cell>
          <cell r="AW18">
            <v>0.27777777777777768</v>
          </cell>
        </row>
        <row r="19">
          <cell r="A19" t="str">
            <v>ST005</v>
          </cell>
          <cell r="P19">
            <v>59</v>
          </cell>
          <cell r="Q19">
            <v>5.9369202226345008</v>
          </cell>
          <cell r="T19">
            <v>0.97569444444444442</v>
          </cell>
          <cell r="U19">
            <v>1.0868055555555556</v>
          </cell>
          <cell r="V19">
            <v>59</v>
          </cell>
          <cell r="AD19">
            <v>52.5</v>
          </cell>
          <cell r="AE19">
            <v>11.9</v>
          </cell>
          <cell r="AG19">
            <v>49.3</v>
          </cell>
          <cell r="AS19">
            <v>95.662513854103381</v>
          </cell>
          <cell r="AT19">
            <v>98.988167189778196</v>
          </cell>
          <cell r="AV19" t="str">
            <v>R.Sookram</v>
          </cell>
          <cell r="AW19">
            <v>0.30555555555555558</v>
          </cell>
        </row>
        <row r="20">
          <cell r="A20" t="str">
            <v>ST006</v>
          </cell>
          <cell r="P20">
            <v>57</v>
          </cell>
          <cell r="Q20">
            <v>4.6915404506834113</v>
          </cell>
          <cell r="T20">
            <v>1.1263888888888889</v>
          </cell>
          <cell r="U20">
            <v>1.2368055555555555</v>
          </cell>
          <cell r="V20">
            <v>63</v>
          </cell>
          <cell r="AD20">
            <v>53.4</v>
          </cell>
          <cell r="AE20">
            <v>11.7</v>
          </cell>
          <cell r="AG20">
            <v>50.7</v>
          </cell>
          <cell r="AS20">
            <v>96.762676801570322</v>
          </cell>
          <cell r="AT20">
            <v>100.12547394251902</v>
          </cell>
          <cell r="AV20" t="str">
            <v>R.Sookram</v>
          </cell>
          <cell r="AW20">
            <v>0.26805555555555549</v>
          </cell>
        </row>
        <row r="21">
          <cell r="A21" t="str">
            <v>ST007</v>
          </cell>
          <cell r="P21">
            <v>62</v>
          </cell>
          <cell r="Q21">
            <v>2.6666666666666639</v>
          </cell>
          <cell r="T21">
            <v>0.24444444444444444</v>
          </cell>
          <cell r="U21">
            <v>0.35833333333333334</v>
          </cell>
          <cell r="V21">
            <v>75</v>
          </cell>
          <cell r="AD21">
            <v>52.9</v>
          </cell>
          <cell r="AE21">
            <v>11.8</v>
          </cell>
          <cell r="AG21">
            <v>49</v>
          </cell>
          <cell r="AS21">
            <v>94.359297157598206</v>
          </cell>
          <cell r="AT21">
            <v>97.638569550549931</v>
          </cell>
          <cell r="AV21" t="str">
            <v>R.Sookram</v>
          </cell>
          <cell r="AW21">
            <v>0.30277777777777781</v>
          </cell>
        </row>
        <row r="22">
          <cell r="A22" t="str">
            <v>ST008</v>
          </cell>
          <cell r="P22">
            <v>63</v>
          </cell>
          <cell r="Q22">
            <v>5.8931860036832342</v>
          </cell>
          <cell r="T22">
            <v>0.36319444444444443</v>
          </cell>
          <cell r="U22">
            <v>0.48680555555555555</v>
          </cell>
          <cell r="V22">
            <v>72</v>
          </cell>
          <cell r="AD22">
            <v>52.1</v>
          </cell>
          <cell r="AE22">
            <v>11.8</v>
          </cell>
          <cell r="AG22">
            <v>49.8</v>
          </cell>
          <cell r="AS22">
            <v>95.89985711119165</v>
          </cell>
          <cell r="AT22">
            <v>99.232668645252787</v>
          </cell>
          <cell r="AV22" t="str">
            <v>k.Benjamin</v>
          </cell>
          <cell r="AW22">
            <v>0.28194444444444444</v>
          </cell>
        </row>
        <row r="23">
          <cell r="A23" t="str">
            <v>ST009</v>
          </cell>
          <cell r="P23">
            <v>60</v>
          </cell>
          <cell r="Q23">
            <v>11.460258780036973</v>
          </cell>
          <cell r="T23">
            <v>0.50347222222222221</v>
          </cell>
          <cell r="U23">
            <v>0.62291666666666667</v>
          </cell>
          <cell r="V23">
            <v>90</v>
          </cell>
          <cell r="AD23">
            <v>52.9</v>
          </cell>
          <cell r="AE23">
            <v>11.9</v>
          </cell>
          <cell r="AG23">
            <v>49.5</v>
          </cell>
          <cell r="AS23">
            <v>96.050597074606841</v>
          </cell>
          <cell r="AT23">
            <v>99.389741904544024</v>
          </cell>
          <cell r="AV23" t="str">
            <v>k.Benjamin</v>
          </cell>
          <cell r="AW23">
            <v>0.26180555555555557</v>
          </cell>
        </row>
        <row r="24">
          <cell r="A24" t="str">
            <v>ST010</v>
          </cell>
          <cell r="P24">
            <v>60</v>
          </cell>
          <cell r="Q24">
            <v>6.2622309197651713</v>
          </cell>
          <cell r="T24">
            <v>0.63888888888888884</v>
          </cell>
          <cell r="U24">
            <v>0.77500000000000002</v>
          </cell>
          <cell r="V24">
            <v>90</v>
          </cell>
          <cell r="AD24">
            <v>52.9</v>
          </cell>
          <cell r="AE24">
            <v>11.9</v>
          </cell>
          <cell r="AG24">
            <v>49.5</v>
          </cell>
          <cell r="AS24">
            <v>96.050597074606841</v>
          </cell>
          <cell r="AT24">
            <v>99.389741904544024</v>
          </cell>
          <cell r="AV24" t="str">
            <v>Regis</v>
          </cell>
          <cell r="AW24">
            <v>0.30972222222222223</v>
          </cell>
        </row>
        <row r="25">
          <cell r="A25" t="str">
            <v>ST011</v>
          </cell>
          <cell r="AS25">
            <v>93.400253634983798</v>
          </cell>
        </row>
        <row r="26">
          <cell r="A26" t="str">
            <v>ST012</v>
          </cell>
          <cell r="AS26">
            <v>96.426665032854629</v>
          </cell>
        </row>
        <row r="27">
          <cell r="A27" t="str">
            <v>ST013</v>
          </cell>
          <cell r="AS27">
            <v>96.328598952006701</v>
          </cell>
        </row>
        <row r="28">
          <cell r="A28" t="str">
            <v>ST014</v>
          </cell>
          <cell r="AS28">
            <v>97.60292995662067</v>
          </cell>
        </row>
        <row r="29">
          <cell r="A29" t="str">
            <v>ST015</v>
          </cell>
          <cell r="P29">
            <v>57</v>
          </cell>
          <cell r="Q29">
            <v>6.9981583793738436</v>
          </cell>
          <cell r="T29">
            <v>0.75624999999999998</v>
          </cell>
          <cell r="U29">
            <v>0.86458333333333337</v>
          </cell>
          <cell r="V29">
            <v>60</v>
          </cell>
          <cell r="AD29">
            <v>51.8</v>
          </cell>
          <cell r="AE29">
            <v>11.9</v>
          </cell>
          <cell r="AG29">
            <v>47.6</v>
          </cell>
          <cell r="AS29">
            <v>92.363806479823964</v>
          </cell>
          <cell r="AT29">
            <v>95.574782114268615</v>
          </cell>
          <cell r="AV29" t="str">
            <v>R.Sookram</v>
          </cell>
          <cell r="AW29">
            <v>0.25</v>
          </cell>
        </row>
        <row r="30">
          <cell r="A30" t="str">
            <v>ST016</v>
          </cell>
          <cell r="P30">
            <v>59</v>
          </cell>
          <cell r="Q30">
            <v>5.882352941176463</v>
          </cell>
          <cell r="T30">
            <v>0.86805555555555558</v>
          </cell>
          <cell r="U30">
            <v>0.97291666666666665</v>
          </cell>
          <cell r="V30">
            <v>58</v>
          </cell>
          <cell r="AD30">
            <v>53.4</v>
          </cell>
          <cell r="AE30">
            <v>11.9</v>
          </cell>
          <cell r="AG30">
            <v>49.9</v>
          </cell>
          <cell r="AS30">
            <v>97.071554839885479</v>
          </cell>
          <cell r="AT30">
            <v>100.44397740010105</v>
          </cell>
          <cell r="AV30" t="str">
            <v>R.Sookram</v>
          </cell>
          <cell r="AW30">
            <v>0.25416666666666665</v>
          </cell>
        </row>
        <row r="31">
          <cell r="A31" t="str">
            <v>ST017</v>
          </cell>
          <cell r="P31">
            <v>63</v>
          </cell>
          <cell r="Q31">
            <v>5.0467289719626089</v>
          </cell>
          <cell r="T31">
            <v>0.99375000000000002</v>
          </cell>
          <cell r="U31">
            <v>1.0993055555555555</v>
          </cell>
          <cell r="V31">
            <v>59</v>
          </cell>
          <cell r="AD31">
            <v>52.1</v>
          </cell>
          <cell r="AE31">
            <v>11.7</v>
          </cell>
          <cell r="AG31">
            <v>48.7</v>
          </cell>
          <cell r="AS31">
            <v>93.180885322057676</v>
          </cell>
          <cell r="AT31">
            <v>96.41707248861627</v>
          </cell>
          <cell r="AV31" t="str">
            <v>Regis</v>
          </cell>
          <cell r="AW31">
            <v>0.26944444444444438</v>
          </cell>
        </row>
        <row r="32">
          <cell r="A32" t="str">
            <v>ST018</v>
          </cell>
          <cell r="P32">
            <v>61</v>
          </cell>
          <cell r="Q32">
            <v>12.932604735883416</v>
          </cell>
          <cell r="T32">
            <v>1.0930555555555554</v>
          </cell>
          <cell r="U32">
            <v>1.2416666666666667</v>
          </cell>
          <cell r="V32">
            <v>49</v>
          </cell>
          <cell r="AD32">
            <v>51.1</v>
          </cell>
          <cell r="AE32">
            <v>11.9</v>
          </cell>
          <cell r="AG32">
            <v>47.8</v>
          </cell>
          <cell r="AS32">
            <v>93.104069106683397</v>
          </cell>
          <cell r="AT32">
            <v>96.337588433700446</v>
          </cell>
          <cell r="AV32" t="str">
            <v>Regis</v>
          </cell>
          <cell r="AW32">
            <v>0.29375000000000007</v>
          </cell>
        </row>
        <row r="33">
          <cell r="A33" t="str">
            <v>ST019</v>
          </cell>
          <cell r="P33">
            <v>58</v>
          </cell>
          <cell r="Q33">
            <v>3.3088235294117601</v>
          </cell>
          <cell r="T33">
            <v>0.21736111111111112</v>
          </cell>
          <cell r="U33">
            <v>0.33124999999999999</v>
          </cell>
          <cell r="V33">
            <v>61</v>
          </cell>
          <cell r="AD33">
            <v>53.5</v>
          </cell>
          <cell r="AE33">
            <v>11.8</v>
          </cell>
          <cell r="AG33">
            <v>50.2</v>
          </cell>
          <cell r="AS33">
            <v>96.914841762663983</v>
          </cell>
          <cell r="AT33">
            <v>100.28070983826112</v>
          </cell>
          <cell r="AV33" t="str">
            <v>k.Benjamin</v>
          </cell>
          <cell r="AW33">
            <v>0.27569444444444446</v>
          </cell>
        </row>
        <row r="34">
          <cell r="A34" t="str">
            <v>ST020</v>
          </cell>
          <cell r="P34">
            <v>64</v>
          </cell>
          <cell r="Q34">
            <v>5.1001821493624719</v>
          </cell>
          <cell r="T34">
            <v>0.31874999999999998</v>
          </cell>
          <cell r="U34">
            <v>0.43680555555555556</v>
          </cell>
          <cell r="V34">
            <v>66</v>
          </cell>
          <cell r="AD34">
            <v>55.7</v>
          </cell>
          <cell r="AE34">
            <v>11.7</v>
          </cell>
          <cell r="AG34">
            <v>52.4</v>
          </cell>
          <cell r="AS34">
            <v>100.133600634603</v>
          </cell>
          <cell r="AT34">
            <v>103.61240361012716</v>
          </cell>
          <cell r="AV34" t="str">
            <v>R.Regis</v>
          </cell>
          <cell r="AW34">
            <v>0.26319444444444445</v>
          </cell>
        </row>
        <row r="35">
          <cell r="A35" t="str">
            <v>ST021</v>
          </cell>
          <cell r="P35">
            <v>60</v>
          </cell>
          <cell r="Q35">
            <v>4.1818181818181772</v>
          </cell>
          <cell r="T35">
            <v>0.53819444444444442</v>
          </cell>
          <cell r="U35">
            <v>0.64861111111111114</v>
          </cell>
          <cell r="V35">
            <v>63</v>
          </cell>
          <cell r="AD35">
            <v>55.4</v>
          </cell>
          <cell r="AE35">
            <v>11.7</v>
          </cell>
          <cell r="AG35">
            <v>51.6</v>
          </cell>
          <cell r="AS35">
            <v>97.985541190514951</v>
          </cell>
          <cell r="AT35">
            <v>101.39528660089505</v>
          </cell>
          <cell r="AV35" t="str">
            <v>R.Regis</v>
          </cell>
          <cell r="AW35">
            <v>0.36736111111111114</v>
          </cell>
        </row>
        <row r="36">
          <cell r="A36" t="str">
            <v>ST022</v>
          </cell>
          <cell r="P36">
            <v>58</v>
          </cell>
          <cell r="Q36">
            <v>1.5065913370998063</v>
          </cell>
          <cell r="T36">
            <v>0.64166666666666672</v>
          </cell>
          <cell r="U36">
            <v>0.75694444444444442</v>
          </cell>
          <cell r="V36">
            <v>65</v>
          </cell>
          <cell r="AD36">
            <v>54.5</v>
          </cell>
          <cell r="AE36">
            <v>11.7</v>
          </cell>
          <cell r="AG36">
            <v>52.1</v>
          </cell>
          <cell r="AS36">
            <v>97.465856823914748</v>
          </cell>
          <cell r="AT36">
            <v>100.87053658921464</v>
          </cell>
          <cell r="AV36" t="str">
            <v>R.Sookram</v>
          </cell>
          <cell r="AW36">
            <v>0.25694444444444442</v>
          </cell>
        </row>
        <row r="37">
          <cell r="A37" t="str">
            <v>ST023</v>
          </cell>
          <cell r="P37">
            <v>63</v>
          </cell>
          <cell r="Q37">
            <v>7.8066914498141182</v>
          </cell>
          <cell r="T37">
            <v>0.3263888888888889</v>
          </cell>
          <cell r="U37">
            <v>0.45277777777777778</v>
          </cell>
          <cell r="V37">
            <v>58</v>
          </cell>
          <cell r="AD37">
            <v>53.4</v>
          </cell>
          <cell r="AE37">
            <v>11.6</v>
          </cell>
          <cell r="AG37">
            <v>49.5</v>
          </cell>
          <cell r="AS37">
            <v>93.269474250821958</v>
          </cell>
          <cell r="AT37">
            <v>96.514052821889791</v>
          </cell>
          <cell r="AV37" t="str">
            <v>k.Benjamin</v>
          </cell>
          <cell r="AW37">
            <v>0.26527777777777778</v>
          </cell>
        </row>
        <row r="38">
          <cell r="A38" t="str">
            <v>ST024</v>
          </cell>
          <cell r="P38">
            <v>62</v>
          </cell>
          <cell r="Q38">
            <v>6.2846580406654322</v>
          </cell>
          <cell r="T38">
            <v>0.42777777777777776</v>
          </cell>
          <cell r="U38">
            <v>0.54027777777777775</v>
          </cell>
          <cell r="V38">
            <v>59</v>
          </cell>
          <cell r="AD38">
            <v>53.3</v>
          </cell>
          <cell r="AE38">
            <v>11.8</v>
          </cell>
          <cell r="AG38">
            <v>49.9</v>
          </cell>
          <cell r="AS38">
            <v>95.729858121698229</v>
          </cell>
          <cell r="AT38">
            <v>99.060026419181582</v>
          </cell>
          <cell r="AV38" t="str">
            <v>k.Benjamin</v>
          </cell>
          <cell r="AW38">
            <v>0.24861111111111106</v>
          </cell>
        </row>
        <row r="39">
          <cell r="A39" t="str">
            <v>ST025</v>
          </cell>
          <cell r="P39">
            <v>59</v>
          </cell>
          <cell r="T39">
            <v>0.54513888888888884</v>
          </cell>
          <cell r="U39">
            <v>0.65347222222222223</v>
          </cell>
          <cell r="V39">
            <v>53</v>
          </cell>
          <cell r="AD39">
            <v>53</v>
          </cell>
          <cell r="AE39">
            <v>11.9</v>
          </cell>
          <cell r="AG39">
            <v>50</v>
          </cell>
          <cell r="AS39">
            <v>96.776757210948887</v>
          </cell>
          <cell r="AT39">
            <v>100.14334413712437</v>
          </cell>
          <cell r="AV39" t="str">
            <v>k.Benjamin</v>
          </cell>
          <cell r="AW39">
            <v>0.25416666666666665</v>
          </cell>
        </row>
        <row r="40">
          <cell r="A40" t="str">
            <v>ST026</v>
          </cell>
          <cell r="P40">
            <v>58</v>
          </cell>
          <cell r="Q40">
            <v>5.5658627087198518</v>
          </cell>
          <cell r="T40">
            <v>0.65</v>
          </cell>
          <cell r="U40">
            <v>0.77222222222222225</v>
          </cell>
          <cell r="V40">
            <v>63</v>
          </cell>
          <cell r="AD40">
            <v>53.9</v>
          </cell>
          <cell r="AE40">
            <v>11.6</v>
          </cell>
          <cell r="AG40">
            <v>50.9</v>
          </cell>
          <cell r="AS40">
            <v>96.149254375240844</v>
          </cell>
          <cell r="AT40">
            <v>99.491828970586909</v>
          </cell>
          <cell r="AV40" t="str">
            <v>k.Benjamin</v>
          </cell>
          <cell r="AW40">
            <v>0.26875000000000004</v>
          </cell>
        </row>
        <row r="41">
          <cell r="A41" t="str">
            <v>ST027</v>
          </cell>
          <cell r="P41">
            <v>61</v>
          </cell>
          <cell r="Q41">
            <v>4.0441176470588163</v>
          </cell>
          <cell r="T41">
            <v>0.75277777777777777</v>
          </cell>
          <cell r="U41">
            <v>0.86527777777777781</v>
          </cell>
          <cell r="V41">
            <v>63</v>
          </cell>
          <cell r="AD41">
            <v>53.9</v>
          </cell>
          <cell r="AE41">
            <v>11.6</v>
          </cell>
          <cell r="AG41">
            <v>50.6</v>
          </cell>
          <cell r="AS41">
            <v>95.703229726515019</v>
          </cell>
          <cell r="AT41">
            <v>99.029207861285457</v>
          </cell>
          <cell r="AV41" t="str">
            <v>R.Sookram</v>
          </cell>
          <cell r="AW41">
            <v>0.26111111111111118</v>
          </cell>
        </row>
        <row r="42">
          <cell r="A42" t="str">
            <v>ST028</v>
          </cell>
          <cell r="P42">
            <v>58</v>
          </cell>
          <cell r="Q42">
            <v>4.6125461254612548</v>
          </cell>
          <cell r="T42">
            <v>0.86250000000000004</v>
          </cell>
          <cell r="U42">
            <v>0.97152777777777777</v>
          </cell>
          <cell r="V42">
            <v>62</v>
          </cell>
          <cell r="AD42">
            <v>53.9</v>
          </cell>
          <cell r="AE42">
            <v>11.6</v>
          </cell>
          <cell r="AG42">
            <v>50.9</v>
          </cell>
          <cell r="AS42">
            <v>96.392332863581075</v>
          </cell>
          <cell r="AT42">
            <v>99.741158155574638</v>
          </cell>
          <cell r="AV42" t="str">
            <v>R.Sookram</v>
          </cell>
          <cell r="AW42">
            <v>0.25972222222222219</v>
          </cell>
        </row>
        <row r="43">
          <cell r="A43" t="str">
            <v>ST029</v>
          </cell>
          <cell r="P43">
            <v>57</v>
          </cell>
          <cell r="Q43">
            <v>5.1565377532228309</v>
          </cell>
          <cell r="T43">
            <v>0.98472222222222228</v>
          </cell>
          <cell r="U43">
            <v>1.0909722222222222</v>
          </cell>
          <cell r="V43">
            <v>62</v>
          </cell>
          <cell r="AD43">
            <v>53.3</v>
          </cell>
          <cell r="AE43">
            <v>11.8</v>
          </cell>
          <cell r="AG43">
            <v>50</v>
          </cell>
          <cell r="AS43">
            <v>96.042495052644043</v>
          </cell>
          <cell r="AT43">
            <v>99.382450019325603</v>
          </cell>
          <cell r="AV43" t="str">
            <v>R.Sookram</v>
          </cell>
          <cell r="AW43">
            <v>0.27500000000000002</v>
          </cell>
        </row>
        <row r="44">
          <cell r="A44" t="str">
            <v>ST030</v>
          </cell>
          <cell r="P44">
            <v>58</v>
          </cell>
          <cell r="Q44">
            <v>5.0909090909090855</v>
          </cell>
          <cell r="T44">
            <v>1.0743055555555556</v>
          </cell>
          <cell r="U44">
            <v>1.1861111111111111</v>
          </cell>
          <cell r="V44">
            <v>63</v>
          </cell>
          <cell r="AD44">
            <v>53.1</v>
          </cell>
          <cell r="AE44">
            <v>11.8</v>
          </cell>
          <cell r="AG44">
            <v>50</v>
          </cell>
          <cell r="AS44">
            <v>96.528726855243008</v>
          </cell>
          <cell r="AT44">
            <v>99.881185097869619</v>
          </cell>
          <cell r="AV44" t="str">
            <v>R.Sookram</v>
          </cell>
          <cell r="AW44">
            <v>0.25555555555555554</v>
          </cell>
        </row>
        <row r="45">
          <cell r="A45" t="str">
            <v>ST031</v>
          </cell>
          <cell r="P45">
            <v>59</v>
          </cell>
          <cell r="Q45">
            <v>7.3800738007380069</v>
          </cell>
          <cell r="T45">
            <v>0.65208333333333335</v>
          </cell>
          <cell r="U45">
            <v>0.77222222222222225</v>
          </cell>
          <cell r="V45">
            <v>59</v>
          </cell>
          <cell r="AD45">
            <v>52.5</v>
          </cell>
          <cell r="AE45">
            <v>11.9</v>
          </cell>
          <cell r="AG45">
            <v>51.5</v>
          </cell>
          <cell r="AS45">
            <v>99.057134588670351</v>
          </cell>
          <cell r="AT45">
            <v>102.50862388221751</v>
          </cell>
          <cell r="AV45" t="str">
            <v>R.Sookram</v>
          </cell>
          <cell r="AW45">
            <v>0.26180555555555562</v>
          </cell>
        </row>
        <row r="46">
          <cell r="A46" t="str">
            <v>ST032</v>
          </cell>
          <cell r="P46">
            <v>63</v>
          </cell>
          <cell r="Q46">
            <v>5.5045871559633035</v>
          </cell>
          <cell r="T46">
            <v>0.7583333333333333</v>
          </cell>
          <cell r="U46">
            <v>0.86597222222222225</v>
          </cell>
          <cell r="V46">
            <v>61</v>
          </cell>
          <cell r="AD46">
            <v>54.1</v>
          </cell>
          <cell r="AE46">
            <v>11.73</v>
          </cell>
          <cell r="AG46">
            <v>51.3</v>
          </cell>
          <cell r="AS46">
            <v>97.66120802841786</v>
          </cell>
          <cell r="AT46">
            <v>101.05745503999168</v>
          </cell>
          <cell r="AV46" t="str">
            <v>k.Benjamin</v>
          </cell>
          <cell r="AW46">
            <v>0.25138888888888888</v>
          </cell>
        </row>
        <row r="47">
          <cell r="A47" t="str">
            <v>ST033</v>
          </cell>
          <cell r="P47">
            <v>61</v>
          </cell>
          <cell r="Q47">
            <v>6.2962962962962941</v>
          </cell>
          <cell r="T47">
            <v>0.86527777777777781</v>
          </cell>
          <cell r="U47">
            <v>0.97569444444444442</v>
          </cell>
          <cell r="V47">
            <v>63</v>
          </cell>
          <cell r="AD47">
            <v>53.6</v>
          </cell>
          <cell r="AE47">
            <v>11.79</v>
          </cell>
          <cell r="AG47">
            <v>52.3</v>
          </cell>
          <cell r="AS47">
            <v>99.956949475386367</v>
          </cell>
          <cell r="AT47">
            <v>103.43754970477963</v>
          </cell>
          <cell r="AV47" t="str">
            <v>k.Benjamin</v>
          </cell>
          <cell r="AW47">
            <v>0.25</v>
          </cell>
        </row>
        <row r="48">
          <cell r="A48" t="str">
            <v>ST034</v>
          </cell>
          <cell r="P48">
            <v>58</v>
          </cell>
          <cell r="Q48">
            <v>6.4695009242144179</v>
          </cell>
          <cell r="T48">
            <v>1</v>
          </cell>
          <cell r="U48">
            <v>1.1055555555555556</v>
          </cell>
          <cell r="V48">
            <v>63</v>
          </cell>
          <cell r="AD48">
            <v>52.4</v>
          </cell>
          <cell r="AE48">
            <v>11.76</v>
          </cell>
          <cell r="AG48">
            <v>53</v>
          </cell>
          <cell r="AS48">
            <v>101.54928414912592</v>
          </cell>
          <cell r="AT48">
            <v>105.0830423071957</v>
          </cell>
          <cell r="AV48" t="str">
            <v>k.Benjamin</v>
          </cell>
          <cell r="AW48">
            <v>0.2680555555555556</v>
          </cell>
        </row>
        <row r="49">
          <cell r="A49" t="str">
            <v>ST035</v>
          </cell>
          <cell r="P49">
            <v>58</v>
          </cell>
          <cell r="Q49">
            <v>4.2201834862385272</v>
          </cell>
          <cell r="T49">
            <v>0.24722222222222223</v>
          </cell>
          <cell r="U49">
            <v>0.3527777777777778</v>
          </cell>
          <cell r="V49">
            <v>59</v>
          </cell>
          <cell r="AD49">
            <v>54.4</v>
          </cell>
          <cell r="AE49">
            <v>11.8</v>
          </cell>
          <cell r="AG49">
            <v>51.3</v>
          </cell>
          <cell r="AS49">
            <v>97.80064193750701</v>
          </cell>
          <cell r="AT49">
            <v>101.20835073052869</v>
          </cell>
          <cell r="AV49" t="str">
            <v>R.Sookram</v>
          </cell>
          <cell r="AW49">
            <v>0.26944444444444449</v>
          </cell>
        </row>
        <row r="50">
          <cell r="A50" t="str">
            <v>ST036</v>
          </cell>
          <cell r="P50">
            <v>61</v>
          </cell>
          <cell r="Q50">
            <v>4.2592592592592542</v>
          </cell>
          <cell r="T50">
            <v>0.35347222222222224</v>
          </cell>
          <cell r="U50">
            <v>0.47361111111111109</v>
          </cell>
          <cell r="V50">
            <v>74</v>
          </cell>
          <cell r="AD50">
            <v>53.9</v>
          </cell>
          <cell r="AE50">
            <v>11.7</v>
          </cell>
          <cell r="AG50">
            <v>50.7</v>
          </cell>
          <cell r="AS50">
            <v>96.518971677208299</v>
          </cell>
          <cell r="AT50">
            <v>99.875496501512245</v>
          </cell>
          <cell r="AV50" t="str">
            <v>k.Benjamin</v>
          </cell>
          <cell r="AW50">
            <v>0.27569444444444446</v>
          </cell>
        </row>
        <row r="51">
          <cell r="A51" t="str">
            <v>ST037</v>
          </cell>
          <cell r="P51">
            <v>60</v>
          </cell>
          <cell r="Q51">
            <v>5.1094890510948856</v>
          </cell>
          <cell r="T51">
            <v>0.45833333333333331</v>
          </cell>
          <cell r="U51">
            <v>0.57430555555555551</v>
          </cell>
          <cell r="V51">
            <v>66</v>
          </cell>
          <cell r="AD51">
            <v>53.3</v>
          </cell>
          <cell r="AE51">
            <v>11.8</v>
          </cell>
          <cell r="AG51">
            <v>50</v>
          </cell>
          <cell r="AS51">
            <v>95.561137165761352</v>
          </cell>
          <cell r="AT51">
            <v>98.88867084586964</v>
          </cell>
          <cell r="AV51" t="str">
            <v>k.Benjamin</v>
          </cell>
          <cell r="AW51">
            <v>0.2722222222222222</v>
          </cell>
        </row>
        <row r="52">
          <cell r="A52" t="str">
            <v>ST038</v>
          </cell>
          <cell r="P52">
            <v>60</v>
          </cell>
          <cell r="Q52">
            <v>4.5372050816696916</v>
          </cell>
          <cell r="T52">
            <v>0.60416666666666663</v>
          </cell>
          <cell r="U52">
            <v>0.72430555555555554</v>
          </cell>
          <cell r="V52">
            <v>68</v>
          </cell>
          <cell r="AD52">
            <v>53.5</v>
          </cell>
          <cell r="AE52">
            <v>11.8</v>
          </cell>
          <cell r="AG52">
            <v>50.5</v>
          </cell>
          <cell r="AS52">
            <v>95.558880444994585</v>
          </cell>
          <cell r="AT52">
            <v>98.894844518457631</v>
          </cell>
          <cell r="AV52" t="str">
            <v>R.Regis</v>
          </cell>
          <cell r="AW52">
            <v>0.30763888888888885</v>
          </cell>
        </row>
        <row r="53">
          <cell r="A53" t="str">
            <v>ST039</v>
          </cell>
          <cell r="P53">
            <v>60</v>
          </cell>
          <cell r="Q53">
            <v>7.2356215213358039</v>
          </cell>
          <cell r="T53">
            <v>0.66388888888888886</v>
          </cell>
          <cell r="U53">
            <v>0.78263888888888888</v>
          </cell>
          <cell r="V53">
            <v>57</v>
          </cell>
          <cell r="AD53">
            <v>52.6</v>
          </cell>
          <cell r="AE53">
            <v>11.9</v>
          </cell>
          <cell r="AG53">
            <v>49.2</v>
          </cell>
          <cell r="AS53">
            <v>95.952410461648014</v>
          </cell>
          <cell r="AT53">
            <v>99.283751385991692</v>
          </cell>
          <cell r="AV53" t="str">
            <v>R.Regis</v>
          </cell>
          <cell r="AW53">
            <v>0.26180555555555551</v>
          </cell>
        </row>
        <row r="54">
          <cell r="A54" t="str">
            <v>ST040</v>
          </cell>
          <cell r="P54">
            <v>61</v>
          </cell>
          <cell r="Q54">
            <v>6.7518248175182416</v>
          </cell>
          <cell r="T54">
            <v>0.76875000000000004</v>
          </cell>
          <cell r="U54">
            <v>0.87638888888888888</v>
          </cell>
          <cell r="V54">
            <v>52</v>
          </cell>
          <cell r="AD54">
            <v>53.3</v>
          </cell>
          <cell r="AE54">
            <v>11.8</v>
          </cell>
          <cell r="AG54">
            <v>50</v>
          </cell>
          <cell r="AS54">
            <v>95.30638126018755</v>
          </cell>
          <cell r="AT54">
            <v>98.619653847111564</v>
          </cell>
          <cell r="AV54" t="str">
            <v>R.Regis</v>
          </cell>
          <cell r="AW54">
            <v>0.25138888888888888</v>
          </cell>
        </row>
        <row r="55">
          <cell r="A55" t="str">
            <v>ST041</v>
          </cell>
          <cell r="P55">
            <v>62</v>
          </cell>
          <cell r="Q55">
            <v>6.0773480662983372</v>
          </cell>
          <cell r="T55">
            <v>0.87222222222222223</v>
          </cell>
          <cell r="U55">
            <v>0.98263888888888884</v>
          </cell>
          <cell r="V55">
            <v>62</v>
          </cell>
          <cell r="AD55">
            <v>53.5</v>
          </cell>
          <cell r="AE55">
            <v>11.8</v>
          </cell>
          <cell r="AG55">
            <v>50.2</v>
          </cell>
          <cell r="AS55">
            <v>94.732040280520366</v>
          </cell>
          <cell r="AT55">
            <v>98.033886812573513</v>
          </cell>
          <cell r="AV55" t="str">
            <v>R.Regis</v>
          </cell>
          <cell r="AW55">
            <v>0.25</v>
          </cell>
        </row>
        <row r="56">
          <cell r="A56" t="str">
            <v>ST042</v>
          </cell>
          <cell r="P56">
            <v>58</v>
          </cell>
          <cell r="Q56">
            <v>9.7690941385435046</v>
          </cell>
          <cell r="T56">
            <v>0.9868055555555556</v>
          </cell>
          <cell r="U56">
            <v>1.0916666666666666</v>
          </cell>
          <cell r="V56">
            <v>60</v>
          </cell>
          <cell r="AD56">
            <v>52.6</v>
          </cell>
          <cell r="AE56">
            <v>11.8</v>
          </cell>
          <cell r="AG56">
            <v>49.2</v>
          </cell>
          <cell r="AS56">
            <v>93.077322691564333</v>
          </cell>
          <cell r="AT56">
            <v>96.319412482894435</v>
          </cell>
          <cell r="AV56" t="str">
            <v>R.Sookram</v>
          </cell>
          <cell r="AW56">
            <v>0.25486111111111098</v>
          </cell>
        </row>
        <row r="57">
          <cell r="A57" t="str">
            <v>ST043</v>
          </cell>
          <cell r="P57">
            <v>58</v>
          </cell>
          <cell r="Q57">
            <v>4.823747680890528</v>
          </cell>
          <cell r="T57">
            <v>1.0965277777777778</v>
          </cell>
          <cell r="U57">
            <v>1.2069444444444444</v>
          </cell>
          <cell r="V57">
            <v>60</v>
          </cell>
          <cell r="AD57">
            <v>53.5</v>
          </cell>
          <cell r="AE57">
            <v>11.6</v>
          </cell>
          <cell r="AG57">
            <v>50.4</v>
          </cell>
          <cell r="AS57">
            <v>94.371821342410584</v>
          </cell>
          <cell r="AT57">
            <v>97.660058301095333</v>
          </cell>
          <cell r="AV57" t="str">
            <v>R.Sookram</v>
          </cell>
          <cell r="AW57">
            <v>0.26249999999999996</v>
          </cell>
        </row>
        <row r="58">
          <cell r="A58" t="str">
            <v>ST044</v>
          </cell>
          <cell r="P58">
            <v>57</v>
          </cell>
          <cell r="Q58">
            <v>4.2671614100185478</v>
          </cell>
          <cell r="T58">
            <v>0.2</v>
          </cell>
          <cell r="U58">
            <v>0.32083333333333336</v>
          </cell>
          <cell r="V58">
            <v>64</v>
          </cell>
          <cell r="AD58">
            <v>53.5</v>
          </cell>
          <cell r="AE58">
            <v>11.8</v>
          </cell>
          <cell r="AG58">
            <v>51.4</v>
          </cell>
          <cell r="AS58">
            <v>98.856173802431272</v>
          </cell>
          <cell r="AT58">
            <v>102.29285292482506</v>
          </cell>
          <cell r="AV58" t="str">
            <v>R.Sookram</v>
          </cell>
          <cell r="AW58">
            <v>0.27916666666666667</v>
          </cell>
        </row>
        <row r="59">
          <cell r="A59" t="str">
            <v>ST045</v>
          </cell>
          <cell r="P59">
            <v>61</v>
          </cell>
          <cell r="Q59">
            <v>4.7186932849364815</v>
          </cell>
          <cell r="T59">
            <v>0.29097222222222224</v>
          </cell>
          <cell r="U59">
            <v>0.4</v>
          </cell>
          <cell r="V59">
            <v>65</v>
          </cell>
          <cell r="AD59">
            <v>53.6</v>
          </cell>
          <cell r="AE59">
            <v>11.7</v>
          </cell>
          <cell r="AG59">
            <v>50</v>
          </cell>
          <cell r="AS59">
            <v>95.30638126018755</v>
          </cell>
          <cell r="AT59">
            <v>98.619653847111564</v>
          </cell>
          <cell r="AV59" t="str">
            <v>K.Benjamin</v>
          </cell>
          <cell r="AW59">
            <v>0.25069444444444444</v>
          </cell>
        </row>
        <row r="60">
          <cell r="A60" t="str">
            <v>ST046</v>
          </cell>
          <cell r="P60">
            <v>61</v>
          </cell>
          <cell r="Q60">
            <v>4.7794117647058725</v>
          </cell>
          <cell r="T60">
            <v>0.4236111111111111</v>
          </cell>
          <cell r="U60">
            <v>0.5395833333333333</v>
          </cell>
          <cell r="V60">
            <v>66</v>
          </cell>
          <cell r="AD60">
            <v>53.6</v>
          </cell>
          <cell r="AE60">
            <v>11.8</v>
          </cell>
          <cell r="AG60">
            <v>50.7</v>
          </cell>
          <cell r="AS60">
            <v>97.2646053460942</v>
          </cell>
          <cell r="AT60">
            <v>100.64816311528068</v>
          </cell>
          <cell r="AV60" t="str">
            <v>K.Benjamin</v>
          </cell>
          <cell r="AW60">
            <v>0.3034722222222222</v>
          </cell>
        </row>
        <row r="61">
          <cell r="A61" t="str">
            <v>ST047</v>
          </cell>
          <cell r="P61">
            <v>59</v>
          </cell>
          <cell r="Q61">
            <v>1.3257575757575679</v>
          </cell>
          <cell r="T61">
            <v>0.55555555555555558</v>
          </cell>
          <cell r="U61">
            <v>0.67361111111111116</v>
          </cell>
          <cell r="V61">
            <v>59</v>
          </cell>
          <cell r="AD61">
            <v>53</v>
          </cell>
          <cell r="AE61">
            <v>11.6</v>
          </cell>
          <cell r="AG61">
            <v>49.9</v>
          </cell>
          <cell r="AS61">
            <v>93.552519520813476</v>
          </cell>
          <cell r="AT61">
            <v>96.811161472696</v>
          </cell>
          <cell r="AV61" t="str">
            <v>R.Sookram</v>
          </cell>
          <cell r="AW61">
            <v>0.26736111111111116</v>
          </cell>
        </row>
        <row r="62">
          <cell r="A62" t="str">
            <v>ST048</v>
          </cell>
          <cell r="P62">
            <v>60</v>
          </cell>
          <cell r="Q62">
            <v>5.6776556776556806</v>
          </cell>
          <cell r="T62">
            <v>0.67083333333333328</v>
          </cell>
          <cell r="U62">
            <v>0.77777777777777779</v>
          </cell>
          <cell r="V62">
            <v>56</v>
          </cell>
          <cell r="AD62">
            <v>52.8</v>
          </cell>
          <cell r="AE62">
            <v>11.88</v>
          </cell>
          <cell r="AG62">
            <v>49.3</v>
          </cell>
          <cell r="AS62">
            <v>94.825567674202887</v>
          </cell>
          <cell r="AT62">
            <v>98.129614706666473</v>
          </cell>
          <cell r="AV62" t="str">
            <v>R.Sookram</v>
          </cell>
          <cell r="AW62">
            <v>0.27777777777777779</v>
          </cell>
        </row>
        <row r="63">
          <cell r="A63" t="str">
            <v>ST049</v>
          </cell>
          <cell r="P63">
            <v>61</v>
          </cell>
          <cell r="Q63">
            <v>6.2157221206581328</v>
          </cell>
          <cell r="T63">
            <v>0.77083333333333337</v>
          </cell>
          <cell r="U63">
            <v>0.88749999999999996</v>
          </cell>
          <cell r="V63">
            <v>65</v>
          </cell>
          <cell r="AD63">
            <v>52.2</v>
          </cell>
          <cell r="AE63">
            <v>11.74</v>
          </cell>
          <cell r="AG63">
            <v>49.1</v>
          </cell>
          <cell r="AS63">
            <v>92.656238601066747</v>
          </cell>
          <cell r="AT63">
            <v>95.885733914290029</v>
          </cell>
          <cell r="AV63" t="str">
            <v>R.Sookram</v>
          </cell>
          <cell r="AW63">
            <v>0.26944444444444438</v>
          </cell>
        </row>
        <row r="64">
          <cell r="A64" t="str">
            <v>ST050</v>
          </cell>
          <cell r="P64">
            <v>61</v>
          </cell>
          <cell r="Q64">
            <v>4.7619047619047645</v>
          </cell>
          <cell r="T64">
            <v>0.87013888888888891</v>
          </cell>
          <cell r="U64">
            <v>0.98819444444444449</v>
          </cell>
          <cell r="V64">
            <v>59</v>
          </cell>
          <cell r="AD64">
            <v>53.3</v>
          </cell>
          <cell r="AE64">
            <v>11.93</v>
          </cell>
          <cell r="AG64">
            <v>50.3</v>
          </cell>
          <cell r="AS64">
            <v>96.628236432962609</v>
          </cell>
          <cell r="AT64">
            <v>99.996174106634712</v>
          </cell>
          <cell r="AV64" t="str">
            <v>K.Benjamin</v>
          </cell>
          <cell r="AW64">
            <v>0.26250000000000007</v>
          </cell>
        </row>
      </sheetData>
      <sheetData sheetId="7">
        <row r="4">
          <cell r="D4">
            <v>12.04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  <sheetName val="February_2024"/>
      <sheetName val="March_2024"/>
      <sheetName val="April_2024"/>
      <sheetName val="May_2024"/>
      <sheetName val="June_2024"/>
      <sheetName val="July_2024"/>
      <sheetName val="August_2018  (2)"/>
      <sheetName val="August_2024"/>
      <sheetName val="September_2024"/>
      <sheetName val="October_2024"/>
      <sheetName val="November_2024"/>
      <sheetName val="December_2024"/>
      <sheetName val="Average"/>
    </sheetNames>
    <sheetDataSet>
      <sheetData sheetId="0">
        <row r="3">
          <cell r="E3">
            <v>409.5</v>
          </cell>
          <cell r="F3">
            <v>200.09999999999997</v>
          </cell>
          <cell r="I3">
            <v>201</v>
          </cell>
          <cell r="J3">
            <v>202.29999999999998</v>
          </cell>
          <cell r="K3">
            <v>508.50000000000006</v>
          </cell>
          <cell r="M3">
            <v>200.09999999999997</v>
          </cell>
          <cell r="T3">
            <v>401.49999999999994</v>
          </cell>
          <cell r="Z3">
            <v>300.60000000000002</v>
          </cell>
          <cell r="AD3">
            <v>198.5</v>
          </cell>
          <cell r="AG3">
            <v>497.20000000000005</v>
          </cell>
          <cell r="AN3">
            <v>9.2783449314619784</v>
          </cell>
        </row>
        <row r="4">
          <cell r="AN4">
            <v>10.863101163921975</v>
          </cell>
        </row>
        <row r="5">
          <cell r="AN5">
            <v>2.6473552031086438</v>
          </cell>
        </row>
        <row r="6">
          <cell r="AN6">
            <v>6.6434583413343296</v>
          </cell>
        </row>
        <row r="7">
          <cell r="E7">
            <v>387.5</v>
          </cell>
          <cell r="F7">
            <v>181.5</v>
          </cell>
          <cell r="I7">
            <v>150.69999999999999</v>
          </cell>
          <cell r="J7">
            <v>181.2</v>
          </cell>
          <cell r="K7">
            <v>456.6</v>
          </cell>
          <cell r="M7">
            <v>181.5</v>
          </cell>
          <cell r="T7">
            <v>372.9</v>
          </cell>
          <cell r="Z7">
            <v>275.3</v>
          </cell>
          <cell r="AD7">
            <v>185.3</v>
          </cell>
          <cell r="AG7">
            <v>464.3</v>
          </cell>
          <cell r="AN7" t="e">
            <v>#DIV/0!</v>
          </cell>
        </row>
        <row r="8">
          <cell r="AN8">
            <v>10.607235567685406</v>
          </cell>
        </row>
        <row r="9">
          <cell r="AN9">
            <v>4.0624079285034069</v>
          </cell>
        </row>
        <row r="10">
          <cell r="AN10" t="e">
            <v>#DIV/0!</v>
          </cell>
        </row>
        <row r="11">
          <cell r="E11">
            <v>5.6017129522783913</v>
          </cell>
          <cell r="F11">
            <v>9.2218477471150742</v>
          </cell>
          <cell r="I11">
            <v>24.597492991070709</v>
          </cell>
          <cell r="J11">
            <v>10.430054374691043</v>
          </cell>
          <cell r="K11">
            <v>10.939497923063035</v>
          </cell>
          <cell r="M11">
            <v>9.1481045191689674</v>
          </cell>
          <cell r="T11">
            <v>5.9121813979970987</v>
          </cell>
          <cell r="Z11">
            <v>9.0877149067771033</v>
          </cell>
          <cell r="AD11">
            <v>7.6970709810760134</v>
          </cell>
          <cell r="AG11">
            <v>7.5273685359377414</v>
          </cell>
        </row>
        <row r="13">
          <cell r="I13">
            <v>445.02</v>
          </cell>
          <cell r="S13">
            <v>106.51</v>
          </cell>
          <cell r="W13">
            <v>498.7</v>
          </cell>
          <cell r="AA13">
            <v>190.10000000000002</v>
          </cell>
        </row>
        <row r="17">
          <cell r="I17">
            <v>372.4</v>
          </cell>
          <cell r="S17">
            <v>93.3</v>
          </cell>
          <cell r="W17">
            <v>464.8</v>
          </cell>
          <cell r="AA17">
            <v>176.8</v>
          </cell>
        </row>
        <row r="21">
          <cell r="I21">
            <v>16.453447023392851</v>
          </cell>
          <cell r="S21">
            <v>11.128961777311568</v>
          </cell>
          <cell r="W21">
            <v>7.3263743431463153</v>
          </cell>
          <cell r="AA21">
            <v>6.8453377238227375</v>
          </cell>
        </row>
        <row r="23">
          <cell r="K23">
            <v>314.8</v>
          </cell>
        </row>
        <row r="26">
          <cell r="K26">
            <v>182.67199999999997</v>
          </cell>
        </row>
        <row r="28">
          <cell r="K28">
            <v>296.2</v>
          </cell>
        </row>
        <row r="34">
          <cell r="X34">
            <v>204.39999999999998</v>
          </cell>
          <cell r="Y34">
            <v>205.5</v>
          </cell>
        </row>
        <row r="39">
          <cell r="X39">
            <v>196.2</v>
          </cell>
          <cell r="Y39">
            <v>184.7</v>
          </cell>
        </row>
        <row r="43">
          <cell r="X43">
            <v>7.8656670963914044</v>
          </cell>
          <cell r="Y43">
            <v>13.316265196436897</v>
          </cell>
        </row>
        <row r="55">
          <cell r="X55">
            <v>201.6</v>
          </cell>
          <cell r="Y55">
            <v>202.4</v>
          </cell>
        </row>
        <row r="59">
          <cell r="X59">
            <v>197.9</v>
          </cell>
          <cell r="Y59">
            <v>200.2</v>
          </cell>
        </row>
        <row r="63">
          <cell r="X63">
            <v>4.6883276094793755</v>
          </cell>
          <cell r="Y63">
            <v>3.4369424359094838</v>
          </cell>
        </row>
        <row r="65">
          <cell r="K65">
            <v>188.4</v>
          </cell>
          <cell r="AH65">
            <v>291.2</v>
          </cell>
        </row>
        <row r="68">
          <cell r="K68">
            <v>599.41999999999985</v>
          </cell>
        </row>
        <row r="70">
          <cell r="K70">
            <v>192.2</v>
          </cell>
          <cell r="AH70">
            <v>282.89999999999998</v>
          </cell>
        </row>
        <row r="74">
          <cell r="AH74">
            <v>7.5761961201583459</v>
          </cell>
        </row>
      </sheetData>
      <sheetData sheetId="1">
        <row r="3">
          <cell r="F3">
            <v>401.2</v>
          </cell>
        </row>
      </sheetData>
      <sheetData sheetId="2">
        <row r="3">
          <cell r="AN3" t="e">
            <v>#DIV/0!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  <sheetName val="February_2024"/>
      <sheetName val="March_2024"/>
      <sheetName val="April_2024"/>
      <sheetName val="May_2024"/>
      <sheetName val="June_2024"/>
      <sheetName val="July_2024"/>
      <sheetName val="August_2024"/>
      <sheetName val="September_2024"/>
      <sheetName val="October_2024"/>
      <sheetName val="November_2024"/>
      <sheetName val="December_2024"/>
    </sheetNames>
    <sheetDataSet>
      <sheetData sheetId="0">
        <row r="13">
          <cell r="AN13">
            <v>0.98457735247208944</v>
          </cell>
        </row>
        <row r="14">
          <cell r="AN14">
            <v>0.97131578947368413</v>
          </cell>
        </row>
        <row r="15">
          <cell r="AN15">
            <v>1.0392982456140349</v>
          </cell>
        </row>
        <row r="16">
          <cell r="AN16">
            <v>0.83350877192982453</v>
          </cell>
        </row>
        <row r="17">
          <cell r="AN17" t="e">
            <v>#DIV/0!</v>
          </cell>
        </row>
        <row r="18">
          <cell r="E18">
            <v>1.3596491228070176</v>
          </cell>
          <cell r="F18">
            <v>0.63684210526315788</v>
          </cell>
          <cell r="I18">
            <v>0.52877192982456134</v>
          </cell>
          <cell r="J18">
            <v>0.63578947368421046</v>
          </cell>
          <cell r="K18">
            <v>1.6021052631578949</v>
          </cell>
          <cell r="M18">
            <v>0.63684210526315788</v>
          </cell>
          <cell r="T18">
            <v>1.3084210526315789</v>
          </cell>
          <cell r="Z18">
            <v>0.4829824561403509</v>
          </cell>
          <cell r="AD18">
            <v>0.6501754385964913</v>
          </cell>
          <cell r="AG18">
            <v>1.6291228070175439</v>
          </cell>
          <cell r="AN18">
            <v>0.66824561403508764</v>
          </cell>
        </row>
        <row r="19">
          <cell r="AN19">
            <v>0.69842105263157894</v>
          </cell>
        </row>
        <row r="20">
          <cell r="AN20" t="e">
            <v>#DIV/0!</v>
          </cell>
        </row>
        <row r="25">
          <cell r="I25">
            <v>1.3066666666666666</v>
          </cell>
          <cell r="S25">
            <v>0.32736842105263159</v>
          </cell>
          <cell r="W25">
            <v>1.6308771929824561</v>
          </cell>
          <cell r="AA25">
            <v>0.62035087719298254</v>
          </cell>
        </row>
        <row r="32">
          <cell r="K32">
            <v>1.0392982456140349</v>
          </cell>
        </row>
        <row r="39">
          <cell r="X39">
            <v>0.68842105263157893</v>
          </cell>
          <cell r="Y39">
            <v>0.64807017543859646</v>
          </cell>
        </row>
        <row r="53">
          <cell r="X53">
            <v>0.69438596491228077</v>
          </cell>
          <cell r="Y53">
            <v>0.70245614035087711</v>
          </cell>
        </row>
        <row r="60">
          <cell r="J60">
            <v>0.67438596491228064</v>
          </cell>
          <cell r="AH60">
            <v>0.99263157894736831</v>
          </cell>
        </row>
      </sheetData>
      <sheetData sheetId="1">
        <row r="13">
          <cell r="AN13">
            <v>0.71701465651190999</v>
          </cell>
        </row>
      </sheetData>
      <sheetData sheetId="2">
        <row r="13">
          <cell r="AN13" t="e">
            <v>#DIV/0!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February '25"/>
      <sheetName val="Summary January '25"/>
      <sheetName val="Summary December '24 "/>
      <sheetName val="Summary November '24"/>
      <sheetName val="Summary October '24"/>
      <sheetName val="Summary May '24"/>
      <sheetName val="Summary April '24 "/>
      <sheetName val="Summary March '24 "/>
      <sheetName val="Summary February '24"/>
      <sheetName val="Summary January '24"/>
      <sheetName val="Summary December '23"/>
    </sheetNames>
    <sheetDataSet>
      <sheetData sheetId="0" refreshError="1"/>
      <sheetData sheetId="1"/>
      <sheetData sheetId="2"/>
      <sheetData sheetId="3">
        <row r="5">
          <cell r="A5" t="str">
            <v>VM001</v>
          </cell>
          <cell r="R5">
            <v>57</v>
          </cell>
          <cell r="S5">
            <v>6.9581749049429726</v>
          </cell>
          <cell r="V5">
            <v>0.55625000000000002</v>
          </cell>
          <cell r="W5">
            <v>0.71319444444444446</v>
          </cell>
          <cell r="X5">
            <v>84</v>
          </cell>
          <cell r="AB5">
            <v>0.29652777777777778</v>
          </cell>
          <cell r="AE5">
            <v>52.6</v>
          </cell>
          <cell r="AH5">
            <v>14.5</v>
          </cell>
          <cell r="AJ5">
            <v>46.9</v>
          </cell>
          <cell r="AV5">
            <v>96.276959090498963</v>
          </cell>
          <cell r="AW5">
            <v>97.112607718447379</v>
          </cell>
          <cell r="AZ5" t="str">
            <v>R.Sookram</v>
          </cell>
        </row>
        <row r="6">
          <cell r="A6" t="str">
            <v>VM002</v>
          </cell>
          <cell r="R6">
            <v>60</v>
          </cell>
          <cell r="S6">
            <v>6.2452107279693578</v>
          </cell>
          <cell r="V6">
            <v>0.66111111111111109</v>
          </cell>
          <cell r="W6">
            <v>0.79652777777777772</v>
          </cell>
          <cell r="X6">
            <v>79</v>
          </cell>
          <cell r="AB6">
            <v>0.28611111111111109</v>
          </cell>
          <cell r="AE6">
            <v>52.2</v>
          </cell>
          <cell r="AH6">
            <v>14.5</v>
          </cell>
          <cell r="AJ6">
            <v>46.4</v>
          </cell>
          <cell r="AV6">
            <v>95.250552277167415</v>
          </cell>
          <cell r="AW6">
            <v>96.077292071129193</v>
          </cell>
          <cell r="AZ6" t="str">
            <v xml:space="preserve">K. Benjamin </v>
          </cell>
        </row>
        <row r="7">
          <cell r="A7" t="str">
            <v>VM003</v>
          </cell>
          <cell r="R7">
            <v>61</v>
          </cell>
          <cell r="S7">
            <v>7.863894139886586</v>
          </cell>
          <cell r="V7">
            <v>0.77361111111111114</v>
          </cell>
          <cell r="W7">
            <v>0.91249999999999998</v>
          </cell>
          <cell r="X7">
            <v>84</v>
          </cell>
          <cell r="AB7">
            <v>0.27361111111111114</v>
          </cell>
          <cell r="AE7">
            <v>52.9</v>
          </cell>
          <cell r="AH7">
            <v>14.5</v>
          </cell>
          <cell r="AJ7">
            <v>48</v>
          </cell>
          <cell r="AV7">
            <v>98.215857114037703</v>
          </cell>
          <cell r="AW7">
            <v>99.079154962203162</v>
          </cell>
          <cell r="AZ7" t="str">
            <v xml:space="preserve">K. Benjamin </v>
          </cell>
        </row>
        <row r="8">
          <cell r="A8" t="str">
            <v>VM004</v>
          </cell>
          <cell r="R8">
            <v>62</v>
          </cell>
          <cell r="S8">
            <v>6.6156787762906193</v>
          </cell>
          <cell r="V8">
            <v>0.95</v>
          </cell>
          <cell r="W8">
            <v>1.0868055555555556</v>
          </cell>
          <cell r="X8">
            <v>83</v>
          </cell>
          <cell r="AB8">
            <v>0.27430555555555558</v>
          </cell>
          <cell r="AE8">
            <v>52.3</v>
          </cell>
          <cell r="AH8">
            <v>14.6</v>
          </cell>
          <cell r="AJ8">
            <v>47.1</v>
          </cell>
          <cell r="AV8">
            <v>97.065841044111437</v>
          </cell>
          <cell r="AW8">
            <v>97.91903047976902</v>
          </cell>
          <cell r="AZ8" t="str">
            <v xml:space="preserve">R. Regis </v>
          </cell>
        </row>
        <row r="9">
          <cell r="A9" t="str">
            <v>VM005</v>
          </cell>
          <cell r="R9">
            <v>59</v>
          </cell>
          <cell r="S9">
            <v>6.6294227188081978</v>
          </cell>
          <cell r="V9">
            <v>0.79513888888888884</v>
          </cell>
          <cell r="W9">
            <v>0.93125000000000002</v>
          </cell>
          <cell r="X9">
            <v>83</v>
          </cell>
          <cell r="AB9">
            <v>0.27500000000000002</v>
          </cell>
          <cell r="AE9">
            <v>53.7</v>
          </cell>
          <cell r="AH9">
            <v>14.15</v>
          </cell>
          <cell r="AJ9">
            <v>48.3</v>
          </cell>
          <cell r="AV9">
            <v>96.846940704132052</v>
          </cell>
          <cell r="AW9">
            <v>97.691100496547605</v>
          </cell>
          <cell r="AZ9" t="str">
            <v>K. Benjamin</v>
          </cell>
        </row>
        <row r="10">
          <cell r="A10" t="str">
            <v>VM006</v>
          </cell>
          <cell r="R10">
            <v>61</v>
          </cell>
          <cell r="S10">
            <v>5.2471482889733796</v>
          </cell>
          <cell r="V10">
            <v>0.90277777777777779</v>
          </cell>
          <cell r="W10">
            <v>1.0354166666666667</v>
          </cell>
          <cell r="X10">
            <v>86</v>
          </cell>
          <cell r="AB10">
            <v>0.27500000000000002</v>
          </cell>
          <cell r="AE10">
            <v>52.6</v>
          </cell>
          <cell r="AH10">
            <v>14.48</v>
          </cell>
          <cell r="AJ10">
            <v>48.1</v>
          </cell>
          <cell r="AV10">
            <v>97.357949497729479</v>
          </cell>
          <cell r="AW10">
            <v>98.227903523398325</v>
          </cell>
          <cell r="AZ10" t="str">
            <v>K. Benjamin</v>
          </cell>
        </row>
        <row r="11">
          <cell r="A11" t="str">
            <v>VM007</v>
          </cell>
          <cell r="R11">
            <v>60</v>
          </cell>
          <cell r="S11">
            <v>4.6240601503759544</v>
          </cell>
          <cell r="V11">
            <v>0.99652777777777779</v>
          </cell>
          <cell r="W11">
            <v>1.1347222222222222</v>
          </cell>
          <cell r="X11">
            <v>86</v>
          </cell>
          <cell r="AB11">
            <v>0.26666666666666661</v>
          </cell>
          <cell r="AE11">
            <v>53.2</v>
          </cell>
          <cell r="AH11">
            <v>14.4</v>
          </cell>
          <cell r="AJ11">
            <v>49.1</v>
          </cell>
          <cell r="AV11">
            <v>99.103663669233342</v>
          </cell>
          <cell r="AW11">
            <v>99.996397570171936</v>
          </cell>
          <cell r="AZ11" t="str">
            <v xml:space="preserve">R.Regis </v>
          </cell>
        </row>
        <row r="12">
          <cell r="A12" t="str">
            <v>VM008</v>
          </cell>
          <cell r="R12">
            <v>62</v>
          </cell>
          <cell r="S12">
            <v>4.8120300751879741</v>
          </cell>
          <cell r="V12">
            <v>1.1131944444444444</v>
          </cell>
          <cell r="W12">
            <v>1.2548611111111112</v>
          </cell>
          <cell r="X12">
            <v>88</v>
          </cell>
          <cell r="AB12">
            <v>0.27222222222222237</v>
          </cell>
          <cell r="AE12">
            <v>53.2</v>
          </cell>
          <cell r="AH12">
            <v>14.29</v>
          </cell>
          <cell r="AJ12">
            <v>49.1</v>
          </cell>
          <cell r="AV12">
            <v>100.09297596306546</v>
          </cell>
          <cell r="AW12">
            <v>100.96542960173397</v>
          </cell>
          <cell r="AZ12" t="str">
            <v xml:space="preserve">R.Regis </v>
          </cell>
        </row>
        <row r="13">
          <cell r="A13" t="str">
            <v>VM009</v>
          </cell>
          <cell r="R13">
            <v>60</v>
          </cell>
          <cell r="S13">
            <v>4.7307692307692193</v>
          </cell>
          <cell r="V13">
            <v>0.25208333333333333</v>
          </cell>
          <cell r="W13">
            <v>0.36388888888888887</v>
          </cell>
          <cell r="X13">
            <v>84</v>
          </cell>
          <cell r="AB13">
            <v>0.26666666666666666</v>
          </cell>
          <cell r="AE13">
            <v>52</v>
          </cell>
          <cell r="AH13">
            <v>14.5</v>
          </cell>
          <cell r="AJ13">
            <v>48</v>
          </cell>
          <cell r="AV13">
            <v>97.892294431558113</v>
          </cell>
          <cell r="AW13">
            <v>98.741963576712152</v>
          </cell>
          <cell r="AZ13" t="str">
            <v xml:space="preserve">R.Regis </v>
          </cell>
        </row>
        <row r="14">
          <cell r="A14" t="str">
            <v>VM010</v>
          </cell>
          <cell r="R14">
            <v>59</v>
          </cell>
          <cell r="S14">
            <v>1.871345029239754</v>
          </cell>
          <cell r="V14">
            <v>0.36388888888888887</v>
          </cell>
          <cell r="W14">
            <v>0.48333333333333334</v>
          </cell>
          <cell r="X14">
            <v>85</v>
          </cell>
          <cell r="AB14">
            <v>0.27500000000000002</v>
          </cell>
          <cell r="AE14">
            <v>51.3</v>
          </cell>
          <cell r="AH14">
            <v>14.3</v>
          </cell>
          <cell r="AJ14">
            <v>48.6</v>
          </cell>
          <cell r="AV14">
            <v>99.07369922209736</v>
          </cell>
          <cell r="AW14">
            <v>99.937268404160321</v>
          </cell>
          <cell r="AZ14" t="str">
            <v>R.Sookram</v>
          </cell>
        </row>
      </sheetData>
      <sheetData sheetId="4">
        <row r="5">
          <cell r="C5" t="str">
            <v>BBT</v>
          </cell>
        </row>
        <row r="9">
          <cell r="D9">
            <v>14.15</v>
          </cell>
        </row>
        <row r="10">
          <cell r="D10">
            <v>14.48</v>
          </cell>
        </row>
        <row r="11">
          <cell r="D11">
            <v>14.4</v>
          </cell>
        </row>
        <row r="12">
          <cell r="D12">
            <v>14.29</v>
          </cell>
        </row>
        <row r="13">
          <cell r="D13">
            <v>14.5</v>
          </cell>
        </row>
        <row r="14">
          <cell r="D14">
            <v>14.3</v>
          </cell>
        </row>
      </sheetData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P5">
            <v>60</v>
          </cell>
          <cell r="Q5">
            <v>6.0805860805860812</v>
          </cell>
          <cell r="T5">
            <v>0.70694444444444449</v>
          </cell>
          <cell r="U5">
            <v>0.81527777777777777</v>
          </cell>
          <cell r="V5">
            <v>59</v>
          </cell>
          <cell r="Y5">
            <v>0.20694444444444449</v>
          </cell>
          <cell r="AF5">
            <v>55.5</v>
          </cell>
          <cell r="AG5">
            <v>11.7</v>
          </cell>
          <cell r="AI5">
            <v>50.1</v>
          </cell>
          <cell r="AU5">
            <v>92.965702451125438</v>
          </cell>
          <cell r="AV5">
            <v>96.837222533920212</v>
          </cell>
          <cell r="AW5" t="str">
            <v>R.Sookram</v>
          </cell>
        </row>
        <row r="6">
          <cell r="A6" t="str">
            <v>HP002</v>
          </cell>
          <cell r="P6">
            <v>60</v>
          </cell>
          <cell r="Q6">
            <v>7.0899470899470947</v>
          </cell>
          <cell r="T6">
            <v>0.81666666666666665</v>
          </cell>
          <cell r="U6">
            <v>0.92847222222222225</v>
          </cell>
          <cell r="V6">
            <v>61</v>
          </cell>
          <cell r="Y6">
            <v>0.20694444444444449</v>
          </cell>
          <cell r="AF6">
            <v>54.8</v>
          </cell>
          <cell r="AG6">
            <v>11.6</v>
          </cell>
          <cell r="AI6">
            <v>50.6</v>
          </cell>
          <cell r="AU6">
            <v>93.048999749652921</v>
          </cell>
          <cell r="AV6">
            <v>96.923988715655042</v>
          </cell>
          <cell r="AW6" t="str">
            <v>K.Benjamin</v>
          </cell>
        </row>
        <row r="7">
          <cell r="A7" t="str">
            <v>HP003</v>
          </cell>
          <cell r="P7">
            <v>60</v>
          </cell>
          <cell r="Q7">
            <v>6.3844797178130586</v>
          </cell>
          <cell r="T7">
            <v>0.92361111111111116</v>
          </cell>
          <cell r="U7">
            <v>1.0381944444444444</v>
          </cell>
          <cell r="V7">
            <v>65</v>
          </cell>
          <cell r="Y7">
            <v>0.20277777777777772</v>
          </cell>
          <cell r="AF7">
            <v>58.1</v>
          </cell>
          <cell r="AG7">
            <v>11.12</v>
          </cell>
          <cell r="AI7">
            <v>48.5</v>
          </cell>
          <cell r="AU7">
            <v>84.477722903722579</v>
          </cell>
          <cell r="AV7">
            <v>87.995764419543718</v>
          </cell>
          <cell r="AW7" t="str">
            <v>K.Benjamin</v>
          </cell>
        </row>
        <row r="8">
          <cell r="A8" t="str">
            <v>HP004</v>
          </cell>
          <cell r="P8">
            <v>60</v>
          </cell>
          <cell r="Q8">
            <v>6.8214285714285712</v>
          </cell>
          <cell r="T8">
            <v>1.101388888888889</v>
          </cell>
          <cell r="U8">
            <v>1.1715277777777777</v>
          </cell>
          <cell r="V8">
            <v>65</v>
          </cell>
          <cell r="Y8">
            <v>0.21875</v>
          </cell>
          <cell r="AF8">
            <v>58.1</v>
          </cell>
          <cell r="AG8">
            <v>11.1</v>
          </cell>
          <cell r="AI8">
            <v>53.7</v>
          </cell>
          <cell r="AU8">
            <v>93.535128245977376</v>
          </cell>
          <cell r="AV8">
            <v>97.430361841845325</v>
          </cell>
          <cell r="AW8" t="str">
            <v>K.Benjamin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 refreshError="1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February'25"/>
      <sheetName val="Summary January'25"/>
      <sheetName val="Summary March '24"/>
      <sheetName val="Summary January'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R4">
            <v>77</v>
          </cell>
          <cell r="S4">
            <v>8.2479452054794535</v>
          </cell>
          <cell r="V4">
            <v>0.24305555555555555</v>
          </cell>
          <cell r="W4">
            <v>0.36666666666666664</v>
          </cell>
          <cell r="X4">
            <v>64</v>
          </cell>
          <cell r="AA4">
            <v>0.23125000000000001</v>
          </cell>
          <cell r="AF4">
            <v>53.9</v>
          </cell>
          <cell r="AG4">
            <v>13.49</v>
          </cell>
          <cell r="AI4">
            <v>49.3</v>
          </cell>
          <cell r="AT4">
            <v>91.980534426214859</v>
          </cell>
          <cell r="AU4">
            <v>95.364999105637906</v>
          </cell>
          <cell r="AX4" t="str">
            <v>R.Sookram</v>
          </cell>
        </row>
        <row r="5">
          <cell r="A5" t="str">
            <v>MK002</v>
          </cell>
          <cell r="R5">
            <v>73</v>
          </cell>
          <cell r="S5">
            <v>4.4309859154929514</v>
          </cell>
          <cell r="V5">
            <v>0.39027777777777778</v>
          </cell>
          <cell r="W5">
            <v>0.51458333333333328</v>
          </cell>
          <cell r="X5">
            <v>62</v>
          </cell>
          <cell r="AA5">
            <v>0.26111111111111113</v>
          </cell>
          <cell r="AF5">
            <v>54.9</v>
          </cell>
          <cell r="AG5">
            <v>13.5</v>
          </cell>
          <cell r="AI5">
            <v>50.9</v>
          </cell>
          <cell r="AT5">
            <v>95.066683069960561</v>
          </cell>
          <cell r="AU5">
            <v>98.563993574505588</v>
          </cell>
          <cell r="AX5" t="str">
            <v>R.Sookram</v>
          </cell>
        </row>
        <row r="6">
          <cell r="A6" t="str">
            <v>MK003</v>
          </cell>
          <cell r="R6">
            <v>74</v>
          </cell>
          <cell r="S6">
            <v>4.3543252595155648</v>
          </cell>
          <cell r="V6">
            <v>0.50972222222222219</v>
          </cell>
          <cell r="W6">
            <v>0.6333333333333333</v>
          </cell>
          <cell r="X6">
            <v>59</v>
          </cell>
          <cell r="AA6">
            <v>0.22916666666666669</v>
          </cell>
          <cell r="AF6">
            <v>55.6</v>
          </cell>
          <cell r="AG6">
            <v>13.3</v>
          </cell>
          <cell r="AI6">
            <v>52.2</v>
          </cell>
          <cell r="AT6">
            <v>95.883338904704345</v>
          </cell>
          <cell r="AU6">
            <v>99.41140901097711</v>
          </cell>
          <cell r="AX6" t="str">
            <v>R.Sookram</v>
          </cell>
        </row>
        <row r="7">
          <cell r="A7" t="str">
            <v>MK004</v>
          </cell>
          <cell r="R7">
            <v>74</v>
          </cell>
          <cell r="S7">
            <v>7.974834437086094</v>
          </cell>
          <cell r="V7">
            <v>0.62430555555555556</v>
          </cell>
          <cell r="W7">
            <v>0.75694444444444442</v>
          </cell>
          <cell r="X7">
            <v>55</v>
          </cell>
          <cell r="AA7">
            <v>0.2506944444444445</v>
          </cell>
          <cell r="AF7">
            <v>55.9</v>
          </cell>
          <cell r="AG7">
            <v>13.1</v>
          </cell>
          <cell r="AI7">
            <v>52</v>
          </cell>
          <cell r="AT7">
            <v>94.113898794831059</v>
          </cell>
          <cell r="AU7">
            <v>97.576158297843563</v>
          </cell>
          <cell r="AX7" t="str">
            <v>K.Benjamin</v>
          </cell>
        </row>
        <row r="8">
          <cell r="A8" t="str">
            <v>MK005</v>
          </cell>
          <cell r="R8">
            <v>78</v>
          </cell>
          <cell r="S8">
            <v>5.6891938250428833</v>
          </cell>
          <cell r="V8">
            <v>0.67777777777777781</v>
          </cell>
          <cell r="W8">
            <v>0.90416666666666667</v>
          </cell>
          <cell r="X8">
            <v>51</v>
          </cell>
          <cell r="AA8">
            <v>0.29652777777777772</v>
          </cell>
          <cell r="AF8">
            <v>55.3</v>
          </cell>
          <cell r="AG8">
            <v>13.46</v>
          </cell>
          <cell r="AI8">
            <v>51.4</v>
          </cell>
          <cell r="AT8">
            <v>95.898569361205759</v>
          </cell>
          <cell r="AU8">
            <v>99.427199878900367</v>
          </cell>
          <cell r="AX8" t="str">
            <v>K.Benjamin</v>
          </cell>
        </row>
        <row r="9">
          <cell r="A9" t="str">
            <v>MK006</v>
          </cell>
          <cell r="R9">
            <v>75</v>
          </cell>
          <cell r="S9">
            <v>5.2103626943005121</v>
          </cell>
          <cell r="V9">
            <v>0.8881944444444444</v>
          </cell>
          <cell r="W9">
            <v>1.007638888888889</v>
          </cell>
          <cell r="X9">
            <v>64</v>
          </cell>
          <cell r="AA9">
            <v>0.2284722222222223</v>
          </cell>
          <cell r="AF9">
            <v>55.2</v>
          </cell>
          <cell r="AG9">
            <v>13.04</v>
          </cell>
          <cell r="AI9">
            <v>52.3</v>
          </cell>
          <cell r="AT9">
            <v>93.701438852695176</v>
          </cell>
          <cell r="AU9">
            <v>97.149923685381424</v>
          </cell>
          <cell r="AX9" t="str">
            <v>K.Benjamin</v>
          </cell>
        </row>
        <row r="10">
          <cell r="A10" t="str">
            <v>MK007</v>
          </cell>
          <cell r="R10">
            <v>76</v>
          </cell>
          <cell r="S10">
            <v>7.1219858156028311</v>
          </cell>
          <cell r="V10">
            <v>0.99791666666666667</v>
          </cell>
          <cell r="W10">
            <v>1.1493055555555556</v>
          </cell>
          <cell r="X10">
            <v>61</v>
          </cell>
          <cell r="AA10">
            <v>0.25694444444444453</v>
          </cell>
          <cell r="AF10">
            <v>52.7</v>
          </cell>
          <cell r="AG10">
            <v>14</v>
          </cell>
          <cell r="AI10">
            <v>49.5</v>
          </cell>
          <cell r="AT10">
            <v>95.891379370044191</v>
          </cell>
          <cell r="AU10">
            <v>99.420460368072526</v>
          </cell>
          <cell r="AX10" t="str">
            <v>R.Regis</v>
          </cell>
        </row>
        <row r="11">
          <cell r="A11" t="str">
            <v>MK008</v>
          </cell>
          <cell r="R11">
            <v>75</v>
          </cell>
          <cell r="S11">
            <v>4.5514124293785345</v>
          </cell>
          <cell r="V11">
            <v>0.12916666666666668</v>
          </cell>
          <cell r="W11">
            <v>0.26111111111111113</v>
          </cell>
          <cell r="X11">
            <v>63</v>
          </cell>
          <cell r="AA11">
            <v>0.24652777777777768</v>
          </cell>
          <cell r="AF11">
            <v>56</v>
          </cell>
          <cell r="AG11">
            <v>13.29</v>
          </cell>
          <cell r="AI11">
            <v>52.3</v>
          </cell>
          <cell r="AT11">
            <v>95.965090010922808</v>
          </cell>
          <cell r="AU11">
            <v>99.496883774413334</v>
          </cell>
          <cell r="AX11" t="str">
            <v>R.Regis</v>
          </cell>
        </row>
      </sheetData>
      <sheetData sheetId="8">
        <row r="4">
          <cell r="C4" t="str">
            <v>DPV</v>
          </cell>
        </row>
      </sheetData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102" t="str">
            <v>CA001</v>
          </cell>
          <cell r="P102">
            <v>58</v>
          </cell>
          <cell r="Q102">
            <v>7.3090909090909015</v>
          </cell>
          <cell r="T102">
            <v>0.32083333333333336</v>
          </cell>
          <cell r="U102">
            <v>0.44444444444444442</v>
          </cell>
          <cell r="V102">
            <v>60</v>
          </cell>
          <cell r="Z102">
            <v>0.27083333333333331</v>
          </cell>
          <cell r="AF102">
            <v>52.9</v>
          </cell>
          <cell r="AG102">
            <v>11.9</v>
          </cell>
          <cell r="AI102">
            <v>48.6</v>
          </cell>
          <cell r="AU102">
            <v>92.721004414750013</v>
          </cell>
          <cell r="AV102">
            <v>96.45492113973684</v>
          </cell>
          <cell r="AX102" t="str">
            <v>R.Sookram</v>
          </cell>
        </row>
        <row r="103">
          <cell r="A103" t="str">
            <v>CA002</v>
          </cell>
          <cell r="P103">
            <v>58</v>
          </cell>
          <cell r="Q103">
            <v>7.2958257713248695</v>
          </cell>
          <cell r="T103">
            <v>0.45763888888888887</v>
          </cell>
          <cell r="U103">
            <v>0.57013888888888886</v>
          </cell>
          <cell r="V103">
            <v>63</v>
          </cell>
          <cell r="Z103">
            <v>0.28541666666666665</v>
          </cell>
          <cell r="AF103">
            <v>53.9</v>
          </cell>
          <cell r="AG103">
            <v>11.9</v>
          </cell>
          <cell r="AI103">
            <v>50.2</v>
          </cell>
          <cell r="AU103">
            <v>95.183546542203274</v>
          </cell>
          <cell r="AV103">
            <v>99.018734935919994</v>
          </cell>
          <cell r="AX103" t="str">
            <v>R.Sookram</v>
          </cell>
        </row>
        <row r="104">
          <cell r="A104" t="str">
            <v>CA003</v>
          </cell>
          <cell r="P104">
            <v>58</v>
          </cell>
          <cell r="Q104">
            <v>6.870503597122303</v>
          </cell>
          <cell r="T104">
            <v>0.59444444444444444</v>
          </cell>
          <cell r="U104">
            <v>0.69861111111111107</v>
          </cell>
          <cell r="V104">
            <v>59</v>
          </cell>
          <cell r="Z104">
            <v>0.31319444444444439</v>
          </cell>
          <cell r="AF104">
            <v>53.3</v>
          </cell>
          <cell r="AG104">
            <v>11.9</v>
          </cell>
          <cell r="AI104">
            <v>49.9</v>
          </cell>
          <cell r="AU104">
            <v>95.186026119258216</v>
          </cell>
          <cell r="AV104">
            <v>99.18519772373709</v>
          </cell>
          <cell r="AX104" t="str">
            <v>R.Sookram</v>
          </cell>
        </row>
        <row r="105">
          <cell r="A105" t="str">
            <v>CA004</v>
          </cell>
          <cell r="P105">
            <v>66</v>
          </cell>
          <cell r="Q105">
            <v>8.3243243243243192</v>
          </cell>
          <cell r="T105">
            <v>0.69722222222222219</v>
          </cell>
          <cell r="U105">
            <v>0.80763888888888891</v>
          </cell>
          <cell r="V105">
            <v>56</v>
          </cell>
          <cell r="Z105">
            <v>0.30763888888888891</v>
          </cell>
          <cell r="AF105">
            <v>53.3</v>
          </cell>
          <cell r="AG105">
            <v>12</v>
          </cell>
          <cell r="AI105">
            <v>49.8</v>
          </cell>
          <cell r="AU105">
            <v>95.834588221072792</v>
          </cell>
          <cell r="AV105">
            <v>99.861008690191412</v>
          </cell>
          <cell r="AX105" t="str">
            <v>K.Benjamin</v>
          </cell>
        </row>
        <row r="106">
          <cell r="A106" t="str">
            <v>CA005</v>
          </cell>
          <cell r="P106">
            <v>62</v>
          </cell>
          <cell r="Q106">
            <v>6.1621621621621649</v>
          </cell>
          <cell r="T106">
            <v>0.81874999999999998</v>
          </cell>
          <cell r="U106">
            <v>0.94166666666666665</v>
          </cell>
          <cell r="V106">
            <v>60</v>
          </cell>
          <cell r="Z106">
            <v>0.27500000000000002</v>
          </cell>
          <cell r="AF106">
            <v>52.8</v>
          </cell>
          <cell r="AG106">
            <v>11.8</v>
          </cell>
          <cell r="AI106">
            <v>49.3</v>
          </cell>
          <cell r="AU106">
            <v>95.701714072534301</v>
          </cell>
          <cell r="AV106">
            <v>99.717811781016536</v>
          </cell>
          <cell r="AX106" t="str">
            <v>K.Benjamin</v>
          </cell>
        </row>
        <row r="107">
          <cell r="A107" t="str">
            <v>CA006</v>
          </cell>
          <cell r="P107">
            <v>63</v>
          </cell>
          <cell r="Q107">
            <v>5.7706093189964145</v>
          </cell>
          <cell r="T107">
            <v>0.93263888888888891</v>
          </cell>
          <cell r="U107">
            <v>1.0416666666666667</v>
          </cell>
          <cell r="V107">
            <v>58</v>
          </cell>
          <cell r="Z107">
            <v>0.26388888888888895</v>
          </cell>
          <cell r="AF107">
            <v>53.3</v>
          </cell>
          <cell r="AG107">
            <v>11.7</v>
          </cell>
          <cell r="AI107">
            <v>49.7</v>
          </cell>
          <cell r="AU107">
            <v>92.798968247797376</v>
          </cell>
          <cell r="AV107">
            <v>96.537258406470258</v>
          </cell>
          <cell r="AX107" t="str">
            <v>R.Regis</v>
          </cell>
        </row>
        <row r="108">
          <cell r="A108" t="str">
            <v>CA007</v>
          </cell>
          <cell r="P108">
            <v>61</v>
          </cell>
          <cell r="Q108">
            <v>5.1957295373665513</v>
          </cell>
          <cell r="T108">
            <v>1.0722222222222222</v>
          </cell>
          <cell r="U108">
            <v>1.1854166666666666</v>
          </cell>
          <cell r="V108">
            <v>66</v>
          </cell>
          <cell r="Z108">
            <v>0.30347222222222214</v>
          </cell>
          <cell r="AF108">
            <v>54.9</v>
          </cell>
          <cell r="AG108">
            <v>11.7</v>
          </cell>
          <cell r="AI108">
            <v>51.6</v>
          </cell>
          <cell r="AU108">
            <v>95.637869985017701</v>
          </cell>
          <cell r="AV108">
            <v>99.493036855893124</v>
          </cell>
          <cell r="AX108" t="str">
            <v>R.Regis</v>
          </cell>
        </row>
        <row r="109">
          <cell r="A109" t="str">
            <v>CA008</v>
          </cell>
          <cell r="P109">
            <v>60</v>
          </cell>
          <cell r="Q109">
            <v>6.2745098039215739</v>
          </cell>
          <cell r="T109">
            <v>1.35625</v>
          </cell>
          <cell r="U109">
            <v>1.4694444444444446</v>
          </cell>
          <cell r="V109">
            <v>63</v>
          </cell>
          <cell r="Z109">
            <v>0.46944444444444455</v>
          </cell>
          <cell r="AF109">
            <v>54</v>
          </cell>
          <cell r="AG109">
            <v>11.9</v>
          </cell>
          <cell r="AI109">
            <v>50.9</v>
          </cell>
          <cell r="AU109">
            <v>96.273574518798767</v>
          </cell>
          <cell r="AV109">
            <v>100.15352685941828</v>
          </cell>
          <cell r="AX109" t="str">
            <v>R.Sookram</v>
          </cell>
        </row>
        <row r="110">
          <cell r="A110" t="str">
            <v>CA009</v>
          </cell>
          <cell r="P110">
            <v>59</v>
          </cell>
          <cell r="Q110">
            <v>6.6547406082289786</v>
          </cell>
          <cell r="T110">
            <v>0.59305555555555556</v>
          </cell>
          <cell r="U110">
            <v>0.70486111111111116</v>
          </cell>
          <cell r="V110">
            <v>58</v>
          </cell>
          <cell r="Z110">
            <v>0.27777777777777785</v>
          </cell>
          <cell r="AF110">
            <v>53.8</v>
          </cell>
          <cell r="AG110">
            <v>11.8</v>
          </cell>
          <cell r="AI110">
            <v>50.3</v>
          </cell>
          <cell r="AU110">
            <v>94.86612185107694</v>
          </cell>
          <cell r="AV110">
            <v>98.852287708173776</v>
          </cell>
          <cell r="AX110" t="str">
            <v>K.Benjamin</v>
          </cell>
        </row>
        <row r="111">
          <cell r="A111" t="str">
            <v>CA010</v>
          </cell>
          <cell r="P111">
            <v>60</v>
          </cell>
          <cell r="Q111">
            <v>9.5511669658886902</v>
          </cell>
          <cell r="T111">
            <v>0.88124999999999998</v>
          </cell>
          <cell r="U111">
            <v>0.99722222222222223</v>
          </cell>
          <cell r="V111">
            <v>60</v>
          </cell>
          <cell r="Z111">
            <v>0.4555555555555556</v>
          </cell>
          <cell r="AF111">
            <v>51</v>
          </cell>
          <cell r="AG111">
            <v>11.6</v>
          </cell>
          <cell r="AI111">
            <v>48.8</v>
          </cell>
          <cell r="AU111">
            <v>90.396256118959755</v>
          </cell>
          <cell r="AV111">
            <v>94.1946033341694</v>
          </cell>
          <cell r="AX111" t="str">
            <v>K.Benjamin</v>
          </cell>
        </row>
        <row r="112">
          <cell r="A112" t="str">
            <v>CA011</v>
          </cell>
          <cell r="P112">
            <v>59</v>
          </cell>
          <cell r="Q112">
            <v>6.3883847549909305</v>
          </cell>
          <cell r="T112">
            <v>0.81319444444444444</v>
          </cell>
          <cell r="U112">
            <v>0.92500000000000004</v>
          </cell>
          <cell r="V112">
            <v>62</v>
          </cell>
          <cell r="Z112">
            <v>0.2548611111111112</v>
          </cell>
          <cell r="AF112">
            <v>54.4</v>
          </cell>
          <cell r="AG112">
            <v>11.7</v>
          </cell>
          <cell r="AI112">
            <v>50</v>
          </cell>
          <cell r="AU112">
            <v>96.811385381152121</v>
          </cell>
          <cell r="AV112">
            <v>100.87287051679228</v>
          </cell>
          <cell r="AX112" t="str">
            <v>R.Sookram</v>
          </cell>
        </row>
        <row r="113">
          <cell r="A113" t="str">
            <v>CA012</v>
          </cell>
          <cell r="P113">
            <v>61</v>
          </cell>
          <cell r="Q113">
            <v>7.2826086956521792</v>
          </cell>
          <cell r="T113">
            <v>0.96805555555555556</v>
          </cell>
          <cell r="U113">
            <v>1.0756944444444445</v>
          </cell>
          <cell r="V113">
            <v>57</v>
          </cell>
          <cell r="Z113">
            <v>0.25277777777777788</v>
          </cell>
          <cell r="AF113">
            <v>53.6</v>
          </cell>
          <cell r="AG113">
            <v>11.7</v>
          </cell>
          <cell r="AI113">
            <v>49.8</v>
          </cell>
          <cell r="AU113">
            <v>93.316641237557349</v>
          </cell>
          <cell r="AV113">
            <v>97.237271996898173</v>
          </cell>
          <cell r="AX113" t="str">
            <v>K.Benjamin</v>
          </cell>
        </row>
        <row r="114">
          <cell r="A114" t="str">
            <v>CA013</v>
          </cell>
          <cell r="P114">
            <v>61</v>
          </cell>
          <cell r="Q114">
            <v>6.870503597122303</v>
          </cell>
          <cell r="T114">
            <v>1.0736111111111111</v>
          </cell>
          <cell r="U114">
            <v>1.1784722222222221</v>
          </cell>
          <cell r="V114">
            <v>54</v>
          </cell>
          <cell r="Z114">
            <v>0.24097222222222214</v>
          </cell>
          <cell r="AF114">
            <v>52.9</v>
          </cell>
          <cell r="AG114">
            <v>12</v>
          </cell>
          <cell r="AI114">
            <v>49.1</v>
          </cell>
          <cell r="AU114">
            <v>97.63400510059688</v>
          </cell>
          <cell r="AV114">
            <v>101.73000123667005</v>
          </cell>
          <cell r="AX114" t="str">
            <v>K.Benjamin</v>
          </cell>
        </row>
        <row r="115">
          <cell r="A115" t="str">
            <v>CA014</v>
          </cell>
          <cell r="P115">
            <v>62</v>
          </cell>
          <cell r="Q115">
            <v>6.5342960288808625</v>
          </cell>
          <cell r="T115">
            <v>0.1875</v>
          </cell>
          <cell r="U115">
            <v>0.2986111111111111</v>
          </cell>
          <cell r="V115">
            <v>62</v>
          </cell>
          <cell r="Z115">
            <v>0.24652777777777776</v>
          </cell>
          <cell r="AF115">
            <v>54.7</v>
          </cell>
          <cell r="AG115">
            <v>11.7</v>
          </cell>
          <cell r="AI115">
            <v>51.2</v>
          </cell>
          <cell r="AU115">
            <v>99.134858630299789</v>
          </cell>
          <cell r="AV115">
            <v>103.29381940919529</v>
          </cell>
          <cell r="AX115" t="str">
            <v>K.Benjamin</v>
          </cell>
        </row>
        <row r="116">
          <cell r="A116" t="str">
            <v>CA015</v>
          </cell>
          <cell r="P116">
            <v>60</v>
          </cell>
          <cell r="Q116">
            <v>1.381957773512474</v>
          </cell>
          <cell r="T116">
            <v>0.33194444444444443</v>
          </cell>
          <cell r="U116">
            <v>0.44583333333333336</v>
          </cell>
          <cell r="V116">
            <v>61</v>
          </cell>
          <cell r="Z116">
            <v>0.27916666666666667</v>
          </cell>
          <cell r="AF116">
            <v>52.1</v>
          </cell>
          <cell r="AG116">
            <v>11.9</v>
          </cell>
          <cell r="AI116">
            <v>48.4</v>
          </cell>
          <cell r="AU116">
            <v>92.554167304143249</v>
          </cell>
          <cell r="AV116">
            <v>96.442336970197545</v>
          </cell>
          <cell r="AX116" t="str">
            <v>R.Regis</v>
          </cell>
        </row>
        <row r="117">
          <cell r="A117" t="str">
            <v>CA016</v>
          </cell>
          <cell r="P117">
            <v>60</v>
          </cell>
          <cell r="Q117">
            <v>1.3432835820895501</v>
          </cell>
          <cell r="T117">
            <v>0.46458333333333335</v>
          </cell>
          <cell r="U117">
            <v>0.57013888888888886</v>
          </cell>
          <cell r="V117">
            <v>57</v>
          </cell>
          <cell r="Z117">
            <v>0.27847222222222218</v>
          </cell>
          <cell r="AF117">
            <v>53.6</v>
          </cell>
          <cell r="AG117">
            <v>11.8</v>
          </cell>
          <cell r="AI117">
            <v>50.1</v>
          </cell>
          <cell r="AU117">
            <v>94.723161458360067</v>
          </cell>
          <cell r="AV117">
            <v>98.702886141015995</v>
          </cell>
          <cell r="AX117" t="str">
            <v>R.Regis</v>
          </cell>
        </row>
        <row r="118">
          <cell r="A118" t="str">
            <v>CA017</v>
          </cell>
          <cell r="P118">
            <v>60</v>
          </cell>
          <cell r="Q118">
            <v>1.4663951120162908</v>
          </cell>
          <cell r="T118">
            <v>0.57291666666666663</v>
          </cell>
          <cell r="U118">
            <v>0.69097222222222221</v>
          </cell>
          <cell r="V118">
            <v>62</v>
          </cell>
          <cell r="Z118">
            <v>0.25347222222222221</v>
          </cell>
          <cell r="AF118">
            <v>49.5</v>
          </cell>
          <cell r="AG118">
            <v>11.7</v>
          </cell>
          <cell r="AI118">
            <v>46.4</v>
          </cell>
          <cell r="AU118">
            <v>94.836688212040571</v>
          </cell>
          <cell r="AV118">
            <v>98.624989620836999</v>
          </cell>
          <cell r="AX118" t="str">
            <v>R.Regis</v>
          </cell>
        </row>
        <row r="119">
          <cell r="A119" t="str">
            <v>CA018</v>
          </cell>
          <cell r="P119">
            <v>57</v>
          </cell>
          <cell r="Q119">
            <v>5.1459854014598418</v>
          </cell>
          <cell r="T119">
            <v>0.80763888888888891</v>
          </cell>
          <cell r="U119">
            <v>0.9145833333333333</v>
          </cell>
          <cell r="V119">
            <v>57</v>
          </cell>
          <cell r="Z119">
            <v>0.2583333333333333</v>
          </cell>
          <cell r="AF119">
            <v>52.7</v>
          </cell>
          <cell r="AG119">
            <v>11.58</v>
          </cell>
          <cell r="AI119">
            <v>48.3</v>
          </cell>
          <cell r="AU119">
            <v>88.825216186637164</v>
          </cell>
          <cell r="AV119">
            <v>92.40537773044602</v>
          </cell>
          <cell r="AX119" t="str">
            <v>R.Sookram</v>
          </cell>
        </row>
        <row r="120">
          <cell r="A120" t="str">
            <v>CA019</v>
          </cell>
          <cell r="P120">
            <v>57</v>
          </cell>
          <cell r="Q120">
            <v>7.3835125448028629</v>
          </cell>
          <cell r="T120">
            <v>0.92361111111111116</v>
          </cell>
          <cell r="U120">
            <v>1.0333333333333334</v>
          </cell>
          <cell r="V120">
            <v>77</v>
          </cell>
          <cell r="Z120">
            <v>0.27291666666666681</v>
          </cell>
          <cell r="AF120">
            <v>53.2</v>
          </cell>
          <cell r="AG120">
            <v>11.81</v>
          </cell>
          <cell r="AI120">
            <v>49.5</v>
          </cell>
          <cell r="AU120">
            <v>93.256832532072352</v>
          </cell>
          <cell r="AV120">
            <v>97.013567179732902</v>
          </cell>
          <cell r="AX120" t="str">
            <v>K.Benjamin</v>
          </cell>
        </row>
        <row r="121">
          <cell r="A121" t="str">
            <v>CA020</v>
          </cell>
          <cell r="P121">
            <v>58</v>
          </cell>
          <cell r="Q121">
            <v>6.1956521739130466</v>
          </cell>
          <cell r="T121">
            <v>1.0305555555555554</v>
          </cell>
          <cell r="U121">
            <v>1.1465277777777778</v>
          </cell>
          <cell r="V121">
            <v>77</v>
          </cell>
          <cell r="Z121">
            <v>0.27500000000000002</v>
          </cell>
          <cell r="AF121">
            <v>54.7</v>
          </cell>
          <cell r="AG121">
            <v>11.83</v>
          </cell>
          <cell r="AI121">
            <v>51.1</v>
          </cell>
          <cell r="AU121">
            <v>96.271194795735298</v>
          </cell>
          <cell r="AV121">
            <v>100.14935925018891</v>
          </cell>
          <cell r="AX121" t="str">
            <v>R.Sookram</v>
          </cell>
        </row>
        <row r="122">
          <cell r="A122" t="str">
            <v>CA021</v>
          </cell>
          <cell r="P122">
            <v>57</v>
          </cell>
          <cell r="Q122">
            <v>6.1071428571428603</v>
          </cell>
          <cell r="T122">
            <v>1.1368055555555556</v>
          </cell>
          <cell r="U122">
            <v>1.2486111111111111</v>
          </cell>
          <cell r="V122">
            <v>55</v>
          </cell>
          <cell r="Z122">
            <v>0.26597222222222228</v>
          </cell>
          <cell r="AF122">
            <v>53.3</v>
          </cell>
          <cell r="AG122">
            <v>11.8</v>
          </cell>
          <cell r="AI122">
            <v>49.7</v>
          </cell>
          <cell r="AU122">
            <v>90.611883285060202</v>
          </cell>
          <cell r="AV122">
            <v>94.272524424948628</v>
          </cell>
          <cell r="AX122" t="str">
            <v>K.Benjamin</v>
          </cell>
        </row>
        <row r="123">
          <cell r="A123" t="str">
            <v>CA022</v>
          </cell>
          <cell r="P123">
            <v>60</v>
          </cell>
          <cell r="Q123">
            <v>5.6890459363957575</v>
          </cell>
          <cell r="T123">
            <v>0.25624999999999998</v>
          </cell>
          <cell r="U123">
            <v>0.39930555555555558</v>
          </cell>
          <cell r="V123">
            <v>85</v>
          </cell>
          <cell r="Z123">
            <v>0.30555555555555558</v>
          </cell>
          <cell r="AF123">
            <v>54.6</v>
          </cell>
          <cell r="AG123">
            <v>11.8</v>
          </cell>
          <cell r="AI123">
            <v>51</v>
          </cell>
          <cell r="AU123">
            <v>96.544443432374834</v>
          </cell>
          <cell r="AV123">
            <v>100.60046588434774</v>
          </cell>
          <cell r="AX123" t="str">
            <v>K.Benjamin</v>
          </cell>
        </row>
        <row r="124">
          <cell r="A124" t="str">
            <v>CA023</v>
          </cell>
          <cell r="P124">
            <v>60</v>
          </cell>
          <cell r="Q124">
            <v>6.2300884955752149</v>
          </cell>
          <cell r="T124">
            <v>0.36458333333333331</v>
          </cell>
          <cell r="U124">
            <v>0.4826388888888889</v>
          </cell>
          <cell r="V124">
            <v>72</v>
          </cell>
          <cell r="Z124">
            <v>0.2673611111111111</v>
          </cell>
          <cell r="AF124">
            <v>53.7</v>
          </cell>
          <cell r="AG124">
            <v>11.9</v>
          </cell>
          <cell r="AI124">
            <v>49.4</v>
          </cell>
          <cell r="AU124">
            <v>94.232258322472063</v>
          </cell>
          <cell r="AV124">
            <v>98.191358067186627</v>
          </cell>
          <cell r="AX124" t="str">
            <v>R.Regis</v>
          </cell>
        </row>
        <row r="125">
          <cell r="A125" t="str">
            <v>CA024</v>
          </cell>
          <cell r="P125">
            <v>60</v>
          </cell>
          <cell r="Q125">
            <v>6.4070796460176949</v>
          </cell>
          <cell r="T125">
            <v>0.49444444444444446</v>
          </cell>
          <cell r="U125">
            <v>0.61388888888888893</v>
          </cell>
          <cell r="V125">
            <v>68</v>
          </cell>
          <cell r="Z125">
            <v>0.26666666666666672</v>
          </cell>
          <cell r="AF125">
            <v>54.9</v>
          </cell>
          <cell r="AG125">
            <v>11.7</v>
          </cell>
          <cell r="AI125">
            <v>51.4</v>
          </cell>
          <cell r="AU125">
            <v>95.957942302884106</v>
          </cell>
          <cell r="AV125">
            <v>99.990204293293559</v>
          </cell>
          <cell r="AX125" t="str">
            <v>R.Regis</v>
          </cell>
        </row>
        <row r="126">
          <cell r="A126" t="str">
            <v>CA025</v>
          </cell>
          <cell r="P126">
            <v>57</v>
          </cell>
          <cell r="Q126">
            <v>5.0447227191413244</v>
          </cell>
          <cell r="T126">
            <v>0.61041666666666672</v>
          </cell>
          <cell r="U126">
            <v>0.71597222222222223</v>
          </cell>
          <cell r="V126">
            <v>63</v>
          </cell>
          <cell r="Z126">
            <v>0.24722222222222223</v>
          </cell>
          <cell r="AF126">
            <v>53.8</v>
          </cell>
          <cell r="AG126">
            <v>11.8</v>
          </cell>
          <cell r="AI126">
            <v>50.8</v>
          </cell>
          <cell r="AU126">
            <v>95.337604364892485</v>
          </cell>
          <cell r="AV126">
            <v>99.344448854597502</v>
          </cell>
          <cell r="AX126" t="str">
            <v>R.Sookram</v>
          </cell>
        </row>
        <row r="127">
          <cell r="A127" t="str">
            <v>CA026</v>
          </cell>
          <cell r="P127">
            <v>58</v>
          </cell>
          <cell r="Q127">
            <v>6.4758497316636809</v>
          </cell>
          <cell r="T127">
            <v>0.76666666666666672</v>
          </cell>
          <cell r="U127">
            <v>0.87222222222222223</v>
          </cell>
          <cell r="V127">
            <v>60</v>
          </cell>
          <cell r="Z127">
            <v>0.24722222222222223</v>
          </cell>
          <cell r="AF127">
            <v>53</v>
          </cell>
          <cell r="AG127">
            <v>11.9</v>
          </cell>
          <cell r="AI127">
            <v>48.7</v>
          </cell>
          <cell r="AU127">
            <v>89.580178011311446</v>
          </cell>
          <cell r="AV127">
            <v>93.199139157004794</v>
          </cell>
          <cell r="AX127" t="str">
            <v>R.Sookram</v>
          </cell>
        </row>
        <row r="128">
          <cell r="A128" t="str">
            <v>CA027</v>
          </cell>
          <cell r="P128">
            <v>58</v>
          </cell>
          <cell r="Q128">
            <v>5.5514705882352873</v>
          </cell>
          <cell r="T128">
            <v>0.88402777777777775</v>
          </cell>
          <cell r="U128">
            <v>0.98541666666666672</v>
          </cell>
          <cell r="V128">
            <v>59</v>
          </cell>
          <cell r="Z128">
            <v>0.26319444444444451</v>
          </cell>
          <cell r="AF128">
            <v>52.1</v>
          </cell>
          <cell r="AG128">
            <v>11.8</v>
          </cell>
          <cell r="AI128">
            <v>48.3</v>
          </cell>
          <cell r="AU128">
            <v>90.548707098481913</v>
          </cell>
          <cell r="AV128">
            <v>94.197939712964541</v>
          </cell>
          <cell r="AX128" t="str">
            <v>R.Sookram</v>
          </cell>
        </row>
        <row r="129">
          <cell r="A129" t="str">
            <v>CA028</v>
          </cell>
          <cell r="P129">
            <v>58</v>
          </cell>
          <cell r="Q129">
            <v>6.7971530249110321</v>
          </cell>
          <cell r="T129">
            <v>0.99027777777777781</v>
          </cell>
          <cell r="U129">
            <v>1.09375</v>
          </cell>
          <cell r="V129">
            <v>61</v>
          </cell>
          <cell r="Z129">
            <v>0.25347222222222221</v>
          </cell>
          <cell r="AF129">
            <v>54.4</v>
          </cell>
          <cell r="AG129">
            <v>11.6</v>
          </cell>
          <cell r="AI129">
            <v>50.8</v>
          </cell>
          <cell r="AU129">
            <v>94.451373889375304</v>
          </cell>
          <cell r="AV129">
            <v>98.419462362362736</v>
          </cell>
          <cell r="AX129" t="str">
            <v>R.Sookram</v>
          </cell>
        </row>
        <row r="130">
          <cell r="A130" t="str">
            <v>CA029</v>
          </cell>
          <cell r="P130">
            <v>59</v>
          </cell>
          <cell r="Q130">
            <v>6.3309352517985671</v>
          </cell>
          <cell r="T130">
            <v>1.10625</v>
          </cell>
          <cell r="U130">
            <v>1.2104166666666667</v>
          </cell>
          <cell r="V130">
            <v>61</v>
          </cell>
          <cell r="Z130">
            <v>0.26597222222222228</v>
          </cell>
          <cell r="AF130">
            <v>52.8</v>
          </cell>
          <cell r="AG130">
            <v>11.7</v>
          </cell>
          <cell r="AI130">
            <v>49.3</v>
          </cell>
          <cell r="AU130">
            <v>92.379727168907181</v>
          </cell>
          <cell r="AV130">
            <v>96.260994165604004</v>
          </cell>
          <cell r="AX130" t="str">
            <v>R.Sookram</v>
          </cell>
        </row>
        <row r="131">
          <cell r="A131" t="str">
            <v>CA030</v>
          </cell>
          <cell r="P131">
            <v>58</v>
          </cell>
          <cell r="Q131">
            <v>4.6953405017921108</v>
          </cell>
          <cell r="T131">
            <v>0.19791666666666666</v>
          </cell>
          <cell r="U131">
            <v>0.30833333333333335</v>
          </cell>
          <cell r="V131">
            <v>64</v>
          </cell>
          <cell r="Z131">
            <v>0.24583333333333335</v>
          </cell>
          <cell r="AF131">
            <v>55.6</v>
          </cell>
          <cell r="AG131">
            <v>11.9</v>
          </cell>
          <cell r="AI131">
            <v>52.3</v>
          </cell>
          <cell r="AU131">
            <v>99.165328369665957</v>
          </cell>
          <cell r="AV131">
            <v>103.16095293124729</v>
          </cell>
          <cell r="AX131" t="str">
            <v>R.Sookram</v>
          </cell>
        </row>
        <row r="132">
          <cell r="A132" t="str">
            <v>CA031</v>
          </cell>
          <cell r="P132">
            <v>60</v>
          </cell>
          <cell r="Q132">
            <v>7.4368231046931372</v>
          </cell>
          <cell r="T132">
            <v>0.36041666666666666</v>
          </cell>
          <cell r="U132">
            <v>0.4777777777777778</v>
          </cell>
          <cell r="V132">
            <v>63</v>
          </cell>
          <cell r="Z132">
            <v>0.26250000000000001</v>
          </cell>
          <cell r="AF132">
            <v>55</v>
          </cell>
          <cell r="AG132">
            <v>11.6</v>
          </cell>
          <cell r="AI132">
            <v>51.1</v>
          </cell>
          <cell r="AU132">
            <v>93.744354514117632</v>
          </cell>
          <cell r="AV132">
            <v>97.523601066700934</v>
          </cell>
          <cell r="AX132" t="str">
            <v>R.Regis</v>
          </cell>
        </row>
        <row r="133">
          <cell r="A133" t="str">
            <v>CA032</v>
          </cell>
          <cell r="P133">
            <v>61</v>
          </cell>
          <cell r="Q133">
            <v>5.4512635379061303</v>
          </cell>
          <cell r="T133">
            <v>0.48055555555555557</v>
          </cell>
          <cell r="U133">
            <v>0.59027777777777779</v>
          </cell>
          <cell r="V133">
            <v>62</v>
          </cell>
          <cell r="Z133">
            <v>0.25694444444444448</v>
          </cell>
          <cell r="AF133">
            <v>54</v>
          </cell>
          <cell r="AG133">
            <v>11.9</v>
          </cell>
          <cell r="AI133">
            <v>50.3</v>
          </cell>
          <cell r="AU133">
            <v>93.755953364927763</v>
          </cell>
          <cell r="AV133">
            <v>97.539290094207871</v>
          </cell>
          <cell r="AX133" t="str">
            <v>R.Regis</v>
          </cell>
        </row>
        <row r="134">
          <cell r="A134" t="str">
            <v>CA033</v>
          </cell>
          <cell r="P134">
            <v>61</v>
          </cell>
          <cell r="Q134">
            <v>6.7148014440433199</v>
          </cell>
          <cell r="T134">
            <v>0.59236111111111112</v>
          </cell>
          <cell r="U134">
            <v>0.70347222222222228</v>
          </cell>
          <cell r="V134">
            <v>63</v>
          </cell>
          <cell r="Z134">
            <v>0.25208333333333338</v>
          </cell>
          <cell r="AF134">
            <v>53.7</v>
          </cell>
          <cell r="AG134">
            <v>12</v>
          </cell>
          <cell r="AI134">
            <v>50.2</v>
          </cell>
          <cell r="AU134">
            <v>94.510748705987353</v>
          </cell>
          <cell r="AV134">
            <v>98.324141887822279</v>
          </cell>
          <cell r="AX134" t="str">
            <v>R.Regis</v>
          </cell>
        </row>
        <row r="135">
          <cell r="A135" t="str">
            <v>CA034</v>
          </cell>
          <cell r="P135">
            <v>60</v>
          </cell>
          <cell r="Q135">
            <v>6.4874551971326122</v>
          </cell>
          <cell r="T135">
            <v>0.71388888888888891</v>
          </cell>
          <cell r="U135">
            <v>0.82291666666666663</v>
          </cell>
          <cell r="V135">
            <v>63</v>
          </cell>
          <cell r="Z135">
            <v>0.25</v>
          </cell>
          <cell r="AF135">
            <v>54.2</v>
          </cell>
          <cell r="AG135">
            <v>11.8</v>
          </cell>
          <cell r="AI135">
            <v>50.8</v>
          </cell>
          <cell r="AU135">
            <v>94.653823201385563</v>
          </cell>
          <cell r="AV135">
            <v>98.470554082255333</v>
          </cell>
          <cell r="AX135" t="str">
            <v>R.Regis</v>
          </cell>
        </row>
        <row r="136">
          <cell r="A136" t="str">
            <v>CA035</v>
          </cell>
          <cell r="P136">
            <v>57</v>
          </cell>
          <cell r="Q136">
            <v>6.46428571428571</v>
          </cell>
          <cell r="T136">
            <v>0.82986111111111116</v>
          </cell>
          <cell r="U136">
            <v>0.93402777777777779</v>
          </cell>
          <cell r="V136">
            <v>64</v>
          </cell>
          <cell r="Z136">
            <v>0.25</v>
          </cell>
          <cell r="AF136">
            <v>53.9</v>
          </cell>
          <cell r="AG136">
            <v>11.8</v>
          </cell>
          <cell r="AI136">
            <v>50.4</v>
          </cell>
          <cell r="AU136">
            <v>94.703434335224557</v>
          </cell>
          <cell r="AV136">
            <v>98.683411323887796</v>
          </cell>
          <cell r="AX136" t="str">
            <v>G.Mason</v>
          </cell>
        </row>
        <row r="137">
          <cell r="A137" t="str">
            <v>CA036</v>
          </cell>
          <cell r="P137">
            <v>59</v>
          </cell>
          <cell r="Q137">
            <v>6.5107913669064699</v>
          </cell>
          <cell r="T137">
            <v>0.93958333333333333</v>
          </cell>
          <cell r="U137">
            <v>1.0493055555555555</v>
          </cell>
          <cell r="V137">
            <v>68</v>
          </cell>
          <cell r="Z137">
            <v>0.25416666666666665</v>
          </cell>
          <cell r="AF137">
            <v>54</v>
          </cell>
          <cell r="AG137">
            <v>11.7</v>
          </cell>
          <cell r="AI137">
            <v>50.5</v>
          </cell>
          <cell r="AU137">
            <v>94.045467052799196</v>
          </cell>
          <cell r="AV137">
            <v>97.997792513703928</v>
          </cell>
          <cell r="AX137" t="str">
            <v>G.Mason</v>
          </cell>
        </row>
        <row r="138">
          <cell r="A138" t="str">
            <v>CA037</v>
          </cell>
          <cell r="P138">
            <v>59</v>
          </cell>
          <cell r="Q138">
            <v>6.0854092526690415</v>
          </cell>
          <cell r="T138">
            <v>1.0472222222222223</v>
          </cell>
          <cell r="U138">
            <v>1.1569444444444446</v>
          </cell>
          <cell r="V138">
            <v>60</v>
          </cell>
          <cell r="Z138">
            <v>0.25069444444444455</v>
          </cell>
          <cell r="AF138">
            <v>53.5</v>
          </cell>
          <cell r="AG138">
            <v>11.9</v>
          </cell>
          <cell r="AI138">
            <v>50</v>
          </cell>
          <cell r="AU138">
            <v>95.023430747802905</v>
          </cell>
          <cell r="AV138">
            <v>99.016423498660956</v>
          </cell>
          <cell r="AX138" t="str">
            <v>G.Mason</v>
          </cell>
        </row>
        <row r="139">
          <cell r="A139" t="str">
            <v>CA038</v>
          </cell>
          <cell r="P139">
            <v>57</v>
          </cell>
          <cell r="Q139">
            <v>6.46428571428571</v>
          </cell>
          <cell r="T139">
            <v>1.1604166666666667</v>
          </cell>
          <cell r="U139">
            <v>1.2743055555555556</v>
          </cell>
          <cell r="V139">
            <v>67</v>
          </cell>
          <cell r="Z139">
            <v>0.25694444444444442</v>
          </cell>
          <cell r="AF139">
            <v>53.9</v>
          </cell>
          <cell r="AG139">
            <v>11.8</v>
          </cell>
          <cell r="AI139">
            <v>50.7</v>
          </cell>
          <cell r="AU139">
            <v>95.149931915355324</v>
          </cell>
          <cell r="AV139">
            <v>99.148888915907364</v>
          </cell>
          <cell r="AX139" t="str">
            <v>G.Mason</v>
          </cell>
        </row>
        <row r="140">
          <cell r="A140" t="str">
            <v>CA039</v>
          </cell>
          <cell r="P140">
            <v>57</v>
          </cell>
          <cell r="Q140">
            <v>7.9717813051146429</v>
          </cell>
          <cell r="T140">
            <v>0.26458333333333334</v>
          </cell>
          <cell r="U140">
            <v>0.36875000000000002</v>
          </cell>
          <cell r="V140">
            <v>57</v>
          </cell>
          <cell r="Z140">
            <v>0.26458333333333334</v>
          </cell>
          <cell r="AF140">
            <v>52.8</v>
          </cell>
          <cell r="AG140">
            <v>12</v>
          </cell>
          <cell r="AI140">
            <v>48.2</v>
          </cell>
          <cell r="AU140">
            <v>92.54089949084161</v>
          </cell>
          <cell r="AV140">
            <v>96.268384562593496</v>
          </cell>
          <cell r="AX140" t="str">
            <v>R.Sookram</v>
          </cell>
        </row>
        <row r="141">
          <cell r="A141" t="str">
            <v>CA040</v>
          </cell>
          <cell r="P141">
            <v>61</v>
          </cell>
          <cell r="Q141">
            <v>7.8928571428571459</v>
          </cell>
          <cell r="T141">
            <v>0.3576388888888889</v>
          </cell>
          <cell r="U141">
            <v>0.46180555555555558</v>
          </cell>
          <cell r="V141">
            <v>58</v>
          </cell>
          <cell r="Z141">
            <v>0.26041666666666669</v>
          </cell>
          <cell r="AF141">
            <v>53.5</v>
          </cell>
          <cell r="AG141">
            <v>11.9</v>
          </cell>
          <cell r="AI141">
            <v>49.7</v>
          </cell>
          <cell r="AU141">
            <v>94.468287382263057</v>
          </cell>
          <cell r="AV141">
            <v>98.273823970609541</v>
          </cell>
          <cell r="AX141" t="str">
            <v>K.Benjamin</v>
          </cell>
        </row>
        <row r="142">
          <cell r="A142" t="str">
            <v>CA041</v>
          </cell>
          <cell r="P142">
            <v>62</v>
          </cell>
          <cell r="Q142">
            <v>6.5818181818181776</v>
          </cell>
          <cell r="T142">
            <v>0.46805555555555556</v>
          </cell>
          <cell r="U142">
            <v>0.57361111111111107</v>
          </cell>
          <cell r="V142">
            <v>58</v>
          </cell>
          <cell r="Z142">
            <v>0.26111111111111107</v>
          </cell>
          <cell r="AF142">
            <v>52.1</v>
          </cell>
          <cell r="AG142">
            <v>11.6</v>
          </cell>
          <cell r="AI142">
            <v>48.9</v>
          </cell>
          <cell r="AU142">
            <v>90.693632481516147</v>
          </cell>
          <cell r="AV142">
            <v>94.504267530982659</v>
          </cell>
          <cell r="AX142" t="str">
            <v>K.Benjamin</v>
          </cell>
        </row>
        <row r="143">
          <cell r="A143" t="str">
            <v>CA042</v>
          </cell>
          <cell r="P143">
            <v>58</v>
          </cell>
          <cell r="Q143">
            <v>7.6036036036036005</v>
          </cell>
          <cell r="T143">
            <v>0.58402777777777781</v>
          </cell>
          <cell r="U143">
            <v>0.70347222222222228</v>
          </cell>
          <cell r="V143">
            <v>64</v>
          </cell>
          <cell r="Z143">
            <v>0.28333333333333338</v>
          </cell>
          <cell r="AF143">
            <v>52.9</v>
          </cell>
          <cell r="AG143">
            <v>11.9</v>
          </cell>
          <cell r="AI143">
            <v>49.2</v>
          </cell>
          <cell r="AU143">
            <v>93.387729203040266</v>
          </cell>
          <cell r="AV143">
            <v>97.312200606990189</v>
          </cell>
          <cell r="AX143" t="str">
            <v>K.Benjamin</v>
          </cell>
        </row>
        <row r="144">
          <cell r="A144" t="str">
            <v>CA043</v>
          </cell>
          <cell r="P144">
            <v>60</v>
          </cell>
          <cell r="Q144">
            <v>7.1276595744680789</v>
          </cell>
          <cell r="T144">
            <v>0.74791666666666667</v>
          </cell>
          <cell r="U144">
            <v>0.85624999999999996</v>
          </cell>
          <cell r="V144">
            <v>59</v>
          </cell>
          <cell r="Z144">
            <v>0.25902777777777775</v>
          </cell>
          <cell r="AF144">
            <v>53.1</v>
          </cell>
          <cell r="AG144">
            <v>11.9</v>
          </cell>
          <cell r="AI144">
            <v>48.8</v>
          </cell>
          <cell r="AU144">
            <v>92.301580285213745</v>
          </cell>
          <cell r="AV144">
            <v>96.021456006672139</v>
          </cell>
          <cell r="AX144" t="str">
            <v>R.Regis</v>
          </cell>
        </row>
        <row r="145">
          <cell r="A145" t="str">
            <v>CA044</v>
          </cell>
          <cell r="P145">
            <v>60</v>
          </cell>
          <cell r="Q145">
            <v>6.9077757685352497</v>
          </cell>
          <cell r="T145">
            <v>0.84930555555555554</v>
          </cell>
          <cell r="U145">
            <v>0.95902777777777781</v>
          </cell>
          <cell r="V145">
            <v>65</v>
          </cell>
          <cell r="Z145">
            <v>0.25069444444444444</v>
          </cell>
          <cell r="AF145">
            <v>54.4</v>
          </cell>
          <cell r="AG145">
            <v>11.9</v>
          </cell>
          <cell r="AI145">
            <v>50.6</v>
          </cell>
          <cell r="AU145">
            <v>95.47146892959492</v>
          </cell>
          <cell r="AV145">
            <v>99.31992816638936</v>
          </cell>
          <cell r="AX145" t="str">
            <v>R.Regis</v>
          </cell>
        </row>
        <row r="146">
          <cell r="A146" t="str">
            <v>CA045</v>
          </cell>
          <cell r="P146">
            <v>60</v>
          </cell>
          <cell r="Q146">
            <v>6.8007312614259572</v>
          </cell>
          <cell r="T146">
            <v>0.96111111111111114</v>
          </cell>
          <cell r="U146">
            <v>1.0687500000000001</v>
          </cell>
          <cell r="V146">
            <v>61</v>
          </cell>
          <cell r="Z146">
            <v>0.24930555555555567</v>
          </cell>
          <cell r="AF146">
            <v>53.8</v>
          </cell>
          <cell r="AG146">
            <v>11.9</v>
          </cell>
          <cell r="AI146">
            <v>50.4</v>
          </cell>
          <cell r="AU146">
            <v>95.327861606040415</v>
          </cell>
          <cell r="AV146">
            <v>99.169700465907283</v>
          </cell>
          <cell r="AX146" t="str">
            <v>R.Sookram</v>
          </cell>
        </row>
        <row r="147">
          <cell r="A147" t="str">
            <v>CA046</v>
          </cell>
          <cell r="P147">
            <v>58</v>
          </cell>
          <cell r="Q147">
            <v>6.0473588342440809</v>
          </cell>
          <cell r="T147">
            <v>1.0583333333333333</v>
          </cell>
          <cell r="U147">
            <v>1.1777777777777778</v>
          </cell>
          <cell r="V147">
            <v>59</v>
          </cell>
          <cell r="Z147">
            <v>0.25416666666666665</v>
          </cell>
          <cell r="AF147">
            <v>53.2</v>
          </cell>
          <cell r="AG147">
            <v>11.9</v>
          </cell>
          <cell r="AI147">
            <v>50.9</v>
          </cell>
          <cell r="AU147">
            <v>96.037505306647844</v>
          </cell>
          <cell r="AV147">
            <v>99.908781495439086</v>
          </cell>
          <cell r="AX147" t="str">
            <v>R.Sookram</v>
          </cell>
        </row>
        <row r="148">
          <cell r="A148" t="str">
            <v>CA047</v>
          </cell>
          <cell r="P148">
            <v>59</v>
          </cell>
          <cell r="Q148">
            <v>11.693989071038242</v>
          </cell>
          <cell r="T148">
            <v>1.1805555555555556</v>
          </cell>
          <cell r="U148">
            <v>1.3326388888888889</v>
          </cell>
          <cell r="V148">
            <v>60</v>
          </cell>
          <cell r="Z148">
            <v>0.31875000000000009</v>
          </cell>
          <cell r="AF148">
            <v>52.4</v>
          </cell>
          <cell r="AG148">
            <v>11.9</v>
          </cell>
          <cell r="AI148">
            <v>49.4</v>
          </cell>
          <cell r="AU148">
            <v>90.435403081015338</v>
          </cell>
          <cell r="AV148">
            <v>94.090403622696073</v>
          </cell>
          <cell r="AX148" t="str">
            <v>R.Sookram</v>
          </cell>
        </row>
        <row r="149">
          <cell r="A149" t="str">
            <v>CA048</v>
          </cell>
          <cell r="P149">
            <v>57</v>
          </cell>
          <cell r="Q149">
            <v>6.4412811387900435</v>
          </cell>
          <cell r="T149">
            <v>0.31319444444444444</v>
          </cell>
          <cell r="U149">
            <v>0.41666666666666669</v>
          </cell>
          <cell r="V149">
            <v>58</v>
          </cell>
          <cell r="Z149">
            <v>0.2951388888888889</v>
          </cell>
          <cell r="AF149">
            <v>53.3</v>
          </cell>
          <cell r="AG149">
            <v>11.9</v>
          </cell>
          <cell r="AI149">
            <v>50.1</v>
          </cell>
          <cell r="AU149">
            <v>91.935604428876957</v>
          </cell>
          <cell r="AV149">
            <v>95.650481423504758</v>
          </cell>
          <cell r="AX149" t="str">
            <v>K.Benjamin</v>
          </cell>
        </row>
        <row r="150">
          <cell r="A150" t="str">
            <v>CA049</v>
          </cell>
          <cell r="P150">
            <v>58</v>
          </cell>
          <cell r="Q150">
            <v>5.7499999999999982</v>
          </cell>
          <cell r="T150">
            <v>0.42499999999999999</v>
          </cell>
          <cell r="U150">
            <v>0.52986111111111112</v>
          </cell>
          <cell r="V150">
            <v>63</v>
          </cell>
          <cell r="Z150">
            <v>0.26944444444444443</v>
          </cell>
          <cell r="AF150">
            <v>53.5</v>
          </cell>
          <cell r="AG150">
            <v>11.7</v>
          </cell>
          <cell r="AI150">
            <v>50.1</v>
          </cell>
          <cell r="AU150">
            <v>90.096176580018806</v>
          </cell>
          <cell r="AV150">
            <v>93.737467081132976</v>
          </cell>
          <cell r="AX150" t="str">
            <v>K.Benjamin</v>
          </cell>
        </row>
        <row r="151">
          <cell r="A151" t="str">
            <v>CA050</v>
          </cell>
          <cell r="P151">
            <v>60</v>
          </cell>
          <cell r="Q151">
            <v>6.7730496453900706</v>
          </cell>
          <cell r="T151">
            <v>0.53819444444444442</v>
          </cell>
          <cell r="U151">
            <v>0.65</v>
          </cell>
          <cell r="V151">
            <v>69</v>
          </cell>
          <cell r="Z151">
            <v>0.27500000000000002</v>
          </cell>
          <cell r="AF151">
            <v>53.7</v>
          </cell>
          <cell r="AG151">
            <v>11.8</v>
          </cell>
          <cell r="AI151">
            <v>50.3</v>
          </cell>
          <cell r="AU151">
            <v>91.160984251356965</v>
          </cell>
          <cell r="AV151">
            <v>94.845682613990036</v>
          </cell>
          <cell r="AX151" t="str">
            <v>K.Benjamin</v>
          </cell>
        </row>
        <row r="152">
          <cell r="A152" t="str">
            <v>CA051</v>
          </cell>
          <cell r="AU152">
            <v>97.110207612864656</v>
          </cell>
        </row>
        <row r="153">
          <cell r="A153" t="str">
            <v>CA052</v>
          </cell>
          <cell r="AU153">
            <v>93.955688908867202</v>
          </cell>
        </row>
        <row r="154">
          <cell r="A154" t="str">
            <v>CA053</v>
          </cell>
          <cell r="AU154">
            <v>93.201117045963912</v>
          </cell>
        </row>
        <row r="155">
          <cell r="A155" t="str">
            <v>CA054</v>
          </cell>
          <cell r="AU155">
            <v>98.594401379338521</v>
          </cell>
        </row>
        <row r="156">
          <cell r="A156" t="str">
            <v>CA055</v>
          </cell>
          <cell r="P156">
            <v>57</v>
          </cell>
          <cell r="Q156">
            <v>4.5901639344262222</v>
          </cell>
          <cell r="T156">
            <v>0.44097222222222221</v>
          </cell>
          <cell r="U156">
            <v>0.56319444444444444</v>
          </cell>
          <cell r="V156">
            <v>64</v>
          </cell>
          <cell r="Z156">
            <v>0.28541666666666665</v>
          </cell>
          <cell r="AF156">
            <v>53.1</v>
          </cell>
          <cell r="AG156">
            <v>11.9</v>
          </cell>
          <cell r="AI156">
            <v>49</v>
          </cell>
          <cell r="AU156">
            <v>92.001421037013401</v>
          </cell>
          <cell r="AV156">
            <v>95.711595860617564</v>
          </cell>
          <cell r="AX156" t="str">
            <v>R.Sookram</v>
          </cell>
        </row>
        <row r="157">
          <cell r="A157" t="str">
            <v>CA056</v>
          </cell>
          <cell r="P157">
            <v>58</v>
          </cell>
          <cell r="Q157">
            <v>0.40072859744990685</v>
          </cell>
          <cell r="T157">
            <v>0.57222222222222219</v>
          </cell>
          <cell r="U157">
            <v>0.69861111111111107</v>
          </cell>
          <cell r="V157">
            <v>63</v>
          </cell>
          <cell r="Z157">
            <v>0.32361111111111107</v>
          </cell>
          <cell r="AF157">
            <v>55.4</v>
          </cell>
          <cell r="AG157">
            <v>11.96</v>
          </cell>
          <cell r="AI157">
            <v>51.9</v>
          </cell>
          <cell r="AU157">
            <v>98.547841921632482</v>
          </cell>
          <cell r="AV157">
            <v>102.52116534945408</v>
          </cell>
          <cell r="AX157" t="str">
            <v>R.Sookram</v>
          </cell>
        </row>
        <row r="158">
          <cell r="A158" t="str">
            <v>CA057</v>
          </cell>
          <cell r="P158">
            <v>60</v>
          </cell>
          <cell r="Q158">
            <v>5.7193605683836575</v>
          </cell>
          <cell r="T158">
            <v>0.68333333333333335</v>
          </cell>
          <cell r="U158">
            <v>0.79305555555555551</v>
          </cell>
          <cell r="V158">
            <v>62</v>
          </cell>
          <cell r="Z158">
            <v>0.29305555555555551</v>
          </cell>
          <cell r="AF158">
            <v>54.3</v>
          </cell>
          <cell r="AG158">
            <v>11.89</v>
          </cell>
          <cell r="AI158">
            <v>50.7</v>
          </cell>
          <cell r="AU158">
            <v>95.30958953671977</v>
          </cell>
          <cell r="AV158">
            <v>99.152762916561613</v>
          </cell>
          <cell r="AX158" t="str">
            <v>K.Benjamin</v>
          </cell>
        </row>
        <row r="159">
          <cell r="A159" t="str">
            <v>CA058</v>
          </cell>
          <cell r="P159">
            <v>61</v>
          </cell>
          <cell r="Q159">
            <v>5.9074733096085419</v>
          </cell>
          <cell r="T159">
            <v>0.76944444444444449</v>
          </cell>
          <cell r="U159">
            <v>0.87569444444444444</v>
          </cell>
          <cell r="V159">
            <v>59</v>
          </cell>
          <cell r="Z159">
            <v>0.27500000000000002</v>
          </cell>
          <cell r="AF159">
            <v>54.1</v>
          </cell>
          <cell r="AG159">
            <v>11.84</v>
          </cell>
          <cell r="AI159">
            <v>50.7</v>
          </cell>
          <cell r="AU159">
            <v>94.916368405240789</v>
          </cell>
          <cell r="AV159">
            <v>98.90593785697483</v>
          </cell>
          <cell r="AX159" t="str">
            <v>K.Benjamin</v>
          </cell>
        </row>
        <row r="160">
          <cell r="A160" t="str">
            <v>CA059</v>
          </cell>
          <cell r="P160">
            <v>62</v>
          </cell>
          <cell r="Q160">
            <v>5.2707581227436728</v>
          </cell>
          <cell r="T160">
            <v>0.89166666666666672</v>
          </cell>
          <cell r="U160">
            <v>1.0027777777777778</v>
          </cell>
          <cell r="V160">
            <v>64</v>
          </cell>
          <cell r="Z160">
            <v>0.27013888888888893</v>
          </cell>
          <cell r="AF160">
            <v>53.6</v>
          </cell>
          <cell r="AG160">
            <v>11.89</v>
          </cell>
          <cell r="AI160">
            <v>50</v>
          </cell>
          <cell r="AU160">
            <v>94.672690305430109</v>
          </cell>
          <cell r="AV160">
            <v>98.651589817358172</v>
          </cell>
          <cell r="AX160" t="str">
            <v>K.Benjamin</v>
          </cell>
        </row>
        <row r="161">
          <cell r="A161" t="str">
            <v>CA060</v>
          </cell>
          <cell r="P161">
            <v>59</v>
          </cell>
          <cell r="Q161">
            <v>6.1621621621621649</v>
          </cell>
          <cell r="T161">
            <v>1.1305555555555555</v>
          </cell>
          <cell r="U161">
            <v>1.2395833333333333</v>
          </cell>
          <cell r="V161">
            <v>62</v>
          </cell>
          <cell r="Z161">
            <v>0.26041666666666663</v>
          </cell>
          <cell r="AF161">
            <v>53.4</v>
          </cell>
          <cell r="AG161">
            <v>12.04</v>
          </cell>
          <cell r="AI161">
            <v>50.3</v>
          </cell>
          <cell r="AU161">
            <v>95.964139881158587</v>
          </cell>
          <cell r="AV161">
            <v>99.997533332553317</v>
          </cell>
          <cell r="AX161" t="str">
            <v>R.Regis</v>
          </cell>
        </row>
        <row r="162">
          <cell r="A162" t="str">
            <v>CA061</v>
          </cell>
          <cell r="P162">
            <v>60</v>
          </cell>
          <cell r="Q162">
            <v>6.0638297872340337</v>
          </cell>
          <cell r="T162">
            <v>0.25416666666666665</v>
          </cell>
          <cell r="U162">
            <v>0.38958333333333334</v>
          </cell>
          <cell r="V162">
            <v>67</v>
          </cell>
          <cell r="Z162">
            <v>0.29930555555555555</v>
          </cell>
          <cell r="AF162">
            <v>56.4</v>
          </cell>
          <cell r="AG162">
            <v>11.8</v>
          </cell>
          <cell r="AI162">
            <v>51.7</v>
          </cell>
          <cell r="AU162">
            <v>96.907424929882168</v>
          </cell>
          <cell r="AV162">
            <v>100.98046485487664</v>
          </cell>
          <cell r="AX162" t="str">
            <v>R.Regis</v>
          </cell>
        </row>
        <row r="163">
          <cell r="A163" t="str">
            <v>CA062</v>
          </cell>
          <cell r="P163">
            <v>57</v>
          </cell>
          <cell r="Q163">
            <v>1.5355805243445697</v>
          </cell>
          <cell r="T163">
            <v>0.36736111111111114</v>
          </cell>
          <cell r="U163">
            <v>0.47708333333333336</v>
          </cell>
          <cell r="V163">
            <v>70</v>
          </cell>
          <cell r="Z163">
            <v>0.27222222222222225</v>
          </cell>
          <cell r="AF163">
            <v>53.4</v>
          </cell>
          <cell r="AG163">
            <v>11.83</v>
          </cell>
          <cell r="AI163">
            <v>50.3</v>
          </cell>
          <cell r="AU163">
            <v>94.283239341838936</v>
          </cell>
          <cell r="AV163">
            <v>98.245984181823871</v>
          </cell>
          <cell r="AX163" t="str">
            <v>R.Sookram</v>
          </cell>
        </row>
        <row r="164">
          <cell r="A164" t="str">
            <v>CA063</v>
          </cell>
          <cell r="P164">
            <v>60</v>
          </cell>
          <cell r="Q164">
            <v>5.8870967741935516</v>
          </cell>
          <cell r="T164">
            <v>0.99652777777777779</v>
          </cell>
          <cell r="U164">
            <v>1.1368055555555556</v>
          </cell>
          <cell r="V164">
            <v>55</v>
          </cell>
          <cell r="Z164">
            <v>0.27916666666666679</v>
          </cell>
          <cell r="AF164">
            <v>49.6</v>
          </cell>
          <cell r="AG164">
            <v>11.94</v>
          </cell>
          <cell r="AI164">
            <v>47.5</v>
          </cell>
          <cell r="AU164">
            <v>89.622426366714592</v>
          </cell>
          <cell r="AV164">
            <v>93.235110432875373</v>
          </cell>
          <cell r="AX164" t="str">
            <v>R.Regis</v>
          </cell>
        </row>
        <row r="165">
          <cell r="A165" t="str">
            <v>CA064</v>
          </cell>
          <cell r="P165">
            <v>60</v>
          </cell>
          <cell r="Q165">
            <v>4.4601769911504361</v>
          </cell>
          <cell r="T165">
            <v>1.1215277777777777</v>
          </cell>
          <cell r="U165">
            <v>1.2354166666666666</v>
          </cell>
          <cell r="V165">
            <v>63</v>
          </cell>
          <cell r="Z165">
            <v>0.27013888888888882</v>
          </cell>
          <cell r="AF165">
            <v>56.5</v>
          </cell>
          <cell r="AG165">
            <v>11.75</v>
          </cell>
          <cell r="AI165">
            <v>51.3</v>
          </cell>
          <cell r="AU165">
            <v>95.468836285735648</v>
          </cell>
          <cell r="AV165">
            <v>99.318842827304422</v>
          </cell>
          <cell r="AX165" t="str">
            <v>R.Regis</v>
          </cell>
        </row>
        <row r="166">
          <cell r="A166" t="str">
            <v>CA065</v>
          </cell>
          <cell r="P166">
            <v>60</v>
          </cell>
          <cell r="Q166">
            <v>4.8056537102473476</v>
          </cell>
          <cell r="T166">
            <v>0.25833333333333336</v>
          </cell>
          <cell r="U166">
            <v>0.37083333333333335</v>
          </cell>
          <cell r="V166">
            <v>68</v>
          </cell>
          <cell r="Z166">
            <v>0.26666666666666666</v>
          </cell>
          <cell r="AF166">
            <v>54.6</v>
          </cell>
          <cell r="AG166">
            <v>11.75</v>
          </cell>
          <cell r="AI166">
            <v>51.3</v>
          </cell>
          <cell r="AU166">
            <v>95.468836285735648</v>
          </cell>
          <cell r="AV166">
            <v>99.318842827304422</v>
          </cell>
          <cell r="AX166" t="str">
            <v>R.Regis</v>
          </cell>
        </row>
        <row r="167">
          <cell r="A167" t="str">
            <v>CA066</v>
          </cell>
          <cell r="P167">
            <v>57</v>
          </cell>
          <cell r="Q167">
            <v>5.2707581227436728</v>
          </cell>
          <cell r="T167">
            <v>0.38194444444444442</v>
          </cell>
          <cell r="U167">
            <v>0.49375000000000002</v>
          </cell>
          <cell r="V167">
            <v>62</v>
          </cell>
          <cell r="Z167">
            <v>0.27152777777777781</v>
          </cell>
          <cell r="AF167">
            <v>54.1</v>
          </cell>
          <cell r="AG167">
            <v>11.9</v>
          </cell>
          <cell r="AI167">
            <v>50.7</v>
          </cell>
          <cell r="AU167">
            <v>95.411155352297129</v>
          </cell>
          <cell r="AV167">
            <v>99.422164300282176</v>
          </cell>
          <cell r="AX167" t="str">
            <v>R. Sookram</v>
          </cell>
        </row>
        <row r="168">
          <cell r="A168" t="str">
            <v>CA067</v>
          </cell>
          <cell r="P168">
            <v>58</v>
          </cell>
          <cell r="Q168">
            <v>-1.0161836657884817</v>
          </cell>
          <cell r="T168">
            <v>0.47986111111111113</v>
          </cell>
          <cell r="U168">
            <v>0.6166666666666667</v>
          </cell>
          <cell r="V168">
            <v>68</v>
          </cell>
          <cell r="Z168">
            <v>0.29375000000000001</v>
          </cell>
          <cell r="AF168">
            <v>55.3</v>
          </cell>
          <cell r="AG168">
            <v>11.8</v>
          </cell>
          <cell r="AI168">
            <v>51.8</v>
          </cell>
          <cell r="AU168">
            <v>97.574485486208175</v>
          </cell>
          <cell r="AV168">
            <v>101.67467646172864</v>
          </cell>
          <cell r="AX168" t="str">
            <v>R. Sookram</v>
          </cell>
        </row>
        <row r="169">
          <cell r="A169" t="str">
            <v>CA068</v>
          </cell>
          <cell r="P169">
            <v>58</v>
          </cell>
          <cell r="Q169">
            <v>3.9642857142857126</v>
          </cell>
          <cell r="T169">
            <v>0.59861111111111109</v>
          </cell>
          <cell r="U169">
            <v>0.74861111111111112</v>
          </cell>
          <cell r="V169">
            <v>80</v>
          </cell>
          <cell r="Z169">
            <v>0.32500000000000001</v>
          </cell>
          <cell r="AF169">
            <v>56.3</v>
          </cell>
          <cell r="AG169">
            <v>11.95</v>
          </cell>
          <cell r="AI169">
            <v>52.8</v>
          </cell>
          <cell r="AU169">
            <v>101.10646423110623</v>
          </cell>
          <cell r="AV169">
            <v>105.35530324899023</v>
          </cell>
          <cell r="AX169" t="str">
            <v>R. Sookram</v>
          </cell>
        </row>
        <row r="170">
          <cell r="A170" t="str">
            <v>CA069</v>
          </cell>
          <cell r="P170">
            <v>61</v>
          </cell>
          <cell r="Q170">
            <v>3.7588652482269462</v>
          </cell>
          <cell r="T170">
            <v>0.72569444444444442</v>
          </cell>
          <cell r="U170">
            <v>0.85</v>
          </cell>
          <cell r="V170">
            <v>82</v>
          </cell>
          <cell r="Z170">
            <v>0.32916666666666661</v>
          </cell>
          <cell r="AF170">
            <v>55</v>
          </cell>
          <cell r="AG170">
            <v>11.97</v>
          </cell>
          <cell r="AI170">
            <v>51.5</v>
          </cell>
          <cell r="AU170">
            <v>98.374430517533199</v>
          </cell>
          <cell r="AV170">
            <v>102.50890659832925</v>
          </cell>
          <cell r="AX170" t="str">
            <v>K.Benjamin</v>
          </cell>
        </row>
        <row r="171">
          <cell r="A171" t="str">
            <v>CA070</v>
          </cell>
          <cell r="P171">
            <v>63</v>
          </cell>
          <cell r="Q171">
            <v>3.4042553191489264</v>
          </cell>
          <cell r="T171">
            <v>0.82638888888888884</v>
          </cell>
          <cell r="U171">
            <v>0.96458333333333335</v>
          </cell>
          <cell r="V171">
            <v>80</v>
          </cell>
          <cell r="Z171">
            <v>0.35347222222222219</v>
          </cell>
          <cell r="AF171">
            <v>56.5</v>
          </cell>
          <cell r="AG171">
            <v>12</v>
          </cell>
          <cell r="AI171">
            <v>53</v>
          </cell>
          <cell r="AU171">
            <v>101.61477490794771</v>
          </cell>
          <cell r="AV171">
            <v>105.88474344512231</v>
          </cell>
          <cell r="AX171" t="str">
            <v>K.Benjamin</v>
          </cell>
        </row>
      </sheetData>
      <sheetData sheetId="6">
        <row r="106">
          <cell r="D106">
            <v>11.8</v>
          </cell>
        </row>
        <row r="107">
          <cell r="D107">
            <v>11.7</v>
          </cell>
        </row>
        <row r="108">
          <cell r="D108">
            <v>11.7</v>
          </cell>
        </row>
        <row r="109">
          <cell r="D109">
            <v>11.9</v>
          </cell>
        </row>
        <row r="110">
          <cell r="D110">
            <v>11.8</v>
          </cell>
        </row>
        <row r="111">
          <cell r="D111">
            <v>11.6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6" t="str">
            <v>SM001</v>
          </cell>
          <cell r="T6">
            <v>61</v>
          </cell>
          <cell r="U6">
            <v>6.1308411214953296</v>
          </cell>
          <cell r="X6">
            <v>0.75138888888888888</v>
          </cell>
          <cell r="Y6">
            <v>0.87986111111111109</v>
          </cell>
          <cell r="Z6">
            <v>64</v>
          </cell>
          <cell r="AD6">
            <v>0.29652777777777772</v>
          </cell>
          <cell r="AH6">
            <v>53.5</v>
          </cell>
          <cell r="AK6">
            <v>17.399999999999999</v>
          </cell>
          <cell r="AM6">
            <v>50.2</v>
          </cell>
          <cell r="AY6">
            <v>92.614349283942801</v>
          </cell>
          <cell r="AZ6">
            <v>94.52340707201941</v>
          </cell>
          <cell r="BC6" t="str">
            <v>R.Regis</v>
          </cell>
        </row>
        <row r="7">
          <cell r="A7" t="str">
            <v>SM002</v>
          </cell>
          <cell r="T7">
            <v>60</v>
          </cell>
          <cell r="U7">
            <v>5.6015037593985033</v>
          </cell>
          <cell r="X7">
            <v>0.86250000000000004</v>
          </cell>
          <cell r="Y7">
            <v>0.99375000000000002</v>
          </cell>
          <cell r="Z7">
            <v>75</v>
          </cell>
          <cell r="AD7">
            <v>0.28541666666666665</v>
          </cell>
          <cell r="AH7">
            <v>53.2</v>
          </cell>
          <cell r="AK7">
            <v>17.489999999999998</v>
          </cell>
          <cell r="AM7">
            <v>51.8</v>
          </cell>
          <cell r="AY7">
            <v>95.540360033399878</v>
          </cell>
          <cell r="AZ7">
            <v>97.51151185754405</v>
          </cell>
          <cell r="BC7" t="str">
            <v>R.Regis</v>
          </cell>
        </row>
        <row r="8">
          <cell r="A8" t="str">
            <v>SM003</v>
          </cell>
          <cell r="T8">
            <v>61</v>
          </cell>
          <cell r="U8">
            <v>2.2736030828516376</v>
          </cell>
          <cell r="X8">
            <v>0.96736111111111112</v>
          </cell>
          <cell r="Y8">
            <v>1.3444444444444446</v>
          </cell>
          <cell r="Z8">
            <v>71</v>
          </cell>
          <cell r="AD8">
            <v>0.52500000000000013</v>
          </cell>
          <cell r="AH8">
            <v>51.9</v>
          </cell>
          <cell r="AK8">
            <v>17.100000000000001</v>
          </cell>
          <cell r="AM8">
            <v>51.6</v>
          </cell>
          <cell r="AY8">
            <v>94.754877612732329</v>
          </cell>
          <cell r="AZ8">
            <v>96.713346387306672</v>
          </cell>
          <cell r="BC8" t="str">
            <v>R.Sookram</v>
          </cell>
        </row>
        <row r="9">
          <cell r="A9" t="str">
            <v>SM004</v>
          </cell>
          <cell r="T9">
            <v>62</v>
          </cell>
          <cell r="U9">
            <v>0.35573122529645618</v>
          </cell>
          <cell r="X9">
            <v>1.0736111111111111</v>
          </cell>
          <cell r="Y9">
            <v>1.2041666666666666</v>
          </cell>
          <cell r="Z9">
            <v>71</v>
          </cell>
          <cell r="AD9">
            <v>0.27708333333333324</v>
          </cell>
          <cell r="AH9">
            <v>50.6</v>
          </cell>
          <cell r="AK9">
            <v>17.63</v>
          </cell>
          <cell r="AM9">
            <v>51.3</v>
          </cell>
          <cell r="AY9">
            <v>95.371776201789885</v>
          </cell>
          <cell r="AZ9">
            <v>97.337672777519472</v>
          </cell>
          <cell r="BC9" t="str">
            <v>R.Sookram</v>
          </cell>
        </row>
        <row r="10">
          <cell r="A10" t="str">
            <v>SM005</v>
          </cell>
          <cell r="T10">
            <v>61</v>
          </cell>
          <cell r="U10">
            <v>2.638623326959852</v>
          </cell>
          <cell r="X10">
            <v>1.1847222222222222</v>
          </cell>
          <cell r="Y10">
            <v>1.3180555555555555</v>
          </cell>
          <cell r="Z10">
            <v>80</v>
          </cell>
          <cell r="AD10">
            <v>0.28333333333333321</v>
          </cell>
          <cell r="AH10">
            <v>52.3</v>
          </cell>
          <cell r="AK10">
            <v>17.239999999999998</v>
          </cell>
          <cell r="AM10">
            <v>48.9</v>
          </cell>
          <cell r="AY10">
            <v>90.190794188520044</v>
          </cell>
          <cell r="AZ10">
            <v>92.048212032216995</v>
          </cell>
          <cell r="BC10" t="str">
            <v>R.Regis</v>
          </cell>
        </row>
        <row r="11">
          <cell r="A11" t="str">
            <v>SM006</v>
          </cell>
          <cell r="T11">
            <v>61</v>
          </cell>
          <cell r="U11">
            <v>-1.2180746561886</v>
          </cell>
          <cell r="X11">
            <v>0.2902777777777778</v>
          </cell>
          <cell r="Y11">
            <v>0.41597222222222224</v>
          </cell>
          <cell r="Z11">
            <v>69</v>
          </cell>
          <cell r="AD11">
            <v>0.27708333333333335</v>
          </cell>
          <cell r="AH11">
            <v>50.9</v>
          </cell>
          <cell r="AK11">
            <v>17.3</v>
          </cell>
          <cell r="AM11">
            <v>50.6</v>
          </cell>
          <cell r="AY11">
            <v>93.224568939148085</v>
          </cell>
          <cell r="AZ11">
            <v>95.147942255463988</v>
          </cell>
          <cell r="BC11" t="str">
            <v>K.Benjamin</v>
          </cell>
        </row>
        <row r="12">
          <cell r="A12" t="str">
            <v>SM007</v>
          </cell>
          <cell r="T12">
            <v>60</v>
          </cell>
          <cell r="U12">
            <v>2.7819548872180526</v>
          </cell>
          <cell r="X12">
            <v>0.40208333333333335</v>
          </cell>
          <cell r="Y12">
            <v>0.5395833333333333</v>
          </cell>
          <cell r="Z12">
            <v>88</v>
          </cell>
          <cell r="AD12">
            <v>0.29652777777777772</v>
          </cell>
          <cell r="AH12">
            <v>53.2</v>
          </cell>
          <cell r="AK12">
            <v>17.3</v>
          </cell>
          <cell r="AM12">
            <v>50.5</v>
          </cell>
          <cell r="AY12">
            <v>93.116630380109711</v>
          </cell>
          <cell r="AZ12">
            <v>95.036041678693664</v>
          </cell>
          <cell r="BC12" t="str">
            <v>K.Benjamin</v>
          </cell>
        </row>
        <row r="13">
          <cell r="A13" t="str">
            <v>SM008</v>
          </cell>
          <cell r="T13">
            <v>59</v>
          </cell>
          <cell r="U13">
            <v>2.608695652173918</v>
          </cell>
          <cell r="X13">
            <v>0.52361111111111114</v>
          </cell>
          <cell r="Y13">
            <v>0.6479166666666667</v>
          </cell>
          <cell r="Z13">
            <v>71</v>
          </cell>
          <cell r="AH13">
            <v>52.9</v>
          </cell>
          <cell r="AK13">
            <v>17.3</v>
          </cell>
          <cell r="AM13">
            <v>49.1</v>
          </cell>
          <cell r="AY13">
            <v>89.945088045838986</v>
          </cell>
          <cell r="AZ13">
            <v>91.812457428508168</v>
          </cell>
          <cell r="BC13" t="str">
            <v>R.Sookram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BAD DOG"/>
      <sheetName val="Hurricane Reef"/>
      <sheetName val="APA"/>
      <sheetName val="CARIBE"/>
      <sheetName val="YTD 2024"/>
      <sheetName val="MTD"/>
    </sheetNames>
    <sheetDataSet>
      <sheetData sheetId="0">
        <row r="27">
          <cell r="L27">
            <v>100</v>
          </cell>
        </row>
        <row r="29">
          <cell r="L29">
            <v>86.6</v>
          </cell>
        </row>
      </sheetData>
      <sheetData sheetId="1"/>
      <sheetData sheetId="2">
        <row r="102">
          <cell r="L102">
            <v>100</v>
          </cell>
        </row>
        <row r="104">
          <cell r="L104">
            <v>98.7</v>
          </cell>
        </row>
        <row r="106">
          <cell r="L106">
            <v>291.5</v>
          </cell>
        </row>
        <row r="112">
          <cell r="L112">
            <v>97.8</v>
          </cell>
        </row>
        <row r="114">
          <cell r="L114">
            <v>100</v>
          </cell>
        </row>
        <row r="116">
          <cell r="L116">
            <v>96.1</v>
          </cell>
        </row>
        <row r="128">
          <cell r="L128">
            <v>192.7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E5">
            <v>7.8958313337812376</v>
          </cell>
        </row>
        <row r="6">
          <cell r="E6">
            <v>6.8188129559970694</v>
          </cell>
        </row>
        <row r="7">
          <cell r="E7">
            <v>7.5530586766541949</v>
          </cell>
        </row>
        <row r="8">
          <cell r="E8">
            <v>3.499300139972028</v>
          </cell>
        </row>
        <row r="9">
          <cell r="E9" t="e">
            <v>#DIV/0!</v>
          </cell>
        </row>
        <row r="10">
          <cell r="E10">
            <v>8.7664670658682695</v>
          </cell>
        </row>
        <row r="11">
          <cell r="E11">
            <v>1.4603960396039548</v>
          </cell>
        </row>
        <row r="12">
          <cell r="E12" t="e">
            <v>#DIV/0!</v>
          </cell>
        </row>
        <row r="13">
          <cell r="E13">
            <v>6.9178630732216027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4" t="str">
            <v>GU001</v>
          </cell>
          <cell r="O4">
            <v>60</v>
          </cell>
          <cell r="R4">
            <v>4.1319444444444482</v>
          </cell>
          <cell r="T4">
            <v>0.86805555555555558</v>
          </cell>
          <cell r="U4">
            <v>0.99722222222222223</v>
          </cell>
          <cell r="Z4">
            <v>0.57222222222222219</v>
          </cell>
          <cell r="AD4">
            <v>57.6</v>
          </cell>
          <cell r="AI4">
            <v>51.8</v>
          </cell>
          <cell r="AU4">
            <v>95.064652661521251</v>
          </cell>
          <cell r="AV4">
            <v>97.159060167326288</v>
          </cell>
          <cell r="AW4" t="str">
            <v>K. Benjamin</v>
          </cell>
        </row>
        <row r="5">
          <cell r="A5" t="str">
            <v>GU002</v>
          </cell>
          <cell r="O5">
            <v>58</v>
          </cell>
          <cell r="R5">
            <v>4.8263888888888902</v>
          </cell>
          <cell r="T5">
            <v>0.99097222222222225</v>
          </cell>
          <cell r="U5">
            <v>1.10625</v>
          </cell>
          <cell r="Z5">
            <v>0.26597222222222217</v>
          </cell>
          <cell r="AD5">
            <v>57.6</v>
          </cell>
          <cell r="AI5">
            <v>53.7</v>
          </cell>
          <cell r="AU5">
            <v>96.761647531636157</v>
          </cell>
          <cell r="AV5">
            <v>98.893442212314014</v>
          </cell>
          <cell r="AW5" t="str">
            <v>R. Regis</v>
          </cell>
        </row>
        <row r="6">
          <cell r="A6" t="str">
            <v>GU003</v>
          </cell>
          <cell r="O6">
            <v>58</v>
          </cell>
          <cell r="R6">
            <v>3.7847222222222219</v>
          </cell>
          <cell r="T6">
            <v>1.0930555555555554</v>
          </cell>
          <cell r="U6">
            <v>1.2131944444444445</v>
          </cell>
          <cell r="Z6">
            <v>0.26875000000000004</v>
          </cell>
          <cell r="AD6">
            <v>57.6</v>
          </cell>
          <cell r="AI6">
            <v>52.9</v>
          </cell>
          <cell r="AU6">
            <v>98.540988907028222</v>
          </cell>
          <cell r="AV6">
            <v>100.76964020676596</v>
          </cell>
          <cell r="AW6" t="str">
            <v>R. Regis</v>
          </cell>
        </row>
        <row r="7">
          <cell r="A7" t="str">
            <v>GU004</v>
          </cell>
          <cell r="O7">
            <v>59</v>
          </cell>
          <cell r="R7">
            <v>3.2413793103448199</v>
          </cell>
          <cell r="T7">
            <v>0.24236111111111111</v>
          </cell>
          <cell r="U7">
            <v>0.3611111111111111</v>
          </cell>
          <cell r="Z7">
            <v>0.27430555555555558</v>
          </cell>
          <cell r="AD7">
            <v>58</v>
          </cell>
          <cell r="AI7">
            <v>53</v>
          </cell>
          <cell r="AU7">
            <v>98.040462342043114</v>
          </cell>
          <cell r="AV7">
            <v>100.2585590189065</v>
          </cell>
          <cell r="AW7" t="str">
            <v>R. Regis</v>
          </cell>
        </row>
      </sheetData>
      <sheetData sheetId="2">
        <row r="5">
          <cell r="D5" t="e">
            <v>#REF!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5">
          <cell r="A5" t="str">
            <v>GU001</v>
          </cell>
        </row>
        <row r="115">
          <cell r="V115">
            <v>68</v>
          </cell>
          <cell r="AG115">
            <v>17.100000000000001</v>
          </cell>
        </row>
        <row r="116">
          <cell r="V116">
            <v>64</v>
          </cell>
          <cell r="AG116">
            <v>17.2</v>
          </cell>
        </row>
        <row r="117">
          <cell r="V117">
            <v>68</v>
          </cell>
          <cell r="AG117">
            <v>17</v>
          </cell>
        </row>
      </sheetData>
      <sheetData sheetId="2">
        <row r="6">
          <cell r="A6" t="str">
            <v>GU001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4"/>
      <sheetName val="February_2024"/>
      <sheetName val="March_2024"/>
      <sheetName val="April_2024"/>
      <sheetName val="May_2024"/>
      <sheetName val="June_2024"/>
      <sheetName val="July_2024"/>
      <sheetName val="August_2018  (2)"/>
      <sheetName val="August_2024"/>
      <sheetName val="September_2024"/>
      <sheetName val="October_2024"/>
      <sheetName val="November_2024"/>
      <sheetName val="December_2024"/>
      <sheetName val="Average"/>
    </sheetNames>
    <sheetDataSet>
      <sheetData sheetId="0">
        <row r="3">
          <cell r="F3">
            <v>202.29999999999998</v>
          </cell>
          <cell r="AQ3">
            <v>6.1650601546049799</v>
          </cell>
        </row>
        <row r="4">
          <cell r="AQ4">
            <v>5.8620841331806197</v>
          </cell>
        </row>
        <row r="5">
          <cell r="AQ5">
            <v>10.172010309337692</v>
          </cell>
        </row>
        <row r="6">
          <cell r="AQ6">
            <v>3.3397417351661711</v>
          </cell>
        </row>
        <row r="7">
          <cell r="AQ7" t="e">
            <v>#DIV/0!</v>
          </cell>
        </row>
        <row r="8">
          <cell r="AQ8">
            <v>11.031267801265715</v>
          </cell>
        </row>
        <row r="9">
          <cell r="AQ9">
            <v>12.055170619683556</v>
          </cell>
        </row>
        <row r="10">
          <cell r="AQ10" t="e">
            <v>#DIV/0!</v>
          </cell>
        </row>
        <row r="11">
          <cell r="AN11">
            <v>6.9593481484924711</v>
          </cell>
          <cell r="AQ11">
            <v>6.9593481484924711</v>
          </cell>
        </row>
      </sheetData>
      <sheetData sheetId="1">
        <row r="3">
          <cell r="G3">
            <v>401.40000000000003</v>
          </cell>
        </row>
      </sheetData>
      <sheetData sheetId="2">
        <row r="7">
          <cell r="F7">
            <v>325.10000000000002</v>
          </cell>
        </row>
      </sheetData>
      <sheetData sheetId="3">
        <row r="7">
          <cell r="E7">
            <v>277.8</v>
          </cell>
        </row>
      </sheetData>
      <sheetData sheetId="4">
        <row r="7">
          <cell r="F7">
            <v>387.8</v>
          </cell>
        </row>
      </sheetData>
      <sheetData sheetId="5">
        <row r="7">
          <cell r="F7">
            <v>276</v>
          </cell>
        </row>
      </sheetData>
      <sheetData sheetId="6">
        <row r="7">
          <cell r="G7">
            <v>107.8</v>
          </cell>
        </row>
      </sheetData>
      <sheetData sheetId="7"/>
      <sheetData sheetId="8">
        <row r="7">
          <cell r="D7">
            <v>188.2</v>
          </cell>
        </row>
      </sheetData>
      <sheetData sheetId="9">
        <row r="7">
          <cell r="E7">
            <v>439.6</v>
          </cell>
        </row>
      </sheetData>
      <sheetData sheetId="10">
        <row r="3">
          <cell r="AB3">
            <v>196.29999999999998</v>
          </cell>
        </row>
      </sheetData>
      <sheetData sheetId="11">
        <row r="3">
          <cell r="D3">
            <v>298.60000000000002</v>
          </cell>
        </row>
      </sheetData>
      <sheetData sheetId="12">
        <row r="3">
          <cell r="E3">
            <v>186.9</v>
          </cell>
        </row>
      </sheetData>
      <sheetData sheetId="1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4"/>
      <sheetName val="February_2024"/>
      <sheetName val="March_2024"/>
      <sheetName val="April_2024"/>
      <sheetName val="May_2024"/>
      <sheetName val="June_2024"/>
      <sheetName val="July_2024"/>
      <sheetName val="August_2024"/>
      <sheetName val="August_2018 (2)"/>
      <sheetName val="September_2024"/>
      <sheetName val="October_2024"/>
      <sheetName val="November_2024"/>
      <sheetName val="December_2024"/>
      <sheetName val="January_2025"/>
    </sheetNames>
    <sheetDataSet>
      <sheetData sheetId="0">
        <row r="13">
          <cell r="AN13">
            <v>0.81770630279402223</v>
          </cell>
          <cell r="AQ13">
            <v>0.81770630279402223</v>
          </cell>
        </row>
        <row r="14">
          <cell r="AQ14">
            <v>0.83091617933723205</v>
          </cell>
        </row>
        <row r="15">
          <cell r="AQ15">
            <v>0.51578947368421058</v>
          </cell>
        </row>
        <row r="16">
          <cell r="AQ16">
            <v>0.84833333333333338</v>
          </cell>
        </row>
        <row r="17">
          <cell r="AQ17" t="e">
            <v>#DIV/0!</v>
          </cell>
        </row>
        <row r="18">
          <cell r="AQ18">
            <v>0.49035087719298248</v>
          </cell>
        </row>
        <row r="19">
          <cell r="AQ19">
            <v>0.87695906432748549</v>
          </cell>
        </row>
        <row r="20">
          <cell r="AQ20" t="e">
            <v>#DIV/0!</v>
          </cell>
        </row>
        <row r="21">
          <cell r="AN21">
            <v>0.80685146198830426</v>
          </cell>
          <cell r="AQ21">
            <v>0.80685146198830426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8">
          <cell r="AB18">
            <v>0.21789473684210528</v>
          </cell>
        </row>
      </sheetData>
      <sheetData sheetId="11">
        <row r="13">
          <cell r="AN13">
            <v>0.59352894731226402</v>
          </cell>
        </row>
      </sheetData>
      <sheetData sheetId="12">
        <row r="13">
          <cell r="AN13">
            <v>0.64399853801169593</v>
          </cell>
        </row>
      </sheetData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BAD DOG"/>
      <sheetName val="Hurricane Reef"/>
      <sheetName val="CARIBE"/>
      <sheetName val="MTD"/>
      <sheetName val="YTD 2024"/>
    </sheetNames>
    <sheetDataSet>
      <sheetData sheetId="0">
        <row r="6">
          <cell r="J6">
            <v>57.7</v>
          </cell>
        </row>
      </sheetData>
      <sheetData sheetId="1">
        <row r="6">
          <cell r="J6">
            <v>54</v>
          </cell>
        </row>
      </sheetData>
      <sheetData sheetId="2">
        <row r="6">
          <cell r="J6">
            <v>50.8</v>
          </cell>
        </row>
      </sheetData>
      <sheetData sheetId="3">
        <row r="6">
          <cell r="I6">
            <v>45.9</v>
          </cell>
        </row>
      </sheetData>
      <sheetData sheetId="4">
        <row r="6">
          <cell r="I6">
            <v>50.1</v>
          </cell>
        </row>
      </sheetData>
      <sheetData sheetId="5">
        <row r="7">
          <cell r="J7">
            <v>51.3</v>
          </cell>
        </row>
      </sheetData>
      <sheetData sheetId="6"/>
      <sheetData sheetId="7"/>
      <sheetData sheetId="8"/>
      <sheetData sheetId="9"/>
      <sheetData sheetId="10">
        <row r="5">
          <cell r="C5">
            <v>3334.2000000000003</v>
          </cell>
        </row>
      </sheetData>
      <sheetData sheetId="11">
        <row r="5">
          <cell r="E5">
            <v>6.1124107731989872</v>
          </cell>
        </row>
        <row r="6">
          <cell r="E6">
            <v>6.1269668278727476</v>
          </cell>
        </row>
        <row r="7">
          <cell r="E7">
            <v>9.3571758902420274</v>
          </cell>
        </row>
        <row r="8">
          <cell r="E8">
            <v>3.7992628296002202</v>
          </cell>
        </row>
        <row r="10">
          <cell r="E10">
            <v>10.951468710089404</v>
          </cell>
        </row>
        <row r="11">
          <cell r="E11">
            <v>10.523798134417603</v>
          </cell>
        </row>
        <row r="12">
          <cell r="E12" t="e">
            <v>#DIV/0!</v>
          </cell>
        </row>
        <row r="13">
          <cell r="E13">
            <v>6.6648519743655044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5.33203125" style="276" customWidth="1"/>
    <col min="11" max="11" width="18.554687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45278</v>
      </c>
      <c r="D4" s="545"/>
      <c r="J4" s="546" t="s">
        <v>153</v>
      </c>
      <c r="K4" s="546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554" t="s">
        <v>151</v>
      </c>
      <c r="K6" s="555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4">
        <v>0</v>
      </c>
      <c r="AA6" s="275"/>
      <c r="AB6" s="13"/>
      <c r="AC6" s="13"/>
      <c r="AD6" s="13"/>
    </row>
    <row r="7" spans="2:30" ht="13.35" customHeight="1" thickBot="1">
      <c r="J7" s="556"/>
      <c r="K7" s="55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152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/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4">
        <v>0</v>
      </c>
      <c r="AA8" s="275"/>
      <c r="AB8" s="19"/>
    </row>
    <row r="9" spans="2:30" ht="34.5" customHeight="1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4">
        <v>0</v>
      </c>
      <c r="AA9" s="275">
        <v>75</v>
      </c>
      <c r="AB9" s="19"/>
    </row>
    <row r="10" spans="2:30" ht="15.75" hidden="1" customHeight="1">
      <c r="B10" s="34"/>
      <c r="C10" s="367"/>
      <c r="D10" s="280"/>
      <c r="E10" s="280"/>
      <c r="F10" s="279"/>
      <c r="G10" s="280"/>
      <c r="H10" s="395"/>
      <c r="I10" s="369"/>
      <c r="J10" s="369"/>
      <c r="K10" s="282"/>
      <c r="L10" s="277"/>
      <c r="M10" s="396"/>
      <c r="N10" s="371"/>
      <c r="O10" s="372"/>
      <c r="P10" s="376"/>
      <c r="Q10" s="348"/>
      <c r="S10" s="278">
        <f t="shared" ref="S10:S47" si="0">B10</f>
        <v>0</v>
      </c>
      <c r="T10" s="297" t="e">
        <f t="shared" ref="T10:T47" si="1">VLOOKUP($B10,$S$3:$Y$9,2,FALSE)</f>
        <v>#N/A</v>
      </c>
      <c r="U10" s="297" t="e">
        <f t="shared" ref="U10:U47" si="2">VLOOKUP($B10,$S$3:$Y$9,3,FALSE)</f>
        <v>#N/A</v>
      </c>
      <c r="V10" s="298" t="e">
        <f t="shared" ref="V10:V47" si="3">VLOOKUP($B10,$S$3:$Y$9,4,FALSE)</f>
        <v>#N/A</v>
      </c>
      <c r="W10" s="298" t="e">
        <f t="shared" ref="W10:W47" si="4">VLOOKUP($B10,$S$3:$Y$9,5,FALSE)</f>
        <v>#N/A</v>
      </c>
      <c r="X10" s="298" t="e">
        <f t="shared" ref="X10:X47" si="5">VLOOKUP($B10,$S$3:$Y$9,6,FALSE)</f>
        <v>#N/A</v>
      </c>
      <c r="Y10" s="298" t="e">
        <f t="shared" ref="Y10:Y47" si="6">VLOOKUP($B10,$S$3:$Y$9,7,FALSE)</f>
        <v>#N/A</v>
      </c>
      <c r="Z10" s="298" t="e">
        <f t="shared" ref="Z10:Z47" si="7">VLOOKUP($B10,$S$3:$AA$9,8,FALSE)</f>
        <v>#N/A</v>
      </c>
      <c r="AA10" s="297" t="e">
        <f t="shared" ref="AA10:AA47" si="8">VLOOKUP($B10,$S$3:$AA$9,9,FALSE)</f>
        <v>#N/A</v>
      </c>
    </row>
    <row r="11" spans="2:30" ht="14.4" hidden="1">
      <c r="B11" s="34"/>
      <c r="C11" s="367"/>
      <c r="D11" s="280"/>
      <c r="E11" s="280"/>
      <c r="F11" s="279"/>
      <c r="G11" s="280"/>
      <c r="H11" s="395"/>
      <c r="I11" s="369"/>
      <c r="J11" s="369"/>
      <c r="K11" s="282"/>
      <c r="L11" s="277"/>
      <c r="M11" s="396"/>
      <c r="N11" s="371"/>
      <c r="O11" s="372"/>
      <c r="P11" s="370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4.4" hidden="1">
      <c r="B12" s="34"/>
      <c r="C12" s="367"/>
      <c r="D12" s="280"/>
      <c r="E12" s="280"/>
      <c r="F12" s="279"/>
      <c r="G12" s="280"/>
      <c r="H12" s="395"/>
      <c r="I12" s="369"/>
      <c r="J12" s="369"/>
      <c r="K12" s="282"/>
      <c r="L12" s="277"/>
      <c r="M12" s="396"/>
      <c r="N12" s="371"/>
      <c r="O12" s="372"/>
      <c r="P12" s="370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394"/>
      <c r="C13" s="367"/>
      <c r="D13" s="280"/>
      <c r="E13" s="280"/>
      <c r="F13" s="279"/>
      <c r="G13" s="280"/>
      <c r="H13" s="395"/>
      <c r="I13" s="369"/>
      <c r="J13" s="369"/>
      <c r="K13" s="282"/>
      <c r="L13" s="277"/>
      <c r="M13" s="396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34"/>
      <c r="C14" s="367"/>
      <c r="D14" s="280"/>
      <c r="E14" s="280"/>
      <c r="F14" s="279"/>
      <c r="G14" s="280"/>
      <c r="H14" s="395"/>
      <c r="I14" s="369"/>
      <c r="J14" s="369"/>
      <c r="K14" s="282"/>
      <c r="L14" s="277"/>
      <c r="M14" s="396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374"/>
      <c r="C15" s="367"/>
      <c r="D15" s="280"/>
      <c r="E15" s="280"/>
      <c r="F15" s="279"/>
      <c r="G15" s="384"/>
      <c r="H15" s="368"/>
      <c r="I15" s="369"/>
      <c r="J15" s="369"/>
      <c r="K15" s="282"/>
      <c r="L15" s="277"/>
      <c r="M15" s="375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374"/>
      <c r="C16" s="367"/>
      <c r="D16" s="280"/>
      <c r="E16" s="280"/>
      <c r="F16" s="279"/>
      <c r="G16" s="384"/>
      <c r="H16" s="368"/>
      <c r="I16" s="369"/>
      <c r="J16" s="369"/>
      <c r="K16" s="282"/>
      <c r="L16" s="277"/>
      <c r="M16" s="375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374"/>
      <c r="C17" s="367"/>
      <c r="D17" s="280"/>
      <c r="E17" s="280"/>
      <c r="F17" s="279"/>
      <c r="G17" s="384"/>
      <c r="H17" s="368"/>
      <c r="I17" s="369"/>
      <c r="J17" s="369"/>
      <c r="K17" s="282"/>
      <c r="L17" s="277"/>
      <c r="M17" s="375"/>
      <c r="N17" s="371"/>
      <c r="O17" s="372"/>
      <c r="P17" s="376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374"/>
      <c r="C18" s="367"/>
      <c r="D18" s="280"/>
      <c r="E18" s="280"/>
      <c r="F18" s="279"/>
      <c r="G18" s="384"/>
      <c r="H18" s="368"/>
      <c r="I18" s="369"/>
      <c r="J18" s="369"/>
      <c r="K18" s="282"/>
      <c r="L18" s="277"/>
      <c r="M18" s="375"/>
      <c r="N18" s="371"/>
      <c r="O18" s="372"/>
      <c r="P18" s="376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374"/>
      <c r="C19" s="367"/>
      <c r="D19" s="280"/>
      <c r="E19" s="280"/>
      <c r="F19" s="279"/>
      <c r="G19" s="384"/>
      <c r="H19" s="368"/>
      <c r="I19" s="369"/>
      <c r="J19" s="369"/>
      <c r="K19" s="282"/>
      <c r="L19" s="277"/>
      <c r="M19" s="375"/>
      <c r="N19" s="371"/>
      <c r="O19" s="372"/>
      <c r="P19" s="376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5.75" hidden="1" customHeight="1">
      <c r="B20" s="374"/>
      <c r="C20" s="367"/>
      <c r="D20" s="280"/>
      <c r="E20" s="280"/>
      <c r="F20" s="279"/>
      <c r="G20" s="384"/>
      <c r="H20" s="368"/>
      <c r="I20" s="369"/>
      <c r="J20" s="369"/>
      <c r="K20" s="282"/>
      <c r="L20" s="277"/>
      <c r="M20" s="375"/>
      <c r="N20" s="371"/>
      <c r="O20" s="372"/>
      <c r="P20" s="376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374"/>
      <c r="C21" s="367"/>
      <c r="D21" s="280"/>
      <c r="E21" s="280"/>
      <c r="F21" s="279"/>
      <c r="G21" s="384"/>
      <c r="H21" s="368"/>
      <c r="I21" s="369"/>
      <c r="J21" s="369"/>
      <c r="K21" s="282"/>
      <c r="L21" s="277"/>
      <c r="M21" s="375"/>
      <c r="N21" s="371"/>
      <c r="O21" s="372"/>
      <c r="P21" s="376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374"/>
      <c r="C22" s="367"/>
      <c r="D22" s="280"/>
      <c r="E22" s="280"/>
      <c r="F22" s="279"/>
      <c r="G22" s="384"/>
      <c r="H22" s="368"/>
      <c r="I22" s="369"/>
      <c r="J22" s="369"/>
      <c r="K22" s="282"/>
      <c r="L22" s="277"/>
      <c r="M22" s="375"/>
      <c r="N22" s="371"/>
      <c r="O22" s="372"/>
      <c r="P22" s="376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374"/>
      <c r="C23" s="367"/>
      <c r="D23" s="280"/>
      <c r="E23" s="280"/>
      <c r="F23" s="279"/>
      <c r="G23" s="384"/>
      <c r="H23" s="368"/>
      <c r="I23" s="369"/>
      <c r="J23" s="369"/>
      <c r="K23" s="282"/>
      <c r="L23" s="277"/>
      <c r="M23" s="375"/>
      <c r="N23" s="371"/>
      <c r="O23" s="372"/>
      <c r="P23" s="376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374"/>
      <c r="C24" s="367"/>
      <c r="D24" s="280"/>
      <c r="E24" s="280"/>
      <c r="F24" s="279"/>
      <c r="G24" s="384"/>
      <c r="H24" s="368"/>
      <c r="I24" s="369"/>
      <c r="J24" s="369"/>
      <c r="K24" s="282"/>
      <c r="L24" s="277"/>
      <c r="M24" s="375"/>
      <c r="N24" s="371"/>
      <c r="O24" s="372"/>
      <c r="P24" s="376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374"/>
      <c r="C25" s="367"/>
      <c r="D25" s="280"/>
      <c r="E25" s="280"/>
      <c r="F25" s="279"/>
      <c r="G25" s="384"/>
      <c r="H25" s="368"/>
      <c r="I25" s="369"/>
      <c r="J25" s="369"/>
      <c r="K25" s="282"/>
      <c r="L25" s="277"/>
      <c r="M25" s="375"/>
      <c r="N25" s="371"/>
      <c r="O25" s="372"/>
      <c r="P25" s="376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hidden="1" customHeight="1">
      <c r="B26" s="374"/>
      <c r="C26" s="367"/>
      <c r="D26" s="280"/>
      <c r="E26" s="280"/>
      <c r="F26" s="279"/>
      <c r="G26" s="384"/>
      <c r="H26" s="368"/>
      <c r="I26" s="369"/>
      <c r="J26" s="369"/>
      <c r="K26" s="282"/>
      <c r="L26" s="277"/>
      <c r="M26" s="375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4.4" hidden="1">
      <c r="B27" s="374"/>
      <c r="C27" s="367"/>
      <c r="D27" s="280"/>
      <c r="E27" s="280"/>
      <c r="F27" s="279"/>
      <c r="G27" s="384"/>
      <c r="H27" s="368"/>
      <c r="I27" s="369"/>
      <c r="J27" s="369"/>
      <c r="K27" s="282"/>
      <c r="L27" s="277"/>
      <c r="M27" s="375"/>
      <c r="N27" s="371"/>
      <c r="O27" s="372"/>
      <c r="P27" s="370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4.4" hidden="1">
      <c r="B28" s="374"/>
      <c r="C28" s="367"/>
      <c r="D28" s="280"/>
      <c r="E28" s="280"/>
      <c r="F28" s="279"/>
      <c r="G28" s="384"/>
      <c r="H28" s="368"/>
      <c r="I28" s="369"/>
      <c r="J28" s="369"/>
      <c r="K28" s="282"/>
      <c r="L28" s="277"/>
      <c r="M28" s="375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374"/>
      <c r="C29" s="367"/>
      <c r="D29" s="280"/>
      <c r="E29" s="280"/>
      <c r="F29" s="279"/>
      <c r="G29" s="384"/>
      <c r="H29" s="368"/>
      <c r="I29" s="369"/>
      <c r="J29" s="369"/>
      <c r="K29" s="393"/>
      <c r="L29" s="277"/>
      <c r="M29" s="375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4.4" hidden="1">
      <c r="B30" s="374"/>
      <c r="C30" s="367"/>
      <c r="D30" s="280"/>
      <c r="E30" s="280"/>
      <c r="F30" s="279"/>
      <c r="G30" s="384"/>
      <c r="H30" s="368"/>
      <c r="I30" s="369"/>
      <c r="J30" s="369"/>
      <c r="K30" s="282"/>
      <c r="L30" s="277"/>
      <c r="M30" s="375"/>
      <c r="N30" s="371"/>
      <c r="O30" s="372"/>
      <c r="P30" s="370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4.4" hidden="1">
      <c r="B31" s="374"/>
      <c r="C31" s="367"/>
      <c r="D31" s="280"/>
      <c r="E31" s="280"/>
      <c r="F31" s="279"/>
      <c r="G31" s="384"/>
      <c r="H31" s="368"/>
      <c r="I31" s="369"/>
      <c r="J31" s="369"/>
      <c r="K31" s="282"/>
      <c r="L31" s="277"/>
      <c r="M31" s="375"/>
      <c r="N31" s="371"/>
      <c r="O31" s="372"/>
      <c r="P31" s="370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4.4" hidden="1">
      <c r="B32" s="374"/>
      <c r="C32" s="367"/>
      <c r="D32" s="280"/>
      <c r="E32" s="280"/>
      <c r="F32" s="279"/>
      <c r="G32" s="384"/>
      <c r="H32" s="368"/>
      <c r="I32" s="369"/>
      <c r="J32" s="369"/>
      <c r="K32" s="282"/>
      <c r="L32" s="277"/>
      <c r="M32" s="375"/>
      <c r="N32" s="371"/>
      <c r="O32" s="372"/>
      <c r="P32" s="370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4.4" hidden="1">
      <c r="B33" s="394"/>
      <c r="C33" s="367"/>
      <c r="D33" s="280"/>
      <c r="E33" s="280"/>
      <c r="F33" s="279"/>
      <c r="G33" s="280"/>
      <c r="H33" s="395"/>
      <c r="I33" s="369"/>
      <c r="J33" s="369"/>
      <c r="K33" s="282"/>
      <c r="L33" s="277"/>
      <c r="M33" s="396"/>
      <c r="N33" s="371"/>
      <c r="O33" s="372"/>
      <c r="P33" s="370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4.4" hidden="1">
      <c r="B34" s="394"/>
      <c r="C34" s="367"/>
      <c r="D34" s="280"/>
      <c r="E34" s="280"/>
      <c r="F34" s="279"/>
      <c r="G34" s="280"/>
      <c r="H34" s="395"/>
      <c r="I34" s="369"/>
      <c r="J34" s="369"/>
      <c r="K34" s="282"/>
      <c r="L34" s="277"/>
      <c r="M34" s="396"/>
      <c r="N34" s="371"/>
      <c r="O34" s="372"/>
      <c r="P34" s="370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4.4" hidden="1">
      <c r="B35" s="394"/>
      <c r="C35" s="367"/>
      <c r="D35" s="280"/>
      <c r="E35" s="280"/>
      <c r="F35" s="279"/>
      <c r="G35" s="280"/>
      <c r="H35" s="395"/>
      <c r="I35" s="369"/>
      <c r="J35" s="369"/>
      <c r="K35" s="282"/>
      <c r="L35" s="277"/>
      <c r="M35" s="396"/>
      <c r="N35" s="371"/>
      <c r="O35" s="372"/>
      <c r="P35" s="370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4.4" hidden="1">
      <c r="B36" s="394"/>
      <c r="C36" s="367"/>
      <c r="D36" s="280"/>
      <c r="E36" s="280"/>
      <c r="F36" s="279"/>
      <c r="G36" s="280"/>
      <c r="H36" s="395"/>
      <c r="I36" s="369"/>
      <c r="J36" s="369"/>
      <c r="K36" s="282"/>
      <c r="L36" s="277"/>
      <c r="M36" s="396"/>
      <c r="N36" s="371"/>
      <c r="O36" s="372"/>
      <c r="P36" s="370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4.4" hidden="1">
      <c r="B37" s="394"/>
      <c r="C37" s="367"/>
      <c r="D37" s="280"/>
      <c r="E37" s="280"/>
      <c r="F37" s="279"/>
      <c r="G37" s="280"/>
      <c r="H37" s="395"/>
      <c r="I37" s="369"/>
      <c r="J37" s="369"/>
      <c r="K37" s="282"/>
      <c r="L37" s="277"/>
      <c r="M37" s="396"/>
      <c r="N37" s="371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4.4" hidden="1">
      <c r="B38" s="394"/>
      <c r="C38" s="367"/>
      <c r="D38" s="280"/>
      <c r="E38" s="280"/>
      <c r="F38" s="279"/>
      <c r="G38" s="280"/>
      <c r="H38" s="395"/>
      <c r="I38" s="369"/>
      <c r="J38" s="369"/>
      <c r="K38" s="282"/>
      <c r="L38" s="277"/>
      <c r="M38" s="396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4.4">
      <c r="B39" s="394"/>
      <c r="C39" s="367"/>
      <c r="D39" s="280"/>
      <c r="E39" s="280"/>
      <c r="F39" s="279"/>
      <c r="G39" s="280"/>
      <c r="H39" s="395"/>
      <c r="I39" s="369"/>
      <c r="J39" s="369"/>
      <c r="K39" s="282"/>
      <c r="L39" s="277"/>
      <c r="M39" s="396"/>
      <c r="N39" s="371"/>
      <c r="O39" s="372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4.4">
      <c r="B40" s="394"/>
      <c r="C40" s="367"/>
      <c r="D40" s="280"/>
      <c r="E40" s="280"/>
      <c r="F40" s="279"/>
      <c r="G40" s="280"/>
      <c r="H40" s="395"/>
      <c r="I40" s="369"/>
      <c r="J40" s="369"/>
      <c r="K40" s="282"/>
      <c r="L40" s="277"/>
      <c r="M40" s="396"/>
      <c r="N40" s="371"/>
      <c r="O40" s="372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4.4">
      <c r="B41" s="394"/>
      <c r="C41" s="367"/>
      <c r="D41" s="280"/>
      <c r="E41" s="280"/>
      <c r="F41" s="279"/>
      <c r="G41" s="280"/>
      <c r="H41" s="395"/>
      <c r="I41" s="369"/>
      <c r="J41" s="369"/>
      <c r="K41" s="282"/>
      <c r="L41" s="277"/>
      <c r="M41" s="396"/>
      <c r="N41" s="371"/>
      <c r="O41" s="372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4.4">
      <c r="B42" s="394"/>
      <c r="C42" s="367"/>
      <c r="D42" s="280"/>
      <c r="E42" s="280"/>
      <c r="F42" s="279"/>
      <c r="G42" s="280"/>
      <c r="H42" s="395"/>
      <c r="I42" s="369"/>
      <c r="J42" s="369"/>
      <c r="K42" s="282"/>
      <c r="L42" s="277"/>
      <c r="M42" s="396"/>
      <c r="N42" s="371"/>
      <c r="O42" s="372"/>
      <c r="P42" s="370"/>
      <c r="Q42" s="348"/>
      <c r="S42" s="278">
        <f t="shared" si="0"/>
        <v>0</v>
      </c>
      <c r="T42" s="297" t="e">
        <f t="shared" si="1"/>
        <v>#N/A</v>
      </c>
      <c r="U42" s="297" t="e">
        <f t="shared" si="2"/>
        <v>#N/A</v>
      </c>
      <c r="V42" s="298" t="e">
        <f t="shared" si="3"/>
        <v>#N/A</v>
      </c>
      <c r="W42" s="298" t="e">
        <f t="shared" si="4"/>
        <v>#N/A</v>
      </c>
      <c r="X42" s="298" t="e">
        <f t="shared" si="5"/>
        <v>#N/A</v>
      </c>
      <c r="Y42" s="298" t="e">
        <f t="shared" si="6"/>
        <v>#N/A</v>
      </c>
      <c r="Z42" s="298" t="e">
        <f t="shared" si="7"/>
        <v>#N/A</v>
      </c>
      <c r="AA42" s="297" t="e">
        <f t="shared" si="8"/>
        <v>#N/A</v>
      </c>
    </row>
    <row r="43" spans="2:27" ht="14.4">
      <c r="B43" s="394"/>
      <c r="C43" s="367"/>
      <c r="D43" s="280"/>
      <c r="E43" s="280"/>
      <c r="F43" s="279"/>
      <c r="G43" s="280"/>
      <c r="H43" s="395"/>
      <c r="I43" s="369"/>
      <c r="J43" s="369"/>
      <c r="K43" s="282"/>
      <c r="L43" s="277"/>
      <c r="M43" s="396"/>
      <c r="N43" s="371"/>
      <c r="O43" s="372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2:27" ht="14.4" hidden="1">
      <c r="B44" s="394"/>
      <c r="C44" s="367"/>
      <c r="D44" s="280"/>
      <c r="E44" s="280"/>
      <c r="F44" s="279"/>
      <c r="G44" s="280"/>
      <c r="H44" s="395"/>
      <c r="I44" s="369"/>
      <c r="J44" s="369"/>
      <c r="K44" s="282"/>
      <c r="L44" s="277"/>
      <c r="M44" s="396"/>
      <c r="N44" s="371"/>
      <c r="O44" s="372"/>
      <c r="P44" s="370"/>
      <c r="Q44" s="348"/>
      <c r="S44" s="278">
        <f t="shared" si="0"/>
        <v>0</v>
      </c>
      <c r="T44" s="297" t="e">
        <f t="shared" si="1"/>
        <v>#N/A</v>
      </c>
      <c r="U44" s="297" t="e">
        <f t="shared" si="2"/>
        <v>#N/A</v>
      </c>
      <c r="V44" s="298" t="e">
        <f t="shared" si="3"/>
        <v>#N/A</v>
      </c>
      <c r="W44" s="298" t="e">
        <f t="shared" si="4"/>
        <v>#N/A</v>
      </c>
      <c r="X44" s="298" t="e">
        <f t="shared" si="5"/>
        <v>#N/A</v>
      </c>
      <c r="Y44" s="298" t="e">
        <f t="shared" si="6"/>
        <v>#N/A</v>
      </c>
      <c r="Z44" s="298" t="e">
        <f t="shared" si="7"/>
        <v>#N/A</v>
      </c>
      <c r="AA44" s="297" t="e">
        <f t="shared" si="8"/>
        <v>#N/A</v>
      </c>
    </row>
    <row r="45" spans="2:27" ht="14.4" hidden="1">
      <c r="B45" s="394"/>
      <c r="C45" s="367"/>
      <c r="D45" s="280"/>
      <c r="E45" s="280"/>
      <c r="F45" s="279"/>
      <c r="G45" s="280"/>
      <c r="H45" s="395"/>
      <c r="I45" s="369"/>
      <c r="J45" s="369"/>
      <c r="K45" s="282"/>
      <c r="L45" s="277"/>
      <c r="M45" s="396"/>
      <c r="N45" s="371"/>
      <c r="O45" s="372"/>
      <c r="P45" s="370"/>
      <c r="Q45" s="348"/>
      <c r="S45" s="278">
        <f t="shared" si="0"/>
        <v>0</v>
      </c>
      <c r="T45" s="297" t="e">
        <f t="shared" si="1"/>
        <v>#N/A</v>
      </c>
      <c r="U45" s="297" t="e">
        <f t="shared" si="2"/>
        <v>#N/A</v>
      </c>
      <c r="V45" s="298" t="e">
        <f t="shared" si="3"/>
        <v>#N/A</v>
      </c>
      <c r="W45" s="298" t="e">
        <f t="shared" si="4"/>
        <v>#N/A</v>
      </c>
      <c r="X45" s="298" t="e">
        <f t="shared" si="5"/>
        <v>#N/A</v>
      </c>
      <c r="Y45" s="298" t="e">
        <f t="shared" si="6"/>
        <v>#N/A</v>
      </c>
      <c r="Z45" s="298" t="e">
        <f t="shared" si="7"/>
        <v>#N/A</v>
      </c>
      <c r="AA45" s="297" t="e">
        <f t="shared" si="8"/>
        <v>#N/A</v>
      </c>
    </row>
    <row r="46" spans="2:27" ht="14.4" hidden="1">
      <c r="B46" s="394"/>
      <c r="C46" s="367"/>
      <c r="D46" s="280"/>
      <c r="E46" s="280"/>
      <c r="F46" s="279"/>
      <c r="G46" s="280"/>
      <c r="H46" s="395"/>
      <c r="I46" s="369"/>
      <c r="J46" s="369"/>
      <c r="K46" s="282"/>
      <c r="L46" s="277"/>
      <c r="M46" s="396"/>
      <c r="N46" s="371"/>
      <c r="O46" s="372"/>
      <c r="P46" s="370"/>
      <c r="Q46" s="348"/>
      <c r="S46" s="278">
        <f t="shared" si="0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4.4" hidden="1">
      <c r="B47" s="374"/>
      <c r="C47" s="367"/>
      <c r="D47" s="280"/>
      <c r="E47" s="280"/>
      <c r="F47" s="279"/>
      <c r="G47" s="384"/>
      <c r="H47" s="368"/>
      <c r="I47" s="369"/>
      <c r="J47" s="369"/>
      <c r="K47" s="282"/>
      <c r="L47" s="277"/>
      <c r="M47" s="375"/>
      <c r="N47" s="371"/>
      <c r="O47" s="372"/>
      <c r="P47" s="370"/>
      <c r="Q47" s="348"/>
      <c r="S47" s="278">
        <f t="shared" si="0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customHeight="1" thickBot="1">
      <c r="B48" s="359"/>
      <c r="C48" s="359"/>
      <c r="D48" s="359"/>
      <c r="E48" s="359"/>
      <c r="F48" s="295"/>
      <c r="G48" s="295"/>
      <c r="H48" s="349"/>
      <c r="I48" s="574" t="s">
        <v>34</v>
      </c>
      <c r="J48" s="574"/>
      <c r="K48" s="574"/>
      <c r="L48" s="574"/>
      <c r="M48" s="574"/>
      <c r="N48" s="574"/>
      <c r="O48" s="1"/>
      <c r="P48" s="12"/>
      <c r="S48" s="278"/>
      <c r="T48" s="297"/>
      <c r="U48" s="297"/>
      <c r="V48" s="298"/>
      <c r="W48" s="298"/>
      <c r="X48" s="298"/>
      <c r="Y48" s="298"/>
      <c r="Z48" s="298"/>
      <c r="AA48" s="297"/>
    </row>
    <row r="49" spans="1:27" ht="28.2" thickBot="1">
      <c r="B49" s="389" t="s">
        <v>145</v>
      </c>
      <c r="C49" s="389"/>
      <c r="D49" s="552" t="s">
        <v>35</v>
      </c>
      <c r="E49" s="553"/>
      <c r="F49" s="295"/>
      <c r="G49" s="295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5"/>
      <c r="P49" s="12"/>
      <c r="S49" s="278"/>
      <c r="T49" s="297"/>
      <c r="U49" s="297"/>
      <c r="V49" s="298"/>
      <c r="W49" s="298"/>
      <c r="X49" s="298"/>
      <c r="Y49" s="298"/>
      <c r="Z49" s="298"/>
      <c r="AA49" s="297"/>
    </row>
    <row r="50" spans="1:27" ht="15" customHeight="1">
      <c r="A50" s="28"/>
      <c r="B50" s="575" t="s">
        <v>9</v>
      </c>
      <c r="C50" s="363">
        <v>11.8</v>
      </c>
      <c r="D50" s="578">
        <v>11.73</v>
      </c>
      <c r="E50" s="579"/>
      <c r="F50" s="295"/>
      <c r="G50" s="295"/>
      <c r="H50" s="295"/>
      <c r="I50" s="29" t="s">
        <v>6</v>
      </c>
      <c r="J50" s="324"/>
      <c r="K50" s="285">
        <f>COUNTA([3]Brewhouse!$A$1596:$A$1619)</f>
        <v>24</v>
      </c>
      <c r="L50" s="303">
        <f>AVERAGE([3]Brewhouse!$AU$1529,[3]Brewhouse!$AU$1531:$AU$1594,[3]Brewhouse!$AU$1596:$AU$1619)</f>
        <v>98.205761326291494</v>
      </c>
      <c r="M50" s="303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8"/>
      <c r="T50" s="297"/>
      <c r="U50" s="297"/>
      <c r="V50" s="298"/>
      <c r="W50" s="298"/>
      <c r="X50" s="298"/>
      <c r="Y50" s="298"/>
      <c r="Z50" s="298"/>
      <c r="AA50" s="297"/>
    </row>
    <row r="51" spans="1:27" ht="15" customHeight="1">
      <c r="A51" s="28"/>
      <c r="B51" s="576"/>
      <c r="C51" s="350">
        <v>11.9</v>
      </c>
      <c r="D51" s="580"/>
      <c r="E51" s="581"/>
      <c r="F51" s="295"/>
      <c r="G51" s="295"/>
      <c r="H51" s="32"/>
      <c r="I51" s="33" t="s">
        <v>9</v>
      </c>
      <c r="J51" s="324"/>
      <c r="K51" s="285">
        <f>COUNTA([4]Brewhouse!$A$976:$A$1007)</f>
        <v>32</v>
      </c>
      <c r="L51" s="303">
        <f>AVERAGE([4]Brewhouse!$AS$976:$AS$979,[4]Brewhouse!$AS$981:$AS$1007)</f>
        <v>98.538566771868645</v>
      </c>
      <c r="M51" s="303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8"/>
      <c r="T51" s="297"/>
      <c r="U51" s="297"/>
      <c r="V51" s="298"/>
      <c r="W51" s="298"/>
      <c r="X51" s="298"/>
      <c r="Y51" s="298"/>
      <c r="Z51" s="298"/>
      <c r="AA51" s="297"/>
    </row>
    <row r="52" spans="1:27" ht="14.7" customHeight="1">
      <c r="A52" s="28"/>
      <c r="B52" s="576"/>
      <c r="C52" s="350"/>
      <c r="D52" s="578"/>
      <c r="E52" s="579"/>
      <c r="F52" s="295"/>
      <c r="G52" s="295"/>
      <c r="H52" s="32"/>
      <c r="I52" s="34" t="s">
        <v>12</v>
      </c>
      <c r="J52" s="281"/>
      <c r="K52" s="285">
        <f>COUNTA([5]Brewhouse!$A$282:$A$289)</f>
        <v>8</v>
      </c>
      <c r="L52" s="303">
        <f>AVERAGE([5]Brewhouse!$AU$269:$AU$279,[5]Brewhouse!$AU$282:$AU$289)</f>
        <v>96.1861768599382</v>
      </c>
      <c r="M52" s="303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6"/>
    </row>
    <row r="53" spans="1:27" ht="14.7" customHeight="1">
      <c r="A53" s="28"/>
      <c r="B53" s="576"/>
      <c r="C53" s="350"/>
      <c r="D53" s="580"/>
      <c r="E53" s="581"/>
      <c r="F53" s="295"/>
      <c r="G53" s="295"/>
      <c r="H53" s="32"/>
      <c r="I53" s="22" t="s">
        <v>33</v>
      </c>
      <c r="J53" s="281"/>
      <c r="K53" s="285">
        <f>COUNTA([6]Brewhouse!$A$158:$A$163)</f>
        <v>6</v>
      </c>
      <c r="L53" s="303">
        <f>AVERAGE([6]Brewhouse!$AU$158:$AU$163)</f>
        <v>94.603050114691541</v>
      </c>
      <c r="M53" s="303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6"/>
    </row>
    <row r="54" spans="1:27" ht="14.7" customHeight="1">
      <c r="A54" s="28"/>
      <c r="B54" s="576"/>
      <c r="C54" s="350"/>
      <c r="D54" s="578"/>
      <c r="E54" s="579"/>
      <c r="F54" s="295"/>
      <c r="G54" s="295"/>
      <c r="H54" s="32"/>
      <c r="I54" s="35" t="s">
        <v>29</v>
      </c>
      <c r="J54" s="281"/>
      <c r="K54" s="285"/>
      <c r="L54" s="303"/>
      <c r="M54" s="303"/>
      <c r="N54" s="30">
        <v>98</v>
      </c>
      <c r="O54" s="11"/>
      <c r="P54" s="31"/>
      <c r="S54" s="23"/>
    </row>
    <row r="55" spans="1:27" ht="14.7" customHeight="1">
      <c r="A55" s="28"/>
      <c r="B55" s="576"/>
      <c r="C55" s="350"/>
      <c r="D55" s="580"/>
      <c r="E55" s="581"/>
      <c r="F55" s="295"/>
      <c r="G55" s="295"/>
      <c r="H55" s="32"/>
      <c r="I55" s="36" t="s">
        <v>15</v>
      </c>
      <c r="J55" s="324"/>
      <c r="K55" s="285"/>
      <c r="L55" s="303"/>
      <c r="M55" s="303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576"/>
      <c r="C56" s="350"/>
      <c r="D56" s="578"/>
      <c r="E56" s="579"/>
      <c r="F56" s="295"/>
      <c r="G56" s="295"/>
      <c r="H56" s="32"/>
      <c r="I56" s="37" t="s">
        <v>16</v>
      </c>
      <c r="J56" s="324"/>
      <c r="K56" s="285">
        <f>COUNTA([8]Brewhouse!$A$249:$A$254)</f>
        <v>6</v>
      </c>
      <c r="L56" s="303">
        <f>AVERAGE([8]Brewhouse!$AY$249:$AY$254)</f>
        <v>99.681996476494263</v>
      </c>
      <c r="M56" s="303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6" t="s">
        <v>41</v>
      </c>
    </row>
    <row r="57" spans="1:27" ht="14.7" customHeight="1">
      <c r="A57" s="28"/>
      <c r="B57" s="576"/>
      <c r="C57" s="350"/>
      <c r="D57" s="580"/>
      <c r="E57" s="581"/>
      <c r="F57" s="295"/>
      <c r="G57" s="295"/>
      <c r="H57" s="32"/>
      <c r="I57" s="307" t="s">
        <v>137</v>
      </c>
      <c r="J57" s="327"/>
      <c r="K57" s="285"/>
      <c r="L57" s="306"/>
      <c r="M57" s="306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76"/>
      <c r="C58" s="350"/>
      <c r="D58" s="582"/>
      <c r="E58" s="583"/>
      <c r="F58" s="295"/>
      <c r="G58" s="295"/>
      <c r="H58" s="32"/>
      <c r="I58" s="38" t="s">
        <v>125</v>
      </c>
      <c r="J58" s="328"/>
      <c r="K58" s="285"/>
      <c r="L58" s="329"/>
      <c r="M58" s="329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76"/>
      <c r="C59" s="350"/>
      <c r="D59" s="584"/>
      <c r="E59" s="585"/>
      <c r="F59" s="295"/>
      <c r="G59" s="295"/>
      <c r="H59" s="32"/>
      <c r="I59" s="1"/>
      <c r="J59" s="39"/>
      <c r="K59" s="331">
        <f>SUM(K50:K58)</f>
        <v>76</v>
      </c>
      <c r="L59" s="330">
        <f>((L50*K50)+(L51*K51)+(L52*K52)+(L53*K53)+(L54*K54)+(K57*L57)+(L55*K55)+(L56*K56)+(L58*K58))/(K59)</f>
        <v>97.965422407334373</v>
      </c>
      <c r="M59" s="330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76"/>
      <c r="C60" s="350"/>
      <c r="D60" s="582"/>
      <c r="E60" s="583"/>
      <c r="F60" s="295"/>
      <c r="G60" s="295"/>
      <c r="H60" s="32"/>
      <c r="I60" s="1"/>
      <c r="J60" s="39"/>
      <c r="O60" s="11"/>
      <c r="P60" s="31"/>
      <c r="S60" s="23"/>
    </row>
    <row r="61" spans="1:27" ht="21.6" customHeight="1" thickBot="1">
      <c r="B61" s="577"/>
      <c r="C61" s="351"/>
      <c r="D61" s="586"/>
      <c r="E61" s="587"/>
      <c r="F61" s="295"/>
      <c r="G61" s="42"/>
      <c r="H61" s="41"/>
      <c r="I61" s="42"/>
      <c r="J61" s="42"/>
      <c r="K61" s="352"/>
      <c r="L61" s="349"/>
      <c r="M61" s="349"/>
      <c r="N61" s="11"/>
      <c r="O61" s="295"/>
      <c r="P61" s="12"/>
      <c r="S61" s="23"/>
    </row>
    <row r="62" spans="1:27" ht="15" thickBot="1">
      <c r="B62" s="588"/>
      <c r="C62" s="363"/>
      <c r="D62" s="591"/>
      <c r="E62" s="592"/>
      <c r="F62" s="43"/>
      <c r="G62" s="41"/>
      <c r="H62" s="41"/>
      <c r="I62" s="42"/>
      <c r="J62" s="594" t="s">
        <v>129</v>
      </c>
      <c r="K62" s="594"/>
      <c r="L62" s="295"/>
      <c r="M62" s="295"/>
      <c r="N62" s="295"/>
      <c r="O62" s="295"/>
      <c r="P62" s="12"/>
      <c r="S62" s="23" t="s">
        <v>41</v>
      </c>
    </row>
    <row r="63" spans="1:27" ht="13.5" customHeight="1" thickBot="1">
      <c r="B63" s="589"/>
      <c r="C63" s="350"/>
      <c r="D63" s="593"/>
      <c r="E63" s="581"/>
      <c r="F63" s="43"/>
      <c r="G63" s="41"/>
      <c r="H63" s="41"/>
      <c r="I63" s="42"/>
      <c r="J63" s="293" t="s">
        <v>17</v>
      </c>
      <c r="K63" s="294" t="s">
        <v>147</v>
      </c>
      <c r="L63" s="595" t="s">
        <v>136</v>
      </c>
      <c r="M63" s="595"/>
      <c r="N63" s="596"/>
      <c r="O63" s="295"/>
      <c r="P63" s="12"/>
      <c r="S63" s="23"/>
    </row>
    <row r="64" spans="1:27" ht="15" customHeight="1" thickBot="1">
      <c r="B64" s="589"/>
      <c r="C64" s="350"/>
      <c r="D64" s="597"/>
      <c r="E64" s="579"/>
      <c r="F64" s="43"/>
      <c r="G64" s="41"/>
      <c r="H64" s="41"/>
      <c r="I64" s="42"/>
      <c r="J64" s="288" t="s">
        <v>6</v>
      </c>
      <c r="K64" s="325"/>
      <c r="L64" s="344" t="s">
        <v>37</v>
      </c>
      <c r="M64" s="308" t="s">
        <v>38</v>
      </c>
      <c r="N64" s="308" t="s">
        <v>84</v>
      </c>
      <c r="O64" s="295"/>
      <c r="P64" s="12"/>
      <c r="S64" s="23"/>
    </row>
    <row r="65" spans="2:58" ht="15.75" customHeight="1" thickBot="1">
      <c r="B65" s="589"/>
      <c r="C65" s="350"/>
      <c r="D65" s="593"/>
      <c r="E65" s="581"/>
      <c r="F65" s="43"/>
      <c r="G65" s="41"/>
      <c r="H65" s="41"/>
      <c r="I65" s="42"/>
      <c r="J65" s="346" t="s">
        <v>9</v>
      </c>
      <c r="K65" s="325">
        <v>5</v>
      </c>
      <c r="L65" s="345" t="e">
        <f>AVERAGE(#REF!,#REF!,K74,#REF!,#REF!,#REF!,#REF!,#REF!,#REF!,#REF!,#REF!)</f>
        <v>#REF!</v>
      </c>
      <c r="M65" s="326" t="e">
        <f>AVERAGE(6,6,'[12]March 31st'!$L$80,'[14]June 30th  '!$L$71,6,L65,'[15]July 31st'!$L$108,'[16]Aug 30th'!$L$124,7,[17]Oct.31st!$L$51)</f>
        <v>#REF!</v>
      </c>
      <c r="N65" s="309">
        <v>9</v>
      </c>
      <c r="O65" s="295"/>
      <c r="P65" s="12"/>
      <c r="S65" s="23"/>
    </row>
    <row r="66" spans="2:58" ht="15" customHeight="1">
      <c r="B66" s="589"/>
      <c r="C66" s="350"/>
      <c r="D66" s="597"/>
      <c r="E66" s="579"/>
      <c r="F66" s="43"/>
      <c r="G66" s="41"/>
      <c r="H66" s="41"/>
      <c r="I66" s="42"/>
      <c r="J66" s="289" t="s">
        <v>40</v>
      </c>
      <c r="K66" s="325"/>
      <c r="L66" s="295"/>
      <c r="M66" s="295"/>
      <c r="N66" s="295"/>
      <c r="O66" s="295"/>
      <c r="P66" s="12"/>
      <c r="S66" s="23"/>
    </row>
    <row r="67" spans="2:58" ht="15" customHeight="1">
      <c r="B67" s="589"/>
      <c r="C67" s="350"/>
      <c r="D67" s="593"/>
      <c r="E67" s="581"/>
      <c r="F67" s="43"/>
      <c r="G67" s="41"/>
      <c r="H67" s="41"/>
      <c r="I67" s="42"/>
      <c r="J67" s="290" t="s">
        <v>33</v>
      </c>
      <c r="K67" s="325"/>
      <c r="L67" s="295"/>
      <c r="M67" s="295"/>
      <c r="N67" s="295"/>
      <c r="O67" s="295"/>
      <c r="P67" s="12"/>
      <c r="S67" s="23"/>
    </row>
    <row r="68" spans="2:58" ht="14.4">
      <c r="B68" s="589"/>
      <c r="C68" s="350"/>
      <c r="D68" s="597"/>
      <c r="E68" s="579"/>
      <c r="F68" s="43"/>
      <c r="G68" s="41"/>
      <c r="H68" s="41"/>
      <c r="I68" s="42"/>
      <c r="J68" s="291" t="s">
        <v>16</v>
      </c>
      <c r="K68" s="325"/>
      <c r="L68" s="295"/>
      <c r="M68" s="295"/>
      <c r="N68" s="295"/>
      <c r="O68" s="295"/>
      <c r="P68" s="12"/>
      <c r="S68" s="23"/>
      <c r="BD68" s="44"/>
      <c r="BE68" s="44"/>
    </row>
    <row r="69" spans="2:58" ht="14.4">
      <c r="B69" s="589"/>
      <c r="C69" s="350"/>
      <c r="D69" s="593"/>
      <c r="E69" s="581"/>
      <c r="F69" s="43"/>
      <c r="G69" s="41"/>
      <c r="H69" s="41"/>
      <c r="I69" s="42"/>
      <c r="J69" s="292" t="s">
        <v>15</v>
      </c>
      <c r="K69" s="325"/>
      <c r="L69" s="295"/>
      <c r="M69" s="295"/>
      <c r="N69" s="295"/>
      <c r="O69" s="295"/>
      <c r="P69" s="12"/>
      <c r="S69" s="23"/>
      <c r="BD69" s="44"/>
      <c r="BE69" s="44"/>
    </row>
    <row r="70" spans="2:58" ht="14.4">
      <c r="B70" s="589"/>
      <c r="C70" s="350"/>
      <c r="D70" s="598"/>
      <c r="E70" s="583"/>
      <c r="F70" s="43"/>
      <c r="G70" s="41"/>
      <c r="H70" s="41"/>
      <c r="I70" s="42"/>
      <c r="J70" s="292" t="s">
        <v>149</v>
      </c>
      <c r="K70" s="325"/>
      <c r="L70" s="295"/>
      <c r="M70" s="295"/>
      <c r="N70" s="295"/>
      <c r="O70" s="295"/>
      <c r="P70" s="12"/>
      <c r="S70" s="23"/>
      <c r="BD70" s="44"/>
      <c r="BE70" s="44"/>
    </row>
    <row r="71" spans="2:58" ht="15" thickBot="1">
      <c r="B71" s="590"/>
      <c r="C71" s="351"/>
      <c r="D71" s="599"/>
      <c r="E71" s="600"/>
      <c r="F71" s="43"/>
      <c r="G71" s="41"/>
      <c r="H71" s="41"/>
      <c r="I71" s="42"/>
      <c r="J71" s="292" t="s">
        <v>148</v>
      </c>
      <c r="K71" s="325"/>
      <c r="L71" s="295"/>
      <c r="M71" s="295"/>
      <c r="N71" s="295"/>
      <c r="O71" s="295"/>
      <c r="P71" s="12"/>
      <c r="S71" s="23"/>
      <c r="BD71" s="44"/>
      <c r="BE71" s="44"/>
    </row>
    <row r="72" spans="2:58" ht="17.7" customHeight="1" thickBot="1">
      <c r="B72" s="313" t="s">
        <v>139</v>
      </c>
      <c r="C72" s="314"/>
      <c r="D72" s="601">
        <f>AVERAGE(D50:E71)</f>
        <v>11.73</v>
      </c>
      <c r="E72" s="602"/>
      <c r="F72" s="43"/>
      <c r="G72" s="41"/>
      <c r="H72" s="41"/>
      <c r="I72" s="42"/>
      <c r="J72" s="296" t="s">
        <v>134</v>
      </c>
      <c r="K72" s="325"/>
      <c r="L72" s="295"/>
      <c r="M72" s="295"/>
      <c r="N72" s="295"/>
      <c r="O72" s="295"/>
      <c r="P72" s="12"/>
      <c r="S72" s="23"/>
      <c r="BD72" s="44"/>
      <c r="BE72" s="44"/>
    </row>
    <row r="73" spans="2:58" ht="17.7" customHeight="1">
      <c r="B73" s="364"/>
      <c r="C73" s="365"/>
      <c r="D73" s="366"/>
      <c r="E73" s="366"/>
      <c r="F73" s="43"/>
      <c r="G73" s="41"/>
      <c r="H73" s="41"/>
      <c r="I73" s="42"/>
      <c r="J73" s="296" t="s">
        <v>131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7" t="s">
        <v>130</v>
      </c>
      <c r="K74" s="325">
        <f>SUM(K64:K73)</f>
        <v>5</v>
      </c>
      <c r="L74" s="295"/>
      <c r="M74" s="295"/>
      <c r="N74" s="295"/>
      <c r="O74" s="295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5"/>
      <c r="P75" s="335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6" t="s">
        <v>41</v>
      </c>
    </row>
    <row r="77" spans="2:58" ht="15" customHeight="1" thickBot="1">
      <c r="B77" s="603" t="s">
        <v>17</v>
      </c>
      <c r="C77" s="603" t="s">
        <v>44</v>
      </c>
      <c r="D77" s="605" t="s">
        <v>45</v>
      </c>
      <c r="E77" s="560" t="s">
        <v>46</v>
      </c>
      <c r="F77" s="620" t="s">
        <v>47</v>
      </c>
      <c r="G77" s="614" t="s">
        <v>48</v>
      </c>
      <c r="H77" s="603" t="s">
        <v>49</v>
      </c>
      <c r="I77" s="616" t="s">
        <v>50</v>
      </c>
      <c r="J77" s="608" t="s">
        <v>28</v>
      </c>
      <c r="K77" s="558" t="s">
        <v>51</v>
      </c>
      <c r="L77" s="570" t="s">
        <v>52</v>
      </c>
      <c r="M77" s="608" t="s">
        <v>53</v>
      </c>
      <c r="N77" s="77"/>
      <c r="O77" s="13"/>
      <c r="P77" s="50"/>
    </row>
    <row r="78" spans="2:58" ht="28.5" customHeight="1" thickTop="1" thickBot="1">
      <c r="B78" s="604"/>
      <c r="C78" s="604"/>
      <c r="D78" s="606"/>
      <c r="E78" s="607"/>
      <c r="F78" s="621"/>
      <c r="G78" s="615"/>
      <c r="H78" s="604"/>
      <c r="I78" s="617"/>
      <c r="J78" s="609"/>
      <c r="K78" s="618"/>
      <c r="L78" s="619"/>
      <c r="M78" s="609"/>
      <c r="N78" s="77"/>
      <c r="O78" s="13"/>
      <c r="P78" s="50"/>
      <c r="Q78" s="356"/>
      <c r="R78" s="356"/>
      <c r="S78" s="356"/>
      <c r="T78" s="356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6" t="s">
        <v>9</v>
      </c>
      <c r="C79" s="284">
        <v>45278</v>
      </c>
      <c r="D79" s="378">
        <f>[18]December_2023!$U$13</f>
        <v>150.4</v>
      </c>
      <c r="E79" s="379"/>
      <c r="F79" s="380"/>
      <c r="G79" s="304">
        <f>[18]December_2023!$U$17</f>
        <v>120.8</v>
      </c>
      <c r="H79" s="382"/>
      <c r="I79" s="383"/>
      <c r="J79" s="361" t="s">
        <v>150</v>
      </c>
      <c r="K79" s="381">
        <f>[19]December_2023!$U$25</f>
        <v>0.42385964912280699</v>
      </c>
      <c r="L79" s="392">
        <f>(((D79+E79)-G79)/(D79+E79))*100</f>
        <v>19.680851063829792</v>
      </c>
      <c r="M79" s="358" t="s">
        <v>154</v>
      </c>
      <c r="N79" s="13"/>
      <c r="O79" s="13"/>
      <c r="P79" s="50"/>
      <c r="T79" s="273" t="s">
        <v>54</v>
      </c>
      <c r="U79" s="280"/>
      <c r="V79" s="280"/>
      <c r="W79" s="280"/>
      <c r="X79" s="280"/>
      <c r="Y79" s="280"/>
      <c r="Z79" s="280"/>
      <c r="AA79" s="280"/>
      <c r="AB79" s="280"/>
      <c r="AC79" s="280"/>
      <c r="AD79" s="280"/>
      <c r="AE79" s="280"/>
      <c r="AF79" s="280"/>
      <c r="AG79" s="280"/>
      <c r="AH79" s="280"/>
      <c r="AI79" s="280"/>
      <c r="AJ79" s="280"/>
      <c r="AK79" s="280"/>
      <c r="AL79" s="280"/>
      <c r="AM79" s="280"/>
      <c r="AN79" s="280"/>
      <c r="AO79" s="280"/>
      <c r="AP79" s="280"/>
      <c r="AQ79" s="280"/>
      <c r="AR79" s="280"/>
      <c r="AS79" s="280"/>
      <c r="AT79" s="280"/>
      <c r="AU79" s="280"/>
      <c r="AV79" s="280"/>
      <c r="AW79" s="280"/>
      <c r="AX79" s="280"/>
    </row>
    <row r="80" spans="2:58" s="54" customFormat="1" ht="18.75" customHeight="1" thickBot="1">
      <c r="B80" s="388"/>
      <c r="C80" s="284"/>
      <c r="D80" s="280"/>
      <c r="E80" s="280"/>
      <c r="F80" s="280"/>
      <c r="G80" s="280"/>
      <c r="H80" s="321"/>
      <c r="I80" s="322"/>
      <c r="J80" s="282" t="s">
        <v>41</v>
      </c>
      <c r="K80" s="377"/>
      <c r="L80" s="315"/>
      <c r="M80" s="385"/>
      <c r="N80" s="13"/>
      <c r="O80" s="13"/>
      <c r="P80" s="50"/>
      <c r="T80" s="273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8" t="e">
        <f>[20]January_2019!AH8</f>
        <v>#DIV/0!</v>
      </c>
      <c r="AZ80" s="278"/>
      <c r="BA80" s="278"/>
      <c r="BB80" s="278"/>
      <c r="BC80" s="278"/>
      <c r="BD80" s="278"/>
      <c r="BE80" s="278"/>
      <c r="BF80" s="278"/>
    </row>
    <row r="81" spans="2:58" s="54" customFormat="1" ht="45.75" hidden="1" customHeight="1" thickBot="1">
      <c r="B81" s="29"/>
      <c r="C81" s="284"/>
      <c r="D81" s="280"/>
      <c r="E81" s="280"/>
      <c r="F81" s="280"/>
      <c r="G81" s="280"/>
      <c r="H81" s="382"/>
      <c r="I81" s="383"/>
      <c r="J81" s="391"/>
      <c r="K81" s="373"/>
      <c r="L81" s="392"/>
      <c r="M81" s="358"/>
      <c r="N81" s="13"/>
      <c r="O81" s="13"/>
      <c r="P81" s="50"/>
      <c r="T81" s="273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8"/>
      <c r="AZ81" s="278"/>
      <c r="BA81" s="278"/>
      <c r="BB81" s="278"/>
      <c r="BC81" s="278"/>
      <c r="BD81" s="278"/>
      <c r="BE81" s="278"/>
      <c r="BF81" s="278"/>
    </row>
    <row r="82" spans="2:58" s="54" customFormat="1" ht="28.5" hidden="1" customHeight="1" thickBot="1">
      <c r="B82" s="362"/>
      <c r="C82" s="284"/>
      <c r="D82" s="305"/>
      <c r="E82" s="280"/>
      <c r="F82" s="280"/>
      <c r="G82" s="280"/>
      <c r="H82" s="321"/>
      <c r="I82" s="322"/>
      <c r="J82" s="390"/>
      <c r="K82" s="377"/>
      <c r="L82" s="315"/>
      <c r="M82" s="355"/>
      <c r="N82" s="13"/>
      <c r="O82" s="13"/>
      <c r="P82" s="50"/>
      <c r="T82" s="273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8"/>
      <c r="AZ82" s="278"/>
      <c r="BA82" s="278"/>
      <c r="BB82" s="278"/>
      <c r="BC82" s="278"/>
      <c r="BD82" s="278"/>
      <c r="BE82" s="278"/>
      <c r="BF82" s="278"/>
    </row>
    <row r="83" spans="2:58" s="54" customFormat="1" ht="45.75" hidden="1" customHeight="1">
      <c r="B83" s="386"/>
      <c r="C83" s="284"/>
      <c r="D83" s="280"/>
      <c r="E83" s="280"/>
      <c r="F83" s="280"/>
      <c r="G83" s="280"/>
      <c r="H83" s="321"/>
      <c r="I83" s="323"/>
      <c r="J83" s="361"/>
      <c r="K83" s="287"/>
      <c r="L83" s="315"/>
      <c r="M83" s="385"/>
      <c r="N83" s="13"/>
      <c r="O83" s="13"/>
      <c r="P83" s="50"/>
      <c r="T83" s="273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8"/>
      <c r="AZ83" s="278"/>
      <c r="BA83" s="278"/>
      <c r="BB83" s="278"/>
      <c r="BC83" s="278"/>
      <c r="BD83" s="278"/>
      <c r="BE83" s="278"/>
      <c r="BF83" s="278"/>
    </row>
    <row r="84" spans="2:58" s="54" customFormat="1" ht="45.75" hidden="1" customHeight="1">
      <c r="B84" s="362"/>
      <c r="C84" s="284"/>
      <c r="D84" s="280"/>
      <c r="E84" s="280"/>
      <c r="F84" s="280"/>
      <c r="G84" s="280"/>
      <c r="H84" s="321"/>
      <c r="I84" s="323"/>
      <c r="J84" s="282"/>
      <c r="K84" s="287"/>
      <c r="L84" s="315"/>
      <c r="M84" s="340"/>
      <c r="N84" s="13"/>
      <c r="O84" s="13"/>
      <c r="P84" s="50"/>
      <c r="T84" s="273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8"/>
      <c r="AZ84" s="278"/>
      <c r="BA84" s="278"/>
      <c r="BB84" s="278"/>
      <c r="BC84" s="278"/>
      <c r="BD84" s="278"/>
      <c r="BE84" s="278"/>
      <c r="BF84" s="278"/>
    </row>
    <row r="85" spans="2:58" ht="14.4" hidden="1" thickBot="1">
      <c r="B85" s="33"/>
      <c r="C85" s="311"/>
      <c r="D85" s="280"/>
      <c r="E85" s="280"/>
      <c r="F85" s="280"/>
      <c r="G85" s="280"/>
      <c r="H85" s="353"/>
      <c r="I85" s="354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10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610" t="s">
        <v>55</v>
      </c>
      <c r="C87" s="611"/>
      <c r="D87" s="611"/>
      <c r="E87" s="611"/>
      <c r="F87" s="612"/>
      <c r="G87" s="610" t="s">
        <v>56</v>
      </c>
      <c r="H87" s="611"/>
      <c r="I87" s="611"/>
      <c r="J87" s="612"/>
      <c r="K87" s="610" t="s">
        <v>51</v>
      </c>
      <c r="L87" s="611"/>
      <c r="M87" s="611"/>
      <c r="N87" s="613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3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3"/>
      <c r="D94" s="76"/>
      <c r="E94" s="76">
        <v>6.4174306465055304</v>
      </c>
      <c r="F94" s="70">
        <f>[21]May_2022!$M$43</f>
        <v>3.4878406700073312</v>
      </c>
      <c r="G94" s="283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3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2">
        <v>4.5</v>
      </c>
      <c r="G97" s="74"/>
      <c r="H97" s="76">
        <v>5.4965257407735688</v>
      </c>
      <c r="I97" s="76">
        <v>6.5279580392540781</v>
      </c>
      <c r="J97" s="343">
        <v>4.5</v>
      </c>
      <c r="K97" s="67"/>
      <c r="L97" s="194">
        <v>0.69682017543859642</v>
      </c>
      <c r="M97" s="194">
        <v>0.78265037728044273</v>
      </c>
      <c r="N97" s="387">
        <v>1</v>
      </c>
      <c r="O97" s="74"/>
      <c r="P97" s="75"/>
    </row>
    <row r="102" spans="3:30">
      <c r="F102" s="316"/>
    </row>
    <row r="110" spans="3:30">
      <c r="AD110" s="276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2943" priority="157" operator="notBetween">
      <formula>#REF!</formula>
      <formula>#REF!</formula>
    </cfRule>
  </conditionalFormatting>
  <conditionalFormatting sqref="C76">
    <cfRule type="cellIs" dxfId="2942" priority="190" stopIfTrue="1" operator="greaterThan">
      <formula>100</formula>
    </cfRule>
    <cfRule type="cellIs" dxfId="2941" priority="189" stopIfTrue="1" operator="lessThan">
      <formula>96</formula>
    </cfRule>
  </conditionalFormatting>
  <conditionalFormatting sqref="C90">
    <cfRule type="cellIs" dxfId="2940" priority="212" stopIfTrue="1" operator="greaterThan">
      <formula>$F89</formula>
    </cfRule>
    <cfRule type="cellIs" dxfId="2939" priority="106" stopIfTrue="1" operator="lessThanOrEqual">
      <formula>0</formula>
    </cfRule>
  </conditionalFormatting>
  <conditionalFormatting sqref="C91:C93">
    <cfRule type="cellIs" dxfId="2938" priority="105" stopIfTrue="1" operator="greaterThan">
      <formula>$F91</formula>
    </cfRule>
  </conditionalFormatting>
  <conditionalFormatting sqref="C91:C94">
    <cfRule type="cellIs" dxfId="2937" priority="129" stopIfTrue="1" operator="lessThanOrEqual">
      <formula>0</formula>
    </cfRule>
  </conditionalFormatting>
  <conditionalFormatting sqref="C94">
    <cfRule type="cellIs" dxfId="2936" priority="128" stopIfTrue="1" operator="greaterThan">
      <formula>$J94</formula>
    </cfRule>
  </conditionalFormatting>
  <conditionalFormatting sqref="C95:C97">
    <cfRule type="cellIs" dxfId="2935" priority="145" stopIfTrue="1" operator="greaterThan">
      <formula>$F95</formula>
    </cfRule>
    <cfRule type="cellIs" dxfId="2934" priority="146" stopIfTrue="1" operator="lessThanOrEqual">
      <formula>0</formula>
    </cfRule>
  </conditionalFormatting>
  <conditionalFormatting sqref="C100:C104">
    <cfRule type="cellIs" dxfId="2933" priority="181" stopIfTrue="1" operator="lessThanOrEqual">
      <formula>0</formula>
    </cfRule>
  </conditionalFormatting>
  <conditionalFormatting sqref="C101:C104">
    <cfRule type="cellIs" dxfId="2932" priority="180" stopIfTrue="1" operator="greaterThan">
      <formula>$F$100</formula>
    </cfRule>
  </conditionalFormatting>
  <conditionalFormatting sqref="C106">
    <cfRule type="cellIs" dxfId="2931" priority="183" stopIfTrue="1" operator="lessThanOrEqual">
      <formula>0</formula>
    </cfRule>
    <cfRule type="cellIs" dxfId="2930" priority="182" stopIfTrue="1" operator="greaterThan">
      <formula>$F$100</formula>
    </cfRule>
  </conditionalFormatting>
  <conditionalFormatting sqref="C100:D100 D102:D108">
    <cfRule type="cellIs" dxfId="2929" priority="175" stopIfTrue="1" operator="greaterThan">
      <formula>4.5</formula>
    </cfRule>
  </conditionalFormatting>
  <conditionalFormatting sqref="D72:D73">
    <cfRule type="cellIs" dxfId="2928" priority="158" operator="notBetween">
      <formula>#REF!</formula>
      <formula>#REF!</formula>
    </cfRule>
  </conditionalFormatting>
  <conditionalFormatting sqref="D89:D96">
    <cfRule type="cellIs" dxfId="2927" priority="144" stopIfTrue="1" operator="lessThanOrEqual">
      <formula>0</formula>
    </cfRule>
  </conditionalFormatting>
  <conditionalFormatting sqref="D97">
    <cfRule type="cellIs" dxfId="2926" priority="143" stopIfTrue="1" operator="lessThanOrEqual">
      <formula>0</formula>
    </cfRule>
  </conditionalFormatting>
  <conditionalFormatting sqref="D100 D102:D108">
    <cfRule type="cellIs" dxfId="2925" priority="176" stopIfTrue="1" operator="lessThanOrEqual">
      <formula>0</formula>
    </cfRule>
  </conditionalFormatting>
  <conditionalFormatting sqref="D101">
    <cfRule type="cellIs" dxfId="2924" priority="167" stopIfTrue="1" operator="greaterThan">
      <formula>$F$100</formula>
    </cfRule>
    <cfRule type="cellIs" dxfId="2923" priority="168" stopIfTrue="1" operator="lessThanOrEqual">
      <formula>0</formula>
    </cfRule>
  </conditionalFormatting>
  <conditionalFormatting sqref="D89:E97">
    <cfRule type="cellIs" dxfId="2922" priority="135" stopIfTrue="1" operator="greaterThan">
      <formula>$F89</formula>
    </cfRule>
  </conditionalFormatting>
  <conditionalFormatting sqref="E10:E14">
    <cfRule type="cellIs" dxfId="2921" priority="52" operator="lessThan">
      <formula>48</formula>
    </cfRule>
  </conditionalFormatting>
  <conditionalFormatting sqref="E33:E46">
    <cfRule type="cellIs" dxfId="2920" priority="25" operator="lessThan">
      <formula>48</formula>
    </cfRule>
  </conditionalFormatting>
  <conditionalFormatting sqref="E76">
    <cfRule type="cellIs" dxfId="2919" priority="169" stopIfTrue="1" operator="lessThan">
      <formula>96.8</formula>
    </cfRule>
    <cfRule type="cellIs" dxfId="2918" priority="170" stopIfTrue="1" operator="greaterThan">
      <formula>100</formula>
    </cfRule>
  </conditionalFormatting>
  <conditionalFormatting sqref="E89:E97">
    <cfRule type="cellIs" dxfId="2917" priority="136" stopIfTrue="1" operator="lessThanOrEqual">
      <formula>0</formula>
    </cfRule>
  </conditionalFormatting>
  <conditionalFormatting sqref="E100:E108">
    <cfRule type="cellIs" dxfId="2916" priority="162" stopIfTrue="1" operator="lessThanOrEqual">
      <formula>0</formula>
    </cfRule>
    <cfRule type="cellIs" dxfId="2915" priority="161" stopIfTrue="1" operator="greaterThan">
      <formula>4.5</formula>
    </cfRule>
  </conditionalFormatting>
  <conditionalFormatting sqref="E75:F76">
    <cfRule type="cellIs" dxfId="2914" priority="171" stopIfTrue="1" operator="lessThan">
      <formula>96.5</formula>
    </cfRule>
    <cfRule type="cellIs" dxfId="2913" priority="172" stopIfTrue="1" operator="greaterThan">
      <formula>100</formula>
    </cfRule>
  </conditionalFormatting>
  <conditionalFormatting sqref="F10:F12">
    <cfRule type="cellIs" dxfId="2912" priority="62" operator="greaterThan">
      <formula>#REF!</formula>
    </cfRule>
  </conditionalFormatting>
  <conditionalFormatting sqref="F10:F47">
    <cfRule type="cellIs" dxfId="2911" priority="15" operator="greaterThan">
      <formula>$AA10</formula>
    </cfRule>
  </conditionalFormatting>
  <conditionalFormatting sqref="F13">
    <cfRule type="cellIs" dxfId="2910" priority="53" operator="greaterThan">
      <formula>$AA47</formula>
    </cfRule>
  </conditionalFormatting>
  <conditionalFormatting sqref="F14">
    <cfRule type="cellIs" dxfId="2909" priority="196" operator="greaterThan">
      <formula>#REF!</formula>
    </cfRule>
  </conditionalFormatting>
  <conditionalFormatting sqref="F33:F46">
    <cfRule type="cellIs" dxfId="2908" priority="26" operator="greaterThan">
      <formula>$AA48</formula>
    </cfRule>
  </conditionalFormatting>
  <conditionalFormatting sqref="F76">
    <cfRule type="cellIs" dxfId="2907" priority="187" stopIfTrue="1" operator="lessThan">
      <formula>96.8</formula>
    </cfRule>
    <cfRule type="cellIs" dxfId="2906" priority="188" stopIfTrue="1" operator="greaterThan">
      <formula>100</formula>
    </cfRule>
  </conditionalFormatting>
  <conditionalFormatting sqref="F97">
    <cfRule type="cellIs" dxfId="2905" priority="137" stopIfTrue="1" operator="greaterThan">
      <formula>$F97</formula>
    </cfRule>
    <cfRule type="cellIs" dxfId="2904" priority="138" stopIfTrue="1" operator="lessThanOrEqual">
      <formula>0</formula>
    </cfRule>
  </conditionalFormatting>
  <conditionalFormatting sqref="G10:G14">
    <cfRule type="expression" dxfId="2903" priority="54">
      <formula>IF(+(IF(G10&lt;#REF!,0,IF(G10&gt;#REF!,0,1)))=0,1)</formula>
    </cfRule>
  </conditionalFormatting>
  <conditionalFormatting sqref="G33:G46">
    <cfRule type="expression" dxfId="2902" priority="27">
      <formula>IF(+(IF(G33&lt;#REF!,0,IF(G33&gt;#REF!,0,1)))=0,1)</formula>
    </cfRule>
  </conditionalFormatting>
  <conditionalFormatting sqref="G90">
    <cfRule type="cellIs" dxfId="2901" priority="71" stopIfTrue="1" operator="lessThanOrEqual">
      <formula>0</formula>
    </cfRule>
    <cfRule type="cellIs" dxfId="2900" priority="70" stopIfTrue="1" operator="greaterThan">
      <formula>$F89</formula>
    </cfRule>
  </conditionalFormatting>
  <conditionalFormatting sqref="G90:G91">
    <cfRule type="cellIs" dxfId="2899" priority="191" stopIfTrue="1" operator="greaterThan">
      <formula>$F89</formula>
    </cfRule>
    <cfRule type="cellIs" dxfId="2898" priority="192" stopIfTrue="1" operator="lessThanOrEqual">
      <formula>0</formula>
    </cfRule>
  </conditionalFormatting>
  <conditionalFormatting sqref="G92">
    <cfRule type="cellIs" dxfId="2897" priority="140" stopIfTrue="1" operator="lessThanOrEqual">
      <formula>0</formula>
    </cfRule>
    <cfRule type="cellIs" dxfId="2896" priority="139" stopIfTrue="1" operator="greaterThan">
      <formula>$F92</formula>
    </cfRule>
  </conditionalFormatting>
  <conditionalFormatting sqref="G93:G96">
    <cfRule type="cellIs" dxfId="2895" priority="149" stopIfTrue="1" operator="lessThanOrEqual">
      <formula>0</formula>
    </cfRule>
    <cfRule type="cellIs" dxfId="2894" priority="148" stopIfTrue="1" operator="greaterThan">
      <formula>$J93</formula>
    </cfRule>
  </conditionalFormatting>
  <conditionalFormatting sqref="G97">
    <cfRule type="cellIs" dxfId="2893" priority="147" operator="greaterThan">
      <formula>4.5</formula>
    </cfRule>
  </conditionalFormatting>
  <conditionalFormatting sqref="G102:G107 C105 C107">
    <cfRule type="cellIs" dxfId="2892" priority="185" stopIfTrue="1" operator="lessThanOrEqual">
      <formula>0</formula>
    </cfRule>
    <cfRule type="cellIs" dxfId="2891" priority="184" stopIfTrue="1" operator="greaterThan">
      <formula>4.5</formula>
    </cfRule>
  </conditionalFormatting>
  <conditionalFormatting sqref="G62:H62 G63:G73 H63:H74">
    <cfRule type="cellIs" dxfId="2890" priority="163" stopIfTrue="1" operator="greaterThan">
      <formula>0</formula>
    </cfRule>
  </conditionalFormatting>
  <conditionalFormatting sqref="G101:H101">
    <cfRule type="cellIs" dxfId="2889" priority="166" stopIfTrue="1" operator="lessThanOrEqual">
      <formula>0</formula>
    </cfRule>
    <cfRule type="cellIs" dxfId="2888" priority="165" stopIfTrue="1" operator="greaterThan">
      <formula>$F$100</formula>
    </cfRule>
  </conditionalFormatting>
  <conditionalFormatting sqref="H10">
    <cfRule type="expression" dxfId="2887" priority="63">
      <formula>IF(+(IF(H10&lt;T27,0,IF(H10&gt;U27,0,1)))=0,1)</formula>
    </cfRule>
  </conditionalFormatting>
  <conditionalFormatting sqref="H10:H12">
    <cfRule type="expression" dxfId="2886" priority="64">
      <formula>IF(+(IF(H10&lt;#REF!,0,IF(H10&gt;#REF!,0,1)))=0,1)</formula>
    </cfRule>
  </conditionalFormatting>
  <conditionalFormatting sqref="H11:H12">
    <cfRule type="expression" dxfId="2885" priority="207">
      <formula>IF(+(IF(H11&lt;T47,0,IF(H11&gt;U47,0,1)))=0,1)</formula>
    </cfRule>
  </conditionalFormatting>
  <conditionalFormatting sqref="H13">
    <cfRule type="expression" dxfId="2884" priority="56">
      <formula>IF(+(IF(H13&lt;T47,0,IF(H13&gt;U47,0,1)))=0,1)</formula>
    </cfRule>
    <cfRule type="expression" dxfId="2883" priority="55">
      <formula>IF(+(IF(H13&lt;T56,0,IF(H13&gt;U56,0,1)))=0,1)</formula>
    </cfRule>
  </conditionalFormatting>
  <conditionalFormatting sqref="H14">
    <cfRule type="expression" dxfId="2882" priority="197">
      <formula>IF(+(IF(H14&lt;T50,0,IF(H14&gt;U50,0,1)))=0,1)</formula>
    </cfRule>
    <cfRule type="expression" dxfId="2881" priority="198">
      <formula>IF(+(IF(H14&lt;#REF!,0,IF(H14&gt;#REF!,0,1)))=0,1)</formula>
    </cfRule>
  </conditionalFormatting>
  <conditionalFormatting sqref="H15:H32">
    <cfRule type="expression" dxfId="2880" priority="209">
      <formula>IF(+(IF(H15&lt;T66,0,IF(H15&gt;U66,0,1)))=0,1)</formula>
    </cfRule>
  </conditionalFormatting>
  <conditionalFormatting sqref="H33:H46">
    <cfRule type="expression" dxfId="2879" priority="29">
      <formula>IF(+(IF(H33&lt;T48,0,IF(H33&gt;U48,0,1)))=0,1)</formula>
    </cfRule>
    <cfRule type="expression" dxfId="2878" priority="28">
      <formula>IF(+(IF(H33&lt;T57,0,IF(H33&gt;U57,0,1)))=0,1)</formula>
    </cfRule>
  </conditionalFormatting>
  <conditionalFormatting sqref="H47">
    <cfRule type="expression" dxfId="2877" priority="193">
      <formula>IF(+(IF(H47&lt;#REF!,0,IF(H47&gt;#REF!,0,1)))=0,1)</formula>
    </cfRule>
  </conditionalFormatting>
  <conditionalFormatting sqref="H51:H61">
    <cfRule type="cellIs" dxfId="2876" priority="159" stopIfTrue="1" operator="greaterThan">
      <formula>0</formula>
    </cfRule>
  </conditionalFormatting>
  <conditionalFormatting sqref="H79">
    <cfRule type="cellIs" dxfId="2875" priority="2" stopIfTrue="1" operator="lessThanOrEqual">
      <formula>0</formula>
    </cfRule>
    <cfRule type="cellIs" dxfId="2874" priority="12" stopIfTrue="1" operator="lessThanOrEqual">
      <formula>0</formula>
    </cfRule>
    <cfRule type="cellIs" dxfId="2873" priority="11" stopIfTrue="1" operator="greaterThan">
      <formula>$F$56</formula>
    </cfRule>
    <cfRule type="cellIs" dxfId="2872" priority="14" stopIfTrue="1" operator="lessThanOrEqual">
      <formula>0</formula>
    </cfRule>
    <cfRule type="cellIs" dxfId="2871" priority="3" stopIfTrue="1" operator="greaterThan">
      <formula>$F$53</formula>
    </cfRule>
    <cfRule type="cellIs" dxfId="2870" priority="13" stopIfTrue="1" operator="greaterThan">
      <formula>$F$54</formula>
    </cfRule>
  </conditionalFormatting>
  <conditionalFormatting sqref="H80">
    <cfRule type="cellIs" dxfId="2869" priority="102" stopIfTrue="1" operator="lessThanOrEqual">
      <formula>0</formula>
    </cfRule>
    <cfRule type="cellIs" dxfId="2868" priority="93" stopIfTrue="1" operator="greaterThan">
      <formula>$F$88</formula>
    </cfRule>
    <cfRule type="cellIs" dxfId="2867" priority="92" stopIfTrue="1" operator="lessThanOrEqual">
      <formula>0</formula>
    </cfRule>
    <cfRule type="cellIs" dxfId="2866" priority="104" stopIfTrue="1" operator="lessThanOrEqual">
      <formula>0</formula>
    </cfRule>
    <cfRule type="cellIs" dxfId="2865" priority="103" stopIfTrue="1" operator="greaterThan">
      <formula>$F$89</formula>
    </cfRule>
    <cfRule type="cellIs" dxfId="2864" priority="101" stopIfTrue="1" operator="greaterThan">
      <formula>$F$91</formula>
    </cfRule>
  </conditionalFormatting>
  <conditionalFormatting sqref="H81">
    <cfRule type="cellIs" dxfId="2863" priority="35" stopIfTrue="1" operator="lessThanOrEqual">
      <formula>0</formula>
    </cfRule>
    <cfRule type="cellIs" dxfId="2862" priority="47" stopIfTrue="1" operator="lessThanOrEqual">
      <formula>0</formula>
    </cfRule>
    <cfRule type="cellIs" dxfId="2861" priority="46" stopIfTrue="1" operator="greaterThan">
      <formula>$F$73</formula>
    </cfRule>
    <cfRule type="cellIs" dxfId="2860" priority="45" stopIfTrue="1" operator="lessThanOrEqual">
      <formula>0</formula>
    </cfRule>
    <cfRule type="cellIs" dxfId="2859" priority="44" stopIfTrue="1" operator="greaterThan">
      <formula>$F$75</formula>
    </cfRule>
    <cfRule type="cellIs" dxfId="2858" priority="36" stopIfTrue="1" operator="greaterThan">
      <formula>$F$72</formula>
    </cfRule>
  </conditionalFormatting>
  <conditionalFormatting sqref="H82">
    <cfRule type="cellIs" dxfId="2857" priority="84" stopIfTrue="1" operator="greaterThan">
      <formula>#REF!</formula>
    </cfRule>
    <cfRule type="cellIs" dxfId="2856" priority="76" stopIfTrue="1" operator="greaterThan">
      <formula>#REF!</formula>
    </cfRule>
    <cfRule type="cellIs" dxfId="2855" priority="75" stopIfTrue="1" operator="lessThanOrEqual">
      <formula>0</formula>
    </cfRule>
  </conditionalFormatting>
  <conditionalFormatting sqref="H82:H84">
    <cfRule type="cellIs" dxfId="2854" priority="85" stopIfTrue="1" operator="lessThanOrEqual">
      <formula>0</formula>
    </cfRule>
  </conditionalFormatting>
  <conditionalFormatting sqref="H83:H84">
    <cfRule type="cellIs" dxfId="2853" priority="124" stopIfTrue="1" operator="greaterThan">
      <formula>$F$90</formula>
    </cfRule>
    <cfRule type="cellIs" dxfId="2852" priority="123" stopIfTrue="1" operator="lessThanOrEqual">
      <formula>0</formula>
    </cfRule>
    <cfRule type="cellIs" dxfId="2851" priority="122" stopIfTrue="1" operator="greaterThan">
      <formula>$F$92</formula>
    </cfRule>
    <cfRule type="cellIs" dxfId="2850" priority="114" stopIfTrue="1" operator="greaterThan">
      <formula>$F$89</formula>
    </cfRule>
    <cfRule type="cellIs" dxfId="2849" priority="125" stopIfTrue="1" operator="lessThanOrEqual">
      <formula>0</formula>
    </cfRule>
  </conditionalFormatting>
  <conditionalFormatting sqref="H85">
    <cfRule type="cellIs" dxfId="2848" priority="155" stopIfTrue="1" operator="greaterThan">
      <formula>$F$82</formula>
    </cfRule>
    <cfRule type="cellIs" dxfId="2847" priority="154" stopIfTrue="1" operator="lessThanOrEqual">
      <formula>0</formula>
    </cfRule>
    <cfRule type="cellIs" dxfId="2846" priority="153" stopIfTrue="1" operator="greaterThan">
      <formula>$F$86</formula>
    </cfRule>
    <cfRule type="cellIs" dxfId="2845" priority="156" stopIfTrue="1" operator="lessThanOrEqual">
      <formula>0</formula>
    </cfRule>
  </conditionalFormatting>
  <conditionalFormatting sqref="H89:H96">
    <cfRule type="cellIs" dxfId="2844" priority="127" stopIfTrue="1" operator="lessThanOrEqual">
      <formula>0</formula>
    </cfRule>
    <cfRule type="cellIs" dxfId="2843" priority="126" stopIfTrue="1" operator="greaterThan">
      <formula>$J89</formula>
    </cfRule>
  </conditionalFormatting>
  <conditionalFormatting sqref="H97">
    <cfRule type="cellIs" dxfId="2842" priority="132" operator="greaterThan">
      <formula>5.3</formula>
    </cfRule>
  </conditionalFormatting>
  <conditionalFormatting sqref="H100 H102:H108">
    <cfRule type="cellIs" dxfId="2841" priority="178" stopIfTrue="1" operator="lessThanOrEqual">
      <formula>0</formula>
    </cfRule>
    <cfRule type="cellIs" dxfId="2840" priority="177" stopIfTrue="1" operator="greaterThan">
      <formula>4.5</formula>
    </cfRule>
  </conditionalFormatting>
  <conditionalFormatting sqref="H79:I79">
    <cfRule type="cellIs" dxfId="2839" priority="4" stopIfTrue="1" operator="lessThanOrEqual">
      <formula>0</formula>
    </cfRule>
    <cfRule type="cellIs" dxfId="2838" priority="1" stopIfTrue="1" operator="greaterThan">
      <formula>$F$55</formula>
    </cfRule>
  </conditionalFormatting>
  <conditionalFormatting sqref="H80:I80">
    <cfRule type="cellIs" dxfId="2837" priority="91" stopIfTrue="1" operator="greaterThan">
      <formula>$F$90</formula>
    </cfRule>
    <cfRule type="cellIs" dxfId="2836" priority="94" stopIfTrue="1" operator="lessThanOrEqual">
      <formula>0</formula>
    </cfRule>
  </conditionalFormatting>
  <conditionalFormatting sqref="H81:I81">
    <cfRule type="cellIs" dxfId="2835" priority="37" stopIfTrue="1" operator="lessThanOrEqual">
      <formula>0</formula>
    </cfRule>
    <cfRule type="cellIs" dxfId="2834" priority="34" stopIfTrue="1" operator="greaterThan">
      <formula>$F$74</formula>
    </cfRule>
  </conditionalFormatting>
  <conditionalFormatting sqref="H82:I82">
    <cfRule type="cellIs" dxfId="2833" priority="74" stopIfTrue="1" operator="greaterThan">
      <formula>#REF!</formula>
    </cfRule>
    <cfRule type="cellIs" dxfId="2832" priority="77" stopIfTrue="1" operator="lessThanOrEqual">
      <formula>0</formula>
    </cfRule>
    <cfRule type="cellIs" dxfId="2831" priority="83" stopIfTrue="1" operator="lessThanOrEqual">
      <formula>0</formula>
    </cfRule>
    <cfRule type="cellIs" dxfId="2830" priority="82" stopIfTrue="1" operator="greaterThan">
      <formula>#REF!</formula>
    </cfRule>
  </conditionalFormatting>
  <conditionalFormatting sqref="H83:I83">
    <cfRule type="cellIs" dxfId="2829" priority="115" stopIfTrue="1" operator="lessThanOrEqual">
      <formula>0</formula>
    </cfRule>
  </conditionalFormatting>
  <conditionalFormatting sqref="H83:I84">
    <cfRule type="cellIs" dxfId="2828" priority="72" stopIfTrue="1" operator="greaterThan">
      <formula>$F$91</formula>
    </cfRule>
  </conditionalFormatting>
  <conditionalFormatting sqref="H84:I84">
    <cfRule type="cellIs" dxfId="2827" priority="73" stopIfTrue="1" operator="lessThanOrEqual">
      <formula>0</formula>
    </cfRule>
  </conditionalFormatting>
  <conditionalFormatting sqref="I10:I14">
    <cfRule type="cellIs" dxfId="2826" priority="49" operator="lessThan">
      <formula>97.8</formula>
    </cfRule>
  </conditionalFormatting>
  <conditionalFormatting sqref="I10:I47">
    <cfRule type="cellIs" dxfId="2825" priority="21" operator="lessThan">
      <formula>98</formula>
    </cfRule>
  </conditionalFormatting>
  <conditionalFormatting sqref="I33:I46">
    <cfRule type="cellIs" dxfId="2824" priority="22" operator="lessThan">
      <formula>97.8</formula>
    </cfRule>
  </conditionalFormatting>
  <conditionalFormatting sqref="I79">
    <cfRule type="cellIs" dxfId="2823" priority="10" stopIfTrue="1" operator="lessThanOrEqual">
      <formula>0</formula>
    </cfRule>
    <cfRule type="cellIs" dxfId="2822" priority="8" stopIfTrue="1" operator="lessThanOrEqual">
      <formula>0</formula>
    </cfRule>
    <cfRule type="cellIs" dxfId="2821" priority="7" stopIfTrue="1" operator="greaterThan">
      <formula>$F$55</formula>
    </cfRule>
    <cfRule type="cellIs" dxfId="2820" priority="6" stopIfTrue="1" operator="lessThanOrEqual">
      <formula>0</formula>
    </cfRule>
    <cfRule type="cellIs" dxfId="2819" priority="5" stopIfTrue="1" operator="greaterThan">
      <formula>$F$53</formula>
    </cfRule>
    <cfRule type="cellIs" dxfId="2818" priority="9" stopIfTrue="1" operator="greaterThan">
      <formula>$F$53</formula>
    </cfRule>
  </conditionalFormatting>
  <conditionalFormatting sqref="I80">
    <cfRule type="cellIs" dxfId="2817" priority="98" stopIfTrue="1" operator="lessThanOrEqual">
      <formula>0</formula>
    </cfRule>
    <cfRule type="cellIs" dxfId="2816" priority="97" stopIfTrue="1" operator="greaterThan">
      <formula>$F$90</formula>
    </cfRule>
    <cfRule type="cellIs" dxfId="2815" priority="100" stopIfTrue="1" operator="lessThanOrEqual">
      <formula>0</formula>
    </cfRule>
    <cfRule type="cellIs" dxfId="2814" priority="99" stopIfTrue="1" operator="greaterThan">
      <formula>$F$88</formula>
    </cfRule>
    <cfRule type="cellIs" dxfId="2813" priority="95" stopIfTrue="1" operator="greaterThan">
      <formula>$F$88</formula>
    </cfRule>
    <cfRule type="cellIs" dxfId="2812" priority="96" stopIfTrue="1" operator="lessThanOrEqual">
      <formula>0</formula>
    </cfRule>
  </conditionalFormatting>
  <conditionalFormatting sqref="I81">
    <cfRule type="cellIs" dxfId="2811" priority="42" stopIfTrue="1" operator="greaterThan">
      <formula>$F$72</formula>
    </cfRule>
    <cfRule type="cellIs" dxfId="2810" priority="41" stopIfTrue="1" operator="lessThanOrEqual">
      <formula>0</formula>
    </cfRule>
    <cfRule type="cellIs" dxfId="2809" priority="40" stopIfTrue="1" operator="greaterThan">
      <formula>$F$74</formula>
    </cfRule>
    <cfRule type="cellIs" dxfId="2808" priority="39" stopIfTrue="1" operator="lessThanOrEqual">
      <formula>0</formula>
    </cfRule>
    <cfRule type="cellIs" dxfId="2807" priority="38" stopIfTrue="1" operator="greaterThan">
      <formula>$F$72</formula>
    </cfRule>
    <cfRule type="cellIs" dxfId="2806" priority="43" stopIfTrue="1" operator="lessThanOrEqual">
      <formula>0</formula>
    </cfRule>
  </conditionalFormatting>
  <conditionalFormatting sqref="I82">
    <cfRule type="cellIs" dxfId="2805" priority="78" stopIfTrue="1" operator="greaterThan">
      <formula>#REF!</formula>
    </cfRule>
    <cfRule type="cellIs" dxfId="2804" priority="81" stopIfTrue="1" operator="lessThanOrEqual">
      <formula>0</formula>
    </cfRule>
    <cfRule type="cellIs" dxfId="2803" priority="80" stopIfTrue="1" operator="greaterThan">
      <formula>#REF!</formula>
    </cfRule>
    <cfRule type="cellIs" dxfId="2802" priority="79" stopIfTrue="1" operator="lessThanOrEqual">
      <formula>0</formula>
    </cfRule>
  </conditionalFormatting>
  <conditionalFormatting sqref="I83:I84">
    <cfRule type="cellIs" dxfId="2801" priority="116" stopIfTrue="1" operator="greaterThan">
      <formula>$F$89</formula>
    </cfRule>
    <cfRule type="cellIs" dxfId="2800" priority="118" stopIfTrue="1" operator="greaterThan">
      <formula>$F$91</formula>
    </cfRule>
    <cfRule type="cellIs" dxfId="2799" priority="119" stopIfTrue="1" operator="lessThanOrEqual">
      <formula>0</formula>
    </cfRule>
    <cfRule type="cellIs" dxfId="2798" priority="120" stopIfTrue="1" operator="greaterThan">
      <formula>$F$89</formula>
    </cfRule>
    <cfRule type="cellIs" dxfId="2797" priority="121" stopIfTrue="1" operator="lessThanOrEqual">
      <formula>0</formula>
    </cfRule>
    <cfRule type="cellIs" dxfId="2796" priority="117" stopIfTrue="1" operator="lessThanOrEqual">
      <formula>0</formula>
    </cfRule>
  </conditionalFormatting>
  <conditionalFormatting sqref="I89:I97">
    <cfRule type="cellIs" dxfId="2795" priority="133" stopIfTrue="1" operator="greaterThan">
      <formula>$J89</formula>
    </cfRule>
    <cfRule type="cellIs" dxfId="2794" priority="134" stopIfTrue="1" operator="lessThanOrEqual">
      <formula>0</formula>
    </cfRule>
  </conditionalFormatting>
  <conditionalFormatting sqref="I100:I108">
    <cfRule type="cellIs" dxfId="2793" priority="174" stopIfTrue="1" operator="lessThanOrEqual">
      <formula>0</formula>
    </cfRule>
    <cfRule type="cellIs" dxfId="2792" priority="173" stopIfTrue="1" operator="greaterThan">
      <formula>4.5</formula>
    </cfRule>
  </conditionalFormatting>
  <conditionalFormatting sqref="J10:J14">
    <cfRule type="cellIs" dxfId="2791" priority="51" operator="notBetween">
      <formula>98</formula>
      <formula>99.9</formula>
    </cfRule>
  </conditionalFormatting>
  <conditionalFormatting sqref="J10:J47">
    <cfRule type="cellIs" dxfId="2790" priority="20" operator="lessThan">
      <formula>97.4</formula>
    </cfRule>
  </conditionalFormatting>
  <conditionalFormatting sqref="J33:J46">
    <cfRule type="cellIs" dxfId="2789" priority="24" operator="notBetween">
      <formula>98</formula>
      <formula>99.9</formula>
    </cfRule>
  </conditionalFormatting>
  <conditionalFormatting sqref="J50:J52">
    <cfRule type="cellIs" dxfId="2788" priority="107" stopIfTrue="1" operator="lessThan">
      <formula>96.8</formula>
    </cfRule>
    <cfRule type="cellIs" dxfId="2787" priority="108" stopIfTrue="1" operator="greaterThan">
      <formula>100</formula>
    </cfRule>
    <cfRule type="cellIs" dxfId="2786" priority="109" operator="lessThan">
      <formula>98</formula>
    </cfRule>
  </conditionalFormatting>
  <conditionalFormatting sqref="J50:J54">
    <cfRule type="cellIs" dxfId="2785" priority="48" operator="lessThan">
      <formula>97.4</formula>
    </cfRule>
  </conditionalFormatting>
  <conditionalFormatting sqref="J55 L59:M59 L61:M61">
    <cfRule type="cellIs" dxfId="2784" priority="110" operator="lessThan">
      <formula>98</formula>
    </cfRule>
  </conditionalFormatting>
  <conditionalFormatting sqref="J56:J57">
    <cfRule type="cellIs" dxfId="2783" priority="111" stopIfTrue="1" operator="lessThan">
      <formula>96.8</formula>
    </cfRule>
    <cfRule type="cellIs" dxfId="2782" priority="112" stopIfTrue="1" operator="greaterThan">
      <formula>100</formula>
    </cfRule>
  </conditionalFormatting>
  <conditionalFormatting sqref="J56:J58">
    <cfRule type="cellIs" dxfId="2781" priority="113" operator="lessThan">
      <formula>98</formula>
    </cfRule>
  </conditionalFormatting>
  <conditionalFormatting sqref="K10:K14">
    <cfRule type="cellIs" dxfId="2780" priority="50" operator="greaterThan">
      <formula>6.4</formula>
    </cfRule>
  </conditionalFormatting>
  <conditionalFormatting sqref="K10:K47">
    <cfRule type="cellIs" dxfId="2779" priority="16" operator="greaterThan">
      <formula>6</formula>
    </cfRule>
    <cfRule type="cellIs" dxfId="2778" priority="17" operator="lessThan">
      <formula>4</formula>
    </cfRule>
  </conditionalFormatting>
  <conditionalFormatting sqref="K33:K46">
    <cfRule type="cellIs" dxfId="2777" priority="23" operator="greaterThan">
      <formula>6.4</formula>
    </cfRule>
  </conditionalFormatting>
  <conditionalFormatting sqref="K64:K73">
    <cfRule type="cellIs" dxfId="2776" priority="141" operator="notEqual">
      <formula>#REF!</formula>
    </cfRule>
  </conditionalFormatting>
  <conditionalFormatting sqref="K79:K84 J85:K85 L89:N89 K90:N97">
    <cfRule type="cellIs" dxfId="2775" priority="152" stopIfTrue="1" operator="lessThan">
      <formula>100%</formula>
    </cfRule>
  </conditionalFormatting>
  <conditionalFormatting sqref="K100:K105">
    <cfRule type="cellIs" dxfId="2774" priority="179" stopIfTrue="1" operator="lessThan">
      <formula>100%</formula>
    </cfRule>
  </conditionalFormatting>
  <conditionalFormatting sqref="K107:K108">
    <cfRule type="cellIs" dxfId="2773" priority="186" stopIfTrue="1" operator="lessThan">
      <formula>100%</formula>
    </cfRule>
  </conditionalFormatting>
  <conditionalFormatting sqref="L10:L47">
    <cfRule type="cellIs" dxfId="2772" priority="18" operator="between">
      <formula>61</formula>
      <formula>65</formula>
    </cfRule>
    <cfRule type="cellIs" dxfId="2771" priority="19" operator="greaterThan">
      <formula>65</formula>
    </cfRule>
  </conditionalFormatting>
  <conditionalFormatting sqref="L52:L58">
    <cfRule type="cellIs" dxfId="2770" priority="88" operator="lessThan">
      <formula>98</formula>
    </cfRule>
  </conditionalFormatting>
  <conditionalFormatting sqref="L65:N65">
    <cfRule type="cellIs" dxfId="2769" priority="87" operator="notEqual">
      <formula>#REF!</formula>
    </cfRule>
  </conditionalFormatting>
  <conditionalFormatting sqref="L100:N108">
    <cfRule type="cellIs" dxfId="2768" priority="164" stopIfTrue="1" operator="lessThan">
      <formula>100%</formula>
    </cfRule>
  </conditionalFormatting>
  <conditionalFormatting sqref="M10:M11">
    <cfRule type="expression" dxfId="2767" priority="65">
      <formula>IF(+(IF(M10&lt;V23,0,IF(M10&gt;W23,0,1)))=0,1)</formula>
    </cfRule>
  </conditionalFormatting>
  <conditionalFormatting sqref="M13">
    <cfRule type="expression" dxfId="2766" priority="57">
      <formula>IF(+(IF(M13&lt;V52,0,IF(M13&gt;W52,0,1)))=0,1)</formula>
    </cfRule>
    <cfRule type="expression" dxfId="2765" priority="58">
      <formula>IF(+(IF(M13&lt;V47,0,IF(M13&gt;W47,0,1)))=0,1)</formula>
    </cfRule>
  </conditionalFormatting>
  <conditionalFormatting sqref="M14">
    <cfRule type="expression" dxfId="2764" priority="199">
      <formula>IF(+(IF(M14&lt;V27,0,IF(M14&gt;W27,0,1)))=0,1)</formula>
    </cfRule>
  </conditionalFormatting>
  <conditionalFormatting sqref="M15:M32">
    <cfRule type="expression" dxfId="2763" priority="210">
      <formula>IF(+(IF(M15&lt;V62,0,IF(M15&gt;W62,0,1)))=0,1)</formula>
    </cfRule>
  </conditionalFormatting>
  <conditionalFormatting sqref="M33:M46">
    <cfRule type="expression" dxfId="2762" priority="31">
      <formula>IF(+(IF(M33&lt;V48,0,IF(M33&gt;W48,0,1)))=0,1)</formula>
    </cfRule>
    <cfRule type="expression" dxfId="2761" priority="30">
      <formula>IF(+(IF(M33&lt;V53,0,IF(M33&gt;W53,0,1)))=0,1)</formula>
    </cfRule>
  </conditionalFormatting>
  <conditionalFormatting sqref="M50:M58">
    <cfRule type="cellIs" dxfId="2760" priority="86" operator="lessThan">
      <formula>98</formula>
    </cfRule>
  </conditionalFormatting>
  <conditionalFormatting sqref="M6:N6">
    <cfRule type="cellIs" dxfId="2759" priority="89" operator="greaterThanOrEqual">
      <formula>15</formula>
    </cfRule>
    <cfRule type="cellIs" dxfId="2758" priority="90" operator="greaterThanOrEqual">
      <formula>19</formula>
    </cfRule>
  </conditionalFormatting>
  <conditionalFormatting sqref="M10:N12">
    <cfRule type="expression" dxfId="2757" priority="66">
      <formula>IF(+(IF(M10&lt;#REF!,0,IF(M10&gt;#REF!,0,1)))=0,1)</formula>
    </cfRule>
  </conditionalFormatting>
  <conditionalFormatting sqref="M14:N14">
    <cfRule type="expression" dxfId="2756" priority="200">
      <formula>IF(+(IF(M14&lt;#REF!,0,IF(M14&gt;#REF!,0,1)))=0,1)</formula>
    </cfRule>
  </conditionalFormatting>
  <conditionalFormatting sqref="M47:N47">
    <cfRule type="expression" dxfId="2755" priority="194">
      <formula>IF(+(IF(M47&lt;#REF!,0,IF(M47&gt;#REF!,0,1)))=0,1)</formula>
    </cfRule>
  </conditionalFormatting>
  <conditionalFormatting sqref="N10:N11">
    <cfRule type="expression" dxfId="2754" priority="67">
      <formula>IF(+(IF(N10&lt;X23,0,IF(N10&gt;Y23,0,1)))=0,1)</formula>
    </cfRule>
  </conditionalFormatting>
  <conditionalFormatting sqref="N13">
    <cfRule type="expression" dxfId="2753" priority="60">
      <formula>IF(+(IF(N13&lt;X47,0,IF(N13&gt;Y47,0,1)))=0,1)</formula>
    </cfRule>
    <cfRule type="expression" dxfId="2752" priority="59">
      <formula>IF(+(IF(N13&lt;X52,0,IF(N13&gt;Y52,0,1)))=0,1)</formula>
    </cfRule>
  </conditionalFormatting>
  <conditionalFormatting sqref="N14">
    <cfRule type="expression" dxfId="2751" priority="203">
      <formula>IF(+(IF(N14&lt;X27,0,IF(N14&gt;Y27,0,1)))=0,1)</formula>
    </cfRule>
  </conditionalFormatting>
  <conditionalFormatting sqref="N15:N32">
    <cfRule type="expression" dxfId="2750" priority="211">
      <formula>IF(+(IF(N15&lt;X62,0,IF(N15&gt;Y62,0,1)))=0,1)</formula>
    </cfRule>
  </conditionalFormatting>
  <conditionalFormatting sqref="N33:N46">
    <cfRule type="expression" dxfId="2749" priority="32">
      <formula>IF(+(IF(N33&lt;X53,0,IF(N33&gt;Y53,0,1)))=0,1)</formula>
    </cfRule>
    <cfRule type="expression" dxfId="2748" priority="33">
      <formula>IF(+(IF(N33&lt;X48,0,IF(N33&gt;Y48,0,1)))=0,1)</formula>
    </cfRule>
  </conditionalFormatting>
  <conditionalFormatting sqref="P6">
    <cfRule type="cellIs" dxfId="2747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C60E-6E06-427E-833E-D53815070814}">
  <dimension ref="A1:BD91"/>
  <sheetViews>
    <sheetView topLeftCell="A48" zoomScale="80" zoomScaleNormal="80" workbookViewId="0">
      <selection activeCell="K69" sqref="K69"/>
    </sheetView>
  </sheetViews>
  <sheetFormatPr defaultColWidth="9.44140625" defaultRowHeight="13.8"/>
  <cols>
    <col min="1" max="1" width="3.44140625" style="276" customWidth="1"/>
    <col min="2" max="2" width="23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4.6640625" style="276" customWidth="1"/>
    <col min="10" max="10" width="25.109375" style="276" customWidth="1"/>
    <col min="11" max="11" width="18.5546875" style="276" customWidth="1"/>
    <col min="12" max="12" width="15.6640625" style="276" customWidth="1"/>
    <col min="13" max="13" width="17.5546875" style="276" customWidth="1"/>
    <col min="14" max="14" width="10.6640625" style="276" customWidth="1"/>
    <col min="15" max="15" width="14.5546875" style="276" customWidth="1"/>
    <col min="16" max="16" width="36.5546875" style="6" customWidth="1"/>
    <col min="17" max="17" width="16.5546875" style="276" customWidth="1"/>
    <col min="18" max="18" width="15.6640625" style="276" bestFit="1" customWidth="1"/>
    <col min="19" max="19" width="12.44140625" style="276" customWidth="1"/>
    <col min="20" max="20" width="15" style="276" customWidth="1"/>
    <col min="21" max="21" width="12" style="276" customWidth="1"/>
    <col min="22" max="22" width="10.44140625" style="276" customWidth="1"/>
    <col min="23" max="23" width="11.44140625" style="276" customWidth="1"/>
    <col min="24" max="24" width="10.44140625" style="276" customWidth="1"/>
    <col min="25" max="25" width="8.44140625" style="276" customWidth="1"/>
    <col min="26" max="26" width="9.5546875" style="276" customWidth="1"/>
    <col min="27" max="27" width="8.44140625" style="276" customWidth="1"/>
    <col min="28" max="29" width="7.5546875" style="276" customWidth="1"/>
    <col min="30" max="51" width="9.44140625" style="276"/>
    <col min="52" max="52" width="1.5546875" style="276" customWidth="1"/>
    <col min="53" max="54" width="9.44140625" style="276"/>
    <col min="55" max="56" width="15.44140625" style="276" customWidth="1"/>
    <col min="57" max="16384" width="9.44140625" style="276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13"/>
      <c r="S1" s="641" t="s">
        <v>0</v>
      </c>
      <c r="T1" s="641"/>
      <c r="U1" s="641" t="s">
        <v>1</v>
      </c>
      <c r="V1" s="641"/>
      <c r="W1" s="641" t="s">
        <v>2</v>
      </c>
      <c r="X1" s="641"/>
      <c r="Y1" s="641" t="s">
        <v>124</v>
      </c>
      <c r="Z1" s="641"/>
    </row>
    <row r="2" spans="2:29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R2" s="413"/>
      <c r="S2" s="413" t="s">
        <v>4</v>
      </c>
      <c r="T2" s="413" t="s">
        <v>5</v>
      </c>
      <c r="U2" s="413" t="s">
        <v>4</v>
      </c>
      <c r="V2" s="413" t="s">
        <v>5</v>
      </c>
      <c r="W2" s="413" t="s">
        <v>4</v>
      </c>
      <c r="X2" s="413" t="s">
        <v>5</v>
      </c>
      <c r="Y2" s="413" t="s">
        <v>4</v>
      </c>
      <c r="Z2" s="413" t="s">
        <v>5</v>
      </c>
    </row>
    <row r="3" spans="2:29" ht="14.25" customHeight="1">
      <c r="B3" s="5"/>
      <c r="R3" s="413" t="s">
        <v>6</v>
      </c>
      <c r="S3" s="414">
        <v>11.6</v>
      </c>
      <c r="T3" s="415">
        <v>12</v>
      </c>
      <c r="U3" s="9">
        <v>0</v>
      </c>
      <c r="V3" s="10">
        <v>0.118055555555556</v>
      </c>
      <c r="W3" s="397">
        <v>0.22569444444444445</v>
      </c>
      <c r="X3" s="397">
        <v>0.2638888888888889</v>
      </c>
      <c r="Y3" s="416">
        <v>0</v>
      </c>
      <c r="Z3" s="414">
        <v>60</v>
      </c>
    </row>
    <row r="4" spans="2:29" ht="30.75" customHeight="1">
      <c r="B4" s="302" t="s">
        <v>133</v>
      </c>
      <c r="C4" s="545">
        <v>45660</v>
      </c>
      <c r="D4" s="545"/>
      <c r="J4" s="546" t="s">
        <v>153</v>
      </c>
      <c r="K4" s="546"/>
      <c r="L4" s="11"/>
      <c r="M4" s="548" t="s">
        <v>8</v>
      </c>
      <c r="N4" s="549"/>
      <c r="P4" s="12"/>
      <c r="R4" s="413" t="s">
        <v>9</v>
      </c>
      <c r="S4" s="414">
        <v>11.6</v>
      </c>
      <c r="T4" s="415">
        <v>12</v>
      </c>
      <c r="U4" s="9">
        <v>0</v>
      </c>
      <c r="V4" s="10">
        <v>0.118055555555556</v>
      </c>
      <c r="W4" s="397">
        <v>0.22569444444444445</v>
      </c>
      <c r="X4" s="397">
        <v>0.2638888888888889</v>
      </c>
      <c r="Y4" s="416">
        <v>0</v>
      </c>
      <c r="Z4" s="414">
        <v>60</v>
      </c>
      <c r="AA4" s="13"/>
      <c r="AB4" s="13"/>
      <c r="AC4" s="13"/>
    </row>
    <row r="5" spans="2:29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R5" s="413" t="s">
        <v>12</v>
      </c>
      <c r="S5" s="414">
        <v>17</v>
      </c>
      <c r="T5" s="415">
        <v>17.5</v>
      </c>
      <c r="U5" s="9">
        <v>0</v>
      </c>
      <c r="V5" s="10">
        <v>0.1076388888888889</v>
      </c>
      <c r="W5" s="397">
        <v>0.24652777777777779</v>
      </c>
      <c r="X5" s="397">
        <v>0.28472222222222221</v>
      </c>
      <c r="Y5" s="416">
        <v>0</v>
      </c>
      <c r="Z5" s="417">
        <v>60</v>
      </c>
      <c r="AA5" s="13"/>
      <c r="AB5" s="13"/>
      <c r="AC5" s="13"/>
    </row>
    <row r="6" spans="2:29" ht="14.25" customHeight="1">
      <c r="B6" s="15"/>
      <c r="C6" s="1"/>
      <c r="D6" s="1"/>
      <c r="J6" s="554" t="s">
        <v>175</v>
      </c>
      <c r="K6" s="555"/>
      <c r="L6" s="312" t="s">
        <v>14</v>
      </c>
      <c r="M6" s="341"/>
      <c r="N6" s="341"/>
      <c r="P6" s="16"/>
      <c r="R6" s="413" t="s">
        <v>15</v>
      </c>
      <c r="S6" s="414">
        <v>13.3</v>
      </c>
      <c r="T6" s="415">
        <v>13.5</v>
      </c>
      <c r="U6" s="9">
        <v>0</v>
      </c>
      <c r="V6" s="9">
        <v>0.12905092592592593</v>
      </c>
      <c r="W6" s="397">
        <v>0.27430555555555552</v>
      </c>
      <c r="X6" s="397">
        <v>0.30208333333333331</v>
      </c>
      <c r="Y6" s="416">
        <v>0</v>
      </c>
      <c r="Z6" s="417"/>
      <c r="AA6" s="13"/>
      <c r="AB6" s="13"/>
      <c r="AC6" s="13"/>
    </row>
    <row r="7" spans="2:29" ht="13.35" customHeight="1" thickBot="1">
      <c r="J7" s="556"/>
      <c r="K7" s="557"/>
      <c r="R7" s="413" t="s">
        <v>16</v>
      </c>
      <c r="S7" s="414">
        <v>17.100000000000001</v>
      </c>
      <c r="T7" s="415">
        <v>17.5</v>
      </c>
      <c r="U7" s="9">
        <v>0</v>
      </c>
      <c r="V7" s="9">
        <v>0.13605324074074074</v>
      </c>
      <c r="W7" s="397">
        <v>0.27430555555555552</v>
      </c>
      <c r="X7" s="397">
        <v>0.30902777777777779</v>
      </c>
      <c r="Y7" s="416">
        <v>0</v>
      </c>
      <c r="Z7" s="417">
        <v>60</v>
      </c>
      <c r="AA7" s="13"/>
      <c r="AB7" s="13"/>
      <c r="AC7" s="13"/>
    </row>
    <row r="8" spans="2:29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639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18"/>
      <c r="R8" s="413" t="s">
        <v>125</v>
      </c>
      <c r="S8" s="414">
        <v>16.600000000000001</v>
      </c>
      <c r="T8" s="415">
        <v>17</v>
      </c>
      <c r="U8" s="9">
        <v>0</v>
      </c>
      <c r="V8" s="9">
        <v>0.12905092592592593</v>
      </c>
      <c r="W8" s="397">
        <v>0.27430555555555552</v>
      </c>
      <c r="X8" s="397">
        <v>0.30208333333333331</v>
      </c>
      <c r="Y8" s="416">
        <v>0</v>
      </c>
      <c r="Z8" s="417"/>
      <c r="AA8" s="19"/>
    </row>
    <row r="9" spans="2:29" ht="36.75" customHeight="1">
      <c r="B9" s="559"/>
      <c r="C9" s="561"/>
      <c r="D9" s="561"/>
      <c r="E9" s="358" t="s">
        <v>30</v>
      </c>
      <c r="F9" s="358" t="s">
        <v>31</v>
      </c>
      <c r="G9" s="561"/>
      <c r="H9" s="640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18"/>
      <c r="R9" s="413" t="s">
        <v>33</v>
      </c>
      <c r="S9" s="414">
        <v>14.4</v>
      </c>
      <c r="T9" s="415">
        <v>14.6</v>
      </c>
      <c r="U9" s="9">
        <v>0</v>
      </c>
      <c r="V9" s="9">
        <v>0.13905092592592591</v>
      </c>
      <c r="W9" s="397">
        <v>0.26041666666666669</v>
      </c>
      <c r="X9" s="397">
        <v>0.2951388888888889</v>
      </c>
      <c r="Y9" s="416">
        <v>0</v>
      </c>
      <c r="Z9" s="417">
        <v>75</v>
      </c>
      <c r="AA9" s="19"/>
    </row>
    <row r="10" spans="2:29" ht="14.4">
      <c r="B10" s="418" t="s">
        <v>9</v>
      </c>
      <c r="C10" s="367" t="str">
        <f>[22]Brewhouse!$A15</f>
        <v>ST001</v>
      </c>
      <c r="D10" s="280">
        <f>[22]Brewhouse!$AD15</f>
        <v>53.3</v>
      </c>
      <c r="E10" s="280">
        <f>[22]Brewhouse!$AG15</f>
        <v>49.8</v>
      </c>
      <c r="F10" s="279">
        <f>[22]Brewhouse!$V15</f>
        <v>71</v>
      </c>
      <c r="G10" s="280">
        <f>[22]Brewhouse!$AE15</f>
        <v>11.6</v>
      </c>
      <c r="H10" s="419">
        <v>11.7</v>
      </c>
      <c r="I10" s="369">
        <f>[22]Brewhouse!$AS15</f>
        <v>93.952909228354414</v>
      </c>
      <c r="J10" s="369">
        <f>[22]Brewhouse!$AT15</f>
        <v>97.220197168337876</v>
      </c>
      <c r="K10" s="282">
        <f>[22]Brewhouse!$Q15</f>
        <v>5.4945054945054945</v>
      </c>
      <c r="L10" s="277">
        <f>[22]Brewhouse!$P15</f>
        <v>63</v>
      </c>
      <c r="M10" s="420">
        <f>[22]Brewhouse!$U15-[22]Brewhouse!$T15</f>
        <v>0.12013888888888891</v>
      </c>
      <c r="N10" s="371">
        <f>[22]Brewhouse!$AW15</f>
        <v>0.28611111111111115</v>
      </c>
      <c r="O10" s="372" t="str">
        <f>[22]Brewhouse!$AV15</f>
        <v>k.Benjamin</v>
      </c>
      <c r="P10" s="370"/>
      <c r="R10" s="278" t="str">
        <f t="shared" ref="R10:R43" si="0">B10</f>
        <v>STAG</v>
      </c>
      <c r="S10" s="421">
        <f t="shared" ref="S10:S43" si="1">VLOOKUP($B10,$R$3:$X$9,2,FALSE)</f>
        <v>11.6</v>
      </c>
      <c r="T10" s="421">
        <f t="shared" ref="T10:T43" si="2">VLOOKUP($B10,$R$3:$X$9,3,FALSE)</f>
        <v>12</v>
      </c>
      <c r="U10" s="298">
        <f t="shared" ref="U10:U43" si="3">VLOOKUP($B10,$R$3:$X$9,4,FALSE)</f>
        <v>0</v>
      </c>
      <c r="V10" s="298">
        <f t="shared" ref="V10:V43" si="4">VLOOKUP($B10,$R$3:$X$9,5,FALSE)</f>
        <v>0.118055555555556</v>
      </c>
      <c r="W10" s="298">
        <f t="shared" ref="W10:W43" si="5">VLOOKUP($B10,$R$3:$X$9,6,FALSE)</f>
        <v>0.22569444444444445</v>
      </c>
      <c r="X10" s="298">
        <f t="shared" ref="X10:X43" si="6">VLOOKUP($B10,$R$3:$X$9,7,FALSE)</f>
        <v>0.2638888888888889</v>
      </c>
      <c r="Y10" s="298">
        <f t="shared" ref="Y10:Y43" si="7">VLOOKUP($B10,$R$3:$Z$9,8,FALSE)</f>
        <v>0</v>
      </c>
      <c r="Z10" s="417">
        <f t="shared" ref="Z10:Z43" si="8">VLOOKUP($B10,$R$3:$Z$9,9,FALSE)</f>
        <v>60</v>
      </c>
    </row>
    <row r="11" spans="2:29" ht="14.4">
      <c r="B11" s="418" t="s">
        <v>9</v>
      </c>
      <c r="C11" s="367" t="str">
        <f>[22]Brewhouse!$A16</f>
        <v>ST002</v>
      </c>
      <c r="D11" s="280">
        <f>[22]Brewhouse!$AD16</f>
        <v>53.4</v>
      </c>
      <c r="E11" s="280">
        <f>[22]Brewhouse!$AG16</f>
        <v>50.2</v>
      </c>
      <c r="F11" s="279">
        <f>[22]Brewhouse!$V16</f>
        <v>60</v>
      </c>
      <c r="G11" s="280">
        <f>[22]Brewhouse!$AE16</f>
        <v>11.8</v>
      </c>
      <c r="H11" s="419">
        <v>11.9</v>
      </c>
      <c r="I11" s="369">
        <f>[22]Brewhouse!$AS16</f>
        <v>96.305388330846725</v>
      </c>
      <c r="J11" s="369">
        <f>[22]Brewhouse!$AT16</f>
        <v>99.655577680218755</v>
      </c>
      <c r="K11" s="282">
        <f>[22]Brewhouse!$Q16</f>
        <v>6.6176470588235201</v>
      </c>
      <c r="L11" s="277">
        <f>[22]Brewhouse!$P16</f>
        <v>60</v>
      </c>
      <c r="M11" s="420">
        <f>[22]Brewhouse!$U16-[22]Brewhouse!$T16</f>
        <v>7.1527777777777857E-2</v>
      </c>
      <c r="N11" s="371">
        <f>[22]Brewhouse!$AW16</f>
        <v>0.21875000000000006</v>
      </c>
      <c r="O11" s="372" t="str">
        <f>[22]Brewhouse!$AV16</f>
        <v>k.Benjamin</v>
      </c>
      <c r="P11" s="370"/>
      <c r="R11" s="278" t="str">
        <f t="shared" si="0"/>
        <v>STAG</v>
      </c>
      <c r="S11" s="421">
        <f t="shared" si="1"/>
        <v>11.6</v>
      </c>
      <c r="T11" s="421">
        <f t="shared" si="2"/>
        <v>12</v>
      </c>
      <c r="U11" s="298">
        <f t="shared" si="3"/>
        <v>0</v>
      </c>
      <c r="V11" s="298">
        <f t="shared" si="4"/>
        <v>0.118055555555556</v>
      </c>
      <c r="W11" s="298">
        <f t="shared" si="5"/>
        <v>0.22569444444444445</v>
      </c>
      <c r="X11" s="298">
        <f t="shared" si="6"/>
        <v>0.2638888888888889</v>
      </c>
      <c r="Y11" s="298">
        <f t="shared" si="7"/>
        <v>0</v>
      </c>
      <c r="Z11" s="417">
        <f t="shared" si="8"/>
        <v>60</v>
      </c>
    </row>
    <row r="12" spans="2:29" ht="14.4">
      <c r="B12" s="418" t="s">
        <v>9</v>
      </c>
      <c r="C12" s="367" t="str">
        <f>[22]Brewhouse!$A17</f>
        <v>ST003</v>
      </c>
      <c r="D12" s="280">
        <f>[22]Brewhouse!$AD17</f>
        <v>53.8</v>
      </c>
      <c r="E12" s="280">
        <f>[22]Brewhouse!$AG17</f>
        <v>50.6</v>
      </c>
      <c r="F12" s="279">
        <f>[22]Brewhouse!$V17</f>
        <v>56</v>
      </c>
      <c r="G12" s="280">
        <f>[22]Brewhouse!$AE17</f>
        <v>11.8</v>
      </c>
      <c r="H12" s="419">
        <v>11.8</v>
      </c>
      <c r="I12" s="369">
        <f>[22]Brewhouse!$AS17</f>
        <v>97.317556311342841</v>
      </c>
      <c r="J12" s="369">
        <f>[22]Brewhouse!$AT17</f>
        <v>100.70074626451651</v>
      </c>
      <c r="K12" s="282">
        <f>[22]Brewhouse!$Q17</f>
        <v>5.3604436229205144</v>
      </c>
      <c r="L12" s="277">
        <f>[22]Brewhouse!$P17</f>
        <v>61</v>
      </c>
      <c r="M12" s="420">
        <f>[22]Brewhouse!$U17-[22]Brewhouse!$T17</f>
        <v>0.10972222222222217</v>
      </c>
      <c r="N12" s="371">
        <f>[22]Brewhouse!$AW17</f>
        <v>0.25138888888888888</v>
      </c>
      <c r="O12" s="372" t="str">
        <f>[22]Brewhouse!$AV17</f>
        <v>R.Regis</v>
      </c>
      <c r="P12" s="370"/>
      <c r="R12" s="278" t="str">
        <f t="shared" si="0"/>
        <v>STAG</v>
      </c>
      <c r="S12" s="421">
        <f t="shared" si="1"/>
        <v>11.6</v>
      </c>
      <c r="T12" s="421">
        <f t="shared" si="2"/>
        <v>12</v>
      </c>
      <c r="U12" s="298">
        <f t="shared" si="3"/>
        <v>0</v>
      </c>
      <c r="V12" s="298">
        <f t="shared" si="4"/>
        <v>0.118055555555556</v>
      </c>
      <c r="W12" s="298">
        <f t="shared" si="5"/>
        <v>0.22569444444444445</v>
      </c>
      <c r="X12" s="298">
        <f t="shared" si="6"/>
        <v>0.2638888888888889</v>
      </c>
      <c r="Y12" s="298">
        <f t="shared" si="7"/>
        <v>0</v>
      </c>
      <c r="Z12" s="417">
        <f t="shared" si="8"/>
        <v>60</v>
      </c>
    </row>
    <row r="13" spans="2:29" ht="14.4">
      <c r="B13" s="418" t="s">
        <v>9</v>
      </c>
      <c r="C13" s="367" t="str">
        <f>[22]Brewhouse!$A18</f>
        <v>ST004</v>
      </c>
      <c r="D13" s="280">
        <f>[22]Brewhouse!$AD18</f>
        <v>53.5</v>
      </c>
      <c r="E13" s="280">
        <f>[22]Brewhouse!$AG18</f>
        <v>50.3</v>
      </c>
      <c r="F13" s="279">
        <f>[22]Brewhouse!$V18</f>
        <v>63</v>
      </c>
      <c r="G13" s="280">
        <f>[22]Brewhouse!$AE18</f>
        <v>11.8</v>
      </c>
      <c r="H13" s="419">
        <v>11.8</v>
      </c>
      <c r="I13" s="369">
        <f>[22]Brewhouse!$AS18</f>
        <v>96.740574752184699</v>
      </c>
      <c r="J13" s="369">
        <f>[22]Brewhouse!$AT18</f>
        <v>100.10370626690079</v>
      </c>
      <c r="K13" s="282">
        <f>[22]Brewhouse!$Q18</f>
        <v>6.2615101289134421</v>
      </c>
      <c r="L13" s="277">
        <f>[22]Brewhouse!$P18</f>
        <v>60</v>
      </c>
      <c r="M13" s="420">
        <f>[22]Brewhouse!$U18-[22]Brewhouse!$T18</f>
        <v>0.11597222222222214</v>
      </c>
      <c r="N13" s="371">
        <f>[22]Brewhouse!$AW18</f>
        <v>0.27777777777777768</v>
      </c>
      <c r="O13" s="372" t="str">
        <f>[22]Brewhouse!$AV18</f>
        <v>R.Regis</v>
      </c>
      <c r="P13" s="370"/>
      <c r="R13" s="278" t="str">
        <f t="shared" si="0"/>
        <v>STAG</v>
      </c>
      <c r="S13" s="421">
        <f t="shared" si="1"/>
        <v>11.6</v>
      </c>
      <c r="T13" s="421">
        <f t="shared" si="2"/>
        <v>12</v>
      </c>
      <c r="U13" s="298">
        <f t="shared" si="3"/>
        <v>0</v>
      </c>
      <c r="V13" s="298">
        <f t="shared" si="4"/>
        <v>0.118055555555556</v>
      </c>
      <c r="W13" s="298">
        <f t="shared" si="5"/>
        <v>0.22569444444444445</v>
      </c>
      <c r="X13" s="298">
        <f t="shared" si="6"/>
        <v>0.2638888888888889</v>
      </c>
      <c r="Y13" s="298">
        <f t="shared" si="7"/>
        <v>0</v>
      </c>
      <c r="Z13" s="417">
        <f t="shared" si="8"/>
        <v>60</v>
      </c>
    </row>
    <row r="14" spans="2:29" ht="14.4">
      <c r="B14" s="418" t="s">
        <v>9</v>
      </c>
      <c r="C14" s="367" t="str">
        <f>[22]Brewhouse!$A19</f>
        <v>ST005</v>
      </c>
      <c r="D14" s="280">
        <f>[22]Brewhouse!$AD19</f>
        <v>52.5</v>
      </c>
      <c r="E14" s="280">
        <f>[22]Brewhouse!$AG19</f>
        <v>49.3</v>
      </c>
      <c r="F14" s="279">
        <f>[22]Brewhouse!$V19</f>
        <v>59</v>
      </c>
      <c r="G14" s="280">
        <f>[22]Brewhouse!$AE19</f>
        <v>11.9</v>
      </c>
      <c r="H14" s="419"/>
      <c r="I14" s="369">
        <f>[22]Brewhouse!$AS19</f>
        <v>95.662513854103381</v>
      </c>
      <c r="J14" s="369">
        <f>[22]Brewhouse!$AT19</f>
        <v>98.988167189778196</v>
      </c>
      <c r="K14" s="282">
        <f>[22]Brewhouse!$Q19</f>
        <v>5.9369202226345008</v>
      </c>
      <c r="L14" s="277">
        <f>[22]Brewhouse!$P19</f>
        <v>59</v>
      </c>
      <c r="M14" s="420">
        <f>[22]Brewhouse!$U19-[22]Brewhouse!$T19</f>
        <v>0.11111111111111116</v>
      </c>
      <c r="N14" s="371">
        <f>[22]Brewhouse!$AW19</f>
        <v>0.30555555555555558</v>
      </c>
      <c r="O14" s="372" t="str">
        <f>[22]Brewhouse!$AV19</f>
        <v>R.Sookram</v>
      </c>
      <c r="P14" s="370"/>
      <c r="R14" s="278" t="str">
        <f t="shared" si="0"/>
        <v>STAG</v>
      </c>
      <c r="S14" s="421">
        <f t="shared" si="1"/>
        <v>11.6</v>
      </c>
      <c r="T14" s="421">
        <f t="shared" si="2"/>
        <v>12</v>
      </c>
      <c r="U14" s="298">
        <f t="shared" si="3"/>
        <v>0</v>
      </c>
      <c r="V14" s="298">
        <f t="shared" si="4"/>
        <v>0.118055555555556</v>
      </c>
      <c r="W14" s="298">
        <f t="shared" si="5"/>
        <v>0.22569444444444445</v>
      </c>
      <c r="X14" s="298">
        <f t="shared" si="6"/>
        <v>0.2638888888888889</v>
      </c>
      <c r="Y14" s="298">
        <f t="shared" si="7"/>
        <v>0</v>
      </c>
      <c r="Z14" s="417">
        <f t="shared" si="8"/>
        <v>60</v>
      </c>
    </row>
    <row r="15" spans="2:29" ht="14.4">
      <c r="B15" s="418"/>
      <c r="C15" s="367"/>
      <c r="D15" s="280"/>
      <c r="E15" s="280"/>
      <c r="F15" s="279"/>
      <c r="G15" s="280"/>
      <c r="H15" s="419"/>
      <c r="I15" s="369"/>
      <c r="J15" s="369"/>
      <c r="K15" s="282"/>
      <c r="L15" s="277"/>
      <c r="M15" s="420"/>
      <c r="N15" s="371"/>
      <c r="O15" s="372"/>
      <c r="P15" s="370"/>
      <c r="R15" s="278">
        <f t="shared" si="0"/>
        <v>0</v>
      </c>
      <c r="S15" s="421" t="e">
        <f t="shared" si="1"/>
        <v>#N/A</v>
      </c>
      <c r="T15" s="421" t="e">
        <f t="shared" si="2"/>
        <v>#N/A</v>
      </c>
      <c r="U15" s="298" t="e">
        <f t="shared" si="3"/>
        <v>#N/A</v>
      </c>
      <c r="V15" s="298" t="e">
        <f t="shared" si="4"/>
        <v>#N/A</v>
      </c>
      <c r="W15" s="298" t="e">
        <f t="shared" si="5"/>
        <v>#N/A</v>
      </c>
      <c r="X15" s="298" t="e">
        <f t="shared" si="6"/>
        <v>#N/A</v>
      </c>
      <c r="Y15" s="298" t="e">
        <f t="shared" si="7"/>
        <v>#N/A</v>
      </c>
      <c r="Z15" s="417" t="e">
        <f t="shared" si="8"/>
        <v>#N/A</v>
      </c>
    </row>
    <row r="16" spans="2:29" ht="14.4">
      <c r="B16" s="418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0"/>
      <c r="R16" s="278">
        <f t="shared" si="0"/>
        <v>0</v>
      </c>
      <c r="S16" s="421" t="e">
        <f t="shared" si="1"/>
        <v>#N/A</v>
      </c>
      <c r="T16" s="421" t="e">
        <f t="shared" si="2"/>
        <v>#N/A</v>
      </c>
      <c r="U16" s="298" t="e">
        <f t="shared" si="3"/>
        <v>#N/A</v>
      </c>
      <c r="V16" s="298" t="e">
        <f t="shared" si="4"/>
        <v>#N/A</v>
      </c>
      <c r="W16" s="298" t="e">
        <f t="shared" si="5"/>
        <v>#N/A</v>
      </c>
      <c r="X16" s="298" t="e">
        <f t="shared" si="6"/>
        <v>#N/A</v>
      </c>
      <c r="Y16" s="298" t="e">
        <f t="shared" si="7"/>
        <v>#N/A</v>
      </c>
      <c r="Z16" s="417" t="e">
        <f t="shared" si="8"/>
        <v>#N/A</v>
      </c>
    </row>
    <row r="17" spans="2:26" ht="14.4">
      <c r="B17" s="418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0"/>
      <c r="R17" s="278">
        <f t="shared" si="0"/>
        <v>0</v>
      </c>
      <c r="S17" s="421" t="e">
        <f t="shared" si="1"/>
        <v>#N/A</v>
      </c>
      <c r="T17" s="421" t="e">
        <f t="shared" si="2"/>
        <v>#N/A</v>
      </c>
      <c r="U17" s="298" t="e">
        <f t="shared" si="3"/>
        <v>#N/A</v>
      </c>
      <c r="V17" s="298" t="e">
        <f t="shared" si="4"/>
        <v>#N/A</v>
      </c>
      <c r="W17" s="298" t="e">
        <f t="shared" si="5"/>
        <v>#N/A</v>
      </c>
      <c r="X17" s="298" t="e">
        <f t="shared" si="6"/>
        <v>#N/A</v>
      </c>
      <c r="Y17" s="298" t="e">
        <f t="shared" si="7"/>
        <v>#N/A</v>
      </c>
      <c r="Z17" s="417" t="e">
        <f t="shared" si="8"/>
        <v>#N/A</v>
      </c>
    </row>
    <row r="18" spans="2:26" ht="15" thickBot="1">
      <c r="B18" s="418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R18" s="278">
        <f t="shared" si="0"/>
        <v>0</v>
      </c>
      <c r="S18" s="421" t="e">
        <f t="shared" si="1"/>
        <v>#N/A</v>
      </c>
      <c r="T18" s="421" t="e">
        <f t="shared" si="2"/>
        <v>#N/A</v>
      </c>
      <c r="U18" s="298" t="e">
        <f t="shared" si="3"/>
        <v>#N/A</v>
      </c>
      <c r="V18" s="298" t="e">
        <f t="shared" si="4"/>
        <v>#N/A</v>
      </c>
      <c r="W18" s="298" t="e">
        <f t="shared" si="5"/>
        <v>#N/A</v>
      </c>
      <c r="X18" s="298" t="e">
        <f t="shared" si="6"/>
        <v>#N/A</v>
      </c>
      <c r="Y18" s="298" t="e">
        <f t="shared" si="7"/>
        <v>#N/A</v>
      </c>
      <c r="Z18" s="417" t="e">
        <f t="shared" si="8"/>
        <v>#N/A</v>
      </c>
    </row>
    <row r="19" spans="2:26" ht="14.4" hidden="1">
      <c r="B19" s="418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R19" s="278">
        <f t="shared" si="0"/>
        <v>0</v>
      </c>
      <c r="S19" s="421" t="e">
        <f t="shared" si="1"/>
        <v>#N/A</v>
      </c>
      <c r="T19" s="421" t="e">
        <f t="shared" si="2"/>
        <v>#N/A</v>
      </c>
      <c r="U19" s="298" t="e">
        <f t="shared" si="3"/>
        <v>#N/A</v>
      </c>
      <c r="V19" s="298" t="e">
        <f t="shared" si="4"/>
        <v>#N/A</v>
      </c>
      <c r="W19" s="298" t="e">
        <f t="shared" si="5"/>
        <v>#N/A</v>
      </c>
      <c r="X19" s="298" t="e">
        <f t="shared" si="6"/>
        <v>#N/A</v>
      </c>
      <c r="Y19" s="298" t="e">
        <f t="shared" si="7"/>
        <v>#N/A</v>
      </c>
      <c r="Z19" s="417" t="e">
        <f t="shared" si="8"/>
        <v>#N/A</v>
      </c>
    </row>
    <row r="20" spans="2:26" ht="14.4" hidden="1">
      <c r="B20" s="418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R20" s="278">
        <f t="shared" si="0"/>
        <v>0</v>
      </c>
      <c r="S20" s="421" t="e">
        <f t="shared" si="1"/>
        <v>#N/A</v>
      </c>
      <c r="T20" s="421" t="e">
        <f t="shared" si="2"/>
        <v>#N/A</v>
      </c>
      <c r="U20" s="298" t="e">
        <f t="shared" si="3"/>
        <v>#N/A</v>
      </c>
      <c r="V20" s="298" t="e">
        <f t="shared" si="4"/>
        <v>#N/A</v>
      </c>
      <c r="W20" s="298" t="e">
        <f t="shared" si="5"/>
        <v>#N/A</v>
      </c>
      <c r="X20" s="298" t="e">
        <f t="shared" si="6"/>
        <v>#N/A</v>
      </c>
      <c r="Y20" s="298" t="e">
        <f t="shared" si="7"/>
        <v>#N/A</v>
      </c>
      <c r="Z20" s="417" t="e">
        <f t="shared" si="8"/>
        <v>#N/A</v>
      </c>
    </row>
    <row r="21" spans="2:26" ht="14.4" hidden="1">
      <c r="B21" s="418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0"/>
      <c r="R21" s="278">
        <f t="shared" si="0"/>
        <v>0</v>
      </c>
      <c r="S21" s="421" t="e">
        <f t="shared" si="1"/>
        <v>#N/A</v>
      </c>
      <c r="T21" s="421" t="e">
        <f t="shared" si="2"/>
        <v>#N/A</v>
      </c>
      <c r="U21" s="298" t="e">
        <f t="shared" si="3"/>
        <v>#N/A</v>
      </c>
      <c r="V21" s="298" t="e">
        <f t="shared" si="4"/>
        <v>#N/A</v>
      </c>
      <c r="W21" s="298" t="e">
        <f t="shared" si="5"/>
        <v>#N/A</v>
      </c>
      <c r="X21" s="298" t="e">
        <f t="shared" si="6"/>
        <v>#N/A</v>
      </c>
      <c r="Y21" s="298" t="e">
        <f t="shared" si="7"/>
        <v>#N/A</v>
      </c>
      <c r="Z21" s="417" t="e">
        <f t="shared" si="8"/>
        <v>#N/A</v>
      </c>
    </row>
    <row r="22" spans="2:26" ht="14.4" hidden="1">
      <c r="B22" s="418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0"/>
      <c r="R22" s="278">
        <f t="shared" si="0"/>
        <v>0</v>
      </c>
      <c r="S22" s="421" t="e">
        <f t="shared" si="1"/>
        <v>#N/A</v>
      </c>
      <c r="T22" s="421" t="e">
        <f t="shared" si="2"/>
        <v>#N/A</v>
      </c>
      <c r="U22" s="298" t="e">
        <f t="shared" si="3"/>
        <v>#N/A</v>
      </c>
      <c r="V22" s="298" t="e">
        <f t="shared" si="4"/>
        <v>#N/A</v>
      </c>
      <c r="W22" s="298" t="e">
        <f t="shared" si="5"/>
        <v>#N/A</v>
      </c>
      <c r="X22" s="298" t="e">
        <f t="shared" si="6"/>
        <v>#N/A</v>
      </c>
      <c r="Y22" s="298" t="e">
        <f t="shared" si="7"/>
        <v>#N/A</v>
      </c>
      <c r="Z22" s="417" t="e">
        <f t="shared" si="8"/>
        <v>#N/A</v>
      </c>
    </row>
    <row r="23" spans="2:26" ht="14.4" hidden="1">
      <c r="B23" s="418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0"/>
      <c r="R23" s="278">
        <f t="shared" si="0"/>
        <v>0</v>
      </c>
      <c r="S23" s="421" t="e">
        <f t="shared" si="1"/>
        <v>#N/A</v>
      </c>
      <c r="T23" s="421" t="e">
        <f t="shared" si="2"/>
        <v>#N/A</v>
      </c>
      <c r="U23" s="298" t="e">
        <f t="shared" si="3"/>
        <v>#N/A</v>
      </c>
      <c r="V23" s="298" t="e">
        <f t="shared" si="4"/>
        <v>#N/A</v>
      </c>
      <c r="W23" s="298" t="e">
        <f t="shared" si="5"/>
        <v>#N/A</v>
      </c>
      <c r="X23" s="298" t="e">
        <f t="shared" si="6"/>
        <v>#N/A</v>
      </c>
      <c r="Y23" s="298" t="e">
        <f t="shared" si="7"/>
        <v>#N/A</v>
      </c>
      <c r="Z23" s="417" t="e">
        <f t="shared" si="8"/>
        <v>#N/A</v>
      </c>
    </row>
    <row r="24" spans="2:26" ht="14.4" hidden="1">
      <c r="B24" s="418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0"/>
      <c r="R24" s="278">
        <f t="shared" si="0"/>
        <v>0</v>
      </c>
      <c r="S24" s="421" t="e">
        <f t="shared" si="1"/>
        <v>#N/A</v>
      </c>
      <c r="T24" s="421" t="e">
        <f t="shared" si="2"/>
        <v>#N/A</v>
      </c>
      <c r="U24" s="298" t="e">
        <f t="shared" si="3"/>
        <v>#N/A</v>
      </c>
      <c r="V24" s="298" t="e">
        <f t="shared" si="4"/>
        <v>#N/A</v>
      </c>
      <c r="W24" s="298" t="e">
        <f t="shared" si="5"/>
        <v>#N/A</v>
      </c>
      <c r="X24" s="298" t="e">
        <f t="shared" si="6"/>
        <v>#N/A</v>
      </c>
      <c r="Y24" s="298" t="e">
        <f t="shared" si="7"/>
        <v>#N/A</v>
      </c>
      <c r="Z24" s="417" t="e">
        <f t="shared" si="8"/>
        <v>#N/A</v>
      </c>
    </row>
    <row r="25" spans="2:26" ht="14.4" hidden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0"/>
      <c r="R25" s="278">
        <f t="shared" si="0"/>
        <v>0</v>
      </c>
      <c r="S25" s="421" t="e">
        <f t="shared" si="1"/>
        <v>#N/A</v>
      </c>
      <c r="T25" s="421" t="e">
        <f t="shared" si="2"/>
        <v>#N/A</v>
      </c>
      <c r="U25" s="298" t="e">
        <f t="shared" si="3"/>
        <v>#N/A</v>
      </c>
      <c r="V25" s="298" t="e">
        <f t="shared" si="4"/>
        <v>#N/A</v>
      </c>
      <c r="W25" s="298" t="e">
        <f t="shared" si="5"/>
        <v>#N/A</v>
      </c>
      <c r="X25" s="298" t="e">
        <f t="shared" si="6"/>
        <v>#N/A</v>
      </c>
      <c r="Y25" s="298" t="e">
        <f t="shared" si="7"/>
        <v>#N/A</v>
      </c>
      <c r="Z25" s="417" t="e">
        <f t="shared" si="8"/>
        <v>#N/A</v>
      </c>
    </row>
    <row r="26" spans="2:26" ht="14.4" hidden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0"/>
      <c r="R26" s="278">
        <f t="shared" si="0"/>
        <v>0</v>
      </c>
      <c r="S26" s="421" t="e">
        <f t="shared" si="1"/>
        <v>#N/A</v>
      </c>
      <c r="T26" s="421" t="e">
        <f t="shared" si="2"/>
        <v>#N/A</v>
      </c>
      <c r="U26" s="298" t="e">
        <f t="shared" si="3"/>
        <v>#N/A</v>
      </c>
      <c r="V26" s="298" t="e">
        <f t="shared" si="4"/>
        <v>#N/A</v>
      </c>
      <c r="W26" s="298" t="e">
        <f t="shared" si="5"/>
        <v>#N/A</v>
      </c>
      <c r="X26" s="298" t="e">
        <f t="shared" si="6"/>
        <v>#N/A</v>
      </c>
      <c r="Y26" s="298" t="e">
        <f t="shared" si="7"/>
        <v>#N/A</v>
      </c>
      <c r="Z26" s="417" t="e">
        <f t="shared" si="8"/>
        <v>#N/A</v>
      </c>
    </row>
    <row r="27" spans="2:26" ht="15" hidden="1" thickBo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0"/>
      <c r="R27" s="278">
        <f t="shared" si="0"/>
        <v>0</v>
      </c>
      <c r="S27" s="421" t="e">
        <f t="shared" si="1"/>
        <v>#N/A</v>
      </c>
      <c r="T27" s="421" t="e">
        <f t="shared" si="2"/>
        <v>#N/A</v>
      </c>
      <c r="U27" s="298" t="e">
        <f t="shared" si="3"/>
        <v>#N/A</v>
      </c>
      <c r="V27" s="298" t="e">
        <f t="shared" si="4"/>
        <v>#N/A</v>
      </c>
      <c r="W27" s="298" t="e">
        <f t="shared" si="5"/>
        <v>#N/A</v>
      </c>
      <c r="X27" s="298" t="e">
        <f t="shared" si="6"/>
        <v>#N/A</v>
      </c>
      <c r="Y27" s="298" t="e">
        <f t="shared" si="7"/>
        <v>#N/A</v>
      </c>
      <c r="Z27" s="417" t="e">
        <f t="shared" si="8"/>
        <v>#N/A</v>
      </c>
    </row>
    <row r="28" spans="2:26" ht="14.4" hidden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R28" s="278">
        <f t="shared" si="0"/>
        <v>0</v>
      </c>
      <c r="S28" s="421" t="e">
        <f t="shared" si="1"/>
        <v>#N/A</v>
      </c>
      <c r="T28" s="421" t="e">
        <f t="shared" si="2"/>
        <v>#N/A</v>
      </c>
      <c r="U28" s="298" t="e">
        <f t="shared" si="3"/>
        <v>#N/A</v>
      </c>
      <c r="V28" s="298" t="e">
        <f t="shared" si="4"/>
        <v>#N/A</v>
      </c>
      <c r="W28" s="298" t="e">
        <f t="shared" si="5"/>
        <v>#N/A</v>
      </c>
      <c r="X28" s="298" t="e">
        <f t="shared" si="6"/>
        <v>#N/A</v>
      </c>
      <c r="Y28" s="298" t="e">
        <f t="shared" si="7"/>
        <v>#N/A</v>
      </c>
      <c r="Z28" s="417" t="e">
        <f t="shared" si="8"/>
        <v>#N/A</v>
      </c>
    </row>
    <row r="29" spans="2:26" ht="14.4" hidden="1">
      <c r="B29" s="34"/>
      <c r="C29" s="367"/>
      <c r="D29" s="280"/>
      <c r="E29" s="280"/>
      <c r="F29" s="279"/>
      <c r="G29" s="280"/>
      <c r="H29" s="419"/>
      <c r="I29" s="369"/>
      <c r="J29" s="369"/>
      <c r="K29" s="422"/>
      <c r="L29" s="277"/>
      <c r="M29" s="375"/>
      <c r="N29" s="371"/>
      <c r="O29" s="372"/>
      <c r="P29" s="370"/>
      <c r="R29" s="278">
        <f t="shared" si="0"/>
        <v>0</v>
      </c>
      <c r="S29" s="421" t="e">
        <f t="shared" si="1"/>
        <v>#N/A</v>
      </c>
      <c r="T29" s="421" t="e">
        <f t="shared" si="2"/>
        <v>#N/A</v>
      </c>
      <c r="U29" s="298" t="e">
        <f t="shared" si="3"/>
        <v>#N/A</v>
      </c>
      <c r="V29" s="298" t="e">
        <f t="shared" si="4"/>
        <v>#N/A</v>
      </c>
      <c r="W29" s="298" t="e">
        <f t="shared" si="5"/>
        <v>#N/A</v>
      </c>
      <c r="X29" s="298" t="e">
        <f t="shared" si="6"/>
        <v>#N/A</v>
      </c>
      <c r="Y29" s="298" t="e">
        <f t="shared" si="7"/>
        <v>#N/A</v>
      </c>
      <c r="Z29" s="417" t="e">
        <f t="shared" si="8"/>
        <v>#N/A</v>
      </c>
    </row>
    <row r="30" spans="2:26" ht="14.4" hidden="1">
      <c r="B30" s="34"/>
      <c r="C30" s="367"/>
      <c r="D30" s="280"/>
      <c r="E30" s="280"/>
      <c r="F30" s="279"/>
      <c r="G30" s="280"/>
      <c r="H30" s="419"/>
      <c r="I30" s="369"/>
      <c r="J30" s="369"/>
      <c r="K30" s="422"/>
      <c r="L30" s="277"/>
      <c r="M30" s="375"/>
      <c r="N30" s="371"/>
      <c r="O30" s="372"/>
      <c r="P30" s="370"/>
      <c r="R30" s="278">
        <f t="shared" si="0"/>
        <v>0</v>
      </c>
      <c r="S30" s="421" t="e">
        <f t="shared" si="1"/>
        <v>#N/A</v>
      </c>
      <c r="T30" s="421" t="e">
        <f t="shared" si="2"/>
        <v>#N/A</v>
      </c>
      <c r="U30" s="298" t="e">
        <f t="shared" si="3"/>
        <v>#N/A</v>
      </c>
      <c r="V30" s="298" t="e">
        <f t="shared" si="4"/>
        <v>#N/A</v>
      </c>
      <c r="W30" s="298" t="e">
        <f t="shared" si="5"/>
        <v>#N/A</v>
      </c>
      <c r="X30" s="298" t="e">
        <f t="shared" si="6"/>
        <v>#N/A</v>
      </c>
      <c r="Y30" s="298" t="e">
        <f t="shared" si="7"/>
        <v>#N/A</v>
      </c>
      <c r="Z30" s="417" t="e">
        <f t="shared" si="8"/>
        <v>#N/A</v>
      </c>
    </row>
    <row r="31" spans="2:26" ht="14.4" hidden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375"/>
      <c r="N31" s="371"/>
      <c r="O31" s="372"/>
      <c r="P31" s="370"/>
      <c r="R31" s="278">
        <f t="shared" si="0"/>
        <v>0</v>
      </c>
      <c r="S31" s="421" t="e">
        <f t="shared" si="1"/>
        <v>#N/A</v>
      </c>
      <c r="T31" s="421" t="e">
        <f t="shared" si="2"/>
        <v>#N/A</v>
      </c>
      <c r="U31" s="298" t="e">
        <f t="shared" si="3"/>
        <v>#N/A</v>
      </c>
      <c r="V31" s="298" t="e">
        <f t="shared" si="4"/>
        <v>#N/A</v>
      </c>
      <c r="W31" s="298" t="e">
        <f t="shared" si="5"/>
        <v>#N/A</v>
      </c>
      <c r="X31" s="298" t="e">
        <f t="shared" si="6"/>
        <v>#N/A</v>
      </c>
      <c r="Y31" s="298" t="e">
        <f t="shared" si="7"/>
        <v>#N/A</v>
      </c>
      <c r="Z31" s="417" t="e">
        <f t="shared" si="8"/>
        <v>#N/A</v>
      </c>
    </row>
    <row r="32" spans="2:26" ht="14.4" hidden="1">
      <c r="B32" s="34"/>
      <c r="C32" s="367"/>
      <c r="D32" s="280"/>
      <c r="E32" s="280"/>
      <c r="F32" s="279"/>
      <c r="G32" s="280"/>
      <c r="H32" s="419"/>
      <c r="I32" s="369"/>
      <c r="J32" s="369"/>
      <c r="K32" s="422"/>
      <c r="L32" s="277"/>
      <c r="M32" s="375"/>
      <c r="N32" s="371"/>
      <c r="O32" s="372"/>
      <c r="P32" s="370"/>
      <c r="R32" s="278">
        <f t="shared" si="0"/>
        <v>0</v>
      </c>
      <c r="S32" s="421" t="e">
        <f t="shared" si="1"/>
        <v>#N/A</v>
      </c>
      <c r="T32" s="421" t="e">
        <f t="shared" si="2"/>
        <v>#N/A</v>
      </c>
      <c r="U32" s="298" t="e">
        <f t="shared" si="3"/>
        <v>#N/A</v>
      </c>
      <c r="V32" s="298" t="e">
        <f t="shared" si="4"/>
        <v>#N/A</v>
      </c>
      <c r="W32" s="298" t="e">
        <f t="shared" si="5"/>
        <v>#N/A</v>
      </c>
      <c r="X32" s="298" t="e">
        <f t="shared" si="6"/>
        <v>#N/A</v>
      </c>
      <c r="Y32" s="298" t="e">
        <f t="shared" si="7"/>
        <v>#N/A</v>
      </c>
      <c r="Z32" s="417" t="e">
        <f t="shared" si="8"/>
        <v>#N/A</v>
      </c>
    </row>
    <row r="33" spans="1:26" ht="14.4" hidden="1">
      <c r="B33" s="34"/>
      <c r="C33" s="367"/>
      <c r="D33" s="280"/>
      <c r="E33" s="280"/>
      <c r="F33" s="279"/>
      <c r="G33" s="280"/>
      <c r="H33" s="419"/>
      <c r="I33" s="369"/>
      <c r="J33" s="369"/>
      <c r="K33" s="422"/>
      <c r="L33" s="277"/>
      <c r="M33" s="375"/>
      <c r="N33" s="371"/>
      <c r="O33" s="372"/>
      <c r="P33" s="370"/>
      <c r="R33" s="278">
        <f t="shared" si="0"/>
        <v>0</v>
      </c>
      <c r="S33" s="421" t="e">
        <f t="shared" si="1"/>
        <v>#N/A</v>
      </c>
      <c r="T33" s="421" t="e">
        <f t="shared" si="2"/>
        <v>#N/A</v>
      </c>
      <c r="U33" s="298" t="e">
        <f t="shared" si="3"/>
        <v>#N/A</v>
      </c>
      <c r="V33" s="298" t="e">
        <f t="shared" si="4"/>
        <v>#N/A</v>
      </c>
      <c r="W33" s="298" t="e">
        <f t="shared" si="5"/>
        <v>#N/A</v>
      </c>
      <c r="X33" s="298" t="e">
        <f t="shared" si="6"/>
        <v>#N/A</v>
      </c>
      <c r="Y33" s="298" t="e">
        <f t="shared" si="7"/>
        <v>#N/A</v>
      </c>
      <c r="Z33" s="417" t="e">
        <f t="shared" si="8"/>
        <v>#N/A</v>
      </c>
    </row>
    <row r="34" spans="1:26" ht="14.4" hidden="1">
      <c r="B34" s="34"/>
      <c r="C34" s="367"/>
      <c r="D34" s="280"/>
      <c r="E34" s="280"/>
      <c r="F34" s="279"/>
      <c r="G34" s="280"/>
      <c r="H34" s="419"/>
      <c r="I34" s="369"/>
      <c r="J34" s="369"/>
      <c r="K34" s="422"/>
      <c r="L34" s="277"/>
      <c r="M34" s="423"/>
      <c r="N34" s="371"/>
      <c r="O34" s="372"/>
      <c r="P34" s="370"/>
      <c r="R34" s="278">
        <f t="shared" si="0"/>
        <v>0</v>
      </c>
      <c r="S34" s="421" t="e">
        <f t="shared" si="1"/>
        <v>#N/A</v>
      </c>
      <c r="T34" s="421" t="e">
        <f t="shared" si="2"/>
        <v>#N/A</v>
      </c>
      <c r="U34" s="298" t="e">
        <f t="shared" si="3"/>
        <v>#N/A</v>
      </c>
      <c r="V34" s="298" t="e">
        <f t="shared" si="4"/>
        <v>#N/A</v>
      </c>
      <c r="W34" s="298" t="e">
        <f t="shared" si="5"/>
        <v>#N/A</v>
      </c>
      <c r="X34" s="298" t="e">
        <f t="shared" si="6"/>
        <v>#N/A</v>
      </c>
      <c r="Y34" s="298" t="e">
        <f t="shared" si="7"/>
        <v>#N/A</v>
      </c>
      <c r="Z34" s="417" t="e">
        <f t="shared" si="8"/>
        <v>#N/A</v>
      </c>
    </row>
    <row r="35" spans="1:26" ht="14.4" hidden="1">
      <c r="B35" s="34"/>
      <c r="C35" s="367"/>
      <c r="D35" s="280"/>
      <c r="E35" s="280"/>
      <c r="F35" s="279"/>
      <c r="G35" s="280"/>
      <c r="H35" s="419"/>
      <c r="I35" s="369"/>
      <c r="J35" s="369"/>
      <c r="K35" s="422"/>
      <c r="L35" s="277"/>
      <c r="M35" s="423"/>
      <c r="N35" s="371"/>
      <c r="O35" s="372"/>
      <c r="P35" s="370"/>
      <c r="R35" s="278">
        <f t="shared" si="0"/>
        <v>0</v>
      </c>
      <c r="S35" s="421" t="e">
        <f t="shared" si="1"/>
        <v>#N/A</v>
      </c>
      <c r="T35" s="421" t="e">
        <f t="shared" si="2"/>
        <v>#N/A</v>
      </c>
      <c r="U35" s="298" t="e">
        <f t="shared" si="3"/>
        <v>#N/A</v>
      </c>
      <c r="V35" s="298" t="e">
        <f t="shared" si="4"/>
        <v>#N/A</v>
      </c>
      <c r="W35" s="298" t="e">
        <f t="shared" si="5"/>
        <v>#N/A</v>
      </c>
      <c r="X35" s="298" t="e">
        <f t="shared" si="6"/>
        <v>#N/A</v>
      </c>
      <c r="Y35" s="298" t="e">
        <f t="shared" si="7"/>
        <v>#N/A</v>
      </c>
      <c r="Z35" s="417" t="e">
        <f t="shared" si="8"/>
        <v>#N/A</v>
      </c>
    </row>
    <row r="36" spans="1:26" ht="14.4" hidden="1">
      <c r="B36" s="34"/>
      <c r="C36" s="367"/>
      <c r="D36" s="280"/>
      <c r="E36" s="280"/>
      <c r="F36" s="279"/>
      <c r="G36" s="280"/>
      <c r="H36" s="419"/>
      <c r="I36" s="369"/>
      <c r="J36" s="369"/>
      <c r="K36" s="422"/>
      <c r="L36" s="277"/>
      <c r="M36" s="375"/>
      <c r="N36" s="371"/>
      <c r="O36" s="372"/>
      <c r="P36" s="370"/>
      <c r="R36" s="278">
        <f t="shared" si="0"/>
        <v>0</v>
      </c>
      <c r="S36" s="421" t="e">
        <f t="shared" si="1"/>
        <v>#N/A</v>
      </c>
      <c r="T36" s="421" t="e">
        <f t="shared" si="2"/>
        <v>#N/A</v>
      </c>
      <c r="U36" s="298" t="e">
        <f t="shared" si="3"/>
        <v>#N/A</v>
      </c>
      <c r="V36" s="298" t="e">
        <f t="shared" si="4"/>
        <v>#N/A</v>
      </c>
      <c r="W36" s="298" t="e">
        <f t="shared" si="5"/>
        <v>#N/A</v>
      </c>
      <c r="X36" s="298" t="e">
        <f t="shared" si="6"/>
        <v>#N/A</v>
      </c>
      <c r="Y36" s="298" t="e">
        <f t="shared" si="7"/>
        <v>#N/A</v>
      </c>
      <c r="Z36" s="417" t="e">
        <f t="shared" si="8"/>
        <v>#N/A</v>
      </c>
    </row>
    <row r="37" spans="1:26" ht="14.4" hidden="1">
      <c r="B37" s="418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420"/>
      <c r="N37" s="371"/>
      <c r="O37" s="372"/>
      <c r="P37" s="370"/>
      <c r="R37" s="278">
        <f t="shared" si="0"/>
        <v>0</v>
      </c>
      <c r="S37" s="421" t="e">
        <f t="shared" si="1"/>
        <v>#N/A</v>
      </c>
      <c r="T37" s="421" t="e">
        <f t="shared" si="2"/>
        <v>#N/A</v>
      </c>
      <c r="U37" s="298" t="e">
        <f t="shared" si="3"/>
        <v>#N/A</v>
      </c>
      <c r="V37" s="298" t="e">
        <f t="shared" si="4"/>
        <v>#N/A</v>
      </c>
      <c r="W37" s="298" t="e">
        <f t="shared" si="5"/>
        <v>#N/A</v>
      </c>
      <c r="X37" s="298" t="e">
        <f t="shared" si="6"/>
        <v>#N/A</v>
      </c>
      <c r="Y37" s="298" t="e">
        <f t="shared" si="7"/>
        <v>#N/A</v>
      </c>
      <c r="Z37" s="417" t="e">
        <f t="shared" si="8"/>
        <v>#N/A</v>
      </c>
    </row>
    <row r="38" spans="1:26" ht="14.4" hidden="1">
      <c r="B38" s="418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420"/>
      <c r="N38" s="371"/>
      <c r="O38" s="372"/>
      <c r="P38" s="370"/>
      <c r="R38" s="278">
        <f t="shared" si="0"/>
        <v>0</v>
      </c>
      <c r="S38" s="421" t="e">
        <f t="shared" si="1"/>
        <v>#N/A</v>
      </c>
      <c r="T38" s="421" t="e">
        <f t="shared" si="2"/>
        <v>#N/A</v>
      </c>
      <c r="U38" s="298" t="e">
        <f t="shared" si="3"/>
        <v>#N/A</v>
      </c>
      <c r="V38" s="298" t="e">
        <f t="shared" si="4"/>
        <v>#N/A</v>
      </c>
      <c r="W38" s="298" t="e">
        <f t="shared" si="5"/>
        <v>#N/A</v>
      </c>
      <c r="X38" s="298" t="e">
        <f t="shared" si="6"/>
        <v>#N/A</v>
      </c>
      <c r="Y38" s="298" t="e">
        <f t="shared" si="7"/>
        <v>#N/A</v>
      </c>
      <c r="Z38" s="417" t="e">
        <f t="shared" si="8"/>
        <v>#N/A</v>
      </c>
    </row>
    <row r="39" spans="1:26" ht="14.4" hidden="1">
      <c r="B39" s="418"/>
      <c r="C39" s="367"/>
      <c r="D39" s="280"/>
      <c r="E39" s="280"/>
      <c r="F39" s="279"/>
      <c r="G39" s="280"/>
      <c r="H39" s="419"/>
      <c r="I39" s="369"/>
      <c r="J39" s="369"/>
      <c r="K39" s="282"/>
      <c r="L39" s="277"/>
      <c r="M39" s="420"/>
      <c r="N39" s="371"/>
      <c r="O39" s="372"/>
      <c r="P39" s="370"/>
      <c r="R39" s="278">
        <f t="shared" si="0"/>
        <v>0</v>
      </c>
      <c r="S39" s="421" t="e">
        <f t="shared" si="1"/>
        <v>#N/A</v>
      </c>
      <c r="T39" s="421" t="e">
        <f t="shared" si="2"/>
        <v>#N/A</v>
      </c>
      <c r="U39" s="298" t="e">
        <f t="shared" si="3"/>
        <v>#N/A</v>
      </c>
      <c r="V39" s="298" t="e">
        <f t="shared" si="4"/>
        <v>#N/A</v>
      </c>
      <c r="W39" s="298" t="e">
        <f t="shared" si="5"/>
        <v>#N/A</v>
      </c>
      <c r="X39" s="298" t="e">
        <f t="shared" si="6"/>
        <v>#N/A</v>
      </c>
      <c r="Y39" s="298" t="e">
        <f t="shared" si="7"/>
        <v>#N/A</v>
      </c>
      <c r="Z39" s="417" t="e">
        <f t="shared" si="8"/>
        <v>#N/A</v>
      </c>
    </row>
    <row r="40" spans="1:26" ht="14.4" hidden="1">
      <c r="B40" s="418"/>
      <c r="C40" s="367"/>
      <c r="D40" s="280"/>
      <c r="E40" s="280"/>
      <c r="F40" s="279"/>
      <c r="G40" s="280"/>
      <c r="H40" s="419"/>
      <c r="I40" s="369"/>
      <c r="J40" s="369"/>
      <c r="K40" s="282"/>
      <c r="L40" s="277"/>
      <c r="M40" s="420"/>
      <c r="N40" s="371"/>
      <c r="O40" s="372"/>
      <c r="P40" s="370"/>
      <c r="R40" s="278">
        <f t="shared" si="0"/>
        <v>0</v>
      </c>
      <c r="S40" s="421" t="e">
        <f t="shared" si="1"/>
        <v>#N/A</v>
      </c>
      <c r="T40" s="421" t="e">
        <f t="shared" si="2"/>
        <v>#N/A</v>
      </c>
      <c r="U40" s="298" t="e">
        <f t="shared" si="3"/>
        <v>#N/A</v>
      </c>
      <c r="V40" s="298" t="e">
        <f t="shared" si="4"/>
        <v>#N/A</v>
      </c>
      <c r="W40" s="298" t="e">
        <f t="shared" si="5"/>
        <v>#N/A</v>
      </c>
      <c r="X40" s="298" t="e">
        <f t="shared" si="6"/>
        <v>#N/A</v>
      </c>
      <c r="Y40" s="298" t="e">
        <f t="shared" si="7"/>
        <v>#N/A</v>
      </c>
      <c r="Z40" s="417" t="e">
        <f t="shared" si="8"/>
        <v>#N/A</v>
      </c>
    </row>
    <row r="41" spans="1:26" ht="15" hidden="1" thickBot="1">
      <c r="B41" s="29"/>
      <c r="C41" s="367"/>
      <c r="D41" s="280"/>
      <c r="E41" s="280"/>
      <c r="F41" s="279"/>
      <c r="G41" s="280"/>
      <c r="H41" s="419"/>
      <c r="I41" s="369"/>
      <c r="J41" s="369"/>
      <c r="K41" s="282"/>
      <c r="L41" s="277"/>
      <c r="M41" s="420"/>
      <c r="N41" s="371"/>
      <c r="O41" s="372"/>
      <c r="P41" s="370"/>
      <c r="R41" s="278">
        <f t="shared" si="0"/>
        <v>0</v>
      </c>
      <c r="S41" s="421" t="e">
        <f t="shared" si="1"/>
        <v>#N/A</v>
      </c>
      <c r="T41" s="421" t="e">
        <f t="shared" si="2"/>
        <v>#N/A</v>
      </c>
      <c r="U41" s="298" t="e">
        <f t="shared" si="3"/>
        <v>#N/A</v>
      </c>
      <c r="V41" s="298" t="e">
        <f t="shared" si="4"/>
        <v>#N/A</v>
      </c>
      <c r="W41" s="298" t="e">
        <f t="shared" si="5"/>
        <v>#N/A</v>
      </c>
      <c r="X41" s="298" t="e">
        <f t="shared" si="6"/>
        <v>#N/A</v>
      </c>
      <c r="Y41" s="298" t="e">
        <f t="shared" si="7"/>
        <v>#N/A</v>
      </c>
      <c r="Z41" s="417" t="e">
        <f t="shared" si="8"/>
        <v>#N/A</v>
      </c>
    </row>
    <row r="42" spans="1:26" ht="15.75" customHeight="1" thickBot="1">
      <c r="B42" s="359"/>
      <c r="C42" s="424"/>
      <c r="D42" s="359"/>
      <c r="E42" s="359"/>
      <c r="F42" s="295"/>
      <c r="G42" s="295"/>
      <c r="H42" s="349"/>
      <c r="I42" s="632" t="s">
        <v>34</v>
      </c>
      <c r="J42" s="632"/>
      <c r="K42" s="632"/>
      <c r="L42" s="632"/>
      <c r="M42" s="632"/>
      <c r="N42" s="632"/>
      <c r="O42" s="1"/>
      <c r="P42" s="12"/>
      <c r="R42" s="278">
        <f t="shared" si="0"/>
        <v>0</v>
      </c>
      <c r="S42" s="421" t="e">
        <f t="shared" si="1"/>
        <v>#N/A</v>
      </c>
      <c r="T42" s="421" t="e">
        <f t="shared" si="2"/>
        <v>#N/A</v>
      </c>
      <c r="U42" s="298" t="e">
        <f t="shared" si="3"/>
        <v>#N/A</v>
      </c>
      <c r="V42" s="298" t="e">
        <f t="shared" si="4"/>
        <v>#N/A</v>
      </c>
      <c r="W42" s="298" t="e">
        <f t="shared" si="5"/>
        <v>#N/A</v>
      </c>
      <c r="X42" s="298" t="e">
        <f t="shared" si="6"/>
        <v>#N/A</v>
      </c>
      <c r="Y42" s="298" t="e">
        <f t="shared" si="7"/>
        <v>#N/A</v>
      </c>
      <c r="Z42" s="417" t="e">
        <f t="shared" si="8"/>
        <v>#N/A</v>
      </c>
    </row>
    <row r="43" spans="1:26" ht="28.8" thickBot="1">
      <c r="B43" s="425" t="s">
        <v>145</v>
      </c>
      <c r="C43" s="426"/>
      <c r="D43" s="633" t="s">
        <v>35</v>
      </c>
      <c r="E43" s="634"/>
      <c r="F43" s="295"/>
      <c r="G43" s="295"/>
      <c r="H43" s="23"/>
      <c r="I43" s="24" t="s">
        <v>17</v>
      </c>
      <c r="J43" s="25" t="s">
        <v>146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5"/>
      <c r="P43" s="12"/>
      <c r="R43" s="278" t="str">
        <f t="shared" si="0"/>
        <v>BRAND</v>
      </c>
      <c r="S43" s="421" t="e">
        <f t="shared" si="1"/>
        <v>#N/A</v>
      </c>
      <c r="T43" s="421" t="e">
        <f t="shared" si="2"/>
        <v>#N/A</v>
      </c>
      <c r="U43" s="298" t="e">
        <f t="shared" si="3"/>
        <v>#N/A</v>
      </c>
      <c r="V43" s="298" t="e">
        <f t="shared" si="4"/>
        <v>#N/A</v>
      </c>
      <c r="W43" s="298" t="e">
        <f t="shared" si="5"/>
        <v>#N/A</v>
      </c>
      <c r="X43" s="298" t="e">
        <f t="shared" si="6"/>
        <v>#N/A</v>
      </c>
      <c r="Y43" s="298" t="e">
        <f t="shared" si="7"/>
        <v>#N/A</v>
      </c>
      <c r="Z43" s="417" t="e">
        <f t="shared" si="8"/>
        <v>#N/A</v>
      </c>
    </row>
    <row r="44" spans="1:26" ht="15" customHeight="1">
      <c r="A44" s="28"/>
      <c r="B44" s="635" t="str">
        <f>I44</f>
        <v>CARIB</v>
      </c>
      <c r="C44" s="427">
        <v>12</v>
      </c>
      <c r="D44" s="638">
        <v>11.79</v>
      </c>
      <c r="E44" s="592"/>
      <c r="F44" s="295"/>
      <c r="G44" s="295"/>
      <c r="H44" s="295"/>
      <c r="I44" s="29" t="s">
        <v>6</v>
      </c>
      <c r="J44" s="324"/>
      <c r="K44" s="285"/>
      <c r="L44" s="303"/>
      <c r="M44" s="303"/>
      <c r="N44" s="30">
        <v>98</v>
      </c>
      <c r="O44" s="11"/>
      <c r="P44" s="31"/>
      <c r="R44" s="278"/>
      <c r="S44" s="421"/>
      <c r="T44" s="421"/>
      <c r="U44" s="298"/>
      <c r="V44" s="298"/>
      <c r="W44" s="298"/>
      <c r="X44" s="298"/>
      <c r="Y44" s="298"/>
      <c r="Z44" s="417"/>
    </row>
    <row r="45" spans="1:26" ht="15" customHeight="1">
      <c r="A45" s="28"/>
      <c r="B45" s="636"/>
      <c r="C45" s="427">
        <v>11.9</v>
      </c>
      <c r="D45" s="580"/>
      <c r="E45" s="581"/>
      <c r="F45" s="295"/>
      <c r="G45" s="295"/>
      <c r="H45" s="32"/>
      <c r="I45" s="418" t="s">
        <v>9</v>
      </c>
      <c r="J45" s="324">
        <f>AVERAGE(I10:I14)</f>
        <v>95.995788495366426</v>
      </c>
      <c r="K45" s="285">
        <f>COUNTA(C10:C14)</f>
        <v>5</v>
      </c>
      <c r="L45" s="428">
        <f>J45</f>
        <v>95.995788495366426</v>
      </c>
      <c r="M45" s="428">
        <f>L45</f>
        <v>95.995788495366426</v>
      </c>
      <c r="N45" s="30">
        <v>98</v>
      </c>
      <c r="O45" s="11"/>
      <c r="P45" s="31"/>
      <c r="R45" s="278"/>
      <c r="S45" s="421"/>
      <c r="T45" s="421"/>
      <c r="U45" s="298"/>
      <c r="V45" s="298"/>
      <c r="W45" s="298"/>
      <c r="X45" s="298"/>
      <c r="Y45" s="298"/>
      <c r="Z45" s="417"/>
    </row>
    <row r="46" spans="1:26" ht="14.7" customHeight="1">
      <c r="A46" s="28"/>
      <c r="B46" s="636"/>
      <c r="C46" s="427">
        <v>11.8</v>
      </c>
      <c r="D46" s="626">
        <v>11.81</v>
      </c>
      <c r="E46" s="623"/>
      <c r="F46" s="295"/>
      <c r="G46" s="295"/>
      <c r="H46" s="32"/>
      <c r="I46" s="34" t="s">
        <v>12</v>
      </c>
      <c r="J46" s="327"/>
      <c r="K46" s="285"/>
      <c r="L46" s="428"/>
      <c r="M46" s="303"/>
      <c r="N46" s="30">
        <v>98</v>
      </c>
      <c r="O46" s="11"/>
      <c r="P46" s="31"/>
      <c r="R46" s="278"/>
      <c r="S46" s="421"/>
      <c r="T46" s="421"/>
      <c r="U46" s="298"/>
      <c r="V46" s="298"/>
      <c r="W46" s="298"/>
      <c r="X46" s="298"/>
      <c r="Y46" s="298"/>
      <c r="Z46" s="417"/>
    </row>
    <row r="47" spans="1:26" ht="14.7" customHeight="1">
      <c r="A47" s="28"/>
      <c r="B47" s="636"/>
      <c r="C47" s="427">
        <v>11.9</v>
      </c>
      <c r="D47" s="580"/>
      <c r="E47" s="581"/>
      <c r="F47" s="295"/>
      <c r="G47" s="295"/>
      <c r="H47" s="32"/>
      <c r="I47" s="22" t="s">
        <v>33</v>
      </c>
      <c r="J47" s="327"/>
      <c r="K47" s="285"/>
      <c r="L47" s="303"/>
      <c r="M47" s="303"/>
      <c r="N47" s="30">
        <v>98</v>
      </c>
      <c r="O47" s="11"/>
      <c r="P47" s="31"/>
      <c r="R47" s="278"/>
      <c r="S47" s="421"/>
      <c r="T47" s="421"/>
      <c r="U47" s="298"/>
      <c r="V47" s="298"/>
      <c r="W47" s="298"/>
      <c r="X47" s="298"/>
      <c r="Y47" s="298"/>
      <c r="Z47" s="417"/>
    </row>
    <row r="48" spans="1:26" ht="14.7" customHeight="1">
      <c r="A48" s="28"/>
      <c r="B48" s="636"/>
      <c r="C48" s="427">
        <v>11.7</v>
      </c>
      <c r="D48" s="626">
        <v>11.74</v>
      </c>
      <c r="E48" s="623"/>
      <c r="F48" s="295"/>
      <c r="G48" s="295"/>
      <c r="H48" s="32"/>
      <c r="I48" s="35" t="s">
        <v>29</v>
      </c>
      <c r="J48" s="327"/>
      <c r="K48" s="285"/>
      <c r="L48" s="303"/>
      <c r="M48" s="303"/>
      <c r="N48" s="30">
        <v>98</v>
      </c>
      <c r="O48" s="11"/>
      <c r="P48" s="31"/>
      <c r="R48" s="278"/>
      <c r="S48" s="421"/>
      <c r="T48" s="421"/>
      <c r="U48" s="298"/>
      <c r="V48" s="298"/>
      <c r="W48" s="298"/>
      <c r="X48" s="298"/>
      <c r="Y48" s="298"/>
      <c r="Z48" s="417"/>
    </row>
    <row r="49" spans="1:56" ht="14.7" customHeight="1">
      <c r="A49" s="28"/>
      <c r="B49" s="636"/>
      <c r="C49" s="427">
        <v>11.8</v>
      </c>
      <c r="D49" s="580"/>
      <c r="E49" s="581"/>
      <c r="F49" s="295"/>
      <c r="G49" s="295"/>
      <c r="H49" s="32"/>
      <c r="I49" s="36" t="s">
        <v>15</v>
      </c>
      <c r="J49" s="429"/>
      <c r="K49" s="285"/>
      <c r="L49" s="303"/>
      <c r="M49" s="303"/>
      <c r="N49" s="30">
        <v>98</v>
      </c>
      <c r="O49" s="11"/>
      <c r="P49" s="31"/>
      <c r="R49" s="278"/>
      <c r="S49" s="421"/>
      <c r="T49" s="421"/>
      <c r="U49" s="298"/>
      <c r="V49" s="298"/>
      <c r="W49" s="298"/>
      <c r="X49" s="298"/>
      <c r="Y49" s="298"/>
      <c r="Z49" s="417"/>
    </row>
    <row r="50" spans="1:56" ht="14.7" customHeight="1">
      <c r="A50" s="28"/>
      <c r="B50" s="636"/>
      <c r="C50" s="427">
        <v>11.8</v>
      </c>
      <c r="D50" s="626">
        <v>12.03</v>
      </c>
      <c r="E50" s="623"/>
      <c r="F50" s="295"/>
      <c r="G50" s="295"/>
      <c r="H50" s="32"/>
      <c r="I50" s="37" t="s">
        <v>16</v>
      </c>
      <c r="J50" s="430"/>
      <c r="K50" s="285"/>
      <c r="L50" s="303"/>
      <c r="M50" s="303"/>
      <c r="N50" s="30">
        <v>98</v>
      </c>
      <c r="O50" s="11"/>
      <c r="P50" s="31" t="s">
        <v>41</v>
      </c>
      <c r="R50" s="278"/>
      <c r="S50" s="421"/>
      <c r="T50" s="421"/>
      <c r="U50" s="298"/>
      <c r="V50" s="298"/>
      <c r="W50" s="298"/>
      <c r="X50" s="298"/>
      <c r="Y50" s="298"/>
      <c r="Z50" s="417"/>
    </row>
    <row r="51" spans="1:56" ht="14.7" customHeight="1">
      <c r="A51" s="28"/>
      <c r="B51" s="636"/>
      <c r="C51" s="427">
        <v>11.8</v>
      </c>
      <c r="D51" s="580"/>
      <c r="E51" s="581"/>
      <c r="F51" s="295"/>
      <c r="G51" s="295"/>
      <c r="H51" s="32"/>
      <c r="I51" s="307" t="s">
        <v>137</v>
      </c>
      <c r="J51" s="327"/>
      <c r="K51" s="285"/>
      <c r="L51" s="306"/>
      <c r="M51" s="306"/>
      <c r="N51" s="30">
        <v>98</v>
      </c>
      <c r="O51" s="11"/>
      <c r="P51" s="31"/>
      <c r="R51" s="278"/>
      <c r="S51" s="421"/>
      <c r="T51" s="421"/>
      <c r="U51" s="298"/>
      <c r="V51" s="298"/>
      <c r="W51" s="298"/>
      <c r="X51" s="298"/>
      <c r="Y51" s="298"/>
      <c r="Z51" s="417"/>
    </row>
    <row r="52" spans="1:56" ht="15" thickBot="1">
      <c r="A52" s="28"/>
      <c r="B52" s="636"/>
      <c r="C52" s="427"/>
      <c r="D52" s="626"/>
      <c r="E52" s="623"/>
      <c r="F52" s="295"/>
      <c r="G52" s="295"/>
      <c r="H52" s="32"/>
      <c r="I52" s="38" t="s">
        <v>157</v>
      </c>
      <c r="J52" s="327"/>
      <c r="K52" s="285"/>
      <c r="L52" s="306"/>
      <c r="M52" s="329"/>
      <c r="N52" s="30">
        <v>98</v>
      </c>
      <c r="O52" s="11"/>
      <c r="P52" s="31"/>
      <c r="R52" s="278"/>
      <c r="S52" s="421"/>
      <c r="T52" s="421"/>
      <c r="U52" s="298"/>
      <c r="V52" s="298"/>
      <c r="W52" s="298"/>
      <c r="X52" s="298"/>
      <c r="Y52" s="298"/>
      <c r="Z52" s="417"/>
    </row>
    <row r="53" spans="1:56" ht="15" customHeight="1" thickBot="1">
      <c r="A53" s="28"/>
      <c r="B53" s="636"/>
      <c r="C53" s="427"/>
      <c r="D53" s="580"/>
      <c r="E53" s="581"/>
      <c r="F53" s="295"/>
      <c r="G53" s="295"/>
      <c r="H53" s="32"/>
      <c r="I53" s="431" t="s">
        <v>158</v>
      </c>
      <c r="J53" s="328"/>
      <c r="K53" s="285"/>
      <c r="L53" s="329"/>
      <c r="M53" s="329"/>
      <c r="N53" s="30">
        <v>98</v>
      </c>
      <c r="O53" s="11"/>
      <c r="P53" s="31"/>
      <c r="R53" s="278"/>
      <c r="S53" s="421"/>
      <c r="T53" s="421"/>
      <c r="U53" s="298"/>
      <c r="V53" s="298"/>
      <c r="W53" s="298"/>
      <c r="X53" s="298"/>
      <c r="Y53" s="298"/>
      <c r="Z53" s="417"/>
    </row>
    <row r="54" spans="1:56" ht="15" customHeight="1" thickTop="1" thickBot="1">
      <c r="A54" s="28"/>
      <c r="B54" s="636"/>
      <c r="C54" s="427"/>
      <c r="D54" s="626"/>
      <c r="E54" s="623"/>
      <c r="F54" s="295"/>
      <c r="G54" s="295"/>
      <c r="H54" s="32"/>
      <c r="I54" s="1"/>
      <c r="J54" s="39"/>
      <c r="K54" s="432">
        <f>SUM(K44:K53)</f>
        <v>5</v>
      </c>
      <c r="L54" s="433">
        <f>((L44*K44)+(L45*K45)+(L46*K46)+(L47*K47)+(L48*K48)+(K51*L51)+(L49*K49)+(L50*K50)+(L53*K53))/(K54)</f>
        <v>95.995788495366426</v>
      </c>
      <c r="M54" s="433"/>
      <c r="N54" s="30">
        <v>98</v>
      </c>
      <c r="O54" s="11"/>
      <c r="P54" s="31"/>
      <c r="R54" s="23"/>
    </row>
    <row r="55" spans="1:56" ht="15" customHeight="1">
      <c r="A55" s="28"/>
      <c r="B55" s="636"/>
      <c r="C55" s="427"/>
      <c r="D55" s="580"/>
      <c r="E55" s="581"/>
      <c r="F55" s="295"/>
      <c r="G55" s="295"/>
      <c r="H55" s="32"/>
      <c r="I55" s="1"/>
      <c r="J55" s="39"/>
      <c r="O55" s="11"/>
      <c r="P55" s="31"/>
      <c r="R55" s="23"/>
    </row>
    <row r="56" spans="1:56" ht="21.6" customHeight="1" thickBot="1">
      <c r="B56" s="637"/>
      <c r="C56" s="434"/>
      <c r="D56" s="626"/>
      <c r="E56" s="623"/>
      <c r="F56" s="295"/>
      <c r="G56" s="42"/>
      <c r="H56" s="41"/>
      <c r="I56" s="1"/>
      <c r="J56" s="42"/>
      <c r="K56" s="352"/>
      <c r="L56" s="349"/>
      <c r="M56" s="349"/>
      <c r="N56" s="11"/>
      <c r="O56" s="295"/>
      <c r="P56" s="12"/>
      <c r="R56" s="23"/>
    </row>
    <row r="57" spans="1:56" ht="15" thickBot="1">
      <c r="B57" s="627"/>
      <c r="C57" s="435"/>
      <c r="D57" s="591"/>
      <c r="E57" s="592"/>
      <c r="F57" s="43"/>
      <c r="G57" s="41"/>
      <c r="H57" s="41"/>
      <c r="I57" s="1"/>
      <c r="J57" s="630" t="s">
        <v>129</v>
      </c>
      <c r="K57" s="631"/>
      <c r="L57" s="295"/>
      <c r="M57" s="295"/>
      <c r="N57" s="295"/>
      <c r="O57" s="295"/>
      <c r="P57" s="12"/>
      <c r="R57" s="23" t="s">
        <v>41</v>
      </c>
    </row>
    <row r="58" spans="1:56" ht="15.6" customHeight="1" thickBot="1">
      <c r="B58" s="628"/>
      <c r="C58" s="427"/>
      <c r="D58" s="593"/>
      <c r="E58" s="581"/>
      <c r="F58" s="43"/>
      <c r="G58" s="41"/>
      <c r="H58" s="42"/>
      <c r="I58" s="1"/>
      <c r="J58" s="398" t="s">
        <v>17</v>
      </c>
      <c r="K58" s="399" t="s">
        <v>147</v>
      </c>
      <c r="L58" s="595" t="s">
        <v>136</v>
      </c>
      <c r="M58" s="595"/>
      <c r="N58" s="596"/>
      <c r="O58" s="295"/>
      <c r="P58" s="12"/>
      <c r="R58" s="23"/>
    </row>
    <row r="59" spans="1:56" ht="15" customHeight="1" thickBot="1">
      <c r="B59" s="628"/>
      <c r="C59" s="427"/>
      <c r="D59" s="622"/>
      <c r="E59" s="623"/>
      <c r="F59" s="43"/>
      <c r="G59" s="41"/>
      <c r="H59" s="436"/>
      <c r="I59" s="1"/>
      <c r="J59" s="400" t="s">
        <v>6</v>
      </c>
      <c r="K59" s="437"/>
      <c r="L59" s="438" t="s">
        <v>37</v>
      </c>
      <c r="M59" s="439" t="s">
        <v>38</v>
      </c>
      <c r="N59" s="439" t="s">
        <v>84</v>
      </c>
      <c r="O59" s="295"/>
      <c r="P59" s="12"/>
      <c r="R59" s="23"/>
    </row>
    <row r="60" spans="1:56" ht="15" thickBot="1">
      <c r="B60" s="628"/>
      <c r="C60" s="427"/>
      <c r="D60" s="593"/>
      <c r="E60" s="581"/>
      <c r="F60" s="43"/>
      <c r="G60" s="41"/>
      <c r="H60" s="436"/>
      <c r="I60" s="1"/>
      <c r="J60" s="402" t="s">
        <v>9</v>
      </c>
      <c r="K60" s="437">
        <v>5</v>
      </c>
      <c r="L60" s="345">
        <f>K69</f>
        <v>5</v>
      </c>
      <c r="M60" s="326">
        <f>L60</f>
        <v>5</v>
      </c>
      <c r="N60" s="491"/>
      <c r="O60" s="295"/>
      <c r="P60" s="12"/>
      <c r="R60" s="23"/>
    </row>
    <row r="61" spans="1:56" ht="14.4">
      <c r="B61" s="628"/>
      <c r="C61" s="427"/>
      <c r="D61" s="622"/>
      <c r="E61" s="623"/>
      <c r="F61" s="43"/>
      <c r="G61" s="41"/>
      <c r="H61" s="436"/>
      <c r="I61" s="1"/>
      <c r="J61" s="403" t="s">
        <v>40</v>
      </c>
      <c r="K61" s="437"/>
      <c r="L61" s="295"/>
      <c r="M61" s="295"/>
      <c r="N61" s="295"/>
      <c r="O61" s="295"/>
      <c r="P61" s="12"/>
      <c r="R61" s="23"/>
    </row>
    <row r="62" spans="1:56" ht="15" customHeight="1">
      <c r="B62" s="628"/>
      <c r="C62" s="427"/>
      <c r="D62" s="593"/>
      <c r="E62" s="581"/>
      <c r="F62" s="43"/>
      <c r="G62" s="41"/>
      <c r="H62" s="436"/>
      <c r="I62" s="1"/>
      <c r="J62" s="404" t="s">
        <v>33</v>
      </c>
      <c r="K62" s="437"/>
      <c r="L62" s="295"/>
      <c r="M62" s="295"/>
      <c r="N62" s="295"/>
      <c r="O62" s="295"/>
      <c r="P62" s="12"/>
      <c r="R62" s="23"/>
    </row>
    <row r="63" spans="1:56" ht="14.4">
      <c r="B63" s="628"/>
      <c r="C63" s="427"/>
      <c r="D63" s="622"/>
      <c r="E63" s="623"/>
      <c r="F63" s="43"/>
      <c r="G63" s="41"/>
      <c r="H63" s="436"/>
      <c r="I63" s="1"/>
      <c r="J63" s="405" t="s">
        <v>16</v>
      </c>
      <c r="K63" s="437"/>
      <c r="L63" s="295"/>
      <c r="M63" s="295"/>
      <c r="N63" s="295"/>
      <c r="O63" s="295"/>
      <c r="P63" s="12"/>
      <c r="R63" s="23"/>
      <c r="BC63" s="44"/>
      <c r="BD63" s="44"/>
    </row>
    <row r="64" spans="1:56" ht="14.4">
      <c r="B64" s="628"/>
      <c r="C64" s="427"/>
      <c r="D64" s="593"/>
      <c r="E64" s="581"/>
      <c r="F64" s="43"/>
      <c r="G64" s="41"/>
      <c r="H64" s="436"/>
      <c r="I64" s="1"/>
      <c r="J64" s="406" t="s">
        <v>15</v>
      </c>
      <c r="K64" s="437"/>
      <c r="L64" s="295"/>
      <c r="M64" s="295"/>
      <c r="N64" s="295"/>
      <c r="O64" s="295"/>
      <c r="P64" s="12"/>
      <c r="R64" s="23"/>
      <c r="T64" s="316"/>
      <c r="BC64" s="44"/>
      <c r="BD64" s="44"/>
    </row>
    <row r="65" spans="2:56" ht="14.4">
      <c r="B65" s="628"/>
      <c r="C65" s="427"/>
      <c r="D65" s="622"/>
      <c r="E65" s="623"/>
      <c r="F65" s="43"/>
      <c r="G65" s="41"/>
      <c r="H65" s="436"/>
      <c r="I65" s="1"/>
      <c r="J65" s="406" t="s">
        <v>149</v>
      </c>
      <c r="K65" s="401"/>
      <c r="L65" s="295"/>
      <c r="M65" s="295"/>
      <c r="N65" s="295"/>
      <c r="O65" s="295"/>
      <c r="P65" s="12"/>
      <c r="R65" s="23"/>
      <c r="BC65" s="44"/>
      <c r="BD65" s="44"/>
    </row>
    <row r="66" spans="2:56" ht="15" thickBot="1">
      <c r="B66" s="629"/>
      <c r="C66" s="434"/>
      <c r="D66" s="624"/>
      <c r="E66" s="625"/>
      <c r="F66" s="43"/>
      <c r="G66" s="41"/>
      <c r="H66" s="436"/>
      <c r="I66" s="1"/>
      <c r="J66" s="406" t="s">
        <v>148</v>
      </c>
      <c r="K66" s="401"/>
      <c r="L66" s="295"/>
      <c r="M66" s="295"/>
      <c r="N66" s="295"/>
      <c r="O66" s="295"/>
      <c r="P66" s="12"/>
      <c r="R66" s="23"/>
      <c r="BC66" s="44"/>
      <c r="BD66" s="44"/>
    </row>
    <row r="67" spans="2:56" ht="17.7" customHeight="1" thickBot="1">
      <c r="B67" s="313"/>
      <c r="C67" s="314"/>
      <c r="D67" s="601">
        <f>AVERAGE(D44:E66)</f>
        <v>11.842500000000001</v>
      </c>
      <c r="E67" s="602"/>
      <c r="F67" s="43"/>
      <c r="G67" s="41"/>
      <c r="H67" s="436"/>
      <c r="I67" s="1"/>
      <c r="J67" s="407" t="s">
        <v>134</v>
      </c>
      <c r="K67" s="401"/>
      <c r="L67" s="295"/>
      <c r="M67" s="295"/>
      <c r="N67" s="295"/>
      <c r="O67" s="295"/>
      <c r="P67" s="12"/>
      <c r="R67" s="23"/>
      <c r="BC67" s="44"/>
      <c r="BD67" s="44"/>
    </row>
    <row r="68" spans="2:56" ht="17.7" customHeight="1">
      <c r="B68" s="364"/>
      <c r="C68" s="365"/>
      <c r="D68" s="366"/>
      <c r="E68" s="366"/>
      <c r="F68" s="43"/>
      <c r="G68" s="41"/>
      <c r="H68" s="436"/>
      <c r="I68" s="1"/>
      <c r="J68" s="407" t="s">
        <v>131</v>
      </c>
      <c r="K68" s="401"/>
      <c r="L68" s="295"/>
      <c r="M68" s="295"/>
      <c r="N68" s="295"/>
      <c r="O68" s="295"/>
      <c r="P68" s="12"/>
      <c r="R68" s="23"/>
      <c r="BC68" s="44"/>
      <c r="BD68" s="44"/>
    </row>
    <row r="69" spans="2:56" ht="15.75" customHeight="1" thickBot="1">
      <c r="B69" s="45"/>
      <c r="C69" s="11"/>
      <c r="D69" s="11"/>
      <c r="E69" s="46"/>
      <c r="F69" s="23"/>
      <c r="G69" s="11"/>
      <c r="H69" s="436"/>
      <c r="I69" s="1"/>
      <c r="J69" s="408" t="s">
        <v>130</v>
      </c>
      <c r="K69" s="409">
        <f>SUM(K59:K68)</f>
        <v>5</v>
      </c>
      <c r="L69" s="295"/>
      <c r="M69" s="295"/>
      <c r="N69" s="295"/>
      <c r="O69" s="295"/>
      <c r="P69" s="12"/>
    </row>
    <row r="70" spans="2:56" ht="20.25" customHeight="1">
      <c r="B70" s="15" t="s">
        <v>42</v>
      </c>
      <c r="C70" s="1" t="s">
        <v>43</v>
      </c>
      <c r="D70" s="1"/>
      <c r="E70" s="1"/>
      <c r="I70" s="1"/>
      <c r="L70" s="295"/>
      <c r="P70" s="335"/>
    </row>
    <row r="71" spans="2:56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  <c r="W71" s="276" t="s">
        <v>41</v>
      </c>
    </row>
    <row r="72" spans="2:56" ht="15" customHeight="1" thickBot="1">
      <c r="B72" s="603" t="s">
        <v>17</v>
      </c>
      <c r="C72" s="603" t="s">
        <v>44</v>
      </c>
      <c r="D72" s="605" t="s">
        <v>45</v>
      </c>
      <c r="E72" s="560" t="s">
        <v>46</v>
      </c>
      <c r="F72" s="620" t="s">
        <v>47</v>
      </c>
      <c r="G72" s="614" t="s">
        <v>48</v>
      </c>
      <c r="H72" s="603" t="s">
        <v>49</v>
      </c>
      <c r="I72" s="616" t="s">
        <v>50</v>
      </c>
      <c r="J72" s="608" t="s">
        <v>28</v>
      </c>
      <c r="K72" s="558" t="s">
        <v>51</v>
      </c>
      <c r="L72" s="570" t="s">
        <v>52</v>
      </c>
      <c r="M72" s="608" t="s">
        <v>53</v>
      </c>
      <c r="N72" s="13"/>
      <c r="O72" s="13"/>
      <c r="P72" s="50"/>
    </row>
    <row r="73" spans="2:56" ht="28.5" customHeight="1" thickTop="1" thickBot="1">
      <c r="B73" s="604"/>
      <c r="C73" s="604"/>
      <c r="D73" s="606"/>
      <c r="E73" s="607"/>
      <c r="F73" s="621"/>
      <c r="G73" s="615"/>
      <c r="H73" s="604"/>
      <c r="I73" s="617"/>
      <c r="J73" s="609"/>
      <c r="K73" s="618"/>
      <c r="L73" s="619"/>
      <c r="M73" s="609"/>
      <c r="N73" s="13"/>
      <c r="O73" s="13"/>
      <c r="P73" s="50"/>
      <c r="Q73" s="356"/>
      <c r="R73" s="356"/>
      <c r="S73" s="356"/>
      <c r="T73" s="440">
        <v>43466</v>
      </c>
      <c r="U73" s="440">
        <v>43467</v>
      </c>
      <c r="V73" s="440">
        <v>43468</v>
      </c>
      <c r="W73" s="440">
        <v>43469</v>
      </c>
      <c r="X73" s="440">
        <v>43470</v>
      </c>
      <c r="Y73" s="440">
        <v>43471</v>
      </c>
      <c r="Z73" s="440">
        <v>43472</v>
      </c>
      <c r="AA73" s="440">
        <v>43473</v>
      </c>
      <c r="AB73" s="440">
        <v>43474</v>
      </c>
      <c r="AC73" s="440">
        <v>43475</v>
      </c>
      <c r="AD73" s="440">
        <v>43476</v>
      </c>
      <c r="AE73" s="440">
        <v>43477</v>
      </c>
      <c r="AF73" s="440">
        <v>43478</v>
      </c>
      <c r="AG73" s="440">
        <v>43479</v>
      </c>
      <c r="AH73" s="440">
        <v>43480</v>
      </c>
      <c r="AI73" s="440">
        <v>43481</v>
      </c>
      <c r="AJ73" s="440">
        <v>43482</v>
      </c>
      <c r="AK73" s="440">
        <v>43483</v>
      </c>
      <c r="AL73" s="440">
        <v>43484</v>
      </c>
      <c r="AM73" s="440">
        <v>43485</v>
      </c>
      <c r="AN73" s="440">
        <v>43486</v>
      </c>
      <c r="AO73" s="440">
        <v>43487</v>
      </c>
      <c r="AP73" s="440">
        <v>43488</v>
      </c>
      <c r="AQ73" s="440">
        <v>43489</v>
      </c>
      <c r="AR73" s="440">
        <v>43490</v>
      </c>
      <c r="AS73" s="440">
        <v>43491</v>
      </c>
      <c r="AT73" s="440">
        <v>43492</v>
      </c>
      <c r="AU73" s="440">
        <v>43493</v>
      </c>
      <c r="AV73" s="440">
        <v>43494</v>
      </c>
      <c r="AW73" s="440">
        <v>43495</v>
      </c>
      <c r="AX73" s="440">
        <v>43496</v>
      </c>
    </row>
    <row r="74" spans="2:56" s="54" customFormat="1" ht="46.2" customHeight="1" thickBot="1">
      <c r="B74" s="388" t="str">
        <f>B83</f>
        <v>CARIB</v>
      </c>
      <c r="C74" s="442">
        <v>45659</v>
      </c>
      <c r="D74" s="443">
        <f>[23]January_2025!$E$3</f>
        <v>409.5</v>
      </c>
      <c r="E74" s="444"/>
      <c r="F74" s="445"/>
      <c r="G74" s="443">
        <f>SUM([23]January_2025!$E$7)</f>
        <v>387.5</v>
      </c>
      <c r="H74" s="446"/>
      <c r="I74" s="446"/>
      <c r="J74" s="508" t="s">
        <v>177</v>
      </c>
      <c r="K74" s="447">
        <f>[24]January_2025!$E$18</f>
        <v>1.3596491228070176</v>
      </c>
      <c r="L74" s="448">
        <f>(((D74+E74)-G74)/(D74+E74))*100</f>
        <v>5.3724053724053729</v>
      </c>
      <c r="M74" s="449" t="s">
        <v>178</v>
      </c>
      <c r="N74" s="273"/>
      <c r="O74" s="450"/>
      <c r="P74" s="50" t="s">
        <v>41</v>
      </c>
      <c r="S74" s="273" t="s">
        <v>54</v>
      </c>
      <c r="T74" s="411"/>
      <c r="U74" s="411"/>
      <c r="V74" s="411"/>
      <c r="W74" s="411"/>
      <c r="X74" s="411"/>
      <c r="Y74" s="411"/>
      <c r="Z74" s="411"/>
      <c r="AA74" s="411"/>
      <c r="AB74" s="411"/>
      <c r="AC74" s="411"/>
      <c r="AD74" s="411"/>
      <c r="AE74" s="411"/>
      <c r="AF74" s="411"/>
      <c r="AG74" s="411"/>
      <c r="AH74" s="411"/>
      <c r="AI74" s="411"/>
      <c r="AJ74" s="411"/>
      <c r="AK74" s="411"/>
      <c r="AL74" s="411"/>
      <c r="AM74" s="411"/>
      <c r="AN74" s="411"/>
      <c r="AO74" s="411"/>
      <c r="AP74" s="411"/>
      <c r="AQ74" s="411"/>
      <c r="AR74" s="411"/>
      <c r="AS74" s="411"/>
      <c r="AT74" s="411"/>
      <c r="AU74" s="411"/>
      <c r="AV74" s="411"/>
      <c r="AW74" s="411"/>
    </row>
    <row r="75" spans="2:56" s="54" customFormat="1" ht="24.6" hidden="1" customHeight="1">
      <c r="B75" s="441"/>
      <c r="C75" s="451"/>
      <c r="D75" s="452"/>
      <c r="E75" s="453"/>
      <c r="F75" s="454"/>
      <c r="G75" s="452"/>
      <c r="H75" s="412"/>
      <c r="I75" s="455"/>
      <c r="J75" s="456"/>
      <c r="K75" s="457"/>
      <c r="L75" s="458"/>
      <c r="M75" s="459"/>
      <c r="N75" s="273"/>
      <c r="O75" s="450"/>
      <c r="P75" s="50"/>
      <c r="S75" s="273"/>
      <c r="T75" s="411"/>
      <c r="U75" s="411"/>
      <c r="V75" s="411"/>
      <c r="W75" s="411"/>
      <c r="X75" s="411"/>
      <c r="Y75" s="411"/>
      <c r="Z75" s="411"/>
      <c r="AA75" s="411"/>
      <c r="AB75" s="411"/>
      <c r="AC75" s="411"/>
      <c r="AD75" s="411"/>
      <c r="AE75" s="411"/>
      <c r="AF75" s="411"/>
      <c r="AG75" s="411"/>
      <c r="AH75" s="411"/>
      <c r="AI75" s="411"/>
      <c r="AJ75" s="411"/>
      <c r="AK75" s="411"/>
      <c r="AL75" s="411"/>
      <c r="AM75" s="411"/>
      <c r="AN75" s="411"/>
      <c r="AO75" s="411"/>
      <c r="AP75" s="411"/>
      <c r="AQ75" s="411"/>
      <c r="AR75" s="411"/>
      <c r="AS75" s="411"/>
      <c r="AT75" s="411"/>
      <c r="AU75" s="411"/>
      <c r="AV75" s="411"/>
      <c r="AW75" s="411"/>
    </row>
    <row r="76" spans="2:56" s="54" customFormat="1" ht="42.6" hidden="1" customHeight="1" thickBot="1">
      <c r="B76" s="441" t="str">
        <f>I45</f>
        <v>STAG</v>
      </c>
      <c r="C76" s="442">
        <v>45644</v>
      </c>
      <c r="D76" s="443"/>
      <c r="E76" s="444"/>
      <c r="F76" s="445"/>
      <c r="G76" s="443"/>
      <c r="H76" s="446"/>
      <c r="I76" s="446"/>
      <c r="J76" s="391" t="s">
        <v>159</v>
      </c>
      <c r="K76" s="460"/>
      <c r="L76" s="461" t="e">
        <f>(((D76+E76)-G76)/(D76+E76))*100</f>
        <v>#DIV/0!</v>
      </c>
      <c r="M76" s="449"/>
      <c r="N76" s="273"/>
      <c r="O76" s="450"/>
      <c r="P76" s="50"/>
      <c r="S76" s="273"/>
      <c r="T76" s="411"/>
      <c r="U76" s="411"/>
      <c r="V76" s="411"/>
      <c r="W76" s="411"/>
      <c r="X76" s="411"/>
      <c r="Y76" s="411"/>
      <c r="Z76" s="411"/>
      <c r="AA76" s="411"/>
      <c r="AB76" s="411"/>
      <c r="AC76" s="411"/>
      <c r="AD76" s="411"/>
      <c r="AE76" s="411"/>
      <c r="AF76" s="411"/>
      <c r="AG76" s="411"/>
      <c r="AH76" s="411"/>
      <c r="AI76" s="411"/>
      <c r="AJ76" s="411"/>
      <c r="AK76" s="411"/>
      <c r="AL76" s="411"/>
      <c r="AM76" s="411"/>
      <c r="AN76" s="411"/>
      <c r="AO76" s="411"/>
      <c r="AP76" s="411"/>
      <c r="AQ76" s="411"/>
      <c r="AR76" s="411"/>
      <c r="AS76" s="411"/>
      <c r="AT76" s="411"/>
      <c r="AU76" s="411"/>
      <c r="AV76" s="411"/>
      <c r="AW76" s="411"/>
    </row>
    <row r="77" spans="2:56" s="54" customFormat="1" ht="24.6" hidden="1" customHeight="1" thickBot="1">
      <c r="B77" s="462"/>
      <c r="C77" s="463"/>
      <c r="D77" s="464"/>
      <c r="E77" s="465"/>
      <c r="F77" s="466"/>
      <c r="G77" s="464"/>
      <c r="H77" s="467"/>
      <c r="I77" s="468"/>
      <c r="J77" s="469"/>
      <c r="K77" s="470"/>
      <c r="L77" s="471"/>
      <c r="M77" s="472"/>
      <c r="N77" s="273"/>
      <c r="O77" s="450"/>
      <c r="P77" s="50"/>
      <c r="S77" s="273"/>
      <c r="T77" s="411"/>
      <c r="U77" s="411"/>
      <c r="V77" s="411"/>
      <c r="W77" s="411"/>
      <c r="X77" s="411"/>
      <c r="Y77" s="411"/>
      <c r="Z77" s="411"/>
      <c r="AA77" s="411"/>
      <c r="AB77" s="411"/>
      <c r="AC77" s="411"/>
      <c r="AD77" s="411"/>
      <c r="AE77" s="411"/>
      <c r="AF77" s="411"/>
      <c r="AG77" s="411"/>
      <c r="AH77" s="411"/>
      <c r="AI77" s="411"/>
      <c r="AJ77" s="411"/>
      <c r="AK77" s="411"/>
      <c r="AL77" s="411"/>
      <c r="AM77" s="411"/>
      <c r="AN77" s="411"/>
      <c r="AO77" s="411"/>
      <c r="AP77" s="411"/>
      <c r="AQ77" s="411"/>
      <c r="AR77" s="411"/>
      <c r="AS77" s="411"/>
      <c r="AT77" s="411"/>
      <c r="AU77" s="411"/>
      <c r="AV77" s="411"/>
      <c r="AW77" s="411"/>
    </row>
    <row r="78" spans="2:56" s="54" customFormat="1" ht="42.6" hidden="1" customHeight="1" thickBot="1">
      <c r="B78" s="473"/>
      <c r="C78" s="442"/>
      <c r="D78" s="443"/>
      <c r="E78" s="444"/>
      <c r="F78" s="445"/>
      <c r="G78" s="443"/>
      <c r="H78" s="474"/>
      <c r="I78" s="383"/>
      <c r="J78" s="475" t="s">
        <v>160</v>
      </c>
      <c r="K78" s="476"/>
      <c r="L78" s="477" t="e">
        <f>(((D78+E78)-G78)/(D78+E78))*100</f>
        <v>#DIV/0!</v>
      </c>
      <c r="M78" s="449" t="s">
        <v>161</v>
      </c>
      <c r="N78" s="273"/>
      <c r="O78" s="450"/>
      <c r="P78" s="50"/>
      <c r="S78" s="273"/>
      <c r="T78" s="411"/>
      <c r="U78" s="411"/>
      <c r="V78" s="411"/>
      <c r="W78" s="411"/>
      <c r="X78" s="411"/>
      <c r="Y78" s="411"/>
      <c r="Z78" s="411"/>
      <c r="AA78" s="411"/>
      <c r="AB78" s="411"/>
      <c r="AC78" s="411"/>
      <c r="AD78" s="411"/>
      <c r="AE78" s="411"/>
      <c r="AF78" s="411"/>
      <c r="AG78" s="411"/>
      <c r="AH78" s="411"/>
      <c r="AI78" s="411"/>
      <c r="AJ78" s="411"/>
      <c r="AK78" s="411"/>
      <c r="AL78" s="411"/>
      <c r="AM78" s="411"/>
      <c r="AN78" s="411"/>
      <c r="AO78" s="411"/>
      <c r="AP78" s="411"/>
      <c r="AQ78" s="411"/>
      <c r="AR78" s="411"/>
      <c r="AS78" s="411"/>
      <c r="AT78" s="411"/>
      <c r="AU78" s="411"/>
      <c r="AV78" s="411"/>
      <c r="AW78" s="411"/>
    </row>
    <row r="79" spans="2:56" ht="14.4" thickBot="1">
      <c r="B79" s="478"/>
      <c r="C79" s="479"/>
      <c r="D79" s="410"/>
      <c r="E79" s="410"/>
      <c r="F79" s="410"/>
      <c r="G79" s="410"/>
      <c r="H79" s="480"/>
      <c r="I79" s="354"/>
      <c r="J79" s="52"/>
      <c r="K79" s="52"/>
      <c r="L79" s="481"/>
      <c r="M79" s="482"/>
      <c r="N79" s="77"/>
      <c r="O79" s="13"/>
      <c r="P79" s="56"/>
    </row>
    <row r="80" spans="2:56" ht="14.4" thickBot="1">
      <c r="B80" s="58"/>
      <c r="C80" s="310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9"/>
      <c r="O80" s="56"/>
      <c r="P80" s="60"/>
    </row>
    <row r="81" spans="2:16" ht="14.4" thickBot="1">
      <c r="B81" s="610" t="s">
        <v>55</v>
      </c>
      <c r="C81" s="611"/>
      <c r="D81" s="611"/>
      <c r="E81" s="611"/>
      <c r="F81" s="612"/>
      <c r="G81" s="610" t="s">
        <v>56</v>
      </c>
      <c r="H81" s="611"/>
      <c r="I81" s="611"/>
      <c r="J81" s="612"/>
      <c r="K81" s="610" t="s">
        <v>51</v>
      </c>
      <c r="L81" s="611"/>
      <c r="M81" s="611"/>
      <c r="N81" s="613"/>
      <c r="O81" s="56"/>
      <c r="P81" s="50"/>
    </row>
    <row r="82" spans="2:16">
      <c r="B82" s="61" t="s">
        <v>17</v>
      </c>
      <c r="C82" s="62" t="s">
        <v>36</v>
      </c>
      <c r="D82" s="62" t="s">
        <v>37</v>
      </c>
      <c r="E82" s="62" t="s">
        <v>38</v>
      </c>
      <c r="F82" s="63" t="s">
        <v>39</v>
      </c>
      <c r="G82" s="62" t="s">
        <v>36</v>
      </c>
      <c r="H82" s="62" t="s">
        <v>37</v>
      </c>
      <c r="I82" s="62" t="s">
        <v>38</v>
      </c>
      <c r="J82" s="63" t="s">
        <v>39</v>
      </c>
      <c r="K82" s="62" t="s">
        <v>36</v>
      </c>
      <c r="L82" s="62" t="s">
        <v>37</v>
      </c>
      <c r="M82" s="62" t="s">
        <v>38</v>
      </c>
      <c r="N82" s="63" t="s">
        <v>39</v>
      </c>
      <c r="O82" s="56"/>
      <c r="P82" s="64"/>
    </row>
    <row r="83" spans="2:16">
      <c r="B83" s="29" t="s">
        <v>6</v>
      </c>
      <c r="C83" s="76">
        <f>L74</f>
        <v>5.3724053724053729</v>
      </c>
      <c r="D83" s="76">
        <f>C83</f>
        <v>5.3724053724053729</v>
      </c>
      <c r="E83" s="76"/>
      <c r="F83" s="66">
        <v>4.8</v>
      </c>
      <c r="G83" s="76">
        <f>[23]January_2025!$E$11</f>
        <v>5.6017129522783913</v>
      </c>
      <c r="H83" s="76">
        <f>G83</f>
        <v>5.6017129522783913</v>
      </c>
      <c r="I83" s="76"/>
      <c r="J83" s="66">
        <v>4.8</v>
      </c>
      <c r="K83" s="194">
        <f>K74</f>
        <v>1.3596491228070176</v>
      </c>
      <c r="L83" s="194">
        <f>K83</f>
        <v>1.3596491228070176</v>
      </c>
      <c r="M83" s="194"/>
      <c r="N83" s="68">
        <v>1</v>
      </c>
      <c r="O83" s="56"/>
      <c r="P83" s="69"/>
    </row>
    <row r="84" spans="2:16" ht="14.25" customHeight="1">
      <c r="B84" s="33" t="s">
        <v>9</v>
      </c>
      <c r="C84" s="76"/>
      <c r="D84" s="76"/>
      <c r="E84" s="76"/>
      <c r="F84" s="66">
        <v>4.8</v>
      </c>
      <c r="G84" s="76"/>
      <c r="H84" s="76"/>
      <c r="I84" s="76"/>
      <c r="J84" s="66">
        <v>4.8</v>
      </c>
      <c r="K84" s="194"/>
      <c r="L84" s="194"/>
      <c r="M84" s="194"/>
      <c r="N84" s="68">
        <v>1</v>
      </c>
      <c r="P84" s="69"/>
    </row>
    <row r="85" spans="2:16" ht="14.25" customHeight="1">
      <c r="B85" s="34" t="s">
        <v>40</v>
      </c>
      <c r="C85" s="76"/>
      <c r="D85" s="76"/>
      <c r="E85" s="76"/>
      <c r="F85" s="66">
        <v>5.5</v>
      </c>
      <c r="G85" s="76"/>
      <c r="H85" s="76"/>
      <c r="I85" s="76"/>
      <c r="J85" s="66">
        <v>5.5</v>
      </c>
      <c r="K85" s="194"/>
      <c r="L85" s="194"/>
      <c r="M85" s="194"/>
      <c r="N85" s="68">
        <v>1</v>
      </c>
      <c r="P85" s="69"/>
    </row>
    <row r="86" spans="2:16" ht="14.25" customHeight="1">
      <c r="B86" s="22" t="s">
        <v>33</v>
      </c>
      <c r="C86" s="76"/>
      <c r="D86" s="76"/>
      <c r="E86" s="76"/>
      <c r="F86" s="66">
        <v>3.3</v>
      </c>
      <c r="G86" s="76"/>
      <c r="H86" s="76"/>
      <c r="I86" s="76"/>
      <c r="J86" s="66">
        <v>3.3</v>
      </c>
      <c r="K86" s="194"/>
      <c r="L86" s="194"/>
      <c r="M86" s="194"/>
      <c r="N86" s="68">
        <v>1</v>
      </c>
      <c r="P86" s="69"/>
    </row>
    <row r="87" spans="2:16" ht="14.25" customHeight="1" thickBot="1">
      <c r="B87" s="38" t="s">
        <v>162</v>
      </c>
      <c r="C87" s="76"/>
      <c r="D87" s="76"/>
      <c r="E87" s="76"/>
      <c r="F87" s="66">
        <v>3.3</v>
      </c>
      <c r="G87" s="76"/>
      <c r="H87" s="76"/>
      <c r="I87" s="76"/>
      <c r="J87" s="66">
        <v>3</v>
      </c>
      <c r="K87" s="194"/>
      <c r="L87" s="194"/>
      <c r="M87" s="194"/>
      <c r="N87" s="68">
        <v>1</v>
      </c>
      <c r="P87" s="69"/>
    </row>
    <row r="88" spans="2:16" ht="14.25" customHeight="1">
      <c r="B88" s="36" t="s">
        <v>15</v>
      </c>
      <c r="C88" s="76"/>
      <c r="D88" s="76"/>
      <c r="E88" s="76"/>
      <c r="F88" s="70">
        <f>[21]May_2022!$M$43</f>
        <v>3.4878406700073312</v>
      </c>
      <c r="G88" s="76"/>
      <c r="H88" s="76"/>
      <c r="I88" s="76"/>
      <c r="J88" s="70">
        <v>5.5</v>
      </c>
      <c r="K88" s="194"/>
      <c r="L88" s="194"/>
      <c r="M88" s="194"/>
      <c r="N88" s="68">
        <v>1</v>
      </c>
      <c r="P88" s="69"/>
    </row>
    <row r="89" spans="2:16" ht="14.25" customHeight="1">
      <c r="B89" s="37" t="s">
        <v>16</v>
      </c>
      <c r="C89" s="76"/>
      <c r="D89" s="76"/>
      <c r="E89" s="76"/>
      <c r="F89" s="70">
        <v>3.3</v>
      </c>
      <c r="G89" s="76"/>
      <c r="H89" s="76"/>
      <c r="I89" s="76"/>
      <c r="J89" s="70">
        <v>3.3</v>
      </c>
      <c r="K89" s="194"/>
      <c r="L89" s="194"/>
      <c r="M89" s="194"/>
      <c r="N89" s="71">
        <v>1</v>
      </c>
      <c r="P89" s="69"/>
    </row>
    <row r="90" spans="2:16" ht="15" customHeight="1" thickBot="1">
      <c r="B90" s="38" t="s">
        <v>163</v>
      </c>
      <c r="C90" s="76"/>
      <c r="D90" s="76"/>
      <c r="E90" s="76"/>
      <c r="F90" s="72">
        <v>7.5</v>
      </c>
      <c r="G90" s="76"/>
      <c r="H90" s="76"/>
      <c r="I90" s="76"/>
      <c r="J90" s="72">
        <v>7.5</v>
      </c>
      <c r="K90" s="194"/>
      <c r="L90" s="194"/>
      <c r="M90" s="194"/>
      <c r="N90" s="71">
        <v>1</v>
      </c>
      <c r="P90" s="69"/>
    </row>
    <row r="91" spans="2:16">
      <c r="D91" s="76"/>
      <c r="E91" s="76"/>
      <c r="F91" s="483">
        <v>5</v>
      </c>
      <c r="G91" s="74"/>
      <c r="H91" s="76"/>
      <c r="I91" s="76"/>
      <c r="J91" s="484">
        <v>5</v>
      </c>
      <c r="L91" s="194"/>
      <c r="M91" s="194"/>
      <c r="N91" s="485">
        <v>1</v>
      </c>
      <c r="O91" s="74"/>
      <c r="P91" s="75"/>
    </row>
  </sheetData>
  <mergeCells count="54">
    <mergeCell ref="U1:V1"/>
    <mergeCell ref="W1:X1"/>
    <mergeCell ref="Y1:Z1"/>
    <mergeCell ref="B2:O2"/>
    <mergeCell ref="J6:K7"/>
    <mergeCell ref="M4:N4"/>
    <mergeCell ref="S1:T1"/>
    <mergeCell ref="C4:D4"/>
    <mergeCell ref="J4:K5"/>
    <mergeCell ref="B8:B9"/>
    <mergeCell ref="C8:C9"/>
    <mergeCell ref="D8:D9"/>
    <mergeCell ref="G8:G9"/>
    <mergeCell ref="H8:H9"/>
    <mergeCell ref="D43:E43"/>
    <mergeCell ref="B44:B56"/>
    <mergeCell ref="D44:E45"/>
    <mergeCell ref="D46:E47"/>
    <mergeCell ref="D48:E49"/>
    <mergeCell ref="D50:E51"/>
    <mergeCell ref="J57:K57"/>
    <mergeCell ref="L8:L9"/>
    <mergeCell ref="O8:O9"/>
    <mergeCell ref="P8:P9"/>
    <mergeCell ref="I42:N42"/>
    <mergeCell ref="I8:I9"/>
    <mergeCell ref="J8:J9"/>
    <mergeCell ref="K8:K9"/>
    <mergeCell ref="D67:E67"/>
    <mergeCell ref="D52:E53"/>
    <mergeCell ref="D54:E55"/>
    <mergeCell ref="D56:E56"/>
    <mergeCell ref="B57:B66"/>
    <mergeCell ref="D57:E58"/>
    <mergeCell ref="L58:N58"/>
    <mergeCell ref="D59:E60"/>
    <mergeCell ref="D61:E62"/>
    <mergeCell ref="D63:E64"/>
    <mergeCell ref="D65:E66"/>
    <mergeCell ref="B81:F81"/>
    <mergeCell ref="G81:J81"/>
    <mergeCell ref="K81:N81"/>
    <mergeCell ref="H72:H73"/>
    <mergeCell ref="I72:I73"/>
    <mergeCell ref="J72:J73"/>
    <mergeCell ref="K72:K73"/>
    <mergeCell ref="L72:L73"/>
    <mergeCell ref="M72:M73"/>
    <mergeCell ref="B72:B73"/>
    <mergeCell ref="C72:C73"/>
    <mergeCell ref="D72:D73"/>
    <mergeCell ref="E72:E73"/>
    <mergeCell ref="F72:F73"/>
    <mergeCell ref="G72:G73"/>
  </mergeCells>
  <conditionalFormatting sqref="B67:B68">
    <cfRule type="cellIs" dxfId="2746" priority="101" operator="notBetween">
      <formula>#REF!</formula>
      <formula>#REF!</formula>
    </cfRule>
  </conditionalFormatting>
  <conditionalFormatting sqref="C71">
    <cfRule type="cellIs" dxfId="2745" priority="113" stopIfTrue="1" operator="greaterThan">
      <formula>100</formula>
    </cfRule>
    <cfRule type="cellIs" dxfId="2744" priority="112" stopIfTrue="1" operator="lessThan">
      <formula>96</formula>
    </cfRule>
  </conditionalFormatting>
  <conditionalFormatting sqref="C83:C90">
    <cfRule type="cellIs" dxfId="2743" priority="64" stopIfTrue="1" operator="greaterThan">
      <formula>$F83</formula>
    </cfRule>
    <cfRule type="cellIs" dxfId="2742" priority="65" stopIfTrue="1" operator="lessThanOrEqual">
      <formula>0</formula>
    </cfRule>
  </conditionalFormatting>
  <conditionalFormatting sqref="D67:D68">
    <cfRule type="cellIs" dxfId="2741" priority="102" operator="notBetween">
      <formula>#REF!</formula>
      <formula>#REF!</formula>
    </cfRule>
  </conditionalFormatting>
  <conditionalFormatting sqref="D83:D90">
    <cfRule type="cellIs" dxfId="2740" priority="92" stopIfTrue="1" operator="lessThanOrEqual">
      <formula>0</formula>
    </cfRule>
  </conditionalFormatting>
  <conditionalFormatting sqref="D91">
    <cfRule type="cellIs" dxfId="2739" priority="91" stopIfTrue="1" operator="lessThanOrEqual">
      <formula>0</formula>
    </cfRule>
  </conditionalFormatting>
  <conditionalFormatting sqref="D83:E91">
    <cfRule type="cellIs" dxfId="2738" priority="86" stopIfTrue="1" operator="greaterThan">
      <formula>$F83</formula>
    </cfRule>
  </conditionalFormatting>
  <conditionalFormatting sqref="E10:E41">
    <cfRule type="cellIs" dxfId="2737" priority="8" operator="lessThan">
      <formula>48</formula>
    </cfRule>
  </conditionalFormatting>
  <conditionalFormatting sqref="E71">
    <cfRule type="cellIs" dxfId="2736" priority="107" stopIfTrue="1" operator="greaterThan">
      <formula>100</formula>
    </cfRule>
    <cfRule type="cellIs" dxfId="2735" priority="106" stopIfTrue="1" operator="lessThan">
      <formula>96.8</formula>
    </cfRule>
  </conditionalFormatting>
  <conditionalFormatting sqref="E83:E91">
    <cfRule type="cellIs" dxfId="2734" priority="87" stopIfTrue="1" operator="lessThanOrEqual">
      <formula>0</formula>
    </cfRule>
  </conditionalFormatting>
  <conditionalFormatting sqref="E70:F71">
    <cfRule type="cellIs" dxfId="2733" priority="109" stopIfTrue="1" operator="greaterThan">
      <formula>100</formula>
    </cfRule>
    <cfRule type="cellIs" dxfId="2732" priority="108" stopIfTrue="1" operator="lessThan">
      <formula>96.5</formula>
    </cfRule>
  </conditionalFormatting>
  <conditionalFormatting sqref="F10:F41">
    <cfRule type="cellIs" dxfId="2731" priority="7" operator="greaterThan">
      <formula>60</formula>
    </cfRule>
  </conditionalFormatting>
  <conditionalFormatting sqref="F71">
    <cfRule type="cellIs" dxfId="2730" priority="110" stopIfTrue="1" operator="lessThan">
      <formula>96.8</formula>
    </cfRule>
    <cfRule type="cellIs" dxfId="2729" priority="111" stopIfTrue="1" operator="greaterThan">
      <formula>100</formula>
    </cfRule>
  </conditionalFormatting>
  <conditionalFormatting sqref="F91">
    <cfRule type="cellIs" dxfId="2728" priority="88" stopIfTrue="1" operator="greaterThan">
      <formula>$F91</formula>
    </cfRule>
    <cfRule type="cellIs" dxfId="2727" priority="89" stopIfTrue="1" operator="lessThanOrEqual">
      <formula>0</formula>
    </cfRule>
  </conditionalFormatting>
  <conditionalFormatting sqref="G91">
    <cfRule type="cellIs" dxfId="2726" priority="93" operator="greaterThan">
      <formula>4.5</formula>
    </cfRule>
  </conditionalFormatting>
  <conditionalFormatting sqref="G10:H41">
    <cfRule type="expression" dxfId="2725" priority="14">
      <formula>IF(+(IF(G10&lt;#REF!,0,IF(G10&gt;#REF!,0,1)))=0,1)</formula>
    </cfRule>
  </conditionalFormatting>
  <conditionalFormatting sqref="G57:H57 G58:G68">
    <cfRule type="cellIs" dxfId="2724" priority="105" stopIfTrue="1" operator="greaterThan">
      <formula>0</formula>
    </cfRule>
  </conditionalFormatting>
  <conditionalFormatting sqref="G83:H90">
    <cfRule type="cellIs" dxfId="2723" priority="63" stopIfTrue="1" operator="lessThanOrEqual">
      <formula>0</formula>
    </cfRule>
    <cfRule type="cellIs" dxfId="2722" priority="62" stopIfTrue="1" operator="greaterThan">
      <formula>$J83</formula>
    </cfRule>
  </conditionalFormatting>
  <conditionalFormatting sqref="H45:H56">
    <cfRule type="cellIs" dxfId="2721" priority="103" stopIfTrue="1" operator="greaterThan">
      <formula>0</formula>
    </cfRule>
  </conditionalFormatting>
  <conditionalFormatting sqref="H74">
    <cfRule type="cellIs" dxfId="2720" priority="59" stopIfTrue="1" operator="lessThanOrEqual">
      <formula>0</formula>
    </cfRule>
    <cfRule type="cellIs" dxfId="2719" priority="58" stopIfTrue="1" operator="greaterThan">
      <formula>$F$70</formula>
    </cfRule>
    <cfRule type="cellIs" dxfId="2718" priority="57" stopIfTrue="1" operator="lessThanOrEqual">
      <formula>0</formula>
    </cfRule>
    <cfRule type="cellIs" dxfId="2717" priority="56" stopIfTrue="1" operator="greaterThan">
      <formula>$F$67</formula>
    </cfRule>
    <cfRule type="cellIs" dxfId="2716" priority="60" stopIfTrue="1" operator="greaterThan">
      <formula>$F$68</formula>
    </cfRule>
    <cfRule type="cellIs" dxfId="2715" priority="61" stopIfTrue="1" operator="lessThanOrEqual">
      <formula>0</formula>
    </cfRule>
  </conditionalFormatting>
  <conditionalFormatting sqref="H75 H77">
    <cfRule type="cellIs" dxfId="2714" priority="70" stopIfTrue="1" operator="lessThanOrEqual">
      <formula>0</formula>
    </cfRule>
    <cfRule type="cellIs" dxfId="2713" priority="71" stopIfTrue="1" operator="greaterThan">
      <formula>#REF!</formula>
    </cfRule>
  </conditionalFormatting>
  <conditionalFormatting sqref="H76">
    <cfRule type="cellIs" dxfId="2712" priority="43" stopIfTrue="1" operator="lessThanOrEqual">
      <formula>0</formula>
    </cfRule>
    <cfRule type="cellIs" dxfId="2711" priority="44" stopIfTrue="1" operator="greaterThan">
      <formula>$F$67</formula>
    </cfRule>
    <cfRule type="cellIs" dxfId="2710" priority="52" stopIfTrue="1" operator="greaterThan">
      <formula>$F$70</formula>
    </cfRule>
    <cfRule type="cellIs" dxfId="2709" priority="53" stopIfTrue="1" operator="lessThanOrEqual">
      <formula>0</formula>
    </cfRule>
    <cfRule type="cellIs" dxfId="2708" priority="55" stopIfTrue="1" operator="lessThanOrEqual">
      <formula>0</formula>
    </cfRule>
    <cfRule type="cellIs" dxfId="2707" priority="54" stopIfTrue="1" operator="greaterThan">
      <formula>$F$68</formula>
    </cfRule>
  </conditionalFormatting>
  <conditionalFormatting sqref="H78">
    <cfRule type="cellIs" dxfId="2706" priority="41" stopIfTrue="1" operator="lessThanOrEqual">
      <formula>0</formula>
    </cfRule>
    <cfRule type="cellIs" dxfId="2705" priority="30" stopIfTrue="1" operator="greaterThan">
      <formula>$F$67</formula>
    </cfRule>
    <cfRule type="cellIs" dxfId="2704" priority="40" stopIfTrue="1" operator="greaterThan">
      <formula>$F$68</formula>
    </cfRule>
    <cfRule type="cellIs" dxfId="2703" priority="29" stopIfTrue="1" operator="lessThanOrEqual">
      <formula>0</formula>
    </cfRule>
    <cfRule type="cellIs" dxfId="2702" priority="39" stopIfTrue="1" operator="lessThanOrEqual">
      <formula>0</formula>
    </cfRule>
    <cfRule type="cellIs" dxfId="2701" priority="38" stopIfTrue="1" operator="greaterThan">
      <formula>$F$70</formula>
    </cfRule>
  </conditionalFormatting>
  <conditionalFormatting sqref="H79">
    <cfRule type="cellIs" dxfId="2700" priority="100" stopIfTrue="1" operator="lessThanOrEqual">
      <formula>0</formula>
    </cfRule>
    <cfRule type="cellIs" dxfId="2699" priority="97" stopIfTrue="1" operator="greaterThan">
      <formula>$F$80</formula>
    </cfRule>
    <cfRule type="cellIs" dxfId="2698" priority="98" stopIfTrue="1" operator="lessThanOrEqual">
      <formula>0</formula>
    </cfRule>
    <cfRule type="cellIs" dxfId="2697" priority="99" stopIfTrue="1" operator="greaterThan">
      <formula>#REF!</formula>
    </cfRule>
  </conditionalFormatting>
  <conditionalFormatting sqref="H91">
    <cfRule type="cellIs" dxfId="2696" priority="83" operator="greaterThan">
      <formula>5.3</formula>
    </cfRule>
  </conditionalFormatting>
  <conditionalFormatting sqref="H74:I74">
    <cfRule type="cellIs" dxfId="2695" priority="24" stopIfTrue="1" operator="greaterThan">
      <formula>$F$69</formula>
    </cfRule>
    <cfRule type="cellIs" dxfId="2694" priority="27" stopIfTrue="1" operator="lessThanOrEqual">
      <formula>0</formula>
    </cfRule>
  </conditionalFormatting>
  <conditionalFormatting sqref="H75:I75 H77:I77">
    <cfRule type="cellIs" dxfId="2693" priority="72" stopIfTrue="1" operator="lessThanOrEqual">
      <formula>0</formula>
    </cfRule>
    <cfRule type="cellIs" dxfId="2692" priority="77" stopIfTrue="1" operator="greaterThan">
      <formula>#REF!</formula>
    </cfRule>
    <cfRule type="cellIs" dxfId="2691" priority="78" stopIfTrue="1" operator="lessThanOrEqual">
      <formula>0</formula>
    </cfRule>
    <cfRule type="cellIs" dxfId="2690" priority="73" stopIfTrue="1" operator="greaterThan">
      <formula>#REF!</formula>
    </cfRule>
    <cfRule type="cellIs" dxfId="2689" priority="69" stopIfTrue="1" operator="greaterThan">
      <formula>#REF!</formula>
    </cfRule>
  </conditionalFormatting>
  <conditionalFormatting sqref="H76:I76">
    <cfRule type="cellIs" dxfId="2688" priority="42" stopIfTrue="1" operator="greaterThan">
      <formula>$F$69</formula>
    </cfRule>
    <cfRule type="cellIs" dxfId="2687" priority="45" stopIfTrue="1" operator="lessThanOrEqual">
      <formula>0</formula>
    </cfRule>
  </conditionalFormatting>
  <conditionalFormatting sqref="H78:I78">
    <cfRule type="cellIs" dxfId="2686" priority="28" stopIfTrue="1" operator="greaterThan">
      <formula>$F$69</formula>
    </cfRule>
    <cfRule type="cellIs" dxfId="2685" priority="31" stopIfTrue="1" operator="lessThanOrEqual">
      <formula>0</formula>
    </cfRule>
  </conditionalFormatting>
  <conditionalFormatting sqref="I74">
    <cfRule type="cellIs" dxfId="2684" priority="21" stopIfTrue="1" operator="lessThanOrEqual">
      <formula>0</formula>
    </cfRule>
    <cfRule type="cellIs" dxfId="2683" priority="22" stopIfTrue="1" operator="greaterThan">
      <formula>$F$67</formula>
    </cfRule>
    <cfRule type="cellIs" dxfId="2682" priority="23" stopIfTrue="1" operator="lessThanOrEqual">
      <formula>0</formula>
    </cfRule>
    <cfRule type="cellIs" dxfId="2681" priority="26" stopIfTrue="1" operator="greaterThan">
      <formula>$F$67</formula>
    </cfRule>
    <cfRule type="cellIs" dxfId="2680" priority="25" stopIfTrue="1" operator="lessThanOrEqual">
      <formula>0</formula>
    </cfRule>
    <cfRule type="cellIs" dxfId="2679" priority="20" stopIfTrue="1" operator="greaterThan">
      <formula>$F$69</formula>
    </cfRule>
  </conditionalFormatting>
  <conditionalFormatting sqref="I75 I77">
    <cfRule type="cellIs" dxfId="2678" priority="74" stopIfTrue="1" operator="lessThanOrEqual">
      <formula>0</formula>
    </cfRule>
    <cfRule type="cellIs" dxfId="2677" priority="75" stopIfTrue="1" operator="greaterThan">
      <formula>#REF!</formula>
    </cfRule>
    <cfRule type="cellIs" dxfId="2676" priority="76" stopIfTrue="1" operator="lessThanOrEqual">
      <formula>0</formula>
    </cfRule>
  </conditionalFormatting>
  <conditionalFormatting sqref="I76">
    <cfRule type="cellIs" dxfId="2675" priority="47" stopIfTrue="1" operator="lessThanOrEqual">
      <formula>0</formula>
    </cfRule>
    <cfRule type="cellIs" dxfId="2674" priority="51" stopIfTrue="1" operator="lessThanOrEqual">
      <formula>0</formula>
    </cfRule>
    <cfRule type="cellIs" dxfId="2673" priority="50" stopIfTrue="1" operator="greaterThan">
      <formula>$F$67</formula>
    </cfRule>
    <cfRule type="cellIs" dxfId="2672" priority="48" stopIfTrue="1" operator="greaterThan">
      <formula>$F$69</formula>
    </cfRule>
    <cfRule type="cellIs" dxfId="2671" priority="49" stopIfTrue="1" operator="lessThanOrEqual">
      <formula>0</formula>
    </cfRule>
    <cfRule type="cellIs" dxfId="2670" priority="46" stopIfTrue="1" operator="greaterThan">
      <formula>$F$67</formula>
    </cfRule>
  </conditionalFormatting>
  <conditionalFormatting sqref="I78">
    <cfRule type="cellIs" dxfId="2669" priority="37" stopIfTrue="1" operator="lessThanOrEqual">
      <formula>0</formula>
    </cfRule>
    <cfRule type="cellIs" dxfId="2668" priority="36" stopIfTrue="1" operator="greaterThan">
      <formula>$F$67</formula>
    </cfRule>
    <cfRule type="cellIs" dxfId="2667" priority="35" stopIfTrue="1" operator="lessThanOrEqual">
      <formula>0</formula>
    </cfRule>
    <cfRule type="cellIs" dxfId="2666" priority="34" stopIfTrue="1" operator="greaterThan">
      <formula>$F$69</formula>
    </cfRule>
    <cfRule type="cellIs" dxfId="2665" priority="33" stopIfTrue="1" operator="lessThanOrEqual">
      <formula>0</formula>
    </cfRule>
    <cfRule type="cellIs" dxfId="2664" priority="32" stopIfTrue="1" operator="greaterThan">
      <formula>$F$67</formula>
    </cfRule>
  </conditionalFormatting>
  <conditionalFormatting sqref="I83:I91">
    <cfRule type="cellIs" dxfId="2663" priority="84" stopIfTrue="1" operator="greaterThan">
      <formula>$J83</formula>
    </cfRule>
    <cfRule type="cellIs" dxfId="2662" priority="85" stopIfTrue="1" operator="lessThanOrEqual">
      <formula>0</formula>
    </cfRule>
  </conditionalFormatting>
  <conditionalFormatting sqref="I10:J41">
    <cfRule type="cellIs" dxfId="2661" priority="10" operator="lessThan">
      <formula>97.9</formula>
    </cfRule>
  </conditionalFormatting>
  <conditionalFormatting sqref="J44:J53">
    <cfRule type="cellIs" dxfId="2660" priority="79" operator="lessThan">
      <formula>98</formula>
    </cfRule>
  </conditionalFormatting>
  <conditionalFormatting sqref="K10:K41">
    <cfRule type="cellIs" dxfId="2659" priority="9" operator="greaterThan">
      <formula>6.4</formula>
    </cfRule>
    <cfRule type="cellIs" dxfId="2658" priority="3" operator="lessThan">
      <formula>4</formula>
    </cfRule>
    <cfRule type="cellIs" dxfId="2657" priority="4" operator="greaterThan">
      <formula>6</formula>
    </cfRule>
  </conditionalFormatting>
  <conditionalFormatting sqref="K59:K68">
    <cfRule type="cellIs" dxfId="2656" priority="90" operator="notEqual">
      <formula>#REF!</formula>
    </cfRule>
  </conditionalFormatting>
  <conditionalFormatting sqref="K74:K78 J79:K79 K83:N90 L91:N91">
    <cfRule type="cellIs" dxfId="2655" priority="96" stopIfTrue="1" operator="lessThan">
      <formula>100%</formula>
    </cfRule>
  </conditionalFormatting>
  <conditionalFormatting sqref="L10:L41">
    <cfRule type="cellIs" dxfId="2654" priority="6" operator="greaterThan">
      <formula>65</formula>
    </cfRule>
    <cfRule type="cellIs" dxfId="2653" priority="5" operator="between">
      <formula>61</formula>
      <formula>65</formula>
    </cfRule>
  </conditionalFormatting>
  <conditionalFormatting sqref="L44:M54">
    <cfRule type="cellIs" dxfId="2652" priority="19" operator="lessThan">
      <formula>98</formula>
    </cfRule>
  </conditionalFormatting>
  <conditionalFormatting sqref="L56:M56">
    <cfRule type="cellIs" dxfId="2651" priority="82" operator="lessThan">
      <formula>98</formula>
    </cfRule>
  </conditionalFormatting>
  <conditionalFormatting sqref="L60:N60">
    <cfRule type="cellIs" dxfId="2650" priority="66" operator="notEqual">
      <formula>#REF!</formula>
    </cfRule>
  </conditionalFormatting>
  <conditionalFormatting sqref="M10:M41">
    <cfRule type="expression" dxfId="2649" priority="1">
      <formula>IF(+(IF(M10&lt;U10,0,IF(M10&gt;V10,0,1)))=0,1)</formula>
    </cfRule>
  </conditionalFormatting>
  <conditionalFormatting sqref="M6:N6">
    <cfRule type="cellIs" dxfId="2648" priority="80" operator="greaterThanOrEqual">
      <formula>15</formula>
    </cfRule>
    <cfRule type="cellIs" dxfId="2647" priority="81" operator="greaterThanOrEqual">
      <formula>19</formula>
    </cfRule>
  </conditionalFormatting>
  <conditionalFormatting sqref="N10:N41">
    <cfRule type="expression" dxfId="2646" priority="2">
      <formula>IF(+(IF(N10&lt;W10,0,IF(N10&gt;X10,0,1)))=0,1)</formula>
    </cfRule>
  </conditionalFormatting>
  <conditionalFormatting sqref="P6">
    <cfRule type="cellIs" dxfId="2645" priority="104" operator="greaterThanOrEqual">
      <formula>19</formula>
    </cfRule>
  </conditionalFormatting>
  <dataValidations disablePrompts="1" count="1">
    <dataValidation type="list" allowBlank="1" showInputMessage="1" showErrorMessage="1" sqref="R8" xr:uid="{890A66B2-E4DE-4C13-A972-B8188D646D43}">
      <formula1>ProductList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00E2-8EA6-4013-AF7C-CF18FE6C4F62}">
  <dimension ref="A1:BD91"/>
  <sheetViews>
    <sheetView topLeftCell="A57" zoomScale="80" zoomScaleNormal="80" workbookViewId="0">
      <selection activeCell="K70" sqref="K70"/>
    </sheetView>
  </sheetViews>
  <sheetFormatPr defaultColWidth="9.44140625" defaultRowHeight="13.8"/>
  <cols>
    <col min="1" max="1" width="3.44140625" style="276" customWidth="1"/>
    <col min="2" max="2" width="23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4.6640625" style="276" customWidth="1"/>
    <col min="10" max="10" width="25.109375" style="276" customWidth="1"/>
    <col min="11" max="11" width="18.5546875" style="276" customWidth="1"/>
    <col min="12" max="12" width="15.6640625" style="276" customWidth="1"/>
    <col min="13" max="13" width="17.5546875" style="276" customWidth="1"/>
    <col min="14" max="14" width="10.6640625" style="276" customWidth="1"/>
    <col min="15" max="15" width="14.5546875" style="276" customWidth="1"/>
    <col min="16" max="16" width="36.5546875" style="6" customWidth="1"/>
    <col min="17" max="17" width="16.5546875" style="276" customWidth="1"/>
    <col min="18" max="18" width="15.6640625" style="276" bestFit="1" customWidth="1"/>
    <col min="19" max="19" width="12.44140625" style="276" customWidth="1"/>
    <col min="20" max="20" width="15" style="276" customWidth="1"/>
    <col min="21" max="21" width="12" style="276" customWidth="1"/>
    <col min="22" max="22" width="10.44140625" style="276" customWidth="1"/>
    <col min="23" max="23" width="11.44140625" style="276" customWidth="1"/>
    <col min="24" max="24" width="10.44140625" style="276" customWidth="1"/>
    <col min="25" max="25" width="8.44140625" style="276" customWidth="1"/>
    <col min="26" max="26" width="9.5546875" style="276" customWidth="1"/>
    <col min="27" max="27" width="8.44140625" style="276" customWidth="1"/>
    <col min="28" max="29" width="7.5546875" style="276" customWidth="1"/>
    <col min="30" max="51" width="9.44140625" style="276"/>
    <col min="52" max="52" width="1.5546875" style="276" customWidth="1"/>
    <col min="53" max="54" width="9.44140625" style="276"/>
    <col min="55" max="56" width="15.44140625" style="276" customWidth="1"/>
    <col min="57" max="16384" width="9.44140625" style="276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13"/>
      <c r="S1" s="641" t="s">
        <v>0</v>
      </c>
      <c r="T1" s="641"/>
      <c r="U1" s="641" t="s">
        <v>1</v>
      </c>
      <c r="V1" s="641"/>
      <c r="W1" s="641" t="s">
        <v>2</v>
      </c>
      <c r="X1" s="641"/>
      <c r="Y1" s="641" t="s">
        <v>124</v>
      </c>
      <c r="Z1" s="641"/>
    </row>
    <row r="2" spans="2:29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R2" s="413"/>
      <c r="S2" s="413" t="s">
        <v>4</v>
      </c>
      <c r="T2" s="413" t="s">
        <v>5</v>
      </c>
      <c r="U2" s="413" t="s">
        <v>4</v>
      </c>
      <c r="V2" s="413" t="s">
        <v>5</v>
      </c>
      <c r="W2" s="413" t="s">
        <v>4</v>
      </c>
      <c r="X2" s="413" t="s">
        <v>5</v>
      </c>
      <c r="Y2" s="413" t="s">
        <v>4</v>
      </c>
      <c r="Z2" s="413" t="s">
        <v>5</v>
      </c>
    </row>
    <row r="3" spans="2:29" ht="14.25" customHeight="1">
      <c r="B3" s="5"/>
      <c r="R3" s="413" t="s">
        <v>6</v>
      </c>
      <c r="S3" s="414">
        <v>11.6</v>
      </c>
      <c r="T3" s="415">
        <v>12</v>
      </c>
      <c r="U3" s="9">
        <v>0</v>
      </c>
      <c r="V3" s="10">
        <v>0.118055555555556</v>
      </c>
      <c r="W3" s="397">
        <v>0.22569444444444445</v>
      </c>
      <c r="X3" s="397">
        <v>0.2638888888888889</v>
      </c>
      <c r="Y3" s="416">
        <v>0</v>
      </c>
      <c r="Z3" s="414">
        <v>60</v>
      </c>
    </row>
    <row r="4" spans="2:29" ht="30.75" customHeight="1">
      <c r="B4" s="302" t="s">
        <v>133</v>
      </c>
      <c r="C4" s="545">
        <v>45661</v>
      </c>
      <c r="D4" s="545"/>
      <c r="J4" s="546" t="s">
        <v>153</v>
      </c>
      <c r="K4" s="546"/>
      <c r="L4" s="11"/>
      <c r="M4" s="548" t="s">
        <v>8</v>
      </c>
      <c r="N4" s="549"/>
      <c r="P4" s="12"/>
      <c r="R4" s="413" t="s">
        <v>9</v>
      </c>
      <c r="S4" s="414">
        <v>11.6</v>
      </c>
      <c r="T4" s="415">
        <v>12</v>
      </c>
      <c r="U4" s="9">
        <v>0</v>
      </c>
      <c r="V4" s="10">
        <v>0.118055555555556</v>
      </c>
      <c r="W4" s="397">
        <v>0.22569444444444445</v>
      </c>
      <c r="X4" s="397">
        <v>0.2638888888888889</v>
      </c>
      <c r="Y4" s="416">
        <v>0</v>
      </c>
      <c r="Z4" s="414">
        <v>60</v>
      </c>
      <c r="AA4" s="13"/>
      <c r="AB4" s="13"/>
      <c r="AC4" s="13"/>
    </row>
    <row r="5" spans="2:29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R5" s="413" t="s">
        <v>12</v>
      </c>
      <c r="S5" s="414">
        <v>17</v>
      </c>
      <c r="T5" s="415">
        <v>17.5</v>
      </c>
      <c r="U5" s="9">
        <v>0</v>
      </c>
      <c r="V5" s="10">
        <v>0.1076388888888889</v>
      </c>
      <c r="W5" s="397">
        <v>0.24652777777777779</v>
      </c>
      <c r="X5" s="397">
        <v>0.28472222222222221</v>
      </c>
      <c r="Y5" s="416">
        <v>0</v>
      </c>
      <c r="Z5" s="417">
        <v>60</v>
      </c>
      <c r="AA5" s="13"/>
      <c r="AB5" s="13"/>
      <c r="AC5" s="13"/>
    </row>
    <row r="6" spans="2:29" ht="14.25" customHeight="1">
      <c r="B6" s="15"/>
      <c r="C6" s="1"/>
      <c r="D6" s="1"/>
      <c r="J6" s="554" t="s">
        <v>175</v>
      </c>
      <c r="K6" s="555"/>
      <c r="L6" s="312" t="s">
        <v>14</v>
      </c>
      <c r="M6" s="341"/>
      <c r="N6" s="341"/>
      <c r="P6" s="16"/>
      <c r="R6" s="413" t="s">
        <v>15</v>
      </c>
      <c r="S6" s="414">
        <v>13.3</v>
      </c>
      <c r="T6" s="415">
        <v>13.5</v>
      </c>
      <c r="U6" s="9">
        <v>0</v>
      </c>
      <c r="V6" s="9">
        <v>0.12905092592592593</v>
      </c>
      <c r="W6" s="397">
        <v>0.27430555555555552</v>
      </c>
      <c r="X6" s="397">
        <v>0.30208333333333331</v>
      </c>
      <c r="Y6" s="416">
        <v>0</v>
      </c>
      <c r="Z6" s="417"/>
      <c r="AA6" s="13"/>
      <c r="AB6" s="13"/>
      <c r="AC6" s="13"/>
    </row>
    <row r="7" spans="2:29" ht="13.35" customHeight="1" thickBot="1">
      <c r="J7" s="556"/>
      <c r="K7" s="557"/>
      <c r="R7" s="413" t="s">
        <v>16</v>
      </c>
      <c r="S7" s="414">
        <v>17.100000000000001</v>
      </c>
      <c r="T7" s="415">
        <v>17.5</v>
      </c>
      <c r="U7" s="9">
        <v>0</v>
      </c>
      <c r="V7" s="9">
        <v>0.13605324074074074</v>
      </c>
      <c r="W7" s="397">
        <v>0.27430555555555552</v>
      </c>
      <c r="X7" s="397">
        <v>0.30902777777777779</v>
      </c>
      <c r="Y7" s="416">
        <v>0</v>
      </c>
      <c r="Z7" s="417">
        <v>60</v>
      </c>
      <c r="AA7" s="13"/>
      <c r="AB7" s="13"/>
      <c r="AC7" s="13"/>
    </row>
    <row r="8" spans="2:29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639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18"/>
      <c r="R8" s="413" t="s">
        <v>125</v>
      </c>
      <c r="S8" s="414">
        <v>16.600000000000001</v>
      </c>
      <c r="T8" s="415">
        <v>17</v>
      </c>
      <c r="U8" s="9">
        <v>0</v>
      </c>
      <c r="V8" s="9">
        <v>0.12905092592592593</v>
      </c>
      <c r="W8" s="397">
        <v>0.27430555555555552</v>
      </c>
      <c r="X8" s="397">
        <v>0.30208333333333331</v>
      </c>
      <c r="Y8" s="416">
        <v>0</v>
      </c>
      <c r="Z8" s="417"/>
      <c r="AA8" s="19"/>
    </row>
    <row r="9" spans="2:29" ht="36.75" customHeight="1">
      <c r="B9" s="559"/>
      <c r="C9" s="561"/>
      <c r="D9" s="561"/>
      <c r="E9" s="358" t="s">
        <v>30</v>
      </c>
      <c r="F9" s="358" t="s">
        <v>31</v>
      </c>
      <c r="G9" s="561"/>
      <c r="H9" s="640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18"/>
      <c r="R9" s="413" t="s">
        <v>33</v>
      </c>
      <c r="S9" s="414">
        <v>14.4</v>
      </c>
      <c r="T9" s="415">
        <v>14.6</v>
      </c>
      <c r="U9" s="9">
        <v>0</v>
      </c>
      <c r="V9" s="9">
        <v>0.13905092592592591</v>
      </c>
      <c r="W9" s="397">
        <v>0.26041666666666669</v>
      </c>
      <c r="X9" s="397">
        <v>0.2951388888888889</v>
      </c>
      <c r="Y9" s="416">
        <v>0</v>
      </c>
      <c r="Z9" s="417">
        <v>75</v>
      </c>
      <c r="AA9" s="19"/>
    </row>
    <row r="10" spans="2:29" ht="14.4" hidden="1">
      <c r="B10" s="418"/>
      <c r="C10" s="367"/>
      <c r="D10" s="280"/>
      <c r="E10" s="280"/>
      <c r="F10" s="279"/>
      <c r="G10" s="280"/>
      <c r="H10" s="419"/>
      <c r="I10" s="369"/>
      <c r="J10" s="369"/>
      <c r="K10" s="282"/>
      <c r="L10" s="277"/>
      <c r="M10" s="420"/>
      <c r="N10" s="371"/>
      <c r="O10" s="372"/>
      <c r="P10" s="370"/>
      <c r="R10" s="278">
        <f t="shared" ref="R10:R43" si="0">B10</f>
        <v>0</v>
      </c>
      <c r="S10" s="421" t="e">
        <f t="shared" ref="S10:S43" si="1">VLOOKUP($B10,$R$3:$X$9,2,FALSE)</f>
        <v>#N/A</v>
      </c>
      <c r="T10" s="421" t="e">
        <f t="shared" ref="T10:T43" si="2">VLOOKUP($B10,$R$3:$X$9,3,FALSE)</f>
        <v>#N/A</v>
      </c>
      <c r="U10" s="298" t="e">
        <f t="shared" ref="U10:U43" si="3">VLOOKUP($B10,$R$3:$X$9,4,FALSE)</f>
        <v>#N/A</v>
      </c>
      <c r="V10" s="298" t="e">
        <f t="shared" ref="V10:V43" si="4">VLOOKUP($B10,$R$3:$X$9,5,FALSE)</f>
        <v>#N/A</v>
      </c>
      <c r="W10" s="298" t="e">
        <f t="shared" ref="W10:W43" si="5">VLOOKUP($B10,$R$3:$X$9,6,FALSE)</f>
        <v>#N/A</v>
      </c>
      <c r="X10" s="298" t="e">
        <f t="shared" ref="X10:X43" si="6">VLOOKUP($B10,$R$3:$X$9,7,FALSE)</f>
        <v>#N/A</v>
      </c>
      <c r="Y10" s="298" t="e">
        <f t="shared" ref="Y10:Y43" si="7">VLOOKUP($B10,$R$3:$Z$9,8,FALSE)</f>
        <v>#N/A</v>
      </c>
      <c r="Z10" s="417" t="e">
        <f t="shared" ref="Z10:Z43" si="8">VLOOKUP($B10,$R$3:$Z$9,9,FALSE)</f>
        <v>#N/A</v>
      </c>
    </row>
    <row r="11" spans="2:29" ht="14.4" hidden="1">
      <c r="B11" s="418"/>
      <c r="C11" s="367"/>
      <c r="D11" s="280"/>
      <c r="E11" s="280"/>
      <c r="F11" s="279"/>
      <c r="G11" s="280"/>
      <c r="H11" s="419"/>
      <c r="I11" s="369"/>
      <c r="J11" s="369"/>
      <c r="K11" s="282"/>
      <c r="L11" s="277"/>
      <c r="M11" s="420"/>
      <c r="N11" s="371"/>
      <c r="O11" s="372"/>
      <c r="P11" s="370"/>
      <c r="R11" s="278">
        <f t="shared" si="0"/>
        <v>0</v>
      </c>
      <c r="S11" s="421" t="e">
        <f t="shared" si="1"/>
        <v>#N/A</v>
      </c>
      <c r="T11" s="421" t="e">
        <f t="shared" si="2"/>
        <v>#N/A</v>
      </c>
      <c r="U11" s="298" t="e">
        <f t="shared" si="3"/>
        <v>#N/A</v>
      </c>
      <c r="V11" s="298" t="e">
        <f t="shared" si="4"/>
        <v>#N/A</v>
      </c>
      <c r="W11" s="298" t="e">
        <f t="shared" si="5"/>
        <v>#N/A</v>
      </c>
      <c r="X11" s="298" t="e">
        <f t="shared" si="6"/>
        <v>#N/A</v>
      </c>
      <c r="Y11" s="298" t="e">
        <f t="shared" si="7"/>
        <v>#N/A</v>
      </c>
      <c r="Z11" s="417" t="e">
        <f t="shared" si="8"/>
        <v>#N/A</v>
      </c>
    </row>
    <row r="12" spans="2:29" ht="14.4" hidden="1">
      <c r="B12" s="418"/>
      <c r="C12" s="367"/>
      <c r="D12" s="280"/>
      <c r="E12" s="280"/>
      <c r="F12" s="279"/>
      <c r="G12" s="280"/>
      <c r="H12" s="419"/>
      <c r="I12" s="369"/>
      <c r="J12" s="369"/>
      <c r="K12" s="282"/>
      <c r="L12" s="277"/>
      <c r="M12" s="420"/>
      <c r="N12" s="371"/>
      <c r="O12" s="372"/>
      <c r="P12" s="370"/>
      <c r="R12" s="278">
        <f t="shared" si="0"/>
        <v>0</v>
      </c>
      <c r="S12" s="421" t="e">
        <f t="shared" si="1"/>
        <v>#N/A</v>
      </c>
      <c r="T12" s="421" t="e">
        <f t="shared" si="2"/>
        <v>#N/A</v>
      </c>
      <c r="U12" s="298" t="e">
        <f t="shared" si="3"/>
        <v>#N/A</v>
      </c>
      <c r="V12" s="298" t="e">
        <f t="shared" si="4"/>
        <v>#N/A</v>
      </c>
      <c r="W12" s="298" t="e">
        <f t="shared" si="5"/>
        <v>#N/A</v>
      </c>
      <c r="X12" s="298" t="e">
        <f t="shared" si="6"/>
        <v>#N/A</v>
      </c>
      <c r="Y12" s="298" t="e">
        <f t="shared" si="7"/>
        <v>#N/A</v>
      </c>
      <c r="Z12" s="417" t="e">
        <f t="shared" si="8"/>
        <v>#N/A</v>
      </c>
    </row>
    <row r="13" spans="2:29" ht="14.4" hidden="1">
      <c r="B13" s="418"/>
      <c r="C13" s="367"/>
      <c r="D13" s="280"/>
      <c r="E13" s="280"/>
      <c r="F13" s="279"/>
      <c r="G13" s="280"/>
      <c r="H13" s="419"/>
      <c r="I13" s="369"/>
      <c r="J13" s="369"/>
      <c r="K13" s="282"/>
      <c r="L13" s="277"/>
      <c r="M13" s="420"/>
      <c r="N13" s="371"/>
      <c r="O13" s="372"/>
      <c r="P13" s="370"/>
      <c r="R13" s="278">
        <f t="shared" si="0"/>
        <v>0</v>
      </c>
      <c r="S13" s="421" t="e">
        <f t="shared" si="1"/>
        <v>#N/A</v>
      </c>
      <c r="T13" s="421" t="e">
        <f t="shared" si="2"/>
        <v>#N/A</v>
      </c>
      <c r="U13" s="298" t="e">
        <f t="shared" si="3"/>
        <v>#N/A</v>
      </c>
      <c r="V13" s="298" t="e">
        <f t="shared" si="4"/>
        <v>#N/A</v>
      </c>
      <c r="W13" s="298" t="e">
        <f t="shared" si="5"/>
        <v>#N/A</v>
      </c>
      <c r="X13" s="298" t="e">
        <f t="shared" si="6"/>
        <v>#N/A</v>
      </c>
      <c r="Y13" s="298" t="e">
        <f t="shared" si="7"/>
        <v>#N/A</v>
      </c>
      <c r="Z13" s="417" t="e">
        <f t="shared" si="8"/>
        <v>#N/A</v>
      </c>
    </row>
    <row r="14" spans="2:29" ht="14.4" hidden="1">
      <c r="B14" s="418"/>
      <c r="C14" s="367"/>
      <c r="D14" s="280"/>
      <c r="E14" s="280"/>
      <c r="F14" s="279"/>
      <c r="G14" s="280"/>
      <c r="H14" s="419"/>
      <c r="I14" s="369"/>
      <c r="J14" s="369"/>
      <c r="K14" s="282"/>
      <c r="L14" s="277"/>
      <c r="M14" s="420"/>
      <c r="N14" s="371"/>
      <c r="O14" s="372"/>
      <c r="P14" s="370"/>
      <c r="R14" s="278">
        <f t="shared" si="0"/>
        <v>0</v>
      </c>
      <c r="S14" s="421" t="e">
        <f t="shared" si="1"/>
        <v>#N/A</v>
      </c>
      <c r="T14" s="421" t="e">
        <f t="shared" si="2"/>
        <v>#N/A</v>
      </c>
      <c r="U14" s="298" t="e">
        <f t="shared" si="3"/>
        <v>#N/A</v>
      </c>
      <c r="V14" s="298" t="e">
        <f t="shared" si="4"/>
        <v>#N/A</v>
      </c>
      <c r="W14" s="298" t="e">
        <f t="shared" si="5"/>
        <v>#N/A</v>
      </c>
      <c r="X14" s="298" t="e">
        <f t="shared" si="6"/>
        <v>#N/A</v>
      </c>
      <c r="Y14" s="298" t="e">
        <f t="shared" si="7"/>
        <v>#N/A</v>
      </c>
      <c r="Z14" s="417" t="e">
        <f t="shared" si="8"/>
        <v>#N/A</v>
      </c>
    </row>
    <row r="15" spans="2:29" ht="14.4">
      <c r="B15" s="418" t="s">
        <v>9</v>
      </c>
      <c r="C15" s="367" t="str">
        <f>[22]Brewhouse!$A20</f>
        <v>ST006</v>
      </c>
      <c r="D15" s="280">
        <f>[22]Brewhouse!$AD20</f>
        <v>53.4</v>
      </c>
      <c r="E15" s="280">
        <f>[22]Brewhouse!$AG20</f>
        <v>50.7</v>
      </c>
      <c r="F15" s="279">
        <f>[22]Brewhouse!$V20</f>
        <v>63</v>
      </c>
      <c r="G15" s="280">
        <f>[22]Brewhouse!$AE20</f>
        <v>11.7</v>
      </c>
      <c r="H15" s="419"/>
      <c r="I15" s="369">
        <f>[22]Brewhouse!$AS20</f>
        <v>96.762676801570322</v>
      </c>
      <c r="J15" s="369">
        <f>[22]Brewhouse!$AT20</f>
        <v>100.12547394251902</v>
      </c>
      <c r="K15" s="282">
        <f>[22]Brewhouse!$Q20</f>
        <v>4.6915404506834113</v>
      </c>
      <c r="L15" s="277">
        <f>[22]Brewhouse!$P20</f>
        <v>57</v>
      </c>
      <c r="M15" s="420">
        <f>[22]Brewhouse!$U20-[22]Brewhouse!$T20</f>
        <v>0.11041666666666661</v>
      </c>
      <c r="N15" s="371">
        <f>[22]Brewhouse!$AW20</f>
        <v>0.26805555555555549</v>
      </c>
      <c r="O15" s="372" t="str">
        <f>[22]Brewhouse!$AV20</f>
        <v>R.Sookram</v>
      </c>
      <c r="P15" s="370"/>
      <c r="R15" s="278" t="str">
        <f t="shared" si="0"/>
        <v>STAG</v>
      </c>
      <c r="S15" s="421">
        <f t="shared" si="1"/>
        <v>11.6</v>
      </c>
      <c r="T15" s="421">
        <f t="shared" si="2"/>
        <v>12</v>
      </c>
      <c r="U15" s="298">
        <f t="shared" si="3"/>
        <v>0</v>
      </c>
      <c r="V15" s="298">
        <f t="shared" si="4"/>
        <v>0.118055555555556</v>
      </c>
      <c r="W15" s="298">
        <f t="shared" si="5"/>
        <v>0.22569444444444445</v>
      </c>
      <c r="X15" s="298">
        <f t="shared" si="6"/>
        <v>0.2638888888888889</v>
      </c>
      <c r="Y15" s="298">
        <f t="shared" si="7"/>
        <v>0</v>
      </c>
      <c r="Z15" s="417">
        <f t="shared" si="8"/>
        <v>60</v>
      </c>
    </row>
    <row r="16" spans="2:29" ht="14.4">
      <c r="B16" s="418" t="s">
        <v>9</v>
      </c>
      <c r="C16" s="367" t="str">
        <f>[22]Brewhouse!$A21</f>
        <v>ST007</v>
      </c>
      <c r="D16" s="280">
        <f>[22]Brewhouse!$AD21</f>
        <v>52.9</v>
      </c>
      <c r="E16" s="280">
        <f>[22]Brewhouse!$AG21</f>
        <v>49</v>
      </c>
      <c r="F16" s="279">
        <f>[22]Brewhouse!$V21</f>
        <v>75</v>
      </c>
      <c r="G16" s="280">
        <f>[22]Brewhouse!$AE21</f>
        <v>11.8</v>
      </c>
      <c r="H16" s="419"/>
      <c r="I16" s="369">
        <f>[22]Brewhouse!$AS21</f>
        <v>94.359297157598206</v>
      </c>
      <c r="J16" s="369">
        <f>[22]Brewhouse!$AT21</f>
        <v>97.638569550549931</v>
      </c>
      <c r="K16" s="282">
        <f>[22]Brewhouse!$Q21</f>
        <v>2.6666666666666639</v>
      </c>
      <c r="L16" s="277">
        <f>[22]Brewhouse!$P21</f>
        <v>62</v>
      </c>
      <c r="M16" s="420">
        <f>[22]Brewhouse!$U21-[22]Brewhouse!$T21</f>
        <v>0.1138888888888889</v>
      </c>
      <c r="N16" s="371">
        <f>[22]Brewhouse!$AW21</f>
        <v>0.30277777777777781</v>
      </c>
      <c r="O16" s="372" t="str">
        <f>[22]Brewhouse!$AV21</f>
        <v>R.Sookram</v>
      </c>
      <c r="P16" s="370"/>
      <c r="R16" s="278" t="str">
        <f t="shared" si="0"/>
        <v>STAG</v>
      </c>
      <c r="S16" s="421">
        <f t="shared" si="1"/>
        <v>11.6</v>
      </c>
      <c r="T16" s="421">
        <f t="shared" si="2"/>
        <v>12</v>
      </c>
      <c r="U16" s="298">
        <f t="shared" si="3"/>
        <v>0</v>
      </c>
      <c r="V16" s="298">
        <f t="shared" si="4"/>
        <v>0.118055555555556</v>
      </c>
      <c r="W16" s="298">
        <f t="shared" si="5"/>
        <v>0.22569444444444445</v>
      </c>
      <c r="X16" s="298">
        <f t="shared" si="6"/>
        <v>0.2638888888888889</v>
      </c>
      <c r="Y16" s="298">
        <f t="shared" si="7"/>
        <v>0</v>
      </c>
      <c r="Z16" s="417">
        <f t="shared" si="8"/>
        <v>60</v>
      </c>
    </row>
    <row r="17" spans="2:26" ht="14.4">
      <c r="B17" s="418" t="s">
        <v>9</v>
      </c>
      <c r="C17" s="367" t="str">
        <f>[22]Brewhouse!$A22</f>
        <v>ST008</v>
      </c>
      <c r="D17" s="280">
        <f>[22]Brewhouse!$AD22</f>
        <v>52.1</v>
      </c>
      <c r="E17" s="280">
        <f>[22]Brewhouse!$AG22</f>
        <v>49.8</v>
      </c>
      <c r="F17" s="279">
        <f>[22]Brewhouse!$V22</f>
        <v>72</v>
      </c>
      <c r="G17" s="280">
        <f>[22]Brewhouse!$AE22</f>
        <v>11.8</v>
      </c>
      <c r="H17" s="419"/>
      <c r="I17" s="369">
        <f>[22]Brewhouse!$AS22</f>
        <v>95.89985711119165</v>
      </c>
      <c r="J17" s="369">
        <f>[22]Brewhouse!$AT22</f>
        <v>99.232668645252787</v>
      </c>
      <c r="K17" s="282">
        <f>[22]Brewhouse!$Q22</f>
        <v>5.8931860036832342</v>
      </c>
      <c r="L17" s="277">
        <f>[22]Brewhouse!$P22</f>
        <v>63</v>
      </c>
      <c r="M17" s="420">
        <f>[22]Brewhouse!$U22-[22]Brewhouse!$T22</f>
        <v>0.12361111111111112</v>
      </c>
      <c r="N17" s="371">
        <f>[22]Brewhouse!$AW22</f>
        <v>0.28194444444444444</v>
      </c>
      <c r="O17" s="372" t="str">
        <f>[22]Brewhouse!$AV22</f>
        <v>k.Benjamin</v>
      </c>
      <c r="P17" s="370"/>
      <c r="R17" s="278" t="str">
        <f t="shared" si="0"/>
        <v>STAG</v>
      </c>
      <c r="S17" s="421">
        <f t="shared" si="1"/>
        <v>11.6</v>
      </c>
      <c r="T17" s="421">
        <f t="shared" si="2"/>
        <v>12</v>
      </c>
      <c r="U17" s="298">
        <f t="shared" si="3"/>
        <v>0</v>
      </c>
      <c r="V17" s="298">
        <f t="shared" si="4"/>
        <v>0.118055555555556</v>
      </c>
      <c r="W17" s="298">
        <f t="shared" si="5"/>
        <v>0.22569444444444445</v>
      </c>
      <c r="X17" s="298">
        <f t="shared" si="6"/>
        <v>0.2638888888888889</v>
      </c>
      <c r="Y17" s="298">
        <f t="shared" si="7"/>
        <v>0</v>
      </c>
      <c r="Z17" s="417">
        <f t="shared" si="8"/>
        <v>60</v>
      </c>
    </row>
    <row r="18" spans="2:26" ht="14.4">
      <c r="B18" s="418" t="s">
        <v>9</v>
      </c>
      <c r="C18" s="367" t="str">
        <f>[22]Brewhouse!$A23</f>
        <v>ST009</v>
      </c>
      <c r="D18" s="280">
        <f>[22]Brewhouse!$AD23</f>
        <v>52.9</v>
      </c>
      <c r="E18" s="280">
        <f>[22]Brewhouse!$AG23</f>
        <v>49.5</v>
      </c>
      <c r="F18" s="279">
        <f>[22]Brewhouse!$V23</f>
        <v>90</v>
      </c>
      <c r="G18" s="280">
        <f>[22]Brewhouse!$AE23</f>
        <v>11.9</v>
      </c>
      <c r="H18" s="419"/>
      <c r="I18" s="369">
        <f>[22]Brewhouse!$AS23</f>
        <v>96.050597074606841</v>
      </c>
      <c r="J18" s="369">
        <f>[22]Brewhouse!$AT23</f>
        <v>99.389741904544024</v>
      </c>
      <c r="K18" s="282">
        <f>[22]Brewhouse!$Q23</f>
        <v>11.460258780036973</v>
      </c>
      <c r="L18" s="277">
        <f>[22]Brewhouse!$P23</f>
        <v>60</v>
      </c>
      <c r="M18" s="420">
        <f>[22]Brewhouse!$U23-[22]Brewhouse!$T23</f>
        <v>0.11944444444444446</v>
      </c>
      <c r="N18" s="371">
        <f>[22]Brewhouse!$AW23</f>
        <v>0.26180555555555557</v>
      </c>
      <c r="O18" s="372" t="str">
        <f>[22]Brewhouse!$AV23</f>
        <v>k.Benjamin</v>
      </c>
      <c r="P18" s="370"/>
      <c r="R18" s="278" t="str">
        <f t="shared" si="0"/>
        <v>STAG</v>
      </c>
      <c r="S18" s="421">
        <f t="shared" si="1"/>
        <v>11.6</v>
      </c>
      <c r="T18" s="421">
        <f t="shared" si="2"/>
        <v>12</v>
      </c>
      <c r="U18" s="298">
        <f t="shared" si="3"/>
        <v>0</v>
      </c>
      <c r="V18" s="298">
        <f t="shared" si="4"/>
        <v>0.118055555555556</v>
      </c>
      <c r="W18" s="298">
        <f t="shared" si="5"/>
        <v>0.22569444444444445</v>
      </c>
      <c r="X18" s="298">
        <f t="shared" si="6"/>
        <v>0.2638888888888889</v>
      </c>
      <c r="Y18" s="298">
        <f t="shared" si="7"/>
        <v>0</v>
      </c>
      <c r="Z18" s="417">
        <f t="shared" si="8"/>
        <v>60</v>
      </c>
    </row>
    <row r="19" spans="2:26" ht="14.4">
      <c r="B19" s="418" t="s">
        <v>9</v>
      </c>
      <c r="C19" s="367" t="str">
        <f>[22]Brewhouse!$A24</f>
        <v>ST010</v>
      </c>
      <c r="D19" s="280">
        <f>[22]Brewhouse!$AD24</f>
        <v>52.9</v>
      </c>
      <c r="E19" s="280">
        <f>[22]Brewhouse!$AG24</f>
        <v>49.5</v>
      </c>
      <c r="F19" s="279">
        <f>[22]Brewhouse!$V24</f>
        <v>90</v>
      </c>
      <c r="G19" s="280">
        <f>[22]Brewhouse!$AE24</f>
        <v>11.9</v>
      </c>
      <c r="H19" s="419"/>
      <c r="I19" s="369">
        <f>[22]Brewhouse!$AS24</f>
        <v>96.050597074606841</v>
      </c>
      <c r="J19" s="369">
        <f>[22]Brewhouse!$AT24</f>
        <v>99.389741904544024</v>
      </c>
      <c r="K19" s="282">
        <f>[22]Brewhouse!$Q24</f>
        <v>6.2622309197651713</v>
      </c>
      <c r="L19" s="277">
        <f>[22]Brewhouse!$P24</f>
        <v>60</v>
      </c>
      <c r="M19" s="420">
        <f>[22]Brewhouse!$U24-[22]Brewhouse!$T24</f>
        <v>0.13611111111111118</v>
      </c>
      <c r="N19" s="371">
        <f>[22]Brewhouse!$AW24</f>
        <v>0.30972222222222223</v>
      </c>
      <c r="O19" s="372" t="str">
        <f>[22]Brewhouse!$AV24</f>
        <v>Regis</v>
      </c>
      <c r="P19" s="370"/>
      <c r="R19" s="278" t="str">
        <f t="shared" si="0"/>
        <v>STAG</v>
      </c>
      <c r="S19" s="421">
        <f t="shared" si="1"/>
        <v>11.6</v>
      </c>
      <c r="T19" s="421">
        <f t="shared" si="2"/>
        <v>12</v>
      </c>
      <c r="U19" s="298">
        <f t="shared" si="3"/>
        <v>0</v>
      </c>
      <c r="V19" s="298">
        <f t="shared" si="4"/>
        <v>0.118055555555556</v>
      </c>
      <c r="W19" s="298">
        <f t="shared" si="5"/>
        <v>0.22569444444444445</v>
      </c>
      <c r="X19" s="298">
        <f t="shared" si="6"/>
        <v>0.2638888888888889</v>
      </c>
      <c r="Y19" s="298">
        <f t="shared" si="7"/>
        <v>0</v>
      </c>
      <c r="Z19" s="417">
        <f t="shared" si="8"/>
        <v>60</v>
      </c>
    </row>
    <row r="20" spans="2:26" ht="14.4">
      <c r="B20" s="418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R20" s="278">
        <f t="shared" si="0"/>
        <v>0</v>
      </c>
      <c r="S20" s="421" t="e">
        <f t="shared" si="1"/>
        <v>#N/A</v>
      </c>
      <c r="T20" s="421" t="e">
        <f t="shared" si="2"/>
        <v>#N/A</v>
      </c>
      <c r="U20" s="298" t="e">
        <f t="shared" si="3"/>
        <v>#N/A</v>
      </c>
      <c r="V20" s="298" t="e">
        <f t="shared" si="4"/>
        <v>#N/A</v>
      </c>
      <c r="W20" s="298" t="e">
        <f t="shared" si="5"/>
        <v>#N/A</v>
      </c>
      <c r="X20" s="298" t="e">
        <f t="shared" si="6"/>
        <v>#N/A</v>
      </c>
      <c r="Y20" s="298" t="e">
        <f t="shared" si="7"/>
        <v>#N/A</v>
      </c>
      <c r="Z20" s="417" t="e">
        <f t="shared" si="8"/>
        <v>#N/A</v>
      </c>
    </row>
    <row r="21" spans="2:26" ht="15" thickBot="1">
      <c r="B21" s="418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0"/>
      <c r="R21" s="278">
        <f t="shared" si="0"/>
        <v>0</v>
      </c>
      <c r="S21" s="421" t="e">
        <f t="shared" si="1"/>
        <v>#N/A</v>
      </c>
      <c r="T21" s="421" t="e">
        <f t="shared" si="2"/>
        <v>#N/A</v>
      </c>
      <c r="U21" s="298" t="e">
        <f t="shared" si="3"/>
        <v>#N/A</v>
      </c>
      <c r="V21" s="298" t="e">
        <f t="shared" si="4"/>
        <v>#N/A</v>
      </c>
      <c r="W21" s="298" t="e">
        <f t="shared" si="5"/>
        <v>#N/A</v>
      </c>
      <c r="X21" s="298" t="e">
        <f t="shared" si="6"/>
        <v>#N/A</v>
      </c>
      <c r="Y21" s="298" t="e">
        <f t="shared" si="7"/>
        <v>#N/A</v>
      </c>
      <c r="Z21" s="417" t="e">
        <f t="shared" si="8"/>
        <v>#N/A</v>
      </c>
    </row>
    <row r="22" spans="2:26" ht="14.4" hidden="1">
      <c r="B22" s="418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0"/>
      <c r="R22" s="278">
        <f t="shared" si="0"/>
        <v>0</v>
      </c>
      <c r="S22" s="421" t="e">
        <f t="shared" si="1"/>
        <v>#N/A</v>
      </c>
      <c r="T22" s="421" t="e">
        <f t="shared" si="2"/>
        <v>#N/A</v>
      </c>
      <c r="U22" s="298" t="e">
        <f t="shared" si="3"/>
        <v>#N/A</v>
      </c>
      <c r="V22" s="298" t="e">
        <f t="shared" si="4"/>
        <v>#N/A</v>
      </c>
      <c r="W22" s="298" t="e">
        <f t="shared" si="5"/>
        <v>#N/A</v>
      </c>
      <c r="X22" s="298" t="e">
        <f t="shared" si="6"/>
        <v>#N/A</v>
      </c>
      <c r="Y22" s="298" t="e">
        <f t="shared" si="7"/>
        <v>#N/A</v>
      </c>
      <c r="Z22" s="417" t="e">
        <f t="shared" si="8"/>
        <v>#N/A</v>
      </c>
    </row>
    <row r="23" spans="2:26" ht="14.4" hidden="1">
      <c r="B23" s="418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0"/>
      <c r="R23" s="278">
        <f t="shared" si="0"/>
        <v>0</v>
      </c>
      <c r="S23" s="421" t="e">
        <f t="shared" si="1"/>
        <v>#N/A</v>
      </c>
      <c r="T23" s="421" t="e">
        <f t="shared" si="2"/>
        <v>#N/A</v>
      </c>
      <c r="U23" s="298" t="e">
        <f t="shared" si="3"/>
        <v>#N/A</v>
      </c>
      <c r="V23" s="298" t="e">
        <f t="shared" si="4"/>
        <v>#N/A</v>
      </c>
      <c r="W23" s="298" t="e">
        <f t="shared" si="5"/>
        <v>#N/A</v>
      </c>
      <c r="X23" s="298" t="e">
        <f t="shared" si="6"/>
        <v>#N/A</v>
      </c>
      <c r="Y23" s="298" t="e">
        <f t="shared" si="7"/>
        <v>#N/A</v>
      </c>
      <c r="Z23" s="417" t="e">
        <f t="shared" si="8"/>
        <v>#N/A</v>
      </c>
    </row>
    <row r="24" spans="2:26" ht="14.4" hidden="1">
      <c r="B24" s="418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0"/>
      <c r="R24" s="278">
        <f t="shared" si="0"/>
        <v>0</v>
      </c>
      <c r="S24" s="421" t="e">
        <f t="shared" si="1"/>
        <v>#N/A</v>
      </c>
      <c r="T24" s="421" t="e">
        <f t="shared" si="2"/>
        <v>#N/A</v>
      </c>
      <c r="U24" s="298" t="e">
        <f t="shared" si="3"/>
        <v>#N/A</v>
      </c>
      <c r="V24" s="298" t="e">
        <f t="shared" si="4"/>
        <v>#N/A</v>
      </c>
      <c r="W24" s="298" t="e">
        <f t="shared" si="5"/>
        <v>#N/A</v>
      </c>
      <c r="X24" s="298" t="e">
        <f t="shared" si="6"/>
        <v>#N/A</v>
      </c>
      <c r="Y24" s="298" t="e">
        <f t="shared" si="7"/>
        <v>#N/A</v>
      </c>
      <c r="Z24" s="417" t="e">
        <f t="shared" si="8"/>
        <v>#N/A</v>
      </c>
    </row>
    <row r="25" spans="2:26" ht="14.4" hidden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0"/>
      <c r="R25" s="278">
        <f t="shared" si="0"/>
        <v>0</v>
      </c>
      <c r="S25" s="421" t="e">
        <f t="shared" si="1"/>
        <v>#N/A</v>
      </c>
      <c r="T25" s="421" t="e">
        <f t="shared" si="2"/>
        <v>#N/A</v>
      </c>
      <c r="U25" s="298" t="e">
        <f t="shared" si="3"/>
        <v>#N/A</v>
      </c>
      <c r="V25" s="298" t="e">
        <f t="shared" si="4"/>
        <v>#N/A</v>
      </c>
      <c r="W25" s="298" t="e">
        <f t="shared" si="5"/>
        <v>#N/A</v>
      </c>
      <c r="X25" s="298" t="e">
        <f t="shared" si="6"/>
        <v>#N/A</v>
      </c>
      <c r="Y25" s="298" t="e">
        <f t="shared" si="7"/>
        <v>#N/A</v>
      </c>
      <c r="Z25" s="417" t="e">
        <f t="shared" si="8"/>
        <v>#N/A</v>
      </c>
    </row>
    <row r="26" spans="2:26" ht="14.4" hidden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0"/>
      <c r="R26" s="278">
        <f t="shared" si="0"/>
        <v>0</v>
      </c>
      <c r="S26" s="421" t="e">
        <f t="shared" si="1"/>
        <v>#N/A</v>
      </c>
      <c r="T26" s="421" t="e">
        <f t="shared" si="2"/>
        <v>#N/A</v>
      </c>
      <c r="U26" s="298" t="e">
        <f t="shared" si="3"/>
        <v>#N/A</v>
      </c>
      <c r="V26" s="298" t="e">
        <f t="shared" si="4"/>
        <v>#N/A</v>
      </c>
      <c r="W26" s="298" t="e">
        <f t="shared" si="5"/>
        <v>#N/A</v>
      </c>
      <c r="X26" s="298" t="e">
        <f t="shared" si="6"/>
        <v>#N/A</v>
      </c>
      <c r="Y26" s="298" t="e">
        <f t="shared" si="7"/>
        <v>#N/A</v>
      </c>
      <c r="Z26" s="417" t="e">
        <f t="shared" si="8"/>
        <v>#N/A</v>
      </c>
    </row>
    <row r="27" spans="2:26" ht="15" hidden="1" thickBo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0"/>
      <c r="R27" s="278">
        <f t="shared" si="0"/>
        <v>0</v>
      </c>
      <c r="S27" s="421" t="e">
        <f t="shared" si="1"/>
        <v>#N/A</v>
      </c>
      <c r="T27" s="421" t="e">
        <f t="shared" si="2"/>
        <v>#N/A</v>
      </c>
      <c r="U27" s="298" t="e">
        <f t="shared" si="3"/>
        <v>#N/A</v>
      </c>
      <c r="V27" s="298" t="e">
        <f t="shared" si="4"/>
        <v>#N/A</v>
      </c>
      <c r="W27" s="298" t="e">
        <f t="shared" si="5"/>
        <v>#N/A</v>
      </c>
      <c r="X27" s="298" t="e">
        <f t="shared" si="6"/>
        <v>#N/A</v>
      </c>
      <c r="Y27" s="298" t="e">
        <f t="shared" si="7"/>
        <v>#N/A</v>
      </c>
      <c r="Z27" s="417" t="e">
        <f t="shared" si="8"/>
        <v>#N/A</v>
      </c>
    </row>
    <row r="28" spans="2:26" ht="15" hidden="1" thickBot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R28" s="278">
        <f t="shared" si="0"/>
        <v>0</v>
      </c>
      <c r="S28" s="421" t="e">
        <f t="shared" si="1"/>
        <v>#N/A</v>
      </c>
      <c r="T28" s="421" t="e">
        <f t="shared" si="2"/>
        <v>#N/A</v>
      </c>
      <c r="U28" s="298" t="e">
        <f t="shared" si="3"/>
        <v>#N/A</v>
      </c>
      <c r="V28" s="298" t="e">
        <f t="shared" si="4"/>
        <v>#N/A</v>
      </c>
      <c r="W28" s="298" t="e">
        <f t="shared" si="5"/>
        <v>#N/A</v>
      </c>
      <c r="X28" s="298" t="e">
        <f t="shared" si="6"/>
        <v>#N/A</v>
      </c>
      <c r="Y28" s="298" t="e">
        <f t="shared" si="7"/>
        <v>#N/A</v>
      </c>
      <c r="Z28" s="417" t="e">
        <f t="shared" si="8"/>
        <v>#N/A</v>
      </c>
    </row>
    <row r="29" spans="2:26" ht="15" hidden="1" thickBot="1">
      <c r="B29" s="34"/>
      <c r="C29" s="367"/>
      <c r="D29" s="280"/>
      <c r="E29" s="280"/>
      <c r="F29" s="279"/>
      <c r="G29" s="280"/>
      <c r="H29" s="419"/>
      <c r="I29" s="369"/>
      <c r="J29" s="369"/>
      <c r="K29" s="422"/>
      <c r="L29" s="277"/>
      <c r="M29" s="375"/>
      <c r="N29" s="371"/>
      <c r="O29" s="372"/>
      <c r="P29" s="370"/>
      <c r="R29" s="278">
        <f t="shared" si="0"/>
        <v>0</v>
      </c>
      <c r="S29" s="421" t="e">
        <f t="shared" si="1"/>
        <v>#N/A</v>
      </c>
      <c r="T29" s="421" t="e">
        <f t="shared" si="2"/>
        <v>#N/A</v>
      </c>
      <c r="U29" s="298" t="e">
        <f t="shared" si="3"/>
        <v>#N/A</v>
      </c>
      <c r="V29" s="298" t="e">
        <f t="shared" si="4"/>
        <v>#N/A</v>
      </c>
      <c r="W29" s="298" t="e">
        <f t="shared" si="5"/>
        <v>#N/A</v>
      </c>
      <c r="X29" s="298" t="e">
        <f t="shared" si="6"/>
        <v>#N/A</v>
      </c>
      <c r="Y29" s="298" t="e">
        <f t="shared" si="7"/>
        <v>#N/A</v>
      </c>
      <c r="Z29" s="417" t="e">
        <f t="shared" si="8"/>
        <v>#N/A</v>
      </c>
    </row>
    <row r="30" spans="2:26" ht="15" hidden="1" thickBot="1">
      <c r="B30" s="34"/>
      <c r="C30" s="367"/>
      <c r="D30" s="280"/>
      <c r="E30" s="280"/>
      <c r="F30" s="279"/>
      <c r="G30" s="280"/>
      <c r="H30" s="419"/>
      <c r="I30" s="369"/>
      <c r="J30" s="369"/>
      <c r="K30" s="422"/>
      <c r="L30" s="277"/>
      <c r="M30" s="375"/>
      <c r="N30" s="371"/>
      <c r="O30" s="372"/>
      <c r="P30" s="370"/>
      <c r="R30" s="278">
        <f t="shared" si="0"/>
        <v>0</v>
      </c>
      <c r="S30" s="421" t="e">
        <f t="shared" si="1"/>
        <v>#N/A</v>
      </c>
      <c r="T30" s="421" t="e">
        <f t="shared" si="2"/>
        <v>#N/A</v>
      </c>
      <c r="U30" s="298" t="e">
        <f t="shared" si="3"/>
        <v>#N/A</v>
      </c>
      <c r="V30" s="298" t="e">
        <f t="shared" si="4"/>
        <v>#N/A</v>
      </c>
      <c r="W30" s="298" t="e">
        <f t="shared" si="5"/>
        <v>#N/A</v>
      </c>
      <c r="X30" s="298" t="e">
        <f t="shared" si="6"/>
        <v>#N/A</v>
      </c>
      <c r="Y30" s="298" t="e">
        <f t="shared" si="7"/>
        <v>#N/A</v>
      </c>
      <c r="Z30" s="417" t="e">
        <f t="shared" si="8"/>
        <v>#N/A</v>
      </c>
    </row>
    <row r="31" spans="2:26" ht="15" hidden="1" thickBot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375"/>
      <c r="N31" s="371"/>
      <c r="O31" s="372"/>
      <c r="P31" s="370"/>
      <c r="R31" s="278">
        <f t="shared" si="0"/>
        <v>0</v>
      </c>
      <c r="S31" s="421" t="e">
        <f t="shared" si="1"/>
        <v>#N/A</v>
      </c>
      <c r="T31" s="421" t="e">
        <f t="shared" si="2"/>
        <v>#N/A</v>
      </c>
      <c r="U31" s="298" t="e">
        <f t="shared" si="3"/>
        <v>#N/A</v>
      </c>
      <c r="V31" s="298" t="e">
        <f t="shared" si="4"/>
        <v>#N/A</v>
      </c>
      <c r="W31" s="298" t="e">
        <f t="shared" si="5"/>
        <v>#N/A</v>
      </c>
      <c r="X31" s="298" t="e">
        <f t="shared" si="6"/>
        <v>#N/A</v>
      </c>
      <c r="Y31" s="298" t="e">
        <f t="shared" si="7"/>
        <v>#N/A</v>
      </c>
      <c r="Z31" s="417" t="e">
        <f t="shared" si="8"/>
        <v>#N/A</v>
      </c>
    </row>
    <row r="32" spans="2:26" ht="15" hidden="1" thickBot="1">
      <c r="B32" s="34"/>
      <c r="C32" s="367"/>
      <c r="D32" s="280"/>
      <c r="E32" s="280"/>
      <c r="F32" s="279"/>
      <c r="G32" s="280"/>
      <c r="H32" s="419"/>
      <c r="I32" s="369"/>
      <c r="J32" s="369"/>
      <c r="K32" s="422"/>
      <c r="L32" s="277"/>
      <c r="M32" s="375"/>
      <c r="N32" s="371"/>
      <c r="O32" s="372"/>
      <c r="P32" s="370"/>
      <c r="R32" s="278">
        <f t="shared" si="0"/>
        <v>0</v>
      </c>
      <c r="S32" s="421" t="e">
        <f t="shared" si="1"/>
        <v>#N/A</v>
      </c>
      <c r="T32" s="421" t="e">
        <f t="shared" si="2"/>
        <v>#N/A</v>
      </c>
      <c r="U32" s="298" t="e">
        <f t="shared" si="3"/>
        <v>#N/A</v>
      </c>
      <c r="V32" s="298" t="e">
        <f t="shared" si="4"/>
        <v>#N/A</v>
      </c>
      <c r="W32" s="298" t="e">
        <f t="shared" si="5"/>
        <v>#N/A</v>
      </c>
      <c r="X32" s="298" t="e">
        <f t="shared" si="6"/>
        <v>#N/A</v>
      </c>
      <c r="Y32" s="298" t="e">
        <f t="shared" si="7"/>
        <v>#N/A</v>
      </c>
      <c r="Z32" s="417" t="e">
        <f t="shared" si="8"/>
        <v>#N/A</v>
      </c>
    </row>
    <row r="33" spans="1:26" ht="15" hidden="1" thickBot="1">
      <c r="B33" s="34"/>
      <c r="C33" s="367"/>
      <c r="D33" s="280"/>
      <c r="E33" s="280"/>
      <c r="F33" s="279"/>
      <c r="G33" s="280"/>
      <c r="H33" s="419"/>
      <c r="I33" s="369"/>
      <c r="J33" s="369"/>
      <c r="K33" s="422"/>
      <c r="L33" s="277"/>
      <c r="M33" s="375"/>
      <c r="N33" s="371"/>
      <c r="O33" s="372"/>
      <c r="P33" s="370"/>
      <c r="R33" s="278">
        <f t="shared" si="0"/>
        <v>0</v>
      </c>
      <c r="S33" s="421" t="e">
        <f t="shared" si="1"/>
        <v>#N/A</v>
      </c>
      <c r="T33" s="421" t="e">
        <f t="shared" si="2"/>
        <v>#N/A</v>
      </c>
      <c r="U33" s="298" t="e">
        <f t="shared" si="3"/>
        <v>#N/A</v>
      </c>
      <c r="V33" s="298" t="e">
        <f t="shared" si="4"/>
        <v>#N/A</v>
      </c>
      <c r="W33" s="298" t="e">
        <f t="shared" si="5"/>
        <v>#N/A</v>
      </c>
      <c r="X33" s="298" t="e">
        <f t="shared" si="6"/>
        <v>#N/A</v>
      </c>
      <c r="Y33" s="298" t="e">
        <f t="shared" si="7"/>
        <v>#N/A</v>
      </c>
      <c r="Z33" s="417" t="e">
        <f t="shared" si="8"/>
        <v>#N/A</v>
      </c>
    </row>
    <row r="34" spans="1:26" ht="15" hidden="1" thickBot="1">
      <c r="B34" s="34"/>
      <c r="C34" s="367"/>
      <c r="D34" s="280"/>
      <c r="E34" s="280"/>
      <c r="F34" s="279"/>
      <c r="G34" s="280"/>
      <c r="H34" s="419"/>
      <c r="I34" s="369"/>
      <c r="J34" s="369"/>
      <c r="K34" s="422"/>
      <c r="L34" s="277"/>
      <c r="M34" s="423"/>
      <c r="N34" s="371"/>
      <c r="O34" s="372"/>
      <c r="P34" s="370"/>
      <c r="R34" s="278">
        <f t="shared" si="0"/>
        <v>0</v>
      </c>
      <c r="S34" s="421" t="e">
        <f t="shared" si="1"/>
        <v>#N/A</v>
      </c>
      <c r="T34" s="421" t="e">
        <f t="shared" si="2"/>
        <v>#N/A</v>
      </c>
      <c r="U34" s="298" t="e">
        <f t="shared" si="3"/>
        <v>#N/A</v>
      </c>
      <c r="V34" s="298" t="e">
        <f t="shared" si="4"/>
        <v>#N/A</v>
      </c>
      <c r="W34" s="298" t="e">
        <f t="shared" si="5"/>
        <v>#N/A</v>
      </c>
      <c r="X34" s="298" t="e">
        <f t="shared" si="6"/>
        <v>#N/A</v>
      </c>
      <c r="Y34" s="298" t="e">
        <f t="shared" si="7"/>
        <v>#N/A</v>
      </c>
      <c r="Z34" s="417" t="e">
        <f t="shared" si="8"/>
        <v>#N/A</v>
      </c>
    </row>
    <row r="35" spans="1:26" ht="15" hidden="1" thickBot="1">
      <c r="B35" s="34"/>
      <c r="C35" s="367"/>
      <c r="D35" s="280"/>
      <c r="E35" s="280"/>
      <c r="F35" s="279"/>
      <c r="G35" s="280"/>
      <c r="H35" s="419"/>
      <c r="I35" s="369"/>
      <c r="J35" s="369"/>
      <c r="K35" s="422"/>
      <c r="L35" s="277"/>
      <c r="M35" s="423"/>
      <c r="N35" s="371"/>
      <c r="O35" s="372"/>
      <c r="P35" s="370"/>
      <c r="R35" s="278">
        <f t="shared" si="0"/>
        <v>0</v>
      </c>
      <c r="S35" s="421" t="e">
        <f t="shared" si="1"/>
        <v>#N/A</v>
      </c>
      <c r="T35" s="421" t="e">
        <f t="shared" si="2"/>
        <v>#N/A</v>
      </c>
      <c r="U35" s="298" t="e">
        <f t="shared" si="3"/>
        <v>#N/A</v>
      </c>
      <c r="V35" s="298" t="e">
        <f t="shared" si="4"/>
        <v>#N/A</v>
      </c>
      <c r="W35" s="298" t="e">
        <f t="shared" si="5"/>
        <v>#N/A</v>
      </c>
      <c r="X35" s="298" t="e">
        <f t="shared" si="6"/>
        <v>#N/A</v>
      </c>
      <c r="Y35" s="298" t="e">
        <f t="shared" si="7"/>
        <v>#N/A</v>
      </c>
      <c r="Z35" s="417" t="e">
        <f t="shared" si="8"/>
        <v>#N/A</v>
      </c>
    </row>
    <row r="36" spans="1:26" ht="15" hidden="1" thickBot="1">
      <c r="B36" s="34"/>
      <c r="C36" s="367"/>
      <c r="D36" s="280"/>
      <c r="E36" s="280"/>
      <c r="F36" s="279"/>
      <c r="G36" s="280"/>
      <c r="H36" s="419"/>
      <c r="I36" s="369"/>
      <c r="J36" s="369"/>
      <c r="K36" s="422"/>
      <c r="L36" s="277"/>
      <c r="M36" s="375"/>
      <c r="N36" s="371"/>
      <c r="O36" s="372"/>
      <c r="P36" s="370"/>
      <c r="R36" s="278">
        <f t="shared" si="0"/>
        <v>0</v>
      </c>
      <c r="S36" s="421" t="e">
        <f t="shared" si="1"/>
        <v>#N/A</v>
      </c>
      <c r="T36" s="421" t="e">
        <f t="shared" si="2"/>
        <v>#N/A</v>
      </c>
      <c r="U36" s="298" t="e">
        <f t="shared" si="3"/>
        <v>#N/A</v>
      </c>
      <c r="V36" s="298" t="e">
        <f t="shared" si="4"/>
        <v>#N/A</v>
      </c>
      <c r="W36" s="298" t="e">
        <f t="shared" si="5"/>
        <v>#N/A</v>
      </c>
      <c r="X36" s="298" t="e">
        <f t="shared" si="6"/>
        <v>#N/A</v>
      </c>
      <c r="Y36" s="298" t="e">
        <f t="shared" si="7"/>
        <v>#N/A</v>
      </c>
      <c r="Z36" s="417" t="e">
        <f t="shared" si="8"/>
        <v>#N/A</v>
      </c>
    </row>
    <row r="37" spans="1:26" ht="15" hidden="1" thickBot="1">
      <c r="B37" s="418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420"/>
      <c r="N37" s="371"/>
      <c r="O37" s="372"/>
      <c r="P37" s="370"/>
      <c r="R37" s="278">
        <f t="shared" si="0"/>
        <v>0</v>
      </c>
      <c r="S37" s="421" t="e">
        <f t="shared" si="1"/>
        <v>#N/A</v>
      </c>
      <c r="T37" s="421" t="e">
        <f t="shared" si="2"/>
        <v>#N/A</v>
      </c>
      <c r="U37" s="298" t="e">
        <f t="shared" si="3"/>
        <v>#N/A</v>
      </c>
      <c r="V37" s="298" t="e">
        <f t="shared" si="4"/>
        <v>#N/A</v>
      </c>
      <c r="W37" s="298" t="e">
        <f t="shared" si="5"/>
        <v>#N/A</v>
      </c>
      <c r="X37" s="298" t="e">
        <f t="shared" si="6"/>
        <v>#N/A</v>
      </c>
      <c r="Y37" s="298" t="e">
        <f t="shared" si="7"/>
        <v>#N/A</v>
      </c>
      <c r="Z37" s="417" t="e">
        <f t="shared" si="8"/>
        <v>#N/A</v>
      </c>
    </row>
    <row r="38" spans="1:26" ht="15" hidden="1" thickBot="1">
      <c r="B38" s="418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420"/>
      <c r="N38" s="371"/>
      <c r="O38" s="372"/>
      <c r="P38" s="370"/>
      <c r="R38" s="278">
        <f t="shared" si="0"/>
        <v>0</v>
      </c>
      <c r="S38" s="421" t="e">
        <f t="shared" si="1"/>
        <v>#N/A</v>
      </c>
      <c r="T38" s="421" t="e">
        <f t="shared" si="2"/>
        <v>#N/A</v>
      </c>
      <c r="U38" s="298" t="e">
        <f t="shared" si="3"/>
        <v>#N/A</v>
      </c>
      <c r="V38" s="298" t="e">
        <f t="shared" si="4"/>
        <v>#N/A</v>
      </c>
      <c r="W38" s="298" t="e">
        <f t="shared" si="5"/>
        <v>#N/A</v>
      </c>
      <c r="X38" s="298" t="e">
        <f t="shared" si="6"/>
        <v>#N/A</v>
      </c>
      <c r="Y38" s="298" t="e">
        <f t="shared" si="7"/>
        <v>#N/A</v>
      </c>
      <c r="Z38" s="417" t="e">
        <f t="shared" si="8"/>
        <v>#N/A</v>
      </c>
    </row>
    <row r="39" spans="1:26" ht="15" hidden="1" thickBot="1">
      <c r="B39" s="418"/>
      <c r="C39" s="367"/>
      <c r="D39" s="280"/>
      <c r="E39" s="280"/>
      <c r="F39" s="279"/>
      <c r="G39" s="280"/>
      <c r="H39" s="419"/>
      <c r="I39" s="369"/>
      <c r="J39" s="369"/>
      <c r="K39" s="282"/>
      <c r="L39" s="277"/>
      <c r="M39" s="420"/>
      <c r="N39" s="371"/>
      <c r="O39" s="372"/>
      <c r="P39" s="370"/>
      <c r="R39" s="278">
        <f t="shared" si="0"/>
        <v>0</v>
      </c>
      <c r="S39" s="421" t="e">
        <f t="shared" si="1"/>
        <v>#N/A</v>
      </c>
      <c r="T39" s="421" t="e">
        <f t="shared" si="2"/>
        <v>#N/A</v>
      </c>
      <c r="U39" s="298" t="e">
        <f t="shared" si="3"/>
        <v>#N/A</v>
      </c>
      <c r="V39" s="298" t="e">
        <f t="shared" si="4"/>
        <v>#N/A</v>
      </c>
      <c r="W39" s="298" t="e">
        <f t="shared" si="5"/>
        <v>#N/A</v>
      </c>
      <c r="X39" s="298" t="e">
        <f t="shared" si="6"/>
        <v>#N/A</v>
      </c>
      <c r="Y39" s="298" t="e">
        <f t="shared" si="7"/>
        <v>#N/A</v>
      </c>
      <c r="Z39" s="417" t="e">
        <f t="shared" si="8"/>
        <v>#N/A</v>
      </c>
    </row>
    <row r="40" spans="1:26" ht="15" hidden="1" thickBot="1">
      <c r="B40" s="418"/>
      <c r="C40" s="367"/>
      <c r="D40" s="280"/>
      <c r="E40" s="280"/>
      <c r="F40" s="279"/>
      <c r="G40" s="280"/>
      <c r="H40" s="419"/>
      <c r="I40" s="369"/>
      <c r="J40" s="369"/>
      <c r="K40" s="282"/>
      <c r="L40" s="277"/>
      <c r="M40" s="420"/>
      <c r="N40" s="371"/>
      <c r="O40" s="372"/>
      <c r="P40" s="370"/>
      <c r="R40" s="278">
        <f t="shared" si="0"/>
        <v>0</v>
      </c>
      <c r="S40" s="421" t="e">
        <f t="shared" si="1"/>
        <v>#N/A</v>
      </c>
      <c r="T40" s="421" t="e">
        <f t="shared" si="2"/>
        <v>#N/A</v>
      </c>
      <c r="U40" s="298" t="e">
        <f t="shared" si="3"/>
        <v>#N/A</v>
      </c>
      <c r="V40" s="298" t="e">
        <f t="shared" si="4"/>
        <v>#N/A</v>
      </c>
      <c r="W40" s="298" t="e">
        <f t="shared" si="5"/>
        <v>#N/A</v>
      </c>
      <c r="X40" s="298" t="e">
        <f t="shared" si="6"/>
        <v>#N/A</v>
      </c>
      <c r="Y40" s="298" t="e">
        <f t="shared" si="7"/>
        <v>#N/A</v>
      </c>
      <c r="Z40" s="417" t="e">
        <f t="shared" si="8"/>
        <v>#N/A</v>
      </c>
    </row>
    <row r="41" spans="1:26" ht="15" hidden="1" thickBot="1">
      <c r="B41" s="29"/>
      <c r="C41" s="367"/>
      <c r="D41" s="280"/>
      <c r="E41" s="280"/>
      <c r="F41" s="279"/>
      <c r="G41" s="280"/>
      <c r="H41" s="419"/>
      <c r="I41" s="369"/>
      <c r="J41" s="369"/>
      <c r="K41" s="282"/>
      <c r="L41" s="277"/>
      <c r="M41" s="420"/>
      <c r="N41" s="371"/>
      <c r="O41" s="372"/>
      <c r="P41" s="370"/>
      <c r="R41" s="278">
        <f t="shared" si="0"/>
        <v>0</v>
      </c>
      <c r="S41" s="421" t="e">
        <f t="shared" si="1"/>
        <v>#N/A</v>
      </c>
      <c r="T41" s="421" t="e">
        <f t="shared" si="2"/>
        <v>#N/A</v>
      </c>
      <c r="U41" s="298" t="e">
        <f t="shared" si="3"/>
        <v>#N/A</v>
      </c>
      <c r="V41" s="298" t="e">
        <f t="shared" si="4"/>
        <v>#N/A</v>
      </c>
      <c r="W41" s="298" t="e">
        <f t="shared" si="5"/>
        <v>#N/A</v>
      </c>
      <c r="X41" s="298" t="e">
        <f t="shared" si="6"/>
        <v>#N/A</v>
      </c>
      <c r="Y41" s="298" t="e">
        <f t="shared" si="7"/>
        <v>#N/A</v>
      </c>
      <c r="Z41" s="417" t="e">
        <f t="shared" si="8"/>
        <v>#N/A</v>
      </c>
    </row>
    <row r="42" spans="1:26" ht="15.75" customHeight="1" thickBot="1">
      <c r="B42" s="359"/>
      <c r="C42" s="424"/>
      <c r="D42" s="359"/>
      <c r="E42" s="359"/>
      <c r="F42" s="295"/>
      <c r="G42" s="295"/>
      <c r="H42" s="349"/>
      <c r="I42" s="632" t="s">
        <v>34</v>
      </c>
      <c r="J42" s="632"/>
      <c r="K42" s="632"/>
      <c r="L42" s="632"/>
      <c r="M42" s="632"/>
      <c r="N42" s="632"/>
      <c r="O42" s="1"/>
      <c r="P42" s="12"/>
      <c r="R42" s="278">
        <f t="shared" si="0"/>
        <v>0</v>
      </c>
      <c r="S42" s="421" t="e">
        <f t="shared" si="1"/>
        <v>#N/A</v>
      </c>
      <c r="T42" s="421" t="e">
        <f t="shared" si="2"/>
        <v>#N/A</v>
      </c>
      <c r="U42" s="298" t="e">
        <f t="shared" si="3"/>
        <v>#N/A</v>
      </c>
      <c r="V42" s="298" t="e">
        <f t="shared" si="4"/>
        <v>#N/A</v>
      </c>
      <c r="W42" s="298" t="e">
        <f t="shared" si="5"/>
        <v>#N/A</v>
      </c>
      <c r="X42" s="298" t="e">
        <f t="shared" si="6"/>
        <v>#N/A</v>
      </c>
      <c r="Y42" s="298" t="e">
        <f t="shared" si="7"/>
        <v>#N/A</v>
      </c>
      <c r="Z42" s="417" t="e">
        <f t="shared" si="8"/>
        <v>#N/A</v>
      </c>
    </row>
    <row r="43" spans="1:26" ht="28.8" thickBot="1">
      <c r="B43" s="425" t="s">
        <v>145</v>
      </c>
      <c r="C43" s="426"/>
      <c r="D43" s="633" t="s">
        <v>35</v>
      </c>
      <c r="E43" s="634"/>
      <c r="F43" s="295"/>
      <c r="G43" s="295"/>
      <c r="H43" s="23"/>
      <c r="I43" s="24" t="s">
        <v>17</v>
      </c>
      <c r="J43" s="25" t="s">
        <v>146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5"/>
      <c r="P43" s="12"/>
      <c r="R43" s="278" t="str">
        <f t="shared" si="0"/>
        <v>BRAND</v>
      </c>
      <c r="S43" s="421" t="e">
        <f t="shared" si="1"/>
        <v>#N/A</v>
      </c>
      <c r="T43" s="421" t="e">
        <f t="shared" si="2"/>
        <v>#N/A</v>
      </c>
      <c r="U43" s="298" t="e">
        <f t="shared" si="3"/>
        <v>#N/A</v>
      </c>
      <c r="V43" s="298" t="e">
        <f t="shared" si="4"/>
        <v>#N/A</v>
      </c>
      <c r="W43" s="298" t="e">
        <f t="shared" si="5"/>
        <v>#N/A</v>
      </c>
      <c r="X43" s="298" t="e">
        <f t="shared" si="6"/>
        <v>#N/A</v>
      </c>
      <c r="Y43" s="298" t="e">
        <f t="shared" si="7"/>
        <v>#N/A</v>
      </c>
      <c r="Z43" s="417" t="e">
        <f t="shared" si="8"/>
        <v>#N/A</v>
      </c>
    </row>
    <row r="44" spans="1:26" ht="15" customHeight="1">
      <c r="A44" s="28"/>
      <c r="B44" s="635" t="str">
        <f>I44</f>
        <v>CARIB</v>
      </c>
      <c r="C44" s="427">
        <v>11.8</v>
      </c>
      <c r="D44" s="638">
        <v>11.8</v>
      </c>
      <c r="E44" s="592"/>
      <c r="F44" s="295"/>
      <c r="G44" s="295"/>
      <c r="H44" s="295"/>
      <c r="I44" s="29" t="s">
        <v>6</v>
      </c>
      <c r="J44" s="324"/>
      <c r="K44" s="285"/>
      <c r="L44" s="303"/>
      <c r="M44" s="303"/>
      <c r="N44" s="30">
        <v>98</v>
      </c>
      <c r="O44" s="11"/>
      <c r="P44" s="31"/>
      <c r="R44" s="278"/>
      <c r="S44" s="421"/>
      <c r="T44" s="421"/>
      <c r="U44" s="298"/>
      <c r="V44" s="298"/>
      <c r="W44" s="298"/>
      <c r="X44" s="298"/>
      <c r="Y44" s="298"/>
      <c r="Z44" s="417"/>
    </row>
    <row r="45" spans="1:26" ht="15" customHeight="1">
      <c r="A45" s="28"/>
      <c r="B45" s="636"/>
      <c r="C45" s="427">
        <v>11.8</v>
      </c>
      <c r="D45" s="580"/>
      <c r="E45" s="581"/>
      <c r="F45" s="295"/>
      <c r="G45" s="295"/>
      <c r="H45" s="32"/>
      <c r="I45" s="418" t="s">
        <v>9</v>
      </c>
      <c r="J45" s="324">
        <f>AVERAGE(I15:I19)</f>
        <v>95.824605043914772</v>
      </c>
      <c r="K45" s="285">
        <v>10</v>
      </c>
      <c r="L45" s="428">
        <f>AVERAGE(I15:I19)</f>
        <v>95.824605043914772</v>
      </c>
      <c r="M45" s="428">
        <f>L45</f>
        <v>95.824605043914772</v>
      </c>
      <c r="N45" s="30">
        <v>98</v>
      </c>
      <c r="O45" s="11"/>
      <c r="P45" s="31"/>
      <c r="R45" s="278"/>
      <c r="S45" s="421"/>
      <c r="T45" s="421"/>
      <c r="U45" s="298"/>
      <c r="V45" s="298"/>
      <c r="W45" s="298"/>
      <c r="X45" s="298"/>
      <c r="Y45" s="298"/>
      <c r="Z45" s="417"/>
    </row>
    <row r="46" spans="1:26" ht="14.7" customHeight="1">
      <c r="A46" s="28"/>
      <c r="B46" s="636"/>
      <c r="C46" s="427">
        <v>11.8</v>
      </c>
      <c r="D46" s="626">
        <v>11.82</v>
      </c>
      <c r="E46" s="623"/>
      <c r="F46" s="295"/>
      <c r="G46" s="295"/>
      <c r="H46" s="32"/>
      <c r="I46" s="34" t="s">
        <v>12</v>
      </c>
      <c r="J46" s="327"/>
      <c r="K46" s="285"/>
      <c r="L46" s="428"/>
      <c r="M46" s="303"/>
      <c r="N46" s="30">
        <v>98</v>
      </c>
      <c r="O46" s="11"/>
      <c r="P46" s="31"/>
      <c r="R46" s="278"/>
      <c r="S46" s="421"/>
      <c r="T46" s="421"/>
      <c r="U46" s="298"/>
      <c r="V46" s="298"/>
      <c r="W46" s="298"/>
      <c r="X46" s="298"/>
      <c r="Y46" s="298"/>
      <c r="Z46" s="417"/>
    </row>
    <row r="47" spans="1:26" ht="14.7" customHeight="1">
      <c r="A47" s="28"/>
      <c r="B47" s="636"/>
      <c r="C47" s="427">
        <v>11.8</v>
      </c>
      <c r="D47" s="580"/>
      <c r="E47" s="581"/>
      <c r="F47" s="295"/>
      <c r="G47" s="295"/>
      <c r="H47" s="32"/>
      <c r="I47" s="22" t="s">
        <v>33</v>
      </c>
      <c r="J47" s="327"/>
      <c r="K47" s="285"/>
      <c r="L47" s="303"/>
      <c r="M47" s="303"/>
      <c r="N47" s="30">
        <v>98</v>
      </c>
      <c r="O47" s="11"/>
      <c r="P47" s="31"/>
      <c r="R47" s="278"/>
      <c r="S47" s="421"/>
      <c r="T47" s="421"/>
      <c r="U47" s="298"/>
      <c r="V47" s="298"/>
      <c r="W47" s="298"/>
      <c r="X47" s="298"/>
      <c r="Y47" s="298"/>
      <c r="Z47" s="417"/>
    </row>
    <row r="48" spans="1:26" ht="14.7" customHeight="1">
      <c r="A48" s="28"/>
      <c r="B48" s="636"/>
      <c r="C48" s="427"/>
      <c r="D48" s="626"/>
      <c r="E48" s="623"/>
      <c r="F48" s="295"/>
      <c r="G48" s="295"/>
      <c r="H48" s="32"/>
      <c r="I48" s="35" t="s">
        <v>29</v>
      </c>
      <c r="J48" s="327"/>
      <c r="K48" s="285"/>
      <c r="L48" s="303"/>
      <c r="M48" s="303"/>
      <c r="N48" s="30">
        <v>98</v>
      </c>
      <c r="O48" s="11"/>
      <c r="P48" s="31"/>
      <c r="R48" s="278"/>
      <c r="S48" s="421"/>
      <c r="T48" s="421"/>
      <c r="U48" s="298"/>
      <c r="V48" s="298"/>
      <c r="W48" s="298"/>
      <c r="X48" s="298"/>
      <c r="Y48" s="298"/>
      <c r="Z48" s="417"/>
    </row>
    <row r="49" spans="1:56" ht="14.7" customHeight="1">
      <c r="A49" s="28"/>
      <c r="B49" s="636"/>
      <c r="C49" s="427"/>
      <c r="D49" s="580"/>
      <c r="E49" s="581"/>
      <c r="F49" s="295"/>
      <c r="G49" s="295"/>
      <c r="H49" s="32"/>
      <c r="I49" s="36" t="s">
        <v>15</v>
      </c>
      <c r="J49" s="429"/>
      <c r="K49" s="285"/>
      <c r="L49" s="303"/>
      <c r="M49" s="303"/>
      <c r="N49" s="30">
        <v>98</v>
      </c>
      <c r="O49" s="11"/>
      <c r="P49" s="31"/>
      <c r="R49" s="278"/>
      <c r="S49" s="421"/>
      <c r="T49" s="421"/>
      <c r="U49" s="298"/>
      <c r="V49" s="298"/>
      <c r="W49" s="298"/>
      <c r="X49" s="298"/>
      <c r="Y49" s="298"/>
      <c r="Z49" s="417"/>
    </row>
    <row r="50" spans="1:56" ht="14.7" customHeight="1">
      <c r="A50" s="28"/>
      <c r="B50" s="636"/>
      <c r="C50" s="427"/>
      <c r="D50" s="626"/>
      <c r="E50" s="623"/>
      <c r="F50" s="295"/>
      <c r="G50" s="295"/>
      <c r="H50" s="32"/>
      <c r="I50" s="37" t="s">
        <v>16</v>
      </c>
      <c r="J50" s="430"/>
      <c r="K50" s="285"/>
      <c r="L50" s="303"/>
      <c r="M50" s="303"/>
      <c r="N50" s="30">
        <v>98</v>
      </c>
      <c r="O50" s="11"/>
      <c r="P50" s="31" t="s">
        <v>41</v>
      </c>
      <c r="R50" s="278"/>
      <c r="S50" s="421"/>
      <c r="T50" s="421"/>
      <c r="U50" s="298"/>
      <c r="V50" s="298"/>
      <c r="W50" s="298"/>
      <c r="X50" s="298"/>
      <c r="Y50" s="298"/>
      <c r="Z50" s="417"/>
    </row>
    <row r="51" spans="1:56" ht="14.7" customHeight="1">
      <c r="A51" s="28"/>
      <c r="B51" s="636"/>
      <c r="C51" s="427"/>
      <c r="D51" s="580"/>
      <c r="E51" s="581"/>
      <c r="F51" s="295"/>
      <c r="G51" s="295"/>
      <c r="H51" s="32"/>
      <c r="I51" s="307" t="s">
        <v>137</v>
      </c>
      <c r="J51" s="327"/>
      <c r="K51" s="285"/>
      <c r="L51" s="306"/>
      <c r="M51" s="306"/>
      <c r="N51" s="30">
        <v>98</v>
      </c>
      <c r="O51" s="11"/>
      <c r="P51" s="31"/>
      <c r="R51" s="278"/>
      <c r="S51" s="421"/>
      <c r="T51" s="421"/>
      <c r="U51" s="298"/>
      <c r="V51" s="298"/>
      <c r="W51" s="298"/>
      <c r="X51" s="298"/>
      <c r="Y51" s="298"/>
      <c r="Z51" s="417"/>
    </row>
    <row r="52" spans="1:56" ht="15" thickBot="1">
      <c r="A52" s="28"/>
      <c r="B52" s="636"/>
      <c r="C52" s="427"/>
      <c r="D52" s="626"/>
      <c r="E52" s="623"/>
      <c r="F52" s="295"/>
      <c r="G52" s="295"/>
      <c r="H52" s="32"/>
      <c r="I52" s="38" t="s">
        <v>157</v>
      </c>
      <c r="J52" s="327"/>
      <c r="K52" s="285"/>
      <c r="L52" s="306"/>
      <c r="M52" s="329"/>
      <c r="N52" s="30">
        <v>98</v>
      </c>
      <c r="O52" s="11"/>
      <c r="P52" s="31"/>
      <c r="R52" s="278"/>
      <c r="S52" s="421"/>
      <c r="T52" s="421"/>
      <c r="U52" s="298"/>
      <c r="V52" s="298"/>
      <c r="W52" s="298"/>
      <c r="X52" s="298"/>
      <c r="Y52" s="298"/>
      <c r="Z52" s="417"/>
    </row>
    <row r="53" spans="1:56" ht="15" customHeight="1" thickBot="1">
      <c r="A53" s="28"/>
      <c r="B53" s="636"/>
      <c r="C53" s="427"/>
      <c r="D53" s="580"/>
      <c r="E53" s="581"/>
      <c r="F53" s="295"/>
      <c r="G53" s="295"/>
      <c r="H53" s="32"/>
      <c r="I53" s="431" t="s">
        <v>158</v>
      </c>
      <c r="J53" s="328"/>
      <c r="K53" s="285"/>
      <c r="L53" s="329"/>
      <c r="M53" s="329"/>
      <c r="N53" s="30">
        <v>98</v>
      </c>
      <c r="O53" s="11"/>
      <c r="P53" s="31"/>
      <c r="R53" s="278"/>
      <c r="S53" s="421"/>
      <c r="T53" s="421"/>
      <c r="U53" s="298"/>
      <c r="V53" s="298"/>
      <c r="W53" s="298"/>
      <c r="X53" s="298"/>
      <c r="Y53" s="298"/>
      <c r="Z53" s="417"/>
    </row>
    <row r="54" spans="1:56" ht="15" customHeight="1" thickTop="1" thickBot="1">
      <c r="A54" s="28"/>
      <c r="B54" s="636"/>
      <c r="C54" s="427"/>
      <c r="D54" s="626"/>
      <c r="E54" s="623"/>
      <c r="F54" s="295"/>
      <c r="G54" s="295"/>
      <c r="H54" s="32"/>
      <c r="I54" s="1"/>
      <c r="J54" s="39"/>
      <c r="K54" s="432">
        <f>SUM(K44:K53)</f>
        <v>10</v>
      </c>
      <c r="L54" s="433">
        <f>((L44*K44)+(L45*K45)+(L46*K46)+(L47*K47)+(L48*K48)+(K51*L51)+(L49*K49)+(L50*K50)+(L53*K53))/(K54)</f>
        <v>95.824605043914772</v>
      </c>
      <c r="M54" s="433">
        <f>L54</f>
        <v>95.824605043914772</v>
      </c>
      <c r="N54" s="30">
        <v>98</v>
      </c>
      <c r="O54" s="11"/>
      <c r="P54" s="31"/>
      <c r="R54" s="23"/>
    </row>
    <row r="55" spans="1:56" ht="15" customHeight="1">
      <c r="A55" s="28"/>
      <c r="B55" s="636"/>
      <c r="C55" s="427"/>
      <c r="D55" s="580"/>
      <c r="E55" s="581"/>
      <c r="F55" s="295"/>
      <c r="G55" s="295"/>
      <c r="H55" s="32"/>
      <c r="I55" s="1"/>
      <c r="J55" s="39"/>
      <c r="O55" s="11"/>
      <c r="P55" s="31"/>
      <c r="R55" s="23"/>
    </row>
    <row r="56" spans="1:56" ht="21.6" customHeight="1" thickBot="1">
      <c r="B56" s="637"/>
      <c r="C56" s="434"/>
      <c r="D56" s="626"/>
      <c r="E56" s="623"/>
      <c r="F56" s="295"/>
      <c r="G56" s="42"/>
      <c r="H56" s="41"/>
      <c r="I56" s="1"/>
      <c r="J56" s="42"/>
      <c r="K56" s="352"/>
      <c r="L56" s="349"/>
      <c r="M56" s="349"/>
      <c r="N56" s="11"/>
      <c r="O56" s="295"/>
      <c r="P56" s="12"/>
      <c r="R56" s="23"/>
    </row>
    <row r="57" spans="1:56" ht="15" thickBot="1">
      <c r="B57" s="627"/>
      <c r="C57" s="435"/>
      <c r="D57" s="591"/>
      <c r="E57" s="592"/>
      <c r="F57" s="43"/>
      <c r="G57" s="41"/>
      <c r="H57" s="41"/>
      <c r="I57" s="1"/>
      <c r="J57" s="630" t="s">
        <v>129</v>
      </c>
      <c r="K57" s="631"/>
      <c r="L57" s="295"/>
      <c r="M57" s="295"/>
      <c r="N57" s="295"/>
      <c r="O57" s="295"/>
      <c r="P57" s="12"/>
      <c r="R57" s="23" t="s">
        <v>41</v>
      </c>
    </row>
    <row r="58" spans="1:56" ht="15.6" customHeight="1" thickBot="1">
      <c r="B58" s="628"/>
      <c r="C58" s="427"/>
      <c r="D58" s="593"/>
      <c r="E58" s="581"/>
      <c r="F58" s="43"/>
      <c r="G58" s="41"/>
      <c r="H58" s="42"/>
      <c r="I58" s="1"/>
      <c r="J58" s="398" t="s">
        <v>17</v>
      </c>
      <c r="K58" s="399" t="s">
        <v>147</v>
      </c>
      <c r="L58" s="595" t="s">
        <v>136</v>
      </c>
      <c r="M58" s="595"/>
      <c r="N58" s="596"/>
      <c r="O58" s="295"/>
      <c r="P58" s="12"/>
      <c r="R58" s="23"/>
    </row>
    <row r="59" spans="1:56" ht="15" customHeight="1" thickBot="1">
      <c r="B59" s="628"/>
      <c r="C59" s="427"/>
      <c r="D59" s="622"/>
      <c r="E59" s="623"/>
      <c r="F59" s="43"/>
      <c r="G59" s="41"/>
      <c r="H59" s="436"/>
      <c r="I59" s="1"/>
      <c r="J59" s="400" t="s">
        <v>6</v>
      </c>
      <c r="K59" s="437"/>
      <c r="L59" s="438" t="s">
        <v>37</v>
      </c>
      <c r="M59" s="439" t="s">
        <v>38</v>
      </c>
      <c r="N59" s="439" t="s">
        <v>84</v>
      </c>
      <c r="O59" s="295"/>
      <c r="P59" s="12"/>
      <c r="R59" s="23"/>
    </row>
    <row r="60" spans="1:56" ht="15" thickBot="1">
      <c r="B60" s="628"/>
      <c r="C60" s="427"/>
      <c r="D60" s="593"/>
      <c r="E60" s="581"/>
      <c r="F60" s="43"/>
      <c r="G60" s="41"/>
      <c r="H60" s="436"/>
      <c r="I60" s="1"/>
      <c r="J60" s="402" t="s">
        <v>9</v>
      </c>
      <c r="K60" s="437">
        <v>5</v>
      </c>
      <c r="L60" s="345">
        <f>AVERAGE('Jan 2nd'!K69,'Jan 3rd'!K69)</f>
        <v>5</v>
      </c>
      <c r="M60" s="326">
        <f>L60</f>
        <v>5</v>
      </c>
      <c r="N60" s="491"/>
      <c r="O60" s="295"/>
      <c r="P60" s="12"/>
      <c r="R60" s="23"/>
    </row>
    <row r="61" spans="1:56" ht="14.4">
      <c r="B61" s="628"/>
      <c r="C61" s="427"/>
      <c r="D61" s="622"/>
      <c r="E61" s="623"/>
      <c r="F61" s="43"/>
      <c r="G61" s="41"/>
      <c r="H61" s="436"/>
      <c r="I61" s="1"/>
      <c r="J61" s="403" t="s">
        <v>40</v>
      </c>
      <c r="K61" s="437"/>
      <c r="L61" s="295"/>
      <c r="M61" s="295"/>
      <c r="N61" s="295"/>
      <c r="O61" s="295"/>
      <c r="P61" s="12"/>
      <c r="R61" s="23"/>
    </row>
    <row r="62" spans="1:56" ht="15" customHeight="1">
      <c r="B62" s="628"/>
      <c r="C62" s="427"/>
      <c r="D62" s="593"/>
      <c r="E62" s="581"/>
      <c r="F62" s="43"/>
      <c r="G62" s="41"/>
      <c r="H62" s="436"/>
      <c r="I62" s="1"/>
      <c r="J62" s="404" t="s">
        <v>33</v>
      </c>
      <c r="K62" s="437"/>
      <c r="L62" s="295"/>
      <c r="M62" s="295"/>
      <c r="N62" s="295"/>
      <c r="O62" s="295"/>
      <c r="P62" s="12"/>
      <c r="R62" s="23"/>
    </row>
    <row r="63" spans="1:56" ht="14.4">
      <c r="B63" s="628"/>
      <c r="C63" s="427"/>
      <c r="D63" s="622"/>
      <c r="E63" s="623"/>
      <c r="F63" s="43"/>
      <c r="G63" s="41"/>
      <c r="H63" s="436"/>
      <c r="I63" s="1"/>
      <c r="J63" s="405" t="s">
        <v>16</v>
      </c>
      <c r="K63" s="437"/>
      <c r="L63" s="295"/>
      <c r="M63" s="295"/>
      <c r="N63" s="295"/>
      <c r="O63" s="295"/>
      <c r="P63" s="12"/>
      <c r="R63" s="23"/>
      <c r="BC63" s="44"/>
      <c r="BD63" s="44"/>
    </row>
    <row r="64" spans="1:56" ht="14.4">
      <c r="B64" s="628"/>
      <c r="C64" s="427"/>
      <c r="D64" s="593"/>
      <c r="E64" s="581"/>
      <c r="F64" s="43"/>
      <c r="G64" s="41"/>
      <c r="H64" s="436"/>
      <c r="I64" s="1"/>
      <c r="J64" s="406" t="s">
        <v>15</v>
      </c>
      <c r="K64" s="437"/>
      <c r="L64" s="295"/>
      <c r="M64" s="295"/>
      <c r="N64" s="295"/>
      <c r="O64" s="295"/>
      <c r="P64" s="12"/>
      <c r="R64" s="23"/>
      <c r="T64" s="316"/>
      <c r="BC64" s="44"/>
      <c r="BD64" s="44"/>
    </row>
    <row r="65" spans="2:56" ht="14.4">
      <c r="B65" s="628"/>
      <c r="C65" s="427"/>
      <c r="D65" s="622"/>
      <c r="E65" s="623"/>
      <c r="F65" s="43"/>
      <c r="G65" s="41"/>
      <c r="H65" s="436"/>
      <c r="I65" s="1"/>
      <c r="J65" s="406" t="s">
        <v>149</v>
      </c>
      <c r="K65" s="401"/>
      <c r="L65" s="295"/>
      <c r="M65" s="295"/>
      <c r="N65" s="295"/>
      <c r="O65" s="295"/>
      <c r="P65" s="12"/>
      <c r="R65" s="23"/>
      <c r="BC65" s="44"/>
      <c r="BD65" s="44"/>
    </row>
    <row r="66" spans="2:56" ht="15" thickBot="1">
      <c r="B66" s="629"/>
      <c r="C66" s="434"/>
      <c r="D66" s="624"/>
      <c r="E66" s="625"/>
      <c r="F66" s="43"/>
      <c r="G66" s="41"/>
      <c r="H66" s="436"/>
      <c r="I66" s="1"/>
      <c r="J66" s="406" t="s">
        <v>148</v>
      </c>
      <c r="K66" s="401"/>
      <c r="L66" s="295"/>
      <c r="M66" s="295"/>
      <c r="N66" s="295"/>
      <c r="O66" s="295"/>
      <c r="P66" s="12"/>
      <c r="R66" s="23"/>
      <c r="BC66" s="44"/>
      <c r="BD66" s="44"/>
    </row>
    <row r="67" spans="2:56" ht="17.7" customHeight="1" thickBot="1">
      <c r="B67" s="313"/>
      <c r="C67" s="314"/>
      <c r="D67" s="601">
        <f>AVERAGE(D44:E66)</f>
        <v>11.81</v>
      </c>
      <c r="E67" s="602"/>
      <c r="F67" s="43"/>
      <c r="G67" s="41"/>
      <c r="H67" s="436"/>
      <c r="I67" s="1"/>
      <c r="J67" s="407" t="s">
        <v>134</v>
      </c>
      <c r="K67" s="401"/>
      <c r="L67" s="295"/>
      <c r="M67" s="295"/>
      <c r="N67" s="295"/>
      <c r="O67" s="295"/>
      <c r="P67" s="12"/>
      <c r="R67" s="23"/>
      <c r="BC67" s="44"/>
      <c r="BD67" s="44"/>
    </row>
    <row r="68" spans="2:56" ht="17.7" customHeight="1">
      <c r="B68" s="364"/>
      <c r="C68" s="365"/>
      <c r="D68" s="366"/>
      <c r="E68" s="366"/>
      <c r="F68" s="43"/>
      <c r="G68" s="41"/>
      <c r="H68" s="436"/>
      <c r="I68" s="1"/>
      <c r="J68" s="407" t="s">
        <v>131</v>
      </c>
      <c r="K68" s="401"/>
      <c r="L68" s="295"/>
      <c r="M68" s="295"/>
      <c r="N68" s="295"/>
      <c r="O68" s="295"/>
      <c r="P68" s="12"/>
      <c r="R68" s="23"/>
      <c r="BC68" s="44"/>
      <c r="BD68" s="44"/>
    </row>
    <row r="69" spans="2:56" ht="15.75" customHeight="1" thickBot="1">
      <c r="B69" s="45"/>
      <c r="C69" s="11"/>
      <c r="D69" s="11"/>
      <c r="E69" s="46"/>
      <c r="F69" s="23"/>
      <c r="G69" s="11"/>
      <c r="H69" s="436"/>
      <c r="I69" s="1"/>
      <c r="J69" s="408" t="s">
        <v>130</v>
      </c>
      <c r="K69" s="409">
        <f>SUM(K59:K68)</f>
        <v>5</v>
      </c>
      <c r="L69" s="295"/>
      <c r="M69" s="295"/>
      <c r="N69" s="295"/>
      <c r="O69" s="295"/>
      <c r="P69" s="12"/>
    </row>
    <row r="70" spans="2:56" ht="20.25" customHeight="1">
      <c r="B70" s="15" t="s">
        <v>42</v>
      </c>
      <c r="C70" s="1" t="s">
        <v>43</v>
      </c>
      <c r="D70" s="1"/>
      <c r="E70" s="1"/>
      <c r="I70" s="1"/>
      <c r="L70" s="295"/>
      <c r="P70" s="335"/>
    </row>
    <row r="71" spans="2:56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  <c r="W71" s="276" t="s">
        <v>41</v>
      </c>
    </row>
    <row r="72" spans="2:56" ht="15" customHeight="1" thickBot="1">
      <c r="B72" s="603" t="s">
        <v>17</v>
      </c>
      <c r="C72" s="603" t="s">
        <v>44</v>
      </c>
      <c r="D72" s="605" t="s">
        <v>45</v>
      </c>
      <c r="E72" s="560" t="s">
        <v>46</v>
      </c>
      <c r="F72" s="620" t="s">
        <v>47</v>
      </c>
      <c r="G72" s="614" t="s">
        <v>48</v>
      </c>
      <c r="H72" s="603" t="s">
        <v>49</v>
      </c>
      <c r="I72" s="616" t="s">
        <v>50</v>
      </c>
      <c r="J72" s="608" t="s">
        <v>28</v>
      </c>
      <c r="K72" s="558" t="s">
        <v>51</v>
      </c>
      <c r="L72" s="570" t="s">
        <v>52</v>
      </c>
      <c r="M72" s="608" t="s">
        <v>53</v>
      </c>
      <c r="N72" s="13"/>
      <c r="O72" s="13"/>
      <c r="P72" s="50"/>
    </row>
    <row r="73" spans="2:56" ht="28.5" customHeight="1" thickTop="1" thickBot="1">
      <c r="B73" s="604"/>
      <c r="C73" s="604"/>
      <c r="D73" s="606"/>
      <c r="E73" s="607"/>
      <c r="F73" s="621"/>
      <c r="G73" s="615"/>
      <c r="H73" s="604"/>
      <c r="I73" s="617"/>
      <c r="J73" s="609"/>
      <c r="K73" s="618"/>
      <c r="L73" s="619"/>
      <c r="M73" s="609"/>
      <c r="N73" s="13"/>
      <c r="O73" s="13"/>
      <c r="P73" s="50"/>
      <c r="Q73" s="356"/>
      <c r="R73" s="356"/>
      <c r="S73" s="356"/>
      <c r="T73" s="440">
        <v>43466</v>
      </c>
      <c r="U73" s="440">
        <v>43467</v>
      </c>
      <c r="V73" s="440">
        <v>43468</v>
      </c>
      <c r="W73" s="440">
        <v>43469</v>
      </c>
      <c r="X73" s="440">
        <v>43470</v>
      </c>
      <c r="Y73" s="440">
        <v>43471</v>
      </c>
      <c r="Z73" s="440">
        <v>43472</v>
      </c>
      <c r="AA73" s="440">
        <v>43473</v>
      </c>
      <c r="AB73" s="440">
        <v>43474</v>
      </c>
      <c r="AC73" s="440">
        <v>43475</v>
      </c>
      <c r="AD73" s="440">
        <v>43476</v>
      </c>
      <c r="AE73" s="440">
        <v>43477</v>
      </c>
      <c r="AF73" s="440">
        <v>43478</v>
      </c>
      <c r="AG73" s="440">
        <v>43479</v>
      </c>
      <c r="AH73" s="440">
        <v>43480</v>
      </c>
      <c r="AI73" s="440">
        <v>43481</v>
      </c>
      <c r="AJ73" s="440">
        <v>43482</v>
      </c>
      <c r="AK73" s="440">
        <v>43483</v>
      </c>
      <c r="AL73" s="440">
        <v>43484</v>
      </c>
      <c r="AM73" s="440">
        <v>43485</v>
      </c>
      <c r="AN73" s="440">
        <v>43486</v>
      </c>
      <c r="AO73" s="440">
        <v>43487</v>
      </c>
      <c r="AP73" s="440">
        <v>43488</v>
      </c>
      <c r="AQ73" s="440">
        <v>43489</v>
      </c>
      <c r="AR73" s="440">
        <v>43490</v>
      </c>
      <c r="AS73" s="440">
        <v>43491</v>
      </c>
      <c r="AT73" s="440">
        <v>43492</v>
      </c>
      <c r="AU73" s="440">
        <v>43493</v>
      </c>
      <c r="AV73" s="440">
        <v>43494</v>
      </c>
      <c r="AW73" s="440">
        <v>43495</v>
      </c>
      <c r="AX73" s="440">
        <v>43496</v>
      </c>
    </row>
    <row r="74" spans="2:56" s="54" customFormat="1" ht="46.2" customHeight="1" thickBot="1">
      <c r="B74" s="441" t="str">
        <f>B83</f>
        <v>CARIB</v>
      </c>
      <c r="C74" s="442">
        <v>45660</v>
      </c>
      <c r="D74" s="443">
        <f>[23]January_2025!$F$3</f>
        <v>200.09999999999997</v>
      </c>
      <c r="E74" s="444"/>
      <c r="F74" s="445"/>
      <c r="G74" s="443">
        <f>[23]January_2025!$F$7</f>
        <v>181.5</v>
      </c>
      <c r="H74" s="446"/>
      <c r="I74" s="446"/>
      <c r="J74" s="391" t="s">
        <v>150</v>
      </c>
      <c r="K74" s="447">
        <f>[24]January_2025!$F$18</f>
        <v>0.63684210526315788</v>
      </c>
      <c r="L74" s="448">
        <f>(((D74+E74)-G74)/(D74+E74))*100</f>
        <v>9.2953523238380651</v>
      </c>
      <c r="M74" s="449" t="s">
        <v>179</v>
      </c>
      <c r="N74" s="273"/>
      <c r="O74" s="450"/>
      <c r="P74" s="50" t="s">
        <v>41</v>
      </c>
      <c r="S74" s="273" t="s">
        <v>54</v>
      </c>
      <c r="T74" s="411"/>
      <c r="U74" s="411"/>
      <c r="V74" s="411"/>
      <c r="W74" s="411"/>
      <c r="X74" s="411"/>
      <c r="Y74" s="411"/>
      <c r="Z74" s="411"/>
      <c r="AA74" s="411"/>
      <c r="AB74" s="411"/>
      <c r="AC74" s="411"/>
      <c r="AD74" s="411"/>
      <c r="AE74" s="411"/>
      <c r="AF74" s="411"/>
      <c r="AG74" s="411"/>
      <c r="AH74" s="411"/>
      <c r="AI74" s="411"/>
      <c r="AJ74" s="411"/>
      <c r="AK74" s="411"/>
      <c r="AL74" s="411"/>
      <c r="AM74" s="411"/>
      <c r="AN74" s="411"/>
      <c r="AO74" s="411"/>
      <c r="AP74" s="411"/>
      <c r="AQ74" s="411"/>
      <c r="AR74" s="411"/>
      <c r="AS74" s="411"/>
      <c r="AT74" s="411"/>
      <c r="AU74" s="411"/>
      <c r="AV74" s="411"/>
      <c r="AW74" s="411"/>
    </row>
    <row r="75" spans="2:56" s="54" customFormat="1" ht="24.6" hidden="1" customHeight="1">
      <c r="B75" s="441"/>
      <c r="C75" s="451"/>
      <c r="D75" s="452"/>
      <c r="E75" s="453"/>
      <c r="F75" s="454"/>
      <c r="G75" s="452"/>
      <c r="H75" s="412"/>
      <c r="I75" s="455"/>
      <c r="J75" s="456"/>
      <c r="K75" s="457"/>
      <c r="L75" s="458"/>
      <c r="M75" s="459"/>
      <c r="N75" s="273"/>
      <c r="O75" s="450"/>
      <c r="P75" s="50"/>
      <c r="S75" s="273"/>
      <c r="T75" s="411"/>
      <c r="U75" s="411"/>
      <c r="V75" s="411"/>
      <c r="W75" s="411"/>
      <c r="X75" s="411"/>
      <c r="Y75" s="411"/>
      <c r="Z75" s="411"/>
      <c r="AA75" s="411"/>
      <c r="AB75" s="411"/>
      <c r="AC75" s="411"/>
      <c r="AD75" s="411"/>
      <c r="AE75" s="411"/>
      <c r="AF75" s="411"/>
      <c r="AG75" s="411"/>
      <c r="AH75" s="411"/>
      <c r="AI75" s="411"/>
      <c r="AJ75" s="411"/>
      <c r="AK75" s="411"/>
      <c r="AL75" s="411"/>
      <c r="AM75" s="411"/>
      <c r="AN75" s="411"/>
      <c r="AO75" s="411"/>
      <c r="AP75" s="411"/>
      <c r="AQ75" s="411"/>
      <c r="AR75" s="411"/>
      <c r="AS75" s="411"/>
      <c r="AT75" s="411"/>
      <c r="AU75" s="411"/>
      <c r="AV75" s="411"/>
      <c r="AW75" s="411"/>
    </row>
    <row r="76" spans="2:56" s="54" customFormat="1" ht="42.6" hidden="1" customHeight="1" thickBot="1">
      <c r="B76" s="441" t="str">
        <f>I45</f>
        <v>STAG</v>
      </c>
      <c r="C76" s="442">
        <v>45644</v>
      </c>
      <c r="D76" s="443"/>
      <c r="E76" s="444"/>
      <c r="F76" s="445"/>
      <c r="G76" s="443"/>
      <c r="H76" s="446"/>
      <c r="I76" s="446"/>
      <c r="J76" s="391" t="s">
        <v>159</v>
      </c>
      <c r="K76" s="460"/>
      <c r="L76" s="461" t="e">
        <f>(((D76+E76)-G76)/(D76+E76))*100</f>
        <v>#DIV/0!</v>
      </c>
      <c r="M76" s="449"/>
      <c r="N76" s="273"/>
      <c r="O76" s="450"/>
      <c r="P76" s="50"/>
      <c r="S76" s="273"/>
      <c r="T76" s="411"/>
      <c r="U76" s="411"/>
      <c r="V76" s="411"/>
      <c r="W76" s="411"/>
      <c r="X76" s="411"/>
      <c r="Y76" s="411"/>
      <c r="Z76" s="411"/>
      <c r="AA76" s="411"/>
      <c r="AB76" s="411"/>
      <c r="AC76" s="411"/>
      <c r="AD76" s="411"/>
      <c r="AE76" s="411"/>
      <c r="AF76" s="411"/>
      <c r="AG76" s="411"/>
      <c r="AH76" s="411"/>
      <c r="AI76" s="411"/>
      <c r="AJ76" s="411"/>
      <c r="AK76" s="411"/>
      <c r="AL76" s="411"/>
      <c r="AM76" s="411"/>
      <c r="AN76" s="411"/>
      <c r="AO76" s="411"/>
      <c r="AP76" s="411"/>
      <c r="AQ76" s="411"/>
      <c r="AR76" s="411"/>
      <c r="AS76" s="411"/>
      <c r="AT76" s="411"/>
      <c r="AU76" s="411"/>
      <c r="AV76" s="411"/>
      <c r="AW76" s="411"/>
    </row>
    <row r="77" spans="2:56" s="54" customFormat="1" ht="24.6" hidden="1" customHeight="1" thickBot="1">
      <c r="B77" s="462"/>
      <c r="C77" s="463"/>
      <c r="D77" s="464"/>
      <c r="E77" s="465"/>
      <c r="F77" s="466"/>
      <c r="G77" s="464"/>
      <c r="H77" s="467"/>
      <c r="I77" s="468"/>
      <c r="J77" s="469"/>
      <c r="K77" s="470"/>
      <c r="L77" s="471"/>
      <c r="M77" s="472"/>
      <c r="N77" s="273"/>
      <c r="O77" s="450"/>
      <c r="P77" s="50"/>
      <c r="S77" s="273"/>
      <c r="T77" s="411"/>
      <c r="U77" s="411"/>
      <c r="V77" s="411"/>
      <c r="W77" s="411"/>
      <c r="X77" s="411"/>
      <c r="Y77" s="411"/>
      <c r="Z77" s="411"/>
      <c r="AA77" s="411"/>
      <c r="AB77" s="411"/>
      <c r="AC77" s="411"/>
      <c r="AD77" s="411"/>
      <c r="AE77" s="411"/>
      <c r="AF77" s="411"/>
      <c r="AG77" s="411"/>
      <c r="AH77" s="411"/>
      <c r="AI77" s="411"/>
      <c r="AJ77" s="411"/>
      <c r="AK77" s="411"/>
      <c r="AL77" s="411"/>
      <c r="AM77" s="411"/>
      <c r="AN77" s="411"/>
      <c r="AO77" s="411"/>
      <c r="AP77" s="411"/>
      <c r="AQ77" s="411"/>
      <c r="AR77" s="411"/>
      <c r="AS77" s="411"/>
      <c r="AT77" s="411"/>
      <c r="AU77" s="411"/>
      <c r="AV77" s="411"/>
      <c r="AW77" s="411"/>
    </row>
    <row r="78" spans="2:56" s="54" customFormat="1" ht="42.6" hidden="1" customHeight="1" thickBot="1">
      <c r="B78" s="473"/>
      <c r="C78" s="442"/>
      <c r="D78" s="443"/>
      <c r="E78" s="444"/>
      <c r="F78" s="445"/>
      <c r="G78" s="443"/>
      <c r="H78" s="474"/>
      <c r="I78" s="383"/>
      <c r="J78" s="475" t="s">
        <v>160</v>
      </c>
      <c r="K78" s="476"/>
      <c r="L78" s="477" t="e">
        <f>(((D78+E78)-G78)/(D78+E78))*100</f>
        <v>#DIV/0!</v>
      </c>
      <c r="M78" s="449" t="s">
        <v>161</v>
      </c>
      <c r="N78" s="273"/>
      <c r="O78" s="450"/>
      <c r="P78" s="50"/>
      <c r="S78" s="273"/>
      <c r="T78" s="411"/>
      <c r="U78" s="411"/>
      <c r="V78" s="411"/>
      <c r="W78" s="411"/>
      <c r="X78" s="411"/>
      <c r="Y78" s="411"/>
      <c r="Z78" s="411"/>
      <c r="AA78" s="411"/>
      <c r="AB78" s="411"/>
      <c r="AC78" s="411"/>
      <c r="AD78" s="411"/>
      <c r="AE78" s="411"/>
      <c r="AF78" s="411"/>
      <c r="AG78" s="411"/>
      <c r="AH78" s="411"/>
      <c r="AI78" s="411"/>
      <c r="AJ78" s="411"/>
      <c r="AK78" s="411"/>
      <c r="AL78" s="411"/>
      <c r="AM78" s="411"/>
      <c r="AN78" s="411"/>
      <c r="AO78" s="411"/>
      <c r="AP78" s="411"/>
      <c r="AQ78" s="411"/>
      <c r="AR78" s="411"/>
      <c r="AS78" s="411"/>
      <c r="AT78" s="411"/>
      <c r="AU78" s="411"/>
      <c r="AV78" s="411"/>
      <c r="AW78" s="411"/>
    </row>
    <row r="79" spans="2:56" ht="14.4" thickBot="1">
      <c r="B79" s="478"/>
      <c r="C79" s="479"/>
      <c r="D79" s="410"/>
      <c r="E79" s="410"/>
      <c r="F79" s="410"/>
      <c r="G79" s="410"/>
      <c r="H79" s="480"/>
      <c r="I79" s="354"/>
      <c r="J79" s="52"/>
      <c r="K79" s="52"/>
      <c r="L79" s="481"/>
      <c r="M79" s="482"/>
      <c r="N79" s="77"/>
      <c r="O79" s="13"/>
      <c r="P79" s="56"/>
    </row>
    <row r="80" spans="2:56" ht="14.4" thickBot="1">
      <c r="B80" s="58"/>
      <c r="C80" s="310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9"/>
      <c r="O80" s="56"/>
      <c r="P80" s="60"/>
    </row>
    <row r="81" spans="2:16" ht="14.4" thickBot="1">
      <c r="B81" s="610" t="s">
        <v>55</v>
      </c>
      <c r="C81" s="611"/>
      <c r="D81" s="611"/>
      <c r="E81" s="611"/>
      <c r="F81" s="612"/>
      <c r="G81" s="610" t="s">
        <v>56</v>
      </c>
      <c r="H81" s="611"/>
      <c r="I81" s="611"/>
      <c r="J81" s="612"/>
      <c r="K81" s="610" t="s">
        <v>51</v>
      </c>
      <c r="L81" s="611"/>
      <c r="M81" s="611"/>
      <c r="N81" s="613"/>
      <c r="O81" s="56"/>
      <c r="P81" s="50"/>
    </row>
    <row r="82" spans="2:16">
      <c r="B82" s="61" t="s">
        <v>17</v>
      </c>
      <c r="C82" s="62" t="s">
        <v>36</v>
      </c>
      <c r="D82" s="62" t="s">
        <v>37</v>
      </c>
      <c r="E82" s="62" t="s">
        <v>38</v>
      </c>
      <c r="F82" s="63" t="s">
        <v>39</v>
      </c>
      <c r="G82" s="62" t="s">
        <v>36</v>
      </c>
      <c r="H82" s="62" t="s">
        <v>37</v>
      </c>
      <c r="I82" s="62" t="s">
        <v>38</v>
      </c>
      <c r="J82" s="63" t="s">
        <v>39</v>
      </c>
      <c r="K82" s="62" t="s">
        <v>36</v>
      </c>
      <c r="L82" s="62" t="s">
        <v>37</v>
      </c>
      <c r="M82" s="62" t="s">
        <v>38</v>
      </c>
      <c r="N82" s="63" t="s">
        <v>39</v>
      </c>
      <c r="O82" s="56"/>
      <c r="P82" s="64"/>
    </row>
    <row r="83" spans="2:16">
      <c r="B83" s="29" t="s">
        <v>6</v>
      </c>
      <c r="C83" s="76">
        <f>L74</f>
        <v>9.2953523238380651</v>
      </c>
      <c r="D83" s="76">
        <f>C83</f>
        <v>9.2953523238380651</v>
      </c>
      <c r="E83" s="76"/>
      <c r="F83" s="66">
        <v>4.8</v>
      </c>
      <c r="G83" s="76">
        <f>[23]January_2025!$F$11</f>
        <v>9.2218477471150742</v>
      </c>
      <c r="H83" s="76">
        <f>G83</f>
        <v>9.2218477471150742</v>
      </c>
      <c r="I83" s="76"/>
      <c r="J83" s="66">
        <v>4.8</v>
      </c>
      <c r="K83" s="194">
        <f>K74</f>
        <v>0.63684210526315788</v>
      </c>
      <c r="L83" s="194">
        <f>K83</f>
        <v>0.63684210526315788</v>
      </c>
      <c r="M83" s="194"/>
      <c r="N83" s="68">
        <v>1</v>
      </c>
      <c r="O83" s="56"/>
      <c r="P83" s="69"/>
    </row>
    <row r="84" spans="2:16" ht="14.25" customHeight="1">
      <c r="B84" s="33" t="s">
        <v>9</v>
      </c>
      <c r="C84" s="76"/>
      <c r="D84" s="76"/>
      <c r="E84" s="76"/>
      <c r="F84" s="66">
        <v>4.8</v>
      </c>
      <c r="G84" s="76"/>
      <c r="H84" s="76"/>
      <c r="I84" s="76"/>
      <c r="J84" s="66">
        <v>4.8</v>
      </c>
      <c r="K84" s="194"/>
      <c r="L84" s="194"/>
      <c r="M84" s="194"/>
      <c r="N84" s="68">
        <v>1</v>
      </c>
      <c r="P84" s="69"/>
    </row>
    <row r="85" spans="2:16" ht="14.25" customHeight="1">
      <c r="B85" s="34" t="s">
        <v>40</v>
      </c>
      <c r="C85" s="76"/>
      <c r="D85" s="76"/>
      <c r="E85" s="76"/>
      <c r="F85" s="66">
        <v>5.5</v>
      </c>
      <c r="G85" s="76"/>
      <c r="H85" s="76"/>
      <c r="I85" s="76"/>
      <c r="J85" s="66">
        <v>5.5</v>
      </c>
      <c r="K85" s="194"/>
      <c r="L85" s="194"/>
      <c r="M85" s="194"/>
      <c r="N85" s="68">
        <v>1</v>
      </c>
      <c r="P85" s="69"/>
    </row>
    <row r="86" spans="2:16" ht="14.25" customHeight="1">
      <c r="B86" s="22" t="s">
        <v>33</v>
      </c>
      <c r="C86" s="76"/>
      <c r="D86" s="76"/>
      <c r="E86" s="76"/>
      <c r="F86" s="66">
        <v>3.3</v>
      </c>
      <c r="G86" s="76"/>
      <c r="H86" s="76"/>
      <c r="I86" s="76"/>
      <c r="J86" s="66">
        <v>3.3</v>
      </c>
      <c r="K86" s="194"/>
      <c r="L86" s="194"/>
      <c r="M86" s="194"/>
      <c r="N86" s="68">
        <v>1</v>
      </c>
      <c r="P86" s="69"/>
    </row>
    <row r="87" spans="2:16" ht="14.25" customHeight="1" thickBot="1">
      <c r="B87" s="38" t="s">
        <v>162</v>
      </c>
      <c r="C87" s="76"/>
      <c r="D87" s="76"/>
      <c r="E87" s="76"/>
      <c r="F87" s="66">
        <v>3.3</v>
      </c>
      <c r="G87" s="76"/>
      <c r="H87" s="76"/>
      <c r="I87" s="76"/>
      <c r="J87" s="66">
        <v>3</v>
      </c>
      <c r="K87" s="194"/>
      <c r="L87" s="194"/>
      <c r="M87" s="194"/>
      <c r="N87" s="68">
        <v>1</v>
      </c>
      <c r="P87" s="69"/>
    </row>
    <row r="88" spans="2:16" ht="14.25" customHeight="1">
      <c r="B88" s="36" t="s">
        <v>15</v>
      </c>
      <c r="C88" s="76"/>
      <c r="D88" s="76"/>
      <c r="E88" s="76"/>
      <c r="F88" s="70">
        <f>[21]May_2022!$M$43</f>
        <v>3.4878406700073312</v>
      </c>
      <c r="G88" s="76"/>
      <c r="H88" s="76"/>
      <c r="I88" s="76"/>
      <c r="J88" s="70">
        <v>5.5</v>
      </c>
      <c r="K88" s="194"/>
      <c r="L88" s="194"/>
      <c r="M88" s="194"/>
      <c r="N88" s="68">
        <v>1</v>
      </c>
      <c r="P88" s="69"/>
    </row>
    <row r="89" spans="2:16" ht="14.25" customHeight="1">
      <c r="B89" s="37" t="s">
        <v>16</v>
      </c>
      <c r="C89" s="76"/>
      <c r="D89" s="76"/>
      <c r="E89" s="76"/>
      <c r="F89" s="70">
        <v>3.3</v>
      </c>
      <c r="G89" s="76"/>
      <c r="H89" s="76"/>
      <c r="I89" s="76"/>
      <c r="J89" s="70">
        <v>3.3</v>
      </c>
      <c r="K89" s="194"/>
      <c r="L89" s="194"/>
      <c r="M89" s="194"/>
      <c r="N89" s="71">
        <v>1</v>
      </c>
      <c r="P89" s="69"/>
    </row>
    <row r="90" spans="2:16" ht="15" customHeight="1" thickBot="1">
      <c r="B90" s="38" t="s">
        <v>163</v>
      </c>
      <c r="C90" s="76"/>
      <c r="D90" s="76"/>
      <c r="E90" s="76"/>
      <c r="F90" s="72">
        <v>7.5</v>
      </c>
      <c r="G90" s="76"/>
      <c r="H90" s="76"/>
      <c r="I90" s="76"/>
      <c r="J90" s="72">
        <v>7.5</v>
      </c>
      <c r="K90" s="194"/>
      <c r="L90" s="194"/>
      <c r="M90" s="194"/>
      <c r="N90" s="71">
        <v>1</v>
      </c>
      <c r="P90" s="69"/>
    </row>
    <row r="91" spans="2:16">
      <c r="D91" s="76"/>
      <c r="E91" s="76"/>
      <c r="F91" s="483">
        <v>5</v>
      </c>
      <c r="G91" s="74"/>
      <c r="H91" s="76"/>
      <c r="I91" s="76"/>
      <c r="J91" s="484">
        <v>5</v>
      </c>
      <c r="L91" s="194"/>
      <c r="M91" s="194"/>
      <c r="N91" s="485">
        <v>1</v>
      </c>
      <c r="O91" s="74"/>
      <c r="P91" s="75"/>
    </row>
  </sheetData>
  <mergeCells count="54">
    <mergeCell ref="B81:F81"/>
    <mergeCell ref="G81:J81"/>
    <mergeCell ref="K81:N81"/>
    <mergeCell ref="H72:H73"/>
    <mergeCell ref="I72:I73"/>
    <mergeCell ref="J72:J73"/>
    <mergeCell ref="K72:K73"/>
    <mergeCell ref="L72:L73"/>
    <mergeCell ref="M72:M73"/>
    <mergeCell ref="B72:B73"/>
    <mergeCell ref="C72:C73"/>
    <mergeCell ref="D72:D73"/>
    <mergeCell ref="E72:E73"/>
    <mergeCell ref="F72:F73"/>
    <mergeCell ref="G72:G73"/>
    <mergeCell ref="L58:N58"/>
    <mergeCell ref="D59:E60"/>
    <mergeCell ref="D61:E62"/>
    <mergeCell ref="D63:E64"/>
    <mergeCell ref="D65:E66"/>
    <mergeCell ref="D67:E67"/>
    <mergeCell ref="D52:E53"/>
    <mergeCell ref="D54:E55"/>
    <mergeCell ref="D56:E56"/>
    <mergeCell ref="B57:B66"/>
    <mergeCell ref="D57:E58"/>
    <mergeCell ref="J57:K57"/>
    <mergeCell ref="L8:L9"/>
    <mergeCell ref="O8:O9"/>
    <mergeCell ref="P8:P9"/>
    <mergeCell ref="I42:N42"/>
    <mergeCell ref="I8:I9"/>
    <mergeCell ref="J8:J9"/>
    <mergeCell ref="K8:K9"/>
    <mergeCell ref="D43:E43"/>
    <mergeCell ref="B44:B56"/>
    <mergeCell ref="D44:E45"/>
    <mergeCell ref="D46:E47"/>
    <mergeCell ref="D48:E49"/>
    <mergeCell ref="D50:E51"/>
    <mergeCell ref="B8:B9"/>
    <mergeCell ref="C8:C9"/>
    <mergeCell ref="D8:D9"/>
    <mergeCell ref="G8:G9"/>
    <mergeCell ref="H8:H9"/>
    <mergeCell ref="U1:V1"/>
    <mergeCell ref="W1:X1"/>
    <mergeCell ref="Y1:Z1"/>
    <mergeCell ref="B2:O2"/>
    <mergeCell ref="J6:K7"/>
    <mergeCell ref="M4:N4"/>
    <mergeCell ref="S1:T1"/>
    <mergeCell ref="C4:D4"/>
    <mergeCell ref="J4:K5"/>
  </mergeCells>
  <conditionalFormatting sqref="B67:B68">
    <cfRule type="cellIs" dxfId="2644" priority="98" operator="notBetween">
      <formula>#REF!</formula>
      <formula>#REF!</formula>
    </cfRule>
  </conditionalFormatting>
  <conditionalFormatting sqref="C71">
    <cfRule type="cellIs" dxfId="2643" priority="110" stopIfTrue="1" operator="greaterThan">
      <formula>100</formula>
    </cfRule>
    <cfRule type="cellIs" dxfId="2642" priority="109" stopIfTrue="1" operator="lessThan">
      <formula>96</formula>
    </cfRule>
  </conditionalFormatting>
  <conditionalFormatting sqref="C83:C90">
    <cfRule type="cellIs" dxfId="2641" priority="61" stopIfTrue="1" operator="greaterThan">
      <formula>$F83</formula>
    </cfRule>
    <cfRule type="cellIs" dxfId="2640" priority="62" stopIfTrue="1" operator="lessThanOrEqual">
      <formula>0</formula>
    </cfRule>
  </conditionalFormatting>
  <conditionalFormatting sqref="D67:D68">
    <cfRule type="cellIs" dxfId="2639" priority="99" operator="notBetween">
      <formula>#REF!</formula>
      <formula>#REF!</formula>
    </cfRule>
  </conditionalFormatting>
  <conditionalFormatting sqref="D83:D90">
    <cfRule type="cellIs" dxfId="2638" priority="89" stopIfTrue="1" operator="lessThanOrEqual">
      <formula>0</formula>
    </cfRule>
  </conditionalFormatting>
  <conditionalFormatting sqref="D91">
    <cfRule type="cellIs" dxfId="2637" priority="88" stopIfTrue="1" operator="lessThanOrEqual">
      <formula>0</formula>
    </cfRule>
  </conditionalFormatting>
  <conditionalFormatting sqref="D83:E91">
    <cfRule type="cellIs" dxfId="2636" priority="83" stopIfTrue="1" operator="greaterThan">
      <formula>$F83</formula>
    </cfRule>
  </conditionalFormatting>
  <conditionalFormatting sqref="E10:E41">
    <cfRule type="cellIs" dxfId="2635" priority="8" operator="lessThan">
      <formula>48</formula>
    </cfRule>
  </conditionalFormatting>
  <conditionalFormatting sqref="E71">
    <cfRule type="cellIs" dxfId="2634" priority="104" stopIfTrue="1" operator="greaterThan">
      <formula>100</formula>
    </cfRule>
    <cfRule type="cellIs" dxfId="2633" priority="103" stopIfTrue="1" operator="lessThan">
      <formula>96.8</formula>
    </cfRule>
  </conditionalFormatting>
  <conditionalFormatting sqref="E83:E91">
    <cfRule type="cellIs" dxfId="2632" priority="84" stopIfTrue="1" operator="lessThanOrEqual">
      <formula>0</formula>
    </cfRule>
  </conditionalFormatting>
  <conditionalFormatting sqref="E70:F71">
    <cfRule type="cellIs" dxfId="2631" priority="106" stopIfTrue="1" operator="greaterThan">
      <formula>100</formula>
    </cfRule>
    <cfRule type="cellIs" dxfId="2630" priority="105" stopIfTrue="1" operator="lessThan">
      <formula>96.5</formula>
    </cfRule>
  </conditionalFormatting>
  <conditionalFormatting sqref="F10:F41">
    <cfRule type="cellIs" dxfId="2629" priority="7" operator="greaterThan">
      <formula>60</formula>
    </cfRule>
  </conditionalFormatting>
  <conditionalFormatting sqref="F71">
    <cfRule type="cellIs" dxfId="2628" priority="107" stopIfTrue="1" operator="lessThan">
      <formula>96.8</formula>
    </cfRule>
    <cfRule type="cellIs" dxfId="2627" priority="108" stopIfTrue="1" operator="greaterThan">
      <formula>100</formula>
    </cfRule>
  </conditionalFormatting>
  <conditionalFormatting sqref="F91">
    <cfRule type="cellIs" dxfId="2626" priority="85" stopIfTrue="1" operator="greaterThan">
      <formula>$F91</formula>
    </cfRule>
    <cfRule type="cellIs" dxfId="2625" priority="86" stopIfTrue="1" operator="lessThanOrEqual">
      <formula>0</formula>
    </cfRule>
  </conditionalFormatting>
  <conditionalFormatting sqref="G91">
    <cfRule type="cellIs" dxfId="2624" priority="90" operator="greaterThan">
      <formula>4.5</formula>
    </cfRule>
  </conditionalFormatting>
  <conditionalFormatting sqref="G10:H41">
    <cfRule type="expression" dxfId="2623" priority="11">
      <formula>IF(+(IF(G10&lt;#REF!,0,IF(G10&gt;#REF!,0,1)))=0,1)</formula>
    </cfRule>
  </conditionalFormatting>
  <conditionalFormatting sqref="G57:H57 G58:G68">
    <cfRule type="cellIs" dxfId="2622" priority="102" stopIfTrue="1" operator="greaterThan">
      <formula>0</formula>
    </cfRule>
  </conditionalFormatting>
  <conditionalFormatting sqref="G83:H90">
    <cfRule type="cellIs" dxfId="2621" priority="60" stopIfTrue="1" operator="lessThanOrEqual">
      <formula>0</formula>
    </cfRule>
    <cfRule type="cellIs" dxfId="2620" priority="59" stopIfTrue="1" operator="greaterThan">
      <formula>$J83</formula>
    </cfRule>
  </conditionalFormatting>
  <conditionalFormatting sqref="H45:H56">
    <cfRule type="cellIs" dxfId="2619" priority="100" stopIfTrue="1" operator="greaterThan">
      <formula>0</formula>
    </cfRule>
  </conditionalFormatting>
  <conditionalFormatting sqref="H74">
    <cfRule type="cellIs" dxfId="2618" priority="56" stopIfTrue="1" operator="lessThanOrEqual">
      <formula>0</formula>
    </cfRule>
    <cfRule type="cellIs" dxfId="2617" priority="55" stopIfTrue="1" operator="greaterThan">
      <formula>$F$70</formula>
    </cfRule>
    <cfRule type="cellIs" dxfId="2616" priority="54" stopIfTrue="1" operator="lessThanOrEqual">
      <formula>0</formula>
    </cfRule>
    <cfRule type="cellIs" dxfId="2615" priority="53" stopIfTrue="1" operator="greaterThan">
      <formula>$F$67</formula>
    </cfRule>
    <cfRule type="cellIs" dxfId="2614" priority="57" stopIfTrue="1" operator="greaterThan">
      <formula>$F$68</formula>
    </cfRule>
    <cfRule type="cellIs" dxfId="2613" priority="58" stopIfTrue="1" operator="lessThanOrEqual">
      <formula>0</formula>
    </cfRule>
  </conditionalFormatting>
  <conditionalFormatting sqref="H75 H77">
    <cfRule type="cellIs" dxfId="2612" priority="67" stopIfTrue="1" operator="lessThanOrEqual">
      <formula>0</formula>
    </cfRule>
    <cfRule type="cellIs" dxfId="2611" priority="68" stopIfTrue="1" operator="greaterThan">
      <formula>#REF!</formula>
    </cfRule>
  </conditionalFormatting>
  <conditionalFormatting sqref="H76">
    <cfRule type="cellIs" dxfId="2610" priority="40" stopIfTrue="1" operator="lessThanOrEqual">
      <formula>0</formula>
    </cfRule>
    <cfRule type="cellIs" dxfId="2609" priority="41" stopIfTrue="1" operator="greaterThan">
      <formula>$F$67</formula>
    </cfRule>
    <cfRule type="cellIs" dxfId="2608" priority="49" stopIfTrue="1" operator="greaterThan">
      <formula>$F$70</formula>
    </cfRule>
    <cfRule type="cellIs" dxfId="2607" priority="50" stopIfTrue="1" operator="lessThanOrEqual">
      <formula>0</formula>
    </cfRule>
    <cfRule type="cellIs" dxfId="2606" priority="52" stopIfTrue="1" operator="lessThanOrEqual">
      <formula>0</formula>
    </cfRule>
    <cfRule type="cellIs" dxfId="2605" priority="51" stopIfTrue="1" operator="greaterThan">
      <formula>$F$68</formula>
    </cfRule>
  </conditionalFormatting>
  <conditionalFormatting sqref="H78">
    <cfRule type="cellIs" dxfId="2604" priority="38" stopIfTrue="1" operator="lessThanOrEqual">
      <formula>0</formula>
    </cfRule>
    <cfRule type="cellIs" dxfId="2603" priority="27" stopIfTrue="1" operator="greaterThan">
      <formula>$F$67</formula>
    </cfRule>
    <cfRule type="cellIs" dxfId="2602" priority="37" stopIfTrue="1" operator="greaterThan">
      <formula>$F$68</formula>
    </cfRule>
    <cfRule type="cellIs" dxfId="2601" priority="26" stopIfTrue="1" operator="lessThanOrEqual">
      <formula>0</formula>
    </cfRule>
    <cfRule type="cellIs" dxfId="2600" priority="36" stopIfTrue="1" operator="lessThanOrEqual">
      <formula>0</formula>
    </cfRule>
    <cfRule type="cellIs" dxfId="2599" priority="35" stopIfTrue="1" operator="greaterThan">
      <formula>$F$70</formula>
    </cfRule>
  </conditionalFormatting>
  <conditionalFormatting sqref="H79">
    <cfRule type="cellIs" dxfId="2598" priority="97" stopIfTrue="1" operator="lessThanOrEqual">
      <formula>0</formula>
    </cfRule>
    <cfRule type="cellIs" dxfId="2597" priority="94" stopIfTrue="1" operator="greaterThan">
      <formula>$F$80</formula>
    </cfRule>
    <cfRule type="cellIs" dxfId="2596" priority="95" stopIfTrue="1" operator="lessThanOrEqual">
      <formula>0</formula>
    </cfRule>
    <cfRule type="cellIs" dxfId="2595" priority="96" stopIfTrue="1" operator="greaterThan">
      <formula>#REF!</formula>
    </cfRule>
  </conditionalFormatting>
  <conditionalFormatting sqref="H91">
    <cfRule type="cellIs" dxfId="2594" priority="80" operator="greaterThan">
      <formula>5.3</formula>
    </cfRule>
  </conditionalFormatting>
  <conditionalFormatting sqref="H74:I74">
    <cfRule type="cellIs" dxfId="2593" priority="21" stopIfTrue="1" operator="greaterThan">
      <formula>$F$69</formula>
    </cfRule>
    <cfRule type="cellIs" dxfId="2592" priority="24" stopIfTrue="1" operator="lessThanOrEqual">
      <formula>0</formula>
    </cfRule>
  </conditionalFormatting>
  <conditionalFormatting sqref="H75:I75 H77:I77">
    <cfRule type="cellIs" dxfId="2591" priority="69" stopIfTrue="1" operator="lessThanOrEqual">
      <formula>0</formula>
    </cfRule>
    <cfRule type="cellIs" dxfId="2590" priority="74" stopIfTrue="1" operator="greaterThan">
      <formula>#REF!</formula>
    </cfRule>
    <cfRule type="cellIs" dxfId="2589" priority="75" stopIfTrue="1" operator="lessThanOrEqual">
      <formula>0</formula>
    </cfRule>
    <cfRule type="cellIs" dxfId="2588" priority="70" stopIfTrue="1" operator="greaterThan">
      <formula>#REF!</formula>
    </cfRule>
    <cfRule type="cellIs" dxfId="2587" priority="66" stopIfTrue="1" operator="greaterThan">
      <formula>#REF!</formula>
    </cfRule>
  </conditionalFormatting>
  <conditionalFormatting sqref="H76:I76">
    <cfRule type="cellIs" dxfId="2586" priority="39" stopIfTrue="1" operator="greaterThan">
      <formula>$F$69</formula>
    </cfRule>
    <cfRule type="cellIs" dxfId="2585" priority="42" stopIfTrue="1" operator="lessThanOrEqual">
      <formula>0</formula>
    </cfRule>
  </conditionalFormatting>
  <conditionalFormatting sqref="H78:I78">
    <cfRule type="cellIs" dxfId="2584" priority="25" stopIfTrue="1" operator="greaterThan">
      <formula>$F$69</formula>
    </cfRule>
    <cfRule type="cellIs" dxfId="2583" priority="28" stopIfTrue="1" operator="lessThanOrEqual">
      <formula>0</formula>
    </cfRule>
  </conditionalFormatting>
  <conditionalFormatting sqref="I74">
    <cfRule type="cellIs" dxfId="2582" priority="18" stopIfTrue="1" operator="lessThanOrEqual">
      <formula>0</formula>
    </cfRule>
    <cfRule type="cellIs" dxfId="2581" priority="19" stopIfTrue="1" operator="greaterThan">
      <formula>$F$67</formula>
    </cfRule>
    <cfRule type="cellIs" dxfId="2580" priority="20" stopIfTrue="1" operator="lessThanOrEqual">
      <formula>0</formula>
    </cfRule>
    <cfRule type="cellIs" dxfId="2579" priority="23" stopIfTrue="1" operator="greaterThan">
      <formula>$F$67</formula>
    </cfRule>
    <cfRule type="cellIs" dxfId="2578" priority="22" stopIfTrue="1" operator="lessThanOrEqual">
      <formula>0</formula>
    </cfRule>
    <cfRule type="cellIs" dxfId="2577" priority="17" stopIfTrue="1" operator="greaterThan">
      <formula>$F$69</formula>
    </cfRule>
  </conditionalFormatting>
  <conditionalFormatting sqref="I75 I77">
    <cfRule type="cellIs" dxfId="2576" priority="71" stopIfTrue="1" operator="lessThanOrEqual">
      <formula>0</formula>
    </cfRule>
    <cfRule type="cellIs" dxfId="2575" priority="72" stopIfTrue="1" operator="greaterThan">
      <formula>#REF!</formula>
    </cfRule>
    <cfRule type="cellIs" dxfId="2574" priority="73" stopIfTrue="1" operator="lessThanOrEqual">
      <formula>0</formula>
    </cfRule>
  </conditionalFormatting>
  <conditionalFormatting sqref="I76">
    <cfRule type="cellIs" dxfId="2573" priority="44" stopIfTrue="1" operator="lessThanOrEqual">
      <formula>0</formula>
    </cfRule>
    <cfRule type="cellIs" dxfId="2572" priority="48" stopIfTrue="1" operator="lessThanOrEqual">
      <formula>0</formula>
    </cfRule>
    <cfRule type="cellIs" dxfId="2571" priority="47" stopIfTrue="1" operator="greaterThan">
      <formula>$F$67</formula>
    </cfRule>
    <cfRule type="cellIs" dxfId="2570" priority="45" stopIfTrue="1" operator="greaterThan">
      <formula>$F$69</formula>
    </cfRule>
    <cfRule type="cellIs" dxfId="2569" priority="46" stopIfTrue="1" operator="lessThanOrEqual">
      <formula>0</formula>
    </cfRule>
    <cfRule type="cellIs" dxfId="2568" priority="43" stopIfTrue="1" operator="greaterThan">
      <formula>$F$67</formula>
    </cfRule>
  </conditionalFormatting>
  <conditionalFormatting sqref="I78">
    <cfRule type="cellIs" dxfId="2567" priority="34" stopIfTrue="1" operator="lessThanOrEqual">
      <formula>0</formula>
    </cfRule>
    <cfRule type="cellIs" dxfId="2566" priority="33" stopIfTrue="1" operator="greaterThan">
      <formula>$F$67</formula>
    </cfRule>
    <cfRule type="cellIs" dxfId="2565" priority="32" stopIfTrue="1" operator="lessThanOrEqual">
      <formula>0</formula>
    </cfRule>
    <cfRule type="cellIs" dxfId="2564" priority="31" stopIfTrue="1" operator="greaterThan">
      <formula>$F$69</formula>
    </cfRule>
    <cfRule type="cellIs" dxfId="2563" priority="30" stopIfTrue="1" operator="lessThanOrEqual">
      <formula>0</formula>
    </cfRule>
    <cfRule type="cellIs" dxfId="2562" priority="29" stopIfTrue="1" operator="greaterThan">
      <formula>$F$67</formula>
    </cfRule>
  </conditionalFormatting>
  <conditionalFormatting sqref="I83:I91">
    <cfRule type="cellIs" dxfId="2561" priority="81" stopIfTrue="1" operator="greaterThan">
      <formula>$J83</formula>
    </cfRule>
    <cfRule type="cellIs" dxfId="2560" priority="82" stopIfTrue="1" operator="lessThanOrEqual">
      <formula>0</formula>
    </cfRule>
  </conditionalFormatting>
  <conditionalFormatting sqref="I10:J41">
    <cfRule type="cellIs" dxfId="2559" priority="10" operator="lessThan">
      <formula>97.9</formula>
    </cfRule>
  </conditionalFormatting>
  <conditionalFormatting sqref="J44:J53">
    <cfRule type="cellIs" dxfId="2558" priority="76" operator="lessThan">
      <formula>98</formula>
    </cfRule>
  </conditionalFormatting>
  <conditionalFormatting sqref="K10:K41">
    <cfRule type="cellIs" dxfId="2557" priority="9" operator="greaterThan">
      <formula>6.4</formula>
    </cfRule>
    <cfRule type="cellIs" dxfId="2556" priority="3" operator="lessThan">
      <formula>4</formula>
    </cfRule>
    <cfRule type="cellIs" dxfId="2555" priority="4" operator="greaterThan">
      <formula>6</formula>
    </cfRule>
  </conditionalFormatting>
  <conditionalFormatting sqref="K59:K68">
    <cfRule type="cellIs" dxfId="2554" priority="87" operator="notEqual">
      <formula>#REF!</formula>
    </cfRule>
  </conditionalFormatting>
  <conditionalFormatting sqref="K74:K78 J79:K79 K83:N90 L91:N91">
    <cfRule type="cellIs" dxfId="2553" priority="93" stopIfTrue="1" operator="lessThan">
      <formula>100%</formula>
    </cfRule>
  </conditionalFormatting>
  <conditionalFormatting sqref="L10:L41">
    <cfRule type="cellIs" dxfId="2552" priority="6" operator="greaterThan">
      <formula>65</formula>
    </cfRule>
    <cfRule type="cellIs" dxfId="2551" priority="5" operator="between">
      <formula>61</formula>
      <formula>65</formula>
    </cfRule>
  </conditionalFormatting>
  <conditionalFormatting sqref="L44:M54">
    <cfRule type="cellIs" dxfId="2550" priority="16" operator="lessThan">
      <formula>98</formula>
    </cfRule>
  </conditionalFormatting>
  <conditionalFormatting sqref="L56:M56">
    <cfRule type="cellIs" dxfId="2549" priority="79" operator="lessThan">
      <formula>98</formula>
    </cfRule>
  </conditionalFormatting>
  <conditionalFormatting sqref="L60:N60">
    <cfRule type="cellIs" dxfId="2548" priority="63" operator="notEqual">
      <formula>#REF!</formula>
    </cfRule>
  </conditionalFormatting>
  <conditionalFormatting sqref="M10:M41">
    <cfRule type="expression" dxfId="2547" priority="1">
      <formula>IF(+(IF(M10&lt;U10,0,IF(M10&gt;V10,0,1)))=0,1)</formula>
    </cfRule>
  </conditionalFormatting>
  <conditionalFormatting sqref="M6:N6">
    <cfRule type="cellIs" dxfId="2546" priority="77" operator="greaterThanOrEqual">
      <formula>15</formula>
    </cfRule>
    <cfRule type="cellIs" dxfId="2545" priority="78" operator="greaterThanOrEqual">
      <formula>19</formula>
    </cfRule>
  </conditionalFormatting>
  <conditionalFormatting sqref="N10:N41">
    <cfRule type="expression" dxfId="2544" priority="2">
      <formula>IF(+(IF(N10&lt;W10,0,IF(N10&gt;X10,0,1)))=0,1)</formula>
    </cfRule>
  </conditionalFormatting>
  <conditionalFormatting sqref="P6">
    <cfRule type="cellIs" dxfId="2543" priority="101" operator="greaterThanOrEqual">
      <formula>19</formula>
    </cfRule>
  </conditionalFormatting>
  <dataValidations count="1">
    <dataValidation type="list" allowBlank="1" showInputMessage="1" showErrorMessage="1" sqref="R8" xr:uid="{242280A6-A3A8-42CB-B408-96DDFD6C0F6E}">
      <formula1>ProductList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C7EB-9BCC-4688-854F-2739DAA14B92}">
  <dimension ref="A1:BD76"/>
  <sheetViews>
    <sheetView topLeftCell="A37" zoomScale="80" zoomScaleNormal="80" workbookViewId="0">
      <selection activeCell="K54" sqref="K54"/>
    </sheetView>
  </sheetViews>
  <sheetFormatPr defaultColWidth="9.44140625" defaultRowHeight="13.8"/>
  <cols>
    <col min="1" max="1" width="3.44140625" style="276" customWidth="1"/>
    <col min="2" max="2" width="23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4.6640625" style="276" customWidth="1"/>
    <col min="10" max="10" width="25.109375" style="276" customWidth="1"/>
    <col min="11" max="11" width="18.5546875" style="276" customWidth="1"/>
    <col min="12" max="12" width="15.6640625" style="276" customWidth="1"/>
    <col min="13" max="13" width="17.5546875" style="276" customWidth="1"/>
    <col min="14" max="14" width="10.6640625" style="276" customWidth="1"/>
    <col min="15" max="15" width="30.88671875" style="276" customWidth="1"/>
    <col min="16" max="16" width="36.5546875" style="6" customWidth="1"/>
    <col min="17" max="17" width="16.5546875" style="276" customWidth="1"/>
    <col min="18" max="18" width="15.6640625" style="276" bestFit="1" customWidth="1"/>
    <col min="19" max="19" width="12.44140625" style="276" customWidth="1"/>
    <col min="20" max="20" width="15" style="276" customWidth="1"/>
    <col min="21" max="21" width="12" style="276" customWidth="1"/>
    <col min="22" max="22" width="10.44140625" style="276" customWidth="1"/>
    <col min="23" max="23" width="11.44140625" style="276" customWidth="1"/>
    <col min="24" max="24" width="10.44140625" style="276" customWidth="1"/>
    <col min="25" max="25" width="8.44140625" style="276" customWidth="1"/>
    <col min="26" max="26" width="9.5546875" style="276" customWidth="1"/>
    <col min="27" max="27" width="8.44140625" style="276" customWidth="1"/>
    <col min="28" max="29" width="7.5546875" style="276" customWidth="1"/>
    <col min="30" max="51" width="9.44140625" style="276"/>
    <col min="52" max="52" width="1.5546875" style="276" customWidth="1"/>
    <col min="53" max="54" width="9.44140625" style="276"/>
    <col min="55" max="56" width="15.44140625" style="276" customWidth="1"/>
    <col min="57" max="16384" width="9.44140625" style="276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13"/>
      <c r="S1" s="641" t="s">
        <v>0</v>
      </c>
      <c r="T1" s="641"/>
      <c r="U1" s="641" t="s">
        <v>1</v>
      </c>
      <c r="V1" s="641"/>
      <c r="W1" s="641" t="s">
        <v>2</v>
      </c>
      <c r="X1" s="641"/>
      <c r="Y1" s="641" t="s">
        <v>124</v>
      </c>
      <c r="Z1" s="641"/>
    </row>
    <row r="2" spans="2:29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R2" s="413"/>
      <c r="S2" s="413" t="s">
        <v>4</v>
      </c>
      <c r="T2" s="413" t="s">
        <v>5</v>
      </c>
      <c r="U2" s="413" t="s">
        <v>4</v>
      </c>
      <c r="V2" s="413" t="s">
        <v>5</v>
      </c>
      <c r="W2" s="413" t="s">
        <v>4</v>
      </c>
      <c r="X2" s="413" t="s">
        <v>5</v>
      </c>
      <c r="Y2" s="413" t="s">
        <v>4</v>
      </c>
      <c r="Z2" s="413" t="s">
        <v>5</v>
      </c>
    </row>
    <row r="3" spans="2:29" ht="14.25" customHeight="1">
      <c r="B3" s="5"/>
      <c r="R3" s="413" t="s">
        <v>6</v>
      </c>
      <c r="S3" s="414">
        <v>11.6</v>
      </c>
      <c r="T3" s="415">
        <v>12</v>
      </c>
      <c r="U3" s="9">
        <v>0</v>
      </c>
      <c r="V3" s="10">
        <v>0.118055555555556</v>
      </c>
      <c r="W3" s="397">
        <v>0.22569444444444445</v>
      </c>
      <c r="X3" s="397">
        <v>0.2638888888888889</v>
      </c>
      <c r="Y3" s="416">
        <v>0</v>
      </c>
      <c r="Z3" s="414">
        <v>60</v>
      </c>
    </row>
    <row r="4" spans="2:29" ht="30.75" customHeight="1">
      <c r="B4" s="302" t="s">
        <v>133</v>
      </c>
      <c r="C4" s="545">
        <v>45664</v>
      </c>
      <c r="D4" s="545"/>
      <c r="J4" s="546" t="s">
        <v>153</v>
      </c>
      <c r="K4" s="546"/>
      <c r="L4" s="11"/>
      <c r="M4" s="548" t="s">
        <v>8</v>
      </c>
      <c r="N4" s="549"/>
      <c r="P4" s="12"/>
      <c r="R4" s="413" t="s">
        <v>9</v>
      </c>
      <c r="S4" s="414">
        <v>11.6</v>
      </c>
      <c r="T4" s="415">
        <v>12</v>
      </c>
      <c r="U4" s="9">
        <v>0</v>
      </c>
      <c r="V4" s="10">
        <v>0.118055555555556</v>
      </c>
      <c r="W4" s="397">
        <v>0.22569444444444445</v>
      </c>
      <c r="X4" s="397">
        <v>0.2638888888888889</v>
      </c>
      <c r="Y4" s="416">
        <v>0</v>
      </c>
      <c r="Z4" s="414">
        <v>60</v>
      </c>
      <c r="AA4" s="13"/>
      <c r="AB4" s="13"/>
      <c r="AC4" s="13"/>
    </row>
    <row r="5" spans="2:29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R5" s="413" t="s">
        <v>12</v>
      </c>
      <c r="S5" s="414">
        <v>17</v>
      </c>
      <c r="T5" s="415">
        <v>17.5</v>
      </c>
      <c r="U5" s="9">
        <v>0</v>
      </c>
      <c r="V5" s="10">
        <v>0.1076388888888889</v>
      </c>
      <c r="W5" s="397">
        <v>0.24652777777777779</v>
      </c>
      <c r="X5" s="397">
        <v>0.28472222222222221</v>
      </c>
      <c r="Y5" s="416">
        <v>0</v>
      </c>
      <c r="Z5" s="417">
        <v>60</v>
      </c>
      <c r="AA5" s="13"/>
      <c r="AB5" s="13"/>
      <c r="AC5" s="13"/>
    </row>
    <row r="6" spans="2:29" ht="14.25" customHeight="1">
      <c r="B6" s="15"/>
      <c r="C6" s="1"/>
      <c r="D6" s="1"/>
      <c r="J6" s="554" t="s">
        <v>175</v>
      </c>
      <c r="K6" s="555"/>
      <c r="L6" s="312" t="s">
        <v>14</v>
      </c>
      <c r="M6" s="341"/>
      <c r="N6" s="341"/>
      <c r="P6" s="16"/>
      <c r="R6" s="413" t="s">
        <v>15</v>
      </c>
      <c r="S6" s="414">
        <v>13.3</v>
      </c>
      <c r="T6" s="415">
        <v>13.5</v>
      </c>
      <c r="U6" s="9">
        <v>0</v>
      </c>
      <c r="V6" s="9">
        <v>0.12905092592592593</v>
      </c>
      <c r="W6" s="397">
        <v>0.27430555555555552</v>
      </c>
      <c r="X6" s="397">
        <v>0.30208333333333331</v>
      </c>
      <c r="Y6" s="416">
        <v>0</v>
      </c>
      <c r="Z6" s="417"/>
      <c r="AA6" s="13"/>
      <c r="AB6" s="13"/>
      <c r="AC6" s="13"/>
    </row>
    <row r="7" spans="2:29" ht="13.35" customHeight="1" thickBot="1">
      <c r="J7" s="556"/>
      <c r="K7" s="557"/>
      <c r="R7" s="413" t="s">
        <v>16</v>
      </c>
      <c r="S7" s="414">
        <v>17.100000000000001</v>
      </c>
      <c r="T7" s="415">
        <v>17.5</v>
      </c>
      <c r="U7" s="9">
        <v>0</v>
      </c>
      <c r="V7" s="9">
        <v>0.13605324074074074</v>
      </c>
      <c r="W7" s="397">
        <v>0.27430555555555552</v>
      </c>
      <c r="X7" s="397">
        <v>0.30902777777777779</v>
      </c>
      <c r="Y7" s="416">
        <v>0</v>
      </c>
      <c r="Z7" s="417">
        <v>60</v>
      </c>
      <c r="AA7" s="13"/>
      <c r="AB7" s="13"/>
      <c r="AC7" s="13"/>
    </row>
    <row r="8" spans="2:29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639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18"/>
      <c r="R8" s="413" t="s">
        <v>125</v>
      </c>
      <c r="S8" s="414">
        <v>16.600000000000001</v>
      </c>
      <c r="T8" s="415">
        <v>17</v>
      </c>
      <c r="U8" s="9">
        <v>0</v>
      </c>
      <c r="V8" s="9">
        <v>0.12905092592592593</v>
      </c>
      <c r="W8" s="397">
        <v>0.27430555555555552</v>
      </c>
      <c r="X8" s="397">
        <v>0.30208333333333331</v>
      </c>
      <c r="Y8" s="416">
        <v>0</v>
      </c>
      <c r="Z8" s="417"/>
      <c r="AA8" s="19"/>
    </row>
    <row r="9" spans="2:29" ht="36.75" customHeight="1">
      <c r="B9" s="559"/>
      <c r="C9" s="561"/>
      <c r="D9" s="561"/>
      <c r="E9" s="358" t="s">
        <v>30</v>
      </c>
      <c r="F9" s="358" t="s">
        <v>31</v>
      </c>
      <c r="G9" s="561"/>
      <c r="H9" s="640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18"/>
      <c r="R9" s="413" t="s">
        <v>33</v>
      </c>
      <c r="S9" s="414">
        <v>14.4</v>
      </c>
      <c r="T9" s="415">
        <v>14.6</v>
      </c>
      <c r="U9" s="9">
        <v>0</v>
      </c>
      <c r="V9" s="9">
        <v>0.13905092592592591</v>
      </c>
      <c r="W9" s="397">
        <v>0.26041666666666669</v>
      </c>
      <c r="X9" s="397">
        <v>0.2951388888888889</v>
      </c>
      <c r="Y9" s="416">
        <v>0</v>
      </c>
      <c r="Z9" s="417">
        <v>75</v>
      </c>
      <c r="AA9" s="19"/>
    </row>
    <row r="10" spans="2:29" ht="14.4">
      <c r="B10" s="22" t="s">
        <v>33</v>
      </c>
      <c r="C10" s="367" t="str">
        <f>[25]Brewhouse!A5</f>
        <v>VM001</v>
      </c>
      <c r="D10" s="280">
        <f>[25]Brewhouse!AE5</f>
        <v>52.6</v>
      </c>
      <c r="E10" s="280">
        <f>[25]Brewhouse!AJ5</f>
        <v>46.9</v>
      </c>
      <c r="F10" s="279">
        <f>[25]Brewhouse!X5</f>
        <v>84</v>
      </c>
      <c r="G10" s="280">
        <f>[25]Brewhouse!AH5</f>
        <v>14.5</v>
      </c>
      <c r="H10" s="492">
        <v>14.3</v>
      </c>
      <c r="I10" s="369">
        <f>[25]Brewhouse!AV5</f>
        <v>96.276959090498963</v>
      </c>
      <c r="J10" s="369">
        <f>[25]Brewhouse!AW5</f>
        <v>97.112607718447379</v>
      </c>
      <c r="K10" s="282">
        <f>[25]Brewhouse!S5</f>
        <v>6.9581749049429726</v>
      </c>
      <c r="L10" s="277">
        <f>[25]Brewhouse!R5</f>
        <v>57</v>
      </c>
      <c r="M10" s="375">
        <f>[25]Brewhouse!$W5-[25]Brewhouse!$V5</f>
        <v>0.15694444444444444</v>
      </c>
      <c r="N10" s="371">
        <f>[25]Brewhouse!AB5</f>
        <v>0.29652777777777778</v>
      </c>
      <c r="O10" s="372" t="str">
        <f>[25]Brewhouse!$AZ5</f>
        <v>R.Sookram</v>
      </c>
      <c r="P10" s="370"/>
      <c r="R10" s="278" t="str">
        <f t="shared" ref="R10:R28" si="0">B10</f>
        <v>VITAMALT</v>
      </c>
      <c r="S10" s="421">
        <f t="shared" ref="S10:S28" si="1">VLOOKUP($B10,$R$3:$X$9,2,FALSE)</f>
        <v>14.4</v>
      </c>
      <c r="T10" s="421">
        <f t="shared" ref="T10:T28" si="2">VLOOKUP($B10,$R$3:$X$9,3,FALSE)</f>
        <v>14.6</v>
      </c>
      <c r="U10" s="298">
        <f t="shared" ref="U10:U28" si="3">VLOOKUP($B10,$R$3:$X$9,4,FALSE)</f>
        <v>0</v>
      </c>
      <c r="V10" s="298">
        <f t="shared" ref="V10:V28" si="4">VLOOKUP($B10,$R$3:$X$9,5,FALSE)</f>
        <v>0.13905092592592591</v>
      </c>
      <c r="W10" s="298">
        <f t="shared" ref="W10:W28" si="5">VLOOKUP($B10,$R$3:$X$9,6,FALSE)</f>
        <v>0.26041666666666669</v>
      </c>
      <c r="X10" s="298">
        <f t="shared" ref="X10:X28" si="6">VLOOKUP($B10,$R$3:$X$9,7,FALSE)</f>
        <v>0.2951388888888889</v>
      </c>
      <c r="Y10" s="298">
        <f t="shared" ref="Y10:Y28" si="7">VLOOKUP($B10,$R$3:$Z$9,8,FALSE)</f>
        <v>0</v>
      </c>
      <c r="Z10" s="417">
        <f t="shared" ref="Z10:Z28" si="8">VLOOKUP($B10,$R$3:$Z$9,9,FALSE)</f>
        <v>75</v>
      </c>
    </row>
    <row r="11" spans="2:29" ht="14.4">
      <c r="B11" s="22" t="s">
        <v>33</v>
      </c>
      <c r="C11" s="367" t="str">
        <f>[25]Brewhouse!A6</f>
        <v>VM002</v>
      </c>
      <c r="D11" s="280">
        <f>[25]Brewhouse!AE6</f>
        <v>52.2</v>
      </c>
      <c r="E11" s="280">
        <f>[25]Brewhouse!AJ6</f>
        <v>46.4</v>
      </c>
      <c r="F11" s="279">
        <f>[25]Brewhouse!X6</f>
        <v>79</v>
      </c>
      <c r="G11" s="280">
        <f>[25]Brewhouse!AH6</f>
        <v>14.5</v>
      </c>
      <c r="H11" s="492">
        <v>14.4</v>
      </c>
      <c r="I11" s="369">
        <f>[25]Brewhouse!AV6</f>
        <v>95.250552277167415</v>
      </c>
      <c r="J11" s="369">
        <f>[25]Brewhouse!AW6</f>
        <v>96.077292071129193</v>
      </c>
      <c r="K11" s="282">
        <f>[25]Brewhouse!S6</f>
        <v>6.2452107279693578</v>
      </c>
      <c r="L11" s="277">
        <f>[25]Brewhouse!R6</f>
        <v>60</v>
      </c>
      <c r="M11" s="375">
        <f>[25]Brewhouse!$W6-[25]Brewhouse!$V6</f>
        <v>0.13541666666666663</v>
      </c>
      <c r="N11" s="371">
        <f>[25]Brewhouse!AB6</f>
        <v>0.28611111111111109</v>
      </c>
      <c r="O11" s="372" t="str">
        <f>[25]Brewhouse!$AZ6</f>
        <v xml:space="preserve">K. Benjamin </v>
      </c>
      <c r="P11" s="370"/>
      <c r="R11" s="278" t="str">
        <f t="shared" si="0"/>
        <v>VITAMALT</v>
      </c>
      <c r="S11" s="421">
        <f t="shared" si="1"/>
        <v>14.4</v>
      </c>
      <c r="T11" s="421">
        <f t="shared" si="2"/>
        <v>14.6</v>
      </c>
      <c r="U11" s="298">
        <f t="shared" si="3"/>
        <v>0</v>
      </c>
      <c r="V11" s="298">
        <f t="shared" si="4"/>
        <v>0.13905092592592591</v>
      </c>
      <c r="W11" s="298">
        <f t="shared" si="5"/>
        <v>0.26041666666666669</v>
      </c>
      <c r="X11" s="298">
        <f t="shared" si="6"/>
        <v>0.2951388888888889</v>
      </c>
      <c r="Y11" s="298">
        <f t="shared" si="7"/>
        <v>0</v>
      </c>
      <c r="Z11" s="417">
        <f t="shared" si="8"/>
        <v>75</v>
      </c>
    </row>
    <row r="12" spans="2:29" ht="14.4">
      <c r="B12" s="22" t="s">
        <v>33</v>
      </c>
      <c r="C12" s="367" t="str">
        <f>[25]Brewhouse!A7</f>
        <v>VM003</v>
      </c>
      <c r="D12" s="280">
        <f>[25]Brewhouse!AE7</f>
        <v>52.9</v>
      </c>
      <c r="E12" s="280">
        <f>[25]Brewhouse!AJ7</f>
        <v>48</v>
      </c>
      <c r="F12" s="279">
        <f>[25]Brewhouse!X7</f>
        <v>84</v>
      </c>
      <c r="G12" s="280">
        <f>[25]Brewhouse!AH7</f>
        <v>14.5</v>
      </c>
      <c r="H12" s="492">
        <v>14.5</v>
      </c>
      <c r="I12" s="369">
        <f>[25]Brewhouse!AV7</f>
        <v>98.215857114037703</v>
      </c>
      <c r="J12" s="369">
        <f>[25]Brewhouse!AW7</f>
        <v>99.079154962203162</v>
      </c>
      <c r="K12" s="282">
        <f>[25]Brewhouse!S7</f>
        <v>7.863894139886586</v>
      </c>
      <c r="L12" s="277">
        <f>[25]Brewhouse!R7</f>
        <v>61</v>
      </c>
      <c r="M12" s="375">
        <f>[25]Brewhouse!$W7-[25]Brewhouse!$V7</f>
        <v>0.13888888888888884</v>
      </c>
      <c r="N12" s="371">
        <f>[25]Brewhouse!AB7</f>
        <v>0.27361111111111114</v>
      </c>
      <c r="O12" s="372" t="str">
        <f>[25]Brewhouse!$AZ7</f>
        <v xml:space="preserve">K. Benjamin </v>
      </c>
      <c r="P12" s="370"/>
      <c r="R12" s="278" t="str">
        <f t="shared" si="0"/>
        <v>VITAMALT</v>
      </c>
      <c r="S12" s="421">
        <f t="shared" si="1"/>
        <v>14.4</v>
      </c>
      <c r="T12" s="421">
        <f t="shared" si="2"/>
        <v>14.6</v>
      </c>
      <c r="U12" s="298">
        <f t="shared" si="3"/>
        <v>0</v>
      </c>
      <c r="V12" s="298">
        <f t="shared" si="4"/>
        <v>0.13905092592592591</v>
      </c>
      <c r="W12" s="298">
        <f t="shared" si="5"/>
        <v>0.26041666666666669</v>
      </c>
      <c r="X12" s="298">
        <f t="shared" si="6"/>
        <v>0.2951388888888889</v>
      </c>
      <c r="Y12" s="298">
        <f t="shared" si="7"/>
        <v>0</v>
      </c>
      <c r="Z12" s="417">
        <f t="shared" si="8"/>
        <v>75</v>
      </c>
    </row>
    <row r="13" spans="2:29" ht="14.4">
      <c r="B13" s="22" t="s">
        <v>33</v>
      </c>
      <c r="C13" s="367" t="str">
        <f>[25]Brewhouse!A8</f>
        <v>VM004</v>
      </c>
      <c r="D13" s="280">
        <f>[25]Brewhouse!AE8</f>
        <v>52.3</v>
      </c>
      <c r="E13" s="280">
        <f>[25]Brewhouse!AJ8</f>
        <v>47.1</v>
      </c>
      <c r="F13" s="279">
        <f>[25]Brewhouse!X8</f>
        <v>83</v>
      </c>
      <c r="G13" s="280">
        <f>[25]Brewhouse!AH8</f>
        <v>14.6</v>
      </c>
      <c r="H13" s="492">
        <v>14.5</v>
      </c>
      <c r="I13" s="369">
        <f>[25]Brewhouse!AV8</f>
        <v>97.065841044111437</v>
      </c>
      <c r="J13" s="369">
        <f>[25]Brewhouse!AW8</f>
        <v>97.91903047976902</v>
      </c>
      <c r="K13" s="282">
        <f>[25]Brewhouse!S8</f>
        <v>6.6156787762906193</v>
      </c>
      <c r="L13" s="277">
        <f>[25]Brewhouse!R8</f>
        <v>62</v>
      </c>
      <c r="M13" s="375">
        <f>[25]Brewhouse!$W8-[25]Brewhouse!$V8</f>
        <v>0.13680555555555562</v>
      </c>
      <c r="N13" s="371">
        <f>[25]Brewhouse!AB8</f>
        <v>0.27430555555555558</v>
      </c>
      <c r="O13" s="372" t="str">
        <f>[25]Brewhouse!$AZ8</f>
        <v xml:space="preserve">R. Regis </v>
      </c>
      <c r="P13" s="370"/>
      <c r="R13" s="278" t="str">
        <f t="shared" si="0"/>
        <v>VITAMALT</v>
      </c>
      <c r="S13" s="421">
        <f t="shared" si="1"/>
        <v>14.4</v>
      </c>
      <c r="T13" s="421">
        <f t="shared" si="2"/>
        <v>14.6</v>
      </c>
      <c r="U13" s="298">
        <f t="shared" si="3"/>
        <v>0</v>
      </c>
      <c r="V13" s="298">
        <f t="shared" si="4"/>
        <v>0.13905092592592591</v>
      </c>
      <c r="W13" s="298">
        <f t="shared" si="5"/>
        <v>0.26041666666666669</v>
      </c>
      <c r="X13" s="298">
        <f t="shared" si="6"/>
        <v>0.2951388888888889</v>
      </c>
      <c r="Y13" s="298">
        <f t="shared" si="7"/>
        <v>0</v>
      </c>
      <c r="Z13" s="417">
        <f t="shared" si="8"/>
        <v>75</v>
      </c>
    </row>
    <row r="14" spans="2:29" ht="14.4">
      <c r="B14" s="22"/>
      <c r="C14" s="367"/>
      <c r="D14" s="280"/>
      <c r="E14" s="280"/>
      <c r="F14" s="279"/>
      <c r="G14" s="280"/>
      <c r="H14" s="492"/>
      <c r="I14" s="369"/>
      <c r="J14" s="369"/>
      <c r="K14" s="282"/>
      <c r="L14" s="277"/>
      <c r="M14" s="375"/>
      <c r="N14" s="371"/>
      <c r="O14" s="372"/>
      <c r="P14" s="370"/>
      <c r="R14" s="278">
        <f t="shared" si="0"/>
        <v>0</v>
      </c>
      <c r="S14" s="421" t="e">
        <f t="shared" si="1"/>
        <v>#N/A</v>
      </c>
      <c r="T14" s="421" t="e">
        <f t="shared" si="2"/>
        <v>#N/A</v>
      </c>
      <c r="U14" s="298" t="e">
        <f t="shared" si="3"/>
        <v>#N/A</v>
      </c>
      <c r="V14" s="298" t="e">
        <f t="shared" si="4"/>
        <v>#N/A</v>
      </c>
      <c r="W14" s="298" t="e">
        <f t="shared" si="5"/>
        <v>#N/A</v>
      </c>
      <c r="X14" s="298" t="e">
        <f t="shared" si="6"/>
        <v>#N/A</v>
      </c>
      <c r="Y14" s="298" t="e">
        <f t="shared" si="7"/>
        <v>#N/A</v>
      </c>
      <c r="Z14" s="417" t="e">
        <f t="shared" si="8"/>
        <v>#N/A</v>
      </c>
    </row>
    <row r="15" spans="2:29" ht="14.4">
      <c r="B15" s="22"/>
      <c r="C15" s="367"/>
      <c r="D15" s="280"/>
      <c r="E15" s="280"/>
      <c r="F15" s="279"/>
      <c r="G15" s="280"/>
      <c r="H15" s="492"/>
      <c r="I15" s="369"/>
      <c r="J15" s="369"/>
      <c r="K15" s="282"/>
      <c r="L15" s="277"/>
      <c r="M15" s="375"/>
      <c r="N15" s="371"/>
      <c r="O15" s="372"/>
      <c r="P15" s="370"/>
      <c r="R15" s="278">
        <f t="shared" si="0"/>
        <v>0</v>
      </c>
      <c r="S15" s="421" t="e">
        <f t="shared" si="1"/>
        <v>#N/A</v>
      </c>
      <c r="T15" s="421" t="e">
        <f t="shared" si="2"/>
        <v>#N/A</v>
      </c>
      <c r="U15" s="298" t="e">
        <f t="shared" si="3"/>
        <v>#N/A</v>
      </c>
      <c r="V15" s="298" t="e">
        <f t="shared" si="4"/>
        <v>#N/A</v>
      </c>
      <c r="W15" s="298" t="e">
        <f t="shared" si="5"/>
        <v>#N/A</v>
      </c>
      <c r="X15" s="298" t="e">
        <f t="shared" si="6"/>
        <v>#N/A</v>
      </c>
      <c r="Y15" s="298" t="e">
        <f t="shared" si="7"/>
        <v>#N/A</v>
      </c>
      <c r="Z15" s="417" t="e">
        <f t="shared" si="8"/>
        <v>#N/A</v>
      </c>
    </row>
    <row r="16" spans="2:29" ht="15" thickBot="1">
      <c r="B16" s="22"/>
      <c r="C16" s="367"/>
      <c r="D16" s="280"/>
      <c r="E16" s="280"/>
      <c r="F16" s="279"/>
      <c r="G16" s="280"/>
      <c r="H16" s="492"/>
      <c r="I16" s="369"/>
      <c r="J16" s="369"/>
      <c r="K16" s="282"/>
      <c r="L16" s="277"/>
      <c r="M16" s="375"/>
      <c r="N16" s="371"/>
      <c r="O16" s="372"/>
      <c r="P16" s="370"/>
      <c r="R16" s="278">
        <f t="shared" si="0"/>
        <v>0</v>
      </c>
      <c r="S16" s="421" t="e">
        <f t="shared" si="1"/>
        <v>#N/A</v>
      </c>
      <c r="T16" s="421" t="e">
        <f t="shared" si="2"/>
        <v>#N/A</v>
      </c>
      <c r="U16" s="298" t="e">
        <f t="shared" si="3"/>
        <v>#N/A</v>
      </c>
      <c r="V16" s="298" t="e">
        <f t="shared" si="4"/>
        <v>#N/A</v>
      </c>
      <c r="W16" s="298" t="e">
        <f t="shared" si="5"/>
        <v>#N/A</v>
      </c>
      <c r="X16" s="298" t="e">
        <f t="shared" si="6"/>
        <v>#N/A</v>
      </c>
      <c r="Y16" s="298" t="e">
        <f t="shared" si="7"/>
        <v>#N/A</v>
      </c>
      <c r="Z16" s="417" t="e">
        <f t="shared" si="8"/>
        <v>#N/A</v>
      </c>
    </row>
    <row r="17" spans="1:26" ht="14.4" hidden="1">
      <c r="B17" s="22"/>
      <c r="C17" s="367"/>
      <c r="D17" s="280"/>
      <c r="E17" s="280"/>
      <c r="F17" s="279"/>
      <c r="G17" s="280"/>
      <c r="H17" s="492"/>
      <c r="I17" s="369"/>
      <c r="J17" s="369"/>
      <c r="K17" s="282"/>
      <c r="L17" s="277"/>
      <c r="M17" s="375"/>
      <c r="N17" s="371"/>
      <c r="O17" s="372"/>
      <c r="P17" s="370"/>
      <c r="R17" s="278">
        <f t="shared" si="0"/>
        <v>0</v>
      </c>
      <c r="S17" s="421" t="e">
        <f t="shared" si="1"/>
        <v>#N/A</v>
      </c>
      <c r="T17" s="421" t="e">
        <f t="shared" si="2"/>
        <v>#N/A</v>
      </c>
      <c r="U17" s="298" t="e">
        <f t="shared" si="3"/>
        <v>#N/A</v>
      </c>
      <c r="V17" s="298" t="e">
        <f t="shared" si="4"/>
        <v>#N/A</v>
      </c>
      <c r="W17" s="298" t="e">
        <f t="shared" si="5"/>
        <v>#N/A</v>
      </c>
      <c r="X17" s="298" t="e">
        <f t="shared" si="6"/>
        <v>#N/A</v>
      </c>
      <c r="Y17" s="298" t="e">
        <f t="shared" si="7"/>
        <v>#N/A</v>
      </c>
      <c r="Z17" s="417" t="e">
        <f t="shared" si="8"/>
        <v>#N/A</v>
      </c>
    </row>
    <row r="18" spans="1:26" ht="14.4" hidden="1">
      <c r="B18" s="22"/>
      <c r="C18" s="367"/>
      <c r="D18" s="280"/>
      <c r="E18" s="280"/>
      <c r="F18" s="279"/>
      <c r="G18" s="280"/>
      <c r="H18" s="492"/>
      <c r="I18" s="369"/>
      <c r="J18" s="369"/>
      <c r="K18" s="282"/>
      <c r="L18" s="277"/>
      <c r="M18" s="375"/>
      <c r="N18" s="371"/>
      <c r="O18" s="372"/>
      <c r="P18" s="370"/>
      <c r="R18" s="278">
        <f t="shared" si="0"/>
        <v>0</v>
      </c>
      <c r="S18" s="421" t="e">
        <f t="shared" si="1"/>
        <v>#N/A</v>
      </c>
      <c r="T18" s="421" t="e">
        <f t="shared" si="2"/>
        <v>#N/A</v>
      </c>
      <c r="U18" s="298" t="e">
        <f t="shared" si="3"/>
        <v>#N/A</v>
      </c>
      <c r="V18" s="298" t="e">
        <f t="shared" si="4"/>
        <v>#N/A</v>
      </c>
      <c r="W18" s="298" t="e">
        <f t="shared" si="5"/>
        <v>#N/A</v>
      </c>
      <c r="X18" s="298" t="e">
        <f t="shared" si="6"/>
        <v>#N/A</v>
      </c>
      <c r="Y18" s="298" t="e">
        <f t="shared" si="7"/>
        <v>#N/A</v>
      </c>
      <c r="Z18" s="417" t="e">
        <f t="shared" si="8"/>
        <v>#N/A</v>
      </c>
    </row>
    <row r="19" spans="1:26" ht="14.4" hidden="1">
      <c r="B19" s="34"/>
      <c r="C19" s="367"/>
      <c r="D19" s="280"/>
      <c r="E19" s="280"/>
      <c r="F19" s="279"/>
      <c r="G19" s="280"/>
      <c r="H19" s="419"/>
      <c r="I19" s="369"/>
      <c r="J19" s="369"/>
      <c r="K19" s="422"/>
      <c r="L19" s="277"/>
      <c r="M19" s="423"/>
      <c r="N19" s="371"/>
      <c r="O19" s="372"/>
      <c r="P19" s="370"/>
      <c r="R19" s="278">
        <f t="shared" si="0"/>
        <v>0</v>
      </c>
      <c r="S19" s="421" t="e">
        <f t="shared" si="1"/>
        <v>#N/A</v>
      </c>
      <c r="T19" s="421" t="e">
        <f t="shared" si="2"/>
        <v>#N/A</v>
      </c>
      <c r="U19" s="298" t="e">
        <f t="shared" si="3"/>
        <v>#N/A</v>
      </c>
      <c r="V19" s="298" t="e">
        <f t="shared" si="4"/>
        <v>#N/A</v>
      </c>
      <c r="W19" s="298" t="e">
        <f t="shared" si="5"/>
        <v>#N/A</v>
      </c>
      <c r="X19" s="298" t="e">
        <f t="shared" si="6"/>
        <v>#N/A</v>
      </c>
      <c r="Y19" s="298" t="e">
        <f t="shared" si="7"/>
        <v>#N/A</v>
      </c>
      <c r="Z19" s="417" t="e">
        <f t="shared" si="8"/>
        <v>#N/A</v>
      </c>
    </row>
    <row r="20" spans="1:26" ht="14.4" hidden="1">
      <c r="B20" s="34"/>
      <c r="C20" s="367"/>
      <c r="D20" s="280"/>
      <c r="E20" s="280"/>
      <c r="F20" s="279"/>
      <c r="G20" s="280"/>
      <c r="H20" s="419"/>
      <c r="I20" s="369"/>
      <c r="J20" s="369"/>
      <c r="K20" s="422"/>
      <c r="L20" s="277"/>
      <c r="M20" s="423"/>
      <c r="N20" s="371"/>
      <c r="O20" s="372"/>
      <c r="P20" s="370"/>
      <c r="R20" s="278">
        <f t="shared" si="0"/>
        <v>0</v>
      </c>
      <c r="S20" s="421" t="e">
        <f t="shared" si="1"/>
        <v>#N/A</v>
      </c>
      <c r="T20" s="421" t="e">
        <f t="shared" si="2"/>
        <v>#N/A</v>
      </c>
      <c r="U20" s="298" t="e">
        <f t="shared" si="3"/>
        <v>#N/A</v>
      </c>
      <c r="V20" s="298" t="e">
        <f t="shared" si="4"/>
        <v>#N/A</v>
      </c>
      <c r="W20" s="298" t="e">
        <f t="shared" si="5"/>
        <v>#N/A</v>
      </c>
      <c r="X20" s="298" t="e">
        <f t="shared" si="6"/>
        <v>#N/A</v>
      </c>
      <c r="Y20" s="298" t="e">
        <f t="shared" si="7"/>
        <v>#N/A</v>
      </c>
      <c r="Z20" s="417" t="e">
        <f t="shared" si="8"/>
        <v>#N/A</v>
      </c>
    </row>
    <row r="21" spans="1:26" ht="14.4" hidden="1">
      <c r="B21" s="34"/>
      <c r="C21" s="367"/>
      <c r="D21" s="280"/>
      <c r="E21" s="280"/>
      <c r="F21" s="279"/>
      <c r="G21" s="280"/>
      <c r="H21" s="419"/>
      <c r="I21" s="369"/>
      <c r="J21" s="369"/>
      <c r="K21" s="422"/>
      <c r="L21" s="277"/>
      <c r="M21" s="375"/>
      <c r="N21" s="371"/>
      <c r="O21" s="372"/>
      <c r="P21" s="370"/>
      <c r="R21" s="278">
        <f t="shared" si="0"/>
        <v>0</v>
      </c>
      <c r="S21" s="421" t="e">
        <f t="shared" si="1"/>
        <v>#N/A</v>
      </c>
      <c r="T21" s="421" t="e">
        <f t="shared" si="2"/>
        <v>#N/A</v>
      </c>
      <c r="U21" s="298" t="e">
        <f t="shared" si="3"/>
        <v>#N/A</v>
      </c>
      <c r="V21" s="298" t="e">
        <f t="shared" si="4"/>
        <v>#N/A</v>
      </c>
      <c r="W21" s="298" t="e">
        <f t="shared" si="5"/>
        <v>#N/A</v>
      </c>
      <c r="X21" s="298" t="e">
        <f t="shared" si="6"/>
        <v>#N/A</v>
      </c>
      <c r="Y21" s="298" t="e">
        <f t="shared" si="7"/>
        <v>#N/A</v>
      </c>
      <c r="Z21" s="417" t="e">
        <f t="shared" si="8"/>
        <v>#N/A</v>
      </c>
    </row>
    <row r="22" spans="1:26" ht="14.4" hidden="1">
      <c r="B22" s="418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0"/>
      <c r="R22" s="278">
        <f t="shared" si="0"/>
        <v>0</v>
      </c>
      <c r="S22" s="421" t="e">
        <f t="shared" si="1"/>
        <v>#N/A</v>
      </c>
      <c r="T22" s="421" t="e">
        <f t="shared" si="2"/>
        <v>#N/A</v>
      </c>
      <c r="U22" s="298" t="e">
        <f t="shared" si="3"/>
        <v>#N/A</v>
      </c>
      <c r="V22" s="298" t="e">
        <f t="shared" si="4"/>
        <v>#N/A</v>
      </c>
      <c r="W22" s="298" t="e">
        <f t="shared" si="5"/>
        <v>#N/A</v>
      </c>
      <c r="X22" s="298" t="e">
        <f t="shared" si="6"/>
        <v>#N/A</v>
      </c>
      <c r="Y22" s="298" t="e">
        <f t="shared" si="7"/>
        <v>#N/A</v>
      </c>
      <c r="Z22" s="417" t="e">
        <f t="shared" si="8"/>
        <v>#N/A</v>
      </c>
    </row>
    <row r="23" spans="1:26" ht="14.4" hidden="1">
      <c r="B23" s="418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0"/>
      <c r="R23" s="278">
        <f t="shared" si="0"/>
        <v>0</v>
      </c>
      <c r="S23" s="421" t="e">
        <f t="shared" si="1"/>
        <v>#N/A</v>
      </c>
      <c r="T23" s="421" t="e">
        <f t="shared" si="2"/>
        <v>#N/A</v>
      </c>
      <c r="U23" s="298" t="e">
        <f t="shared" si="3"/>
        <v>#N/A</v>
      </c>
      <c r="V23" s="298" t="e">
        <f t="shared" si="4"/>
        <v>#N/A</v>
      </c>
      <c r="W23" s="298" t="e">
        <f t="shared" si="5"/>
        <v>#N/A</v>
      </c>
      <c r="X23" s="298" t="e">
        <f t="shared" si="6"/>
        <v>#N/A</v>
      </c>
      <c r="Y23" s="298" t="e">
        <f t="shared" si="7"/>
        <v>#N/A</v>
      </c>
      <c r="Z23" s="417" t="e">
        <f t="shared" si="8"/>
        <v>#N/A</v>
      </c>
    </row>
    <row r="24" spans="1:26" ht="14.4" hidden="1">
      <c r="B24" s="418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0"/>
      <c r="R24" s="278">
        <f t="shared" si="0"/>
        <v>0</v>
      </c>
      <c r="S24" s="421" t="e">
        <f t="shared" si="1"/>
        <v>#N/A</v>
      </c>
      <c r="T24" s="421" t="e">
        <f t="shared" si="2"/>
        <v>#N/A</v>
      </c>
      <c r="U24" s="298" t="e">
        <f t="shared" si="3"/>
        <v>#N/A</v>
      </c>
      <c r="V24" s="298" t="e">
        <f t="shared" si="4"/>
        <v>#N/A</v>
      </c>
      <c r="W24" s="298" t="e">
        <f t="shared" si="5"/>
        <v>#N/A</v>
      </c>
      <c r="X24" s="298" t="e">
        <f t="shared" si="6"/>
        <v>#N/A</v>
      </c>
      <c r="Y24" s="298" t="e">
        <f t="shared" si="7"/>
        <v>#N/A</v>
      </c>
      <c r="Z24" s="417" t="e">
        <f t="shared" si="8"/>
        <v>#N/A</v>
      </c>
    </row>
    <row r="25" spans="1:26" ht="14.4" hidden="1">
      <c r="B25" s="418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0"/>
      <c r="R25" s="278">
        <f t="shared" si="0"/>
        <v>0</v>
      </c>
      <c r="S25" s="421" t="e">
        <f t="shared" si="1"/>
        <v>#N/A</v>
      </c>
      <c r="T25" s="421" t="e">
        <f t="shared" si="2"/>
        <v>#N/A</v>
      </c>
      <c r="U25" s="298" t="e">
        <f t="shared" si="3"/>
        <v>#N/A</v>
      </c>
      <c r="V25" s="298" t="e">
        <f t="shared" si="4"/>
        <v>#N/A</v>
      </c>
      <c r="W25" s="298" t="e">
        <f t="shared" si="5"/>
        <v>#N/A</v>
      </c>
      <c r="X25" s="298" t="e">
        <f t="shared" si="6"/>
        <v>#N/A</v>
      </c>
      <c r="Y25" s="298" t="e">
        <f t="shared" si="7"/>
        <v>#N/A</v>
      </c>
      <c r="Z25" s="417" t="e">
        <f t="shared" si="8"/>
        <v>#N/A</v>
      </c>
    </row>
    <row r="26" spans="1:26" ht="15" hidden="1" thickBot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0"/>
      <c r="R26" s="278">
        <f t="shared" si="0"/>
        <v>0</v>
      </c>
      <c r="S26" s="421" t="e">
        <f t="shared" si="1"/>
        <v>#N/A</v>
      </c>
      <c r="T26" s="421" t="e">
        <f t="shared" si="2"/>
        <v>#N/A</v>
      </c>
      <c r="U26" s="298" t="e">
        <f t="shared" si="3"/>
        <v>#N/A</v>
      </c>
      <c r="V26" s="298" t="e">
        <f t="shared" si="4"/>
        <v>#N/A</v>
      </c>
      <c r="W26" s="298" t="e">
        <f t="shared" si="5"/>
        <v>#N/A</v>
      </c>
      <c r="X26" s="298" t="e">
        <f t="shared" si="6"/>
        <v>#N/A</v>
      </c>
      <c r="Y26" s="298" t="e">
        <f t="shared" si="7"/>
        <v>#N/A</v>
      </c>
      <c r="Z26" s="417" t="e">
        <f t="shared" si="8"/>
        <v>#N/A</v>
      </c>
    </row>
    <row r="27" spans="1:26" ht="15.75" customHeight="1" thickBot="1">
      <c r="B27" s="359"/>
      <c r="C27" s="424"/>
      <c r="D27" s="359"/>
      <c r="E27" s="359"/>
      <c r="F27" s="295"/>
      <c r="G27" s="295"/>
      <c r="H27" s="349"/>
      <c r="I27" s="632" t="s">
        <v>34</v>
      </c>
      <c r="J27" s="632"/>
      <c r="K27" s="632"/>
      <c r="L27" s="632"/>
      <c r="M27" s="632"/>
      <c r="N27" s="632"/>
      <c r="O27" s="1"/>
      <c r="P27" s="12"/>
      <c r="R27" s="278">
        <f t="shared" si="0"/>
        <v>0</v>
      </c>
      <c r="S27" s="421" t="e">
        <f t="shared" si="1"/>
        <v>#N/A</v>
      </c>
      <c r="T27" s="421" t="e">
        <f t="shared" si="2"/>
        <v>#N/A</v>
      </c>
      <c r="U27" s="298" t="e">
        <f t="shared" si="3"/>
        <v>#N/A</v>
      </c>
      <c r="V27" s="298" t="e">
        <f t="shared" si="4"/>
        <v>#N/A</v>
      </c>
      <c r="W27" s="298" t="e">
        <f t="shared" si="5"/>
        <v>#N/A</v>
      </c>
      <c r="X27" s="298" t="e">
        <f t="shared" si="6"/>
        <v>#N/A</v>
      </c>
      <c r="Y27" s="298" t="e">
        <f t="shared" si="7"/>
        <v>#N/A</v>
      </c>
      <c r="Z27" s="417" t="e">
        <f t="shared" si="8"/>
        <v>#N/A</v>
      </c>
    </row>
    <row r="28" spans="1:26" ht="28.8" thickBot="1">
      <c r="B28" s="425" t="s">
        <v>145</v>
      </c>
      <c r="C28" s="426"/>
      <c r="D28" s="633" t="s">
        <v>35</v>
      </c>
      <c r="E28" s="634"/>
      <c r="F28" s="295"/>
      <c r="G28" s="295"/>
      <c r="H28" s="23"/>
      <c r="I28" s="24" t="s">
        <v>17</v>
      </c>
      <c r="J28" s="25" t="s">
        <v>146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5"/>
      <c r="P28" s="12"/>
      <c r="R28" s="278" t="str">
        <f t="shared" si="0"/>
        <v>BRAND</v>
      </c>
      <c r="S28" s="421" t="e">
        <f t="shared" si="1"/>
        <v>#N/A</v>
      </c>
      <c r="T28" s="421" t="e">
        <f t="shared" si="2"/>
        <v>#N/A</v>
      </c>
      <c r="U28" s="298" t="e">
        <f t="shared" si="3"/>
        <v>#N/A</v>
      </c>
      <c r="V28" s="298" t="e">
        <f t="shared" si="4"/>
        <v>#N/A</v>
      </c>
      <c r="W28" s="298" t="e">
        <f t="shared" si="5"/>
        <v>#N/A</v>
      </c>
      <c r="X28" s="298" t="e">
        <f t="shared" si="6"/>
        <v>#N/A</v>
      </c>
      <c r="Y28" s="298" t="e">
        <f t="shared" si="7"/>
        <v>#N/A</v>
      </c>
      <c r="Z28" s="417" t="e">
        <f t="shared" si="8"/>
        <v>#N/A</v>
      </c>
    </row>
    <row r="29" spans="1:26" ht="15" customHeight="1">
      <c r="A29" s="28"/>
      <c r="B29" s="642" t="str">
        <f>I30</f>
        <v>STAG</v>
      </c>
      <c r="C29" s="427">
        <v>12.04</v>
      </c>
      <c r="D29" s="638">
        <v>11.87</v>
      </c>
      <c r="E29" s="592"/>
      <c r="F29" s="295"/>
      <c r="G29" s="295"/>
      <c r="H29" s="295"/>
      <c r="I29" s="29" t="s">
        <v>6</v>
      </c>
      <c r="J29" s="324"/>
      <c r="K29" s="285"/>
      <c r="L29" s="303"/>
      <c r="M29" s="303"/>
      <c r="N29" s="30">
        <v>98</v>
      </c>
      <c r="O29" s="11"/>
      <c r="P29" s="31"/>
      <c r="R29" s="278"/>
      <c r="S29" s="421"/>
      <c r="T29" s="421"/>
      <c r="U29" s="298"/>
      <c r="V29" s="298"/>
      <c r="W29" s="298"/>
      <c r="X29" s="298"/>
      <c r="Y29" s="298"/>
      <c r="Z29" s="417"/>
    </row>
    <row r="30" spans="1:26" ht="15" customHeight="1">
      <c r="A30" s="28"/>
      <c r="B30" s="643"/>
      <c r="C30" s="427">
        <v>11.87</v>
      </c>
      <c r="D30" s="580"/>
      <c r="E30" s="581"/>
      <c r="F30" s="295"/>
      <c r="G30" s="295"/>
      <c r="H30" s="32"/>
      <c r="I30" s="418" t="s">
        <v>9</v>
      </c>
      <c r="J30" s="324"/>
      <c r="K30" s="285">
        <v>10</v>
      </c>
      <c r="L30" s="428">
        <v>95.824605043914772</v>
      </c>
      <c r="M30" s="428">
        <v>95.824605043914772</v>
      </c>
      <c r="N30" s="30">
        <v>98</v>
      </c>
      <c r="O30" s="11"/>
      <c r="P30" s="31"/>
      <c r="R30" s="278"/>
      <c r="S30" s="421"/>
      <c r="T30" s="421"/>
      <c r="U30" s="298"/>
      <c r="V30" s="298"/>
      <c r="W30" s="298"/>
      <c r="X30" s="298"/>
      <c r="Y30" s="298"/>
      <c r="Z30" s="417"/>
    </row>
    <row r="31" spans="1:26" ht="14.7" customHeight="1">
      <c r="A31" s="28"/>
      <c r="B31" s="643"/>
      <c r="C31" s="427">
        <v>11.71</v>
      </c>
      <c r="D31" s="626">
        <v>11.9</v>
      </c>
      <c r="E31" s="623"/>
      <c r="F31" s="295"/>
      <c r="G31" s="295"/>
      <c r="H31" s="32"/>
      <c r="I31" s="34" t="s">
        <v>12</v>
      </c>
      <c r="J31" s="327"/>
      <c r="K31" s="285"/>
      <c r="L31" s="428"/>
      <c r="M31" s="303"/>
      <c r="N31" s="30">
        <v>98</v>
      </c>
      <c r="O31" s="11"/>
      <c r="P31" s="31"/>
      <c r="R31" s="278"/>
      <c r="S31" s="421"/>
      <c r="T31" s="421"/>
      <c r="U31" s="298"/>
      <c r="V31" s="298"/>
      <c r="W31" s="298"/>
      <c r="X31" s="298"/>
      <c r="Y31" s="298"/>
      <c r="Z31" s="417"/>
    </row>
    <row r="32" spans="1:26" ht="14.7" customHeight="1">
      <c r="A32" s="28"/>
      <c r="B32" s="643"/>
      <c r="C32" s="427">
        <v>11.79</v>
      </c>
      <c r="D32" s="580"/>
      <c r="E32" s="581"/>
      <c r="F32" s="295"/>
      <c r="G32" s="295"/>
      <c r="H32" s="32"/>
      <c r="I32" s="22" t="s">
        <v>33</v>
      </c>
      <c r="J32" s="327">
        <f>AVERAGE(I10:I13)</f>
        <v>96.702302381453876</v>
      </c>
      <c r="K32" s="285">
        <v>4</v>
      </c>
      <c r="L32" s="303">
        <f>J32</f>
        <v>96.702302381453876</v>
      </c>
      <c r="M32" s="303">
        <f>L32</f>
        <v>96.702302381453876</v>
      </c>
      <c r="N32" s="30">
        <v>98</v>
      </c>
      <c r="O32" s="11"/>
      <c r="P32" s="31"/>
      <c r="R32" s="278"/>
      <c r="S32" s="421"/>
      <c r="T32" s="421"/>
      <c r="U32" s="298"/>
      <c r="V32" s="298"/>
      <c r="W32" s="298"/>
      <c r="X32" s="298"/>
      <c r="Y32" s="298"/>
      <c r="Z32" s="417"/>
    </row>
    <row r="33" spans="1:56" ht="14.7" customHeight="1">
      <c r="A33" s="28"/>
      <c r="B33" s="643"/>
      <c r="C33" s="427">
        <v>11.9</v>
      </c>
      <c r="D33" s="626">
        <v>11.81</v>
      </c>
      <c r="E33" s="623"/>
      <c r="F33" s="295"/>
      <c r="G33" s="295"/>
      <c r="H33" s="32"/>
      <c r="I33" s="35" t="s">
        <v>29</v>
      </c>
      <c r="J33" s="327"/>
      <c r="K33" s="285"/>
      <c r="L33" s="303"/>
      <c r="M33" s="303"/>
      <c r="N33" s="30">
        <v>98</v>
      </c>
      <c r="O33" s="11"/>
      <c r="P33" s="31"/>
      <c r="R33" s="278"/>
      <c r="S33" s="421"/>
      <c r="T33" s="421"/>
      <c r="U33" s="298"/>
      <c r="V33" s="298"/>
      <c r="W33" s="298"/>
      <c r="X33" s="298"/>
      <c r="Y33" s="298"/>
      <c r="Z33" s="417"/>
    </row>
    <row r="34" spans="1:56" ht="14.7" customHeight="1">
      <c r="A34" s="28"/>
      <c r="B34" s="643"/>
      <c r="C34" s="427">
        <v>11.6</v>
      </c>
      <c r="D34" s="580"/>
      <c r="E34" s="581"/>
      <c r="F34" s="295"/>
      <c r="G34" s="295"/>
      <c r="H34" s="32"/>
      <c r="I34" s="36" t="s">
        <v>15</v>
      </c>
      <c r="J34" s="429"/>
      <c r="K34" s="285"/>
      <c r="L34" s="303"/>
      <c r="M34" s="303"/>
      <c r="N34" s="30">
        <v>98</v>
      </c>
      <c r="O34" s="11"/>
      <c r="P34" s="31"/>
      <c r="R34" s="278"/>
      <c r="S34" s="421"/>
      <c r="T34" s="421"/>
      <c r="U34" s="298"/>
      <c r="V34" s="298"/>
      <c r="W34" s="298"/>
      <c r="X34" s="298"/>
      <c r="Y34" s="298"/>
      <c r="Z34" s="417"/>
    </row>
    <row r="35" spans="1:56" ht="14.7" customHeight="1">
      <c r="A35" s="28"/>
      <c r="B35" s="643"/>
      <c r="C35" s="427">
        <v>11.87</v>
      </c>
      <c r="D35" s="626">
        <v>11.88</v>
      </c>
      <c r="E35" s="623"/>
      <c r="F35" s="295"/>
      <c r="G35" s="295"/>
      <c r="H35" s="32"/>
      <c r="I35" s="37" t="s">
        <v>16</v>
      </c>
      <c r="J35" s="430"/>
      <c r="K35" s="285"/>
      <c r="L35" s="303"/>
      <c r="M35" s="303"/>
      <c r="N35" s="30">
        <v>98</v>
      </c>
      <c r="O35" s="11"/>
      <c r="P35" s="31" t="s">
        <v>41</v>
      </c>
      <c r="R35" s="278"/>
      <c r="S35" s="421"/>
      <c r="T35" s="421"/>
      <c r="U35" s="298"/>
      <c r="V35" s="298"/>
      <c r="W35" s="298"/>
      <c r="X35" s="298"/>
      <c r="Y35" s="298"/>
      <c r="Z35" s="417"/>
    </row>
    <row r="36" spans="1:56" ht="14.7" customHeight="1">
      <c r="A36" s="28"/>
      <c r="B36" s="643"/>
      <c r="C36" s="427">
        <v>11.82</v>
      </c>
      <c r="D36" s="580"/>
      <c r="E36" s="581"/>
      <c r="F36" s="295"/>
      <c r="G36" s="295"/>
      <c r="H36" s="32"/>
      <c r="I36" s="307" t="s">
        <v>137</v>
      </c>
      <c r="J36" s="327"/>
      <c r="K36" s="285"/>
      <c r="L36" s="306"/>
      <c r="M36" s="306"/>
      <c r="N36" s="30">
        <v>98</v>
      </c>
      <c r="O36" s="11"/>
      <c r="P36" s="31"/>
      <c r="R36" s="278"/>
      <c r="S36" s="421"/>
      <c r="T36" s="421"/>
      <c r="U36" s="298"/>
      <c r="V36" s="298"/>
      <c r="W36" s="298"/>
      <c r="X36" s="298"/>
      <c r="Y36" s="298"/>
      <c r="Z36" s="417"/>
    </row>
    <row r="37" spans="1:56" ht="15" thickBot="1">
      <c r="A37" s="28"/>
      <c r="B37" s="643"/>
      <c r="C37" s="427"/>
      <c r="D37" s="626"/>
      <c r="E37" s="623"/>
      <c r="F37" s="295"/>
      <c r="G37" s="295"/>
      <c r="H37" s="32"/>
      <c r="I37" s="38" t="s">
        <v>157</v>
      </c>
      <c r="J37" s="327"/>
      <c r="K37" s="285"/>
      <c r="L37" s="306"/>
      <c r="M37" s="329"/>
      <c r="N37" s="30">
        <v>98</v>
      </c>
      <c r="O37" s="11"/>
      <c r="P37" s="31"/>
      <c r="R37" s="278"/>
      <c r="S37" s="421"/>
      <c r="T37" s="421"/>
      <c r="U37" s="298"/>
      <c r="V37" s="298"/>
      <c r="W37" s="298"/>
      <c r="X37" s="298"/>
      <c r="Y37" s="298"/>
      <c r="Z37" s="417"/>
    </row>
    <row r="38" spans="1:56" ht="15" customHeight="1" thickBot="1">
      <c r="A38" s="28"/>
      <c r="B38" s="643"/>
      <c r="C38" s="427"/>
      <c r="D38" s="580"/>
      <c r="E38" s="581"/>
      <c r="F38" s="295"/>
      <c r="G38" s="295"/>
      <c r="H38" s="32"/>
      <c r="I38" s="431" t="s">
        <v>158</v>
      </c>
      <c r="J38" s="328"/>
      <c r="K38" s="285"/>
      <c r="L38" s="329"/>
      <c r="M38" s="329"/>
      <c r="N38" s="30">
        <v>98</v>
      </c>
      <c r="O38" s="11"/>
      <c r="P38" s="31"/>
      <c r="R38" s="278"/>
      <c r="S38" s="421"/>
      <c r="T38" s="421"/>
      <c r="U38" s="298"/>
      <c r="V38" s="298"/>
      <c r="W38" s="298"/>
      <c r="X38" s="298"/>
      <c r="Y38" s="298"/>
      <c r="Z38" s="417"/>
    </row>
    <row r="39" spans="1:56" ht="15" customHeight="1" thickTop="1" thickBot="1">
      <c r="A39" s="28"/>
      <c r="B39" s="643"/>
      <c r="C39" s="427"/>
      <c r="D39" s="626"/>
      <c r="E39" s="623"/>
      <c r="F39" s="295"/>
      <c r="G39" s="295"/>
      <c r="H39" s="32"/>
      <c r="I39" s="1"/>
      <c r="J39" s="39"/>
      <c r="K39" s="432">
        <f>SUM(K29:K38)</f>
        <v>14</v>
      </c>
      <c r="L39" s="433">
        <f>((L29*K29)+(L30*K30)+(L31*K31)+(L32*K32)+(L33*K33)+(K36*L36)+(L34*K34)+(L35*K35)+(L38*K38))/(K39)</f>
        <v>96.075375711783082</v>
      </c>
      <c r="M39" s="433">
        <f>L39</f>
        <v>96.075375711783082</v>
      </c>
      <c r="N39" s="30">
        <v>98</v>
      </c>
      <c r="O39" s="11"/>
      <c r="P39" s="31"/>
      <c r="R39" s="23"/>
    </row>
    <row r="40" spans="1:56" ht="15" customHeight="1">
      <c r="A40" s="28"/>
      <c r="B40" s="643"/>
      <c r="C40" s="427"/>
      <c r="D40" s="580"/>
      <c r="E40" s="581"/>
      <c r="F40" s="295"/>
      <c r="G40" s="295"/>
      <c r="H40" s="32"/>
      <c r="I40" s="1"/>
      <c r="J40" s="39"/>
      <c r="O40" s="11"/>
      <c r="P40" s="31"/>
      <c r="R40" s="23"/>
    </row>
    <row r="41" spans="1:56" ht="21.6" customHeight="1" thickBot="1">
      <c r="B41" s="644"/>
      <c r="C41" s="434"/>
      <c r="D41" s="626"/>
      <c r="E41" s="623"/>
      <c r="F41" s="295"/>
      <c r="G41" s="42"/>
      <c r="H41" s="41"/>
      <c r="I41" s="1"/>
      <c r="J41" s="42"/>
      <c r="K41" s="352"/>
      <c r="L41" s="349"/>
      <c r="M41" s="349"/>
      <c r="N41" s="11"/>
      <c r="O41" s="295"/>
      <c r="P41" s="12"/>
      <c r="R41" s="23"/>
    </row>
    <row r="42" spans="1:56" ht="15" thickBot="1">
      <c r="B42" s="645" t="str">
        <f>I29</f>
        <v>CARIB</v>
      </c>
      <c r="C42" s="435">
        <v>11.6</v>
      </c>
      <c r="D42" s="591">
        <v>11.8</v>
      </c>
      <c r="E42" s="592"/>
      <c r="F42" s="43"/>
      <c r="G42" s="41"/>
      <c r="H42" s="41"/>
      <c r="I42" s="1"/>
      <c r="J42" s="630" t="s">
        <v>129</v>
      </c>
      <c r="K42" s="631"/>
      <c r="L42" s="295"/>
      <c r="M42" s="295"/>
      <c r="N42" s="295"/>
      <c r="O42" s="295"/>
      <c r="P42" s="12"/>
      <c r="R42" s="23" t="s">
        <v>41</v>
      </c>
    </row>
    <row r="43" spans="1:56" ht="15.6" customHeight="1" thickBot="1">
      <c r="B43" s="636"/>
      <c r="C43" s="427">
        <v>11.6</v>
      </c>
      <c r="D43" s="593"/>
      <c r="E43" s="581"/>
      <c r="F43" s="43"/>
      <c r="G43" s="41"/>
      <c r="H43" s="42"/>
      <c r="I43" s="1"/>
      <c r="J43" s="398" t="s">
        <v>17</v>
      </c>
      <c r="K43" s="399" t="s">
        <v>147</v>
      </c>
      <c r="L43" s="595" t="s">
        <v>136</v>
      </c>
      <c r="M43" s="595"/>
      <c r="N43" s="596"/>
      <c r="O43" s="295"/>
      <c r="P43" s="12"/>
      <c r="R43" s="23"/>
    </row>
    <row r="44" spans="1:56" ht="15" customHeight="1" thickBot="1">
      <c r="B44" s="636"/>
      <c r="C44" s="427">
        <v>11.9</v>
      </c>
      <c r="D44" s="622">
        <v>11.8</v>
      </c>
      <c r="E44" s="623"/>
      <c r="F44" s="43"/>
      <c r="G44" s="41"/>
      <c r="H44" s="436"/>
      <c r="I44" s="1"/>
      <c r="J44" s="400" t="s">
        <v>6</v>
      </c>
      <c r="K44" s="437"/>
      <c r="L44" s="438" t="s">
        <v>37</v>
      </c>
      <c r="M44" s="439" t="s">
        <v>38</v>
      </c>
      <c r="N44" s="439" t="s">
        <v>84</v>
      </c>
      <c r="O44" s="295"/>
      <c r="P44" s="12"/>
      <c r="R44" s="23"/>
    </row>
    <row r="45" spans="1:56" ht="15" thickBot="1">
      <c r="B45" s="636"/>
      <c r="C45" s="427">
        <v>11.9</v>
      </c>
      <c r="D45" s="593"/>
      <c r="E45" s="581"/>
      <c r="F45" s="43"/>
      <c r="G45" s="41"/>
      <c r="H45" s="436"/>
      <c r="I45" s="1"/>
      <c r="J45" s="402" t="s">
        <v>9</v>
      </c>
      <c r="K45" s="437"/>
      <c r="L45" s="345">
        <f>AVERAGE('Jan 2nd'!K69,'Jan 3rd'!K69,'Jan 6th'!K54)</f>
        <v>4.666666666666667</v>
      </c>
      <c r="M45" s="326">
        <f>L45</f>
        <v>4.666666666666667</v>
      </c>
      <c r="N45" s="491"/>
      <c r="O45" s="295"/>
      <c r="P45" s="12"/>
      <c r="R45" s="23"/>
    </row>
    <row r="46" spans="1:56" ht="14.4">
      <c r="B46" s="636"/>
      <c r="C46" s="427"/>
      <c r="D46" s="622"/>
      <c r="E46" s="623"/>
      <c r="F46" s="43"/>
      <c r="G46" s="41"/>
      <c r="H46" s="436"/>
      <c r="I46" s="1"/>
      <c r="J46" s="403" t="s">
        <v>40</v>
      </c>
      <c r="K46" s="437"/>
      <c r="L46" s="295"/>
      <c r="M46" s="295"/>
      <c r="N46" s="295"/>
      <c r="O46" s="295"/>
      <c r="P46" s="12"/>
      <c r="R46" s="23"/>
    </row>
    <row r="47" spans="1:56" ht="15" customHeight="1">
      <c r="B47" s="636"/>
      <c r="C47" s="427"/>
      <c r="D47" s="593"/>
      <c r="E47" s="581"/>
      <c r="F47" s="43"/>
      <c r="G47" s="41"/>
      <c r="H47" s="436"/>
      <c r="I47" s="1"/>
      <c r="J47" s="404" t="s">
        <v>33</v>
      </c>
      <c r="K47" s="437">
        <v>4</v>
      </c>
      <c r="L47" s="295"/>
      <c r="M47" s="295"/>
      <c r="N47" s="295"/>
      <c r="O47" s="295"/>
      <c r="P47" s="12"/>
      <c r="R47" s="23"/>
    </row>
    <row r="48" spans="1:56" ht="14.4">
      <c r="B48" s="636"/>
      <c r="C48" s="427"/>
      <c r="D48" s="622"/>
      <c r="E48" s="623"/>
      <c r="F48" s="43"/>
      <c r="G48" s="41"/>
      <c r="H48" s="436"/>
      <c r="I48" s="1"/>
      <c r="J48" s="405" t="s">
        <v>16</v>
      </c>
      <c r="K48" s="437"/>
      <c r="L48" s="295"/>
      <c r="M48" s="295"/>
      <c r="N48" s="295"/>
      <c r="O48" s="295"/>
      <c r="P48" s="12"/>
      <c r="R48" s="23"/>
      <c r="BC48" s="44"/>
      <c r="BD48" s="44"/>
    </row>
    <row r="49" spans="2:56" ht="14.4">
      <c r="B49" s="636"/>
      <c r="C49" s="427"/>
      <c r="D49" s="593"/>
      <c r="E49" s="581"/>
      <c r="F49" s="43"/>
      <c r="G49" s="41"/>
      <c r="H49" s="436"/>
      <c r="I49" s="1"/>
      <c r="J49" s="406" t="s">
        <v>15</v>
      </c>
      <c r="K49" s="437"/>
      <c r="L49" s="295"/>
      <c r="M49" s="295"/>
      <c r="N49" s="295"/>
      <c r="O49" s="295"/>
      <c r="P49" s="12"/>
      <c r="R49" s="23"/>
      <c r="T49" s="316"/>
      <c r="BC49" s="44"/>
      <c r="BD49" s="44"/>
    </row>
    <row r="50" spans="2:56" ht="14.4">
      <c r="B50" s="636"/>
      <c r="C50" s="427"/>
      <c r="D50" s="622"/>
      <c r="E50" s="623"/>
      <c r="F50" s="43"/>
      <c r="G50" s="41"/>
      <c r="H50" s="436"/>
      <c r="I50" s="1"/>
      <c r="J50" s="406" t="s">
        <v>149</v>
      </c>
      <c r="K50" s="401"/>
      <c r="L50" s="295"/>
      <c r="M50" s="295"/>
      <c r="N50" s="295"/>
      <c r="O50" s="295"/>
      <c r="P50" s="12"/>
      <c r="R50" s="23"/>
      <c r="BC50" s="44"/>
      <c r="BD50" s="44"/>
    </row>
    <row r="51" spans="2:56" ht="15" thickBot="1">
      <c r="B51" s="646"/>
      <c r="C51" s="434"/>
      <c r="D51" s="624"/>
      <c r="E51" s="625"/>
      <c r="F51" s="43"/>
      <c r="G51" s="41"/>
      <c r="H51" s="436"/>
      <c r="I51" s="1"/>
      <c r="J51" s="406" t="s">
        <v>148</v>
      </c>
      <c r="K51" s="401"/>
      <c r="L51" s="295"/>
      <c r="M51" s="295"/>
      <c r="N51" s="295"/>
      <c r="O51" s="295"/>
      <c r="P51" s="12"/>
      <c r="R51" s="23"/>
      <c r="BC51" s="44"/>
      <c r="BD51" s="44"/>
    </row>
    <row r="52" spans="2:56" ht="17.7" customHeight="1" thickBot="1">
      <c r="B52" s="313"/>
      <c r="C52" s="314"/>
      <c r="D52" s="601">
        <f>AVERAGE(D29:E51)</f>
        <v>11.843333333333334</v>
      </c>
      <c r="E52" s="602"/>
      <c r="F52" s="43"/>
      <c r="G52" s="41"/>
      <c r="H52" s="436"/>
      <c r="I52" s="1"/>
      <c r="J52" s="407" t="s">
        <v>134</v>
      </c>
      <c r="K52" s="401"/>
      <c r="L52" s="295"/>
      <c r="M52" s="295"/>
      <c r="N52" s="295"/>
      <c r="O52" s="295"/>
      <c r="P52" s="12"/>
      <c r="R52" s="23"/>
      <c r="BC52" s="44"/>
      <c r="BD52" s="44"/>
    </row>
    <row r="53" spans="2:56" ht="17.7" customHeight="1">
      <c r="B53" s="364"/>
      <c r="C53" s="365"/>
      <c r="D53" s="366"/>
      <c r="E53" s="366"/>
      <c r="F53" s="43"/>
      <c r="G53" s="41"/>
      <c r="H53" s="436"/>
      <c r="I53" s="1"/>
      <c r="J53" s="407" t="s">
        <v>131</v>
      </c>
      <c r="K53" s="401"/>
      <c r="L53" s="295"/>
      <c r="M53" s="295"/>
      <c r="N53" s="295"/>
      <c r="O53" s="295"/>
      <c r="P53" s="12"/>
      <c r="R53" s="23"/>
      <c r="BC53" s="44"/>
      <c r="BD53" s="44"/>
    </row>
    <row r="54" spans="2:56" ht="15.75" customHeight="1" thickBot="1">
      <c r="B54" s="45"/>
      <c r="C54" s="11"/>
      <c r="D54" s="11"/>
      <c r="E54" s="46"/>
      <c r="F54" s="23"/>
      <c r="G54" s="11"/>
      <c r="H54" s="436"/>
      <c r="I54" s="1"/>
      <c r="J54" s="408" t="s">
        <v>130</v>
      </c>
      <c r="K54" s="409">
        <f>SUM(K44:K53)</f>
        <v>4</v>
      </c>
      <c r="L54" s="295"/>
      <c r="M54" s="295"/>
      <c r="N54" s="295"/>
      <c r="O54" s="295"/>
      <c r="P54" s="12"/>
    </row>
    <row r="55" spans="2:56" ht="20.25" customHeight="1">
      <c r="B55" s="15" t="s">
        <v>42</v>
      </c>
      <c r="C55" s="1" t="s">
        <v>43</v>
      </c>
      <c r="D55" s="1"/>
      <c r="E55" s="1"/>
      <c r="I55" s="1"/>
      <c r="L55" s="295"/>
      <c r="P55" s="335"/>
    </row>
    <row r="56" spans="2:56" ht="15" customHeight="1" thickBo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/>
      <c r="O56" s="48"/>
      <c r="P56" s="49"/>
      <c r="W56" s="276" t="s">
        <v>41</v>
      </c>
    </row>
    <row r="57" spans="2:56" ht="15" customHeight="1" thickBot="1">
      <c r="B57" s="603" t="s">
        <v>17</v>
      </c>
      <c r="C57" s="603" t="s">
        <v>44</v>
      </c>
      <c r="D57" s="605" t="s">
        <v>45</v>
      </c>
      <c r="E57" s="560" t="s">
        <v>46</v>
      </c>
      <c r="F57" s="620" t="s">
        <v>47</v>
      </c>
      <c r="G57" s="614" t="s">
        <v>48</v>
      </c>
      <c r="H57" s="603" t="s">
        <v>49</v>
      </c>
      <c r="I57" s="616" t="s">
        <v>50</v>
      </c>
      <c r="J57" s="608" t="s">
        <v>28</v>
      </c>
      <c r="K57" s="558" t="s">
        <v>51</v>
      </c>
      <c r="L57" s="570" t="s">
        <v>52</v>
      </c>
      <c r="M57" s="608" t="s">
        <v>53</v>
      </c>
      <c r="N57" s="13"/>
      <c r="O57" s="13"/>
      <c r="P57" s="50"/>
    </row>
    <row r="58" spans="2:56" ht="28.5" customHeight="1" thickTop="1" thickBot="1">
      <c r="B58" s="604"/>
      <c r="C58" s="604"/>
      <c r="D58" s="606"/>
      <c r="E58" s="607"/>
      <c r="F58" s="621"/>
      <c r="G58" s="615"/>
      <c r="H58" s="604"/>
      <c r="I58" s="617"/>
      <c r="J58" s="609"/>
      <c r="K58" s="618"/>
      <c r="L58" s="619"/>
      <c r="M58" s="609"/>
      <c r="N58" s="13"/>
      <c r="O58" s="13"/>
      <c r="P58" s="50"/>
      <c r="Q58" s="356"/>
      <c r="R58" s="356"/>
      <c r="S58" s="356"/>
      <c r="T58" s="440">
        <v>43466</v>
      </c>
      <c r="U58" s="440">
        <v>43467</v>
      </c>
      <c r="V58" s="440">
        <v>43468</v>
      </c>
      <c r="W58" s="440">
        <v>43469</v>
      </c>
      <c r="X58" s="440">
        <v>43470</v>
      </c>
      <c r="Y58" s="440">
        <v>43471</v>
      </c>
      <c r="Z58" s="440">
        <v>43472</v>
      </c>
      <c r="AA58" s="440">
        <v>43473</v>
      </c>
      <c r="AB58" s="440">
        <v>43474</v>
      </c>
      <c r="AC58" s="440">
        <v>43475</v>
      </c>
      <c r="AD58" s="440">
        <v>43476</v>
      </c>
      <c r="AE58" s="440">
        <v>43477</v>
      </c>
      <c r="AF58" s="440">
        <v>43478</v>
      </c>
      <c r="AG58" s="440">
        <v>43479</v>
      </c>
      <c r="AH58" s="440">
        <v>43480</v>
      </c>
      <c r="AI58" s="440">
        <v>43481</v>
      </c>
      <c r="AJ58" s="440">
        <v>43482</v>
      </c>
      <c r="AK58" s="440">
        <v>43483</v>
      </c>
      <c r="AL58" s="440">
        <v>43484</v>
      </c>
      <c r="AM58" s="440">
        <v>43485</v>
      </c>
      <c r="AN58" s="440">
        <v>43486</v>
      </c>
      <c r="AO58" s="440">
        <v>43487</v>
      </c>
      <c r="AP58" s="440">
        <v>43488</v>
      </c>
      <c r="AQ58" s="440">
        <v>43489</v>
      </c>
      <c r="AR58" s="440">
        <v>43490</v>
      </c>
      <c r="AS58" s="440">
        <v>43491</v>
      </c>
      <c r="AT58" s="440">
        <v>43492</v>
      </c>
      <c r="AU58" s="440">
        <v>43493</v>
      </c>
      <c r="AV58" s="440">
        <v>43494</v>
      </c>
      <c r="AW58" s="440">
        <v>43495</v>
      </c>
      <c r="AX58" s="440">
        <v>43496</v>
      </c>
    </row>
    <row r="59" spans="2:56" s="54" customFormat="1" ht="46.2" customHeight="1" thickBot="1">
      <c r="B59" s="441" t="str">
        <f>B69</f>
        <v>STAG</v>
      </c>
      <c r="C59" s="442">
        <v>45663</v>
      </c>
      <c r="D59" s="443">
        <f>[23]January_2025!$I$13</f>
        <v>445.02</v>
      </c>
      <c r="E59" s="444"/>
      <c r="F59" s="445"/>
      <c r="G59" s="443">
        <f>[23]January_2025!$I$17</f>
        <v>372.4</v>
      </c>
      <c r="H59" s="446"/>
      <c r="I59" s="446"/>
      <c r="J59" s="391" t="s">
        <v>177</v>
      </c>
      <c r="K59" s="447">
        <f>[24]January_2025!$I$25</f>
        <v>1.3066666666666666</v>
      </c>
      <c r="L59" s="448">
        <f>(((D59+E59)-G59)/(D59+E59))*100</f>
        <v>16.318367713810616</v>
      </c>
      <c r="M59" s="449" t="s">
        <v>178</v>
      </c>
      <c r="N59" s="273"/>
      <c r="O59" s="450"/>
      <c r="P59" s="50" t="s">
        <v>41</v>
      </c>
      <c r="S59" s="273" t="s">
        <v>54</v>
      </c>
      <c r="T59" s="411"/>
      <c r="U59" s="411"/>
      <c r="V59" s="411"/>
      <c r="W59" s="411"/>
      <c r="X59" s="411"/>
      <c r="Y59" s="411"/>
      <c r="Z59" s="411"/>
      <c r="AA59" s="411"/>
      <c r="AB59" s="411"/>
      <c r="AC59" s="411"/>
      <c r="AD59" s="411"/>
      <c r="AE59" s="411"/>
      <c r="AF59" s="411"/>
      <c r="AG59" s="411"/>
      <c r="AH59" s="411"/>
      <c r="AI59" s="411"/>
      <c r="AJ59" s="411"/>
      <c r="AK59" s="411"/>
      <c r="AL59" s="411"/>
      <c r="AM59" s="411"/>
      <c r="AN59" s="411"/>
      <c r="AO59" s="411"/>
      <c r="AP59" s="411"/>
      <c r="AQ59" s="411"/>
      <c r="AR59" s="411"/>
      <c r="AS59" s="411"/>
      <c r="AT59" s="411"/>
      <c r="AU59" s="411"/>
      <c r="AV59" s="411"/>
      <c r="AW59" s="411"/>
    </row>
    <row r="60" spans="2:56" s="54" customFormat="1" ht="24.6" customHeight="1" thickBot="1">
      <c r="B60" s="441"/>
      <c r="C60" s="451"/>
      <c r="D60" s="452"/>
      <c r="E60" s="453"/>
      <c r="F60" s="454"/>
      <c r="G60" s="452"/>
      <c r="H60" s="412"/>
      <c r="I60" s="455"/>
      <c r="J60" s="456"/>
      <c r="K60" s="457"/>
      <c r="L60" s="458"/>
      <c r="M60" s="459"/>
      <c r="N60" s="273"/>
      <c r="O60" s="450"/>
      <c r="P60" s="50"/>
      <c r="S60" s="273"/>
      <c r="T60" s="411"/>
      <c r="U60" s="411"/>
      <c r="V60" s="411"/>
      <c r="W60" s="411"/>
      <c r="X60" s="411"/>
      <c r="Y60" s="411"/>
      <c r="Z60" s="411"/>
      <c r="AA60" s="411"/>
      <c r="AB60" s="411"/>
      <c r="AC60" s="411"/>
      <c r="AD60" s="411"/>
      <c r="AE60" s="41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411"/>
      <c r="AQ60" s="411"/>
      <c r="AR60" s="411"/>
      <c r="AS60" s="411"/>
      <c r="AT60" s="411"/>
      <c r="AU60" s="411"/>
      <c r="AV60" s="411"/>
      <c r="AW60" s="411"/>
    </row>
    <row r="61" spans="2:56" s="54" customFormat="1" ht="42.6" customHeight="1" thickBot="1">
      <c r="B61" s="388" t="str">
        <f>B68</f>
        <v>CARIB</v>
      </c>
      <c r="C61" s="442">
        <v>45663</v>
      </c>
      <c r="D61" s="443">
        <f>[23]January_2025!$I$3</f>
        <v>201</v>
      </c>
      <c r="E61" s="444"/>
      <c r="F61" s="445"/>
      <c r="G61" s="443">
        <f>[23]January_2025!$I$7</f>
        <v>150.69999999999999</v>
      </c>
      <c r="H61" s="446"/>
      <c r="I61" s="446"/>
      <c r="J61" s="391" t="s">
        <v>177</v>
      </c>
      <c r="K61" s="460">
        <f>[24]January_2025!$I$18</f>
        <v>0.52877192982456134</v>
      </c>
      <c r="L61" s="461">
        <f>(((D61+E61)-G61)/(D61+E61))*100</f>
        <v>25.024875621890551</v>
      </c>
      <c r="M61" s="449" t="s">
        <v>179</v>
      </c>
      <c r="N61" s="273"/>
      <c r="O61" s="450"/>
      <c r="P61" s="50"/>
      <c r="S61" s="273"/>
      <c r="T61" s="411"/>
      <c r="U61" s="411"/>
      <c r="V61" s="411"/>
      <c r="W61" s="411"/>
      <c r="X61" s="411"/>
      <c r="Y61" s="411"/>
      <c r="Z61" s="411"/>
      <c r="AA61" s="411"/>
      <c r="AB61" s="411"/>
      <c r="AC61" s="411"/>
      <c r="AD61" s="411"/>
      <c r="AE61" s="411"/>
      <c r="AF61" s="411"/>
      <c r="AG61" s="411"/>
      <c r="AH61" s="411"/>
      <c r="AI61" s="411"/>
      <c r="AJ61" s="411"/>
      <c r="AK61" s="411"/>
      <c r="AL61" s="411"/>
      <c r="AM61" s="411"/>
      <c r="AN61" s="411"/>
      <c r="AO61" s="411"/>
      <c r="AP61" s="411"/>
      <c r="AQ61" s="411"/>
      <c r="AR61" s="411"/>
      <c r="AS61" s="411"/>
      <c r="AT61" s="411"/>
      <c r="AU61" s="411"/>
      <c r="AV61" s="411"/>
      <c r="AW61" s="411"/>
    </row>
    <row r="62" spans="2:56" s="54" customFormat="1" ht="24.6" hidden="1" customHeight="1" thickBot="1">
      <c r="B62" s="462"/>
      <c r="C62" s="463"/>
      <c r="D62" s="464"/>
      <c r="E62" s="465"/>
      <c r="F62" s="466"/>
      <c r="G62" s="464"/>
      <c r="H62" s="467"/>
      <c r="I62" s="468"/>
      <c r="J62" s="469"/>
      <c r="K62" s="470"/>
      <c r="L62" s="471"/>
      <c r="M62" s="472"/>
      <c r="N62" s="273"/>
      <c r="O62" s="450"/>
      <c r="P62" s="50"/>
      <c r="S62" s="273"/>
      <c r="T62" s="411"/>
      <c r="U62" s="411"/>
      <c r="V62" s="411"/>
      <c r="W62" s="411"/>
      <c r="X62" s="411"/>
      <c r="Y62" s="411"/>
      <c r="Z62" s="411"/>
      <c r="AA62" s="411"/>
      <c r="AB62" s="411"/>
      <c r="AC62" s="411"/>
      <c r="AD62" s="411"/>
      <c r="AE62" s="411"/>
      <c r="AF62" s="411"/>
      <c r="AG62" s="411"/>
      <c r="AH62" s="411"/>
      <c r="AI62" s="411"/>
      <c r="AJ62" s="411"/>
      <c r="AK62" s="411"/>
      <c r="AL62" s="411"/>
      <c r="AM62" s="411"/>
      <c r="AN62" s="411"/>
      <c r="AO62" s="411"/>
      <c r="AP62" s="411"/>
      <c r="AQ62" s="411"/>
      <c r="AR62" s="411"/>
      <c r="AS62" s="411"/>
      <c r="AT62" s="411"/>
      <c r="AU62" s="411"/>
      <c r="AV62" s="411"/>
      <c r="AW62" s="411"/>
    </row>
    <row r="63" spans="2:56" s="54" customFormat="1" ht="42.6" hidden="1" customHeight="1" thickBot="1">
      <c r="B63" s="473"/>
      <c r="C63" s="442"/>
      <c r="D63" s="443"/>
      <c r="E63" s="444"/>
      <c r="F63" s="445"/>
      <c r="G63" s="443"/>
      <c r="H63" s="474"/>
      <c r="I63" s="383"/>
      <c r="J63" s="475" t="s">
        <v>160</v>
      </c>
      <c r="K63" s="476"/>
      <c r="L63" s="477" t="e">
        <f>(((D63+E63)-G63)/(D63+E63))*100</f>
        <v>#DIV/0!</v>
      </c>
      <c r="M63" s="449" t="s">
        <v>161</v>
      </c>
      <c r="N63" s="273"/>
      <c r="O63" s="450"/>
      <c r="P63" s="50"/>
      <c r="S63" s="273"/>
      <c r="T63" s="411"/>
      <c r="U63" s="411"/>
      <c r="V63" s="411"/>
      <c r="W63" s="411"/>
      <c r="X63" s="411"/>
      <c r="Y63" s="411"/>
      <c r="Z63" s="411"/>
      <c r="AA63" s="411"/>
      <c r="AB63" s="411"/>
      <c r="AC63" s="411"/>
      <c r="AD63" s="411"/>
      <c r="AE63" s="411"/>
      <c r="AF63" s="411"/>
      <c r="AG63" s="411"/>
      <c r="AH63" s="411"/>
      <c r="AI63" s="411"/>
      <c r="AJ63" s="411"/>
      <c r="AK63" s="411"/>
      <c r="AL63" s="411"/>
      <c r="AM63" s="411"/>
      <c r="AN63" s="411"/>
      <c r="AO63" s="411"/>
      <c r="AP63" s="411"/>
      <c r="AQ63" s="411"/>
      <c r="AR63" s="411"/>
      <c r="AS63" s="411"/>
      <c r="AT63" s="411"/>
      <c r="AU63" s="411"/>
      <c r="AV63" s="411"/>
      <c r="AW63" s="411"/>
    </row>
    <row r="64" spans="2:56" ht="14.4" thickBot="1">
      <c r="B64" s="478"/>
      <c r="C64" s="479"/>
      <c r="D64" s="410"/>
      <c r="E64" s="410"/>
      <c r="F64" s="410"/>
      <c r="G64" s="410"/>
      <c r="H64" s="480"/>
      <c r="I64" s="354"/>
      <c r="J64" s="52"/>
      <c r="K64" s="52"/>
      <c r="L64" s="481"/>
      <c r="M64" s="482"/>
      <c r="N64" s="77"/>
      <c r="O64" s="13"/>
      <c r="P64" s="56"/>
    </row>
    <row r="65" spans="2:16" ht="14.4" thickBot="1">
      <c r="B65" s="58"/>
      <c r="C65" s="310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9"/>
      <c r="O65" s="56"/>
      <c r="P65" s="60"/>
    </row>
    <row r="66" spans="2:16" ht="14.4" thickBot="1">
      <c r="B66" s="610" t="s">
        <v>55</v>
      </c>
      <c r="C66" s="611"/>
      <c r="D66" s="611"/>
      <c r="E66" s="611"/>
      <c r="F66" s="612"/>
      <c r="G66" s="610" t="s">
        <v>56</v>
      </c>
      <c r="H66" s="611"/>
      <c r="I66" s="611"/>
      <c r="J66" s="612"/>
      <c r="K66" s="610" t="s">
        <v>51</v>
      </c>
      <c r="L66" s="611"/>
      <c r="M66" s="611"/>
      <c r="N66" s="613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76">
        <f>L61</f>
        <v>25.024875621890551</v>
      </c>
      <c r="D68" s="76"/>
      <c r="E68" s="76"/>
      <c r="F68" s="66">
        <v>4.8</v>
      </c>
      <c r="G68" s="76">
        <f>[23]January_2025!$I$11</f>
        <v>24.597492991070709</v>
      </c>
      <c r="H68" s="76"/>
      <c r="I68" s="76"/>
      <c r="J68" s="66">
        <v>4.8</v>
      </c>
      <c r="K68" s="194">
        <f>K61</f>
        <v>0.52877192982456134</v>
      </c>
      <c r="L68" s="194"/>
      <c r="M68" s="194"/>
      <c r="N68" s="68">
        <v>1</v>
      </c>
      <c r="O68" s="56"/>
      <c r="P68" s="69"/>
    </row>
    <row r="69" spans="2:16" ht="14.25" customHeight="1">
      <c r="B69" s="33" t="s">
        <v>9</v>
      </c>
      <c r="C69" s="76">
        <f>L59</f>
        <v>16.318367713810616</v>
      </c>
      <c r="D69" s="76"/>
      <c r="E69" s="76"/>
      <c r="F69" s="66">
        <v>4.8</v>
      </c>
      <c r="G69" s="76">
        <f>[23]January_2025!$I$21</f>
        <v>16.453447023392851</v>
      </c>
      <c r="H69" s="76"/>
      <c r="I69" s="76"/>
      <c r="J69" s="66">
        <v>4.8</v>
      </c>
      <c r="K69" s="194">
        <f>K59</f>
        <v>1.3066666666666666</v>
      </c>
      <c r="L69" s="194"/>
      <c r="M69" s="194"/>
      <c r="N69" s="68">
        <v>1</v>
      </c>
      <c r="P69" s="69"/>
    </row>
    <row r="70" spans="2:16" ht="14.25" customHeight="1">
      <c r="B70" s="34" t="s">
        <v>40</v>
      </c>
      <c r="C70" s="76"/>
      <c r="D70" s="76"/>
      <c r="E70" s="76"/>
      <c r="F70" s="66">
        <v>5.5</v>
      </c>
      <c r="G70" s="76"/>
      <c r="H70" s="76"/>
      <c r="I70" s="76"/>
      <c r="J70" s="66">
        <v>5.5</v>
      </c>
      <c r="K70" s="194"/>
      <c r="L70" s="194"/>
      <c r="M70" s="194"/>
      <c r="N70" s="68">
        <v>1</v>
      </c>
      <c r="P70" s="69"/>
    </row>
    <row r="71" spans="2:16" ht="14.25" customHeight="1">
      <c r="B71" s="22" t="s">
        <v>33</v>
      </c>
      <c r="C71" s="76"/>
      <c r="D71" s="76"/>
      <c r="E71" s="76"/>
      <c r="F71" s="66">
        <v>3.3</v>
      </c>
      <c r="G71" s="76"/>
      <c r="H71" s="76"/>
      <c r="I71" s="76"/>
      <c r="J71" s="66">
        <v>3.3</v>
      </c>
      <c r="K71" s="194"/>
      <c r="L71" s="194"/>
      <c r="M71" s="194"/>
      <c r="N71" s="68">
        <v>1</v>
      </c>
      <c r="P71" s="69"/>
    </row>
    <row r="72" spans="2:16" ht="14.25" customHeight="1" thickBot="1">
      <c r="B72" s="38" t="s">
        <v>162</v>
      </c>
      <c r="C72" s="76"/>
      <c r="D72" s="76"/>
      <c r="E72" s="76"/>
      <c r="F72" s="66">
        <v>3.3</v>
      </c>
      <c r="G72" s="76"/>
      <c r="H72" s="76"/>
      <c r="I72" s="76"/>
      <c r="J72" s="66">
        <v>3</v>
      </c>
      <c r="K72" s="194"/>
      <c r="L72" s="194"/>
      <c r="M72" s="194"/>
      <c r="N72" s="68">
        <v>1</v>
      </c>
      <c r="P72" s="69"/>
    </row>
    <row r="73" spans="2:16" ht="14.25" customHeight="1">
      <c r="B73" s="36" t="s">
        <v>15</v>
      </c>
      <c r="C73" s="76"/>
      <c r="D73" s="76"/>
      <c r="E73" s="76"/>
      <c r="F73" s="70">
        <f>[21]May_2022!$M$43</f>
        <v>3.4878406700073312</v>
      </c>
      <c r="G73" s="76"/>
      <c r="H73" s="76"/>
      <c r="I73" s="76"/>
      <c r="J73" s="70">
        <v>5.5</v>
      </c>
      <c r="K73" s="194"/>
      <c r="L73" s="194"/>
      <c r="M73" s="194"/>
      <c r="N73" s="68">
        <v>1</v>
      </c>
      <c r="P73" s="69"/>
    </row>
    <row r="74" spans="2:16" ht="14.25" customHeight="1">
      <c r="B74" s="37" t="s">
        <v>16</v>
      </c>
      <c r="C74" s="76"/>
      <c r="D74" s="76"/>
      <c r="E74" s="76"/>
      <c r="F74" s="70">
        <v>3.3</v>
      </c>
      <c r="G74" s="76"/>
      <c r="H74" s="76"/>
      <c r="I74" s="76"/>
      <c r="J74" s="70">
        <v>3.3</v>
      </c>
      <c r="K74" s="194"/>
      <c r="L74" s="194"/>
      <c r="M74" s="194"/>
      <c r="N74" s="71">
        <v>1</v>
      </c>
      <c r="P74" s="69"/>
    </row>
    <row r="75" spans="2:16" ht="15" customHeight="1" thickBot="1">
      <c r="B75" s="38" t="s">
        <v>163</v>
      </c>
      <c r="C75" s="76"/>
      <c r="D75" s="76"/>
      <c r="E75" s="76"/>
      <c r="F75" s="72">
        <v>7.5</v>
      </c>
      <c r="G75" s="76"/>
      <c r="H75" s="76"/>
      <c r="I75" s="76"/>
      <c r="J75" s="72">
        <v>7.5</v>
      </c>
      <c r="K75" s="194"/>
      <c r="L75" s="194"/>
      <c r="M75" s="194"/>
      <c r="N75" s="71">
        <v>1</v>
      </c>
      <c r="P75" s="69"/>
    </row>
    <row r="76" spans="2:16">
      <c r="D76" s="76"/>
      <c r="E76" s="76"/>
      <c r="F76" s="483">
        <v>5</v>
      </c>
      <c r="G76" s="74"/>
      <c r="H76" s="76"/>
      <c r="I76" s="76"/>
      <c r="J76" s="484">
        <v>5</v>
      </c>
      <c r="L76" s="194"/>
      <c r="M76" s="194"/>
      <c r="N76" s="485">
        <v>1</v>
      </c>
      <c r="O76" s="74"/>
      <c r="P76" s="75"/>
    </row>
  </sheetData>
  <mergeCells count="54">
    <mergeCell ref="B66:F66"/>
    <mergeCell ref="G66:J66"/>
    <mergeCell ref="K66:N66"/>
    <mergeCell ref="H57:H58"/>
    <mergeCell ref="I57:I58"/>
    <mergeCell ref="J57:J58"/>
    <mergeCell ref="K57:K58"/>
    <mergeCell ref="L57:L58"/>
    <mergeCell ref="M57:M58"/>
    <mergeCell ref="B57:B58"/>
    <mergeCell ref="C57:C58"/>
    <mergeCell ref="D57:D58"/>
    <mergeCell ref="E57:E58"/>
    <mergeCell ref="F57:F58"/>
    <mergeCell ref="G57:G58"/>
    <mergeCell ref="L43:N43"/>
    <mergeCell ref="D44:E45"/>
    <mergeCell ref="D46:E47"/>
    <mergeCell ref="D48:E49"/>
    <mergeCell ref="D50:E51"/>
    <mergeCell ref="D52:E52"/>
    <mergeCell ref="D37:E38"/>
    <mergeCell ref="D39:E40"/>
    <mergeCell ref="D41:E41"/>
    <mergeCell ref="B42:B51"/>
    <mergeCell ref="D42:E43"/>
    <mergeCell ref="J42:K42"/>
    <mergeCell ref="L8:L9"/>
    <mergeCell ref="O8:O9"/>
    <mergeCell ref="P8:P9"/>
    <mergeCell ref="I27:N27"/>
    <mergeCell ref="I8:I9"/>
    <mergeCell ref="J8:J9"/>
    <mergeCell ref="K8:K9"/>
    <mergeCell ref="D28:E28"/>
    <mergeCell ref="B29:B41"/>
    <mergeCell ref="D29:E30"/>
    <mergeCell ref="D31:E32"/>
    <mergeCell ref="D33:E34"/>
    <mergeCell ref="D35:E36"/>
    <mergeCell ref="B8:B9"/>
    <mergeCell ref="C8:C9"/>
    <mergeCell ref="D8:D9"/>
    <mergeCell ref="G8:G9"/>
    <mergeCell ref="H8:H9"/>
    <mergeCell ref="U1:V1"/>
    <mergeCell ref="W1:X1"/>
    <mergeCell ref="Y1:Z1"/>
    <mergeCell ref="B2:O2"/>
    <mergeCell ref="J6:K7"/>
    <mergeCell ref="M4:N4"/>
    <mergeCell ref="S1:T1"/>
    <mergeCell ref="C4:D4"/>
    <mergeCell ref="J4:K5"/>
  </mergeCells>
  <conditionalFormatting sqref="B52:B53">
    <cfRule type="cellIs" dxfId="2542" priority="110" operator="notBetween">
      <formula>#REF!</formula>
      <formula>#REF!</formula>
    </cfRule>
  </conditionalFormatting>
  <conditionalFormatting sqref="C56">
    <cfRule type="cellIs" dxfId="2541" priority="122" stopIfTrue="1" operator="greaterThan">
      <formula>100</formula>
    </cfRule>
    <cfRule type="cellIs" dxfId="2540" priority="121" stopIfTrue="1" operator="lessThan">
      <formula>96</formula>
    </cfRule>
  </conditionalFormatting>
  <conditionalFormatting sqref="C68:C75">
    <cfRule type="cellIs" dxfId="2539" priority="74" stopIfTrue="1" operator="lessThanOrEqual">
      <formula>0</formula>
    </cfRule>
    <cfRule type="cellIs" dxfId="2538" priority="73" stopIfTrue="1" operator="greaterThan">
      <formula>$F68</formula>
    </cfRule>
  </conditionalFormatting>
  <conditionalFormatting sqref="D52:D53">
    <cfRule type="cellIs" dxfId="2537" priority="111" operator="notBetween">
      <formula>#REF!</formula>
      <formula>#REF!</formula>
    </cfRule>
  </conditionalFormatting>
  <conditionalFormatting sqref="D68:D75">
    <cfRule type="cellIs" dxfId="2536" priority="101" stopIfTrue="1" operator="lessThanOrEqual">
      <formula>0</formula>
    </cfRule>
  </conditionalFormatting>
  <conditionalFormatting sqref="D76">
    <cfRule type="cellIs" dxfId="2535" priority="100" stopIfTrue="1" operator="lessThanOrEqual">
      <formula>0</formula>
    </cfRule>
  </conditionalFormatting>
  <conditionalFormatting sqref="D68:E76">
    <cfRule type="cellIs" dxfId="2534" priority="95" stopIfTrue="1" operator="greaterThan">
      <formula>$F68</formula>
    </cfRule>
  </conditionalFormatting>
  <conditionalFormatting sqref="E10:E26">
    <cfRule type="cellIs" dxfId="2533" priority="8" operator="lessThan">
      <formula>48</formula>
    </cfRule>
  </conditionalFormatting>
  <conditionalFormatting sqref="E56">
    <cfRule type="cellIs" dxfId="2532" priority="116" stopIfTrue="1" operator="greaterThan">
      <formula>100</formula>
    </cfRule>
    <cfRule type="cellIs" dxfId="2531" priority="115" stopIfTrue="1" operator="lessThan">
      <formula>96.8</formula>
    </cfRule>
  </conditionalFormatting>
  <conditionalFormatting sqref="E68:E76">
    <cfRule type="cellIs" dxfId="2530" priority="96" stopIfTrue="1" operator="lessThanOrEqual">
      <formula>0</formula>
    </cfRule>
  </conditionalFormatting>
  <conditionalFormatting sqref="E55:F56">
    <cfRule type="cellIs" dxfId="2529" priority="118" stopIfTrue="1" operator="greaterThan">
      <formula>100</formula>
    </cfRule>
    <cfRule type="cellIs" dxfId="2528" priority="117" stopIfTrue="1" operator="lessThan">
      <formula>96.5</formula>
    </cfRule>
  </conditionalFormatting>
  <conditionalFormatting sqref="F10:F26">
    <cfRule type="cellIs" dxfId="2527" priority="10" operator="greaterThan">
      <formula>60</formula>
    </cfRule>
  </conditionalFormatting>
  <conditionalFormatting sqref="F56">
    <cfRule type="cellIs" dxfId="2526" priority="119" stopIfTrue="1" operator="lessThan">
      <formula>96.8</formula>
    </cfRule>
    <cfRule type="cellIs" dxfId="2525" priority="120" stopIfTrue="1" operator="greaterThan">
      <formula>100</formula>
    </cfRule>
  </conditionalFormatting>
  <conditionalFormatting sqref="F76">
    <cfRule type="cellIs" dxfId="2524" priority="97" stopIfTrue="1" operator="greaterThan">
      <formula>$F76</formula>
    </cfRule>
    <cfRule type="cellIs" dxfId="2523" priority="98" stopIfTrue="1" operator="lessThanOrEqual">
      <formula>0</formula>
    </cfRule>
  </conditionalFormatting>
  <conditionalFormatting sqref="G76">
    <cfRule type="cellIs" dxfId="2522" priority="102" operator="greaterThan">
      <formula>4.5</formula>
    </cfRule>
  </conditionalFormatting>
  <conditionalFormatting sqref="G10:H26">
    <cfRule type="expression" dxfId="2521" priority="3">
      <formula>IF(+(IF(G10&lt;#REF!,0,IF(G10&gt;#REF!,0,1)))=0,1)</formula>
    </cfRule>
  </conditionalFormatting>
  <conditionalFormatting sqref="G42:H42 G43:G53">
    <cfRule type="cellIs" dxfId="2520" priority="114" stopIfTrue="1" operator="greaterThan">
      <formula>0</formula>
    </cfRule>
  </conditionalFormatting>
  <conditionalFormatting sqref="G68:H75">
    <cfRule type="cellIs" dxfId="2519" priority="72" stopIfTrue="1" operator="lessThanOrEqual">
      <formula>0</formula>
    </cfRule>
    <cfRule type="cellIs" dxfId="2518" priority="71" stopIfTrue="1" operator="greaterThan">
      <formula>$J68</formula>
    </cfRule>
  </conditionalFormatting>
  <conditionalFormatting sqref="H30:H41">
    <cfRule type="cellIs" dxfId="2517" priority="112" stopIfTrue="1" operator="greaterThan">
      <formula>0</formula>
    </cfRule>
  </conditionalFormatting>
  <conditionalFormatting sqref="H59">
    <cfRule type="cellIs" dxfId="2516" priority="65" stopIfTrue="1" operator="greaterThan">
      <formula>$F$52</formula>
    </cfRule>
    <cfRule type="cellIs" dxfId="2515" priority="69" stopIfTrue="1" operator="greaterThan">
      <formula>$F$53</formula>
    </cfRule>
    <cfRule type="cellIs" dxfId="2514" priority="70" stopIfTrue="1" operator="lessThanOrEqual">
      <formula>0</formula>
    </cfRule>
    <cfRule type="cellIs" dxfId="2513" priority="68" stopIfTrue="1" operator="lessThanOrEqual">
      <formula>0</formula>
    </cfRule>
    <cfRule type="cellIs" dxfId="2512" priority="66" stopIfTrue="1" operator="lessThanOrEqual">
      <formula>0</formula>
    </cfRule>
    <cfRule type="cellIs" dxfId="2511" priority="67" stopIfTrue="1" operator="greaterThan">
      <formula>$F$55</formula>
    </cfRule>
  </conditionalFormatting>
  <conditionalFormatting sqref="H60 H62">
    <cfRule type="cellIs" dxfId="2510" priority="80" stopIfTrue="1" operator="greaterThan">
      <formula>#REF!</formula>
    </cfRule>
    <cfRule type="cellIs" dxfId="2509" priority="79" stopIfTrue="1" operator="lessThanOrEqual">
      <formula>0</formula>
    </cfRule>
  </conditionalFormatting>
  <conditionalFormatting sqref="H61">
    <cfRule type="cellIs" dxfId="2508" priority="53" stopIfTrue="1" operator="greaterThan">
      <formula>$F$52</formula>
    </cfRule>
    <cfRule type="cellIs" dxfId="2507" priority="61" stopIfTrue="1" operator="greaterThan">
      <formula>$F$55</formula>
    </cfRule>
    <cfRule type="cellIs" dxfId="2506" priority="62" stopIfTrue="1" operator="lessThanOrEqual">
      <formula>0</formula>
    </cfRule>
    <cfRule type="cellIs" dxfId="2505" priority="64" stopIfTrue="1" operator="lessThanOrEqual">
      <formula>0</formula>
    </cfRule>
    <cfRule type="cellIs" dxfId="2504" priority="63" stopIfTrue="1" operator="greaterThan">
      <formula>$F$53</formula>
    </cfRule>
    <cfRule type="cellIs" dxfId="2503" priority="52" stopIfTrue="1" operator="lessThanOrEqual">
      <formula>0</formula>
    </cfRule>
  </conditionalFormatting>
  <conditionalFormatting sqref="H63">
    <cfRule type="cellIs" dxfId="2502" priority="50" stopIfTrue="1" operator="lessThanOrEqual">
      <formula>0</formula>
    </cfRule>
    <cfRule type="cellIs" dxfId="2501" priority="48" stopIfTrue="1" operator="lessThanOrEqual">
      <formula>0</formula>
    </cfRule>
    <cfRule type="cellIs" dxfId="2500" priority="47" stopIfTrue="1" operator="greaterThan">
      <formula>$F$55</formula>
    </cfRule>
    <cfRule type="cellIs" dxfId="2499" priority="39" stopIfTrue="1" operator="greaterThan">
      <formula>$F$52</formula>
    </cfRule>
    <cfRule type="cellIs" dxfId="2498" priority="38" stopIfTrue="1" operator="lessThanOrEqual">
      <formula>0</formula>
    </cfRule>
    <cfRule type="cellIs" dxfId="2497" priority="49" stopIfTrue="1" operator="greaterThan">
      <formula>$F$53</formula>
    </cfRule>
  </conditionalFormatting>
  <conditionalFormatting sqref="H64">
    <cfRule type="cellIs" dxfId="2496" priority="106" stopIfTrue="1" operator="greaterThan">
      <formula>$F$65</formula>
    </cfRule>
    <cfRule type="cellIs" dxfId="2495" priority="107" stopIfTrue="1" operator="lessThanOrEqual">
      <formula>0</formula>
    </cfRule>
    <cfRule type="cellIs" dxfId="2494" priority="108" stopIfTrue="1" operator="greaterThan">
      <formula>#REF!</formula>
    </cfRule>
    <cfRule type="cellIs" dxfId="2493" priority="109" stopIfTrue="1" operator="lessThanOrEqual">
      <formula>0</formula>
    </cfRule>
  </conditionalFormatting>
  <conditionalFormatting sqref="H76">
    <cfRule type="cellIs" dxfId="2492" priority="92" operator="greaterThan">
      <formula>5.3</formula>
    </cfRule>
  </conditionalFormatting>
  <conditionalFormatting sqref="H59:I59">
    <cfRule type="cellIs" dxfId="2491" priority="36" stopIfTrue="1" operator="lessThanOrEqual">
      <formula>0</formula>
    </cfRule>
    <cfRule type="cellIs" dxfId="2490" priority="33" stopIfTrue="1" operator="greaterThan">
      <formula>$F$54</formula>
    </cfRule>
  </conditionalFormatting>
  <conditionalFormatting sqref="H60:I60 H62:I62">
    <cfRule type="cellIs" dxfId="2489" priority="81" stopIfTrue="1" operator="lessThanOrEqual">
      <formula>0</formula>
    </cfRule>
    <cfRule type="cellIs" dxfId="2488" priority="86" stopIfTrue="1" operator="greaterThan">
      <formula>#REF!</formula>
    </cfRule>
    <cfRule type="cellIs" dxfId="2487" priority="87" stopIfTrue="1" operator="lessThanOrEqual">
      <formula>0</formula>
    </cfRule>
    <cfRule type="cellIs" dxfId="2486" priority="82" stopIfTrue="1" operator="greaterThan">
      <formula>#REF!</formula>
    </cfRule>
    <cfRule type="cellIs" dxfId="2485" priority="78" stopIfTrue="1" operator="greaterThan">
      <formula>#REF!</formula>
    </cfRule>
  </conditionalFormatting>
  <conditionalFormatting sqref="H61:I61">
    <cfRule type="cellIs" dxfId="2484" priority="51" stopIfTrue="1" operator="greaterThan">
      <formula>$F$54</formula>
    </cfRule>
    <cfRule type="cellIs" dxfId="2483" priority="54" stopIfTrue="1" operator="lessThanOrEqual">
      <formula>0</formula>
    </cfRule>
  </conditionalFormatting>
  <conditionalFormatting sqref="H63:I63">
    <cfRule type="cellIs" dxfId="2482" priority="37" stopIfTrue="1" operator="greaterThan">
      <formula>$F$54</formula>
    </cfRule>
    <cfRule type="cellIs" dxfId="2481" priority="40" stopIfTrue="1" operator="lessThanOrEqual">
      <formula>0</formula>
    </cfRule>
  </conditionalFormatting>
  <conditionalFormatting sqref="I59">
    <cfRule type="cellIs" dxfId="2480" priority="30" stopIfTrue="1" operator="lessThanOrEqual">
      <formula>0</formula>
    </cfRule>
    <cfRule type="cellIs" dxfId="2479" priority="31" stopIfTrue="1" operator="greaterThan">
      <formula>$F$52</formula>
    </cfRule>
    <cfRule type="cellIs" dxfId="2478" priority="32" stopIfTrue="1" operator="lessThanOrEqual">
      <formula>0</formula>
    </cfRule>
    <cfRule type="cellIs" dxfId="2477" priority="35" stopIfTrue="1" operator="greaterThan">
      <formula>$F$52</formula>
    </cfRule>
    <cfRule type="cellIs" dxfId="2476" priority="34" stopIfTrue="1" operator="lessThanOrEqual">
      <formula>0</formula>
    </cfRule>
    <cfRule type="cellIs" dxfId="2475" priority="29" stopIfTrue="1" operator="greaterThan">
      <formula>$F$54</formula>
    </cfRule>
  </conditionalFormatting>
  <conditionalFormatting sqref="I60 I62">
    <cfRule type="cellIs" dxfId="2474" priority="83" stopIfTrue="1" operator="lessThanOrEqual">
      <formula>0</formula>
    </cfRule>
    <cfRule type="cellIs" dxfId="2473" priority="84" stopIfTrue="1" operator="greaterThan">
      <formula>#REF!</formula>
    </cfRule>
    <cfRule type="cellIs" dxfId="2472" priority="85" stopIfTrue="1" operator="lessThanOrEqual">
      <formula>0</formula>
    </cfRule>
  </conditionalFormatting>
  <conditionalFormatting sqref="I61">
    <cfRule type="cellIs" dxfId="2471" priority="56" stopIfTrue="1" operator="lessThanOrEqual">
      <formula>0</formula>
    </cfRule>
    <cfRule type="cellIs" dxfId="2470" priority="60" stopIfTrue="1" operator="lessThanOrEqual">
      <formula>0</formula>
    </cfRule>
    <cfRule type="cellIs" dxfId="2469" priority="59" stopIfTrue="1" operator="greaterThan">
      <formula>$F$52</formula>
    </cfRule>
    <cfRule type="cellIs" dxfId="2468" priority="57" stopIfTrue="1" operator="greaterThan">
      <formula>$F$54</formula>
    </cfRule>
    <cfRule type="cellIs" dxfId="2467" priority="58" stopIfTrue="1" operator="lessThanOrEqual">
      <formula>0</formula>
    </cfRule>
    <cfRule type="cellIs" dxfId="2466" priority="55" stopIfTrue="1" operator="greaterThan">
      <formula>$F$52</formula>
    </cfRule>
  </conditionalFormatting>
  <conditionalFormatting sqref="I63">
    <cfRule type="cellIs" dxfId="2465" priority="46" stopIfTrue="1" operator="lessThanOrEqual">
      <formula>0</formula>
    </cfRule>
    <cfRule type="cellIs" dxfId="2464" priority="45" stopIfTrue="1" operator="greaterThan">
      <formula>$F$52</formula>
    </cfRule>
    <cfRule type="cellIs" dxfId="2463" priority="44" stopIfTrue="1" operator="lessThanOrEqual">
      <formula>0</formula>
    </cfRule>
    <cfRule type="cellIs" dxfId="2462" priority="43" stopIfTrue="1" operator="greaterThan">
      <formula>$F$54</formula>
    </cfRule>
    <cfRule type="cellIs" dxfId="2461" priority="42" stopIfTrue="1" operator="lessThanOrEqual">
      <formula>0</formula>
    </cfRule>
    <cfRule type="cellIs" dxfId="2460" priority="41" stopIfTrue="1" operator="greaterThan">
      <formula>$F$52</formula>
    </cfRule>
  </conditionalFormatting>
  <conditionalFormatting sqref="I68:I76">
    <cfRule type="cellIs" dxfId="2459" priority="93" stopIfTrue="1" operator="greaterThan">
      <formula>$J68</formula>
    </cfRule>
    <cfRule type="cellIs" dxfId="2458" priority="94" stopIfTrue="1" operator="lessThanOrEqual">
      <formula>0</formula>
    </cfRule>
  </conditionalFormatting>
  <conditionalFormatting sqref="I10:J26">
    <cfRule type="cellIs" dxfId="2457" priority="11" operator="lessThan">
      <formula>97.9</formula>
    </cfRule>
  </conditionalFormatting>
  <conditionalFormatting sqref="J29:J38">
    <cfRule type="cellIs" dxfId="2456" priority="88" operator="lessThan">
      <formula>98</formula>
    </cfRule>
  </conditionalFormatting>
  <conditionalFormatting sqref="K10:K26">
    <cfRule type="cellIs" dxfId="2455" priority="9" operator="greaterThan">
      <formula>6.4</formula>
    </cfRule>
    <cfRule type="cellIs" dxfId="2454" priority="4" operator="greaterThan">
      <formula>6</formula>
    </cfRule>
    <cfRule type="cellIs" dxfId="2453" priority="5" operator="lessThan">
      <formula>4</formula>
    </cfRule>
  </conditionalFormatting>
  <conditionalFormatting sqref="K44:K53">
    <cfRule type="cellIs" dxfId="2452" priority="99" operator="notEqual">
      <formula>#REF!</formula>
    </cfRule>
  </conditionalFormatting>
  <conditionalFormatting sqref="K59:K63 J64:K64 K68:N75 L76:N76">
    <cfRule type="cellIs" dxfId="2451" priority="105" stopIfTrue="1" operator="lessThan">
      <formula>100%</formula>
    </cfRule>
  </conditionalFormatting>
  <conditionalFormatting sqref="L10:L26">
    <cfRule type="cellIs" dxfId="2450" priority="7" operator="greaterThan">
      <formula>65</formula>
    </cfRule>
    <cfRule type="cellIs" dxfId="2449" priority="6" operator="between">
      <formula>61</formula>
      <formula>65</formula>
    </cfRule>
  </conditionalFormatting>
  <conditionalFormatting sqref="L29:M39">
    <cfRule type="cellIs" dxfId="2448" priority="28" operator="lessThan">
      <formula>98</formula>
    </cfRule>
  </conditionalFormatting>
  <conditionalFormatting sqref="L41:M41">
    <cfRule type="cellIs" dxfId="2447" priority="91" operator="lessThan">
      <formula>98</formula>
    </cfRule>
  </conditionalFormatting>
  <conditionalFormatting sqref="L45:N45">
    <cfRule type="cellIs" dxfId="2446" priority="75" operator="notEqual">
      <formula>#REF!</formula>
    </cfRule>
  </conditionalFormatting>
  <conditionalFormatting sqref="M10:M26">
    <cfRule type="expression" dxfId="2445" priority="1">
      <formula>IF(+(IF(M10&lt;U10,0,IF(M10&gt;V10,0,1)))=0,1)</formula>
    </cfRule>
  </conditionalFormatting>
  <conditionalFormatting sqref="M6:N6">
    <cfRule type="cellIs" dxfId="2444" priority="89" operator="greaterThanOrEqual">
      <formula>15</formula>
    </cfRule>
    <cfRule type="cellIs" dxfId="2443" priority="90" operator="greaterThanOrEqual">
      <formula>19</formula>
    </cfRule>
  </conditionalFormatting>
  <conditionalFormatting sqref="N10:N26">
    <cfRule type="expression" dxfId="2442" priority="2">
      <formula>IF(+(IF(N10&lt;W10,0,IF(N10&gt;X10,0,1)))=0,1)</formula>
    </cfRule>
  </conditionalFormatting>
  <conditionalFormatting sqref="P6">
    <cfRule type="cellIs" dxfId="2441" priority="113" operator="greaterThanOrEqual">
      <formula>19</formula>
    </cfRule>
  </conditionalFormatting>
  <dataValidations count="1">
    <dataValidation type="list" allowBlank="1" showInputMessage="1" showErrorMessage="1" sqref="R8" xr:uid="{E2E7F97D-2F28-4DF7-89A7-FE4322061982}">
      <formula1>ProductList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090-A14B-4325-9DDC-7A85EA7DFFA4}">
  <dimension ref="A1:BD98"/>
  <sheetViews>
    <sheetView topLeftCell="A59" zoomScale="80" zoomScaleNormal="80" workbookViewId="0">
      <selection activeCell="G57" sqref="G57"/>
    </sheetView>
  </sheetViews>
  <sheetFormatPr defaultColWidth="9.44140625" defaultRowHeight="13.8"/>
  <cols>
    <col min="1" max="1" width="3.44140625" style="276" customWidth="1"/>
    <col min="2" max="2" width="23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4.6640625" style="276" customWidth="1"/>
    <col min="10" max="10" width="25.109375" style="276" customWidth="1"/>
    <col min="11" max="11" width="18.5546875" style="276" customWidth="1"/>
    <col min="12" max="12" width="15.6640625" style="276" customWidth="1"/>
    <col min="13" max="13" width="17.5546875" style="276" customWidth="1"/>
    <col min="14" max="14" width="10.6640625" style="276" customWidth="1"/>
    <col min="15" max="15" width="14.5546875" style="276" customWidth="1"/>
    <col min="16" max="16" width="36.5546875" style="6" customWidth="1"/>
    <col min="17" max="17" width="16.5546875" style="276" customWidth="1"/>
    <col min="18" max="18" width="15.6640625" style="276" bestFit="1" customWidth="1"/>
    <col min="19" max="19" width="12.44140625" style="276" customWidth="1"/>
    <col min="20" max="20" width="15" style="276" customWidth="1"/>
    <col min="21" max="21" width="12" style="276" customWidth="1"/>
    <col min="22" max="22" width="10.44140625" style="276" customWidth="1"/>
    <col min="23" max="23" width="11.44140625" style="276" customWidth="1"/>
    <col min="24" max="24" width="10.44140625" style="276" customWidth="1"/>
    <col min="25" max="25" width="8.44140625" style="276" customWidth="1"/>
    <col min="26" max="26" width="9.5546875" style="276" customWidth="1"/>
    <col min="27" max="27" width="8.44140625" style="276" customWidth="1"/>
    <col min="28" max="29" width="7.5546875" style="276" customWidth="1"/>
    <col min="30" max="51" width="9.44140625" style="276"/>
    <col min="52" max="52" width="1.5546875" style="276" customWidth="1"/>
    <col min="53" max="54" width="9.44140625" style="276"/>
    <col min="55" max="56" width="15.44140625" style="276" customWidth="1"/>
    <col min="57" max="16384" width="9.44140625" style="276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13"/>
      <c r="S1" s="641" t="s">
        <v>0</v>
      </c>
      <c r="T1" s="641"/>
      <c r="U1" s="641" t="s">
        <v>1</v>
      </c>
      <c r="V1" s="641"/>
      <c r="W1" s="641" t="s">
        <v>2</v>
      </c>
      <c r="X1" s="641"/>
      <c r="Y1" s="641" t="s">
        <v>124</v>
      </c>
      <c r="Z1" s="641"/>
    </row>
    <row r="2" spans="2:29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R2" s="413"/>
      <c r="S2" s="413" t="s">
        <v>4</v>
      </c>
      <c r="T2" s="413" t="s">
        <v>5</v>
      </c>
      <c r="U2" s="413" t="s">
        <v>4</v>
      </c>
      <c r="V2" s="413" t="s">
        <v>5</v>
      </c>
      <c r="W2" s="413" t="s">
        <v>4</v>
      </c>
      <c r="X2" s="413" t="s">
        <v>5</v>
      </c>
      <c r="Y2" s="413" t="s">
        <v>4</v>
      </c>
      <c r="Z2" s="413" t="s">
        <v>5</v>
      </c>
    </row>
    <row r="3" spans="2:29" ht="14.25" customHeight="1">
      <c r="B3" s="5"/>
      <c r="R3" s="413" t="s">
        <v>6</v>
      </c>
      <c r="S3" s="414">
        <v>11.6</v>
      </c>
      <c r="T3" s="415">
        <v>12</v>
      </c>
      <c r="U3" s="9">
        <v>0</v>
      </c>
      <c r="V3" s="10">
        <v>0.118055555555556</v>
      </c>
      <c r="W3" s="397">
        <v>0.22569444444444445</v>
      </c>
      <c r="X3" s="397">
        <v>0.2638888888888889</v>
      </c>
      <c r="Y3" s="416">
        <v>0</v>
      </c>
      <c r="Z3" s="414">
        <v>60</v>
      </c>
    </row>
    <row r="4" spans="2:29" ht="30.75" customHeight="1">
      <c r="B4" s="302" t="s">
        <v>133</v>
      </c>
      <c r="C4" s="545">
        <v>45665</v>
      </c>
      <c r="D4" s="545"/>
      <c r="J4" s="546" t="s">
        <v>153</v>
      </c>
      <c r="K4" s="546"/>
      <c r="L4" s="11"/>
      <c r="M4" s="548" t="s">
        <v>8</v>
      </c>
      <c r="N4" s="549"/>
      <c r="P4" s="12"/>
      <c r="R4" s="413" t="s">
        <v>9</v>
      </c>
      <c r="S4" s="414">
        <v>11.6</v>
      </c>
      <c r="T4" s="415">
        <v>12</v>
      </c>
      <c r="U4" s="9">
        <v>0</v>
      </c>
      <c r="V4" s="10">
        <v>0.118055555555556</v>
      </c>
      <c r="W4" s="397">
        <v>0.22569444444444445</v>
      </c>
      <c r="X4" s="397">
        <v>0.2638888888888889</v>
      </c>
      <c r="Y4" s="416">
        <v>0</v>
      </c>
      <c r="Z4" s="414">
        <v>60</v>
      </c>
      <c r="AA4" s="13"/>
      <c r="AB4" s="13"/>
      <c r="AC4" s="13"/>
    </row>
    <row r="5" spans="2:29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R5" s="413" t="s">
        <v>12</v>
      </c>
      <c r="S5" s="414">
        <v>17</v>
      </c>
      <c r="T5" s="415">
        <v>17.5</v>
      </c>
      <c r="U5" s="9">
        <v>0</v>
      </c>
      <c r="V5" s="10">
        <v>0.1076388888888889</v>
      </c>
      <c r="W5" s="397">
        <v>0.24652777777777779</v>
      </c>
      <c r="X5" s="397">
        <v>0.28472222222222221</v>
      </c>
      <c r="Y5" s="416">
        <v>0</v>
      </c>
      <c r="Z5" s="417">
        <v>60</v>
      </c>
      <c r="AA5" s="13"/>
      <c r="AB5" s="13"/>
      <c r="AC5" s="13"/>
    </row>
    <row r="6" spans="2:29" ht="14.25" customHeight="1">
      <c r="B6" s="15"/>
      <c r="C6" s="1"/>
      <c r="D6" s="1"/>
      <c r="J6" s="554" t="s">
        <v>175</v>
      </c>
      <c r="K6" s="555"/>
      <c r="L6" s="312" t="s">
        <v>14</v>
      </c>
      <c r="M6" s="341"/>
      <c r="N6" s="341"/>
      <c r="P6" s="16"/>
      <c r="R6" s="413" t="s">
        <v>15</v>
      </c>
      <c r="S6" s="414">
        <v>13.3</v>
      </c>
      <c r="T6" s="415">
        <v>13.5</v>
      </c>
      <c r="U6" s="9">
        <v>0</v>
      </c>
      <c r="V6" s="9">
        <v>0.12905092592592593</v>
      </c>
      <c r="W6" s="397">
        <v>0.27430555555555552</v>
      </c>
      <c r="X6" s="397">
        <v>0.30208333333333331</v>
      </c>
      <c r="Y6" s="416">
        <v>0</v>
      </c>
      <c r="Z6" s="417"/>
      <c r="AA6" s="13"/>
      <c r="AB6" s="13"/>
      <c r="AC6" s="13"/>
    </row>
    <row r="7" spans="2:29" ht="13.35" customHeight="1" thickBot="1">
      <c r="J7" s="556"/>
      <c r="K7" s="557"/>
      <c r="R7" s="413" t="s">
        <v>16</v>
      </c>
      <c r="S7" s="414">
        <v>17.100000000000001</v>
      </c>
      <c r="T7" s="415">
        <v>17.5</v>
      </c>
      <c r="U7" s="9">
        <v>0</v>
      </c>
      <c r="V7" s="9">
        <v>0.13605324074074074</v>
      </c>
      <c r="W7" s="397">
        <v>0.27430555555555552</v>
      </c>
      <c r="X7" s="397">
        <v>0.30902777777777779</v>
      </c>
      <c r="Y7" s="416">
        <v>0</v>
      </c>
      <c r="Z7" s="417">
        <v>60</v>
      </c>
      <c r="AA7" s="13"/>
      <c r="AB7" s="13"/>
      <c r="AC7" s="13"/>
    </row>
    <row r="8" spans="2:29" ht="13.35" customHeight="1">
      <c r="J8" s="489"/>
      <c r="K8" s="489"/>
      <c r="R8" s="413" t="s">
        <v>167</v>
      </c>
      <c r="S8" s="414">
        <v>10.9</v>
      </c>
      <c r="T8" s="415">
        <v>11.3</v>
      </c>
      <c r="U8" s="9">
        <v>0</v>
      </c>
      <c r="V8" s="9">
        <v>0.12905092592592593</v>
      </c>
      <c r="W8" s="397">
        <v>0.22569444444444445</v>
      </c>
      <c r="X8" s="397">
        <v>0.2638888888888889</v>
      </c>
      <c r="Y8" s="416">
        <v>0</v>
      </c>
      <c r="Z8" s="414">
        <v>60</v>
      </c>
      <c r="AA8" s="13"/>
      <c r="AB8" s="13"/>
      <c r="AC8" s="13"/>
    </row>
    <row r="9" spans="2:29" ht="13.35" customHeight="1" thickBot="1">
      <c r="J9" s="489"/>
      <c r="K9" s="489"/>
      <c r="R9" s="413" t="s">
        <v>166</v>
      </c>
      <c r="S9" s="414"/>
      <c r="T9" s="415"/>
      <c r="U9" s="9"/>
      <c r="V9" s="9"/>
      <c r="W9" s="397"/>
      <c r="X9" s="397"/>
      <c r="Y9" s="416"/>
      <c r="Z9" s="417"/>
      <c r="AA9" s="13"/>
      <c r="AB9" s="13"/>
      <c r="AC9" s="13"/>
    </row>
    <row r="10" spans="2:29" ht="25.5" customHeight="1">
      <c r="B10" s="558" t="s">
        <v>17</v>
      </c>
      <c r="C10" s="560" t="s">
        <v>18</v>
      </c>
      <c r="D10" s="560" t="s">
        <v>19</v>
      </c>
      <c r="E10" s="357" t="s">
        <v>20</v>
      </c>
      <c r="F10" s="357" t="s">
        <v>21</v>
      </c>
      <c r="G10" s="560" t="s">
        <v>22</v>
      </c>
      <c r="H10" s="639" t="s">
        <v>144</v>
      </c>
      <c r="I10" s="560" t="s">
        <v>176</v>
      </c>
      <c r="J10" s="564" t="s">
        <v>23</v>
      </c>
      <c r="K10" s="566" t="s">
        <v>142</v>
      </c>
      <c r="L10" s="568" t="s">
        <v>24</v>
      </c>
      <c r="M10" s="360" t="s">
        <v>25</v>
      </c>
      <c r="N10" s="17" t="s">
        <v>26</v>
      </c>
      <c r="O10" s="560" t="s">
        <v>155</v>
      </c>
      <c r="P10" s="570" t="s">
        <v>28</v>
      </c>
      <c r="Q10" s="18"/>
      <c r="R10" s="413" t="s">
        <v>165</v>
      </c>
      <c r="S10" s="414">
        <v>16.600000000000001</v>
      </c>
      <c r="T10" s="415">
        <v>17</v>
      </c>
      <c r="U10" s="9">
        <v>0</v>
      </c>
      <c r="V10" s="9">
        <v>0.12905092592592593</v>
      </c>
      <c r="W10" s="397">
        <v>0.27430555555555552</v>
      </c>
      <c r="X10" s="397">
        <v>0.30208333333333331</v>
      </c>
      <c r="Y10" s="416">
        <v>0</v>
      </c>
      <c r="Z10" s="417"/>
      <c r="AA10" s="19"/>
    </row>
    <row r="11" spans="2:29" ht="36.75" customHeight="1">
      <c r="B11" s="559"/>
      <c r="C11" s="561"/>
      <c r="D11" s="561"/>
      <c r="E11" s="358" t="s">
        <v>30</v>
      </c>
      <c r="F11" s="358" t="s">
        <v>31</v>
      </c>
      <c r="G11" s="561"/>
      <c r="H11" s="640"/>
      <c r="I11" s="561"/>
      <c r="J11" s="565"/>
      <c r="K11" s="567"/>
      <c r="L11" s="569"/>
      <c r="M11" s="20" t="s">
        <v>32</v>
      </c>
      <c r="N11" s="21" t="s">
        <v>41</v>
      </c>
      <c r="O11" s="561"/>
      <c r="P11" s="571"/>
      <c r="Q11" s="18"/>
      <c r="R11" s="413" t="s">
        <v>33</v>
      </c>
      <c r="S11" s="414">
        <v>14.4</v>
      </c>
      <c r="T11" s="415">
        <v>14.6</v>
      </c>
      <c r="U11" s="9">
        <v>0</v>
      </c>
      <c r="V11" s="9">
        <v>0.13905092592592591</v>
      </c>
      <c r="W11" s="397">
        <v>0.26041666666666669</v>
      </c>
      <c r="X11" s="397">
        <v>0.2951388888888889</v>
      </c>
      <c r="Y11" s="416">
        <v>0</v>
      </c>
      <c r="Z11" s="417">
        <v>75</v>
      </c>
      <c r="AA11" s="19"/>
    </row>
    <row r="12" spans="2:29" ht="14.4">
      <c r="B12" s="418" t="s">
        <v>9</v>
      </c>
      <c r="C12" s="367" t="s">
        <v>168</v>
      </c>
      <c r="D12" s="280">
        <v>53</v>
      </c>
      <c r="E12" s="280">
        <v>49</v>
      </c>
      <c r="F12" s="279">
        <v>54</v>
      </c>
      <c r="G12" s="280">
        <v>11.72</v>
      </c>
      <c r="H12" s="419">
        <v>11.6</v>
      </c>
      <c r="I12" s="369">
        <v>93.400253634983798</v>
      </c>
      <c r="J12" s="369">
        <v>96.647260770169325</v>
      </c>
      <c r="K12" s="282">
        <v>4.905660377358493</v>
      </c>
      <c r="L12" s="277">
        <v>62</v>
      </c>
      <c r="M12" s="420">
        <v>0.11041666666666661</v>
      </c>
      <c r="N12" s="371">
        <v>0.24791666666666656</v>
      </c>
      <c r="O12" s="372" t="s">
        <v>169</v>
      </c>
      <c r="P12" s="370"/>
      <c r="R12" s="278" t="str">
        <f t="shared" ref="R12:R17" si="0">B12</f>
        <v>STAG</v>
      </c>
      <c r="S12" s="421">
        <f t="shared" ref="S12:S17" si="1">VLOOKUP($B12,$R$3:$X$11,2,FALSE)</f>
        <v>11.6</v>
      </c>
      <c r="T12" s="421">
        <f t="shared" ref="T12:T17" si="2">VLOOKUP($B12,$R$3:$X$11,3,FALSE)</f>
        <v>12</v>
      </c>
      <c r="U12" s="298">
        <f t="shared" ref="U12:U17" si="3">VLOOKUP($B12,$R$3:$X$11,4,FALSE)</f>
        <v>0</v>
      </c>
      <c r="V12" s="298">
        <f t="shared" ref="V12:V17" si="4">VLOOKUP($B12,$R$3:$X$11,5,FALSE)</f>
        <v>0.118055555555556</v>
      </c>
      <c r="W12" s="298">
        <f t="shared" ref="W12:W17" si="5">VLOOKUP($B12,$R$3:$X$11,6,FALSE)</f>
        <v>0.22569444444444445</v>
      </c>
      <c r="X12" s="298">
        <f t="shared" ref="X12:X17" si="6">VLOOKUP($B12,$R$3:$X$11,7,FALSE)</f>
        <v>0.2638888888888889</v>
      </c>
      <c r="Y12" s="298">
        <f t="shared" ref="Y12:Y17" si="7">VLOOKUP($B12,$R$3:$Z$11,8,FALSE)</f>
        <v>0</v>
      </c>
      <c r="Z12" s="417">
        <f t="shared" ref="Z12:Z17" si="8">VLOOKUP($B12,$R$3:$Z$11,9,FALSE)</f>
        <v>60</v>
      </c>
    </row>
    <row r="13" spans="2:29" ht="14.4">
      <c r="B13" s="418" t="s">
        <v>9</v>
      </c>
      <c r="C13" s="367" t="s">
        <v>170</v>
      </c>
      <c r="D13" s="280">
        <v>53.7</v>
      </c>
      <c r="E13" s="280">
        <v>50.2</v>
      </c>
      <c r="F13" s="279">
        <v>65</v>
      </c>
      <c r="G13" s="280">
        <v>11.8</v>
      </c>
      <c r="H13" s="419">
        <v>11.8</v>
      </c>
      <c r="I13" s="369">
        <v>96.426665032854629</v>
      </c>
      <c r="J13" s="369">
        <v>99.779979819402925</v>
      </c>
      <c r="K13" s="282">
        <v>6.8014705882352864</v>
      </c>
      <c r="L13" s="277">
        <v>60</v>
      </c>
      <c r="M13" s="420">
        <v>0.11527777777777776</v>
      </c>
      <c r="N13" s="371">
        <v>0.26111111111111107</v>
      </c>
      <c r="O13" s="372" t="s">
        <v>169</v>
      </c>
      <c r="P13" s="370"/>
      <c r="R13" s="278" t="str">
        <f t="shared" si="0"/>
        <v>STAG</v>
      </c>
      <c r="S13" s="421">
        <f t="shared" si="1"/>
        <v>11.6</v>
      </c>
      <c r="T13" s="421">
        <f t="shared" si="2"/>
        <v>12</v>
      </c>
      <c r="U13" s="298">
        <f t="shared" si="3"/>
        <v>0</v>
      </c>
      <c r="V13" s="298">
        <f t="shared" si="4"/>
        <v>0.118055555555556</v>
      </c>
      <c r="W13" s="298">
        <f t="shared" si="5"/>
        <v>0.22569444444444445</v>
      </c>
      <c r="X13" s="298">
        <f t="shared" si="6"/>
        <v>0.2638888888888889</v>
      </c>
      <c r="Y13" s="298">
        <f t="shared" si="7"/>
        <v>0</v>
      </c>
      <c r="Z13" s="417">
        <f t="shared" si="8"/>
        <v>60</v>
      </c>
    </row>
    <row r="14" spans="2:29" ht="14.4">
      <c r="B14" s="418" t="s">
        <v>9</v>
      </c>
      <c r="C14" s="367" t="s">
        <v>171</v>
      </c>
      <c r="D14" s="280">
        <v>53.9</v>
      </c>
      <c r="E14" s="280">
        <v>50.6</v>
      </c>
      <c r="F14" s="279">
        <v>61</v>
      </c>
      <c r="G14" s="280">
        <v>11.7</v>
      </c>
      <c r="H14" s="419">
        <v>11.7</v>
      </c>
      <c r="I14" s="369">
        <v>96.328598952006701</v>
      </c>
      <c r="J14" s="369">
        <v>99.678503411765689</v>
      </c>
      <c r="K14" s="282">
        <v>5.9149722735674723</v>
      </c>
      <c r="L14" s="277">
        <v>58</v>
      </c>
      <c r="M14" s="420">
        <v>0.1111111111111111</v>
      </c>
      <c r="N14" s="371">
        <v>0.27013888888888893</v>
      </c>
      <c r="O14" s="372" t="s">
        <v>172</v>
      </c>
      <c r="P14" s="370"/>
      <c r="R14" s="278" t="str">
        <f t="shared" si="0"/>
        <v>STAG</v>
      </c>
      <c r="S14" s="421">
        <f t="shared" si="1"/>
        <v>11.6</v>
      </c>
      <c r="T14" s="421">
        <f t="shared" si="2"/>
        <v>12</v>
      </c>
      <c r="U14" s="298">
        <f t="shared" si="3"/>
        <v>0</v>
      </c>
      <c r="V14" s="298">
        <f t="shared" si="4"/>
        <v>0.118055555555556</v>
      </c>
      <c r="W14" s="298">
        <f t="shared" si="5"/>
        <v>0.22569444444444445</v>
      </c>
      <c r="X14" s="298">
        <f t="shared" si="6"/>
        <v>0.2638888888888889</v>
      </c>
      <c r="Y14" s="298">
        <f t="shared" si="7"/>
        <v>0</v>
      </c>
      <c r="Z14" s="417">
        <f t="shared" si="8"/>
        <v>60</v>
      </c>
    </row>
    <row r="15" spans="2:29" ht="14.4">
      <c r="B15" s="418" t="s">
        <v>9</v>
      </c>
      <c r="C15" s="367" t="s">
        <v>173</v>
      </c>
      <c r="D15" s="280">
        <v>53.4</v>
      </c>
      <c r="E15" s="280">
        <v>50.3</v>
      </c>
      <c r="F15" s="279">
        <v>68</v>
      </c>
      <c r="G15" s="280">
        <v>11.9</v>
      </c>
      <c r="H15" s="419">
        <v>11.9</v>
      </c>
      <c r="I15" s="369">
        <v>97.60292995662067</v>
      </c>
      <c r="J15" s="369">
        <v>100.99604076360735</v>
      </c>
      <c r="K15" s="282">
        <v>3.9399624765478323</v>
      </c>
      <c r="L15" s="277">
        <v>58</v>
      </c>
      <c r="M15" s="420">
        <v>0.11250000000000004</v>
      </c>
      <c r="N15" s="371">
        <v>0.27222222222222225</v>
      </c>
      <c r="O15" s="372" t="s">
        <v>172</v>
      </c>
      <c r="P15" s="370"/>
      <c r="R15" s="278" t="str">
        <f t="shared" ref="R15" si="9">B15</f>
        <v>STAG</v>
      </c>
      <c r="S15" s="421">
        <f t="shared" si="1"/>
        <v>11.6</v>
      </c>
      <c r="T15" s="421">
        <f t="shared" si="2"/>
        <v>12</v>
      </c>
      <c r="U15" s="298">
        <f t="shared" si="3"/>
        <v>0</v>
      </c>
      <c r="V15" s="298">
        <f t="shared" si="4"/>
        <v>0.118055555555556</v>
      </c>
      <c r="W15" s="298">
        <f t="shared" si="5"/>
        <v>0.22569444444444445</v>
      </c>
      <c r="X15" s="298">
        <f t="shared" si="6"/>
        <v>0.2638888888888889</v>
      </c>
      <c r="Y15" s="298">
        <f t="shared" si="7"/>
        <v>0</v>
      </c>
      <c r="Z15" s="417">
        <f t="shared" si="8"/>
        <v>60</v>
      </c>
    </row>
    <row r="16" spans="2:29" ht="14.4">
      <c r="B16" s="374"/>
      <c r="C16" s="284"/>
      <c r="D16" s="410"/>
      <c r="E16" s="493"/>
      <c r="F16" s="279"/>
      <c r="G16" s="280"/>
      <c r="H16" s="494"/>
      <c r="I16" s="281"/>
      <c r="J16" s="281"/>
      <c r="K16" s="282"/>
      <c r="L16" s="277"/>
      <c r="M16" s="375"/>
      <c r="N16" s="371"/>
      <c r="O16" s="372"/>
      <c r="P16" s="370"/>
      <c r="R16" s="278">
        <f t="shared" si="0"/>
        <v>0</v>
      </c>
      <c r="S16" s="421" t="e">
        <f t="shared" si="1"/>
        <v>#N/A</v>
      </c>
      <c r="T16" s="421" t="e">
        <f t="shared" si="2"/>
        <v>#N/A</v>
      </c>
      <c r="U16" s="298" t="e">
        <f t="shared" si="3"/>
        <v>#N/A</v>
      </c>
      <c r="V16" s="298" t="e">
        <f t="shared" si="4"/>
        <v>#N/A</v>
      </c>
      <c r="W16" s="298" t="e">
        <f t="shared" si="5"/>
        <v>#N/A</v>
      </c>
      <c r="X16" s="298" t="e">
        <f t="shared" si="6"/>
        <v>#N/A</v>
      </c>
      <c r="Y16" s="298" t="e">
        <f t="shared" si="7"/>
        <v>#N/A</v>
      </c>
      <c r="Z16" s="417" t="e">
        <f t="shared" si="8"/>
        <v>#N/A</v>
      </c>
    </row>
    <row r="17" spans="2:26" ht="14.4">
      <c r="B17" s="374" t="s">
        <v>167</v>
      </c>
      <c r="C17" s="284" t="str">
        <f>[26]Brewhouse!$A5</f>
        <v>HP001</v>
      </c>
      <c r="D17" s="410">
        <f>[26]Brewhouse!$AF5</f>
        <v>55.5</v>
      </c>
      <c r="E17" s="493">
        <f>[26]Brewhouse!$AI5</f>
        <v>50.1</v>
      </c>
      <c r="F17" s="279">
        <f>[26]Brewhouse!$V5</f>
        <v>59</v>
      </c>
      <c r="G17" s="280">
        <f>[26]Brewhouse!$AG5</f>
        <v>11.7</v>
      </c>
      <c r="H17" s="494">
        <v>11.3</v>
      </c>
      <c r="I17" s="281">
        <f>[26]Brewhouse!$AU5</f>
        <v>92.965702451125438</v>
      </c>
      <c r="J17" s="281">
        <f>[26]Brewhouse!$AV5</f>
        <v>96.837222533920212</v>
      </c>
      <c r="K17" s="282">
        <f>[26]Brewhouse!$Q5</f>
        <v>6.0805860805860812</v>
      </c>
      <c r="L17" s="277">
        <f>[26]Brewhouse!$P5</f>
        <v>60</v>
      </c>
      <c r="M17" s="375">
        <f>[26]Brewhouse!$U5-[26]Brewhouse!$T5</f>
        <v>0.10833333333333328</v>
      </c>
      <c r="N17" s="371">
        <f>[26]Brewhouse!$Y5</f>
        <v>0.20694444444444449</v>
      </c>
      <c r="O17" s="372" t="str">
        <f>[26]Brewhouse!$AW5</f>
        <v>R.Sookram</v>
      </c>
      <c r="P17" s="370"/>
      <c r="R17" s="278" t="str">
        <f t="shared" si="0"/>
        <v>HR-PILSNER</v>
      </c>
      <c r="S17" s="421">
        <f t="shared" si="1"/>
        <v>10.9</v>
      </c>
      <c r="T17" s="421">
        <f t="shared" si="2"/>
        <v>11.3</v>
      </c>
      <c r="U17" s="298">
        <f t="shared" si="3"/>
        <v>0</v>
      </c>
      <c r="V17" s="298">
        <f t="shared" si="4"/>
        <v>0.12905092592592593</v>
      </c>
      <c r="W17" s="298">
        <f t="shared" si="5"/>
        <v>0.22569444444444445</v>
      </c>
      <c r="X17" s="298">
        <f t="shared" si="6"/>
        <v>0.2638888888888889</v>
      </c>
      <c r="Y17" s="298">
        <f t="shared" si="7"/>
        <v>0</v>
      </c>
      <c r="Z17" s="417">
        <f t="shared" si="8"/>
        <v>60</v>
      </c>
    </row>
    <row r="18" spans="2:26" ht="14.4">
      <c r="B18" s="374" t="s">
        <v>167</v>
      </c>
      <c r="C18" s="284" t="str">
        <f>[26]Brewhouse!$A6</f>
        <v>HP002</v>
      </c>
      <c r="D18" s="410">
        <f>[26]Brewhouse!$AF6</f>
        <v>54.8</v>
      </c>
      <c r="E18" s="493">
        <f>[26]Brewhouse!$AI6</f>
        <v>50.6</v>
      </c>
      <c r="F18" s="279">
        <f>[26]Brewhouse!$V6</f>
        <v>61</v>
      </c>
      <c r="G18" s="280">
        <f>[26]Brewhouse!$AG6</f>
        <v>11.6</v>
      </c>
      <c r="H18" s="494">
        <v>11.4</v>
      </c>
      <c r="I18" s="281">
        <f>[26]Brewhouse!$AU6</f>
        <v>93.048999749652921</v>
      </c>
      <c r="J18" s="281">
        <f>[26]Brewhouse!$AV6</f>
        <v>96.923988715655042</v>
      </c>
      <c r="K18" s="282">
        <f>[26]Brewhouse!$Q6</f>
        <v>7.0899470899470947</v>
      </c>
      <c r="L18" s="277">
        <f>[26]Brewhouse!$P6</f>
        <v>60</v>
      </c>
      <c r="M18" s="375">
        <f>[26]Brewhouse!$U6-[26]Brewhouse!$T6</f>
        <v>0.1118055555555556</v>
      </c>
      <c r="N18" s="371">
        <f>[26]Brewhouse!$Y6</f>
        <v>0.20694444444444449</v>
      </c>
      <c r="O18" s="372" t="str">
        <f>[26]Brewhouse!$AW6</f>
        <v>K.Benjamin</v>
      </c>
      <c r="P18" s="370"/>
      <c r="R18" s="278" t="str">
        <f t="shared" ref="R18:R49" si="10">B18</f>
        <v>HR-PILSNER</v>
      </c>
      <c r="S18" s="421">
        <f t="shared" ref="S18:S49" si="11">VLOOKUP($B18,$R$3:$X$11,2,FALSE)</f>
        <v>10.9</v>
      </c>
      <c r="T18" s="421">
        <f t="shared" ref="T18:T49" si="12">VLOOKUP($B18,$R$3:$X$11,3,FALSE)</f>
        <v>11.3</v>
      </c>
      <c r="U18" s="298">
        <f t="shared" ref="U18:U49" si="13">VLOOKUP($B18,$R$3:$X$11,4,FALSE)</f>
        <v>0</v>
      </c>
      <c r="V18" s="298">
        <f t="shared" ref="V18:V49" si="14">VLOOKUP($B18,$R$3:$X$11,5,FALSE)</f>
        <v>0.12905092592592593</v>
      </c>
      <c r="W18" s="298">
        <f t="shared" ref="W18:W49" si="15">VLOOKUP($B18,$R$3:$X$11,6,FALSE)</f>
        <v>0.22569444444444445</v>
      </c>
      <c r="X18" s="298">
        <f t="shared" ref="X18:X49" si="16">VLOOKUP($B18,$R$3:$X$11,7,FALSE)</f>
        <v>0.2638888888888889</v>
      </c>
      <c r="Y18" s="298">
        <f t="shared" ref="Y18:Y49" si="17">VLOOKUP($B18,$R$3:$Z$11,8,FALSE)</f>
        <v>0</v>
      </c>
      <c r="Z18" s="417">
        <f t="shared" ref="Z18:Z49" si="18">VLOOKUP($B18,$R$3:$Z$11,9,FALSE)</f>
        <v>60</v>
      </c>
    </row>
    <row r="19" spans="2:26" ht="14.4">
      <c r="B19" s="374" t="s">
        <v>167</v>
      </c>
      <c r="C19" s="284" t="str">
        <f>[26]Brewhouse!$A7</f>
        <v>HP003</v>
      </c>
      <c r="D19" s="410">
        <f>[26]Brewhouse!$AF7</f>
        <v>58.1</v>
      </c>
      <c r="E19" s="493">
        <f>[26]Brewhouse!$AI7</f>
        <v>48.5</v>
      </c>
      <c r="F19" s="279">
        <f>[26]Brewhouse!$V7</f>
        <v>65</v>
      </c>
      <c r="G19" s="280">
        <f>[26]Brewhouse!$AG7</f>
        <v>11.12</v>
      </c>
      <c r="H19" s="494">
        <v>11.1</v>
      </c>
      <c r="I19" s="281">
        <f>[26]Brewhouse!$AU7</f>
        <v>84.477722903722579</v>
      </c>
      <c r="J19" s="281">
        <f>[26]Brewhouse!$AV7</f>
        <v>87.995764419543718</v>
      </c>
      <c r="K19" s="282">
        <f>[26]Brewhouse!$Q7</f>
        <v>6.3844797178130586</v>
      </c>
      <c r="L19" s="277">
        <f>[26]Brewhouse!$P7</f>
        <v>60</v>
      </c>
      <c r="M19" s="375">
        <f>[26]Brewhouse!$U7-[26]Brewhouse!$T7</f>
        <v>0.11458333333333326</v>
      </c>
      <c r="N19" s="371">
        <f>[26]Brewhouse!$Y7</f>
        <v>0.20277777777777772</v>
      </c>
      <c r="O19" s="372" t="str">
        <f>[26]Brewhouse!$AW7</f>
        <v>K.Benjamin</v>
      </c>
      <c r="P19" s="370"/>
      <c r="R19" s="278" t="str">
        <f t="shared" si="10"/>
        <v>HR-PILSNER</v>
      </c>
      <c r="S19" s="421">
        <f t="shared" si="11"/>
        <v>10.9</v>
      </c>
      <c r="T19" s="421">
        <f t="shared" si="12"/>
        <v>11.3</v>
      </c>
      <c r="U19" s="298">
        <f t="shared" si="13"/>
        <v>0</v>
      </c>
      <c r="V19" s="298">
        <f t="shared" si="14"/>
        <v>0.12905092592592593</v>
      </c>
      <c r="W19" s="298">
        <f t="shared" si="15"/>
        <v>0.22569444444444445</v>
      </c>
      <c r="X19" s="298">
        <f t="shared" si="16"/>
        <v>0.2638888888888889</v>
      </c>
      <c r="Y19" s="298">
        <f t="shared" si="17"/>
        <v>0</v>
      </c>
      <c r="Z19" s="417">
        <f t="shared" si="18"/>
        <v>60</v>
      </c>
    </row>
    <row r="20" spans="2:26" ht="14.4">
      <c r="B20" s="374" t="s">
        <v>167</v>
      </c>
      <c r="C20" s="284" t="str">
        <f>[26]Brewhouse!$A8</f>
        <v>HP004</v>
      </c>
      <c r="D20" s="410">
        <f>[26]Brewhouse!$AF8</f>
        <v>58.1</v>
      </c>
      <c r="E20" s="493">
        <f>[26]Brewhouse!$AI8</f>
        <v>53.7</v>
      </c>
      <c r="F20" s="279">
        <f>[26]Brewhouse!$V8</f>
        <v>65</v>
      </c>
      <c r="G20" s="280">
        <f>[26]Brewhouse!$AG8</f>
        <v>11.1</v>
      </c>
      <c r="H20" s="494">
        <v>11.2</v>
      </c>
      <c r="I20" s="281">
        <f>[26]Brewhouse!$AU8</f>
        <v>93.535128245977376</v>
      </c>
      <c r="J20" s="281">
        <f>[26]Brewhouse!$AV8</f>
        <v>97.430361841845325</v>
      </c>
      <c r="K20" s="282">
        <f>[26]Brewhouse!$Q8</f>
        <v>6.8214285714285712</v>
      </c>
      <c r="L20" s="277">
        <f>[26]Brewhouse!$P8</f>
        <v>60</v>
      </c>
      <c r="M20" s="375">
        <f>[26]Brewhouse!$U8-[26]Brewhouse!$T8</f>
        <v>7.0138888888888751E-2</v>
      </c>
      <c r="N20" s="371">
        <f>[26]Brewhouse!$Y8</f>
        <v>0.21875</v>
      </c>
      <c r="O20" s="372" t="str">
        <f>[26]Brewhouse!$AW8</f>
        <v>K.Benjamin</v>
      </c>
      <c r="P20" s="370"/>
      <c r="R20" s="278" t="str">
        <f t="shared" si="10"/>
        <v>HR-PILSNER</v>
      </c>
      <c r="S20" s="421">
        <f t="shared" si="11"/>
        <v>10.9</v>
      </c>
      <c r="T20" s="421">
        <f t="shared" si="12"/>
        <v>11.3</v>
      </c>
      <c r="U20" s="298">
        <f t="shared" si="13"/>
        <v>0</v>
      </c>
      <c r="V20" s="298">
        <f t="shared" si="14"/>
        <v>0.12905092592592593</v>
      </c>
      <c r="W20" s="298">
        <f t="shared" si="15"/>
        <v>0.22569444444444445</v>
      </c>
      <c r="X20" s="298">
        <f t="shared" si="16"/>
        <v>0.2638888888888889</v>
      </c>
      <c r="Y20" s="298">
        <f t="shared" si="17"/>
        <v>0</v>
      </c>
      <c r="Z20" s="417">
        <f t="shared" si="18"/>
        <v>60</v>
      </c>
    </row>
    <row r="21" spans="2:26" ht="14.4">
      <c r="B21" s="374"/>
      <c r="C21" s="284"/>
      <c r="D21" s="410"/>
      <c r="E21" s="493"/>
      <c r="F21" s="279"/>
      <c r="G21" s="280"/>
      <c r="H21" s="494"/>
      <c r="I21" s="281"/>
      <c r="J21" s="281"/>
      <c r="K21" s="282"/>
      <c r="L21" s="277"/>
      <c r="M21" s="375"/>
      <c r="N21" s="371"/>
      <c r="O21" s="372"/>
      <c r="P21" s="370"/>
      <c r="R21" s="278">
        <f t="shared" si="10"/>
        <v>0</v>
      </c>
      <c r="S21" s="421" t="e">
        <f t="shared" si="11"/>
        <v>#N/A</v>
      </c>
      <c r="T21" s="421" t="e">
        <f t="shared" si="12"/>
        <v>#N/A</v>
      </c>
      <c r="U21" s="298" t="e">
        <f t="shared" si="13"/>
        <v>#N/A</v>
      </c>
      <c r="V21" s="298" t="e">
        <f t="shared" si="14"/>
        <v>#N/A</v>
      </c>
      <c r="W21" s="298" t="e">
        <f t="shared" si="15"/>
        <v>#N/A</v>
      </c>
      <c r="X21" s="298" t="e">
        <f t="shared" si="16"/>
        <v>#N/A</v>
      </c>
      <c r="Y21" s="298" t="e">
        <f t="shared" si="17"/>
        <v>#N/A</v>
      </c>
      <c r="Z21" s="417" t="e">
        <f t="shared" si="18"/>
        <v>#N/A</v>
      </c>
    </row>
    <row r="22" spans="2:26" ht="15" thickBot="1">
      <c r="B22" s="374"/>
      <c r="C22" s="284"/>
      <c r="D22" s="410"/>
      <c r="E22" s="493"/>
      <c r="F22" s="279"/>
      <c r="G22" s="280"/>
      <c r="H22" s="494"/>
      <c r="I22" s="281"/>
      <c r="J22" s="281"/>
      <c r="K22" s="282"/>
      <c r="L22" s="277"/>
      <c r="M22" s="375"/>
      <c r="N22" s="371"/>
      <c r="O22" s="372"/>
      <c r="P22" s="370"/>
      <c r="R22" s="278">
        <f t="shared" si="10"/>
        <v>0</v>
      </c>
      <c r="S22" s="421" t="e">
        <f t="shared" si="11"/>
        <v>#N/A</v>
      </c>
      <c r="T22" s="421" t="e">
        <f t="shared" si="12"/>
        <v>#N/A</v>
      </c>
      <c r="U22" s="298" t="e">
        <f t="shared" si="13"/>
        <v>#N/A</v>
      </c>
      <c r="V22" s="298" t="e">
        <f t="shared" si="14"/>
        <v>#N/A</v>
      </c>
      <c r="W22" s="298" t="e">
        <f t="shared" si="15"/>
        <v>#N/A</v>
      </c>
      <c r="X22" s="298" t="e">
        <f t="shared" si="16"/>
        <v>#N/A</v>
      </c>
      <c r="Y22" s="298" t="e">
        <f t="shared" si="17"/>
        <v>#N/A</v>
      </c>
      <c r="Z22" s="417" t="e">
        <f t="shared" si="18"/>
        <v>#N/A</v>
      </c>
    </row>
    <row r="23" spans="2:26" ht="14.4" hidden="1">
      <c r="B23" s="374"/>
      <c r="C23" s="284"/>
      <c r="D23" s="410"/>
      <c r="E23" s="493"/>
      <c r="F23" s="279"/>
      <c r="G23" s="280"/>
      <c r="H23" s="494"/>
      <c r="I23" s="281"/>
      <c r="J23" s="281"/>
      <c r="K23" s="282"/>
      <c r="L23" s="277"/>
      <c r="M23" s="375"/>
      <c r="N23" s="371"/>
      <c r="O23" s="372"/>
      <c r="P23" s="370"/>
      <c r="R23" s="278">
        <f t="shared" si="10"/>
        <v>0</v>
      </c>
      <c r="S23" s="421" t="e">
        <f t="shared" si="11"/>
        <v>#N/A</v>
      </c>
      <c r="T23" s="421" t="e">
        <f t="shared" si="12"/>
        <v>#N/A</v>
      </c>
      <c r="U23" s="298" t="e">
        <f t="shared" si="13"/>
        <v>#N/A</v>
      </c>
      <c r="V23" s="298" t="e">
        <f t="shared" si="14"/>
        <v>#N/A</v>
      </c>
      <c r="W23" s="298" t="e">
        <f t="shared" si="15"/>
        <v>#N/A</v>
      </c>
      <c r="X23" s="298" t="e">
        <f t="shared" si="16"/>
        <v>#N/A</v>
      </c>
      <c r="Y23" s="298" t="e">
        <f t="shared" si="17"/>
        <v>#N/A</v>
      </c>
      <c r="Z23" s="417" t="e">
        <f t="shared" si="18"/>
        <v>#N/A</v>
      </c>
    </row>
    <row r="24" spans="2:26" ht="14.4" hidden="1">
      <c r="B24" s="374"/>
      <c r="C24" s="284"/>
      <c r="D24" s="410"/>
      <c r="E24" s="493"/>
      <c r="F24" s="279"/>
      <c r="G24" s="280"/>
      <c r="H24" s="494"/>
      <c r="I24" s="281"/>
      <c r="J24" s="281"/>
      <c r="K24" s="282"/>
      <c r="L24" s="277"/>
      <c r="M24" s="375"/>
      <c r="N24" s="371"/>
      <c r="O24" s="372"/>
      <c r="P24" s="370"/>
      <c r="R24" s="278">
        <f t="shared" si="10"/>
        <v>0</v>
      </c>
      <c r="S24" s="421" t="e">
        <f t="shared" si="11"/>
        <v>#N/A</v>
      </c>
      <c r="T24" s="421" t="e">
        <f t="shared" si="12"/>
        <v>#N/A</v>
      </c>
      <c r="U24" s="298" t="e">
        <f t="shared" si="13"/>
        <v>#N/A</v>
      </c>
      <c r="V24" s="298" t="e">
        <f t="shared" si="14"/>
        <v>#N/A</v>
      </c>
      <c r="W24" s="298" t="e">
        <f t="shared" si="15"/>
        <v>#N/A</v>
      </c>
      <c r="X24" s="298" t="e">
        <f t="shared" si="16"/>
        <v>#N/A</v>
      </c>
      <c r="Y24" s="298" t="e">
        <f t="shared" si="17"/>
        <v>#N/A</v>
      </c>
      <c r="Z24" s="417" t="e">
        <f t="shared" si="18"/>
        <v>#N/A</v>
      </c>
    </row>
    <row r="25" spans="2:26" ht="14.4" hidden="1">
      <c r="B25" s="374"/>
      <c r="C25" s="284"/>
      <c r="D25" s="410"/>
      <c r="E25" s="493"/>
      <c r="F25" s="279"/>
      <c r="G25" s="280"/>
      <c r="H25" s="494"/>
      <c r="I25" s="281"/>
      <c r="J25" s="281"/>
      <c r="K25" s="282"/>
      <c r="L25" s="277"/>
      <c r="M25" s="375"/>
      <c r="N25" s="371"/>
      <c r="O25" s="372"/>
      <c r="P25" s="370"/>
      <c r="R25" s="278">
        <f t="shared" si="10"/>
        <v>0</v>
      </c>
      <c r="S25" s="421" t="e">
        <f t="shared" si="11"/>
        <v>#N/A</v>
      </c>
      <c r="T25" s="421" t="e">
        <f t="shared" si="12"/>
        <v>#N/A</v>
      </c>
      <c r="U25" s="298" t="e">
        <f t="shared" si="13"/>
        <v>#N/A</v>
      </c>
      <c r="V25" s="298" t="e">
        <f t="shared" si="14"/>
        <v>#N/A</v>
      </c>
      <c r="W25" s="298" t="e">
        <f t="shared" si="15"/>
        <v>#N/A</v>
      </c>
      <c r="X25" s="298" t="e">
        <f t="shared" si="16"/>
        <v>#N/A</v>
      </c>
      <c r="Y25" s="298" t="e">
        <f t="shared" si="17"/>
        <v>#N/A</v>
      </c>
      <c r="Z25" s="417" t="e">
        <f t="shared" si="18"/>
        <v>#N/A</v>
      </c>
    </row>
    <row r="26" spans="2:26" ht="14.4" hidden="1">
      <c r="B26" s="418"/>
      <c r="C26" s="284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0"/>
      <c r="R26" s="278">
        <f t="shared" si="10"/>
        <v>0</v>
      </c>
      <c r="S26" s="421" t="e">
        <f t="shared" si="11"/>
        <v>#N/A</v>
      </c>
      <c r="T26" s="421" t="e">
        <f t="shared" si="12"/>
        <v>#N/A</v>
      </c>
      <c r="U26" s="298" t="e">
        <f t="shared" si="13"/>
        <v>#N/A</v>
      </c>
      <c r="V26" s="298" t="e">
        <f t="shared" si="14"/>
        <v>#N/A</v>
      </c>
      <c r="W26" s="298" t="e">
        <f t="shared" si="15"/>
        <v>#N/A</v>
      </c>
      <c r="X26" s="298" t="e">
        <f t="shared" si="16"/>
        <v>#N/A</v>
      </c>
      <c r="Y26" s="298" t="e">
        <f t="shared" si="17"/>
        <v>#N/A</v>
      </c>
      <c r="Z26" s="417" t="e">
        <f t="shared" si="18"/>
        <v>#N/A</v>
      </c>
    </row>
    <row r="27" spans="2:26" ht="14.4" hidden="1">
      <c r="B27" s="418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0"/>
      <c r="R27" s="278">
        <f t="shared" si="10"/>
        <v>0</v>
      </c>
      <c r="S27" s="421" t="e">
        <f t="shared" si="11"/>
        <v>#N/A</v>
      </c>
      <c r="T27" s="421" t="e">
        <f t="shared" si="12"/>
        <v>#N/A</v>
      </c>
      <c r="U27" s="298" t="e">
        <f t="shared" si="13"/>
        <v>#N/A</v>
      </c>
      <c r="V27" s="298" t="e">
        <f t="shared" si="14"/>
        <v>#N/A</v>
      </c>
      <c r="W27" s="298" t="e">
        <f t="shared" si="15"/>
        <v>#N/A</v>
      </c>
      <c r="X27" s="298" t="e">
        <f t="shared" si="16"/>
        <v>#N/A</v>
      </c>
      <c r="Y27" s="298" t="e">
        <f t="shared" si="17"/>
        <v>#N/A</v>
      </c>
      <c r="Z27" s="417" t="e">
        <f t="shared" si="18"/>
        <v>#N/A</v>
      </c>
    </row>
    <row r="28" spans="2:26" ht="14.4" hidden="1">
      <c r="B28" s="418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R28" s="278">
        <f t="shared" si="10"/>
        <v>0</v>
      </c>
      <c r="S28" s="421" t="e">
        <f t="shared" si="11"/>
        <v>#N/A</v>
      </c>
      <c r="T28" s="421" t="e">
        <f t="shared" si="12"/>
        <v>#N/A</v>
      </c>
      <c r="U28" s="298" t="e">
        <f t="shared" si="13"/>
        <v>#N/A</v>
      </c>
      <c r="V28" s="298" t="e">
        <f t="shared" si="14"/>
        <v>#N/A</v>
      </c>
      <c r="W28" s="298" t="e">
        <f t="shared" si="15"/>
        <v>#N/A</v>
      </c>
      <c r="X28" s="298" t="e">
        <f t="shared" si="16"/>
        <v>#N/A</v>
      </c>
      <c r="Y28" s="298" t="e">
        <f t="shared" si="17"/>
        <v>#N/A</v>
      </c>
      <c r="Z28" s="417" t="e">
        <f t="shared" si="18"/>
        <v>#N/A</v>
      </c>
    </row>
    <row r="29" spans="2:26" ht="14.4" hidden="1">
      <c r="B29" s="418"/>
      <c r="C29" s="367"/>
      <c r="D29" s="280"/>
      <c r="E29" s="280"/>
      <c r="F29" s="279"/>
      <c r="G29" s="280"/>
      <c r="H29" s="419"/>
      <c r="I29" s="369"/>
      <c r="J29" s="369"/>
      <c r="K29" s="282"/>
      <c r="L29" s="277"/>
      <c r="M29" s="420"/>
      <c r="N29" s="371"/>
      <c r="O29" s="372"/>
      <c r="P29" s="370"/>
      <c r="R29" s="278">
        <f t="shared" si="10"/>
        <v>0</v>
      </c>
      <c r="S29" s="421" t="e">
        <f t="shared" si="11"/>
        <v>#N/A</v>
      </c>
      <c r="T29" s="421" t="e">
        <f t="shared" si="12"/>
        <v>#N/A</v>
      </c>
      <c r="U29" s="298" t="e">
        <f t="shared" si="13"/>
        <v>#N/A</v>
      </c>
      <c r="V29" s="298" t="e">
        <f t="shared" si="14"/>
        <v>#N/A</v>
      </c>
      <c r="W29" s="298" t="e">
        <f t="shared" si="15"/>
        <v>#N/A</v>
      </c>
      <c r="X29" s="298" t="e">
        <f t="shared" si="16"/>
        <v>#N/A</v>
      </c>
      <c r="Y29" s="298" t="e">
        <f t="shared" si="17"/>
        <v>#N/A</v>
      </c>
      <c r="Z29" s="417" t="e">
        <f t="shared" si="18"/>
        <v>#N/A</v>
      </c>
    </row>
    <row r="30" spans="2:26" ht="14.4" hidden="1">
      <c r="B30" s="418"/>
      <c r="C30" s="367"/>
      <c r="D30" s="280"/>
      <c r="E30" s="280"/>
      <c r="F30" s="279"/>
      <c r="G30" s="280"/>
      <c r="H30" s="419"/>
      <c r="I30" s="369"/>
      <c r="J30" s="369"/>
      <c r="K30" s="282"/>
      <c r="L30" s="277"/>
      <c r="M30" s="420"/>
      <c r="N30" s="371"/>
      <c r="O30" s="372"/>
      <c r="P30" s="370"/>
      <c r="R30" s="278">
        <f t="shared" si="10"/>
        <v>0</v>
      </c>
      <c r="S30" s="421" t="e">
        <f t="shared" si="11"/>
        <v>#N/A</v>
      </c>
      <c r="T30" s="421" t="e">
        <f t="shared" si="12"/>
        <v>#N/A</v>
      </c>
      <c r="U30" s="298" t="e">
        <f t="shared" si="13"/>
        <v>#N/A</v>
      </c>
      <c r="V30" s="298" t="e">
        <f t="shared" si="14"/>
        <v>#N/A</v>
      </c>
      <c r="W30" s="298" t="e">
        <f t="shared" si="15"/>
        <v>#N/A</v>
      </c>
      <c r="X30" s="298" t="e">
        <f t="shared" si="16"/>
        <v>#N/A</v>
      </c>
      <c r="Y30" s="298" t="e">
        <f t="shared" si="17"/>
        <v>#N/A</v>
      </c>
      <c r="Z30" s="417" t="e">
        <f t="shared" si="18"/>
        <v>#N/A</v>
      </c>
    </row>
    <row r="31" spans="2:26" ht="14.4" hidden="1">
      <c r="B31" s="418"/>
      <c r="C31" s="367"/>
      <c r="D31" s="280"/>
      <c r="E31" s="280"/>
      <c r="F31" s="279"/>
      <c r="G31" s="280"/>
      <c r="H31" s="419"/>
      <c r="I31" s="369"/>
      <c r="J31" s="369"/>
      <c r="K31" s="282"/>
      <c r="L31" s="277"/>
      <c r="M31" s="420"/>
      <c r="N31" s="371"/>
      <c r="O31" s="372"/>
      <c r="P31" s="370"/>
      <c r="R31" s="278">
        <f t="shared" si="10"/>
        <v>0</v>
      </c>
      <c r="S31" s="421" t="e">
        <f t="shared" si="11"/>
        <v>#N/A</v>
      </c>
      <c r="T31" s="421" t="e">
        <f t="shared" si="12"/>
        <v>#N/A</v>
      </c>
      <c r="U31" s="298" t="e">
        <f t="shared" si="13"/>
        <v>#N/A</v>
      </c>
      <c r="V31" s="298" t="e">
        <f t="shared" si="14"/>
        <v>#N/A</v>
      </c>
      <c r="W31" s="298" t="e">
        <f t="shared" si="15"/>
        <v>#N/A</v>
      </c>
      <c r="X31" s="298" t="e">
        <f t="shared" si="16"/>
        <v>#N/A</v>
      </c>
      <c r="Y31" s="298" t="e">
        <f t="shared" si="17"/>
        <v>#N/A</v>
      </c>
      <c r="Z31" s="417" t="e">
        <f t="shared" si="18"/>
        <v>#N/A</v>
      </c>
    </row>
    <row r="32" spans="2:26" ht="14.4" hidden="1">
      <c r="B32" s="22"/>
      <c r="C32" s="367"/>
      <c r="D32" s="280"/>
      <c r="E32" s="280"/>
      <c r="F32" s="279"/>
      <c r="G32" s="280"/>
      <c r="H32" s="492"/>
      <c r="I32" s="369"/>
      <c r="J32" s="369"/>
      <c r="K32" s="282"/>
      <c r="L32" s="277"/>
      <c r="M32" s="375"/>
      <c r="N32" s="371"/>
      <c r="O32" s="372"/>
      <c r="P32" s="370"/>
      <c r="R32" s="278">
        <f t="shared" si="10"/>
        <v>0</v>
      </c>
      <c r="S32" s="421" t="e">
        <f t="shared" si="11"/>
        <v>#N/A</v>
      </c>
      <c r="T32" s="421" t="e">
        <f t="shared" si="12"/>
        <v>#N/A</v>
      </c>
      <c r="U32" s="298" t="e">
        <f t="shared" si="13"/>
        <v>#N/A</v>
      </c>
      <c r="V32" s="298" t="e">
        <f t="shared" si="14"/>
        <v>#N/A</v>
      </c>
      <c r="W32" s="298" t="e">
        <f t="shared" si="15"/>
        <v>#N/A</v>
      </c>
      <c r="X32" s="298" t="e">
        <f t="shared" si="16"/>
        <v>#N/A</v>
      </c>
      <c r="Y32" s="298" t="e">
        <f t="shared" si="17"/>
        <v>#N/A</v>
      </c>
      <c r="Z32" s="417" t="e">
        <f t="shared" si="18"/>
        <v>#N/A</v>
      </c>
    </row>
    <row r="33" spans="2:26" ht="14.4" hidden="1">
      <c r="B33" s="29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420"/>
      <c r="N33" s="371"/>
      <c r="O33" s="372"/>
      <c r="P33" s="370"/>
      <c r="R33" s="278">
        <f t="shared" si="10"/>
        <v>0</v>
      </c>
      <c r="S33" s="421" t="e">
        <f t="shared" si="11"/>
        <v>#N/A</v>
      </c>
      <c r="T33" s="421" t="e">
        <f t="shared" si="12"/>
        <v>#N/A</v>
      </c>
      <c r="U33" s="298" t="e">
        <f t="shared" si="13"/>
        <v>#N/A</v>
      </c>
      <c r="V33" s="298" t="e">
        <f t="shared" si="14"/>
        <v>#N/A</v>
      </c>
      <c r="W33" s="298" t="e">
        <f t="shared" si="15"/>
        <v>#N/A</v>
      </c>
      <c r="X33" s="298" t="e">
        <f t="shared" si="16"/>
        <v>#N/A</v>
      </c>
      <c r="Y33" s="298" t="e">
        <f t="shared" si="17"/>
        <v>#N/A</v>
      </c>
      <c r="Z33" s="417" t="e">
        <f t="shared" si="18"/>
        <v>#N/A</v>
      </c>
    </row>
    <row r="34" spans="2:26" ht="15" hidden="1" thickBot="1">
      <c r="B34" s="29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420"/>
      <c r="N34" s="371"/>
      <c r="O34" s="372"/>
      <c r="P34" s="370"/>
      <c r="R34" s="278">
        <f t="shared" si="10"/>
        <v>0</v>
      </c>
      <c r="S34" s="421" t="e">
        <f t="shared" si="11"/>
        <v>#N/A</v>
      </c>
      <c r="T34" s="421" t="e">
        <f t="shared" si="12"/>
        <v>#N/A</v>
      </c>
      <c r="U34" s="298" t="e">
        <f t="shared" si="13"/>
        <v>#N/A</v>
      </c>
      <c r="V34" s="298" t="e">
        <f t="shared" si="14"/>
        <v>#N/A</v>
      </c>
      <c r="W34" s="298" t="e">
        <f t="shared" si="15"/>
        <v>#N/A</v>
      </c>
      <c r="X34" s="298" t="e">
        <f t="shared" si="16"/>
        <v>#N/A</v>
      </c>
      <c r="Y34" s="298" t="e">
        <f t="shared" si="17"/>
        <v>#N/A</v>
      </c>
      <c r="Z34" s="417" t="e">
        <f t="shared" si="18"/>
        <v>#N/A</v>
      </c>
    </row>
    <row r="35" spans="2:26" ht="15" hidden="1" thickBot="1">
      <c r="B35" s="29"/>
      <c r="C35" s="367"/>
      <c r="D35" s="280"/>
      <c r="E35" s="280"/>
      <c r="F35" s="279"/>
      <c r="G35" s="280"/>
      <c r="H35" s="419"/>
      <c r="I35" s="369"/>
      <c r="J35" s="369"/>
      <c r="K35" s="282"/>
      <c r="L35" s="277"/>
      <c r="M35" s="420"/>
      <c r="N35" s="371"/>
      <c r="O35" s="372"/>
      <c r="P35" s="370"/>
      <c r="R35" s="278">
        <f t="shared" si="10"/>
        <v>0</v>
      </c>
      <c r="S35" s="421" t="e">
        <f t="shared" si="11"/>
        <v>#N/A</v>
      </c>
      <c r="T35" s="421" t="e">
        <f t="shared" si="12"/>
        <v>#N/A</v>
      </c>
      <c r="U35" s="298" t="e">
        <f t="shared" si="13"/>
        <v>#N/A</v>
      </c>
      <c r="V35" s="298" t="e">
        <f t="shared" si="14"/>
        <v>#N/A</v>
      </c>
      <c r="W35" s="298" t="e">
        <f t="shared" si="15"/>
        <v>#N/A</v>
      </c>
      <c r="X35" s="298" t="e">
        <f t="shared" si="16"/>
        <v>#N/A</v>
      </c>
      <c r="Y35" s="298" t="e">
        <f t="shared" si="17"/>
        <v>#N/A</v>
      </c>
      <c r="Z35" s="417" t="e">
        <f t="shared" si="18"/>
        <v>#N/A</v>
      </c>
    </row>
    <row r="36" spans="2:26" ht="15" hidden="1" thickBot="1">
      <c r="B36" s="34"/>
      <c r="C36" s="367"/>
      <c r="D36" s="280"/>
      <c r="E36" s="280"/>
      <c r="F36" s="279"/>
      <c r="G36" s="280"/>
      <c r="H36" s="419"/>
      <c r="I36" s="369"/>
      <c r="J36" s="369"/>
      <c r="K36" s="422"/>
      <c r="L36" s="277"/>
      <c r="M36" s="375"/>
      <c r="N36" s="371"/>
      <c r="O36" s="372"/>
      <c r="P36" s="370"/>
      <c r="R36" s="278">
        <f t="shared" si="10"/>
        <v>0</v>
      </c>
      <c r="S36" s="421" t="e">
        <f t="shared" si="11"/>
        <v>#N/A</v>
      </c>
      <c r="T36" s="421" t="e">
        <f t="shared" si="12"/>
        <v>#N/A</v>
      </c>
      <c r="U36" s="298" t="e">
        <f t="shared" si="13"/>
        <v>#N/A</v>
      </c>
      <c r="V36" s="298" t="e">
        <f t="shared" si="14"/>
        <v>#N/A</v>
      </c>
      <c r="W36" s="298" t="e">
        <f t="shared" si="15"/>
        <v>#N/A</v>
      </c>
      <c r="X36" s="298" t="e">
        <f t="shared" si="16"/>
        <v>#N/A</v>
      </c>
      <c r="Y36" s="298" t="e">
        <f t="shared" si="17"/>
        <v>#N/A</v>
      </c>
      <c r="Z36" s="417" t="e">
        <f t="shared" si="18"/>
        <v>#N/A</v>
      </c>
    </row>
    <row r="37" spans="2:26" ht="15" hidden="1" thickBot="1">
      <c r="B37" s="34"/>
      <c r="C37" s="367"/>
      <c r="D37" s="280"/>
      <c r="E37" s="280"/>
      <c r="F37" s="279"/>
      <c r="G37" s="280"/>
      <c r="H37" s="419"/>
      <c r="I37" s="369"/>
      <c r="J37" s="369"/>
      <c r="K37" s="422"/>
      <c r="L37" s="277"/>
      <c r="M37" s="375"/>
      <c r="N37" s="371"/>
      <c r="O37" s="372"/>
      <c r="P37" s="370"/>
      <c r="R37" s="278">
        <f t="shared" si="10"/>
        <v>0</v>
      </c>
      <c r="S37" s="421" t="e">
        <f t="shared" si="11"/>
        <v>#N/A</v>
      </c>
      <c r="T37" s="421" t="e">
        <f t="shared" si="12"/>
        <v>#N/A</v>
      </c>
      <c r="U37" s="298" t="e">
        <f t="shared" si="13"/>
        <v>#N/A</v>
      </c>
      <c r="V37" s="298" t="e">
        <f t="shared" si="14"/>
        <v>#N/A</v>
      </c>
      <c r="W37" s="298" t="e">
        <f t="shared" si="15"/>
        <v>#N/A</v>
      </c>
      <c r="X37" s="298" t="e">
        <f t="shared" si="16"/>
        <v>#N/A</v>
      </c>
      <c r="Y37" s="298" t="e">
        <f t="shared" si="17"/>
        <v>#N/A</v>
      </c>
      <c r="Z37" s="417" t="e">
        <f t="shared" si="18"/>
        <v>#N/A</v>
      </c>
    </row>
    <row r="38" spans="2:26" ht="15" hidden="1" thickBot="1">
      <c r="B38" s="34"/>
      <c r="C38" s="367"/>
      <c r="D38" s="280"/>
      <c r="E38" s="280"/>
      <c r="F38" s="279"/>
      <c r="G38" s="280"/>
      <c r="H38" s="419"/>
      <c r="I38" s="369"/>
      <c r="J38" s="369"/>
      <c r="K38" s="422"/>
      <c r="L38" s="277"/>
      <c r="M38" s="375"/>
      <c r="N38" s="371"/>
      <c r="O38" s="372"/>
      <c r="P38" s="370"/>
      <c r="R38" s="278">
        <f t="shared" si="10"/>
        <v>0</v>
      </c>
      <c r="S38" s="421" t="e">
        <f t="shared" si="11"/>
        <v>#N/A</v>
      </c>
      <c r="T38" s="421" t="e">
        <f t="shared" si="12"/>
        <v>#N/A</v>
      </c>
      <c r="U38" s="298" t="e">
        <f t="shared" si="13"/>
        <v>#N/A</v>
      </c>
      <c r="V38" s="298" t="e">
        <f t="shared" si="14"/>
        <v>#N/A</v>
      </c>
      <c r="W38" s="298" t="e">
        <f t="shared" si="15"/>
        <v>#N/A</v>
      </c>
      <c r="X38" s="298" t="e">
        <f t="shared" si="16"/>
        <v>#N/A</v>
      </c>
      <c r="Y38" s="298" t="e">
        <f t="shared" si="17"/>
        <v>#N/A</v>
      </c>
      <c r="Z38" s="417" t="e">
        <f t="shared" si="18"/>
        <v>#N/A</v>
      </c>
    </row>
    <row r="39" spans="2:26" ht="15" hidden="1" thickBot="1">
      <c r="B39" s="34"/>
      <c r="C39" s="367"/>
      <c r="D39" s="280"/>
      <c r="E39" s="280"/>
      <c r="F39" s="279"/>
      <c r="G39" s="280"/>
      <c r="H39" s="419"/>
      <c r="I39" s="369"/>
      <c r="J39" s="369"/>
      <c r="K39" s="422"/>
      <c r="L39" s="277"/>
      <c r="M39" s="375"/>
      <c r="N39" s="371"/>
      <c r="O39" s="372"/>
      <c r="P39" s="370"/>
      <c r="R39" s="278">
        <f t="shared" si="10"/>
        <v>0</v>
      </c>
      <c r="S39" s="421" t="e">
        <f t="shared" si="11"/>
        <v>#N/A</v>
      </c>
      <c r="T39" s="421" t="e">
        <f t="shared" si="12"/>
        <v>#N/A</v>
      </c>
      <c r="U39" s="298" t="e">
        <f t="shared" si="13"/>
        <v>#N/A</v>
      </c>
      <c r="V39" s="298" t="e">
        <f t="shared" si="14"/>
        <v>#N/A</v>
      </c>
      <c r="W39" s="298" t="e">
        <f t="shared" si="15"/>
        <v>#N/A</v>
      </c>
      <c r="X39" s="298" t="e">
        <f t="shared" si="16"/>
        <v>#N/A</v>
      </c>
      <c r="Y39" s="298" t="e">
        <f t="shared" si="17"/>
        <v>#N/A</v>
      </c>
      <c r="Z39" s="417" t="e">
        <f t="shared" si="18"/>
        <v>#N/A</v>
      </c>
    </row>
    <row r="40" spans="2:26" ht="15" hidden="1" thickBot="1">
      <c r="B40" s="34"/>
      <c r="C40" s="367"/>
      <c r="D40" s="280"/>
      <c r="E40" s="280"/>
      <c r="F40" s="279"/>
      <c r="G40" s="280"/>
      <c r="H40" s="419"/>
      <c r="I40" s="369"/>
      <c r="J40" s="369"/>
      <c r="K40" s="422"/>
      <c r="L40" s="277"/>
      <c r="M40" s="375"/>
      <c r="N40" s="371"/>
      <c r="O40" s="372"/>
      <c r="P40" s="370"/>
      <c r="R40" s="278">
        <f t="shared" si="10"/>
        <v>0</v>
      </c>
      <c r="S40" s="421" t="e">
        <f t="shared" si="11"/>
        <v>#N/A</v>
      </c>
      <c r="T40" s="421" t="e">
        <f t="shared" si="12"/>
        <v>#N/A</v>
      </c>
      <c r="U40" s="298" t="e">
        <f t="shared" si="13"/>
        <v>#N/A</v>
      </c>
      <c r="V40" s="298" t="e">
        <f t="shared" si="14"/>
        <v>#N/A</v>
      </c>
      <c r="W40" s="298" t="e">
        <f t="shared" si="15"/>
        <v>#N/A</v>
      </c>
      <c r="X40" s="298" t="e">
        <f t="shared" si="16"/>
        <v>#N/A</v>
      </c>
      <c r="Y40" s="298" t="e">
        <f t="shared" si="17"/>
        <v>#N/A</v>
      </c>
      <c r="Z40" s="417" t="e">
        <f t="shared" si="18"/>
        <v>#N/A</v>
      </c>
    </row>
    <row r="41" spans="2:26" ht="15" hidden="1" thickBot="1">
      <c r="B41" s="34"/>
      <c r="C41" s="367"/>
      <c r="D41" s="280"/>
      <c r="E41" s="280"/>
      <c r="F41" s="279"/>
      <c r="G41" s="280"/>
      <c r="H41" s="419"/>
      <c r="I41" s="369"/>
      <c r="J41" s="369"/>
      <c r="K41" s="422"/>
      <c r="L41" s="277"/>
      <c r="M41" s="423"/>
      <c r="N41" s="371"/>
      <c r="O41" s="372"/>
      <c r="P41" s="370"/>
      <c r="R41" s="278">
        <f t="shared" si="10"/>
        <v>0</v>
      </c>
      <c r="S41" s="421" t="e">
        <f t="shared" si="11"/>
        <v>#N/A</v>
      </c>
      <c r="T41" s="421" t="e">
        <f t="shared" si="12"/>
        <v>#N/A</v>
      </c>
      <c r="U41" s="298" t="e">
        <f t="shared" si="13"/>
        <v>#N/A</v>
      </c>
      <c r="V41" s="298" t="e">
        <f t="shared" si="14"/>
        <v>#N/A</v>
      </c>
      <c r="W41" s="298" t="e">
        <f t="shared" si="15"/>
        <v>#N/A</v>
      </c>
      <c r="X41" s="298" t="e">
        <f t="shared" si="16"/>
        <v>#N/A</v>
      </c>
      <c r="Y41" s="298" t="e">
        <f t="shared" si="17"/>
        <v>#N/A</v>
      </c>
      <c r="Z41" s="417" t="e">
        <f t="shared" si="18"/>
        <v>#N/A</v>
      </c>
    </row>
    <row r="42" spans="2:26" ht="15" hidden="1" thickBot="1">
      <c r="B42" s="34"/>
      <c r="C42" s="367"/>
      <c r="D42" s="280"/>
      <c r="E42" s="280"/>
      <c r="F42" s="279"/>
      <c r="G42" s="280"/>
      <c r="H42" s="419"/>
      <c r="I42" s="369"/>
      <c r="J42" s="369"/>
      <c r="K42" s="422"/>
      <c r="L42" s="277"/>
      <c r="M42" s="423"/>
      <c r="N42" s="371"/>
      <c r="O42" s="372"/>
      <c r="P42" s="370"/>
      <c r="R42" s="278">
        <f t="shared" si="10"/>
        <v>0</v>
      </c>
      <c r="S42" s="421" t="e">
        <f t="shared" si="11"/>
        <v>#N/A</v>
      </c>
      <c r="T42" s="421" t="e">
        <f t="shared" si="12"/>
        <v>#N/A</v>
      </c>
      <c r="U42" s="298" t="e">
        <f t="shared" si="13"/>
        <v>#N/A</v>
      </c>
      <c r="V42" s="298" t="e">
        <f t="shared" si="14"/>
        <v>#N/A</v>
      </c>
      <c r="W42" s="298" t="e">
        <f t="shared" si="15"/>
        <v>#N/A</v>
      </c>
      <c r="X42" s="298" t="e">
        <f t="shared" si="16"/>
        <v>#N/A</v>
      </c>
      <c r="Y42" s="298" t="e">
        <f t="shared" si="17"/>
        <v>#N/A</v>
      </c>
      <c r="Z42" s="417" t="e">
        <f t="shared" si="18"/>
        <v>#N/A</v>
      </c>
    </row>
    <row r="43" spans="2:26" ht="15" hidden="1" thickBot="1">
      <c r="B43" s="34"/>
      <c r="C43" s="367"/>
      <c r="D43" s="280"/>
      <c r="E43" s="280"/>
      <c r="F43" s="279"/>
      <c r="G43" s="280"/>
      <c r="H43" s="419"/>
      <c r="I43" s="369"/>
      <c r="J43" s="369"/>
      <c r="K43" s="422"/>
      <c r="L43" s="277"/>
      <c r="M43" s="375"/>
      <c r="N43" s="371"/>
      <c r="O43" s="372"/>
      <c r="P43" s="370"/>
      <c r="R43" s="278">
        <f t="shared" si="10"/>
        <v>0</v>
      </c>
      <c r="S43" s="421" t="e">
        <f t="shared" si="11"/>
        <v>#N/A</v>
      </c>
      <c r="T43" s="421" t="e">
        <f t="shared" si="12"/>
        <v>#N/A</v>
      </c>
      <c r="U43" s="298" t="e">
        <f t="shared" si="13"/>
        <v>#N/A</v>
      </c>
      <c r="V43" s="298" t="e">
        <f t="shared" si="14"/>
        <v>#N/A</v>
      </c>
      <c r="W43" s="298" t="e">
        <f t="shared" si="15"/>
        <v>#N/A</v>
      </c>
      <c r="X43" s="298" t="e">
        <f t="shared" si="16"/>
        <v>#N/A</v>
      </c>
      <c r="Y43" s="298" t="e">
        <f t="shared" si="17"/>
        <v>#N/A</v>
      </c>
      <c r="Z43" s="417" t="e">
        <f t="shared" si="18"/>
        <v>#N/A</v>
      </c>
    </row>
    <row r="44" spans="2:26" ht="15" hidden="1" thickBot="1">
      <c r="B44" s="418"/>
      <c r="C44" s="367"/>
      <c r="D44" s="280"/>
      <c r="E44" s="280"/>
      <c r="F44" s="279"/>
      <c r="G44" s="280"/>
      <c r="H44" s="419"/>
      <c r="I44" s="369"/>
      <c r="J44" s="369"/>
      <c r="K44" s="282"/>
      <c r="L44" s="277"/>
      <c r="M44" s="420"/>
      <c r="N44" s="371"/>
      <c r="O44" s="372"/>
      <c r="P44" s="370"/>
      <c r="R44" s="278">
        <f t="shared" si="10"/>
        <v>0</v>
      </c>
      <c r="S44" s="421" t="e">
        <f t="shared" si="11"/>
        <v>#N/A</v>
      </c>
      <c r="T44" s="421" t="e">
        <f t="shared" si="12"/>
        <v>#N/A</v>
      </c>
      <c r="U44" s="298" t="e">
        <f t="shared" si="13"/>
        <v>#N/A</v>
      </c>
      <c r="V44" s="298" t="e">
        <f t="shared" si="14"/>
        <v>#N/A</v>
      </c>
      <c r="W44" s="298" t="e">
        <f t="shared" si="15"/>
        <v>#N/A</v>
      </c>
      <c r="X44" s="298" t="e">
        <f t="shared" si="16"/>
        <v>#N/A</v>
      </c>
      <c r="Y44" s="298" t="e">
        <f t="shared" si="17"/>
        <v>#N/A</v>
      </c>
      <c r="Z44" s="417" t="e">
        <f t="shared" si="18"/>
        <v>#N/A</v>
      </c>
    </row>
    <row r="45" spans="2:26" ht="15" hidden="1" thickBot="1">
      <c r="B45" s="418"/>
      <c r="C45" s="367"/>
      <c r="D45" s="280"/>
      <c r="E45" s="280"/>
      <c r="F45" s="279"/>
      <c r="G45" s="280"/>
      <c r="H45" s="419"/>
      <c r="I45" s="369"/>
      <c r="J45" s="369"/>
      <c r="K45" s="282"/>
      <c r="L45" s="277"/>
      <c r="M45" s="420"/>
      <c r="N45" s="371"/>
      <c r="O45" s="372"/>
      <c r="P45" s="370"/>
      <c r="R45" s="278">
        <f t="shared" si="10"/>
        <v>0</v>
      </c>
      <c r="S45" s="421" t="e">
        <f t="shared" si="11"/>
        <v>#N/A</v>
      </c>
      <c r="T45" s="421" t="e">
        <f t="shared" si="12"/>
        <v>#N/A</v>
      </c>
      <c r="U45" s="298" t="e">
        <f t="shared" si="13"/>
        <v>#N/A</v>
      </c>
      <c r="V45" s="298" t="e">
        <f t="shared" si="14"/>
        <v>#N/A</v>
      </c>
      <c r="W45" s="298" t="e">
        <f t="shared" si="15"/>
        <v>#N/A</v>
      </c>
      <c r="X45" s="298" t="e">
        <f t="shared" si="16"/>
        <v>#N/A</v>
      </c>
      <c r="Y45" s="298" t="e">
        <f t="shared" si="17"/>
        <v>#N/A</v>
      </c>
      <c r="Z45" s="417" t="e">
        <f t="shared" si="18"/>
        <v>#N/A</v>
      </c>
    </row>
    <row r="46" spans="2:26" ht="15" hidden="1" thickBot="1">
      <c r="B46" s="418"/>
      <c r="C46" s="367"/>
      <c r="D46" s="280"/>
      <c r="E46" s="280"/>
      <c r="F46" s="279"/>
      <c r="G46" s="280"/>
      <c r="H46" s="419"/>
      <c r="I46" s="369"/>
      <c r="J46" s="369"/>
      <c r="K46" s="282"/>
      <c r="L46" s="277"/>
      <c r="M46" s="420"/>
      <c r="N46" s="371"/>
      <c r="O46" s="372"/>
      <c r="P46" s="370"/>
      <c r="R46" s="278">
        <f t="shared" si="10"/>
        <v>0</v>
      </c>
      <c r="S46" s="421" t="e">
        <f t="shared" si="11"/>
        <v>#N/A</v>
      </c>
      <c r="T46" s="421" t="e">
        <f t="shared" si="12"/>
        <v>#N/A</v>
      </c>
      <c r="U46" s="298" t="e">
        <f t="shared" si="13"/>
        <v>#N/A</v>
      </c>
      <c r="V46" s="298" t="e">
        <f t="shared" si="14"/>
        <v>#N/A</v>
      </c>
      <c r="W46" s="298" t="e">
        <f t="shared" si="15"/>
        <v>#N/A</v>
      </c>
      <c r="X46" s="298" t="e">
        <f t="shared" si="16"/>
        <v>#N/A</v>
      </c>
      <c r="Y46" s="298" t="e">
        <f t="shared" si="17"/>
        <v>#N/A</v>
      </c>
      <c r="Z46" s="417" t="e">
        <f t="shared" si="18"/>
        <v>#N/A</v>
      </c>
    </row>
    <row r="47" spans="2:26" ht="15" hidden="1" thickBot="1">
      <c r="B47" s="418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R47" s="278">
        <f t="shared" si="10"/>
        <v>0</v>
      </c>
      <c r="S47" s="421" t="e">
        <f t="shared" si="11"/>
        <v>#N/A</v>
      </c>
      <c r="T47" s="421" t="e">
        <f t="shared" si="12"/>
        <v>#N/A</v>
      </c>
      <c r="U47" s="298" t="e">
        <f t="shared" si="13"/>
        <v>#N/A</v>
      </c>
      <c r="V47" s="298" t="e">
        <f t="shared" si="14"/>
        <v>#N/A</v>
      </c>
      <c r="W47" s="298" t="e">
        <f t="shared" si="15"/>
        <v>#N/A</v>
      </c>
      <c r="X47" s="298" t="e">
        <f t="shared" si="16"/>
        <v>#N/A</v>
      </c>
      <c r="Y47" s="298" t="e">
        <f t="shared" si="17"/>
        <v>#N/A</v>
      </c>
      <c r="Z47" s="417" t="e">
        <f t="shared" si="18"/>
        <v>#N/A</v>
      </c>
    </row>
    <row r="48" spans="2:26" ht="15" hidden="1" thickBo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R48" s="278">
        <f t="shared" si="10"/>
        <v>0</v>
      </c>
      <c r="S48" s="421" t="e">
        <f t="shared" si="11"/>
        <v>#N/A</v>
      </c>
      <c r="T48" s="421" t="e">
        <f t="shared" si="12"/>
        <v>#N/A</v>
      </c>
      <c r="U48" s="298" t="e">
        <f t="shared" si="13"/>
        <v>#N/A</v>
      </c>
      <c r="V48" s="298" t="e">
        <f t="shared" si="14"/>
        <v>#N/A</v>
      </c>
      <c r="W48" s="298" t="e">
        <f t="shared" si="15"/>
        <v>#N/A</v>
      </c>
      <c r="X48" s="298" t="e">
        <f t="shared" si="16"/>
        <v>#N/A</v>
      </c>
      <c r="Y48" s="298" t="e">
        <f t="shared" si="17"/>
        <v>#N/A</v>
      </c>
      <c r="Z48" s="417" t="e">
        <f t="shared" si="18"/>
        <v>#N/A</v>
      </c>
    </row>
    <row r="49" spans="1:26" ht="15.75" customHeight="1" thickBot="1">
      <c r="B49" s="359"/>
      <c r="C49" s="424"/>
      <c r="D49" s="359"/>
      <c r="E49" s="359"/>
      <c r="F49" s="295"/>
      <c r="G49" s="295"/>
      <c r="H49" s="349"/>
      <c r="I49" s="632" t="s">
        <v>34</v>
      </c>
      <c r="J49" s="632"/>
      <c r="K49" s="632"/>
      <c r="L49" s="632"/>
      <c r="M49" s="632"/>
      <c r="N49" s="632"/>
      <c r="O49" s="1"/>
      <c r="P49" s="12"/>
      <c r="R49" s="278">
        <f t="shared" si="10"/>
        <v>0</v>
      </c>
      <c r="S49" s="421" t="e">
        <f t="shared" si="11"/>
        <v>#N/A</v>
      </c>
      <c r="T49" s="421" t="e">
        <f t="shared" si="12"/>
        <v>#N/A</v>
      </c>
      <c r="U49" s="298" t="e">
        <f t="shared" si="13"/>
        <v>#N/A</v>
      </c>
      <c r="V49" s="298" t="e">
        <f t="shared" si="14"/>
        <v>#N/A</v>
      </c>
      <c r="W49" s="298" t="e">
        <f t="shared" si="15"/>
        <v>#N/A</v>
      </c>
      <c r="X49" s="298" t="e">
        <f t="shared" si="16"/>
        <v>#N/A</v>
      </c>
      <c r="Y49" s="298" t="e">
        <f t="shared" si="17"/>
        <v>#N/A</v>
      </c>
      <c r="Z49" s="417" t="e">
        <f t="shared" si="18"/>
        <v>#N/A</v>
      </c>
    </row>
    <row r="50" spans="1:26" ht="28.8" thickBot="1">
      <c r="B50" s="425" t="s">
        <v>145</v>
      </c>
      <c r="C50" s="426"/>
      <c r="D50" s="633" t="s">
        <v>35</v>
      </c>
      <c r="E50" s="634"/>
      <c r="F50" s="295"/>
      <c r="G50" s="295"/>
      <c r="H50" s="23"/>
      <c r="I50" s="24" t="s">
        <v>17</v>
      </c>
      <c r="J50" s="25" t="s">
        <v>146</v>
      </c>
      <c r="K50" s="26" t="s">
        <v>138</v>
      </c>
      <c r="L50" s="25" t="s">
        <v>37</v>
      </c>
      <c r="M50" s="25" t="s">
        <v>38</v>
      </c>
      <c r="N50" s="27" t="s">
        <v>39</v>
      </c>
      <c r="O50" s="295"/>
      <c r="P50" s="12"/>
      <c r="R50" s="278"/>
      <c r="S50" s="421"/>
      <c r="T50" s="421"/>
      <c r="U50" s="298"/>
      <c r="V50" s="298"/>
      <c r="W50" s="298"/>
      <c r="X50" s="298"/>
      <c r="Y50" s="298"/>
      <c r="Z50" s="417"/>
    </row>
    <row r="51" spans="1:26" ht="15" customHeight="1">
      <c r="A51" s="28"/>
      <c r="B51" s="635" t="str">
        <f>I51</f>
        <v>CARIB</v>
      </c>
      <c r="C51" s="427">
        <v>11.9</v>
      </c>
      <c r="D51" s="638">
        <v>11.7</v>
      </c>
      <c r="E51" s="592"/>
      <c r="F51" s="295"/>
      <c r="G51" s="295"/>
      <c r="H51" s="295"/>
      <c r="I51" s="29" t="s">
        <v>6</v>
      </c>
      <c r="J51" s="324"/>
      <c r="K51" s="285"/>
      <c r="L51" s="303"/>
      <c r="M51" s="303"/>
      <c r="N51" s="30">
        <v>98</v>
      </c>
      <c r="O51" s="11"/>
      <c r="P51" s="31"/>
      <c r="R51" s="278"/>
      <c r="S51" s="421"/>
      <c r="T51" s="421"/>
      <c r="U51" s="298"/>
      <c r="V51" s="298"/>
      <c r="W51" s="298"/>
      <c r="X51" s="298"/>
      <c r="Y51" s="298"/>
      <c r="Z51" s="417"/>
    </row>
    <row r="52" spans="1:26" ht="15" customHeight="1">
      <c r="A52" s="28"/>
      <c r="B52" s="636"/>
      <c r="C52" s="427">
        <v>11.7</v>
      </c>
      <c r="D52" s="580"/>
      <c r="E52" s="581"/>
      <c r="F52" s="295"/>
      <c r="G52" s="295"/>
      <c r="H52" s="32"/>
      <c r="I52" s="418" t="s">
        <v>9</v>
      </c>
      <c r="J52" s="324">
        <f>AVERAGE(I12:I15)</f>
        <v>95.939611894116439</v>
      </c>
      <c r="K52" s="285">
        <v>14</v>
      </c>
      <c r="L52" s="428">
        <f>AVERAGE([22]Brewhouse!$AS$15:$AS$28)</f>
        <v>95.91860109091941</v>
      </c>
      <c r="M52" s="428">
        <f>L52</f>
        <v>95.91860109091941</v>
      </c>
      <c r="N52" s="30">
        <v>98</v>
      </c>
      <c r="O52" s="11"/>
      <c r="P52" s="31"/>
      <c r="R52" s="278"/>
      <c r="S52" s="421"/>
      <c r="T52" s="421"/>
      <c r="U52" s="298"/>
      <c r="V52" s="298"/>
      <c r="W52" s="298"/>
      <c r="X52" s="298"/>
      <c r="Y52" s="298"/>
      <c r="Z52" s="417"/>
    </row>
    <row r="53" spans="1:26" ht="14.7" customHeight="1">
      <c r="A53" s="28"/>
      <c r="B53" s="636"/>
      <c r="C53" s="427">
        <v>11.6</v>
      </c>
      <c r="D53" s="626">
        <v>11.8</v>
      </c>
      <c r="E53" s="623"/>
      <c r="F53" s="295"/>
      <c r="G53" s="295"/>
      <c r="H53" s="32"/>
      <c r="I53" s="34" t="s">
        <v>12</v>
      </c>
      <c r="J53" s="327"/>
      <c r="K53" s="285"/>
      <c r="L53" s="428"/>
      <c r="M53" s="303"/>
      <c r="N53" s="30">
        <v>98</v>
      </c>
      <c r="O53" s="11"/>
      <c r="P53" s="31"/>
      <c r="R53" s="278"/>
      <c r="S53" s="421"/>
      <c r="T53" s="421"/>
      <c r="U53" s="298"/>
      <c r="V53" s="298"/>
      <c r="W53" s="298"/>
      <c r="X53" s="298"/>
      <c r="Y53" s="298"/>
      <c r="Z53" s="417"/>
    </row>
    <row r="54" spans="1:26" ht="14.7" customHeight="1">
      <c r="A54" s="28"/>
      <c r="B54" s="636"/>
      <c r="C54" s="427">
        <v>11.7</v>
      </c>
      <c r="D54" s="580"/>
      <c r="E54" s="581"/>
      <c r="F54" s="295"/>
      <c r="G54" s="295"/>
      <c r="H54" s="32"/>
      <c r="I54" s="22" t="s">
        <v>33</v>
      </c>
      <c r="J54" s="327"/>
      <c r="K54" s="285">
        <v>4</v>
      </c>
      <c r="L54" s="303">
        <v>96.702302381453876</v>
      </c>
      <c r="M54" s="303">
        <v>96.702302381453876</v>
      </c>
      <c r="N54" s="30">
        <v>98</v>
      </c>
      <c r="O54" s="11"/>
      <c r="P54" s="31"/>
      <c r="R54" s="278"/>
      <c r="S54" s="421"/>
      <c r="T54" s="421"/>
      <c r="U54" s="298"/>
      <c r="V54" s="298"/>
      <c r="W54" s="298"/>
      <c r="X54" s="298"/>
      <c r="Y54" s="298"/>
      <c r="Z54" s="417"/>
    </row>
    <row r="55" spans="1:26" ht="14.7" customHeight="1">
      <c r="A55" s="28"/>
      <c r="B55" s="636"/>
      <c r="C55" s="427"/>
      <c r="D55" s="626"/>
      <c r="E55" s="623"/>
      <c r="F55" s="295"/>
      <c r="G55" s="295"/>
      <c r="H55" s="32"/>
      <c r="I55" s="35" t="s">
        <v>29</v>
      </c>
      <c r="J55" s="327"/>
      <c r="K55" s="285"/>
      <c r="L55" s="303"/>
      <c r="M55" s="303"/>
      <c r="N55" s="30">
        <v>98</v>
      </c>
      <c r="O55" s="11"/>
      <c r="P55" s="31"/>
      <c r="R55" s="278"/>
      <c r="S55" s="421"/>
      <c r="T55" s="421"/>
      <c r="U55" s="298"/>
      <c r="V55" s="298"/>
      <c r="W55" s="298"/>
      <c r="X55" s="298"/>
      <c r="Y55" s="298"/>
      <c r="Z55" s="417"/>
    </row>
    <row r="56" spans="1:26" ht="14.7" customHeight="1">
      <c r="A56" s="28"/>
      <c r="B56" s="636"/>
      <c r="C56" s="427"/>
      <c r="D56" s="580"/>
      <c r="E56" s="581"/>
      <c r="F56" s="295"/>
      <c r="G56" s="295"/>
      <c r="H56" s="32"/>
      <c r="I56" s="36" t="s">
        <v>15</v>
      </c>
      <c r="J56" s="429"/>
      <c r="K56" s="285"/>
      <c r="L56" s="303"/>
      <c r="M56" s="303"/>
      <c r="N56" s="30">
        <v>98</v>
      </c>
      <c r="O56" s="11"/>
      <c r="P56" s="31"/>
      <c r="R56" s="278"/>
      <c r="S56" s="421"/>
      <c r="T56" s="421"/>
      <c r="U56" s="298"/>
      <c r="V56" s="298"/>
      <c r="W56" s="298"/>
      <c r="X56" s="298"/>
      <c r="Y56" s="298"/>
      <c r="Z56" s="417"/>
    </row>
    <row r="57" spans="1:26" ht="14.7" customHeight="1">
      <c r="A57" s="28"/>
      <c r="B57" s="636"/>
      <c r="C57" s="427"/>
      <c r="D57" s="626"/>
      <c r="E57" s="623"/>
      <c r="F57" s="295"/>
      <c r="G57" s="295"/>
      <c r="H57" s="32"/>
      <c r="I57" s="37" t="s">
        <v>16</v>
      </c>
      <c r="J57" s="430"/>
      <c r="K57" s="285"/>
      <c r="L57" s="303"/>
      <c r="M57" s="303"/>
      <c r="N57" s="30">
        <v>98</v>
      </c>
      <c r="O57" s="11"/>
      <c r="P57" s="31" t="s">
        <v>41</v>
      </c>
      <c r="R57" s="278"/>
      <c r="S57" s="421"/>
      <c r="T57" s="421"/>
      <c r="U57" s="298"/>
      <c r="V57" s="298"/>
      <c r="W57" s="298"/>
      <c r="X57" s="298"/>
      <c r="Y57" s="298"/>
      <c r="Z57" s="417"/>
    </row>
    <row r="58" spans="1:26" ht="14.7" customHeight="1">
      <c r="A58" s="28"/>
      <c r="B58" s="636"/>
      <c r="C58" s="427"/>
      <c r="D58" s="580"/>
      <c r="E58" s="581"/>
      <c r="F58" s="295"/>
      <c r="G58" s="295"/>
      <c r="H58" s="32"/>
      <c r="I58" s="307" t="s">
        <v>137</v>
      </c>
      <c r="J58" s="327">
        <f>AVERAGE(I17:I20)</f>
        <v>91.006888337619571</v>
      </c>
      <c r="K58" s="285">
        <v>4</v>
      </c>
      <c r="L58" s="306">
        <f>J58</f>
        <v>91.006888337619571</v>
      </c>
      <c r="M58" s="306">
        <f>L58</f>
        <v>91.006888337619571</v>
      </c>
      <c r="N58" s="30">
        <v>98</v>
      </c>
      <c r="O58" s="11"/>
      <c r="P58" s="31"/>
      <c r="R58" s="278"/>
      <c r="S58" s="421"/>
      <c r="T58" s="421"/>
      <c r="U58" s="298"/>
      <c r="V58" s="298"/>
      <c r="W58" s="298"/>
      <c r="X58" s="298"/>
      <c r="Y58" s="298"/>
      <c r="Z58" s="417"/>
    </row>
    <row r="59" spans="1:26" ht="15" thickBot="1">
      <c r="A59" s="28"/>
      <c r="B59" s="636"/>
      <c r="C59" s="427"/>
      <c r="D59" s="626"/>
      <c r="E59" s="623"/>
      <c r="F59" s="295"/>
      <c r="G59" s="295"/>
      <c r="H59" s="32"/>
      <c r="I59" s="38" t="s">
        <v>157</v>
      </c>
      <c r="J59" s="327"/>
      <c r="K59" s="285"/>
      <c r="L59" s="306"/>
      <c r="M59" s="329"/>
      <c r="N59" s="30">
        <v>98</v>
      </c>
      <c r="O59" s="11"/>
      <c r="P59" s="31"/>
      <c r="R59" s="278"/>
      <c r="S59" s="421"/>
      <c r="T59" s="421"/>
      <c r="U59" s="298"/>
      <c r="V59" s="298"/>
      <c r="W59" s="298"/>
      <c r="X59" s="298"/>
      <c r="Y59" s="298"/>
      <c r="Z59" s="417"/>
    </row>
    <row r="60" spans="1:26" ht="15" customHeight="1" thickBot="1">
      <c r="A60" s="28"/>
      <c r="B60" s="636"/>
      <c r="C60" s="427"/>
      <c r="D60" s="580"/>
      <c r="E60" s="581"/>
      <c r="F60" s="295"/>
      <c r="G60" s="295"/>
      <c r="H60" s="32"/>
      <c r="I60" s="431" t="s">
        <v>158</v>
      </c>
      <c r="J60" s="328"/>
      <c r="K60" s="285"/>
      <c r="L60" s="329"/>
      <c r="M60" s="329"/>
      <c r="N60" s="30">
        <v>98</v>
      </c>
      <c r="O60" s="11"/>
      <c r="P60" s="31"/>
      <c r="R60" s="278"/>
      <c r="S60" s="421"/>
      <c r="T60" s="421"/>
      <c r="U60" s="298"/>
      <c r="V60" s="298"/>
      <c r="W60" s="298"/>
      <c r="X60" s="298"/>
      <c r="Y60" s="298"/>
      <c r="Z60" s="417"/>
    </row>
    <row r="61" spans="1:26" ht="15" customHeight="1" thickTop="1" thickBot="1">
      <c r="A61" s="28"/>
      <c r="B61" s="636"/>
      <c r="C61" s="427"/>
      <c r="D61" s="626"/>
      <c r="E61" s="623"/>
      <c r="F61" s="295"/>
      <c r="G61" s="295"/>
      <c r="H61" s="32"/>
      <c r="I61" s="1"/>
      <c r="J61" s="39"/>
      <c r="K61" s="432">
        <f>SUM(K51:K60)</f>
        <v>22</v>
      </c>
      <c r="L61" s="433">
        <f>((L51*K51)+(L52*K52)+(L53*K53)+(L54*K54)+(L55*K55)+(K58*L58)+(L56*K56)+(L57*K57)+(L60*K60))/(K61)</f>
        <v>95.168053552234809</v>
      </c>
      <c r="M61" s="433">
        <f>L61</f>
        <v>95.168053552234809</v>
      </c>
      <c r="N61" s="30">
        <v>98</v>
      </c>
      <c r="O61" s="11"/>
      <c r="P61" s="31"/>
      <c r="R61" s="23"/>
    </row>
    <row r="62" spans="1:26" ht="15" customHeight="1">
      <c r="A62" s="28"/>
      <c r="B62" s="636"/>
      <c r="C62" s="427"/>
      <c r="D62" s="580"/>
      <c r="E62" s="581"/>
      <c r="F62" s="295"/>
      <c r="G62" s="295"/>
      <c r="H62" s="32"/>
      <c r="I62" s="1"/>
      <c r="J62" s="39"/>
      <c r="O62" s="11"/>
      <c r="P62" s="31"/>
      <c r="R62" s="23"/>
    </row>
    <row r="63" spans="1:26" ht="21.6" customHeight="1" thickBot="1">
      <c r="B63" s="637"/>
      <c r="C63" s="434"/>
      <c r="D63" s="626"/>
      <c r="E63" s="623"/>
      <c r="F63" s="295"/>
      <c r="G63" s="42"/>
      <c r="H63" s="41"/>
      <c r="I63" s="1"/>
      <c r="J63" s="42"/>
      <c r="K63" s="352"/>
      <c r="L63" s="349"/>
      <c r="M63" s="349"/>
      <c r="N63" s="11"/>
      <c r="O63" s="295"/>
      <c r="P63" s="12"/>
      <c r="R63" s="23"/>
    </row>
    <row r="64" spans="1:26" ht="15" thickBot="1">
      <c r="B64" s="647" t="str">
        <f>I54</f>
        <v>VITAMALT</v>
      </c>
      <c r="C64" s="435">
        <v>14.8</v>
      </c>
      <c r="D64" s="591">
        <v>16.510000000000002</v>
      </c>
      <c r="E64" s="592"/>
      <c r="F64" s="43"/>
      <c r="G64" s="41"/>
      <c r="H64" s="41"/>
      <c r="I64" s="1"/>
      <c r="J64" s="630" t="s">
        <v>129</v>
      </c>
      <c r="K64" s="631"/>
      <c r="L64" s="295"/>
      <c r="M64" s="295"/>
      <c r="N64" s="295"/>
      <c r="O64" s="295"/>
      <c r="P64" s="12"/>
      <c r="R64" s="23" t="s">
        <v>41</v>
      </c>
    </row>
    <row r="65" spans="2:56" ht="15.6" customHeight="1" thickBot="1">
      <c r="B65" s="648"/>
      <c r="C65" s="427">
        <v>14.7</v>
      </c>
      <c r="D65" s="593"/>
      <c r="E65" s="581"/>
      <c r="F65" s="43"/>
      <c r="G65" s="41"/>
      <c r="H65" s="42"/>
      <c r="I65" s="1"/>
      <c r="J65" s="398" t="s">
        <v>17</v>
      </c>
      <c r="K65" s="399" t="s">
        <v>147</v>
      </c>
      <c r="L65" s="595" t="s">
        <v>136</v>
      </c>
      <c r="M65" s="595"/>
      <c r="N65" s="596"/>
      <c r="O65" s="295"/>
      <c r="P65" s="12"/>
      <c r="R65" s="23"/>
    </row>
    <row r="66" spans="2:56" ht="15" customHeight="1" thickBot="1">
      <c r="B66" s="648"/>
      <c r="C66" s="427">
        <v>14.8</v>
      </c>
      <c r="D66" s="622">
        <v>16.48</v>
      </c>
      <c r="E66" s="623"/>
      <c r="F66" s="43"/>
      <c r="G66" s="41"/>
      <c r="H66" s="436"/>
      <c r="I66" s="1"/>
      <c r="J66" s="400" t="s">
        <v>6</v>
      </c>
      <c r="K66" s="437"/>
      <c r="L66" s="438" t="s">
        <v>37</v>
      </c>
      <c r="M66" s="439" t="s">
        <v>38</v>
      </c>
      <c r="N66" s="439" t="s">
        <v>84</v>
      </c>
      <c r="O66" s="295"/>
      <c r="P66" s="12"/>
      <c r="R66" s="23"/>
    </row>
    <row r="67" spans="2:56" ht="15" thickBot="1">
      <c r="B67" s="648"/>
      <c r="C67" s="427">
        <v>14.9</v>
      </c>
      <c r="D67" s="593"/>
      <c r="E67" s="581"/>
      <c r="F67" s="43"/>
      <c r="G67" s="41"/>
      <c r="H67" s="436"/>
      <c r="I67" s="1"/>
      <c r="J67" s="402" t="s">
        <v>9</v>
      </c>
      <c r="K67" s="437">
        <v>4</v>
      </c>
      <c r="L67" s="345">
        <f>AVERAGE('Jan 2nd'!K69,'Jan 3rd'!K69,'Jan 6th'!K54,'Jan 7th'!K76)</f>
        <v>5.5</v>
      </c>
      <c r="M67" s="326">
        <f>L67</f>
        <v>5.5</v>
      </c>
      <c r="N67" s="491"/>
      <c r="O67" s="295"/>
      <c r="P67" s="12"/>
      <c r="R67" s="23"/>
    </row>
    <row r="68" spans="2:56" ht="14.4">
      <c r="B68" s="648"/>
      <c r="C68" s="427"/>
      <c r="D68" s="622"/>
      <c r="E68" s="623"/>
      <c r="F68" s="43"/>
      <c r="G68" s="41"/>
      <c r="H68" s="436"/>
      <c r="I68" s="1"/>
      <c r="J68" s="403" t="s">
        <v>40</v>
      </c>
      <c r="K68" s="437"/>
      <c r="L68" s="295"/>
      <c r="M68" s="295"/>
      <c r="N68" s="295"/>
      <c r="O68" s="295"/>
      <c r="P68" s="12"/>
      <c r="R68" s="23"/>
    </row>
    <row r="69" spans="2:56" ht="15" customHeight="1">
      <c r="B69" s="648"/>
      <c r="C69" s="427"/>
      <c r="D69" s="593"/>
      <c r="E69" s="581"/>
      <c r="F69" s="43"/>
      <c r="G69" s="41"/>
      <c r="H69" s="436"/>
      <c r="I69" s="1"/>
      <c r="J69" s="404" t="s">
        <v>33</v>
      </c>
      <c r="K69" s="437"/>
      <c r="L69" s="295"/>
      <c r="M69" s="295"/>
      <c r="N69" s="295"/>
      <c r="O69" s="295"/>
      <c r="P69" s="12"/>
      <c r="R69" s="23"/>
    </row>
    <row r="70" spans="2:56" ht="14.4">
      <c r="B70" s="648"/>
      <c r="C70" s="427"/>
      <c r="D70" s="622"/>
      <c r="E70" s="623"/>
      <c r="F70" s="43"/>
      <c r="G70" s="41"/>
      <c r="H70" s="436"/>
      <c r="I70" s="1"/>
      <c r="J70" s="405" t="s">
        <v>16</v>
      </c>
      <c r="K70" s="437"/>
      <c r="L70" s="295"/>
      <c r="M70" s="295"/>
      <c r="N70" s="295"/>
      <c r="O70" s="295"/>
      <c r="P70" s="12"/>
      <c r="R70" s="23"/>
      <c r="BC70" s="44"/>
      <c r="BD70" s="44"/>
    </row>
    <row r="71" spans="2:56" ht="14.4">
      <c r="B71" s="648"/>
      <c r="C71" s="427"/>
      <c r="D71" s="593"/>
      <c r="E71" s="581"/>
      <c r="F71" s="43"/>
      <c r="G71" s="41"/>
      <c r="H71" s="436"/>
      <c r="I71" s="1"/>
      <c r="J71" s="406" t="s">
        <v>15</v>
      </c>
      <c r="K71" s="437"/>
      <c r="L71" s="295"/>
      <c r="M71" s="295"/>
      <c r="N71" s="295"/>
      <c r="O71" s="295"/>
      <c r="P71" s="12"/>
      <c r="R71" s="23"/>
      <c r="T71" s="316"/>
      <c r="BC71" s="44"/>
      <c r="BD71" s="44"/>
    </row>
    <row r="72" spans="2:56" ht="14.4">
      <c r="B72" s="648"/>
      <c r="C72" s="427"/>
      <c r="D72" s="622"/>
      <c r="E72" s="623"/>
      <c r="F72" s="43"/>
      <c r="G72" s="41"/>
      <c r="H72" s="436"/>
      <c r="I72" s="1"/>
      <c r="J72" s="406" t="s">
        <v>149</v>
      </c>
      <c r="K72" s="401"/>
      <c r="L72" s="295"/>
      <c r="M72" s="295"/>
      <c r="N72" s="295"/>
      <c r="O72" s="295"/>
      <c r="P72" s="12"/>
      <c r="R72" s="23"/>
      <c r="BC72" s="44"/>
      <c r="BD72" s="44"/>
    </row>
    <row r="73" spans="2:56" ht="15" thickBot="1">
      <c r="B73" s="649"/>
      <c r="C73" s="434"/>
      <c r="D73" s="624"/>
      <c r="E73" s="625"/>
      <c r="F73" s="43"/>
      <c r="G73" s="41"/>
      <c r="H73" s="436"/>
      <c r="I73" s="1"/>
      <c r="J73" s="406" t="s">
        <v>148</v>
      </c>
      <c r="K73" s="401"/>
      <c r="L73" s="295"/>
      <c r="M73" s="295"/>
      <c r="N73" s="295"/>
      <c r="O73" s="295"/>
      <c r="P73" s="12"/>
      <c r="R73" s="23"/>
      <c r="BC73" s="44"/>
      <c r="BD73" s="44"/>
    </row>
    <row r="74" spans="2:56" ht="17.7" customHeight="1" thickBot="1">
      <c r="B74" s="313"/>
      <c r="C74" s="314"/>
      <c r="D74" s="601">
        <f>AVERAGE(D51:E73)</f>
        <v>14.122500000000002</v>
      </c>
      <c r="E74" s="602"/>
      <c r="F74" s="43"/>
      <c r="G74" s="41"/>
      <c r="H74" s="436"/>
      <c r="I74" s="1"/>
      <c r="J74" s="407" t="s">
        <v>134</v>
      </c>
      <c r="K74" s="401">
        <v>4</v>
      </c>
      <c r="L74" s="295"/>
      <c r="M74" s="295"/>
      <c r="N74" s="295"/>
      <c r="O74" s="295"/>
      <c r="P74" s="12"/>
      <c r="R74" s="23"/>
      <c r="BC74" s="44"/>
      <c r="BD74" s="44"/>
    </row>
    <row r="75" spans="2:56" ht="17.7" customHeight="1">
      <c r="B75" s="364"/>
      <c r="C75" s="365"/>
      <c r="D75" s="366"/>
      <c r="E75" s="366"/>
      <c r="F75" s="43"/>
      <c r="G75" s="41"/>
      <c r="H75" s="436"/>
      <c r="I75" s="1"/>
      <c r="J75" s="407" t="s">
        <v>131</v>
      </c>
      <c r="K75" s="401"/>
      <c r="L75" s="295"/>
      <c r="M75" s="295"/>
      <c r="N75" s="295"/>
      <c r="O75" s="295"/>
      <c r="P75" s="12"/>
      <c r="R75" s="23"/>
      <c r="BC75" s="44"/>
      <c r="BD75" s="44"/>
    </row>
    <row r="76" spans="2:56" ht="15.75" customHeight="1" thickBot="1">
      <c r="B76" s="45"/>
      <c r="C76" s="11"/>
      <c r="D76" s="11"/>
      <c r="E76" s="46"/>
      <c r="F76" s="23"/>
      <c r="G76" s="11"/>
      <c r="H76" s="436"/>
      <c r="I76" s="1"/>
      <c r="J76" s="408" t="s">
        <v>130</v>
      </c>
      <c r="K76" s="409">
        <f>SUM(K66:K75)</f>
        <v>8</v>
      </c>
      <c r="L76" s="295"/>
      <c r="M76" s="295"/>
      <c r="N76" s="295"/>
      <c r="O76" s="295"/>
      <c r="P76" s="12"/>
    </row>
    <row r="77" spans="2:56" ht="20.25" customHeight="1">
      <c r="B77" s="15" t="s">
        <v>42</v>
      </c>
      <c r="C77" s="1" t="s">
        <v>43</v>
      </c>
      <c r="D77" s="1"/>
      <c r="E77" s="1"/>
      <c r="I77" s="1"/>
      <c r="L77" s="295"/>
      <c r="P77" s="335"/>
    </row>
    <row r="78" spans="2:56" ht="15" customHeight="1" thickBot="1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/>
      <c r="O78" s="48"/>
      <c r="P78" s="49"/>
      <c r="W78" s="276" t="s">
        <v>41</v>
      </c>
    </row>
    <row r="79" spans="2:56" ht="15" customHeight="1" thickBot="1">
      <c r="B79" s="603" t="s">
        <v>17</v>
      </c>
      <c r="C79" s="603" t="s">
        <v>44</v>
      </c>
      <c r="D79" s="605" t="s">
        <v>45</v>
      </c>
      <c r="E79" s="560" t="s">
        <v>46</v>
      </c>
      <c r="F79" s="620" t="s">
        <v>47</v>
      </c>
      <c r="G79" s="614" t="s">
        <v>48</v>
      </c>
      <c r="H79" s="603" t="s">
        <v>49</v>
      </c>
      <c r="I79" s="616" t="s">
        <v>50</v>
      </c>
      <c r="J79" s="608" t="s">
        <v>28</v>
      </c>
      <c r="K79" s="558" t="s">
        <v>51</v>
      </c>
      <c r="L79" s="570" t="s">
        <v>52</v>
      </c>
      <c r="M79" s="608" t="s">
        <v>53</v>
      </c>
      <c r="N79" s="13"/>
      <c r="O79" s="13"/>
      <c r="P79" s="50"/>
    </row>
    <row r="80" spans="2:56" ht="28.5" customHeight="1" thickTop="1" thickBot="1">
      <c r="B80" s="604"/>
      <c r="C80" s="604"/>
      <c r="D80" s="606"/>
      <c r="E80" s="607"/>
      <c r="F80" s="621"/>
      <c r="G80" s="615"/>
      <c r="H80" s="604"/>
      <c r="I80" s="617"/>
      <c r="J80" s="609"/>
      <c r="K80" s="618"/>
      <c r="L80" s="619"/>
      <c r="M80" s="609"/>
      <c r="N80" s="13"/>
      <c r="O80" s="13"/>
      <c r="P80" s="50"/>
      <c r="Q80" s="356"/>
      <c r="R80" s="356"/>
      <c r="S80" s="356"/>
      <c r="T80" s="440">
        <v>43466</v>
      </c>
      <c r="U80" s="440">
        <v>43467</v>
      </c>
      <c r="V80" s="440">
        <v>43468</v>
      </c>
      <c r="W80" s="440">
        <v>43469</v>
      </c>
      <c r="X80" s="440">
        <v>43470</v>
      </c>
      <c r="Y80" s="440">
        <v>43471</v>
      </c>
      <c r="Z80" s="440">
        <v>43472</v>
      </c>
      <c r="AA80" s="440">
        <v>43473</v>
      </c>
      <c r="AB80" s="440">
        <v>43474</v>
      </c>
      <c r="AC80" s="440">
        <v>43475</v>
      </c>
      <c r="AD80" s="440">
        <v>43476</v>
      </c>
      <c r="AE80" s="440">
        <v>43477</v>
      </c>
      <c r="AF80" s="440">
        <v>43478</v>
      </c>
      <c r="AG80" s="440">
        <v>43479</v>
      </c>
      <c r="AH80" s="440">
        <v>43480</v>
      </c>
      <c r="AI80" s="440">
        <v>43481</v>
      </c>
      <c r="AJ80" s="440">
        <v>43482</v>
      </c>
      <c r="AK80" s="440">
        <v>43483</v>
      </c>
      <c r="AL80" s="440">
        <v>43484</v>
      </c>
      <c r="AM80" s="440">
        <v>43485</v>
      </c>
      <c r="AN80" s="440">
        <v>43486</v>
      </c>
      <c r="AO80" s="440">
        <v>43487</v>
      </c>
      <c r="AP80" s="440">
        <v>43488</v>
      </c>
      <c r="AQ80" s="440">
        <v>43489</v>
      </c>
      <c r="AR80" s="440">
        <v>43490</v>
      </c>
      <c r="AS80" s="440">
        <v>43491</v>
      </c>
      <c r="AT80" s="440">
        <v>43492</v>
      </c>
      <c r="AU80" s="440">
        <v>43493</v>
      </c>
      <c r="AV80" s="440">
        <v>43494</v>
      </c>
      <c r="AW80" s="440">
        <v>43495</v>
      </c>
      <c r="AX80" s="440">
        <v>43496</v>
      </c>
    </row>
    <row r="81" spans="2:49" s="54" customFormat="1" ht="46.2" customHeight="1" thickBot="1">
      <c r="B81" s="388" t="str">
        <f>B90</f>
        <v>CARIB</v>
      </c>
      <c r="C81" s="442">
        <v>45664</v>
      </c>
      <c r="D81" s="443">
        <f>SUM([23]January_2025!$J$3)</f>
        <v>202.29999999999998</v>
      </c>
      <c r="E81" s="444"/>
      <c r="F81" s="445"/>
      <c r="G81" s="443">
        <f>[23]January_2025!$J$7</f>
        <v>181.2</v>
      </c>
      <c r="H81" s="446"/>
      <c r="I81" s="446"/>
      <c r="J81" s="391" t="s">
        <v>180</v>
      </c>
      <c r="K81" s="447">
        <f>[24]January_2025!$J$18</f>
        <v>0.63578947368421046</v>
      </c>
      <c r="L81" s="448">
        <f>(((D81+E81)-G81)/(D81+E81))*100</f>
        <v>10.430054374691052</v>
      </c>
      <c r="M81" s="449" t="s">
        <v>179</v>
      </c>
      <c r="N81" s="273"/>
      <c r="O81" s="450"/>
      <c r="P81" s="50" t="s">
        <v>41</v>
      </c>
      <c r="S81" s="273" t="s">
        <v>54</v>
      </c>
      <c r="T81" s="411"/>
      <c r="U81" s="411"/>
      <c r="V81" s="411"/>
      <c r="W81" s="411"/>
      <c r="X81" s="411"/>
      <c r="Y81" s="411"/>
      <c r="Z81" s="411"/>
      <c r="AA81" s="411"/>
      <c r="AB81" s="411"/>
      <c r="AC81" s="411"/>
      <c r="AD81" s="411"/>
      <c r="AE81" s="411"/>
      <c r="AF81" s="411"/>
      <c r="AG81" s="411"/>
      <c r="AH81" s="411"/>
      <c r="AI81" s="411"/>
      <c r="AJ81" s="411"/>
      <c r="AK81" s="411"/>
      <c r="AL81" s="411"/>
      <c r="AM81" s="411"/>
      <c r="AN81" s="411"/>
      <c r="AO81" s="411"/>
      <c r="AP81" s="411"/>
      <c r="AQ81" s="411"/>
      <c r="AR81" s="411"/>
      <c r="AS81" s="411"/>
      <c r="AT81" s="411"/>
      <c r="AU81" s="411"/>
      <c r="AV81" s="411"/>
      <c r="AW81" s="411"/>
    </row>
    <row r="82" spans="2:49" s="54" customFormat="1" ht="24.6" customHeight="1" thickBot="1">
      <c r="B82" s="441"/>
      <c r="C82" s="451"/>
      <c r="D82" s="452"/>
      <c r="E82" s="453"/>
      <c r="F82" s="454"/>
      <c r="G82" s="452"/>
      <c r="H82" s="412"/>
      <c r="I82" s="455"/>
      <c r="J82" s="456"/>
      <c r="K82" s="457"/>
      <c r="L82" s="458"/>
      <c r="M82" s="459"/>
      <c r="N82" s="273"/>
      <c r="O82" s="450"/>
      <c r="P82" s="50"/>
      <c r="S82" s="273"/>
      <c r="T82" s="411"/>
      <c r="U82" s="411"/>
      <c r="V82" s="411"/>
      <c r="W82" s="411"/>
      <c r="X82" s="411"/>
      <c r="Y82" s="411"/>
      <c r="Z82" s="411"/>
      <c r="AA82" s="411"/>
      <c r="AB82" s="411"/>
      <c r="AC82" s="411"/>
      <c r="AD82" s="411"/>
      <c r="AE82" s="411"/>
      <c r="AF82" s="411"/>
      <c r="AG82" s="411"/>
      <c r="AH82" s="411"/>
      <c r="AI82" s="411"/>
      <c r="AJ82" s="411"/>
      <c r="AK82" s="411"/>
      <c r="AL82" s="411"/>
      <c r="AM82" s="411"/>
      <c r="AN82" s="411"/>
      <c r="AO82" s="411"/>
      <c r="AP82" s="411"/>
      <c r="AQ82" s="411"/>
      <c r="AR82" s="411"/>
      <c r="AS82" s="411"/>
      <c r="AT82" s="411"/>
      <c r="AU82" s="411"/>
      <c r="AV82" s="411"/>
      <c r="AW82" s="411"/>
    </row>
    <row r="83" spans="2:49" s="54" customFormat="1" ht="42.6" customHeight="1" thickBot="1">
      <c r="B83" s="509" t="str">
        <f>B93</f>
        <v>VITAMALT</v>
      </c>
      <c r="C83" s="442">
        <v>45664</v>
      </c>
      <c r="D83" s="443">
        <f>[23]January_2025!$K$65</f>
        <v>188.4</v>
      </c>
      <c r="E83" s="444">
        <f>[23]January_2025!$K$68</f>
        <v>599.41999999999985</v>
      </c>
      <c r="F83" s="445"/>
      <c r="G83" s="443">
        <f>[23]January_2025!$K$70</f>
        <v>192.2</v>
      </c>
      <c r="H83" s="446"/>
      <c r="I83" s="446"/>
      <c r="J83" s="391" t="s">
        <v>181</v>
      </c>
      <c r="K83" s="460">
        <f>[24]January_2025!$J$60</f>
        <v>0.67438596491228064</v>
      </c>
      <c r="L83" s="461">
        <f>(((D83+E83)-G83)/(D83+E83))*100</f>
        <v>75.603564265949075</v>
      </c>
      <c r="M83" s="449" t="s">
        <v>178</v>
      </c>
      <c r="N83" s="273"/>
      <c r="O83" s="450"/>
      <c r="P83" s="50"/>
      <c r="S83" s="273"/>
      <c r="T83" s="411"/>
      <c r="U83" s="411"/>
      <c r="V83" s="411"/>
      <c r="W83" s="411"/>
      <c r="X83" s="411"/>
      <c r="Y83" s="411"/>
      <c r="Z83" s="411"/>
      <c r="AA83" s="411"/>
      <c r="AB83" s="411"/>
      <c r="AC83" s="411"/>
      <c r="AD83" s="411"/>
      <c r="AE83" s="411"/>
      <c r="AF83" s="411"/>
      <c r="AG83" s="411"/>
      <c r="AH83" s="411"/>
      <c r="AI83" s="411"/>
      <c r="AJ83" s="411"/>
      <c r="AK83" s="411"/>
      <c r="AL83" s="411"/>
      <c r="AM83" s="411"/>
      <c r="AN83" s="411"/>
      <c r="AO83" s="411"/>
      <c r="AP83" s="411"/>
      <c r="AQ83" s="411"/>
      <c r="AR83" s="411"/>
      <c r="AS83" s="411"/>
      <c r="AT83" s="411"/>
      <c r="AU83" s="411"/>
      <c r="AV83" s="411"/>
      <c r="AW83" s="411"/>
    </row>
    <row r="84" spans="2:49" s="54" customFormat="1" ht="24.6" hidden="1" customHeight="1" thickBot="1">
      <c r="B84" s="462"/>
      <c r="C84" s="463"/>
      <c r="D84" s="464"/>
      <c r="E84" s="465"/>
      <c r="F84" s="466"/>
      <c r="G84" s="464"/>
      <c r="H84" s="467"/>
      <c r="I84" s="468"/>
      <c r="J84" s="469"/>
      <c r="K84" s="470"/>
      <c r="L84" s="471"/>
      <c r="M84" s="472"/>
      <c r="N84" s="273"/>
      <c r="O84" s="450"/>
      <c r="P84" s="50"/>
      <c r="S84" s="273"/>
      <c r="T84" s="411"/>
      <c r="U84" s="411"/>
      <c r="V84" s="411"/>
      <c r="W84" s="411"/>
      <c r="X84" s="411"/>
      <c r="Y84" s="411"/>
      <c r="Z84" s="411"/>
      <c r="AA84" s="411"/>
      <c r="AB84" s="411"/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11"/>
      <c r="AP84" s="411"/>
      <c r="AQ84" s="411"/>
      <c r="AR84" s="411"/>
      <c r="AS84" s="411"/>
      <c r="AT84" s="411"/>
      <c r="AU84" s="411"/>
      <c r="AV84" s="411"/>
      <c r="AW84" s="411"/>
    </row>
    <row r="85" spans="2:49" s="54" customFormat="1" ht="42.6" hidden="1" customHeight="1" thickBot="1">
      <c r="B85" s="473"/>
      <c r="C85" s="442"/>
      <c r="D85" s="443"/>
      <c r="E85" s="444"/>
      <c r="F85" s="445"/>
      <c r="G85" s="443"/>
      <c r="H85" s="474"/>
      <c r="I85" s="383"/>
      <c r="J85" s="475" t="s">
        <v>160</v>
      </c>
      <c r="K85" s="476"/>
      <c r="L85" s="477" t="e">
        <f>(((D85+E85)-G85)/(D85+E85))*100</f>
        <v>#DIV/0!</v>
      </c>
      <c r="M85" s="449" t="s">
        <v>161</v>
      </c>
      <c r="N85" s="273"/>
      <c r="O85" s="450"/>
      <c r="P85" s="50"/>
      <c r="S85" s="273"/>
      <c r="T85" s="411"/>
      <c r="U85" s="411"/>
      <c r="V85" s="411"/>
      <c r="W85" s="411"/>
      <c r="X85" s="411"/>
      <c r="Y85" s="411"/>
      <c r="Z85" s="411"/>
      <c r="AA85" s="411"/>
      <c r="AB85" s="411"/>
      <c r="AC85" s="411"/>
      <c r="AD85" s="411"/>
      <c r="AE85" s="411"/>
      <c r="AF85" s="411"/>
      <c r="AG85" s="411"/>
      <c r="AH85" s="411"/>
      <c r="AI85" s="411"/>
      <c r="AJ85" s="411"/>
      <c r="AK85" s="411"/>
      <c r="AL85" s="411"/>
      <c r="AM85" s="411"/>
      <c r="AN85" s="411"/>
      <c r="AO85" s="411"/>
      <c r="AP85" s="411"/>
      <c r="AQ85" s="411"/>
      <c r="AR85" s="411"/>
      <c r="AS85" s="411"/>
      <c r="AT85" s="411"/>
      <c r="AU85" s="411"/>
      <c r="AV85" s="411"/>
      <c r="AW85" s="411"/>
    </row>
    <row r="86" spans="2:49" ht="14.4" thickBot="1">
      <c r="B86" s="478"/>
      <c r="C86" s="479"/>
      <c r="D86" s="410"/>
      <c r="E86" s="410"/>
      <c r="F86" s="410"/>
      <c r="G86" s="410"/>
      <c r="H86" s="480"/>
      <c r="I86" s="354"/>
      <c r="J86" s="52"/>
      <c r="K86" s="52"/>
      <c r="L86" s="481"/>
      <c r="M86" s="482"/>
      <c r="N86" s="77"/>
      <c r="O86" s="13"/>
      <c r="P86" s="56"/>
    </row>
    <row r="87" spans="2:49" ht="14.4" thickBot="1">
      <c r="B87" s="58"/>
      <c r="C87" s="310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9"/>
      <c r="O87" s="56"/>
      <c r="P87" s="60"/>
    </row>
    <row r="88" spans="2:49" ht="14.4" thickBot="1">
      <c r="B88" s="610" t="s">
        <v>55</v>
      </c>
      <c r="C88" s="611"/>
      <c r="D88" s="611"/>
      <c r="E88" s="611"/>
      <c r="F88" s="612"/>
      <c r="G88" s="610" t="s">
        <v>56</v>
      </c>
      <c r="H88" s="611"/>
      <c r="I88" s="611"/>
      <c r="J88" s="612"/>
      <c r="K88" s="610" t="s">
        <v>51</v>
      </c>
      <c r="L88" s="611"/>
      <c r="M88" s="611"/>
      <c r="N88" s="613"/>
      <c r="O88" s="56"/>
      <c r="P88" s="50"/>
    </row>
    <row r="89" spans="2:49">
      <c r="B89" s="61" t="s">
        <v>17</v>
      </c>
      <c r="C89" s="62" t="s">
        <v>36</v>
      </c>
      <c r="D89" s="62" t="s">
        <v>37</v>
      </c>
      <c r="E89" s="62" t="s">
        <v>38</v>
      </c>
      <c r="F89" s="63" t="s">
        <v>39</v>
      </c>
      <c r="G89" s="62" t="s">
        <v>36</v>
      </c>
      <c r="H89" s="62" t="s">
        <v>37</v>
      </c>
      <c r="I89" s="62" t="s">
        <v>38</v>
      </c>
      <c r="J89" s="63" t="s">
        <v>39</v>
      </c>
      <c r="K89" s="62" t="s">
        <v>36</v>
      </c>
      <c r="L89" s="62" t="s">
        <v>37</v>
      </c>
      <c r="M89" s="62" t="s">
        <v>38</v>
      </c>
      <c r="N89" s="63" t="s">
        <v>39</v>
      </c>
      <c r="O89" s="56"/>
      <c r="P89" s="64"/>
    </row>
    <row r="90" spans="2:49">
      <c r="B90" s="29" t="s">
        <v>6</v>
      </c>
      <c r="C90" s="76">
        <f>L81</f>
        <v>10.430054374691052</v>
      </c>
      <c r="D90" s="76"/>
      <c r="E90" s="76"/>
      <c r="F90" s="66">
        <v>4.8</v>
      </c>
      <c r="G90" s="76">
        <f>[23]January_2025!$J$11</f>
        <v>10.430054374691043</v>
      </c>
      <c r="H90" s="76"/>
      <c r="I90" s="76"/>
      <c r="J90" s="66">
        <v>4.8</v>
      </c>
      <c r="K90" s="194">
        <f>K81</f>
        <v>0.63578947368421046</v>
      </c>
      <c r="L90" s="194"/>
      <c r="M90" s="194"/>
      <c r="N90" s="68">
        <v>1</v>
      </c>
      <c r="O90" s="56"/>
      <c r="P90" s="69"/>
    </row>
    <row r="91" spans="2:49" ht="14.25" customHeight="1">
      <c r="B91" s="33" t="s">
        <v>9</v>
      </c>
      <c r="C91" s="76"/>
      <c r="D91" s="76"/>
      <c r="E91" s="76"/>
      <c r="F91" s="66">
        <v>4.8</v>
      </c>
      <c r="G91" s="76"/>
      <c r="H91" s="76"/>
      <c r="I91" s="76"/>
      <c r="J91" s="66">
        <v>4.8</v>
      </c>
      <c r="K91" s="194"/>
      <c r="L91" s="194"/>
      <c r="M91" s="194"/>
      <c r="N91" s="68">
        <v>1</v>
      </c>
      <c r="P91" s="69"/>
    </row>
    <row r="92" spans="2:49" ht="14.25" customHeight="1">
      <c r="B92" s="34" t="s">
        <v>40</v>
      </c>
      <c r="C92" s="76"/>
      <c r="D92" s="76"/>
      <c r="E92" s="76"/>
      <c r="F92" s="66">
        <v>5.5</v>
      </c>
      <c r="G92" s="76"/>
      <c r="H92" s="76"/>
      <c r="I92" s="76"/>
      <c r="J92" s="66">
        <v>5.5</v>
      </c>
      <c r="K92" s="194"/>
      <c r="L92" s="194"/>
      <c r="M92" s="194"/>
      <c r="N92" s="68">
        <v>1</v>
      </c>
      <c r="P92" s="69"/>
    </row>
    <row r="93" spans="2:49" ht="14.25" customHeight="1">
      <c r="B93" s="22" t="s">
        <v>33</v>
      </c>
      <c r="C93" s="76"/>
      <c r="D93" s="76"/>
      <c r="E93" s="76"/>
      <c r="F93" s="66">
        <v>3.3</v>
      </c>
      <c r="G93" s="76"/>
      <c r="H93" s="76"/>
      <c r="I93" s="76"/>
      <c r="J93" s="66">
        <v>3.3</v>
      </c>
      <c r="K93" s="194"/>
      <c r="L93" s="194"/>
      <c r="M93" s="194"/>
      <c r="N93" s="68">
        <v>1</v>
      </c>
      <c r="P93" s="69"/>
    </row>
    <row r="94" spans="2:49" ht="14.25" customHeight="1" thickBot="1">
      <c r="B94" s="38" t="s">
        <v>162</v>
      </c>
      <c r="C94" s="76"/>
      <c r="D94" s="76"/>
      <c r="E94" s="76"/>
      <c r="F94" s="66">
        <v>3.3</v>
      </c>
      <c r="G94" s="76"/>
      <c r="H94" s="76"/>
      <c r="I94" s="76"/>
      <c r="J94" s="66">
        <v>3</v>
      </c>
      <c r="K94" s="194"/>
      <c r="L94" s="194"/>
      <c r="M94" s="194"/>
      <c r="N94" s="68">
        <v>1</v>
      </c>
      <c r="P94" s="69"/>
    </row>
    <row r="95" spans="2:49" ht="14.25" customHeight="1">
      <c r="B95" s="36" t="s">
        <v>15</v>
      </c>
      <c r="C95" s="76"/>
      <c r="D95" s="76"/>
      <c r="E95" s="76"/>
      <c r="F95" s="70">
        <f>[21]May_2022!$M$43</f>
        <v>3.4878406700073312</v>
      </c>
      <c r="G95" s="76"/>
      <c r="H95" s="76"/>
      <c r="I95" s="76"/>
      <c r="J95" s="70">
        <v>5.5</v>
      </c>
      <c r="K95" s="194"/>
      <c r="L95" s="194"/>
      <c r="M95" s="194"/>
      <c r="N95" s="68">
        <v>1</v>
      </c>
      <c r="P95" s="69"/>
    </row>
    <row r="96" spans="2:49" ht="14.25" customHeight="1">
      <c r="B96" s="37" t="s">
        <v>16</v>
      </c>
      <c r="C96" s="76"/>
      <c r="D96" s="76"/>
      <c r="E96" s="76"/>
      <c r="F96" s="70">
        <v>3.3</v>
      </c>
      <c r="G96" s="76"/>
      <c r="H96" s="76"/>
      <c r="I96" s="76"/>
      <c r="J96" s="70">
        <v>3.3</v>
      </c>
      <c r="K96" s="194"/>
      <c r="L96" s="194"/>
      <c r="M96" s="194"/>
      <c r="N96" s="71">
        <v>1</v>
      </c>
      <c r="P96" s="69"/>
    </row>
    <row r="97" spans="2:16" ht="15" customHeight="1" thickBot="1">
      <c r="B97" s="38" t="s">
        <v>163</v>
      </c>
      <c r="C97" s="76"/>
      <c r="D97" s="76"/>
      <c r="E97" s="76"/>
      <c r="F97" s="72">
        <v>7.5</v>
      </c>
      <c r="G97" s="76"/>
      <c r="H97" s="76"/>
      <c r="I97" s="76"/>
      <c r="J97" s="72">
        <v>7.5</v>
      </c>
      <c r="K97" s="194"/>
      <c r="L97" s="194"/>
      <c r="M97" s="194"/>
      <c r="N97" s="71">
        <v>1</v>
      </c>
      <c r="P97" s="69"/>
    </row>
    <row r="98" spans="2:16">
      <c r="D98" s="76"/>
      <c r="E98" s="76"/>
      <c r="F98" s="483">
        <v>5</v>
      </c>
      <c r="G98" s="74"/>
      <c r="H98" s="76"/>
      <c r="I98" s="76"/>
      <c r="J98" s="484">
        <v>5</v>
      </c>
      <c r="L98" s="194"/>
      <c r="M98" s="194"/>
      <c r="N98" s="485">
        <v>1</v>
      </c>
      <c r="O98" s="74"/>
      <c r="P98" s="75"/>
    </row>
  </sheetData>
  <mergeCells count="54">
    <mergeCell ref="B88:F88"/>
    <mergeCell ref="G88:J88"/>
    <mergeCell ref="K88:N88"/>
    <mergeCell ref="H79:H80"/>
    <mergeCell ref="I79:I80"/>
    <mergeCell ref="J79:J80"/>
    <mergeCell ref="K79:K80"/>
    <mergeCell ref="L79:L80"/>
    <mergeCell ref="M79:M80"/>
    <mergeCell ref="B79:B80"/>
    <mergeCell ref="C79:C80"/>
    <mergeCell ref="D79:D80"/>
    <mergeCell ref="E79:E80"/>
    <mergeCell ref="F79:F80"/>
    <mergeCell ref="G79:G80"/>
    <mergeCell ref="L65:N65"/>
    <mergeCell ref="D66:E67"/>
    <mergeCell ref="D68:E69"/>
    <mergeCell ref="D70:E71"/>
    <mergeCell ref="D72:E73"/>
    <mergeCell ref="D74:E74"/>
    <mergeCell ref="D59:E60"/>
    <mergeCell ref="D61:E62"/>
    <mergeCell ref="D63:E63"/>
    <mergeCell ref="B64:B73"/>
    <mergeCell ref="D64:E65"/>
    <mergeCell ref="J64:K64"/>
    <mergeCell ref="L10:L11"/>
    <mergeCell ref="O10:O11"/>
    <mergeCell ref="P10:P11"/>
    <mergeCell ref="I49:N49"/>
    <mergeCell ref="I10:I11"/>
    <mergeCell ref="J10:J11"/>
    <mergeCell ref="K10:K11"/>
    <mergeCell ref="D50:E50"/>
    <mergeCell ref="B51:B63"/>
    <mergeCell ref="D51:E52"/>
    <mergeCell ref="D53:E54"/>
    <mergeCell ref="D55:E56"/>
    <mergeCell ref="D57:E58"/>
    <mergeCell ref="B10:B11"/>
    <mergeCell ref="C10:C11"/>
    <mergeCell ref="D10:D11"/>
    <mergeCell ref="G10:G11"/>
    <mergeCell ref="H10:H11"/>
    <mergeCell ref="U1:V1"/>
    <mergeCell ref="W1:X1"/>
    <mergeCell ref="Y1:Z1"/>
    <mergeCell ref="B2:O2"/>
    <mergeCell ref="J6:K7"/>
    <mergeCell ref="M4:N4"/>
    <mergeCell ref="S1:T1"/>
    <mergeCell ref="C4:D4"/>
    <mergeCell ref="J4:K5"/>
  </mergeCells>
  <conditionalFormatting sqref="B74:B75">
    <cfRule type="cellIs" dxfId="2440" priority="134" operator="notBetween">
      <formula>#REF!</formula>
      <formula>#REF!</formula>
    </cfRule>
  </conditionalFormatting>
  <conditionalFormatting sqref="C78">
    <cfRule type="cellIs" dxfId="2439" priority="146" stopIfTrue="1" operator="greaterThan">
      <formula>100</formula>
    </cfRule>
    <cfRule type="cellIs" dxfId="2438" priority="145" stopIfTrue="1" operator="lessThan">
      <formula>96</formula>
    </cfRule>
  </conditionalFormatting>
  <conditionalFormatting sqref="C90:C97">
    <cfRule type="cellIs" dxfId="2437" priority="97" stopIfTrue="1" operator="greaterThan">
      <formula>$F90</formula>
    </cfRule>
    <cfRule type="cellIs" dxfId="2436" priority="98" stopIfTrue="1" operator="lessThanOrEqual">
      <formula>0</formula>
    </cfRule>
  </conditionalFormatting>
  <conditionalFormatting sqref="D74:D75">
    <cfRule type="cellIs" dxfId="2435" priority="135" operator="notBetween">
      <formula>#REF!</formula>
      <formula>#REF!</formula>
    </cfRule>
  </conditionalFormatting>
  <conditionalFormatting sqref="D90:D97">
    <cfRule type="cellIs" dxfId="2434" priority="125" stopIfTrue="1" operator="lessThanOrEqual">
      <formula>0</formula>
    </cfRule>
  </conditionalFormatting>
  <conditionalFormatting sqref="D98">
    <cfRule type="cellIs" dxfId="2433" priority="124" stopIfTrue="1" operator="lessThanOrEqual">
      <formula>0</formula>
    </cfRule>
  </conditionalFormatting>
  <conditionalFormatting sqref="D90:E98">
    <cfRule type="cellIs" dxfId="2432" priority="119" stopIfTrue="1" operator="greaterThan">
      <formula>$F90</formula>
    </cfRule>
  </conditionalFormatting>
  <conditionalFormatting sqref="E12:E15">
    <cfRule type="cellIs" dxfId="2431" priority="8" operator="lessThan">
      <formula>48</formula>
    </cfRule>
  </conditionalFormatting>
  <conditionalFormatting sqref="E26:E48">
    <cfRule type="cellIs" dxfId="2430" priority="32" operator="lessThan">
      <formula>48</formula>
    </cfRule>
  </conditionalFormatting>
  <conditionalFormatting sqref="E78">
    <cfRule type="cellIs" dxfId="2429" priority="140" stopIfTrue="1" operator="greaterThan">
      <formula>100</formula>
    </cfRule>
    <cfRule type="cellIs" dxfId="2428" priority="139" stopIfTrue="1" operator="lessThan">
      <formula>96.8</formula>
    </cfRule>
  </conditionalFormatting>
  <conditionalFormatting sqref="E90:E98">
    <cfRule type="cellIs" dxfId="2427" priority="120" stopIfTrue="1" operator="lessThanOrEqual">
      <formula>0</formula>
    </cfRule>
  </conditionalFormatting>
  <conditionalFormatting sqref="E77:F78">
    <cfRule type="cellIs" dxfId="2426" priority="142" stopIfTrue="1" operator="greaterThan">
      <formula>100</formula>
    </cfRule>
    <cfRule type="cellIs" dxfId="2425" priority="141" stopIfTrue="1" operator="lessThan">
      <formula>96.5</formula>
    </cfRule>
  </conditionalFormatting>
  <conditionalFormatting sqref="F12:F15">
    <cfRule type="cellIs" dxfId="2424" priority="7" operator="greaterThan">
      <formula>60</formula>
    </cfRule>
  </conditionalFormatting>
  <conditionalFormatting sqref="F16:F25">
    <cfRule type="cellIs" dxfId="2423" priority="15" operator="greaterThan">
      <formula>$AA16</formula>
    </cfRule>
  </conditionalFormatting>
  <conditionalFormatting sqref="F26:F48">
    <cfRule type="cellIs" dxfId="2422" priority="34" operator="greaterThan">
      <formula>60</formula>
    </cfRule>
  </conditionalFormatting>
  <conditionalFormatting sqref="F78">
    <cfRule type="cellIs" dxfId="2421" priority="144" stopIfTrue="1" operator="greaterThan">
      <formula>100</formula>
    </cfRule>
    <cfRule type="cellIs" dxfId="2420" priority="143" stopIfTrue="1" operator="lessThan">
      <formula>96.8</formula>
    </cfRule>
  </conditionalFormatting>
  <conditionalFormatting sqref="F98">
    <cfRule type="cellIs" dxfId="2419" priority="122" stopIfTrue="1" operator="lessThanOrEqual">
      <formula>0</formula>
    </cfRule>
    <cfRule type="cellIs" dxfId="2418" priority="121" stopIfTrue="1" operator="greaterThan">
      <formula>$F98</formula>
    </cfRule>
  </conditionalFormatting>
  <conditionalFormatting sqref="G16:G25">
    <cfRule type="expression" dxfId="2417" priority="23">
      <formula>IF(+(IF(G16&lt;T16,0,IF(G16&gt;U16,0,1)))=0,1)</formula>
    </cfRule>
  </conditionalFormatting>
  <conditionalFormatting sqref="G98">
    <cfRule type="cellIs" dxfId="2416" priority="126" operator="greaterThan">
      <formula>4.5</formula>
    </cfRule>
  </conditionalFormatting>
  <conditionalFormatting sqref="G12:H15">
    <cfRule type="expression" dxfId="2415" priority="11">
      <formula>IF(+(IF(G12&lt;#REF!,0,IF(G12&gt;#REF!,0,1)))=0,1)</formula>
    </cfRule>
  </conditionalFormatting>
  <conditionalFormatting sqref="G26:H48">
    <cfRule type="expression" dxfId="2414" priority="27">
      <formula>IF(+(IF(G26&lt;#REF!,0,IF(G26&gt;#REF!,0,1)))=0,1)</formula>
    </cfRule>
  </conditionalFormatting>
  <conditionalFormatting sqref="G64:H64 G65:G75">
    <cfRule type="cellIs" dxfId="2413" priority="138" stopIfTrue="1" operator="greaterThan">
      <formula>0</formula>
    </cfRule>
  </conditionalFormatting>
  <conditionalFormatting sqref="G90:H97">
    <cfRule type="cellIs" dxfId="2412" priority="96" stopIfTrue="1" operator="lessThanOrEqual">
      <formula>0</formula>
    </cfRule>
    <cfRule type="cellIs" dxfId="2411" priority="95" stopIfTrue="1" operator="greaterThan">
      <formula>$J90</formula>
    </cfRule>
  </conditionalFormatting>
  <conditionalFormatting sqref="H16:H25">
    <cfRule type="expression" dxfId="2410" priority="24">
      <formula>IF(+(IF(H16&lt;T16,0,IF(H16&gt;U16,0,1)))=0,1)</formula>
    </cfRule>
  </conditionalFormatting>
  <conditionalFormatting sqref="H52:H63">
    <cfRule type="cellIs" dxfId="2409" priority="136" stopIfTrue="1" operator="greaterThan">
      <formula>0</formula>
    </cfRule>
  </conditionalFormatting>
  <conditionalFormatting sqref="H81">
    <cfRule type="cellIs" dxfId="2408" priority="89" stopIfTrue="1" operator="greaterThan">
      <formula>$F$74</formula>
    </cfRule>
    <cfRule type="cellIs" dxfId="2407" priority="90" stopIfTrue="1" operator="lessThanOrEqual">
      <formula>0</formula>
    </cfRule>
    <cfRule type="cellIs" dxfId="2406" priority="94" stopIfTrue="1" operator="lessThanOrEqual">
      <formula>0</formula>
    </cfRule>
    <cfRule type="cellIs" dxfId="2405" priority="91" stopIfTrue="1" operator="greaterThan">
      <formula>$F$77</formula>
    </cfRule>
    <cfRule type="cellIs" dxfId="2404" priority="93" stopIfTrue="1" operator="greaterThan">
      <formula>$F$75</formula>
    </cfRule>
    <cfRule type="cellIs" dxfId="2403" priority="92" stopIfTrue="1" operator="lessThanOrEqual">
      <formula>0</formula>
    </cfRule>
  </conditionalFormatting>
  <conditionalFormatting sqref="H82 H84">
    <cfRule type="cellIs" dxfId="2402" priority="104" stopIfTrue="1" operator="greaterThan">
      <formula>#REF!</formula>
    </cfRule>
    <cfRule type="cellIs" dxfId="2401" priority="103" stopIfTrue="1" operator="lessThanOrEqual">
      <formula>0</formula>
    </cfRule>
  </conditionalFormatting>
  <conditionalFormatting sqref="H83">
    <cfRule type="cellIs" dxfId="2400" priority="88" stopIfTrue="1" operator="lessThanOrEqual">
      <formula>0</formula>
    </cfRule>
    <cfRule type="cellIs" dxfId="2399" priority="87" stopIfTrue="1" operator="greaterThan">
      <formula>$F$75</formula>
    </cfRule>
    <cfRule type="cellIs" dxfId="2398" priority="86" stopIfTrue="1" operator="lessThanOrEqual">
      <formula>0</formula>
    </cfRule>
    <cfRule type="cellIs" dxfId="2397" priority="85" stopIfTrue="1" operator="greaterThan">
      <formula>$F$77</formula>
    </cfRule>
    <cfRule type="cellIs" dxfId="2396" priority="76" stopIfTrue="1" operator="lessThanOrEqual">
      <formula>0</formula>
    </cfRule>
    <cfRule type="cellIs" dxfId="2395" priority="77" stopIfTrue="1" operator="greaterThan">
      <formula>$F$74</formula>
    </cfRule>
  </conditionalFormatting>
  <conditionalFormatting sqref="H85">
    <cfRule type="cellIs" dxfId="2394" priority="74" stopIfTrue="1" operator="lessThanOrEqual">
      <formula>0</formula>
    </cfRule>
    <cfRule type="cellIs" dxfId="2393" priority="71" stopIfTrue="1" operator="greaterThan">
      <formula>$F$77</formula>
    </cfRule>
    <cfRule type="cellIs" dxfId="2392" priority="62" stopIfTrue="1" operator="lessThanOrEqual">
      <formula>0</formula>
    </cfRule>
    <cfRule type="cellIs" dxfId="2391" priority="72" stopIfTrue="1" operator="lessThanOrEqual">
      <formula>0</formula>
    </cfRule>
    <cfRule type="cellIs" dxfId="2390" priority="63" stopIfTrue="1" operator="greaterThan">
      <formula>$F$74</formula>
    </cfRule>
    <cfRule type="cellIs" dxfId="2389" priority="73" stopIfTrue="1" operator="greaterThan">
      <formula>$F$75</formula>
    </cfRule>
  </conditionalFormatting>
  <conditionalFormatting sqref="H86">
    <cfRule type="cellIs" dxfId="2388" priority="133" stopIfTrue="1" operator="lessThanOrEqual">
      <formula>0</formula>
    </cfRule>
    <cfRule type="cellIs" dxfId="2387" priority="132" stopIfTrue="1" operator="greaterThan">
      <formula>#REF!</formula>
    </cfRule>
    <cfRule type="cellIs" dxfId="2386" priority="130" stopIfTrue="1" operator="greaterThan">
      <formula>$F$87</formula>
    </cfRule>
    <cfRule type="cellIs" dxfId="2385" priority="131" stopIfTrue="1" operator="lessThanOrEqual">
      <formula>0</formula>
    </cfRule>
  </conditionalFormatting>
  <conditionalFormatting sqref="H98">
    <cfRule type="cellIs" dxfId="2384" priority="116" operator="greaterThan">
      <formula>5.3</formula>
    </cfRule>
  </conditionalFormatting>
  <conditionalFormatting sqref="H81:I81">
    <cfRule type="cellIs" dxfId="2383" priority="57" stopIfTrue="1" operator="greaterThan">
      <formula>$F$76</formula>
    </cfRule>
    <cfRule type="cellIs" dxfId="2382" priority="60" stopIfTrue="1" operator="lessThanOrEqual">
      <formula>0</formula>
    </cfRule>
  </conditionalFormatting>
  <conditionalFormatting sqref="H82:I82 H84:I84">
    <cfRule type="cellIs" dxfId="2381" priority="110" stopIfTrue="1" operator="greaterThan">
      <formula>#REF!</formula>
    </cfRule>
    <cfRule type="cellIs" dxfId="2380" priority="111" stopIfTrue="1" operator="lessThanOrEqual">
      <formula>0</formula>
    </cfRule>
    <cfRule type="cellIs" dxfId="2379" priority="102" stopIfTrue="1" operator="greaterThan">
      <formula>#REF!</formula>
    </cfRule>
    <cfRule type="cellIs" dxfId="2378" priority="105" stopIfTrue="1" operator="lessThanOrEqual">
      <formula>0</formula>
    </cfRule>
    <cfRule type="cellIs" dxfId="2377" priority="106" stopIfTrue="1" operator="greaterThan">
      <formula>#REF!</formula>
    </cfRule>
  </conditionalFormatting>
  <conditionalFormatting sqref="H83:I83">
    <cfRule type="cellIs" dxfId="2376" priority="78" stopIfTrue="1" operator="lessThanOrEqual">
      <formula>0</formula>
    </cfRule>
    <cfRule type="cellIs" dxfId="2375" priority="75" stopIfTrue="1" operator="greaterThan">
      <formula>$F$76</formula>
    </cfRule>
  </conditionalFormatting>
  <conditionalFormatting sqref="H85:I85">
    <cfRule type="cellIs" dxfId="2374" priority="61" stopIfTrue="1" operator="greaterThan">
      <formula>$F$76</formula>
    </cfRule>
    <cfRule type="cellIs" dxfId="2373" priority="64" stopIfTrue="1" operator="lessThanOrEqual">
      <formula>0</formula>
    </cfRule>
  </conditionalFormatting>
  <conditionalFormatting sqref="I81">
    <cfRule type="cellIs" dxfId="2372" priority="56" stopIfTrue="1" operator="lessThanOrEqual">
      <formula>0</formula>
    </cfRule>
    <cfRule type="cellIs" dxfId="2371" priority="59" stopIfTrue="1" operator="greaterThan">
      <formula>$F$74</formula>
    </cfRule>
    <cfRule type="cellIs" dxfId="2370" priority="53" stopIfTrue="1" operator="greaterThan">
      <formula>$F$76</formula>
    </cfRule>
    <cfRule type="cellIs" dxfId="2369" priority="54" stopIfTrue="1" operator="lessThanOrEqual">
      <formula>0</formula>
    </cfRule>
    <cfRule type="cellIs" dxfId="2368" priority="55" stopIfTrue="1" operator="greaterThan">
      <formula>$F$74</formula>
    </cfRule>
    <cfRule type="cellIs" dxfId="2367" priority="58" stopIfTrue="1" operator="lessThanOrEqual">
      <formula>0</formula>
    </cfRule>
  </conditionalFormatting>
  <conditionalFormatting sqref="I82 I84">
    <cfRule type="cellIs" dxfId="2366" priority="107" stopIfTrue="1" operator="lessThanOrEqual">
      <formula>0</formula>
    </cfRule>
    <cfRule type="cellIs" dxfId="2365" priority="109" stopIfTrue="1" operator="lessThanOrEqual">
      <formula>0</formula>
    </cfRule>
    <cfRule type="cellIs" dxfId="2364" priority="108" stopIfTrue="1" operator="greaterThan">
      <formula>#REF!</formula>
    </cfRule>
  </conditionalFormatting>
  <conditionalFormatting sqref="I83">
    <cfRule type="cellIs" dxfId="2363" priority="83" stopIfTrue="1" operator="greaterThan">
      <formula>$F$74</formula>
    </cfRule>
    <cfRule type="cellIs" dxfId="2362" priority="82" stopIfTrue="1" operator="lessThanOrEqual">
      <formula>0</formula>
    </cfRule>
    <cfRule type="cellIs" dxfId="2361" priority="79" stopIfTrue="1" operator="greaterThan">
      <formula>$F$74</formula>
    </cfRule>
    <cfRule type="cellIs" dxfId="2360" priority="84" stopIfTrue="1" operator="lessThanOrEqual">
      <formula>0</formula>
    </cfRule>
    <cfRule type="cellIs" dxfId="2359" priority="81" stopIfTrue="1" operator="greaterThan">
      <formula>$F$76</formula>
    </cfRule>
    <cfRule type="cellIs" dxfId="2358" priority="80" stopIfTrue="1" operator="lessThanOrEqual">
      <formula>0</formula>
    </cfRule>
  </conditionalFormatting>
  <conditionalFormatting sqref="I85">
    <cfRule type="cellIs" dxfId="2357" priority="70" stopIfTrue="1" operator="lessThanOrEqual">
      <formula>0</formula>
    </cfRule>
    <cfRule type="cellIs" dxfId="2356" priority="69" stopIfTrue="1" operator="greaterThan">
      <formula>$F$74</formula>
    </cfRule>
    <cfRule type="cellIs" dxfId="2355" priority="65" stopIfTrue="1" operator="greaterThan">
      <formula>$F$74</formula>
    </cfRule>
    <cfRule type="cellIs" dxfId="2354" priority="66" stopIfTrue="1" operator="lessThanOrEqual">
      <formula>0</formula>
    </cfRule>
    <cfRule type="cellIs" dxfId="2353" priority="67" stopIfTrue="1" operator="greaterThan">
      <formula>$F$76</formula>
    </cfRule>
    <cfRule type="cellIs" dxfId="2352" priority="68" stopIfTrue="1" operator="lessThanOrEqual">
      <formula>0</formula>
    </cfRule>
  </conditionalFormatting>
  <conditionalFormatting sqref="I90:I98">
    <cfRule type="cellIs" dxfId="2351" priority="117" stopIfTrue="1" operator="greaterThan">
      <formula>$J90</formula>
    </cfRule>
    <cfRule type="cellIs" dxfId="2350" priority="118" stopIfTrue="1" operator="lessThanOrEqual">
      <formula>0</formula>
    </cfRule>
  </conditionalFormatting>
  <conditionalFormatting sqref="I12:J15">
    <cfRule type="cellIs" dxfId="2349" priority="10" operator="lessThan">
      <formula>97.9</formula>
    </cfRule>
  </conditionalFormatting>
  <conditionalFormatting sqref="I16:J25">
    <cfRule type="cellIs" dxfId="2348" priority="14" operator="notBetween">
      <formula>98</formula>
      <formula>99.9</formula>
    </cfRule>
  </conditionalFormatting>
  <conditionalFormatting sqref="I26:J48">
    <cfRule type="cellIs" dxfId="2347" priority="35" operator="lessThan">
      <formula>97.9</formula>
    </cfRule>
  </conditionalFormatting>
  <conditionalFormatting sqref="J51:J60">
    <cfRule type="cellIs" dxfId="2346" priority="112" operator="lessThan">
      <formula>98</formula>
    </cfRule>
  </conditionalFormatting>
  <conditionalFormatting sqref="K12:K15">
    <cfRule type="cellIs" dxfId="2345" priority="9" operator="greaterThan">
      <formula>6.4</formula>
    </cfRule>
  </conditionalFormatting>
  <conditionalFormatting sqref="K12:K48">
    <cfRule type="cellIs" dxfId="2344" priority="3" operator="lessThan">
      <formula>4</formula>
    </cfRule>
    <cfRule type="cellIs" dxfId="2343" priority="4" operator="greaterThan">
      <formula>6</formula>
    </cfRule>
  </conditionalFormatting>
  <conditionalFormatting sqref="K26:K48">
    <cfRule type="cellIs" dxfId="2342" priority="33" operator="greaterThan">
      <formula>6.4</formula>
    </cfRule>
  </conditionalFormatting>
  <conditionalFormatting sqref="K66:K75">
    <cfRule type="cellIs" dxfId="2341" priority="123" operator="notEqual">
      <formula>#REF!</formula>
    </cfRule>
  </conditionalFormatting>
  <conditionalFormatting sqref="K81:K85 J86:K86 K90:N97 L98:N98">
    <cfRule type="cellIs" dxfId="2340" priority="129" stopIfTrue="1" operator="lessThan">
      <formula>100%</formula>
    </cfRule>
  </conditionalFormatting>
  <conditionalFormatting sqref="L12:L48">
    <cfRule type="cellIs" dxfId="2339" priority="5" operator="between">
      <formula>61</formula>
      <formula>65</formula>
    </cfRule>
    <cfRule type="cellIs" dxfId="2338" priority="6" operator="greaterThan">
      <formula>65</formula>
    </cfRule>
  </conditionalFormatting>
  <conditionalFormatting sqref="L51:M61">
    <cfRule type="cellIs" dxfId="2337" priority="52" operator="lessThan">
      <formula>98</formula>
    </cfRule>
  </conditionalFormatting>
  <conditionalFormatting sqref="L63:M63">
    <cfRule type="cellIs" dxfId="2336" priority="115" operator="lessThan">
      <formula>98</formula>
    </cfRule>
  </conditionalFormatting>
  <conditionalFormatting sqref="L67:N67">
    <cfRule type="cellIs" dxfId="2335" priority="99" operator="notEqual">
      <formula>#REF!</formula>
    </cfRule>
  </conditionalFormatting>
  <conditionalFormatting sqref="M12:M15">
    <cfRule type="expression" dxfId="2334" priority="1">
      <formula>IF(+(IF(M12&lt;U12,0,IF(M12&gt;V12,0,1)))=0,1)</formula>
    </cfRule>
  </conditionalFormatting>
  <conditionalFormatting sqref="M16:M25">
    <cfRule type="expression" dxfId="2333" priority="19">
      <formula>IF(+(IF(M16&lt;V16,0,IF(M16&gt;W16,0,1)))=0,1)</formula>
    </cfRule>
  </conditionalFormatting>
  <conditionalFormatting sqref="M26:M48">
    <cfRule type="expression" dxfId="2332" priority="25">
      <formula>IF(+(IF(M26&lt;U26,0,IF(M26&gt;V26,0,1)))=0,1)</formula>
    </cfRule>
  </conditionalFormatting>
  <conditionalFormatting sqref="M6:N6">
    <cfRule type="cellIs" dxfId="2331" priority="113" operator="greaterThanOrEqual">
      <formula>15</formula>
    </cfRule>
    <cfRule type="cellIs" dxfId="2330" priority="114" operator="greaterThanOrEqual">
      <formula>19</formula>
    </cfRule>
  </conditionalFormatting>
  <conditionalFormatting sqref="N12:N15">
    <cfRule type="expression" dxfId="2329" priority="2">
      <formula>IF(+(IF(N12&lt;W12,0,IF(N12&gt;X12,0,1)))=0,1)</formula>
    </cfRule>
  </conditionalFormatting>
  <conditionalFormatting sqref="N16:N25">
    <cfRule type="expression" dxfId="2328" priority="16">
      <formula>IF(+(IF(N16&lt;X16,0,IF(N16&gt;Y16,0,1)))=0,1)</formula>
    </cfRule>
  </conditionalFormatting>
  <conditionalFormatting sqref="N26:N48">
    <cfRule type="expression" dxfId="2327" priority="26">
      <formula>IF(+(IF(N26&lt;W26,0,IF(N26&gt;X26,0,1)))=0,1)</formula>
    </cfRule>
  </conditionalFormatting>
  <conditionalFormatting sqref="P6">
    <cfRule type="cellIs" dxfId="2326" priority="137" operator="greaterThanOrEqual">
      <formula>19</formula>
    </cfRule>
  </conditionalFormatting>
  <dataValidations disablePrompts="1" count="1">
    <dataValidation type="list" allowBlank="1" showInputMessage="1" showErrorMessage="1" sqref="R8:R10 B17:B25" xr:uid="{6EF39FC5-0210-4BAB-AFEC-E28A94EF2AED}">
      <formula1>ProductList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A4F0-5CB6-4737-8E98-5EE5950F6258}">
  <dimension ref="A1:BD98"/>
  <sheetViews>
    <sheetView topLeftCell="A52" zoomScale="80" zoomScaleNormal="80" workbookViewId="0">
      <selection activeCell="G54" sqref="G54"/>
    </sheetView>
  </sheetViews>
  <sheetFormatPr defaultColWidth="9.44140625" defaultRowHeight="13.8"/>
  <cols>
    <col min="1" max="1" width="3.44140625" style="276" customWidth="1"/>
    <col min="2" max="2" width="23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4.6640625" style="276" customWidth="1"/>
    <col min="10" max="10" width="25.109375" style="276" customWidth="1"/>
    <col min="11" max="11" width="18.5546875" style="276" customWidth="1"/>
    <col min="12" max="12" width="15.6640625" style="276" customWidth="1"/>
    <col min="13" max="13" width="17.5546875" style="276" customWidth="1"/>
    <col min="14" max="14" width="10.6640625" style="276" customWidth="1"/>
    <col min="15" max="15" width="14.5546875" style="276" customWidth="1"/>
    <col min="16" max="16" width="36.5546875" style="6" customWidth="1"/>
    <col min="17" max="17" width="16.5546875" style="276" customWidth="1"/>
    <col min="18" max="18" width="15.6640625" style="276" bestFit="1" customWidth="1"/>
    <col min="19" max="19" width="12.44140625" style="276" customWidth="1"/>
    <col min="20" max="20" width="15" style="276" customWidth="1"/>
    <col min="21" max="21" width="12" style="276" customWidth="1"/>
    <col min="22" max="22" width="10.44140625" style="276" customWidth="1"/>
    <col min="23" max="23" width="11.44140625" style="276" customWidth="1"/>
    <col min="24" max="24" width="10.44140625" style="276" customWidth="1"/>
    <col min="25" max="25" width="8.44140625" style="276" customWidth="1"/>
    <col min="26" max="26" width="9.5546875" style="276" customWidth="1"/>
    <col min="27" max="27" width="8.44140625" style="276" customWidth="1"/>
    <col min="28" max="29" width="7.5546875" style="276" customWidth="1"/>
    <col min="30" max="51" width="9.44140625" style="276"/>
    <col min="52" max="52" width="1.5546875" style="276" customWidth="1"/>
    <col min="53" max="54" width="9.44140625" style="276"/>
    <col min="55" max="56" width="15.44140625" style="276" customWidth="1"/>
    <col min="57" max="16384" width="9.44140625" style="276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13"/>
      <c r="S1" s="641" t="s">
        <v>0</v>
      </c>
      <c r="T1" s="641"/>
      <c r="U1" s="641" t="s">
        <v>1</v>
      </c>
      <c r="V1" s="641"/>
      <c r="W1" s="641" t="s">
        <v>2</v>
      </c>
      <c r="X1" s="641"/>
      <c r="Y1" s="641" t="s">
        <v>124</v>
      </c>
      <c r="Z1" s="641"/>
    </row>
    <row r="2" spans="2:29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R2" s="413"/>
      <c r="S2" s="413" t="s">
        <v>4</v>
      </c>
      <c r="T2" s="413" t="s">
        <v>5</v>
      </c>
      <c r="U2" s="413" t="s">
        <v>4</v>
      </c>
      <c r="V2" s="413" t="s">
        <v>5</v>
      </c>
      <c r="W2" s="413" t="s">
        <v>4</v>
      </c>
      <c r="X2" s="413" t="s">
        <v>5</v>
      </c>
      <c r="Y2" s="413" t="s">
        <v>4</v>
      </c>
      <c r="Z2" s="413" t="s">
        <v>5</v>
      </c>
    </row>
    <row r="3" spans="2:29" ht="14.25" customHeight="1">
      <c r="B3" s="5"/>
      <c r="R3" s="413" t="s">
        <v>6</v>
      </c>
      <c r="S3" s="414">
        <v>11.6</v>
      </c>
      <c r="T3" s="415">
        <v>12</v>
      </c>
      <c r="U3" s="9">
        <v>0</v>
      </c>
      <c r="V3" s="10">
        <v>0.118055555555556</v>
      </c>
      <c r="W3" s="397">
        <v>0.22569444444444445</v>
      </c>
      <c r="X3" s="397">
        <v>0.2638888888888889</v>
      </c>
      <c r="Y3" s="416">
        <v>0</v>
      </c>
      <c r="Z3" s="414">
        <v>60</v>
      </c>
    </row>
    <row r="4" spans="2:29" ht="30.75" customHeight="1">
      <c r="B4" s="302" t="s">
        <v>133</v>
      </c>
      <c r="C4" s="545">
        <v>45666</v>
      </c>
      <c r="D4" s="545"/>
      <c r="J4" s="546" t="s">
        <v>153</v>
      </c>
      <c r="K4" s="546"/>
      <c r="L4" s="11"/>
      <c r="M4" s="548" t="s">
        <v>8</v>
      </c>
      <c r="N4" s="549"/>
      <c r="P4" s="12"/>
      <c r="R4" s="413" t="s">
        <v>9</v>
      </c>
      <c r="S4" s="414">
        <v>11.6</v>
      </c>
      <c r="T4" s="415">
        <v>12</v>
      </c>
      <c r="U4" s="9">
        <v>0</v>
      </c>
      <c r="V4" s="10">
        <v>0.118055555555556</v>
      </c>
      <c r="W4" s="397">
        <v>0.22569444444444445</v>
      </c>
      <c r="X4" s="397">
        <v>0.2638888888888889</v>
      </c>
      <c r="Y4" s="416">
        <v>0</v>
      </c>
      <c r="Z4" s="414">
        <v>60</v>
      </c>
      <c r="AA4" s="13"/>
      <c r="AB4" s="13"/>
      <c r="AC4" s="13"/>
    </row>
    <row r="5" spans="2:29" ht="12.75" customHeight="1" thickBot="1">
      <c r="B5" s="1"/>
      <c r="C5" s="1"/>
      <c r="D5" s="1"/>
      <c r="J5" s="547"/>
      <c r="K5" s="547"/>
      <c r="L5" s="11"/>
      <c r="M5" s="14" t="s">
        <v>10</v>
      </c>
      <c r="N5" s="14" t="s">
        <v>11</v>
      </c>
      <c r="P5" s="12"/>
      <c r="R5" s="413" t="s">
        <v>12</v>
      </c>
      <c r="S5" s="414">
        <v>17</v>
      </c>
      <c r="T5" s="415">
        <v>17.5</v>
      </c>
      <c r="U5" s="9">
        <v>0</v>
      </c>
      <c r="V5" s="10">
        <v>0.1076388888888889</v>
      </c>
      <c r="W5" s="397">
        <v>0.24652777777777779</v>
      </c>
      <c r="X5" s="397">
        <v>0.28472222222222221</v>
      </c>
      <c r="Y5" s="416">
        <v>0</v>
      </c>
      <c r="Z5" s="417">
        <v>60</v>
      </c>
      <c r="AA5" s="13"/>
      <c r="AB5" s="13"/>
      <c r="AC5" s="13"/>
    </row>
    <row r="6" spans="2:29" ht="14.25" customHeight="1">
      <c r="B6" s="15"/>
      <c r="C6" s="1"/>
      <c r="D6" s="1"/>
      <c r="J6" s="554" t="s">
        <v>175</v>
      </c>
      <c r="K6" s="555"/>
      <c r="L6" s="312" t="s">
        <v>14</v>
      </c>
      <c r="M6" s="341"/>
      <c r="N6" s="341"/>
      <c r="P6" s="16"/>
      <c r="R6" s="413" t="s">
        <v>15</v>
      </c>
      <c r="S6" s="414">
        <v>13.3</v>
      </c>
      <c r="T6" s="415">
        <v>13.5</v>
      </c>
      <c r="U6" s="9">
        <v>0</v>
      </c>
      <c r="V6" s="9">
        <v>0.12905092592592593</v>
      </c>
      <c r="W6" s="397">
        <v>0.27430555555555552</v>
      </c>
      <c r="X6" s="397">
        <v>0.30208333333333331</v>
      </c>
      <c r="Y6" s="416">
        <v>0</v>
      </c>
      <c r="Z6" s="417"/>
      <c r="AA6" s="13"/>
      <c r="AB6" s="13"/>
      <c r="AC6" s="13"/>
    </row>
    <row r="7" spans="2:29" ht="13.35" customHeight="1" thickBot="1">
      <c r="J7" s="556"/>
      <c r="K7" s="557"/>
      <c r="R7" s="413" t="s">
        <v>16</v>
      </c>
      <c r="S7" s="414">
        <v>17.100000000000001</v>
      </c>
      <c r="T7" s="415">
        <v>17.5</v>
      </c>
      <c r="U7" s="9">
        <v>0</v>
      </c>
      <c r="V7" s="9">
        <v>0.13605324074074074</v>
      </c>
      <c r="W7" s="397">
        <v>0.27430555555555552</v>
      </c>
      <c r="X7" s="397">
        <v>0.30902777777777779</v>
      </c>
      <c r="Y7" s="416">
        <v>0</v>
      </c>
      <c r="Z7" s="417">
        <v>60</v>
      </c>
      <c r="AA7" s="13"/>
      <c r="AB7" s="13"/>
      <c r="AC7" s="13"/>
    </row>
    <row r="8" spans="2:29" ht="13.35" customHeight="1">
      <c r="J8" s="489"/>
      <c r="K8" s="489"/>
      <c r="R8" s="413" t="s">
        <v>167</v>
      </c>
      <c r="S8" s="414">
        <v>10.9</v>
      </c>
      <c r="T8" s="415">
        <v>11.3</v>
      </c>
      <c r="U8" s="9">
        <v>0</v>
      </c>
      <c r="V8" s="9">
        <v>0.12905092592592593</v>
      </c>
      <c r="W8" s="397">
        <v>0.22569444444444445</v>
      </c>
      <c r="X8" s="397">
        <v>0.2638888888888889</v>
      </c>
      <c r="Y8" s="416">
        <v>0</v>
      </c>
      <c r="Z8" s="414">
        <v>60</v>
      </c>
      <c r="AA8" s="13"/>
      <c r="AB8" s="13"/>
      <c r="AC8" s="13"/>
    </row>
    <row r="9" spans="2:29" ht="13.35" customHeight="1" thickBot="1">
      <c r="J9" s="489"/>
      <c r="K9" s="489"/>
      <c r="R9" s="413" t="s">
        <v>166</v>
      </c>
      <c r="S9" s="414"/>
      <c r="T9" s="415"/>
      <c r="U9" s="9"/>
      <c r="V9" s="9"/>
      <c r="W9" s="397"/>
      <c r="X9" s="397"/>
      <c r="Y9" s="416"/>
      <c r="Z9" s="417"/>
      <c r="AA9" s="13"/>
      <c r="AB9" s="13"/>
      <c r="AC9" s="13"/>
    </row>
    <row r="10" spans="2:29" ht="25.5" customHeight="1">
      <c r="B10" s="558" t="s">
        <v>17</v>
      </c>
      <c r="C10" s="560" t="s">
        <v>18</v>
      </c>
      <c r="D10" s="560" t="s">
        <v>19</v>
      </c>
      <c r="E10" s="357" t="s">
        <v>20</v>
      </c>
      <c r="F10" s="357" t="s">
        <v>21</v>
      </c>
      <c r="G10" s="560" t="s">
        <v>22</v>
      </c>
      <c r="H10" s="639" t="s">
        <v>144</v>
      </c>
      <c r="I10" s="560" t="s">
        <v>176</v>
      </c>
      <c r="J10" s="564" t="s">
        <v>23</v>
      </c>
      <c r="K10" s="566" t="s">
        <v>142</v>
      </c>
      <c r="L10" s="568" t="s">
        <v>24</v>
      </c>
      <c r="M10" s="360" t="s">
        <v>25</v>
      </c>
      <c r="N10" s="17" t="s">
        <v>26</v>
      </c>
      <c r="O10" s="560" t="s">
        <v>155</v>
      </c>
      <c r="P10" s="570" t="s">
        <v>28</v>
      </c>
      <c r="Q10" s="18"/>
      <c r="R10" s="413" t="s">
        <v>165</v>
      </c>
      <c r="S10" s="414">
        <v>16.600000000000001</v>
      </c>
      <c r="T10" s="415">
        <v>17</v>
      </c>
      <c r="U10" s="9">
        <v>0</v>
      </c>
      <c r="V10" s="9">
        <v>0.12905092592592593</v>
      </c>
      <c r="W10" s="397">
        <v>0.27430555555555552</v>
      </c>
      <c r="X10" s="397">
        <v>0.30208333333333331</v>
      </c>
      <c r="Y10" s="416">
        <v>0</v>
      </c>
      <c r="Z10" s="417"/>
      <c r="AA10" s="19"/>
    </row>
    <row r="11" spans="2:29" ht="36.75" customHeight="1">
      <c r="B11" s="559"/>
      <c r="C11" s="561"/>
      <c r="D11" s="561"/>
      <c r="E11" s="358" t="s">
        <v>30</v>
      </c>
      <c r="F11" s="358" t="s">
        <v>31</v>
      </c>
      <c r="G11" s="561"/>
      <c r="H11" s="640"/>
      <c r="I11" s="561"/>
      <c r="J11" s="565"/>
      <c r="K11" s="567"/>
      <c r="L11" s="569"/>
      <c r="M11" s="20" t="s">
        <v>32</v>
      </c>
      <c r="N11" s="21" t="s">
        <v>41</v>
      </c>
      <c r="O11" s="561"/>
      <c r="P11" s="571"/>
      <c r="Q11" s="18"/>
      <c r="R11" s="413" t="s">
        <v>33</v>
      </c>
      <c r="S11" s="414">
        <v>14.4</v>
      </c>
      <c r="T11" s="415">
        <v>14.6</v>
      </c>
      <c r="U11" s="9">
        <v>0</v>
      </c>
      <c r="V11" s="9">
        <v>0.13905092592592591</v>
      </c>
      <c r="W11" s="397">
        <v>0.26041666666666669</v>
      </c>
      <c r="X11" s="397">
        <v>0.2951388888888889</v>
      </c>
      <c r="Y11" s="416">
        <v>0</v>
      </c>
      <c r="Z11" s="417">
        <v>75</v>
      </c>
      <c r="AA11" s="19"/>
    </row>
    <row r="12" spans="2:29" ht="14.4">
      <c r="B12" s="36" t="s">
        <v>15</v>
      </c>
      <c r="C12" s="367" t="str">
        <f>[27]Brewhouse!$A4</f>
        <v>MK001</v>
      </c>
      <c r="D12" s="280">
        <f>[27]Brewhouse!$AF4</f>
        <v>53.9</v>
      </c>
      <c r="E12" s="280">
        <f>[27]Brewhouse!$AI4</f>
        <v>49.3</v>
      </c>
      <c r="F12" s="279">
        <f>[27]Brewhouse!$X4</f>
        <v>64</v>
      </c>
      <c r="G12" s="280">
        <f>[27]Brewhouse!AG4</f>
        <v>13.49</v>
      </c>
      <c r="H12" s="395"/>
      <c r="I12" s="369">
        <f>[27]Brewhouse!AT4</f>
        <v>91.980534426214859</v>
      </c>
      <c r="J12" s="369">
        <f>[27]Brewhouse!AU4</f>
        <v>95.364999105637906</v>
      </c>
      <c r="K12" s="282">
        <f>[27]Brewhouse!S4</f>
        <v>8.2479452054794535</v>
      </c>
      <c r="L12" s="277">
        <f>[27]Brewhouse!R4</f>
        <v>77</v>
      </c>
      <c r="M12" s="375">
        <f>[27]Brewhouse!$W4-[27]Brewhouse!$V4</f>
        <v>0.12361111111111109</v>
      </c>
      <c r="N12" s="371">
        <f>[27]Brewhouse!AA4</f>
        <v>0.23125000000000001</v>
      </c>
      <c r="O12" s="372" t="str">
        <f>[27]Brewhouse!AX4</f>
        <v>R.Sookram</v>
      </c>
      <c r="P12" s="370"/>
      <c r="R12" s="278" t="str">
        <f t="shared" ref="R12:R49" si="0">B12</f>
        <v>MACKESON</v>
      </c>
      <c r="S12" s="421">
        <f t="shared" ref="S12:S49" si="1">VLOOKUP($B12,$R$3:$X$11,2,FALSE)</f>
        <v>13.3</v>
      </c>
      <c r="T12" s="421">
        <f t="shared" ref="T12:T49" si="2">VLOOKUP($B12,$R$3:$X$11,3,FALSE)</f>
        <v>13.5</v>
      </c>
      <c r="U12" s="298">
        <f t="shared" ref="U12:U49" si="3">VLOOKUP($B12,$R$3:$X$11,4,FALSE)</f>
        <v>0</v>
      </c>
      <c r="V12" s="298">
        <f t="shared" ref="V12:V49" si="4">VLOOKUP($B12,$R$3:$X$11,5,FALSE)</f>
        <v>0.12905092592592593</v>
      </c>
      <c r="W12" s="298">
        <f t="shared" ref="W12:W49" si="5">VLOOKUP($B12,$R$3:$X$11,6,FALSE)</f>
        <v>0.27430555555555552</v>
      </c>
      <c r="X12" s="298">
        <f t="shared" ref="X12:X49" si="6">VLOOKUP($B12,$R$3:$X$11,7,FALSE)</f>
        <v>0.30208333333333331</v>
      </c>
      <c r="Y12" s="298">
        <f t="shared" ref="Y12:Y49" si="7">VLOOKUP($B12,$R$3:$Z$11,8,FALSE)</f>
        <v>0</v>
      </c>
      <c r="Z12" s="417">
        <f t="shared" ref="Z12:Z49" si="8">VLOOKUP($B12,$R$3:$Z$11,9,FALSE)</f>
        <v>0</v>
      </c>
    </row>
    <row r="13" spans="2:29" ht="14.4">
      <c r="B13" s="36" t="s">
        <v>15</v>
      </c>
      <c r="C13" s="367" t="str">
        <f>[27]Brewhouse!$A5</f>
        <v>MK002</v>
      </c>
      <c r="D13" s="280">
        <f>[27]Brewhouse!$AF5</f>
        <v>54.9</v>
      </c>
      <c r="E13" s="280">
        <f>[27]Brewhouse!$AI5</f>
        <v>50.9</v>
      </c>
      <c r="F13" s="279">
        <f>[27]Brewhouse!$X5</f>
        <v>62</v>
      </c>
      <c r="G13" s="280">
        <f>[27]Brewhouse!AG5</f>
        <v>13.5</v>
      </c>
      <c r="H13" s="395"/>
      <c r="I13" s="369">
        <f>[27]Brewhouse!AT5</f>
        <v>95.066683069960561</v>
      </c>
      <c r="J13" s="369">
        <f>[27]Brewhouse!AU5</f>
        <v>98.563993574505588</v>
      </c>
      <c r="K13" s="282">
        <f>[27]Brewhouse!S5</f>
        <v>4.4309859154929514</v>
      </c>
      <c r="L13" s="277">
        <f>[27]Brewhouse!R5</f>
        <v>73</v>
      </c>
      <c r="M13" s="375">
        <f>[27]Brewhouse!$W5-[27]Brewhouse!$V5</f>
        <v>0.1243055555555555</v>
      </c>
      <c r="N13" s="371">
        <f>[27]Brewhouse!AA5</f>
        <v>0.26111111111111113</v>
      </c>
      <c r="O13" s="372" t="str">
        <f>[27]Brewhouse!AX5</f>
        <v>R.Sookram</v>
      </c>
      <c r="P13" s="370"/>
      <c r="R13" s="278" t="str">
        <f t="shared" si="0"/>
        <v>MACKESON</v>
      </c>
      <c r="S13" s="421">
        <f t="shared" si="1"/>
        <v>13.3</v>
      </c>
      <c r="T13" s="421">
        <f t="shared" si="2"/>
        <v>13.5</v>
      </c>
      <c r="U13" s="298">
        <f t="shared" si="3"/>
        <v>0</v>
      </c>
      <c r="V13" s="298">
        <f t="shared" si="4"/>
        <v>0.12905092592592593</v>
      </c>
      <c r="W13" s="298">
        <f t="shared" si="5"/>
        <v>0.27430555555555552</v>
      </c>
      <c r="X13" s="298">
        <f t="shared" si="6"/>
        <v>0.30208333333333331</v>
      </c>
      <c r="Y13" s="298">
        <f t="shared" si="7"/>
        <v>0</v>
      </c>
      <c r="Z13" s="417">
        <f t="shared" si="8"/>
        <v>0</v>
      </c>
    </row>
    <row r="14" spans="2:29" ht="14.4">
      <c r="B14" s="36" t="s">
        <v>15</v>
      </c>
      <c r="C14" s="367" t="str">
        <f>[27]Brewhouse!$A6</f>
        <v>MK003</v>
      </c>
      <c r="D14" s="280">
        <f>[27]Brewhouse!$AF6</f>
        <v>55.6</v>
      </c>
      <c r="E14" s="280">
        <f>[27]Brewhouse!$AI6</f>
        <v>52.2</v>
      </c>
      <c r="F14" s="279">
        <f>[27]Brewhouse!$X6</f>
        <v>59</v>
      </c>
      <c r="G14" s="280">
        <f>[27]Brewhouse!AG6</f>
        <v>13.3</v>
      </c>
      <c r="H14" s="395"/>
      <c r="I14" s="369">
        <f>[27]Brewhouse!AT6</f>
        <v>95.883338904704345</v>
      </c>
      <c r="J14" s="369">
        <f>[27]Brewhouse!AU6</f>
        <v>99.41140901097711</v>
      </c>
      <c r="K14" s="282">
        <f>[27]Brewhouse!S6</f>
        <v>4.3543252595155648</v>
      </c>
      <c r="L14" s="277">
        <f>[27]Brewhouse!R6</f>
        <v>74</v>
      </c>
      <c r="M14" s="375">
        <f>[27]Brewhouse!$W6-[27]Brewhouse!$V6</f>
        <v>0.12361111111111112</v>
      </c>
      <c r="N14" s="371">
        <f>[27]Brewhouse!AA6</f>
        <v>0.22916666666666669</v>
      </c>
      <c r="O14" s="372" t="str">
        <f>[27]Brewhouse!AX6</f>
        <v>R.Sookram</v>
      </c>
      <c r="P14" s="370"/>
      <c r="R14" s="278" t="str">
        <f t="shared" si="0"/>
        <v>MACKESON</v>
      </c>
      <c r="S14" s="421">
        <f t="shared" si="1"/>
        <v>13.3</v>
      </c>
      <c r="T14" s="421">
        <f t="shared" si="2"/>
        <v>13.5</v>
      </c>
      <c r="U14" s="298">
        <f t="shared" si="3"/>
        <v>0</v>
      </c>
      <c r="V14" s="298">
        <f t="shared" si="4"/>
        <v>0.12905092592592593</v>
      </c>
      <c r="W14" s="298">
        <f t="shared" si="5"/>
        <v>0.27430555555555552</v>
      </c>
      <c r="X14" s="298">
        <f t="shared" si="6"/>
        <v>0.30208333333333331</v>
      </c>
      <c r="Y14" s="298">
        <f t="shared" si="7"/>
        <v>0</v>
      </c>
      <c r="Z14" s="417">
        <f t="shared" si="8"/>
        <v>0</v>
      </c>
    </row>
    <row r="15" spans="2:29" ht="14.4">
      <c r="B15" s="36" t="s">
        <v>15</v>
      </c>
      <c r="C15" s="367" t="str">
        <f>[27]Brewhouse!$A7</f>
        <v>MK004</v>
      </c>
      <c r="D15" s="280">
        <f>[27]Brewhouse!$AF7</f>
        <v>55.9</v>
      </c>
      <c r="E15" s="280">
        <f>[27]Brewhouse!$AI7</f>
        <v>52</v>
      </c>
      <c r="F15" s="279">
        <f>[27]Brewhouse!$X7</f>
        <v>55</v>
      </c>
      <c r="G15" s="280">
        <f>[27]Brewhouse!AG7</f>
        <v>13.1</v>
      </c>
      <c r="H15" s="395"/>
      <c r="I15" s="369">
        <f>[27]Brewhouse!AT7</f>
        <v>94.113898794831059</v>
      </c>
      <c r="J15" s="369">
        <f>[27]Brewhouse!AU7</f>
        <v>97.576158297843563</v>
      </c>
      <c r="K15" s="282">
        <f>[27]Brewhouse!S7</f>
        <v>7.974834437086094</v>
      </c>
      <c r="L15" s="277">
        <f>[27]Brewhouse!R7</f>
        <v>74</v>
      </c>
      <c r="M15" s="375">
        <f>[27]Brewhouse!$W7-[27]Brewhouse!$V7</f>
        <v>0.13263888888888886</v>
      </c>
      <c r="N15" s="371">
        <f>[27]Brewhouse!AA7</f>
        <v>0.2506944444444445</v>
      </c>
      <c r="O15" s="372" t="str">
        <f>[27]Brewhouse!AX7</f>
        <v>K.Benjamin</v>
      </c>
      <c r="P15" s="370"/>
      <c r="R15" s="278" t="str">
        <f t="shared" si="0"/>
        <v>MACKESON</v>
      </c>
      <c r="S15" s="421">
        <f t="shared" si="1"/>
        <v>13.3</v>
      </c>
      <c r="T15" s="421">
        <f t="shared" si="2"/>
        <v>13.5</v>
      </c>
      <c r="U15" s="298">
        <f t="shared" si="3"/>
        <v>0</v>
      </c>
      <c r="V15" s="298">
        <f t="shared" si="4"/>
        <v>0.12905092592592593</v>
      </c>
      <c r="W15" s="298">
        <f t="shared" si="5"/>
        <v>0.27430555555555552</v>
      </c>
      <c r="X15" s="298">
        <f t="shared" si="6"/>
        <v>0.30208333333333331</v>
      </c>
      <c r="Y15" s="298">
        <f t="shared" si="7"/>
        <v>0</v>
      </c>
      <c r="Z15" s="417">
        <f t="shared" si="8"/>
        <v>0</v>
      </c>
    </row>
    <row r="16" spans="2:29" ht="14.4">
      <c r="B16" s="36" t="s">
        <v>15</v>
      </c>
      <c r="C16" s="367" t="str">
        <f>[27]Brewhouse!$A8</f>
        <v>MK005</v>
      </c>
      <c r="D16" s="280">
        <f>[27]Brewhouse!$AF8</f>
        <v>55.3</v>
      </c>
      <c r="E16" s="280">
        <f>[27]Brewhouse!$AI8</f>
        <v>51.4</v>
      </c>
      <c r="F16" s="279">
        <f>[27]Brewhouse!$X8</f>
        <v>51</v>
      </c>
      <c r="G16" s="280">
        <f>[27]Brewhouse!AG8</f>
        <v>13.46</v>
      </c>
      <c r="H16" s="395"/>
      <c r="I16" s="369">
        <f>[27]Brewhouse!AT8</f>
        <v>95.898569361205759</v>
      </c>
      <c r="J16" s="369">
        <f>[27]Brewhouse!AU8</f>
        <v>99.427199878900367</v>
      </c>
      <c r="K16" s="282">
        <f>[27]Brewhouse!S8</f>
        <v>5.6891938250428833</v>
      </c>
      <c r="L16" s="277">
        <f>[27]Brewhouse!R8</f>
        <v>78</v>
      </c>
      <c r="M16" s="375">
        <f>[27]Brewhouse!$W8-[27]Brewhouse!$V8</f>
        <v>0.22638888888888886</v>
      </c>
      <c r="N16" s="371">
        <f>[27]Brewhouse!AA8</f>
        <v>0.29652777777777772</v>
      </c>
      <c r="O16" s="372" t="str">
        <f>[27]Brewhouse!AX8</f>
        <v>K.Benjamin</v>
      </c>
      <c r="P16" s="370"/>
      <c r="R16" s="278" t="str">
        <f t="shared" si="0"/>
        <v>MACKESON</v>
      </c>
      <c r="S16" s="421">
        <f t="shared" si="1"/>
        <v>13.3</v>
      </c>
      <c r="T16" s="421">
        <f t="shared" si="2"/>
        <v>13.5</v>
      </c>
      <c r="U16" s="298">
        <f t="shared" si="3"/>
        <v>0</v>
      </c>
      <c r="V16" s="298">
        <f t="shared" si="4"/>
        <v>0.12905092592592593</v>
      </c>
      <c r="W16" s="298">
        <f t="shared" si="5"/>
        <v>0.27430555555555552</v>
      </c>
      <c r="X16" s="298">
        <f t="shared" si="6"/>
        <v>0.30208333333333331</v>
      </c>
      <c r="Y16" s="298">
        <f t="shared" si="7"/>
        <v>0</v>
      </c>
      <c r="Z16" s="417">
        <f t="shared" si="8"/>
        <v>0</v>
      </c>
    </row>
    <row r="17" spans="2:26" ht="14.4">
      <c r="B17" s="36" t="s">
        <v>15</v>
      </c>
      <c r="C17" s="367" t="str">
        <f>[27]Brewhouse!$A9</f>
        <v>MK006</v>
      </c>
      <c r="D17" s="280">
        <f>[27]Brewhouse!$AF9</f>
        <v>55.2</v>
      </c>
      <c r="E17" s="280">
        <f>[27]Brewhouse!$AI9</f>
        <v>52.3</v>
      </c>
      <c r="F17" s="279">
        <f>[27]Brewhouse!$X9</f>
        <v>64</v>
      </c>
      <c r="G17" s="280">
        <f>[27]Brewhouse!AG9</f>
        <v>13.04</v>
      </c>
      <c r="H17" s="395"/>
      <c r="I17" s="369">
        <f>[27]Brewhouse!AT9</f>
        <v>93.701438852695176</v>
      </c>
      <c r="J17" s="369">
        <f>[27]Brewhouse!AU9</f>
        <v>97.149923685381424</v>
      </c>
      <c r="K17" s="282">
        <f>[27]Brewhouse!S9</f>
        <v>5.2103626943005121</v>
      </c>
      <c r="L17" s="277">
        <f>[27]Brewhouse!R9</f>
        <v>75</v>
      </c>
      <c r="M17" s="375">
        <f>[27]Brewhouse!$W9-[27]Brewhouse!$V9</f>
        <v>0.11944444444444458</v>
      </c>
      <c r="N17" s="371">
        <f>[27]Brewhouse!AA9</f>
        <v>0.2284722222222223</v>
      </c>
      <c r="O17" s="372" t="str">
        <f>[27]Brewhouse!AX9</f>
        <v>K.Benjamin</v>
      </c>
      <c r="P17" s="370"/>
      <c r="R17" s="278" t="str">
        <f t="shared" si="0"/>
        <v>MACKESON</v>
      </c>
      <c r="S17" s="421">
        <f t="shared" si="1"/>
        <v>13.3</v>
      </c>
      <c r="T17" s="421">
        <f t="shared" si="2"/>
        <v>13.5</v>
      </c>
      <c r="U17" s="298">
        <f t="shared" si="3"/>
        <v>0</v>
      </c>
      <c r="V17" s="298">
        <f t="shared" si="4"/>
        <v>0.12905092592592593</v>
      </c>
      <c r="W17" s="298">
        <f t="shared" si="5"/>
        <v>0.27430555555555552</v>
      </c>
      <c r="X17" s="298">
        <f t="shared" si="6"/>
        <v>0.30208333333333331</v>
      </c>
      <c r="Y17" s="298">
        <f t="shared" si="7"/>
        <v>0</v>
      </c>
      <c r="Z17" s="417">
        <f t="shared" si="8"/>
        <v>0</v>
      </c>
    </row>
    <row r="18" spans="2:26" ht="14.4">
      <c r="B18" s="36" t="s">
        <v>15</v>
      </c>
      <c r="C18" s="367" t="str">
        <f>[27]Brewhouse!$A10</f>
        <v>MK007</v>
      </c>
      <c r="D18" s="280">
        <f>[27]Brewhouse!$AF10</f>
        <v>52.7</v>
      </c>
      <c r="E18" s="280">
        <f>[27]Brewhouse!$AI10</f>
        <v>49.5</v>
      </c>
      <c r="F18" s="279">
        <f>[27]Brewhouse!$X10</f>
        <v>61</v>
      </c>
      <c r="G18" s="280">
        <f>[27]Brewhouse!AG10</f>
        <v>14</v>
      </c>
      <c r="H18" s="395"/>
      <c r="I18" s="369">
        <f>[27]Brewhouse!AT10</f>
        <v>95.891379370044191</v>
      </c>
      <c r="J18" s="369">
        <f>[27]Brewhouse!AU10</f>
        <v>99.420460368072526</v>
      </c>
      <c r="K18" s="282">
        <f>[27]Brewhouse!S10</f>
        <v>7.1219858156028311</v>
      </c>
      <c r="L18" s="277">
        <f>[27]Brewhouse!R10</f>
        <v>76</v>
      </c>
      <c r="M18" s="375">
        <f>[27]Brewhouse!$W10-[27]Brewhouse!$V10</f>
        <v>0.15138888888888891</v>
      </c>
      <c r="N18" s="371">
        <f>[27]Brewhouse!AA10</f>
        <v>0.25694444444444453</v>
      </c>
      <c r="O18" s="372" t="str">
        <f>[27]Brewhouse!AX10</f>
        <v>R.Regis</v>
      </c>
      <c r="P18" s="370"/>
      <c r="R18" s="278" t="str">
        <f t="shared" si="0"/>
        <v>MACKESON</v>
      </c>
      <c r="S18" s="421">
        <f t="shared" si="1"/>
        <v>13.3</v>
      </c>
      <c r="T18" s="421">
        <f t="shared" si="2"/>
        <v>13.5</v>
      </c>
      <c r="U18" s="298">
        <f t="shared" si="3"/>
        <v>0</v>
      </c>
      <c r="V18" s="298">
        <f t="shared" si="4"/>
        <v>0.12905092592592593</v>
      </c>
      <c r="W18" s="298">
        <f t="shared" si="5"/>
        <v>0.27430555555555552</v>
      </c>
      <c r="X18" s="298">
        <f t="shared" si="6"/>
        <v>0.30208333333333331</v>
      </c>
      <c r="Y18" s="298">
        <f t="shared" si="7"/>
        <v>0</v>
      </c>
      <c r="Z18" s="417">
        <f t="shared" si="8"/>
        <v>0</v>
      </c>
    </row>
    <row r="19" spans="2:26" ht="14.4">
      <c r="B19" s="36" t="s">
        <v>15</v>
      </c>
      <c r="C19" s="367" t="str">
        <f>[27]Brewhouse!$A11</f>
        <v>MK008</v>
      </c>
      <c r="D19" s="280">
        <f>[27]Brewhouse!$AF11</f>
        <v>56</v>
      </c>
      <c r="E19" s="280">
        <f>[27]Brewhouse!$AI11</f>
        <v>52.3</v>
      </c>
      <c r="F19" s="279">
        <f>[27]Brewhouse!$X11</f>
        <v>63</v>
      </c>
      <c r="G19" s="280">
        <f>[27]Brewhouse!AG11</f>
        <v>13.29</v>
      </c>
      <c r="H19" s="395"/>
      <c r="I19" s="369">
        <f>[27]Brewhouse!AT11</f>
        <v>95.965090010922808</v>
      </c>
      <c r="J19" s="369">
        <f>[27]Brewhouse!AU11</f>
        <v>99.496883774413334</v>
      </c>
      <c r="K19" s="282">
        <f>[27]Brewhouse!S11</f>
        <v>4.5514124293785345</v>
      </c>
      <c r="L19" s="277">
        <f>[27]Brewhouse!R11</f>
        <v>75</v>
      </c>
      <c r="M19" s="375">
        <f>[27]Brewhouse!$W11-[27]Brewhouse!$V11</f>
        <v>0.13194444444444445</v>
      </c>
      <c r="N19" s="371">
        <f>[27]Brewhouse!AA11</f>
        <v>0.24652777777777768</v>
      </c>
      <c r="O19" s="372" t="str">
        <f>[27]Brewhouse!AX11</f>
        <v>R.Regis</v>
      </c>
      <c r="P19" s="370"/>
      <c r="R19" s="278" t="str">
        <f t="shared" si="0"/>
        <v>MACKESON</v>
      </c>
      <c r="S19" s="421">
        <f t="shared" si="1"/>
        <v>13.3</v>
      </c>
      <c r="T19" s="421">
        <f t="shared" si="2"/>
        <v>13.5</v>
      </c>
      <c r="U19" s="298">
        <f t="shared" si="3"/>
        <v>0</v>
      </c>
      <c r="V19" s="298">
        <f t="shared" si="4"/>
        <v>0.12905092592592593</v>
      </c>
      <c r="W19" s="298">
        <f t="shared" si="5"/>
        <v>0.27430555555555552</v>
      </c>
      <c r="X19" s="298">
        <f t="shared" si="6"/>
        <v>0.30208333333333331</v>
      </c>
      <c r="Y19" s="298">
        <f t="shared" si="7"/>
        <v>0</v>
      </c>
      <c r="Z19" s="417">
        <f t="shared" si="8"/>
        <v>0</v>
      </c>
    </row>
    <row r="20" spans="2:26" ht="14.4">
      <c r="B20" s="36"/>
      <c r="C20" s="367"/>
      <c r="D20" s="280"/>
      <c r="E20" s="280"/>
      <c r="F20" s="279"/>
      <c r="G20" s="280"/>
      <c r="H20" s="395"/>
      <c r="I20" s="369"/>
      <c r="J20" s="281"/>
      <c r="K20" s="282"/>
      <c r="L20" s="277"/>
      <c r="M20" s="375"/>
      <c r="N20" s="371"/>
      <c r="O20" s="372"/>
      <c r="P20" s="370"/>
      <c r="R20" s="278">
        <f t="shared" si="0"/>
        <v>0</v>
      </c>
      <c r="S20" s="421" t="e">
        <f t="shared" si="1"/>
        <v>#N/A</v>
      </c>
      <c r="T20" s="421" t="e">
        <f t="shared" si="2"/>
        <v>#N/A</v>
      </c>
      <c r="U20" s="298" t="e">
        <f t="shared" si="3"/>
        <v>#N/A</v>
      </c>
      <c r="V20" s="298" t="e">
        <f t="shared" si="4"/>
        <v>#N/A</v>
      </c>
      <c r="W20" s="298" t="e">
        <f t="shared" si="5"/>
        <v>#N/A</v>
      </c>
      <c r="X20" s="298" t="e">
        <f t="shared" si="6"/>
        <v>#N/A</v>
      </c>
      <c r="Y20" s="298" t="e">
        <f t="shared" si="7"/>
        <v>#N/A</v>
      </c>
      <c r="Z20" s="417" t="e">
        <f t="shared" si="8"/>
        <v>#N/A</v>
      </c>
    </row>
    <row r="21" spans="2:26" ht="14.4">
      <c r="B21" s="36"/>
      <c r="C21" s="367"/>
      <c r="D21" s="280"/>
      <c r="E21" s="280"/>
      <c r="F21" s="279"/>
      <c r="G21" s="280"/>
      <c r="H21" s="395"/>
      <c r="I21" s="369"/>
      <c r="J21" s="281"/>
      <c r="K21" s="282"/>
      <c r="L21" s="277"/>
      <c r="M21" s="375"/>
      <c r="N21" s="371"/>
      <c r="O21" s="372"/>
      <c r="P21" s="370"/>
      <c r="R21" s="278">
        <f t="shared" si="0"/>
        <v>0</v>
      </c>
      <c r="S21" s="421" t="e">
        <f t="shared" si="1"/>
        <v>#N/A</v>
      </c>
      <c r="T21" s="421" t="e">
        <f t="shared" si="2"/>
        <v>#N/A</v>
      </c>
      <c r="U21" s="298" t="e">
        <f t="shared" si="3"/>
        <v>#N/A</v>
      </c>
      <c r="V21" s="298" t="e">
        <f t="shared" si="4"/>
        <v>#N/A</v>
      </c>
      <c r="W21" s="298" t="e">
        <f t="shared" si="5"/>
        <v>#N/A</v>
      </c>
      <c r="X21" s="298" t="e">
        <f t="shared" si="6"/>
        <v>#N/A</v>
      </c>
      <c r="Y21" s="298" t="e">
        <f t="shared" si="7"/>
        <v>#N/A</v>
      </c>
      <c r="Z21" s="417" t="e">
        <f t="shared" si="8"/>
        <v>#N/A</v>
      </c>
    </row>
    <row r="22" spans="2:26" ht="15" thickBot="1">
      <c r="B22" s="374"/>
      <c r="C22" s="284"/>
      <c r="D22" s="410"/>
      <c r="E22" s="493"/>
      <c r="F22" s="279"/>
      <c r="G22" s="280"/>
      <c r="H22" s="494"/>
      <c r="I22" s="281"/>
      <c r="J22" s="281"/>
      <c r="K22" s="282"/>
      <c r="L22" s="277"/>
      <c r="M22" s="375"/>
      <c r="N22" s="371"/>
      <c r="O22" s="372"/>
      <c r="P22" s="370"/>
      <c r="R22" s="278">
        <f t="shared" si="0"/>
        <v>0</v>
      </c>
      <c r="S22" s="421" t="e">
        <f t="shared" si="1"/>
        <v>#N/A</v>
      </c>
      <c r="T22" s="421" t="e">
        <f t="shared" si="2"/>
        <v>#N/A</v>
      </c>
      <c r="U22" s="298" t="e">
        <f t="shared" si="3"/>
        <v>#N/A</v>
      </c>
      <c r="V22" s="298" t="e">
        <f t="shared" si="4"/>
        <v>#N/A</v>
      </c>
      <c r="W22" s="298" t="e">
        <f t="shared" si="5"/>
        <v>#N/A</v>
      </c>
      <c r="X22" s="298" t="e">
        <f t="shared" si="6"/>
        <v>#N/A</v>
      </c>
      <c r="Y22" s="298" t="e">
        <f t="shared" si="7"/>
        <v>#N/A</v>
      </c>
      <c r="Z22" s="417" t="e">
        <f t="shared" si="8"/>
        <v>#N/A</v>
      </c>
    </row>
    <row r="23" spans="2:26" ht="15" hidden="1" thickBot="1">
      <c r="B23" s="374"/>
      <c r="C23" s="284"/>
      <c r="D23" s="410"/>
      <c r="E23" s="493"/>
      <c r="F23" s="279"/>
      <c r="G23" s="280"/>
      <c r="H23" s="494"/>
      <c r="I23" s="281"/>
      <c r="J23" s="281"/>
      <c r="K23" s="282"/>
      <c r="L23" s="277"/>
      <c r="M23" s="375"/>
      <c r="N23" s="371"/>
      <c r="O23" s="372"/>
      <c r="P23" s="370"/>
      <c r="R23" s="278">
        <f t="shared" si="0"/>
        <v>0</v>
      </c>
      <c r="S23" s="421" t="e">
        <f t="shared" si="1"/>
        <v>#N/A</v>
      </c>
      <c r="T23" s="421" t="e">
        <f t="shared" si="2"/>
        <v>#N/A</v>
      </c>
      <c r="U23" s="298" t="e">
        <f t="shared" si="3"/>
        <v>#N/A</v>
      </c>
      <c r="V23" s="298" t="e">
        <f t="shared" si="4"/>
        <v>#N/A</v>
      </c>
      <c r="W23" s="298" t="e">
        <f t="shared" si="5"/>
        <v>#N/A</v>
      </c>
      <c r="X23" s="298" t="e">
        <f t="shared" si="6"/>
        <v>#N/A</v>
      </c>
      <c r="Y23" s="298" t="e">
        <f t="shared" si="7"/>
        <v>#N/A</v>
      </c>
      <c r="Z23" s="417" t="e">
        <f t="shared" si="8"/>
        <v>#N/A</v>
      </c>
    </row>
    <row r="24" spans="2:26" ht="15" hidden="1" thickBot="1">
      <c r="B24" s="374"/>
      <c r="C24" s="284"/>
      <c r="D24" s="410"/>
      <c r="E24" s="493"/>
      <c r="F24" s="279"/>
      <c r="G24" s="280"/>
      <c r="H24" s="494"/>
      <c r="I24" s="281"/>
      <c r="J24" s="281"/>
      <c r="K24" s="282"/>
      <c r="L24" s="277"/>
      <c r="M24" s="375"/>
      <c r="N24" s="371"/>
      <c r="O24" s="372"/>
      <c r="P24" s="370"/>
      <c r="R24" s="278">
        <f t="shared" si="0"/>
        <v>0</v>
      </c>
      <c r="S24" s="421" t="e">
        <f t="shared" si="1"/>
        <v>#N/A</v>
      </c>
      <c r="T24" s="421" t="e">
        <f t="shared" si="2"/>
        <v>#N/A</v>
      </c>
      <c r="U24" s="298" t="e">
        <f t="shared" si="3"/>
        <v>#N/A</v>
      </c>
      <c r="V24" s="298" t="e">
        <f t="shared" si="4"/>
        <v>#N/A</v>
      </c>
      <c r="W24" s="298" t="e">
        <f t="shared" si="5"/>
        <v>#N/A</v>
      </c>
      <c r="X24" s="298" t="e">
        <f t="shared" si="6"/>
        <v>#N/A</v>
      </c>
      <c r="Y24" s="298" t="e">
        <f t="shared" si="7"/>
        <v>#N/A</v>
      </c>
      <c r="Z24" s="417" t="e">
        <f t="shared" si="8"/>
        <v>#N/A</v>
      </c>
    </row>
    <row r="25" spans="2:26" ht="15" hidden="1" thickBot="1">
      <c r="B25" s="374"/>
      <c r="C25" s="284"/>
      <c r="D25" s="410"/>
      <c r="E25" s="493"/>
      <c r="F25" s="279"/>
      <c r="G25" s="280"/>
      <c r="H25" s="494"/>
      <c r="I25" s="281"/>
      <c r="J25" s="281"/>
      <c r="K25" s="282"/>
      <c r="L25" s="277"/>
      <c r="M25" s="375"/>
      <c r="N25" s="371"/>
      <c r="O25" s="372"/>
      <c r="P25" s="370"/>
      <c r="R25" s="278">
        <f t="shared" si="0"/>
        <v>0</v>
      </c>
      <c r="S25" s="421" t="e">
        <f t="shared" si="1"/>
        <v>#N/A</v>
      </c>
      <c r="T25" s="421" t="e">
        <f t="shared" si="2"/>
        <v>#N/A</v>
      </c>
      <c r="U25" s="298" t="e">
        <f t="shared" si="3"/>
        <v>#N/A</v>
      </c>
      <c r="V25" s="298" t="e">
        <f t="shared" si="4"/>
        <v>#N/A</v>
      </c>
      <c r="W25" s="298" t="e">
        <f t="shared" si="5"/>
        <v>#N/A</v>
      </c>
      <c r="X25" s="298" t="e">
        <f t="shared" si="6"/>
        <v>#N/A</v>
      </c>
      <c r="Y25" s="298" t="e">
        <f t="shared" si="7"/>
        <v>#N/A</v>
      </c>
      <c r="Z25" s="417" t="e">
        <f t="shared" si="8"/>
        <v>#N/A</v>
      </c>
    </row>
    <row r="26" spans="2:26" ht="15" hidden="1" thickBot="1">
      <c r="B26" s="418"/>
      <c r="C26" s="284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0"/>
      <c r="R26" s="278">
        <f t="shared" si="0"/>
        <v>0</v>
      </c>
      <c r="S26" s="421" t="e">
        <f t="shared" si="1"/>
        <v>#N/A</v>
      </c>
      <c r="T26" s="421" t="e">
        <f t="shared" si="2"/>
        <v>#N/A</v>
      </c>
      <c r="U26" s="298" t="e">
        <f t="shared" si="3"/>
        <v>#N/A</v>
      </c>
      <c r="V26" s="298" t="e">
        <f t="shared" si="4"/>
        <v>#N/A</v>
      </c>
      <c r="W26" s="298" t="e">
        <f t="shared" si="5"/>
        <v>#N/A</v>
      </c>
      <c r="X26" s="298" t="e">
        <f t="shared" si="6"/>
        <v>#N/A</v>
      </c>
      <c r="Y26" s="298" t="e">
        <f t="shared" si="7"/>
        <v>#N/A</v>
      </c>
      <c r="Z26" s="417" t="e">
        <f t="shared" si="8"/>
        <v>#N/A</v>
      </c>
    </row>
    <row r="27" spans="2:26" ht="15" hidden="1" thickBot="1">
      <c r="B27" s="418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0"/>
      <c r="R27" s="278">
        <f t="shared" si="0"/>
        <v>0</v>
      </c>
      <c r="S27" s="421" t="e">
        <f t="shared" si="1"/>
        <v>#N/A</v>
      </c>
      <c r="T27" s="421" t="e">
        <f t="shared" si="2"/>
        <v>#N/A</v>
      </c>
      <c r="U27" s="298" t="e">
        <f t="shared" si="3"/>
        <v>#N/A</v>
      </c>
      <c r="V27" s="298" t="e">
        <f t="shared" si="4"/>
        <v>#N/A</v>
      </c>
      <c r="W27" s="298" t="e">
        <f t="shared" si="5"/>
        <v>#N/A</v>
      </c>
      <c r="X27" s="298" t="e">
        <f t="shared" si="6"/>
        <v>#N/A</v>
      </c>
      <c r="Y27" s="298" t="e">
        <f t="shared" si="7"/>
        <v>#N/A</v>
      </c>
      <c r="Z27" s="417" t="e">
        <f t="shared" si="8"/>
        <v>#N/A</v>
      </c>
    </row>
    <row r="28" spans="2:26" ht="15" hidden="1" thickBot="1">
      <c r="B28" s="418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R28" s="278">
        <f t="shared" si="0"/>
        <v>0</v>
      </c>
      <c r="S28" s="421" t="e">
        <f t="shared" si="1"/>
        <v>#N/A</v>
      </c>
      <c r="T28" s="421" t="e">
        <f t="shared" si="2"/>
        <v>#N/A</v>
      </c>
      <c r="U28" s="298" t="e">
        <f t="shared" si="3"/>
        <v>#N/A</v>
      </c>
      <c r="V28" s="298" t="e">
        <f t="shared" si="4"/>
        <v>#N/A</v>
      </c>
      <c r="W28" s="298" t="e">
        <f t="shared" si="5"/>
        <v>#N/A</v>
      </c>
      <c r="X28" s="298" t="e">
        <f t="shared" si="6"/>
        <v>#N/A</v>
      </c>
      <c r="Y28" s="298" t="e">
        <f t="shared" si="7"/>
        <v>#N/A</v>
      </c>
      <c r="Z28" s="417" t="e">
        <f t="shared" si="8"/>
        <v>#N/A</v>
      </c>
    </row>
    <row r="29" spans="2:26" ht="15" hidden="1" thickBot="1">
      <c r="B29" s="418"/>
      <c r="C29" s="367"/>
      <c r="D29" s="280"/>
      <c r="E29" s="280"/>
      <c r="F29" s="279"/>
      <c r="G29" s="280"/>
      <c r="H29" s="419"/>
      <c r="I29" s="369"/>
      <c r="J29" s="369"/>
      <c r="K29" s="282"/>
      <c r="L29" s="277"/>
      <c r="M29" s="420"/>
      <c r="N29" s="371"/>
      <c r="O29" s="372"/>
      <c r="P29" s="370"/>
      <c r="R29" s="278">
        <f t="shared" si="0"/>
        <v>0</v>
      </c>
      <c r="S29" s="421" t="e">
        <f t="shared" si="1"/>
        <v>#N/A</v>
      </c>
      <c r="T29" s="421" t="e">
        <f t="shared" si="2"/>
        <v>#N/A</v>
      </c>
      <c r="U29" s="298" t="e">
        <f t="shared" si="3"/>
        <v>#N/A</v>
      </c>
      <c r="V29" s="298" t="e">
        <f t="shared" si="4"/>
        <v>#N/A</v>
      </c>
      <c r="W29" s="298" t="e">
        <f t="shared" si="5"/>
        <v>#N/A</v>
      </c>
      <c r="X29" s="298" t="e">
        <f t="shared" si="6"/>
        <v>#N/A</v>
      </c>
      <c r="Y29" s="298" t="e">
        <f t="shared" si="7"/>
        <v>#N/A</v>
      </c>
      <c r="Z29" s="417" t="e">
        <f t="shared" si="8"/>
        <v>#N/A</v>
      </c>
    </row>
    <row r="30" spans="2:26" ht="15" hidden="1" thickBot="1">
      <c r="B30" s="418"/>
      <c r="C30" s="367"/>
      <c r="D30" s="280"/>
      <c r="E30" s="280"/>
      <c r="F30" s="279"/>
      <c r="G30" s="280"/>
      <c r="H30" s="419"/>
      <c r="I30" s="369"/>
      <c r="J30" s="369"/>
      <c r="K30" s="282"/>
      <c r="L30" s="277"/>
      <c r="M30" s="420"/>
      <c r="N30" s="371"/>
      <c r="O30" s="372"/>
      <c r="P30" s="370"/>
      <c r="R30" s="278">
        <f t="shared" si="0"/>
        <v>0</v>
      </c>
      <c r="S30" s="421" t="e">
        <f t="shared" si="1"/>
        <v>#N/A</v>
      </c>
      <c r="T30" s="421" t="e">
        <f t="shared" si="2"/>
        <v>#N/A</v>
      </c>
      <c r="U30" s="298" t="e">
        <f t="shared" si="3"/>
        <v>#N/A</v>
      </c>
      <c r="V30" s="298" t="e">
        <f t="shared" si="4"/>
        <v>#N/A</v>
      </c>
      <c r="W30" s="298" t="e">
        <f t="shared" si="5"/>
        <v>#N/A</v>
      </c>
      <c r="X30" s="298" t="e">
        <f t="shared" si="6"/>
        <v>#N/A</v>
      </c>
      <c r="Y30" s="298" t="e">
        <f t="shared" si="7"/>
        <v>#N/A</v>
      </c>
      <c r="Z30" s="417" t="e">
        <f t="shared" si="8"/>
        <v>#N/A</v>
      </c>
    </row>
    <row r="31" spans="2:26" ht="15" hidden="1" thickBot="1">
      <c r="B31" s="418"/>
      <c r="C31" s="367"/>
      <c r="D31" s="280"/>
      <c r="E31" s="280"/>
      <c r="F31" s="279"/>
      <c r="G31" s="280"/>
      <c r="H31" s="419"/>
      <c r="I31" s="369"/>
      <c r="J31" s="369"/>
      <c r="K31" s="282"/>
      <c r="L31" s="277"/>
      <c r="M31" s="420"/>
      <c r="N31" s="371"/>
      <c r="O31" s="372"/>
      <c r="P31" s="370"/>
      <c r="R31" s="278">
        <f t="shared" si="0"/>
        <v>0</v>
      </c>
      <c r="S31" s="421" t="e">
        <f t="shared" si="1"/>
        <v>#N/A</v>
      </c>
      <c r="T31" s="421" t="e">
        <f t="shared" si="2"/>
        <v>#N/A</v>
      </c>
      <c r="U31" s="298" t="e">
        <f t="shared" si="3"/>
        <v>#N/A</v>
      </c>
      <c r="V31" s="298" t="e">
        <f t="shared" si="4"/>
        <v>#N/A</v>
      </c>
      <c r="W31" s="298" t="e">
        <f t="shared" si="5"/>
        <v>#N/A</v>
      </c>
      <c r="X31" s="298" t="e">
        <f t="shared" si="6"/>
        <v>#N/A</v>
      </c>
      <c r="Y31" s="298" t="e">
        <f t="shared" si="7"/>
        <v>#N/A</v>
      </c>
      <c r="Z31" s="417" t="e">
        <f t="shared" si="8"/>
        <v>#N/A</v>
      </c>
    </row>
    <row r="32" spans="2:26" ht="15" hidden="1" thickBot="1">
      <c r="B32" s="22"/>
      <c r="C32" s="367"/>
      <c r="D32" s="280"/>
      <c r="E32" s="280"/>
      <c r="F32" s="279"/>
      <c r="G32" s="280"/>
      <c r="H32" s="492"/>
      <c r="I32" s="369"/>
      <c r="J32" s="369"/>
      <c r="K32" s="282"/>
      <c r="L32" s="277"/>
      <c r="M32" s="375"/>
      <c r="N32" s="371"/>
      <c r="O32" s="372"/>
      <c r="P32" s="370"/>
      <c r="R32" s="278">
        <f t="shared" si="0"/>
        <v>0</v>
      </c>
      <c r="S32" s="421" t="e">
        <f t="shared" si="1"/>
        <v>#N/A</v>
      </c>
      <c r="T32" s="421" t="e">
        <f t="shared" si="2"/>
        <v>#N/A</v>
      </c>
      <c r="U32" s="298" t="e">
        <f t="shared" si="3"/>
        <v>#N/A</v>
      </c>
      <c r="V32" s="298" t="e">
        <f t="shared" si="4"/>
        <v>#N/A</v>
      </c>
      <c r="W32" s="298" t="e">
        <f t="shared" si="5"/>
        <v>#N/A</v>
      </c>
      <c r="X32" s="298" t="e">
        <f t="shared" si="6"/>
        <v>#N/A</v>
      </c>
      <c r="Y32" s="298" t="e">
        <f t="shared" si="7"/>
        <v>#N/A</v>
      </c>
      <c r="Z32" s="417" t="e">
        <f t="shared" si="8"/>
        <v>#N/A</v>
      </c>
    </row>
    <row r="33" spans="2:26" ht="15" hidden="1" thickBot="1">
      <c r="B33" s="29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420"/>
      <c r="N33" s="371"/>
      <c r="O33" s="372"/>
      <c r="P33" s="370"/>
      <c r="R33" s="278">
        <f t="shared" si="0"/>
        <v>0</v>
      </c>
      <c r="S33" s="421" t="e">
        <f t="shared" si="1"/>
        <v>#N/A</v>
      </c>
      <c r="T33" s="421" t="e">
        <f t="shared" si="2"/>
        <v>#N/A</v>
      </c>
      <c r="U33" s="298" t="e">
        <f t="shared" si="3"/>
        <v>#N/A</v>
      </c>
      <c r="V33" s="298" t="e">
        <f t="shared" si="4"/>
        <v>#N/A</v>
      </c>
      <c r="W33" s="298" t="e">
        <f t="shared" si="5"/>
        <v>#N/A</v>
      </c>
      <c r="X33" s="298" t="e">
        <f t="shared" si="6"/>
        <v>#N/A</v>
      </c>
      <c r="Y33" s="298" t="e">
        <f t="shared" si="7"/>
        <v>#N/A</v>
      </c>
      <c r="Z33" s="417" t="e">
        <f t="shared" si="8"/>
        <v>#N/A</v>
      </c>
    </row>
    <row r="34" spans="2:26" ht="15" hidden="1" thickBot="1">
      <c r="B34" s="29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420"/>
      <c r="N34" s="371"/>
      <c r="O34" s="372"/>
      <c r="P34" s="370"/>
      <c r="R34" s="278">
        <f t="shared" si="0"/>
        <v>0</v>
      </c>
      <c r="S34" s="421" t="e">
        <f t="shared" si="1"/>
        <v>#N/A</v>
      </c>
      <c r="T34" s="421" t="e">
        <f t="shared" si="2"/>
        <v>#N/A</v>
      </c>
      <c r="U34" s="298" t="e">
        <f t="shared" si="3"/>
        <v>#N/A</v>
      </c>
      <c r="V34" s="298" t="e">
        <f t="shared" si="4"/>
        <v>#N/A</v>
      </c>
      <c r="W34" s="298" t="e">
        <f t="shared" si="5"/>
        <v>#N/A</v>
      </c>
      <c r="X34" s="298" t="e">
        <f t="shared" si="6"/>
        <v>#N/A</v>
      </c>
      <c r="Y34" s="298" t="e">
        <f t="shared" si="7"/>
        <v>#N/A</v>
      </c>
      <c r="Z34" s="417" t="e">
        <f t="shared" si="8"/>
        <v>#N/A</v>
      </c>
    </row>
    <row r="35" spans="2:26" ht="15" hidden="1" thickBot="1">
      <c r="B35" s="29"/>
      <c r="C35" s="367"/>
      <c r="D35" s="280"/>
      <c r="E35" s="280"/>
      <c r="F35" s="279"/>
      <c r="G35" s="280"/>
      <c r="H35" s="419"/>
      <c r="I35" s="369"/>
      <c r="J35" s="369"/>
      <c r="K35" s="282"/>
      <c r="L35" s="277"/>
      <c r="M35" s="420"/>
      <c r="N35" s="371"/>
      <c r="O35" s="372"/>
      <c r="P35" s="370"/>
      <c r="R35" s="278">
        <f t="shared" si="0"/>
        <v>0</v>
      </c>
      <c r="S35" s="421" t="e">
        <f t="shared" si="1"/>
        <v>#N/A</v>
      </c>
      <c r="T35" s="421" t="e">
        <f t="shared" si="2"/>
        <v>#N/A</v>
      </c>
      <c r="U35" s="298" t="e">
        <f t="shared" si="3"/>
        <v>#N/A</v>
      </c>
      <c r="V35" s="298" t="e">
        <f t="shared" si="4"/>
        <v>#N/A</v>
      </c>
      <c r="W35" s="298" t="e">
        <f t="shared" si="5"/>
        <v>#N/A</v>
      </c>
      <c r="X35" s="298" t="e">
        <f t="shared" si="6"/>
        <v>#N/A</v>
      </c>
      <c r="Y35" s="298" t="e">
        <f t="shared" si="7"/>
        <v>#N/A</v>
      </c>
      <c r="Z35" s="417" t="e">
        <f t="shared" si="8"/>
        <v>#N/A</v>
      </c>
    </row>
    <row r="36" spans="2:26" ht="15" hidden="1" thickBot="1">
      <c r="B36" s="34"/>
      <c r="C36" s="367"/>
      <c r="D36" s="280"/>
      <c r="E36" s="280"/>
      <c r="F36" s="279"/>
      <c r="G36" s="280"/>
      <c r="H36" s="419"/>
      <c r="I36" s="369"/>
      <c r="J36" s="369"/>
      <c r="K36" s="422"/>
      <c r="L36" s="277"/>
      <c r="M36" s="375"/>
      <c r="N36" s="371"/>
      <c r="O36" s="372"/>
      <c r="P36" s="370"/>
      <c r="R36" s="278">
        <f t="shared" si="0"/>
        <v>0</v>
      </c>
      <c r="S36" s="421" t="e">
        <f t="shared" si="1"/>
        <v>#N/A</v>
      </c>
      <c r="T36" s="421" t="e">
        <f t="shared" si="2"/>
        <v>#N/A</v>
      </c>
      <c r="U36" s="298" t="e">
        <f t="shared" si="3"/>
        <v>#N/A</v>
      </c>
      <c r="V36" s="298" t="e">
        <f t="shared" si="4"/>
        <v>#N/A</v>
      </c>
      <c r="W36" s="298" t="e">
        <f t="shared" si="5"/>
        <v>#N/A</v>
      </c>
      <c r="X36" s="298" t="e">
        <f t="shared" si="6"/>
        <v>#N/A</v>
      </c>
      <c r="Y36" s="298" t="e">
        <f t="shared" si="7"/>
        <v>#N/A</v>
      </c>
      <c r="Z36" s="417" t="e">
        <f t="shared" si="8"/>
        <v>#N/A</v>
      </c>
    </row>
    <row r="37" spans="2:26" ht="15" hidden="1" thickBot="1">
      <c r="B37" s="34"/>
      <c r="C37" s="367"/>
      <c r="D37" s="280"/>
      <c r="E37" s="280"/>
      <c r="F37" s="279"/>
      <c r="G37" s="280"/>
      <c r="H37" s="419"/>
      <c r="I37" s="369"/>
      <c r="J37" s="369"/>
      <c r="K37" s="422"/>
      <c r="L37" s="277"/>
      <c r="M37" s="375"/>
      <c r="N37" s="371"/>
      <c r="O37" s="372"/>
      <c r="P37" s="370"/>
      <c r="R37" s="278">
        <f t="shared" si="0"/>
        <v>0</v>
      </c>
      <c r="S37" s="421" t="e">
        <f t="shared" si="1"/>
        <v>#N/A</v>
      </c>
      <c r="T37" s="421" t="e">
        <f t="shared" si="2"/>
        <v>#N/A</v>
      </c>
      <c r="U37" s="298" t="e">
        <f t="shared" si="3"/>
        <v>#N/A</v>
      </c>
      <c r="V37" s="298" t="e">
        <f t="shared" si="4"/>
        <v>#N/A</v>
      </c>
      <c r="W37" s="298" t="e">
        <f t="shared" si="5"/>
        <v>#N/A</v>
      </c>
      <c r="X37" s="298" t="e">
        <f t="shared" si="6"/>
        <v>#N/A</v>
      </c>
      <c r="Y37" s="298" t="e">
        <f t="shared" si="7"/>
        <v>#N/A</v>
      </c>
      <c r="Z37" s="417" t="e">
        <f t="shared" si="8"/>
        <v>#N/A</v>
      </c>
    </row>
    <row r="38" spans="2:26" ht="15" hidden="1" thickBot="1">
      <c r="B38" s="34"/>
      <c r="C38" s="367"/>
      <c r="D38" s="280"/>
      <c r="E38" s="280"/>
      <c r="F38" s="279"/>
      <c r="G38" s="280"/>
      <c r="H38" s="419"/>
      <c r="I38" s="369"/>
      <c r="J38" s="369"/>
      <c r="K38" s="422"/>
      <c r="L38" s="277"/>
      <c r="M38" s="375"/>
      <c r="N38" s="371"/>
      <c r="O38" s="372"/>
      <c r="P38" s="370"/>
      <c r="R38" s="278">
        <f t="shared" si="0"/>
        <v>0</v>
      </c>
      <c r="S38" s="421" t="e">
        <f t="shared" si="1"/>
        <v>#N/A</v>
      </c>
      <c r="T38" s="421" t="e">
        <f t="shared" si="2"/>
        <v>#N/A</v>
      </c>
      <c r="U38" s="298" t="e">
        <f t="shared" si="3"/>
        <v>#N/A</v>
      </c>
      <c r="V38" s="298" t="e">
        <f t="shared" si="4"/>
        <v>#N/A</v>
      </c>
      <c r="W38" s="298" t="e">
        <f t="shared" si="5"/>
        <v>#N/A</v>
      </c>
      <c r="X38" s="298" t="e">
        <f t="shared" si="6"/>
        <v>#N/A</v>
      </c>
      <c r="Y38" s="298" t="e">
        <f t="shared" si="7"/>
        <v>#N/A</v>
      </c>
      <c r="Z38" s="417" t="e">
        <f t="shared" si="8"/>
        <v>#N/A</v>
      </c>
    </row>
    <row r="39" spans="2:26" ht="15" hidden="1" thickBot="1">
      <c r="B39" s="34"/>
      <c r="C39" s="367"/>
      <c r="D39" s="280"/>
      <c r="E39" s="280"/>
      <c r="F39" s="279"/>
      <c r="G39" s="280"/>
      <c r="H39" s="419"/>
      <c r="I39" s="369"/>
      <c r="J39" s="369"/>
      <c r="K39" s="422"/>
      <c r="L39" s="277"/>
      <c r="M39" s="375"/>
      <c r="N39" s="371"/>
      <c r="O39" s="372"/>
      <c r="P39" s="370"/>
      <c r="R39" s="278">
        <f t="shared" si="0"/>
        <v>0</v>
      </c>
      <c r="S39" s="421" t="e">
        <f t="shared" si="1"/>
        <v>#N/A</v>
      </c>
      <c r="T39" s="421" t="e">
        <f t="shared" si="2"/>
        <v>#N/A</v>
      </c>
      <c r="U39" s="298" t="e">
        <f t="shared" si="3"/>
        <v>#N/A</v>
      </c>
      <c r="V39" s="298" t="e">
        <f t="shared" si="4"/>
        <v>#N/A</v>
      </c>
      <c r="W39" s="298" t="e">
        <f t="shared" si="5"/>
        <v>#N/A</v>
      </c>
      <c r="X39" s="298" t="e">
        <f t="shared" si="6"/>
        <v>#N/A</v>
      </c>
      <c r="Y39" s="298" t="e">
        <f t="shared" si="7"/>
        <v>#N/A</v>
      </c>
      <c r="Z39" s="417" t="e">
        <f t="shared" si="8"/>
        <v>#N/A</v>
      </c>
    </row>
    <row r="40" spans="2:26" ht="15" hidden="1" thickBot="1">
      <c r="B40" s="34"/>
      <c r="C40" s="367"/>
      <c r="D40" s="280"/>
      <c r="E40" s="280"/>
      <c r="F40" s="279"/>
      <c r="G40" s="280"/>
      <c r="H40" s="419"/>
      <c r="I40" s="369"/>
      <c r="J40" s="369"/>
      <c r="K40" s="422"/>
      <c r="L40" s="277"/>
      <c r="M40" s="375"/>
      <c r="N40" s="371"/>
      <c r="O40" s="372"/>
      <c r="P40" s="370"/>
      <c r="R40" s="278">
        <f t="shared" si="0"/>
        <v>0</v>
      </c>
      <c r="S40" s="421" t="e">
        <f t="shared" si="1"/>
        <v>#N/A</v>
      </c>
      <c r="T40" s="421" t="e">
        <f t="shared" si="2"/>
        <v>#N/A</v>
      </c>
      <c r="U40" s="298" t="e">
        <f t="shared" si="3"/>
        <v>#N/A</v>
      </c>
      <c r="V40" s="298" t="e">
        <f t="shared" si="4"/>
        <v>#N/A</v>
      </c>
      <c r="W40" s="298" t="e">
        <f t="shared" si="5"/>
        <v>#N/A</v>
      </c>
      <c r="X40" s="298" t="e">
        <f t="shared" si="6"/>
        <v>#N/A</v>
      </c>
      <c r="Y40" s="298" t="e">
        <f t="shared" si="7"/>
        <v>#N/A</v>
      </c>
      <c r="Z40" s="417" t="e">
        <f t="shared" si="8"/>
        <v>#N/A</v>
      </c>
    </row>
    <row r="41" spans="2:26" ht="15" hidden="1" thickBot="1">
      <c r="B41" s="34"/>
      <c r="C41" s="367"/>
      <c r="D41" s="280"/>
      <c r="E41" s="280"/>
      <c r="F41" s="279"/>
      <c r="G41" s="280"/>
      <c r="H41" s="419"/>
      <c r="I41" s="369"/>
      <c r="J41" s="369"/>
      <c r="K41" s="422"/>
      <c r="L41" s="277"/>
      <c r="M41" s="423"/>
      <c r="N41" s="371"/>
      <c r="O41" s="372"/>
      <c r="P41" s="370"/>
      <c r="R41" s="278">
        <f t="shared" si="0"/>
        <v>0</v>
      </c>
      <c r="S41" s="421" t="e">
        <f t="shared" si="1"/>
        <v>#N/A</v>
      </c>
      <c r="T41" s="421" t="e">
        <f t="shared" si="2"/>
        <v>#N/A</v>
      </c>
      <c r="U41" s="298" t="e">
        <f t="shared" si="3"/>
        <v>#N/A</v>
      </c>
      <c r="V41" s="298" t="e">
        <f t="shared" si="4"/>
        <v>#N/A</v>
      </c>
      <c r="W41" s="298" t="e">
        <f t="shared" si="5"/>
        <v>#N/A</v>
      </c>
      <c r="X41" s="298" t="e">
        <f t="shared" si="6"/>
        <v>#N/A</v>
      </c>
      <c r="Y41" s="298" t="e">
        <f t="shared" si="7"/>
        <v>#N/A</v>
      </c>
      <c r="Z41" s="417" t="e">
        <f t="shared" si="8"/>
        <v>#N/A</v>
      </c>
    </row>
    <row r="42" spans="2:26" ht="15" hidden="1" thickBot="1">
      <c r="B42" s="34"/>
      <c r="C42" s="367"/>
      <c r="D42" s="280"/>
      <c r="E42" s="280"/>
      <c r="F42" s="279"/>
      <c r="G42" s="280"/>
      <c r="H42" s="419"/>
      <c r="I42" s="369"/>
      <c r="J42" s="369"/>
      <c r="K42" s="422"/>
      <c r="L42" s="277"/>
      <c r="M42" s="423"/>
      <c r="N42" s="371"/>
      <c r="O42" s="372"/>
      <c r="P42" s="370"/>
      <c r="R42" s="278">
        <f t="shared" si="0"/>
        <v>0</v>
      </c>
      <c r="S42" s="421" t="e">
        <f t="shared" si="1"/>
        <v>#N/A</v>
      </c>
      <c r="T42" s="421" t="e">
        <f t="shared" si="2"/>
        <v>#N/A</v>
      </c>
      <c r="U42" s="298" t="e">
        <f t="shared" si="3"/>
        <v>#N/A</v>
      </c>
      <c r="V42" s="298" t="e">
        <f t="shared" si="4"/>
        <v>#N/A</v>
      </c>
      <c r="W42" s="298" t="e">
        <f t="shared" si="5"/>
        <v>#N/A</v>
      </c>
      <c r="X42" s="298" t="e">
        <f t="shared" si="6"/>
        <v>#N/A</v>
      </c>
      <c r="Y42" s="298" t="e">
        <f t="shared" si="7"/>
        <v>#N/A</v>
      </c>
      <c r="Z42" s="417" t="e">
        <f t="shared" si="8"/>
        <v>#N/A</v>
      </c>
    </row>
    <row r="43" spans="2:26" ht="15" hidden="1" thickBot="1">
      <c r="B43" s="34"/>
      <c r="C43" s="367"/>
      <c r="D43" s="280"/>
      <c r="E43" s="280"/>
      <c r="F43" s="279"/>
      <c r="G43" s="280"/>
      <c r="H43" s="419"/>
      <c r="I43" s="369"/>
      <c r="J43" s="369"/>
      <c r="K43" s="422"/>
      <c r="L43" s="277"/>
      <c r="M43" s="375"/>
      <c r="N43" s="371"/>
      <c r="O43" s="372"/>
      <c r="P43" s="370"/>
      <c r="R43" s="278">
        <f t="shared" si="0"/>
        <v>0</v>
      </c>
      <c r="S43" s="421" t="e">
        <f t="shared" si="1"/>
        <v>#N/A</v>
      </c>
      <c r="T43" s="421" t="e">
        <f t="shared" si="2"/>
        <v>#N/A</v>
      </c>
      <c r="U43" s="298" t="e">
        <f t="shared" si="3"/>
        <v>#N/A</v>
      </c>
      <c r="V43" s="298" t="e">
        <f t="shared" si="4"/>
        <v>#N/A</v>
      </c>
      <c r="W43" s="298" t="e">
        <f t="shared" si="5"/>
        <v>#N/A</v>
      </c>
      <c r="X43" s="298" t="e">
        <f t="shared" si="6"/>
        <v>#N/A</v>
      </c>
      <c r="Y43" s="298" t="e">
        <f t="shared" si="7"/>
        <v>#N/A</v>
      </c>
      <c r="Z43" s="417" t="e">
        <f t="shared" si="8"/>
        <v>#N/A</v>
      </c>
    </row>
    <row r="44" spans="2:26" ht="15" hidden="1" thickBot="1">
      <c r="B44" s="418"/>
      <c r="C44" s="367"/>
      <c r="D44" s="280"/>
      <c r="E44" s="280"/>
      <c r="F44" s="279"/>
      <c r="G44" s="280"/>
      <c r="H44" s="419"/>
      <c r="I44" s="369"/>
      <c r="J44" s="369"/>
      <c r="K44" s="282"/>
      <c r="L44" s="277"/>
      <c r="M44" s="420"/>
      <c r="N44" s="371"/>
      <c r="O44" s="372"/>
      <c r="P44" s="370"/>
      <c r="R44" s="278">
        <f t="shared" si="0"/>
        <v>0</v>
      </c>
      <c r="S44" s="421" t="e">
        <f t="shared" si="1"/>
        <v>#N/A</v>
      </c>
      <c r="T44" s="421" t="e">
        <f t="shared" si="2"/>
        <v>#N/A</v>
      </c>
      <c r="U44" s="298" t="e">
        <f t="shared" si="3"/>
        <v>#N/A</v>
      </c>
      <c r="V44" s="298" t="e">
        <f t="shared" si="4"/>
        <v>#N/A</v>
      </c>
      <c r="W44" s="298" t="e">
        <f t="shared" si="5"/>
        <v>#N/A</v>
      </c>
      <c r="X44" s="298" t="e">
        <f t="shared" si="6"/>
        <v>#N/A</v>
      </c>
      <c r="Y44" s="298" t="e">
        <f t="shared" si="7"/>
        <v>#N/A</v>
      </c>
      <c r="Z44" s="417" t="e">
        <f t="shared" si="8"/>
        <v>#N/A</v>
      </c>
    </row>
    <row r="45" spans="2:26" ht="15" hidden="1" thickBot="1">
      <c r="B45" s="418"/>
      <c r="C45" s="367"/>
      <c r="D45" s="280"/>
      <c r="E45" s="280"/>
      <c r="F45" s="279"/>
      <c r="G45" s="280"/>
      <c r="H45" s="419"/>
      <c r="I45" s="369"/>
      <c r="J45" s="369"/>
      <c r="K45" s="282"/>
      <c r="L45" s="277"/>
      <c r="M45" s="420"/>
      <c r="N45" s="371"/>
      <c r="O45" s="372"/>
      <c r="P45" s="370"/>
      <c r="R45" s="278">
        <f t="shared" si="0"/>
        <v>0</v>
      </c>
      <c r="S45" s="421" t="e">
        <f t="shared" si="1"/>
        <v>#N/A</v>
      </c>
      <c r="T45" s="421" t="e">
        <f t="shared" si="2"/>
        <v>#N/A</v>
      </c>
      <c r="U45" s="298" t="e">
        <f t="shared" si="3"/>
        <v>#N/A</v>
      </c>
      <c r="V45" s="298" t="e">
        <f t="shared" si="4"/>
        <v>#N/A</v>
      </c>
      <c r="W45" s="298" t="e">
        <f t="shared" si="5"/>
        <v>#N/A</v>
      </c>
      <c r="X45" s="298" t="e">
        <f t="shared" si="6"/>
        <v>#N/A</v>
      </c>
      <c r="Y45" s="298" t="e">
        <f t="shared" si="7"/>
        <v>#N/A</v>
      </c>
      <c r="Z45" s="417" t="e">
        <f t="shared" si="8"/>
        <v>#N/A</v>
      </c>
    </row>
    <row r="46" spans="2:26" ht="15" hidden="1" thickBot="1">
      <c r="B46" s="418"/>
      <c r="C46" s="367"/>
      <c r="D46" s="280"/>
      <c r="E46" s="280"/>
      <c r="F46" s="279"/>
      <c r="G46" s="280"/>
      <c r="H46" s="419"/>
      <c r="I46" s="369"/>
      <c r="J46" s="369"/>
      <c r="K46" s="282"/>
      <c r="L46" s="277"/>
      <c r="M46" s="420"/>
      <c r="N46" s="371"/>
      <c r="O46" s="372"/>
      <c r="P46" s="370"/>
      <c r="R46" s="278">
        <f t="shared" si="0"/>
        <v>0</v>
      </c>
      <c r="S46" s="421" t="e">
        <f t="shared" si="1"/>
        <v>#N/A</v>
      </c>
      <c r="T46" s="421" t="e">
        <f t="shared" si="2"/>
        <v>#N/A</v>
      </c>
      <c r="U46" s="298" t="e">
        <f t="shared" si="3"/>
        <v>#N/A</v>
      </c>
      <c r="V46" s="298" t="e">
        <f t="shared" si="4"/>
        <v>#N/A</v>
      </c>
      <c r="W46" s="298" t="e">
        <f t="shared" si="5"/>
        <v>#N/A</v>
      </c>
      <c r="X46" s="298" t="e">
        <f t="shared" si="6"/>
        <v>#N/A</v>
      </c>
      <c r="Y46" s="298" t="e">
        <f t="shared" si="7"/>
        <v>#N/A</v>
      </c>
      <c r="Z46" s="417" t="e">
        <f t="shared" si="8"/>
        <v>#N/A</v>
      </c>
    </row>
    <row r="47" spans="2:26" ht="15" hidden="1" thickBot="1">
      <c r="B47" s="418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R47" s="278">
        <f t="shared" si="0"/>
        <v>0</v>
      </c>
      <c r="S47" s="421" t="e">
        <f t="shared" si="1"/>
        <v>#N/A</v>
      </c>
      <c r="T47" s="421" t="e">
        <f t="shared" si="2"/>
        <v>#N/A</v>
      </c>
      <c r="U47" s="298" t="e">
        <f t="shared" si="3"/>
        <v>#N/A</v>
      </c>
      <c r="V47" s="298" t="e">
        <f t="shared" si="4"/>
        <v>#N/A</v>
      </c>
      <c r="W47" s="298" t="e">
        <f t="shared" si="5"/>
        <v>#N/A</v>
      </c>
      <c r="X47" s="298" t="e">
        <f t="shared" si="6"/>
        <v>#N/A</v>
      </c>
      <c r="Y47" s="298" t="e">
        <f t="shared" si="7"/>
        <v>#N/A</v>
      </c>
      <c r="Z47" s="417" t="e">
        <f t="shared" si="8"/>
        <v>#N/A</v>
      </c>
    </row>
    <row r="48" spans="2:26" ht="15" hidden="1" thickBo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R48" s="278">
        <f t="shared" si="0"/>
        <v>0</v>
      </c>
      <c r="S48" s="421" t="e">
        <f t="shared" si="1"/>
        <v>#N/A</v>
      </c>
      <c r="T48" s="421" t="e">
        <f t="shared" si="2"/>
        <v>#N/A</v>
      </c>
      <c r="U48" s="298" t="e">
        <f t="shared" si="3"/>
        <v>#N/A</v>
      </c>
      <c r="V48" s="298" t="e">
        <f t="shared" si="4"/>
        <v>#N/A</v>
      </c>
      <c r="W48" s="298" t="e">
        <f t="shared" si="5"/>
        <v>#N/A</v>
      </c>
      <c r="X48" s="298" t="e">
        <f t="shared" si="6"/>
        <v>#N/A</v>
      </c>
      <c r="Y48" s="298" t="e">
        <f t="shared" si="7"/>
        <v>#N/A</v>
      </c>
      <c r="Z48" s="417" t="e">
        <f t="shared" si="8"/>
        <v>#N/A</v>
      </c>
    </row>
    <row r="49" spans="1:26" ht="15.75" customHeight="1" thickBot="1">
      <c r="B49" s="359"/>
      <c r="C49" s="424"/>
      <c r="D49" s="359"/>
      <c r="E49" s="359"/>
      <c r="F49" s="295"/>
      <c r="G49" s="295"/>
      <c r="H49" s="349"/>
      <c r="I49" s="632" t="s">
        <v>34</v>
      </c>
      <c r="J49" s="632"/>
      <c r="K49" s="632"/>
      <c r="L49" s="632"/>
      <c r="M49" s="632"/>
      <c r="N49" s="632"/>
      <c r="O49" s="1"/>
      <c r="P49" s="12"/>
      <c r="R49" s="278">
        <f t="shared" si="0"/>
        <v>0</v>
      </c>
      <c r="S49" s="421" t="e">
        <f t="shared" si="1"/>
        <v>#N/A</v>
      </c>
      <c r="T49" s="421" t="e">
        <f t="shared" si="2"/>
        <v>#N/A</v>
      </c>
      <c r="U49" s="298" t="e">
        <f t="shared" si="3"/>
        <v>#N/A</v>
      </c>
      <c r="V49" s="298" t="e">
        <f t="shared" si="4"/>
        <v>#N/A</v>
      </c>
      <c r="W49" s="298" t="e">
        <f t="shared" si="5"/>
        <v>#N/A</v>
      </c>
      <c r="X49" s="298" t="e">
        <f t="shared" si="6"/>
        <v>#N/A</v>
      </c>
      <c r="Y49" s="298" t="e">
        <f t="shared" si="7"/>
        <v>#N/A</v>
      </c>
      <c r="Z49" s="417" t="e">
        <f t="shared" si="8"/>
        <v>#N/A</v>
      </c>
    </row>
    <row r="50" spans="1:26" ht="28.8" thickBot="1">
      <c r="B50" s="425" t="s">
        <v>145</v>
      </c>
      <c r="C50" s="426"/>
      <c r="D50" s="633" t="s">
        <v>35</v>
      </c>
      <c r="E50" s="634"/>
      <c r="F50" s="295"/>
      <c r="G50" s="295"/>
      <c r="H50" s="23"/>
      <c r="I50" s="24" t="s">
        <v>17</v>
      </c>
      <c r="J50" s="25" t="s">
        <v>146</v>
      </c>
      <c r="K50" s="26" t="s">
        <v>138</v>
      </c>
      <c r="L50" s="25" t="s">
        <v>37</v>
      </c>
      <c r="M50" s="25" t="s">
        <v>38</v>
      </c>
      <c r="N50" s="27" t="s">
        <v>39</v>
      </c>
      <c r="O50" s="295"/>
      <c r="P50" s="12"/>
      <c r="R50" s="278"/>
      <c r="S50" s="421"/>
      <c r="T50" s="421"/>
      <c r="U50" s="298"/>
      <c r="V50" s="298"/>
      <c r="W50" s="298"/>
      <c r="X50" s="298"/>
      <c r="Y50" s="298"/>
      <c r="Z50" s="417"/>
    </row>
    <row r="51" spans="1:26" ht="15" customHeight="1">
      <c r="A51" s="28"/>
      <c r="B51" s="650" t="str">
        <f>I53</f>
        <v>GUINNESS</v>
      </c>
      <c r="C51" s="427">
        <v>17.2</v>
      </c>
      <c r="D51" s="638">
        <v>17.23</v>
      </c>
      <c r="E51" s="592"/>
      <c r="F51" s="295"/>
      <c r="G51" s="295"/>
      <c r="H51" s="295"/>
      <c r="I51" s="29" t="s">
        <v>6</v>
      </c>
      <c r="J51" s="324"/>
      <c r="K51" s="285"/>
      <c r="L51" s="303"/>
      <c r="M51" s="303"/>
      <c r="N51" s="30">
        <v>98</v>
      </c>
      <c r="O51" s="11"/>
      <c r="P51" s="31"/>
      <c r="R51" s="278"/>
      <c r="S51" s="421"/>
      <c r="T51" s="421"/>
      <c r="U51" s="298"/>
      <c r="V51" s="298"/>
      <c r="W51" s="298"/>
      <c r="X51" s="298"/>
      <c r="Y51" s="298"/>
      <c r="Z51" s="417"/>
    </row>
    <row r="52" spans="1:26" ht="15" customHeight="1">
      <c r="A52" s="28"/>
      <c r="B52" s="651"/>
      <c r="C52" s="427">
        <v>17.399999999999999</v>
      </c>
      <c r="D52" s="580"/>
      <c r="E52" s="581"/>
      <c r="F52" s="295"/>
      <c r="G52" s="295"/>
      <c r="H52" s="32"/>
      <c r="I52" s="418" t="s">
        <v>9</v>
      </c>
      <c r="J52" s="324"/>
      <c r="K52" s="285">
        <v>14</v>
      </c>
      <c r="L52" s="428">
        <v>95.91860109091941</v>
      </c>
      <c r="M52" s="428">
        <v>95.91860109091941</v>
      </c>
      <c r="N52" s="30">
        <v>98</v>
      </c>
      <c r="O52" s="11"/>
      <c r="P52" s="31"/>
      <c r="R52" s="278"/>
      <c r="S52" s="421"/>
      <c r="T52" s="421"/>
      <c r="U52" s="298"/>
      <c r="V52" s="298"/>
      <c r="W52" s="298"/>
      <c r="X52" s="298"/>
      <c r="Y52" s="298"/>
      <c r="Z52" s="417"/>
    </row>
    <row r="53" spans="1:26" ht="14.7" customHeight="1">
      <c r="A53" s="28"/>
      <c r="B53" s="651"/>
      <c r="C53" s="427">
        <v>17.100000000000001</v>
      </c>
      <c r="D53" s="626">
        <v>17.510000000000002</v>
      </c>
      <c r="E53" s="623"/>
      <c r="F53" s="295"/>
      <c r="G53" s="295"/>
      <c r="H53" s="32"/>
      <c r="I53" s="34" t="s">
        <v>12</v>
      </c>
      <c r="J53" s="327"/>
      <c r="K53" s="285"/>
      <c r="L53" s="428"/>
      <c r="M53" s="303"/>
      <c r="N53" s="30">
        <v>98</v>
      </c>
      <c r="O53" s="11"/>
      <c r="P53" s="31"/>
      <c r="R53" s="278"/>
      <c r="S53" s="421"/>
      <c r="T53" s="421"/>
      <c r="U53" s="298"/>
      <c r="V53" s="298"/>
      <c r="W53" s="298"/>
      <c r="X53" s="298"/>
      <c r="Y53" s="298"/>
      <c r="Z53" s="417"/>
    </row>
    <row r="54" spans="1:26" ht="14.7" customHeight="1">
      <c r="A54" s="28"/>
      <c r="B54" s="651"/>
      <c r="C54" s="427">
        <v>17.2</v>
      </c>
      <c r="D54" s="580"/>
      <c r="E54" s="581"/>
      <c r="F54" s="295"/>
      <c r="G54" s="295"/>
      <c r="H54" s="32"/>
      <c r="I54" s="22" t="s">
        <v>33</v>
      </c>
      <c r="J54" s="327"/>
      <c r="K54" s="285">
        <v>4</v>
      </c>
      <c r="L54" s="303">
        <v>96.702302381453876</v>
      </c>
      <c r="M54" s="303">
        <v>96.702302381453876</v>
      </c>
      <c r="N54" s="30">
        <v>98</v>
      </c>
      <c r="O54" s="11"/>
      <c r="P54" s="31"/>
      <c r="R54" s="278"/>
      <c r="S54" s="421"/>
      <c r="T54" s="421"/>
      <c r="U54" s="298"/>
      <c r="V54" s="298"/>
      <c r="W54" s="298"/>
      <c r="X54" s="298"/>
      <c r="Y54" s="298"/>
      <c r="Z54" s="417"/>
    </row>
    <row r="55" spans="1:26" ht="14.7" customHeight="1">
      <c r="A55" s="28"/>
      <c r="B55" s="651"/>
      <c r="C55" s="427">
        <v>17</v>
      </c>
      <c r="D55" s="626">
        <v>17.25</v>
      </c>
      <c r="E55" s="623"/>
      <c r="F55" s="295"/>
      <c r="G55" s="295"/>
      <c r="H55" s="32"/>
      <c r="I55" s="35" t="s">
        <v>29</v>
      </c>
      <c r="J55" s="327"/>
      <c r="K55" s="285"/>
      <c r="L55" s="303"/>
      <c r="M55" s="303"/>
      <c r="N55" s="30">
        <v>98</v>
      </c>
      <c r="O55" s="11"/>
      <c r="P55" s="31"/>
      <c r="R55" s="278"/>
      <c r="S55" s="421"/>
      <c r="T55" s="421"/>
      <c r="U55" s="298"/>
      <c r="V55" s="298"/>
      <c r="W55" s="298"/>
      <c r="X55" s="298"/>
      <c r="Y55" s="298"/>
      <c r="Z55" s="417"/>
    </row>
    <row r="56" spans="1:26" ht="14.7" customHeight="1">
      <c r="A56" s="28"/>
      <c r="B56" s="651"/>
      <c r="C56" s="427">
        <v>17.25</v>
      </c>
      <c r="D56" s="580"/>
      <c r="E56" s="581"/>
      <c r="F56" s="295"/>
      <c r="G56" s="295"/>
      <c r="H56" s="32"/>
      <c r="I56" s="36" t="s">
        <v>15</v>
      </c>
      <c r="J56" s="327">
        <f>AVERAGE(I12:I19)</f>
        <v>94.812616598822359</v>
      </c>
      <c r="K56" s="285">
        <v>8</v>
      </c>
      <c r="L56" s="303">
        <f>J56</f>
        <v>94.812616598822359</v>
      </c>
      <c r="M56" s="303">
        <f>L56</f>
        <v>94.812616598822359</v>
      </c>
      <c r="N56" s="30">
        <v>98</v>
      </c>
      <c r="O56" s="11"/>
      <c r="P56" s="31"/>
      <c r="R56" s="278"/>
      <c r="S56" s="421"/>
      <c r="T56" s="421"/>
      <c r="U56" s="298"/>
      <c r="V56" s="298"/>
      <c r="W56" s="298"/>
      <c r="X56" s="298"/>
      <c r="Y56" s="298"/>
      <c r="Z56" s="417"/>
    </row>
    <row r="57" spans="1:26" ht="14.7" customHeight="1">
      <c r="A57" s="28"/>
      <c r="B57" s="651"/>
      <c r="C57" s="427"/>
      <c r="D57" s="626"/>
      <c r="E57" s="623"/>
      <c r="F57" s="295"/>
      <c r="G57" s="295"/>
      <c r="H57" s="32"/>
      <c r="I57" s="37" t="s">
        <v>16</v>
      </c>
      <c r="J57" s="430"/>
      <c r="K57" s="285"/>
      <c r="L57" s="303"/>
      <c r="M57" s="303"/>
      <c r="N57" s="30">
        <v>98</v>
      </c>
      <c r="O57" s="11"/>
      <c r="P57" s="31" t="s">
        <v>41</v>
      </c>
      <c r="R57" s="278"/>
      <c r="S57" s="421"/>
      <c r="T57" s="421"/>
      <c r="U57" s="298"/>
      <c r="V57" s="298"/>
      <c r="W57" s="298"/>
      <c r="X57" s="298"/>
      <c r="Y57" s="298"/>
      <c r="Z57" s="417"/>
    </row>
    <row r="58" spans="1:26" ht="14.7" customHeight="1">
      <c r="A58" s="28"/>
      <c r="B58" s="651"/>
      <c r="C58" s="427"/>
      <c r="D58" s="580"/>
      <c r="E58" s="581"/>
      <c r="F58" s="295"/>
      <c r="G58" s="295"/>
      <c r="H58" s="32"/>
      <c r="I58" s="307" t="s">
        <v>137</v>
      </c>
      <c r="J58" s="327"/>
      <c r="K58" s="285">
        <v>4</v>
      </c>
      <c r="L58" s="306">
        <v>91.812565805251865</v>
      </c>
      <c r="M58" s="306">
        <v>91.812565805251865</v>
      </c>
      <c r="N58" s="30">
        <v>98</v>
      </c>
      <c r="O58" s="11"/>
      <c r="P58" s="31"/>
      <c r="R58" s="278"/>
      <c r="S58" s="421"/>
      <c r="T58" s="421"/>
      <c r="U58" s="298"/>
      <c r="V58" s="298"/>
      <c r="W58" s="298"/>
      <c r="X58" s="298"/>
      <c r="Y58" s="298"/>
      <c r="Z58" s="417"/>
    </row>
    <row r="59" spans="1:26" ht="15" thickBot="1">
      <c r="A59" s="28"/>
      <c r="B59" s="651"/>
      <c r="C59" s="427"/>
      <c r="D59" s="626"/>
      <c r="E59" s="623"/>
      <c r="F59" s="295"/>
      <c r="G59" s="295"/>
      <c r="H59" s="32"/>
      <c r="I59" s="38" t="s">
        <v>157</v>
      </c>
      <c r="J59" s="327"/>
      <c r="K59" s="285"/>
      <c r="L59" s="306"/>
      <c r="M59" s="329"/>
      <c r="N59" s="30">
        <v>98</v>
      </c>
      <c r="O59" s="11"/>
      <c r="P59" s="31"/>
      <c r="R59" s="278"/>
      <c r="S59" s="421"/>
      <c r="T59" s="421"/>
      <c r="U59" s="298"/>
      <c r="V59" s="298"/>
      <c r="W59" s="298"/>
      <c r="X59" s="298"/>
      <c r="Y59" s="298"/>
      <c r="Z59" s="417"/>
    </row>
    <row r="60" spans="1:26" ht="15" customHeight="1" thickBot="1">
      <c r="A60" s="28"/>
      <c r="B60" s="651"/>
      <c r="C60" s="427"/>
      <c r="D60" s="580"/>
      <c r="E60" s="581"/>
      <c r="F60" s="295"/>
      <c r="G60" s="295"/>
      <c r="H60" s="32"/>
      <c r="I60" s="431" t="s">
        <v>158</v>
      </c>
      <c r="J60" s="328"/>
      <c r="K60" s="285"/>
      <c r="L60" s="329"/>
      <c r="M60" s="329"/>
      <c r="N60" s="30">
        <v>98</v>
      </c>
      <c r="O60" s="11"/>
      <c r="P60" s="31"/>
      <c r="R60" s="278"/>
      <c r="S60" s="421"/>
      <c r="T60" s="421"/>
      <c r="U60" s="298"/>
      <c r="V60" s="298"/>
      <c r="W60" s="298"/>
      <c r="X60" s="298"/>
      <c r="Y60" s="298"/>
      <c r="Z60" s="417"/>
    </row>
    <row r="61" spans="1:26" ht="15" customHeight="1" thickTop="1" thickBot="1">
      <c r="A61" s="28"/>
      <c r="B61" s="651"/>
      <c r="C61" s="427"/>
      <c r="D61" s="626"/>
      <c r="E61" s="623"/>
      <c r="F61" s="295"/>
      <c r="G61" s="295"/>
      <c r="H61" s="32"/>
      <c r="I61" s="1"/>
      <c r="J61" s="39"/>
      <c r="K61" s="432">
        <f>SUM(K51:K60)</f>
        <v>30</v>
      </c>
      <c r="L61" s="433">
        <f>((L51*K51)+(L52*K52)+(L53*K53)+(L54*K54)+(L55*K55)+(K58*L58)+(L56*K56)+(L57*K57)+(L60*K60))/(K61)</f>
        <v>95.180694027009125</v>
      </c>
      <c r="M61" s="433">
        <f>L61</f>
        <v>95.180694027009125</v>
      </c>
      <c r="N61" s="30">
        <v>98</v>
      </c>
      <c r="O61" s="11"/>
      <c r="P61" s="31"/>
      <c r="R61" s="23"/>
    </row>
    <row r="62" spans="1:26" ht="15" customHeight="1">
      <c r="A62" s="28"/>
      <c r="B62" s="651"/>
      <c r="C62" s="427"/>
      <c r="D62" s="580"/>
      <c r="E62" s="581"/>
      <c r="F62" s="295"/>
      <c r="G62" s="295"/>
      <c r="H62" s="32"/>
      <c r="I62" s="1"/>
      <c r="J62" s="39"/>
      <c r="O62" s="11"/>
      <c r="P62" s="31"/>
      <c r="R62" s="23"/>
    </row>
    <row r="63" spans="1:26" ht="21.6" customHeight="1" thickBot="1">
      <c r="B63" s="652"/>
      <c r="C63" s="434"/>
      <c r="D63" s="626"/>
      <c r="E63" s="623"/>
      <c r="F63" s="295"/>
      <c r="G63" s="42"/>
      <c r="H63" s="41"/>
      <c r="I63" s="1"/>
      <c r="J63" s="42"/>
      <c r="K63" s="352"/>
      <c r="L63" s="349"/>
      <c r="M63" s="349"/>
      <c r="N63" s="11"/>
      <c r="O63" s="295"/>
      <c r="P63" s="12"/>
      <c r="R63" s="23"/>
    </row>
    <row r="64" spans="1:26" ht="15" thickBot="1">
      <c r="B64" s="627" t="str">
        <f>I51</f>
        <v>CARIB</v>
      </c>
      <c r="C64" s="435">
        <v>11.9</v>
      </c>
      <c r="D64" s="591">
        <v>11.68</v>
      </c>
      <c r="E64" s="592"/>
      <c r="F64" s="43"/>
      <c r="G64" s="41"/>
      <c r="H64" s="41"/>
      <c r="I64" s="1"/>
      <c r="J64" s="630" t="s">
        <v>129</v>
      </c>
      <c r="K64" s="631"/>
      <c r="L64" s="295"/>
      <c r="M64" s="295"/>
      <c r="N64" s="295"/>
      <c r="O64" s="295"/>
      <c r="P64" s="12"/>
      <c r="R64" s="23" t="s">
        <v>41</v>
      </c>
    </row>
    <row r="65" spans="2:56" ht="15.6" customHeight="1" thickBot="1">
      <c r="B65" s="628"/>
      <c r="C65" s="427">
        <v>11.7</v>
      </c>
      <c r="D65" s="593"/>
      <c r="E65" s="581"/>
      <c r="F65" s="43"/>
      <c r="G65" s="41"/>
      <c r="H65" s="42"/>
      <c r="I65" s="1"/>
      <c r="J65" s="398" t="s">
        <v>17</v>
      </c>
      <c r="K65" s="399" t="s">
        <v>147</v>
      </c>
      <c r="L65" s="595" t="s">
        <v>136</v>
      </c>
      <c r="M65" s="595"/>
      <c r="N65" s="596"/>
      <c r="O65" s="295"/>
      <c r="P65" s="12"/>
      <c r="R65" s="23"/>
    </row>
    <row r="66" spans="2:56" ht="15" customHeight="1" thickBot="1">
      <c r="B66" s="628"/>
      <c r="C66" s="427">
        <v>11.8</v>
      </c>
      <c r="D66" s="622">
        <v>97</v>
      </c>
      <c r="E66" s="623"/>
      <c r="F66" s="43"/>
      <c r="G66" s="41"/>
      <c r="H66" s="436"/>
      <c r="I66" s="1"/>
      <c r="J66" s="400" t="s">
        <v>6</v>
      </c>
      <c r="K66" s="437"/>
      <c r="L66" s="438" t="s">
        <v>37</v>
      </c>
      <c r="M66" s="439" t="s">
        <v>38</v>
      </c>
      <c r="N66" s="439" t="s">
        <v>84</v>
      </c>
      <c r="O66" s="295"/>
      <c r="P66" s="12"/>
      <c r="R66" s="23"/>
    </row>
    <row r="67" spans="2:56" ht="15" thickBot="1">
      <c r="B67" s="628"/>
      <c r="C67" s="427">
        <v>11.8</v>
      </c>
      <c r="D67" s="593"/>
      <c r="E67" s="581"/>
      <c r="F67" s="43"/>
      <c r="G67" s="41"/>
      <c r="H67" s="436"/>
      <c r="I67" s="1"/>
      <c r="J67" s="402" t="s">
        <v>9</v>
      </c>
      <c r="K67" s="437"/>
      <c r="L67" s="345">
        <f>AVERAGE('Jan 2nd'!K69,'Jan 3rd'!K69,'Jan 6th'!K54,'Jan 7th'!K76,K76)</f>
        <v>6</v>
      </c>
      <c r="M67" s="326">
        <f>L67</f>
        <v>6</v>
      </c>
      <c r="N67" s="491"/>
      <c r="O67" s="295"/>
      <c r="P67" s="12"/>
      <c r="R67" s="23"/>
    </row>
    <row r="68" spans="2:56" ht="14.4">
      <c r="B68" s="628"/>
      <c r="C68" s="427">
        <v>11.8</v>
      </c>
      <c r="D68" s="622">
        <v>97.1</v>
      </c>
      <c r="E68" s="623"/>
      <c r="F68" s="43"/>
      <c r="G68" s="41"/>
      <c r="H68" s="436"/>
      <c r="I68" s="1"/>
      <c r="J68" s="403" t="s">
        <v>40</v>
      </c>
      <c r="K68" s="437"/>
      <c r="L68" s="295"/>
      <c r="M68" s="295"/>
      <c r="N68" s="295"/>
      <c r="O68" s="295"/>
      <c r="P68" s="12"/>
      <c r="R68" s="23"/>
    </row>
    <row r="69" spans="2:56" ht="15" customHeight="1">
      <c r="B69" s="628"/>
      <c r="C69" s="427">
        <v>11.9</v>
      </c>
      <c r="D69" s="593"/>
      <c r="E69" s="581"/>
      <c r="F69" s="43"/>
      <c r="G69" s="41"/>
      <c r="H69" s="436"/>
      <c r="I69" s="1"/>
      <c r="J69" s="404" t="s">
        <v>33</v>
      </c>
      <c r="K69" s="437"/>
      <c r="L69" s="295"/>
      <c r="M69" s="295"/>
      <c r="N69" s="295"/>
      <c r="O69" s="295"/>
      <c r="P69" s="12"/>
      <c r="R69" s="23"/>
    </row>
    <row r="70" spans="2:56" ht="14.4">
      <c r="B70" s="628"/>
      <c r="C70" s="427">
        <v>12</v>
      </c>
      <c r="D70" s="622">
        <v>82</v>
      </c>
      <c r="E70" s="623"/>
      <c r="F70" s="43"/>
      <c r="G70" s="41"/>
      <c r="H70" s="436"/>
      <c r="I70" s="1"/>
      <c r="J70" s="405" t="s">
        <v>16</v>
      </c>
      <c r="K70" s="437"/>
      <c r="L70" s="295"/>
      <c r="M70" s="295"/>
      <c r="N70" s="295"/>
      <c r="O70" s="295"/>
      <c r="P70" s="12"/>
      <c r="R70" s="23"/>
      <c r="BC70" s="44"/>
      <c r="BD70" s="44"/>
    </row>
    <row r="71" spans="2:56" ht="14.4">
      <c r="B71" s="628"/>
      <c r="C71" s="427">
        <v>11.8</v>
      </c>
      <c r="D71" s="593"/>
      <c r="E71" s="581"/>
      <c r="F71" s="43"/>
      <c r="G71" s="41"/>
      <c r="H71" s="436"/>
      <c r="I71" s="1"/>
      <c r="J71" s="406" t="s">
        <v>15</v>
      </c>
      <c r="K71" s="437">
        <v>8</v>
      </c>
      <c r="L71" s="295"/>
      <c r="M71" s="295"/>
      <c r="N71" s="295"/>
      <c r="O71" s="295"/>
      <c r="P71" s="12"/>
      <c r="R71" s="23"/>
      <c r="T71" s="316"/>
      <c r="BC71" s="44"/>
      <c r="BD71" s="44"/>
    </row>
    <row r="72" spans="2:56" ht="14.4">
      <c r="B72" s="628"/>
      <c r="C72" s="427">
        <v>11.6</v>
      </c>
      <c r="D72" s="622">
        <v>98</v>
      </c>
      <c r="E72" s="623"/>
      <c r="F72" s="43"/>
      <c r="G72" s="41"/>
      <c r="H72" s="436"/>
      <c r="I72" s="1"/>
      <c r="J72" s="406" t="s">
        <v>149</v>
      </c>
      <c r="K72" s="401"/>
      <c r="L72" s="295"/>
      <c r="M72" s="295"/>
      <c r="N72" s="295"/>
      <c r="O72" s="295"/>
      <c r="P72" s="12"/>
      <c r="R72" s="23"/>
      <c r="BC72" s="44"/>
      <c r="BD72" s="44"/>
    </row>
    <row r="73" spans="2:56" ht="15" thickBot="1">
      <c r="B73" s="629"/>
      <c r="C73" s="434">
        <v>11.67</v>
      </c>
      <c r="D73" s="624"/>
      <c r="E73" s="625"/>
      <c r="F73" s="43"/>
      <c r="G73" s="41"/>
      <c r="H73" s="436"/>
      <c r="I73" s="1"/>
      <c r="J73" s="406" t="s">
        <v>148</v>
      </c>
      <c r="K73" s="401"/>
      <c r="L73" s="295"/>
      <c r="M73" s="295"/>
      <c r="N73" s="295"/>
      <c r="O73" s="295"/>
      <c r="P73" s="12"/>
      <c r="R73" s="23"/>
      <c r="BC73" s="44"/>
      <c r="BD73" s="44"/>
    </row>
    <row r="74" spans="2:56" ht="17.7" customHeight="1" thickBot="1">
      <c r="B74" s="313"/>
      <c r="C74" s="314"/>
      <c r="D74" s="601">
        <f>AVERAGE(D51:E73)</f>
        <v>54.721249999999998</v>
      </c>
      <c r="E74" s="602"/>
      <c r="F74" s="43"/>
      <c r="G74" s="41"/>
      <c r="H74" s="436"/>
      <c r="I74" s="1"/>
      <c r="J74" s="407" t="s">
        <v>134</v>
      </c>
      <c r="K74" s="401"/>
      <c r="L74" s="295"/>
      <c r="M74" s="295"/>
      <c r="N74" s="295"/>
      <c r="O74" s="295"/>
      <c r="P74" s="12"/>
      <c r="R74" s="23"/>
      <c r="BC74" s="44"/>
      <c r="BD74" s="44"/>
    </row>
    <row r="75" spans="2:56" ht="17.7" customHeight="1">
      <c r="B75" s="364"/>
      <c r="C75" s="365"/>
      <c r="D75" s="366"/>
      <c r="E75" s="366"/>
      <c r="F75" s="43"/>
      <c r="G75" s="41"/>
      <c r="H75" s="436"/>
      <c r="I75" s="1"/>
      <c r="J75" s="407" t="s">
        <v>131</v>
      </c>
      <c r="K75" s="401"/>
      <c r="L75" s="295"/>
      <c r="M75" s="295"/>
      <c r="N75" s="295"/>
      <c r="O75" s="295"/>
      <c r="P75" s="12"/>
      <c r="R75" s="23"/>
      <c r="BC75" s="44"/>
      <c r="BD75" s="44"/>
    </row>
    <row r="76" spans="2:56" ht="15.75" customHeight="1" thickBot="1">
      <c r="B76" s="45"/>
      <c r="C76" s="11"/>
      <c r="D76" s="11"/>
      <c r="E76" s="46"/>
      <c r="F76" s="23"/>
      <c r="G76" s="11"/>
      <c r="H76" s="436"/>
      <c r="I76" s="1"/>
      <c r="J76" s="408" t="s">
        <v>130</v>
      </c>
      <c r="K76" s="409">
        <f>SUM(K66:K75)</f>
        <v>8</v>
      </c>
      <c r="L76" s="295"/>
      <c r="M76" s="295"/>
      <c r="N76" s="295"/>
      <c r="O76" s="295"/>
      <c r="P76" s="12"/>
    </row>
    <row r="77" spans="2:56" ht="20.25" customHeight="1">
      <c r="B77" s="15" t="s">
        <v>42</v>
      </c>
      <c r="C77" s="1" t="s">
        <v>43</v>
      </c>
      <c r="D77" s="1"/>
      <c r="E77" s="1"/>
      <c r="I77" s="1"/>
      <c r="L77" s="295"/>
      <c r="P77" s="335"/>
    </row>
    <row r="78" spans="2:56" ht="15" customHeight="1" thickBot="1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/>
      <c r="O78" s="48"/>
      <c r="P78" s="49"/>
      <c r="W78" s="276" t="s">
        <v>41</v>
      </c>
    </row>
    <row r="79" spans="2:56" ht="15" customHeight="1" thickBot="1">
      <c r="B79" s="603" t="s">
        <v>17</v>
      </c>
      <c r="C79" s="603" t="s">
        <v>44</v>
      </c>
      <c r="D79" s="605" t="s">
        <v>45</v>
      </c>
      <c r="E79" s="560" t="s">
        <v>46</v>
      </c>
      <c r="F79" s="620" t="s">
        <v>47</v>
      </c>
      <c r="G79" s="614" t="s">
        <v>48</v>
      </c>
      <c r="H79" s="603" t="s">
        <v>49</v>
      </c>
      <c r="I79" s="616" t="s">
        <v>50</v>
      </c>
      <c r="J79" s="608" t="s">
        <v>28</v>
      </c>
      <c r="K79" s="558" t="s">
        <v>51</v>
      </c>
      <c r="L79" s="570" t="s">
        <v>52</v>
      </c>
      <c r="M79" s="608" t="s">
        <v>53</v>
      </c>
      <c r="N79" s="13"/>
      <c r="O79" s="13"/>
      <c r="P79" s="50"/>
    </row>
    <row r="80" spans="2:56" ht="28.5" customHeight="1" thickTop="1" thickBot="1">
      <c r="B80" s="604"/>
      <c r="C80" s="604"/>
      <c r="D80" s="606"/>
      <c r="E80" s="607"/>
      <c r="F80" s="621"/>
      <c r="G80" s="615"/>
      <c r="H80" s="604"/>
      <c r="I80" s="617"/>
      <c r="J80" s="609"/>
      <c r="K80" s="618"/>
      <c r="L80" s="619"/>
      <c r="M80" s="609"/>
      <c r="N80" s="13"/>
      <c r="O80" s="13"/>
      <c r="P80" s="50"/>
      <c r="Q80" s="356"/>
      <c r="R80" s="356"/>
      <c r="S80" s="356"/>
      <c r="T80" s="440">
        <v>43466</v>
      </c>
      <c r="U80" s="440">
        <v>43467</v>
      </c>
      <c r="V80" s="440">
        <v>43468</v>
      </c>
      <c r="W80" s="440">
        <v>43469</v>
      </c>
      <c r="X80" s="440">
        <v>43470</v>
      </c>
      <c r="Y80" s="440">
        <v>43471</v>
      </c>
      <c r="Z80" s="440">
        <v>43472</v>
      </c>
      <c r="AA80" s="440">
        <v>43473</v>
      </c>
      <c r="AB80" s="440">
        <v>43474</v>
      </c>
      <c r="AC80" s="440">
        <v>43475</v>
      </c>
      <c r="AD80" s="440">
        <v>43476</v>
      </c>
      <c r="AE80" s="440">
        <v>43477</v>
      </c>
      <c r="AF80" s="440">
        <v>43478</v>
      </c>
      <c r="AG80" s="440">
        <v>43479</v>
      </c>
      <c r="AH80" s="440">
        <v>43480</v>
      </c>
      <c r="AI80" s="440">
        <v>43481</v>
      </c>
      <c r="AJ80" s="440">
        <v>43482</v>
      </c>
      <c r="AK80" s="440">
        <v>43483</v>
      </c>
      <c r="AL80" s="440">
        <v>43484</v>
      </c>
      <c r="AM80" s="440">
        <v>43485</v>
      </c>
      <c r="AN80" s="440">
        <v>43486</v>
      </c>
      <c r="AO80" s="440">
        <v>43487</v>
      </c>
      <c r="AP80" s="440">
        <v>43488</v>
      </c>
      <c r="AQ80" s="440">
        <v>43489</v>
      </c>
      <c r="AR80" s="440">
        <v>43490</v>
      </c>
      <c r="AS80" s="440">
        <v>43491</v>
      </c>
      <c r="AT80" s="440">
        <v>43492</v>
      </c>
      <c r="AU80" s="440">
        <v>43493</v>
      </c>
      <c r="AV80" s="440">
        <v>43494</v>
      </c>
      <c r="AW80" s="440">
        <v>43495</v>
      </c>
      <c r="AX80" s="440">
        <v>43496</v>
      </c>
    </row>
    <row r="81" spans="2:49" s="54" customFormat="1" ht="46.2" customHeight="1" thickBot="1">
      <c r="B81" s="510" t="str">
        <f>B92</f>
        <v>GUINN</v>
      </c>
      <c r="C81" s="442">
        <v>45665</v>
      </c>
      <c r="D81" s="443">
        <f>[23]January_2025!$K$23</f>
        <v>314.8</v>
      </c>
      <c r="E81" s="444">
        <f>[23]January_2025!$K$26</f>
        <v>182.67199999999997</v>
      </c>
      <c r="F81" s="445"/>
      <c r="G81" s="443">
        <f>[23]January_2025!$K$28</f>
        <v>296.2</v>
      </c>
      <c r="H81" s="446"/>
      <c r="I81" s="446"/>
      <c r="J81" s="391" t="s">
        <v>177</v>
      </c>
      <c r="K81" s="447">
        <f>[24]January_2025!$K$32</f>
        <v>1.0392982456140349</v>
      </c>
      <c r="L81" s="448">
        <f>(((D81+E81)-G81)/(D81+E81))*100</f>
        <v>40.458960504309786</v>
      </c>
      <c r="M81" s="449" t="s">
        <v>182</v>
      </c>
      <c r="N81" s="273"/>
      <c r="O81" s="450"/>
      <c r="P81" s="50" t="s">
        <v>41</v>
      </c>
      <c r="S81" s="273" t="s">
        <v>54</v>
      </c>
      <c r="T81" s="411"/>
      <c r="U81" s="411"/>
      <c r="V81" s="411"/>
      <c r="W81" s="411"/>
      <c r="X81" s="411"/>
      <c r="Y81" s="411"/>
      <c r="Z81" s="411"/>
      <c r="AA81" s="411"/>
      <c r="AB81" s="411"/>
      <c r="AC81" s="411"/>
      <c r="AD81" s="411"/>
      <c r="AE81" s="411"/>
      <c r="AF81" s="411"/>
      <c r="AG81" s="411"/>
      <c r="AH81" s="411"/>
      <c r="AI81" s="411"/>
      <c r="AJ81" s="411"/>
      <c r="AK81" s="411"/>
      <c r="AL81" s="411"/>
      <c r="AM81" s="411"/>
      <c r="AN81" s="411"/>
      <c r="AO81" s="411"/>
      <c r="AP81" s="411"/>
      <c r="AQ81" s="411"/>
      <c r="AR81" s="411"/>
      <c r="AS81" s="411"/>
      <c r="AT81" s="411"/>
      <c r="AU81" s="411"/>
      <c r="AV81" s="411"/>
      <c r="AW81" s="411"/>
    </row>
    <row r="82" spans="2:49" s="54" customFormat="1" ht="24.6" customHeight="1" thickBot="1">
      <c r="B82" s="441"/>
      <c r="C82" s="451"/>
      <c r="D82" s="452"/>
      <c r="E82" s="453"/>
      <c r="F82" s="454"/>
      <c r="G82" s="452"/>
      <c r="H82" s="412"/>
      <c r="I82" s="455"/>
      <c r="J82" s="456"/>
      <c r="K82" s="457"/>
      <c r="L82" s="458"/>
      <c r="M82" s="459"/>
      <c r="N82" s="273"/>
      <c r="O82" s="450"/>
      <c r="P82" s="50"/>
      <c r="S82" s="273"/>
      <c r="T82" s="411"/>
      <c r="U82" s="411"/>
      <c r="V82" s="411"/>
      <c r="W82" s="411"/>
      <c r="X82" s="411"/>
      <c r="Y82" s="411"/>
      <c r="Z82" s="411"/>
      <c r="AA82" s="411"/>
      <c r="AB82" s="411"/>
      <c r="AC82" s="411"/>
      <c r="AD82" s="411"/>
      <c r="AE82" s="411"/>
      <c r="AF82" s="411"/>
      <c r="AG82" s="411"/>
      <c r="AH82" s="411"/>
      <c r="AI82" s="411"/>
      <c r="AJ82" s="411"/>
      <c r="AK82" s="411"/>
      <c r="AL82" s="411"/>
      <c r="AM82" s="411"/>
      <c r="AN82" s="411"/>
      <c r="AO82" s="411"/>
      <c r="AP82" s="411"/>
      <c r="AQ82" s="411"/>
      <c r="AR82" s="411"/>
      <c r="AS82" s="411"/>
      <c r="AT82" s="411"/>
      <c r="AU82" s="411"/>
      <c r="AV82" s="411"/>
      <c r="AW82" s="411"/>
    </row>
    <row r="83" spans="2:49" s="54" customFormat="1" ht="42.6" customHeight="1" thickBot="1">
      <c r="B83" s="388" t="str">
        <f>B90</f>
        <v>CARIB</v>
      </c>
      <c r="C83" s="442">
        <v>45665</v>
      </c>
      <c r="D83" s="443">
        <f>[23]January_2025!$K$3</f>
        <v>508.50000000000006</v>
      </c>
      <c r="E83" s="444"/>
      <c r="F83" s="445"/>
      <c r="G83" s="443">
        <f>[23]January_2025!$K$7</f>
        <v>456.6</v>
      </c>
      <c r="H83" s="446"/>
      <c r="I83" s="446"/>
      <c r="J83" s="391" t="s">
        <v>159</v>
      </c>
      <c r="K83" s="460">
        <f>[24]January_2025!$K$18</f>
        <v>1.6021052631578949</v>
      </c>
      <c r="L83" s="461">
        <f>(((D83+E83)-G83)/(D83+E83))*100</f>
        <v>10.206489675516229</v>
      </c>
      <c r="M83" s="449" t="s">
        <v>179</v>
      </c>
      <c r="N83" s="273"/>
      <c r="O83" s="450"/>
      <c r="P83" s="50"/>
      <c r="S83" s="273"/>
      <c r="T83" s="411"/>
      <c r="U83" s="411"/>
      <c r="V83" s="411"/>
      <c r="W83" s="411"/>
      <c r="X83" s="411"/>
      <c r="Y83" s="411"/>
      <c r="Z83" s="411"/>
      <c r="AA83" s="411"/>
      <c r="AB83" s="411"/>
      <c r="AC83" s="411"/>
      <c r="AD83" s="411"/>
      <c r="AE83" s="411"/>
      <c r="AF83" s="411"/>
      <c r="AG83" s="411"/>
      <c r="AH83" s="411"/>
      <c r="AI83" s="411"/>
      <c r="AJ83" s="411"/>
      <c r="AK83" s="411"/>
      <c r="AL83" s="411"/>
      <c r="AM83" s="411"/>
      <c r="AN83" s="411"/>
      <c r="AO83" s="411"/>
      <c r="AP83" s="411"/>
      <c r="AQ83" s="411"/>
      <c r="AR83" s="411"/>
      <c r="AS83" s="411"/>
      <c r="AT83" s="411"/>
      <c r="AU83" s="411"/>
      <c r="AV83" s="411"/>
      <c r="AW83" s="411"/>
    </row>
    <row r="84" spans="2:49" s="54" customFormat="1" ht="24.6" hidden="1" customHeight="1" thickBot="1">
      <c r="B84" s="462"/>
      <c r="C84" s="463"/>
      <c r="D84" s="464"/>
      <c r="E84" s="465"/>
      <c r="F84" s="466"/>
      <c r="G84" s="464"/>
      <c r="H84" s="467"/>
      <c r="I84" s="468"/>
      <c r="J84" s="469"/>
      <c r="K84" s="470"/>
      <c r="L84" s="471"/>
      <c r="M84" s="472"/>
      <c r="N84" s="273"/>
      <c r="O84" s="450"/>
      <c r="P84" s="50"/>
      <c r="S84" s="273"/>
      <c r="T84" s="411"/>
      <c r="U84" s="411"/>
      <c r="V84" s="411"/>
      <c r="W84" s="411"/>
      <c r="X84" s="411"/>
      <c r="Y84" s="411"/>
      <c r="Z84" s="411"/>
      <c r="AA84" s="411"/>
      <c r="AB84" s="411"/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11"/>
      <c r="AP84" s="411"/>
      <c r="AQ84" s="411"/>
      <c r="AR84" s="411"/>
      <c r="AS84" s="411"/>
      <c r="AT84" s="411"/>
      <c r="AU84" s="411"/>
      <c r="AV84" s="411"/>
      <c r="AW84" s="411"/>
    </row>
    <row r="85" spans="2:49" s="54" customFormat="1" ht="42.6" hidden="1" customHeight="1" thickBot="1">
      <c r="B85" s="473"/>
      <c r="C85" s="442"/>
      <c r="D85" s="443"/>
      <c r="E85" s="444"/>
      <c r="F85" s="445"/>
      <c r="G85" s="443"/>
      <c r="H85" s="474"/>
      <c r="I85" s="383"/>
      <c r="J85" s="475" t="s">
        <v>160</v>
      </c>
      <c r="K85" s="476"/>
      <c r="L85" s="477" t="e">
        <f>(((D85+E85)-G85)/(D85+E85))*100</f>
        <v>#DIV/0!</v>
      </c>
      <c r="M85" s="449" t="s">
        <v>161</v>
      </c>
      <c r="N85" s="273"/>
      <c r="O85" s="450"/>
      <c r="P85" s="50"/>
      <c r="S85" s="273"/>
      <c r="T85" s="411"/>
      <c r="U85" s="411"/>
      <c r="V85" s="411"/>
      <c r="W85" s="411"/>
      <c r="X85" s="411"/>
      <c r="Y85" s="411"/>
      <c r="Z85" s="411"/>
      <c r="AA85" s="411"/>
      <c r="AB85" s="411"/>
      <c r="AC85" s="411"/>
      <c r="AD85" s="411"/>
      <c r="AE85" s="411"/>
      <c r="AF85" s="411"/>
      <c r="AG85" s="411"/>
      <c r="AH85" s="411"/>
      <c r="AI85" s="411"/>
      <c r="AJ85" s="411"/>
      <c r="AK85" s="411"/>
      <c r="AL85" s="411"/>
      <c r="AM85" s="411"/>
      <c r="AN85" s="411"/>
      <c r="AO85" s="411"/>
      <c r="AP85" s="411"/>
      <c r="AQ85" s="411"/>
      <c r="AR85" s="411"/>
      <c r="AS85" s="411"/>
      <c r="AT85" s="411"/>
      <c r="AU85" s="411"/>
      <c r="AV85" s="411"/>
      <c r="AW85" s="411"/>
    </row>
    <row r="86" spans="2:49" ht="14.4" thickBot="1">
      <c r="B86" s="478"/>
      <c r="C86" s="479"/>
      <c r="D86" s="410"/>
      <c r="E86" s="410"/>
      <c r="F86" s="410"/>
      <c r="G86" s="410"/>
      <c r="H86" s="480"/>
      <c r="I86" s="354"/>
      <c r="J86" s="52"/>
      <c r="K86" s="52"/>
      <c r="L86" s="481"/>
      <c r="M86" s="482"/>
      <c r="N86" s="77"/>
      <c r="O86" s="13"/>
      <c r="P86" s="56"/>
    </row>
    <row r="87" spans="2:49" ht="14.4" thickBot="1">
      <c r="B87" s="58"/>
      <c r="C87" s="310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9"/>
      <c r="O87" s="56"/>
      <c r="P87" s="60"/>
    </row>
    <row r="88" spans="2:49" ht="14.4" thickBot="1">
      <c r="B88" s="610" t="s">
        <v>55</v>
      </c>
      <c r="C88" s="611"/>
      <c r="D88" s="611"/>
      <c r="E88" s="611"/>
      <c r="F88" s="612"/>
      <c r="G88" s="610" t="s">
        <v>56</v>
      </c>
      <c r="H88" s="611"/>
      <c r="I88" s="611"/>
      <c r="J88" s="612"/>
      <c r="K88" s="610" t="s">
        <v>51</v>
      </c>
      <c r="L88" s="611"/>
      <c r="M88" s="611"/>
      <c r="N88" s="613"/>
      <c r="O88" s="56"/>
      <c r="P88" s="50"/>
    </row>
    <row r="89" spans="2:49">
      <c r="B89" s="61" t="s">
        <v>17</v>
      </c>
      <c r="C89" s="62" t="s">
        <v>36</v>
      </c>
      <c r="D89" s="62" t="s">
        <v>37</v>
      </c>
      <c r="E89" s="62" t="s">
        <v>38</v>
      </c>
      <c r="F89" s="63" t="s">
        <v>39</v>
      </c>
      <c r="G89" s="62" t="s">
        <v>36</v>
      </c>
      <c r="H89" s="62" t="s">
        <v>37</v>
      </c>
      <c r="I89" s="62" t="s">
        <v>38</v>
      </c>
      <c r="J89" s="63" t="s">
        <v>39</v>
      </c>
      <c r="K89" s="62" t="s">
        <v>36</v>
      </c>
      <c r="L89" s="62" t="s">
        <v>37</v>
      </c>
      <c r="M89" s="62" t="s">
        <v>38</v>
      </c>
      <c r="N89" s="63" t="s">
        <v>39</v>
      </c>
      <c r="O89" s="56"/>
      <c r="P89" s="64"/>
    </row>
    <row r="90" spans="2:49">
      <c r="B90" s="29" t="s">
        <v>6</v>
      </c>
      <c r="C90" s="76">
        <f>L83</f>
        <v>10.206489675516229</v>
      </c>
      <c r="D90" s="76"/>
      <c r="E90" s="76"/>
      <c r="F90" s="66">
        <v>4.8</v>
      </c>
      <c r="G90" s="76">
        <f>[23]January_2025!$K$11</f>
        <v>10.939497923063035</v>
      </c>
      <c r="H90" s="76"/>
      <c r="I90" s="76"/>
      <c r="J90" s="66">
        <v>4.8</v>
      </c>
      <c r="K90" s="194">
        <f>K83</f>
        <v>1.6021052631578949</v>
      </c>
      <c r="L90" s="194"/>
      <c r="M90" s="194"/>
      <c r="N90" s="68">
        <v>1</v>
      </c>
      <c r="O90" s="56"/>
      <c r="P90" s="69"/>
    </row>
    <row r="91" spans="2:49" ht="14.25" customHeight="1">
      <c r="B91" s="33" t="s">
        <v>9</v>
      </c>
      <c r="C91" s="76"/>
      <c r="D91" s="76"/>
      <c r="E91" s="76"/>
      <c r="F91" s="66">
        <v>4.8</v>
      </c>
      <c r="G91" s="76"/>
      <c r="H91" s="76"/>
      <c r="I91" s="76"/>
      <c r="J91" s="66">
        <v>4.8</v>
      </c>
      <c r="K91" s="194"/>
      <c r="L91" s="194"/>
      <c r="M91" s="194"/>
      <c r="N91" s="68">
        <v>1</v>
      </c>
      <c r="P91" s="69"/>
    </row>
    <row r="92" spans="2:49" ht="14.25" customHeight="1">
      <c r="B92" s="34" t="s">
        <v>40</v>
      </c>
      <c r="C92" s="76"/>
      <c r="D92" s="76"/>
      <c r="E92" s="76"/>
      <c r="F92" s="66">
        <v>5.5</v>
      </c>
      <c r="G92" s="76"/>
      <c r="H92" s="76"/>
      <c r="I92" s="76"/>
      <c r="J92" s="66">
        <v>5.5</v>
      </c>
      <c r="K92" s="194">
        <f>K81</f>
        <v>1.0392982456140349</v>
      </c>
      <c r="L92" s="194"/>
      <c r="M92" s="194"/>
      <c r="N92" s="68">
        <v>1</v>
      </c>
      <c r="P92" s="69"/>
    </row>
    <row r="93" spans="2:49" ht="14.25" customHeight="1">
      <c r="B93" s="22" t="s">
        <v>33</v>
      </c>
      <c r="C93" s="76"/>
      <c r="D93" s="76"/>
      <c r="E93" s="76"/>
      <c r="F93" s="66">
        <v>3.3</v>
      </c>
      <c r="G93" s="76"/>
      <c r="H93" s="76"/>
      <c r="I93" s="76"/>
      <c r="J93" s="66">
        <v>3.3</v>
      </c>
      <c r="K93" s="194"/>
      <c r="L93" s="194"/>
      <c r="M93" s="194"/>
      <c r="N93" s="68">
        <v>1</v>
      </c>
      <c r="P93" s="69"/>
    </row>
    <row r="94" spans="2:49" ht="14.25" customHeight="1" thickBot="1">
      <c r="B94" s="38" t="s">
        <v>162</v>
      </c>
      <c r="C94" s="76"/>
      <c r="D94" s="76"/>
      <c r="E94" s="76"/>
      <c r="F94" s="66">
        <v>3.3</v>
      </c>
      <c r="G94" s="76"/>
      <c r="H94" s="76"/>
      <c r="I94" s="76"/>
      <c r="J94" s="66">
        <v>3</v>
      </c>
      <c r="K94" s="194"/>
      <c r="L94" s="194"/>
      <c r="M94" s="194"/>
      <c r="N94" s="68">
        <v>1</v>
      </c>
      <c r="P94" s="69"/>
    </row>
    <row r="95" spans="2:49" ht="14.25" customHeight="1">
      <c r="B95" s="36" t="s">
        <v>15</v>
      </c>
      <c r="C95" s="76"/>
      <c r="D95" s="76"/>
      <c r="E95" s="76"/>
      <c r="F95" s="70">
        <f>[21]May_2022!$M$43</f>
        <v>3.4878406700073312</v>
      </c>
      <c r="G95" s="76"/>
      <c r="H95" s="76"/>
      <c r="I95" s="76"/>
      <c r="J95" s="70">
        <v>5.5</v>
      </c>
      <c r="K95" s="194"/>
      <c r="L95" s="194"/>
      <c r="M95" s="194"/>
      <c r="N95" s="68">
        <v>1</v>
      </c>
      <c r="P95" s="69"/>
    </row>
    <row r="96" spans="2:49" ht="14.25" customHeight="1">
      <c r="B96" s="37" t="s">
        <v>16</v>
      </c>
      <c r="C96" s="76"/>
      <c r="D96" s="76"/>
      <c r="E96" s="76"/>
      <c r="F96" s="70">
        <v>3.3</v>
      </c>
      <c r="G96" s="76"/>
      <c r="H96" s="76"/>
      <c r="I96" s="76"/>
      <c r="J96" s="70">
        <v>3.3</v>
      </c>
      <c r="K96" s="194"/>
      <c r="L96" s="194"/>
      <c r="M96" s="194"/>
      <c r="N96" s="71">
        <v>1</v>
      </c>
      <c r="P96" s="69"/>
    </row>
    <row r="97" spans="2:16" ht="15" customHeight="1" thickBot="1">
      <c r="B97" s="38" t="s">
        <v>163</v>
      </c>
      <c r="C97" s="76"/>
      <c r="D97" s="76"/>
      <c r="E97" s="76"/>
      <c r="F97" s="72">
        <v>7.5</v>
      </c>
      <c r="G97" s="76"/>
      <c r="H97" s="76"/>
      <c r="I97" s="76"/>
      <c r="J97" s="72">
        <v>7.5</v>
      </c>
      <c r="K97" s="194"/>
      <c r="L97" s="194"/>
      <c r="M97" s="194"/>
      <c r="N97" s="71">
        <v>1</v>
      </c>
      <c r="P97" s="69"/>
    </row>
    <row r="98" spans="2:16">
      <c r="D98" s="76"/>
      <c r="E98" s="76"/>
      <c r="F98" s="483">
        <v>5</v>
      </c>
      <c r="G98" s="74"/>
      <c r="H98" s="76"/>
      <c r="I98" s="76"/>
      <c r="J98" s="484">
        <v>5</v>
      </c>
      <c r="L98" s="194"/>
      <c r="M98" s="194"/>
      <c r="N98" s="485">
        <v>1</v>
      </c>
      <c r="O98" s="74"/>
      <c r="P98" s="75"/>
    </row>
  </sheetData>
  <mergeCells count="54">
    <mergeCell ref="B88:F88"/>
    <mergeCell ref="G88:J88"/>
    <mergeCell ref="K88:N88"/>
    <mergeCell ref="H79:H80"/>
    <mergeCell ref="I79:I80"/>
    <mergeCell ref="J79:J80"/>
    <mergeCell ref="K79:K80"/>
    <mergeCell ref="L79:L80"/>
    <mergeCell ref="M79:M80"/>
    <mergeCell ref="B79:B80"/>
    <mergeCell ref="C79:C80"/>
    <mergeCell ref="D79:D80"/>
    <mergeCell ref="E79:E80"/>
    <mergeCell ref="F79:F80"/>
    <mergeCell ref="G79:G80"/>
    <mergeCell ref="L65:N65"/>
    <mergeCell ref="D66:E67"/>
    <mergeCell ref="D68:E69"/>
    <mergeCell ref="D70:E71"/>
    <mergeCell ref="D72:E73"/>
    <mergeCell ref="D74:E74"/>
    <mergeCell ref="D59:E60"/>
    <mergeCell ref="D61:E62"/>
    <mergeCell ref="D63:E63"/>
    <mergeCell ref="B64:B73"/>
    <mergeCell ref="D64:E65"/>
    <mergeCell ref="J64:K64"/>
    <mergeCell ref="L10:L11"/>
    <mergeCell ref="O10:O11"/>
    <mergeCell ref="P10:P11"/>
    <mergeCell ref="I49:N49"/>
    <mergeCell ref="I10:I11"/>
    <mergeCell ref="J10:J11"/>
    <mergeCell ref="K10:K11"/>
    <mergeCell ref="D50:E50"/>
    <mergeCell ref="B51:B63"/>
    <mergeCell ref="D51:E52"/>
    <mergeCell ref="D53:E54"/>
    <mergeCell ref="D55:E56"/>
    <mergeCell ref="D57:E58"/>
    <mergeCell ref="B10:B11"/>
    <mergeCell ref="C10:C11"/>
    <mergeCell ref="D10:D11"/>
    <mergeCell ref="G10:G11"/>
    <mergeCell ref="H10:H11"/>
    <mergeCell ref="U1:V1"/>
    <mergeCell ref="W1:X1"/>
    <mergeCell ref="Y1:Z1"/>
    <mergeCell ref="B2:O2"/>
    <mergeCell ref="J6:K7"/>
    <mergeCell ref="M4:N4"/>
    <mergeCell ref="S1:T1"/>
    <mergeCell ref="C4:D4"/>
    <mergeCell ref="J4:K5"/>
  </mergeCells>
  <conditionalFormatting sqref="B74:B75">
    <cfRule type="cellIs" dxfId="2325" priority="155" operator="notBetween">
      <formula>#REF!</formula>
      <formula>#REF!</formula>
    </cfRule>
  </conditionalFormatting>
  <conditionalFormatting sqref="C78">
    <cfRule type="cellIs" dxfId="2324" priority="167" stopIfTrue="1" operator="greaterThan">
      <formula>100</formula>
    </cfRule>
    <cfRule type="cellIs" dxfId="2323" priority="166" stopIfTrue="1" operator="lessThan">
      <formula>96</formula>
    </cfRule>
  </conditionalFormatting>
  <conditionalFormatting sqref="C90:C97">
    <cfRule type="cellIs" dxfId="2322" priority="118" stopIfTrue="1" operator="greaterThan">
      <formula>$F90</formula>
    </cfRule>
    <cfRule type="cellIs" dxfId="2321" priority="119" stopIfTrue="1" operator="lessThanOrEqual">
      <formula>0</formula>
    </cfRule>
  </conditionalFormatting>
  <conditionalFormatting sqref="D74:D75">
    <cfRule type="cellIs" dxfId="2320" priority="156" operator="notBetween">
      <formula>#REF!</formula>
      <formula>#REF!</formula>
    </cfRule>
  </conditionalFormatting>
  <conditionalFormatting sqref="D90:D97">
    <cfRule type="cellIs" dxfId="2319" priority="146" stopIfTrue="1" operator="lessThanOrEqual">
      <formula>0</formula>
    </cfRule>
  </conditionalFormatting>
  <conditionalFormatting sqref="D98">
    <cfRule type="cellIs" dxfId="2318" priority="145" stopIfTrue="1" operator="lessThanOrEqual">
      <formula>0</formula>
    </cfRule>
  </conditionalFormatting>
  <conditionalFormatting sqref="D90:E98">
    <cfRule type="cellIs" dxfId="2317" priority="140" stopIfTrue="1" operator="greaterThan">
      <formula>$F90</formula>
    </cfRule>
  </conditionalFormatting>
  <conditionalFormatting sqref="E12:E21">
    <cfRule type="cellIs" dxfId="2316" priority="10" operator="lessThan">
      <formula>48</formula>
    </cfRule>
  </conditionalFormatting>
  <conditionalFormatting sqref="E26:E48">
    <cfRule type="cellIs" dxfId="2315" priority="53" operator="lessThan">
      <formula>48</formula>
    </cfRule>
  </conditionalFormatting>
  <conditionalFormatting sqref="E78">
    <cfRule type="cellIs" dxfId="2314" priority="161" stopIfTrue="1" operator="greaterThan">
      <formula>100</formula>
    </cfRule>
    <cfRule type="cellIs" dxfId="2313" priority="160" stopIfTrue="1" operator="lessThan">
      <formula>96.8</formula>
    </cfRule>
  </conditionalFormatting>
  <conditionalFormatting sqref="E90:E98">
    <cfRule type="cellIs" dxfId="2312" priority="141" stopIfTrue="1" operator="lessThanOrEqual">
      <formula>0</formula>
    </cfRule>
  </conditionalFormatting>
  <conditionalFormatting sqref="E77:F78">
    <cfRule type="cellIs" dxfId="2311" priority="163" stopIfTrue="1" operator="greaterThan">
      <formula>100</formula>
    </cfRule>
    <cfRule type="cellIs" dxfId="2310" priority="162" stopIfTrue="1" operator="lessThan">
      <formula>96.5</formula>
    </cfRule>
  </conditionalFormatting>
  <conditionalFormatting sqref="F12:F21">
    <cfRule type="cellIs" dxfId="2309" priority="14" operator="greaterThan">
      <formula>$AA25</formula>
    </cfRule>
  </conditionalFormatting>
  <conditionalFormatting sqref="F12:F25">
    <cfRule type="cellIs" dxfId="2308" priority="7" operator="greaterThan">
      <formula>$AA12</formula>
    </cfRule>
  </conditionalFormatting>
  <conditionalFormatting sqref="F26:F48">
    <cfRule type="cellIs" dxfId="2307" priority="55" operator="greaterThan">
      <formula>60</formula>
    </cfRule>
  </conditionalFormatting>
  <conditionalFormatting sqref="F78">
    <cfRule type="cellIs" dxfId="2306" priority="165" stopIfTrue="1" operator="greaterThan">
      <formula>100</formula>
    </cfRule>
    <cfRule type="cellIs" dxfId="2305" priority="164" stopIfTrue="1" operator="lessThan">
      <formula>96.8</formula>
    </cfRule>
  </conditionalFormatting>
  <conditionalFormatting sqref="F98">
    <cfRule type="cellIs" dxfId="2304" priority="143" stopIfTrue="1" operator="lessThanOrEqual">
      <formula>0</formula>
    </cfRule>
    <cfRule type="cellIs" dxfId="2303" priority="142" stopIfTrue="1" operator="greaterThan">
      <formula>$F98</formula>
    </cfRule>
  </conditionalFormatting>
  <conditionalFormatting sqref="G22:G25">
    <cfRule type="expression" dxfId="2302" priority="44">
      <formula>IF(+(IF(G22&lt;T22,0,IF(G22&gt;U22,0,1)))=0,1)</formula>
    </cfRule>
  </conditionalFormatting>
  <conditionalFormatting sqref="G98">
    <cfRule type="cellIs" dxfId="2301" priority="147" operator="greaterThan">
      <formula>4.5</formula>
    </cfRule>
  </conditionalFormatting>
  <conditionalFormatting sqref="G12:H21">
    <cfRule type="expression" dxfId="2300" priority="15">
      <formula>IF(+(IF(G12&lt;#REF!,0,IF(G12&gt;#REF!,0,1)))=0,1)</formula>
    </cfRule>
  </conditionalFormatting>
  <conditionalFormatting sqref="G26:H48">
    <cfRule type="expression" dxfId="2299" priority="48">
      <formula>IF(+(IF(G26&lt;#REF!,0,IF(G26&gt;#REF!,0,1)))=0,1)</formula>
    </cfRule>
  </conditionalFormatting>
  <conditionalFormatting sqref="G64:H64 G65:G75">
    <cfRule type="cellIs" dxfId="2298" priority="159" stopIfTrue="1" operator="greaterThan">
      <formula>0</formula>
    </cfRule>
  </conditionalFormatting>
  <conditionalFormatting sqref="G90:H97">
    <cfRule type="cellIs" dxfId="2297" priority="117" stopIfTrue="1" operator="lessThanOrEqual">
      <formula>0</formula>
    </cfRule>
    <cfRule type="cellIs" dxfId="2296" priority="116" stopIfTrue="1" operator="greaterThan">
      <formula>$J90</formula>
    </cfRule>
  </conditionalFormatting>
  <conditionalFormatting sqref="H12:H21">
    <cfRule type="expression" dxfId="2295" priority="21">
      <formula>IF(+(IF(H12&lt;T25,0,IF(H12&gt;U25,0,1)))=0,1)</formula>
    </cfRule>
  </conditionalFormatting>
  <conditionalFormatting sqref="H22:H25">
    <cfRule type="expression" dxfId="2294" priority="45">
      <formula>IF(+(IF(H22&lt;T22,0,IF(H22&gt;U22,0,1)))=0,1)</formula>
    </cfRule>
  </conditionalFormatting>
  <conditionalFormatting sqref="H52:H63">
    <cfRule type="cellIs" dxfId="2293" priority="157" stopIfTrue="1" operator="greaterThan">
      <formula>0</formula>
    </cfRule>
  </conditionalFormatting>
  <conditionalFormatting sqref="H81">
    <cfRule type="cellIs" dxfId="2292" priority="112" stopIfTrue="1" operator="greaterThan">
      <formula>$F$77</formula>
    </cfRule>
    <cfRule type="cellIs" dxfId="2291" priority="115" stopIfTrue="1" operator="lessThanOrEqual">
      <formula>0</formula>
    </cfRule>
    <cfRule type="cellIs" dxfId="2290" priority="114" stopIfTrue="1" operator="greaterThan">
      <formula>$F$75</formula>
    </cfRule>
    <cfRule type="cellIs" dxfId="2289" priority="113" stopIfTrue="1" operator="lessThanOrEqual">
      <formula>0</formula>
    </cfRule>
    <cfRule type="cellIs" dxfId="2288" priority="110" stopIfTrue="1" operator="greaterThan">
      <formula>$F$74</formula>
    </cfRule>
    <cfRule type="cellIs" dxfId="2287" priority="111" stopIfTrue="1" operator="lessThanOrEqual">
      <formula>0</formula>
    </cfRule>
  </conditionalFormatting>
  <conditionalFormatting sqref="H82 H84">
    <cfRule type="cellIs" dxfId="2286" priority="125" stopIfTrue="1" operator="greaterThan">
      <formula>#REF!</formula>
    </cfRule>
    <cfRule type="cellIs" dxfId="2285" priority="124" stopIfTrue="1" operator="lessThanOrEqual">
      <formula>0</formula>
    </cfRule>
  </conditionalFormatting>
  <conditionalFormatting sqref="H83">
    <cfRule type="cellIs" dxfId="2284" priority="98" stopIfTrue="1" operator="greaterThan">
      <formula>$F$74</formula>
    </cfRule>
    <cfRule type="cellIs" dxfId="2283" priority="107" stopIfTrue="1" operator="lessThanOrEqual">
      <formula>0</formula>
    </cfRule>
    <cfRule type="cellIs" dxfId="2282" priority="109" stopIfTrue="1" operator="lessThanOrEqual">
      <formula>0</formula>
    </cfRule>
    <cfRule type="cellIs" dxfId="2281" priority="108" stopIfTrue="1" operator="greaterThan">
      <formula>$F$75</formula>
    </cfRule>
    <cfRule type="cellIs" dxfId="2280" priority="106" stopIfTrue="1" operator="greaterThan">
      <formula>$F$77</formula>
    </cfRule>
    <cfRule type="cellIs" dxfId="2279" priority="97" stopIfTrue="1" operator="lessThanOrEqual">
      <formula>0</formula>
    </cfRule>
  </conditionalFormatting>
  <conditionalFormatting sqref="H85">
    <cfRule type="cellIs" dxfId="2278" priority="83" stopIfTrue="1" operator="lessThanOrEqual">
      <formula>0</formula>
    </cfRule>
    <cfRule type="cellIs" dxfId="2277" priority="84" stopIfTrue="1" operator="greaterThan">
      <formula>$F$74</formula>
    </cfRule>
    <cfRule type="cellIs" dxfId="2276" priority="92" stopIfTrue="1" operator="greaterThan">
      <formula>$F$77</formula>
    </cfRule>
    <cfRule type="cellIs" dxfId="2275" priority="93" stopIfTrue="1" operator="lessThanOrEqual">
      <formula>0</formula>
    </cfRule>
    <cfRule type="cellIs" dxfId="2274" priority="94" stopIfTrue="1" operator="greaterThan">
      <formula>$F$75</formula>
    </cfRule>
    <cfRule type="cellIs" dxfId="2273" priority="95" stopIfTrue="1" operator="lessThanOrEqual">
      <formula>0</formula>
    </cfRule>
  </conditionalFormatting>
  <conditionalFormatting sqref="H86">
    <cfRule type="cellIs" dxfId="2272" priority="151" stopIfTrue="1" operator="greaterThan">
      <formula>$F$87</formula>
    </cfRule>
    <cfRule type="cellIs" dxfId="2271" priority="152" stopIfTrue="1" operator="lessThanOrEqual">
      <formula>0</formula>
    </cfRule>
    <cfRule type="cellIs" dxfId="2270" priority="153" stopIfTrue="1" operator="greaterThan">
      <formula>#REF!</formula>
    </cfRule>
    <cfRule type="cellIs" dxfId="2269" priority="154" stopIfTrue="1" operator="lessThanOrEqual">
      <formula>0</formula>
    </cfRule>
  </conditionalFormatting>
  <conditionalFormatting sqref="H98">
    <cfRule type="cellIs" dxfId="2268" priority="137" operator="greaterThan">
      <formula>5.3</formula>
    </cfRule>
  </conditionalFormatting>
  <conditionalFormatting sqref="H81:I81">
    <cfRule type="cellIs" dxfId="2267" priority="78" stopIfTrue="1" operator="greaterThan">
      <formula>$F$76</formula>
    </cfRule>
    <cfRule type="cellIs" dxfId="2266" priority="81" stopIfTrue="1" operator="lessThanOrEqual">
      <formula>0</formula>
    </cfRule>
  </conditionalFormatting>
  <conditionalFormatting sqref="H82:I82 H84:I84">
    <cfRule type="cellIs" dxfId="2265" priority="127" stopIfTrue="1" operator="greaterThan">
      <formula>#REF!</formula>
    </cfRule>
    <cfRule type="cellIs" dxfId="2264" priority="131" stopIfTrue="1" operator="greaterThan">
      <formula>#REF!</formula>
    </cfRule>
    <cfRule type="cellIs" dxfId="2263" priority="132" stopIfTrue="1" operator="lessThanOrEqual">
      <formula>0</formula>
    </cfRule>
    <cfRule type="cellIs" dxfId="2262" priority="123" stopIfTrue="1" operator="greaterThan">
      <formula>#REF!</formula>
    </cfRule>
    <cfRule type="cellIs" dxfId="2261" priority="126" stopIfTrue="1" operator="lessThanOrEqual">
      <formula>0</formula>
    </cfRule>
  </conditionalFormatting>
  <conditionalFormatting sqref="H83:I83">
    <cfRule type="cellIs" dxfId="2260" priority="99" stopIfTrue="1" operator="lessThanOrEqual">
      <formula>0</formula>
    </cfRule>
    <cfRule type="cellIs" dxfId="2259" priority="96" stopIfTrue="1" operator="greaterThan">
      <formula>$F$76</formula>
    </cfRule>
  </conditionalFormatting>
  <conditionalFormatting sqref="H85:I85">
    <cfRule type="cellIs" dxfId="2258" priority="82" stopIfTrue="1" operator="greaterThan">
      <formula>$F$76</formula>
    </cfRule>
    <cfRule type="cellIs" dxfId="2257" priority="85" stopIfTrue="1" operator="lessThanOrEqual">
      <formula>0</formula>
    </cfRule>
  </conditionalFormatting>
  <conditionalFormatting sqref="I12:I21">
    <cfRule type="cellIs" dxfId="2256" priority="13" operator="lessThan">
      <formula>98</formula>
    </cfRule>
    <cfRule type="cellIs" dxfId="2255" priority="8" operator="lessThan">
      <formula>97.8</formula>
    </cfRule>
  </conditionalFormatting>
  <conditionalFormatting sqref="I81">
    <cfRule type="cellIs" dxfId="2254" priority="80" stopIfTrue="1" operator="greaterThan">
      <formula>$F$74</formula>
    </cfRule>
    <cfRule type="cellIs" dxfId="2253" priority="79" stopIfTrue="1" operator="lessThanOrEqual">
      <formula>0</formula>
    </cfRule>
    <cfRule type="cellIs" dxfId="2252" priority="75" stopIfTrue="1" operator="lessThanOrEqual">
      <formula>0</formula>
    </cfRule>
    <cfRule type="cellIs" dxfId="2251" priority="77" stopIfTrue="1" operator="lessThanOrEqual">
      <formula>0</formula>
    </cfRule>
    <cfRule type="cellIs" dxfId="2250" priority="76" stopIfTrue="1" operator="greaterThan">
      <formula>$F$74</formula>
    </cfRule>
    <cfRule type="cellIs" dxfId="2249" priority="74" stopIfTrue="1" operator="greaterThan">
      <formula>$F$76</formula>
    </cfRule>
  </conditionalFormatting>
  <conditionalFormatting sqref="I82 I84">
    <cfRule type="cellIs" dxfId="2248" priority="129" stopIfTrue="1" operator="greaterThan">
      <formula>#REF!</formula>
    </cfRule>
    <cfRule type="cellIs" dxfId="2247" priority="128" stopIfTrue="1" operator="lessThanOrEqual">
      <formula>0</formula>
    </cfRule>
    <cfRule type="cellIs" dxfId="2246" priority="130" stopIfTrue="1" operator="lessThanOrEqual">
      <formula>0</formula>
    </cfRule>
  </conditionalFormatting>
  <conditionalFormatting sqref="I83">
    <cfRule type="cellIs" dxfId="2245" priority="101" stopIfTrue="1" operator="lessThanOrEqual">
      <formula>0</formula>
    </cfRule>
    <cfRule type="cellIs" dxfId="2244" priority="102" stopIfTrue="1" operator="greaterThan">
      <formula>$F$76</formula>
    </cfRule>
    <cfRule type="cellIs" dxfId="2243" priority="103" stopIfTrue="1" operator="lessThanOrEqual">
      <formula>0</formula>
    </cfRule>
    <cfRule type="cellIs" dxfId="2242" priority="104" stopIfTrue="1" operator="greaterThan">
      <formula>$F$74</formula>
    </cfRule>
    <cfRule type="cellIs" dxfId="2241" priority="105" stopIfTrue="1" operator="lessThanOrEqual">
      <formula>0</formula>
    </cfRule>
    <cfRule type="cellIs" dxfId="2240" priority="100" stopIfTrue="1" operator="greaterThan">
      <formula>$F$74</formula>
    </cfRule>
  </conditionalFormatting>
  <conditionalFormatting sqref="I85">
    <cfRule type="cellIs" dxfId="2239" priority="89" stopIfTrue="1" operator="lessThanOrEqual">
      <formula>0</formula>
    </cfRule>
    <cfRule type="cellIs" dxfId="2238" priority="86" stopIfTrue="1" operator="greaterThan">
      <formula>$F$74</formula>
    </cfRule>
    <cfRule type="cellIs" dxfId="2237" priority="90" stopIfTrue="1" operator="greaterThan">
      <formula>$F$74</formula>
    </cfRule>
    <cfRule type="cellIs" dxfId="2236" priority="91" stopIfTrue="1" operator="lessThanOrEqual">
      <formula>0</formula>
    </cfRule>
    <cfRule type="cellIs" dxfId="2235" priority="88" stopIfTrue="1" operator="greaterThan">
      <formula>$F$76</formula>
    </cfRule>
    <cfRule type="cellIs" dxfId="2234" priority="87" stopIfTrue="1" operator="lessThanOrEqual">
      <formula>0</formula>
    </cfRule>
  </conditionalFormatting>
  <conditionalFormatting sqref="I90:I98">
    <cfRule type="cellIs" dxfId="2233" priority="138" stopIfTrue="1" operator="greaterThan">
      <formula>$J90</formula>
    </cfRule>
    <cfRule type="cellIs" dxfId="2232" priority="139" stopIfTrue="1" operator="lessThanOrEqual">
      <formula>0</formula>
    </cfRule>
  </conditionalFormatting>
  <conditionalFormatting sqref="I22:J25">
    <cfRule type="cellIs" dxfId="2231" priority="43" operator="notBetween">
      <formula>98</formula>
      <formula>99.9</formula>
    </cfRule>
  </conditionalFormatting>
  <conditionalFormatting sqref="I26:J48">
    <cfRule type="cellIs" dxfId="2230" priority="56" operator="lessThan">
      <formula>97.9</formula>
    </cfRule>
  </conditionalFormatting>
  <conditionalFormatting sqref="J12:J19">
    <cfRule type="cellIs" dxfId="2229" priority="12" operator="lessThan">
      <formula>97.4</formula>
    </cfRule>
  </conditionalFormatting>
  <conditionalFormatting sqref="J12:J21">
    <cfRule type="cellIs" dxfId="2228" priority="9" operator="notBetween">
      <formula>98</formula>
      <formula>99.9</formula>
    </cfRule>
  </conditionalFormatting>
  <conditionalFormatting sqref="J51:J60">
    <cfRule type="cellIs" dxfId="2227" priority="133" operator="lessThan">
      <formula>98</formula>
    </cfRule>
  </conditionalFormatting>
  <conditionalFormatting sqref="K12:K19">
    <cfRule type="cellIs" dxfId="2226" priority="11" operator="greaterThan">
      <formula>6.4</formula>
    </cfRule>
  </conditionalFormatting>
  <conditionalFormatting sqref="K12:K48">
    <cfRule type="cellIs" dxfId="2225" priority="4" operator="lessThan">
      <formula>4</formula>
    </cfRule>
    <cfRule type="cellIs" dxfId="2224" priority="3" operator="greaterThan">
      <formula>6</formula>
    </cfRule>
  </conditionalFormatting>
  <conditionalFormatting sqref="K26:K48">
    <cfRule type="cellIs" dxfId="2223" priority="54" operator="greaterThan">
      <formula>6.4</formula>
    </cfRule>
  </conditionalFormatting>
  <conditionalFormatting sqref="K66:K75">
    <cfRule type="cellIs" dxfId="2222" priority="144" operator="notEqual">
      <formula>#REF!</formula>
    </cfRule>
  </conditionalFormatting>
  <conditionalFormatting sqref="K81:K85 J86:K86 K90:N97 L98:N98">
    <cfRule type="cellIs" dxfId="2221" priority="150" stopIfTrue="1" operator="lessThan">
      <formula>100%</formula>
    </cfRule>
  </conditionalFormatting>
  <conditionalFormatting sqref="L12:L48">
    <cfRule type="cellIs" dxfId="2220" priority="6" operator="greaterThan">
      <formula>65</formula>
    </cfRule>
    <cfRule type="cellIs" dxfId="2219" priority="5" operator="between">
      <formula>61</formula>
      <formula>65</formula>
    </cfRule>
  </conditionalFormatting>
  <conditionalFormatting sqref="L51:M61">
    <cfRule type="cellIs" dxfId="2218" priority="73" operator="lessThan">
      <formula>98</formula>
    </cfRule>
  </conditionalFormatting>
  <conditionalFormatting sqref="L63:M63">
    <cfRule type="cellIs" dxfId="2217" priority="136" operator="lessThan">
      <formula>98</formula>
    </cfRule>
  </conditionalFormatting>
  <conditionalFormatting sqref="L67:N67">
    <cfRule type="cellIs" dxfId="2216" priority="120" operator="notEqual">
      <formula>#REF!</formula>
    </cfRule>
  </conditionalFormatting>
  <conditionalFormatting sqref="M12:M19">
    <cfRule type="expression" dxfId="2215" priority="1">
      <formula>IF(+(IF(M12&lt;U12,0,IF(M12&gt;V12,0,1)))=0,1)</formula>
    </cfRule>
  </conditionalFormatting>
  <conditionalFormatting sqref="M20:M25">
    <cfRule type="expression" dxfId="2214" priority="40">
      <formula>IF(+(IF(M20&lt;V20,0,IF(M20&gt;W20,0,1)))=0,1)</formula>
    </cfRule>
  </conditionalFormatting>
  <conditionalFormatting sqref="M26:M48">
    <cfRule type="expression" dxfId="2213" priority="46">
      <formula>IF(+(IF(M26&lt;U26,0,IF(M26&gt;V26,0,1)))=0,1)</formula>
    </cfRule>
  </conditionalFormatting>
  <conditionalFormatting sqref="M6:N6">
    <cfRule type="cellIs" dxfId="2212" priority="134" operator="greaterThanOrEqual">
      <formula>15</formula>
    </cfRule>
    <cfRule type="cellIs" dxfId="2211" priority="135" operator="greaterThanOrEqual">
      <formula>19</formula>
    </cfRule>
  </conditionalFormatting>
  <conditionalFormatting sqref="N12:N20">
    <cfRule type="expression" dxfId="2210" priority="2">
      <formula>IF(+(IF(N12&lt;W12,0,IF(N12&gt;X12,0,1)))=0,1)</formula>
    </cfRule>
  </conditionalFormatting>
  <conditionalFormatting sqref="N21:N25">
    <cfRule type="expression" dxfId="2209" priority="37">
      <formula>IF(+(IF(N21&lt;X21,0,IF(N21&gt;Y21,0,1)))=0,1)</formula>
    </cfRule>
  </conditionalFormatting>
  <conditionalFormatting sqref="N26:N48">
    <cfRule type="expression" dxfId="2208" priority="47">
      <formula>IF(+(IF(N26&lt;W26,0,IF(N26&gt;X26,0,1)))=0,1)</formula>
    </cfRule>
  </conditionalFormatting>
  <conditionalFormatting sqref="P6">
    <cfRule type="cellIs" dxfId="2207" priority="158" operator="greaterThanOrEqual">
      <formula>19</formula>
    </cfRule>
  </conditionalFormatting>
  <dataValidations count="1">
    <dataValidation type="list" allowBlank="1" showInputMessage="1" showErrorMessage="1" sqref="R8:R10 B22:B25" xr:uid="{4F8714C2-F379-42B1-BA14-C2236029397A}">
      <formula1>ProductList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0205-ABA5-45AA-9305-C672129578DD}">
  <sheetPr>
    <pageSetUpPr fitToPage="1"/>
  </sheetPr>
  <dimension ref="A1:BF90"/>
  <sheetViews>
    <sheetView topLeftCell="A28" zoomScale="85" zoomScaleNormal="85" workbookViewId="0">
      <selection activeCell="G30" sqref="G30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2.332031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45670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4">
        <v>0</v>
      </c>
      <c r="AA8" s="275"/>
      <c r="AB8" s="19"/>
    </row>
    <row r="9" spans="2:30" ht="34.5" customHeight="1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4">
        <v>0</v>
      </c>
      <c r="AA9" s="275">
        <v>75</v>
      </c>
      <c r="AB9" s="19"/>
    </row>
    <row r="10" spans="2:30" ht="15.75" customHeight="1">
      <c r="B10" s="29" t="s">
        <v>6</v>
      </c>
      <c r="C10" s="367" t="str">
        <f>[28]Brewhouse!$A102</f>
        <v>CA001</v>
      </c>
      <c r="D10" s="280">
        <f>[28]Brewhouse!$AF102</f>
        <v>52.9</v>
      </c>
      <c r="E10" s="280">
        <f>[28]Brewhouse!$AI102</f>
        <v>48.6</v>
      </c>
      <c r="F10" s="279">
        <f>[28]Brewhouse!$V102</f>
        <v>60</v>
      </c>
      <c r="G10" s="280">
        <f>[28]Brewhouse!$AG102</f>
        <v>11.9</v>
      </c>
      <c r="H10" s="486">
        <v>11.7</v>
      </c>
      <c r="I10" s="369">
        <f>[28]Brewhouse!$AU102</f>
        <v>92.721004414750013</v>
      </c>
      <c r="J10" s="369">
        <f>[28]Brewhouse!$AV102</f>
        <v>96.45492113973684</v>
      </c>
      <c r="K10" s="282">
        <f>[28]Brewhouse!$Q102</f>
        <v>7.3090909090909015</v>
      </c>
      <c r="L10" s="277">
        <f>[28]Brewhouse!$P102</f>
        <v>58</v>
      </c>
      <c r="M10" s="375">
        <f>[28]Brewhouse!$U102-[28]Brewhouse!$T102</f>
        <v>0.12361111111111106</v>
      </c>
      <c r="N10" s="371">
        <f>[28]Brewhouse!$Z102</f>
        <v>0.27083333333333331</v>
      </c>
      <c r="O10" s="372" t="str">
        <f>[28]Brewhouse!$AX102</f>
        <v>R.Sookram</v>
      </c>
      <c r="P10" s="376" t="s">
        <v>164</v>
      </c>
      <c r="Q10" s="348"/>
      <c r="S10" s="278" t="str">
        <f t="shared" ref="S10:S26" si="0">B10</f>
        <v>CARIB</v>
      </c>
      <c r="T10" s="297">
        <f t="shared" ref="T10:T26" si="1">VLOOKUP($B10,$S$3:$Y$9,2,FALSE)</f>
        <v>11.6</v>
      </c>
      <c r="U10" s="297">
        <f t="shared" ref="U10:U26" si="2">VLOOKUP($B10,$S$3:$Y$9,3,FALSE)</f>
        <v>12</v>
      </c>
      <c r="V10" s="298">
        <f t="shared" ref="V10:V26" si="3">VLOOKUP($B10,$S$3:$Y$9,4,FALSE)</f>
        <v>0</v>
      </c>
      <c r="W10" s="298">
        <f t="shared" ref="W10:W26" si="4">VLOOKUP($B10,$S$3:$Y$9,5,FALSE)</f>
        <v>0.118055555555556</v>
      </c>
      <c r="X10" s="298">
        <f t="shared" ref="X10:X26" si="5">VLOOKUP($B10,$S$3:$Y$9,6,FALSE)</f>
        <v>0.17361111111111113</v>
      </c>
      <c r="Y10" s="298">
        <f t="shared" ref="Y10:Y26" si="6">VLOOKUP($B10,$S$3:$Y$9,7,FALSE)</f>
        <v>0.21180555555555555</v>
      </c>
      <c r="Z10" s="298">
        <f t="shared" ref="Z10:Z26" si="7">VLOOKUP($B10,$S$3:$AA$9,8,FALSE)</f>
        <v>0</v>
      </c>
      <c r="AA10" s="297">
        <f t="shared" ref="AA10:AA26" si="8">VLOOKUP($B10,$S$3:$AA$9,9,FALSE)</f>
        <v>60</v>
      </c>
    </row>
    <row r="11" spans="2:30" ht="15.75" customHeight="1">
      <c r="B11" s="29" t="s">
        <v>6</v>
      </c>
      <c r="C11" s="367" t="str">
        <f>[28]Brewhouse!$A103</f>
        <v>CA002</v>
      </c>
      <c r="D11" s="280">
        <f>[28]Brewhouse!$AF103</f>
        <v>53.9</v>
      </c>
      <c r="E11" s="280">
        <f>[28]Brewhouse!$AI103</f>
        <v>50.2</v>
      </c>
      <c r="F11" s="279">
        <f>[28]Brewhouse!$V103</f>
        <v>63</v>
      </c>
      <c r="G11" s="280">
        <f>[28]Brewhouse!$AG103</f>
        <v>11.9</v>
      </c>
      <c r="H11" s="486">
        <v>11.8</v>
      </c>
      <c r="I11" s="369">
        <f>[28]Brewhouse!$AU103</f>
        <v>95.183546542203274</v>
      </c>
      <c r="J11" s="369">
        <f>[28]Brewhouse!$AV103</f>
        <v>99.018734935919994</v>
      </c>
      <c r="K11" s="282">
        <f>[28]Brewhouse!$Q103</f>
        <v>7.2958257713248695</v>
      </c>
      <c r="L11" s="277">
        <f>[28]Brewhouse!$P103</f>
        <v>58</v>
      </c>
      <c r="M11" s="375">
        <f>[28]Brewhouse!$U103-[28]Brewhouse!$T103</f>
        <v>0.11249999999999999</v>
      </c>
      <c r="N11" s="371">
        <f>[28]Brewhouse!$Z103</f>
        <v>0.28541666666666665</v>
      </c>
      <c r="O11" s="372" t="str">
        <f>[28]Brewhouse!$AX103</f>
        <v>R.Sookram</v>
      </c>
      <c r="P11" s="376"/>
      <c r="Q11" s="348"/>
      <c r="S11" s="278" t="str">
        <f t="shared" si="0"/>
        <v>CARIB</v>
      </c>
      <c r="T11" s="297">
        <f t="shared" si="1"/>
        <v>11.6</v>
      </c>
      <c r="U11" s="297">
        <f t="shared" si="2"/>
        <v>12</v>
      </c>
      <c r="V11" s="298">
        <f t="shared" si="3"/>
        <v>0</v>
      </c>
      <c r="W11" s="298">
        <f t="shared" si="4"/>
        <v>0.118055555555556</v>
      </c>
      <c r="X11" s="298">
        <f t="shared" si="5"/>
        <v>0.17361111111111113</v>
      </c>
      <c r="Y11" s="298">
        <f t="shared" si="6"/>
        <v>0.21180555555555555</v>
      </c>
      <c r="Z11" s="298">
        <f t="shared" si="7"/>
        <v>0</v>
      </c>
      <c r="AA11" s="297">
        <f t="shared" si="8"/>
        <v>60</v>
      </c>
    </row>
    <row r="12" spans="2:30" ht="15.75" customHeight="1">
      <c r="B12" s="29" t="s">
        <v>6</v>
      </c>
      <c r="C12" s="367" t="str">
        <f>[28]Brewhouse!$A104</f>
        <v>CA003</v>
      </c>
      <c r="D12" s="280">
        <f>[28]Brewhouse!$AF104</f>
        <v>53.3</v>
      </c>
      <c r="E12" s="280">
        <f>[28]Brewhouse!$AI104</f>
        <v>49.9</v>
      </c>
      <c r="F12" s="279">
        <f>[28]Brewhouse!$V104</f>
        <v>59</v>
      </c>
      <c r="G12" s="280">
        <f>[28]Brewhouse!$AG104</f>
        <v>11.9</v>
      </c>
      <c r="H12" s="486"/>
      <c r="I12" s="369">
        <f>[28]Brewhouse!$AU104</f>
        <v>95.186026119258216</v>
      </c>
      <c r="J12" s="369">
        <f>[28]Brewhouse!$AV104</f>
        <v>99.18519772373709</v>
      </c>
      <c r="K12" s="282">
        <f>[28]Brewhouse!$Q104</f>
        <v>6.870503597122303</v>
      </c>
      <c r="L12" s="277">
        <f>[28]Brewhouse!$P104</f>
        <v>58</v>
      </c>
      <c r="M12" s="375">
        <f>[28]Brewhouse!$U104-[28]Brewhouse!$T104</f>
        <v>0.10416666666666663</v>
      </c>
      <c r="N12" s="371">
        <f>[28]Brewhouse!$Z104</f>
        <v>0.31319444444444439</v>
      </c>
      <c r="O12" s="372" t="str">
        <f>[28]Brewhouse!$AX104</f>
        <v>R.Sookram</v>
      </c>
      <c r="P12" s="376"/>
      <c r="Q12" s="348"/>
      <c r="S12" s="278" t="str">
        <f t="shared" si="0"/>
        <v>CARIB</v>
      </c>
      <c r="T12" s="297">
        <f t="shared" si="1"/>
        <v>11.6</v>
      </c>
      <c r="U12" s="297">
        <f t="shared" si="2"/>
        <v>12</v>
      </c>
      <c r="V12" s="298">
        <f t="shared" si="3"/>
        <v>0</v>
      </c>
      <c r="W12" s="298">
        <f t="shared" si="4"/>
        <v>0.118055555555556</v>
      </c>
      <c r="X12" s="298">
        <f t="shared" si="5"/>
        <v>0.17361111111111113</v>
      </c>
      <c r="Y12" s="298">
        <f t="shared" si="6"/>
        <v>0.21180555555555555</v>
      </c>
      <c r="Z12" s="298">
        <f t="shared" si="7"/>
        <v>0</v>
      </c>
      <c r="AA12" s="297">
        <f t="shared" si="8"/>
        <v>60</v>
      </c>
    </row>
    <row r="13" spans="2:30" ht="15.75" customHeight="1">
      <c r="B13" s="29" t="s">
        <v>6</v>
      </c>
      <c r="C13" s="367" t="str">
        <f>[28]Brewhouse!$A105</f>
        <v>CA004</v>
      </c>
      <c r="D13" s="280">
        <f>[28]Brewhouse!$AF105</f>
        <v>53.3</v>
      </c>
      <c r="E13" s="280">
        <f>[28]Brewhouse!$AI105</f>
        <v>49.8</v>
      </c>
      <c r="F13" s="279">
        <f>[28]Brewhouse!$V105</f>
        <v>56</v>
      </c>
      <c r="G13" s="280">
        <f>[28]Brewhouse!$AG105</f>
        <v>12</v>
      </c>
      <c r="H13" s="486"/>
      <c r="I13" s="369">
        <f>[28]Brewhouse!$AU105</f>
        <v>95.834588221072792</v>
      </c>
      <c r="J13" s="369">
        <f>[28]Brewhouse!$AV105</f>
        <v>99.861008690191412</v>
      </c>
      <c r="K13" s="282">
        <f>[28]Brewhouse!$Q105</f>
        <v>8.3243243243243192</v>
      </c>
      <c r="L13" s="277">
        <f>[28]Brewhouse!$P105</f>
        <v>66</v>
      </c>
      <c r="M13" s="375">
        <f>[28]Brewhouse!$U105-[28]Brewhouse!$T105</f>
        <v>0.11041666666666672</v>
      </c>
      <c r="N13" s="371">
        <f>[28]Brewhouse!$Z105</f>
        <v>0.30763888888888891</v>
      </c>
      <c r="O13" s="372" t="str">
        <f>[28]Brewhouse!$AX105</f>
        <v>K.Benjamin</v>
      </c>
      <c r="P13" s="376"/>
      <c r="Q13" s="348"/>
      <c r="S13" s="278" t="str">
        <f t="shared" si="0"/>
        <v>CARIB</v>
      </c>
      <c r="T13" s="297">
        <f t="shared" si="1"/>
        <v>11.6</v>
      </c>
      <c r="U13" s="297">
        <f t="shared" si="2"/>
        <v>12</v>
      </c>
      <c r="V13" s="298">
        <f t="shared" si="3"/>
        <v>0</v>
      </c>
      <c r="W13" s="298">
        <f t="shared" si="4"/>
        <v>0.118055555555556</v>
      </c>
      <c r="X13" s="298">
        <f t="shared" si="5"/>
        <v>0.17361111111111113</v>
      </c>
      <c r="Y13" s="298">
        <f t="shared" si="6"/>
        <v>0.21180555555555555</v>
      </c>
      <c r="Z13" s="298">
        <f t="shared" si="7"/>
        <v>0</v>
      </c>
      <c r="AA13" s="297">
        <f t="shared" si="8"/>
        <v>60</v>
      </c>
    </row>
    <row r="14" spans="2:30" ht="15.75" customHeight="1">
      <c r="B14" s="29" t="s">
        <v>6</v>
      </c>
      <c r="C14" s="367" t="str">
        <f>[28]Brewhouse!$A106</f>
        <v>CA005</v>
      </c>
      <c r="D14" s="280">
        <f>[28]Brewhouse!$AF106</f>
        <v>52.8</v>
      </c>
      <c r="E14" s="280">
        <f>[28]Brewhouse!$AI106</f>
        <v>49.3</v>
      </c>
      <c r="F14" s="279">
        <f>[28]Brewhouse!$V106</f>
        <v>60</v>
      </c>
      <c r="G14" s="280">
        <f>[28]Brewhouse!$AG106</f>
        <v>11.8</v>
      </c>
      <c r="H14" s="486"/>
      <c r="I14" s="369">
        <f>[28]Brewhouse!$AU106</f>
        <v>95.701714072534301</v>
      </c>
      <c r="J14" s="369">
        <f>[28]Brewhouse!$AV106</f>
        <v>99.717811781016536</v>
      </c>
      <c r="K14" s="282">
        <f>[28]Brewhouse!$Q106</f>
        <v>6.1621621621621649</v>
      </c>
      <c r="L14" s="277">
        <f>[28]Brewhouse!$P106</f>
        <v>62</v>
      </c>
      <c r="M14" s="375">
        <f>[28]Brewhouse!$U106-[28]Brewhouse!$T106</f>
        <v>0.12291666666666667</v>
      </c>
      <c r="N14" s="371">
        <f>[28]Brewhouse!$Z106</f>
        <v>0.27500000000000002</v>
      </c>
      <c r="O14" s="372" t="str">
        <f>[28]Brewhouse!$AX106</f>
        <v>K.Benjamin</v>
      </c>
      <c r="P14" s="376"/>
      <c r="Q14" s="348"/>
      <c r="S14" s="278" t="str">
        <f t="shared" si="0"/>
        <v>CARIB</v>
      </c>
      <c r="T14" s="297">
        <f t="shared" si="1"/>
        <v>11.6</v>
      </c>
      <c r="U14" s="297">
        <f t="shared" si="2"/>
        <v>12</v>
      </c>
      <c r="V14" s="298">
        <f t="shared" si="3"/>
        <v>0</v>
      </c>
      <c r="W14" s="298">
        <f t="shared" si="4"/>
        <v>0.118055555555556</v>
      </c>
      <c r="X14" s="298">
        <f t="shared" si="5"/>
        <v>0.17361111111111113</v>
      </c>
      <c r="Y14" s="298">
        <f t="shared" si="6"/>
        <v>0.21180555555555555</v>
      </c>
      <c r="Z14" s="298">
        <f t="shared" si="7"/>
        <v>0</v>
      </c>
      <c r="AA14" s="297">
        <f t="shared" si="8"/>
        <v>60</v>
      </c>
    </row>
    <row r="15" spans="2:30" ht="15.75" customHeight="1">
      <c r="B15" s="29" t="s">
        <v>6</v>
      </c>
      <c r="C15" s="367" t="str">
        <f>[28]Brewhouse!$A107</f>
        <v>CA006</v>
      </c>
      <c r="D15" s="280">
        <f>[28]Brewhouse!$AF107</f>
        <v>53.3</v>
      </c>
      <c r="E15" s="280">
        <f>[28]Brewhouse!$AI107</f>
        <v>49.7</v>
      </c>
      <c r="F15" s="279">
        <f>[28]Brewhouse!$V107</f>
        <v>58</v>
      </c>
      <c r="G15" s="280">
        <f>[28]Brewhouse!$AG107</f>
        <v>11.7</v>
      </c>
      <c r="H15" s="486">
        <v>11.7</v>
      </c>
      <c r="I15" s="369">
        <f>[28]Brewhouse!$AU107</f>
        <v>92.798968247797376</v>
      </c>
      <c r="J15" s="369">
        <f>[28]Brewhouse!$AV107</f>
        <v>96.537258406470258</v>
      </c>
      <c r="K15" s="282">
        <f>[28]Brewhouse!$Q107</f>
        <v>5.7706093189964145</v>
      </c>
      <c r="L15" s="277">
        <f>[28]Brewhouse!$P107</f>
        <v>63</v>
      </c>
      <c r="M15" s="375">
        <f>[28]Brewhouse!$U107-[28]Brewhouse!$T107</f>
        <v>0.10902777777777783</v>
      </c>
      <c r="N15" s="371">
        <f>[28]Brewhouse!$Z107</f>
        <v>0.26388888888888895</v>
      </c>
      <c r="O15" s="372" t="str">
        <f>[28]Brewhouse!$AX107</f>
        <v>R.Regis</v>
      </c>
      <c r="P15" s="376"/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0.17361111111111113</v>
      </c>
      <c r="Y15" s="298">
        <f t="shared" si="6"/>
        <v>0.21180555555555555</v>
      </c>
      <c r="Z15" s="298">
        <f t="shared" si="7"/>
        <v>0</v>
      </c>
      <c r="AA15" s="297">
        <f t="shared" si="8"/>
        <v>60</v>
      </c>
    </row>
    <row r="16" spans="2:30" ht="15.75" customHeight="1">
      <c r="B16" s="29" t="s">
        <v>6</v>
      </c>
      <c r="C16" s="367" t="str">
        <f>[28]Brewhouse!$A108</f>
        <v>CA007</v>
      </c>
      <c r="D16" s="280">
        <f>[28]Brewhouse!$AF108</f>
        <v>54.9</v>
      </c>
      <c r="E16" s="280">
        <f>[28]Brewhouse!$AI108</f>
        <v>51.6</v>
      </c>
      <c r="F16" s="279">
        <f>[28]Brewhouse!$V108</f>
        <v>66</v>
      </c>
      <c r="G16" s="280">
        <f>[28]Brewhouse!$AG108</f>
        <v>11.7</v>
      </c>
      <c r="H16" s="486">
        <v>11.6</v>
      </c>
      <c r="I16" s="369">
        <f>[28]Brewhouse!$AU108</f>
        <v>95.637869985017701</v>
      </c>
      <c r="J16" s="369">
        <f>[28]Brewhouse!$AV108</f>
        <v>99.493036855893124</v>
      </c>
      <c r="K16" s="282">
        <f>[28]Brewhouse!$Q108</f>
        <v>5.1957295373665513</v>
      </c>
      <c r="L16" s="277">
        <f>[28]Brewhouse!$P108</f>
        <v>61</v>
      </c>
      <c r="M16" s="375">
        <f>[28]Brewhouse!$U108-[28]Brewhouse!$T108</f>
        <v>0.11319444444444438</v>
      </c>
      <c r="N16" s="371">
        <f>[28]Brewhouse!$Z108</f>
        <v>0.30347222222222214</v>
      </c>
      <c r="O16" s="372" t="str">
        <f>[28]Brewhouse!$AX108</f>
        <v>R.Regis</v>
      </c>
      <c r="P16" s="376"/>
      <c r="Q16" s="348"/>
      <c r="S16" s="278" t="str">
        <f t="shared" si="0"/>
        <v>CARIB</v>
      </c>
      <c r="T16" s="297">
        <f t="shared" si="1"/>
        <v>11.6</v>
      </c>
      <c r="U16" s="297">
        <f t="shared" si="2"/>
        <v>12</v>
      </c>
      <c r="V16" s="298">
        <f t="shared" si="3"/>
        <v>0</v>
      </c>
      <c r="W16" s="298">
        <f t="shared" si="4"/>
        <v>0.118055555555556</v>
      </c>
      <c r="X16" s="298">
        <f t="shared" si="5"/>
        <v>0.17361111111111113</v>
      </c>
      <c r="Y16" s="298">
        <f t="shared" si="6"/>
        <v>0.21180555555555555</v>
      </c>
      <c r="Z16" s="298">
        <f t="shared" si="7"/>
        <v>0</v>
      </c>
      <c r="AA16" s="297">
        <f t="shared" si="8"/>
        <v>60</v>
      </c>
    </row>
    <row r="17" spans="1:27" ht="15.75" customHeight="1">
      <c r="B17" s="374"/>
      <c r="C17" s="367"/>
      <c r="D17" s="280"/>
      <c r="E17" s="280"/>
      <c r="F17" s="279"/>
      <c r="G17" s="280"/>
      <c r="H17" s="486"/>
      <c r="I17" s="369"/>
      <c r="J17" s="369"/>
      <c r="K17" s="282"/>
      <c r="L17" s="277"/>
      <c r="M17" s="396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1:27" ht="15.75" customHeight="1">
      <c r="B18" s="374"/>
      <c r="C18" s="367"/>
      <c r="D18" s="280"/>
      <c r="E18" s="280"/>
      <c r="F18" s="279"/>
      <c r="G18" s="384"/>
      <c r="H18" s="486"/>
      <c r="I18" s="369"/>
      <c r="J18" s="369"/>
      <c r="K18" s="282"/>
      <c r="L18" s="277"/>
      <c r="M18" s="396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1:27" ht="15.75" hidden="1" customHeight="1">
      <c r="B19" s="374"/>
      <c r="C19" s="367"/>
      <c r="D19" s="280"/>
      <c r="E19" s="280"/>
      <c r="F19" s="279"/>
      <c r="G19" s="384"/>
      <c r="H19" s="486"/>
      <c r="I19" s="369"/>
      <c r="J19" s="369"/>
      <c r="K19" s="282"/>
      <c r="L19" s="277"/>
      <c r="M19" s="396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1:27" ht="14.4" hidden="1">
      <c r="B20" s="374"/>
      <c r="C20" s="367"/>
      <c r="D20" s="280"/>
      <c r="E20" s="280"/>
      <c r="F20" s="279"/>
      <c r="G20" s="384"/>
      <c r="H20" s="486"/>
      <c r="I20" s="369"/>
      <c r="J20" s="369"/>
      <c r="K20" s="282"/>
      <c r="L20" s="277"/>
      <c r="M20" s="396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1:27" ht="14.4" hidden="1">
      <c r="B21" s="374"/>
      <c r="C21" s="367"/>
      <c r="D21" s="280"/>
      <c r="E21" s="280"/>
      <c r="F21" s="279"/>
      <c r="G21" s="384"/>
      <c r="H21" s="486"/>
      <c r="I21" s="369"/>
      <c r="J21" s="369"/>
      <c r="K21" s="282"/>
      <c r="L21" s="277"/>
      <c r="M21" s="396"/>
      <c r="N21" s="371"/>
      <c r="O21" s="372"/>
      <c r="P21" s="370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1:27" ht="14.4" hidden="1">
      <c r="B22" s="374"/>
      <c r="C22" s="367"/>
      <c r="D22" s="280"/>
      <c r="E22" s="280"/>
      <c r="F22" s="279"/>
      <c r="G22" s="384"/>
      <c r="H22" s="486"/>
      <c r="I22" s="369"/>
      <c r="J22" s="369"/>
      <c r="K22" s="282"/>
      <c r="L22" s="277"/>
      <c r="M22" s="396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1:27" ht="14.4" hidden="1">
      <c r="B23" s="374"/>
      <c r="C23" s="367"/>
      <c r="D23" s="280"/>
      <c r="E23" s="280"/>
      <c r="F23" s="279"/>
      <c r="G23" s="384"/>
      <c r="H23" s="487"/>
      <c r="I23" s="369"/>
      <c r="J23" s="369"/>
      <c r="K23" s="282"/>
      <c r="L23" s="277"/>
      <c r="M23" s="396"/>
      <c r="N23" s="371"/>
      <c r="O23" s="372"/>
      <c r="P23" s="370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1:27" ht="14.4" hidden="1">
      <c r="B24" s="374"/>
      <c r="C24" s="367"/>
      <c r="D24" s="280"/>
      <c r="E24" s="280"/>
      <c r="F24" s="279"/>
      <c r="G24" s="384"/>
      <c r="H24" s="395"/>
      <c r="I24" s="369"/>
      <c r="J24" s="369"/>
      <c r="K24" s="282"/>
      <c r="L24" s="277"/>
      <c r="M24" s="396"/>
      <c r="N24" s="371"/>
      <c r="O24" s="372"/>
      <c r="P24" s="370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1:27" ht="14.4" hidden="1">
      <c r="B25" s="374"/>
      <c r="C25" s="367"/>
      <c r="D25" s="280"/>
      <c r="E25" s="280"/>
      <c r="F25" s="279"/>
      <c r="G25" s="384"/>
      <c r="H25" s="395"/>
      <c r="I25" s="369"/>
      <c r="J25" s="369"/>
      <c r="K25" s="282"/>
      <c r="L25" s="277"/>
      <c r="M25" s="396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1:27" ht="14.4" hidden="1">
      <c r="B26" s="374"/>
      <c r="C26" s="367"/>
      <c r="D26" s="280"/>
      <c r="E26" s="280"/>
      <c r="F26" s="279"/>
      <c r="G26" s="384"/>
      <c r="H26" s="395"/>
      <c r="I26" s="369"/>
      <c r="J26" s="369"/>
      <c r="K26" s="282"/>
      <c r="L26" s="277"/>
      <c r="M26" s="396"/>
      <c r="N26" s="371"/>
      <c r="O26" s="372"/>
      <c r="P26" s="370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1:27" ht="15.75" customHeight="1" thickBot="1">
      <c r="B27" s="359"/>
      <c r="C27" s="359"/>
      <c r="D27" s="359"/>
      <c r="E27" s="359"/>
      <c r="F27" s="295"/>
      <c r="G27" s="295"/>
      <c r="H27" s="349"/>
      <c r="I27" s="574" t="s">
        <v>34</v>
      </c>
      <c r="J27" s="574"/>
      <c r="K27" s="574"/>
      <c r="L27" s="574"/>
      <c r="M27" s="574"/>
      <c r="N27" s="574"/>
      <c r="O27" s="1"/>
      <c r="P27" s="12"/>
      <c r="S27" s="278"/>
      <c r="T27" s="297"/>
      <c r="U27" s="297"/>
      <c r="V27" s="298"/>
      <c r="W27" s="298"/>
      <c r="X27" s="298"/>
      <c r="Y27" s="298"/>
      <c r="Z27" s="298"/>
      <c r="AA27" s="297"/>
    </row>
    <row r="28" spans="1:27" ht="15" thickBot="1">
      <c r="B28" s="389" t="s">
        <v>145</v>
      </c>
      <c r="C28" s="389"/>
      <c r="D28" s="552" t="s">
        <v>35</v>
      </c>
      <c r="E28" s="553"/>
      <c r="F28" s="295"/>
      <c r="G28" s="295"/>
      <c r="H28" s="23"/>
      <c r="I28" s="24" t="s">
        <v>17</v>
      </c>
      <c r="J28" s="25" t="s">
        <v>146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5"/>
      <c r="P28" s="12"/>
      <c r="S28" s="278"/>
      <c r="T28" s="297"/>
      <c r="U28" s="297"/>
      <c r="V28" s="298"/>
      <c r="W28" s="298"/>
      <c r="X28" s="298"/>
      <c r="Y28" s="298"/>
      <c r="Z28" s="298"/>
      <c r="AA28" s="297"/>
    </row>
    <row r="29" spans="1:27" ht="15" customHeight="1">
      <c r="A29" s="28"/>
      <c r="B29" s="656" t="str">
        <f>B16</f>
        <v>CARIB</v>
      </c>
      <c r="C29" s="363">
        <v>12</v>
      </c>
      <c r="D29" s="578">
        <v>11.82</v>
      </c>
      <c r="E29" s="579"/>
      <c r="F29" s="295"/>
      <c r="G29" s="295"/>
      <c r="H29" s="295"/>
      <c r="I29" s="29" t="s">
        <v>6</v>
      </c>
      <c r="J29" s="324">
        <f>AVERAGE(I10:I16)</f>
        <v>94.72338822894767</v>
      </c>
      <c r="K29" s="285">
        <f>COUNTA([28]Brewhouse!$A$102:$A$108)</f>
        <v>7</v>
      </c>
      <c r="L29" s="303">
        <f>AVERAGE([28]Brewhouse!$AU$102:$AU$108)</f>
        <v>94.72338822894767</v>
      </c>
      <c r="M29" s="303">
        <f>AVERAGE([28]Brewhouse!$AU$102:$AU$108)</f>
        <v>94.72338822894767</v>
      </c>
      <c r="N29" s="30">
        <v>98</v>
      </c>
      <c r="O29" s="11"/>
      <c r="P29" s="31"/>
      <c r="S29" s="278"/>
      <c r="T29" s="297"/>
      <c r="U29" s="297"/>
      <c r="V29" s="298"/>
      <c r="W29" s="298"/>
      <c r="X29" s="298"/>
      <c r="Y29" s="298"/>
      <c r="Z29" s="298"/>
      <c r="AA29" s="297"/>
    </row>
    <row r="30" spans="1:27" ht="15" customHeight="1">
      <c r="A30" s="28"/>
      <c r="B30" s="657"/>
      <c r="C30" s="350">
        <v>11.7</v>
      </c>
      <c r="D30" s="580"/>
      <c r="E30" s="581"/>
      <c r="F30" s="295"/>
      <c r="G30" s="295"/>
      <c r="H30" s="32"/>
      <c r="I30" s="33" t="s">
        <v>9</v>
      </c>
      <c r="J30" s="324"/>
      <c r="K30" s="285">
        <f>COUNTA([22]Brewhouse!$A$15:$A$28)</f>
        <v>14</v>
      </c>
      <c r="L30" s="303">
        <f>AVERAGE([22]Brewhouse!$AS$15:$AS$28)</f>
        <v>95.91860109091941</v>
      </c>
      <c r="M30" s="303">
        <f>AVERAGE([22]Brewhouse!$AS$15:$AS$28)</f>
        <v>95.91860109091941</v>
      </c>
      <c r="N30" s="30">
        <v>98</v>
      </c>
      <c r="O30" s="11"/>
      <c r="P30" s="31"/>
      <c r="S30" s="278"/>
      <c r="T30" s="297"/>
      <c r="U30" s="297"/>
      <c r="V30" s="298"/>
      <c r="W30" s="298"/>
      <c r="X30" s="298"/>
      <c r="Y30" s="298"/>
      <c r="Z30" s="298"/>
      <c r="AA30" s="297"/>
    </row>
    <row r="31" spans="1:27" ht="14.7" customHeight="1">
      <c r="A31" s="28"/>
      <c r="B31" s="657"/>
      <c r="C31" s="350">
        <v>11.64</v>
      </c>
      <c r="D31" s="578">
        <v>11.82</v>
      </c>
      <c r="E31" s="579"/>
      <c r="F31" s="295"/>
      <c r="G31" s="295"/>
      <c r="H31" s="32"/>
      <c r="I31" s="34" t="s">
        <v>12</v>
      </c>
      <c r="J31" s="281"/>
      <c r="K31" s="285"/>
      <c r="L31" s="303"/>
      <c r="M31" s="303"/>
      <c r="N31" s="30">
        <v>98</v>
      </c>
      <c r="O31" s="11"/>
      <c r="P31" s="31"/>
      <c r="S31" s="23"/>
      <c r="T31" s="1"/>
      <c r="U31" s="1"/>
      <c r="AA31" s="286"/>
    </row>
    <row r="32" spans="1:27" ht="14.7" customHeight="1">
      <c r="A32" s="28"/>
      <c r="B32" s="657"/>
      <c r="C32" s="350">
        <v>11.7</v>
      </c>
      <c r="D32" s="580"/>
      <c r="E32" s="581"/>
      <c r="F32" s="295"/>
      <c r="G32" s="295"/>
      <c r="H32" s="32"/>
      <c r="I32" s="22" t="s">
        <v>33</v>
      </c>
      <c r="J32" s="281"/>
      <c r="K32" s="285">
        <f>COUNTA([25]Brewhouse!$A$5:$A$8)</f>
        <v>4</v>
      </c>
      <c r="L32" s="303">
        <f>AVERAGE([25]Brewhouse!$AV$5:$AV$8)</f>
        <v>96.702302381453876</v>
      </c>
      <c r="M32" s="303">
        <f>AVERAGE([25]Brewhouse!$AV$5:$AV$8)</f>
        <v>96.702302381453876</v>
      </c>
      <c r="N32" s="30">
        <v>98</v>
      </c>
      <c r="O32" s="11"/>
      <c r="P32" s="31"/>
      <c r="S32" s="23"/>
      <c r="T32" s="1"/>
      <c r="U32" s="1"/>
      <c r="AA32" s="286"/>
    </row>
    <row r="33" spans="1:57" ht="14.7" customHeight="1">
      <c r="A33" s="28"/>
      <c r="B33" s="657"/>
      <c r="C33" s="350"/>
      <c r="D33" s="578"/>
      <c r="E33" s="579"/>
      <c r="F33" s="295"/>
      <c r="G33" s="295"/>
      <c r="H33" s="32"/>
      <c r="I33" s="35" t="s">
        <v>29</v>
      </c>
      <c r="J33" s="281"/>
      <c r="K33" s="285"/>
      <c r="L33" s="303"/>
      <c r="M33" s="303"/>
      <c r="N33" s="30">
        <v>98</v>
      </c>
      <c r="O33" s="11"/>
      <c r="P33" s="31"/>
      <c r="S33" s="23"/>
    </row>
    <row r="34" spans="1:57" ht="14.7" customHeight="1">
      <c r="A34" s="28"/>
      <c r="B34" s="657"/>
      <c r="C34" s="350"/>
      <c r="D34" s="580"/>
      <c r="E34" s="581"/>
      <c r="F34" s="295"/>
      <c r="G34" s="295"/>
      <c r="H34" s="32"/>
      <c r="I34" s="36" t="s">
        <v>15</v>
      </c>
      <c r="J34" s="324"/>
      <c r="K34" s="285">
        <f>COUNTA([27]Brewhouse!$A$4:$A$11)</f>
        <v>8</v>
      </c>
      <c r="L34" s="303">
        <f>AVERAGE([27]Brewhouse!$AT$4:$AT$11)</f>
        <v>94.812616598822359</v>
      </c>
      <c r="M34" s="303">
        <f>AVERAGE([27]Brewhouse!$AT$4:$AT$11)</f>
        <v>94.812616598822359</v>
      </c>
      <c r="N34" s="30">
        <v>98</v>
      </c>
      <c r="O34" s="11"/>
      <c r="P34" s="31"/>
      <c r="S34" s="23"/>
    </row>
    <row r="35" spans="1:57" ht="14.7" customHeight="1">
      <c r="A35" s="28"/>
      <c r="B35" s="657"/>
      <c r="C35" s="350"/>
      <c r="D35" s="578"/>
      <c r="E35" s="579"/>
      <c r="F35" s="295"/>
      <c r="G35" s="295"/>
      <c r="H35" s="32"/>
      <c r="I35" s="37" t="s">
        <v>16</v>
      </c>
      <c r="J35" s="324"/>
      <c r="K35" s="285"/>
      <c r="L35" s="303"/>
      <c r="M35" s="303"/>
      <c r="N35" s="30">
        <v>98</v>
      </c>
      <c r="O35" s="11"/>
      <c r="P35" s="31" t="s">
        <v>41</v>
      </c>
      <c r="S35" s="23"/>
      <c r="X35" s="276" t="s">
        <v>41</v>
      </c>
    </row>
    <row r="36" spans="1:57" ht="14.7" customHeight="1">
      <c r="A36" s="28"/>
      <c r="B36" s="657"/>
      <c r="C36" s="350"/>
      <c r="D36" s="580"/>
      <c r="E36" s="581"/>
      <c r="F36" s="295"/>
      <c r="G36" s="295"/>
      <c r="H36" s="32"/>
      <c r="I36" s="507" t="s">
        <v>174</v>
      </c>
      <c r="J36" s="327"/>
      <c r="K36" s="285">
        <f>COUNTA([26]Brewhouse!$A$5:$A$8)</f>
        <v>4</v>
      </c>
      <c r="L36" s="306">
        <f>AVERAGE([26]Brewhouse!$AU$5:$AU$8)</f>
        <v>91.006888337619571</v>
      </c>
      <c r="M36" s="306">
        <f>AVERAGE([26]Brewhouse!$AU$5:$AU$8)</f>
        <v>91.006888337619571</v>
      </c>
      <c r="N36" s="30">
        <v>98</v>
      </c>
      <c r="O36" s="11"/>
      <c r="P36" s="31"/>
      <c r="S36" s="23"/>
    </row>
    <row r="37" spans="1:57" ht="14.7" customHeight="1">
      <c r="A37" s="28"/>
      <c r="B37" s="657"/>
      <c r="C37" s="350"/>
      <c r="D37" s="411"/>
      <c r="E37" s="490"/>
      <c r="F37" s="295"/>
      <c r="G37" s="295"/>
      <c r="H37" s="32"/>
      <c r="I37" s="506" t="s">
        <v>166</v>
      </c>
      <c r="J37" s="327"/>
      <c r="K37" s="285"/>
      <c r="L37" s="306"/>
      <c r="M37" s="306"/>
      <c r="N37" s="30"/>
      <c r="O37" s="11"/>
      <c r="P37" s="31"/>
      <c r="S37" s="23"/>
    </row>
    <row r="38" spans="1:57" ht="15" customHeight="1" thickBot="1">
      <c r="A38" s="28"/>
      <c r="B38" s="657"/>
      <c r="C38" s="350"/>
      <c r="D38" s="582"/>
      <c r="E38" s="583"/>
      <c r="F38" s="295"/>
      <c r="G38" s="295"/>
      <c r="H38" s="32"/>
      <c r="I38" s="502" t="s">
        <v>165</v>
      </c>
      <c r="J38" s="328"/>
      <c r="K38" s="503"/>
      <c r="L38" s="504"/>
      <c r="M38" s="504"/>
      <c r="N38" s="505">
        <v>98</v>
      </c>
      <c r="O38" s="11"/>
      <c r="P38" s="31"/>
      <c r="S38" s="23"/>
    </row>
    <row r="39" spans="1:57" ht="15" customHeight="1" thickBot="1">
      <c r="A39" s="28"/>
      <c r="B39" s="657"/>
      <c r="C39" s="350"/>
      <c r="D39" s="584"/>
      <c r="E39" s="585"/>
      <c r="F39" s="295"/>
      <c r="G39" s="295"/>
      <c r="H39" s="32"/>
      <c r="I39" s="1"/>
      <c r="J39" s="39"/>
      <c r="K39" s="500">
        <f>SUM(K29:K38)</f>
        <v>37</v>
      </c>
      <c r="L39" s="501">
        <f>((L29*K29)+(L30*K30)+(L31*K31)+(L32*K32)+(L33*K33)+(K36*L36)+(L34*K34)+(L35*K35)+(L38*K38))/(K39)</f>
        <v>95.007076447091293</v>
      </c>
      <c r="M39" s="501">
        <f>L39</f>
        <v>95.007076447091293</v>
      </c>
      <c r="N39" s="40">
        <v>98</v>
      </c>
      <c r="O39" s="11"/>
      <c r="P39" s="31"/>
      <c r="S39" s="23"/>
    </row>
    <row r="40" spans="1:57" ht="15" customHeight="1">
      <c r="A40" s="28"/>
      <c r="B40" s="657"/>
      <c r="C40" s="350"/>
      <c r="D40" s="582"/>
      <c r="E40" s="583"/>
      <c r="F40" s="295"/>
      <c r="G40" s="295"/>
      <c r="H40" s="32"/>
      <c r="I40" s="1"/>
      <c r="J40" s="39"/>
      <c r="O40" s="11"/>
      <c r="P40" s="31"/>
      <c r="S40" s="23"/>
    </row>
    <row r="41" spans="1:57" ht="21.6" customHeight="1" thickBot="1">
      <c r="B41" s="658"/>
      <c r="C41" s="351"/>
      <c r="D41" s="586"/>
      <c r="E41" s="587"/>
      <c r="F41" s="295"/>
      <c r="G41" s="42"/>
      <c r="H41" s="41"/>
      <c r="I41" s="42"/>
      <c r="J41" s="42"/>
      <c r="K41" s="352"/>
      <c r="L41" s="349"/>
      <c r="M41" s="349"/>
      <c r="N41" s="11"/>
      <c r="O41" s="295"/>
      <c r="P41" s="12"/>
      <c r="S41" s="23"/>
    </row>
    <row r="42" spans="1:57" ht="15" thickBot="1">
      <c r="B42" s="653"/>
      <c r="C42" s="363"/>
      <c r="D42" s="591"/>
      <c r="E42" s="592"/>
      <c r="F42" s="43"/>
      <c r="G42" s="41"/>
      <c r="H42" s="41"/>
      <c r="I42" s="42"/>
      <c r="J42" s="594" t="s">
        <v>129</v>
      </c>
      <c r="K42" s="594"/>
      <c r="L42" s="295"/>
      <c r="M42" s="295"/>
      <c r="N42" s="295"/>
      <c r="O42" s="295"/>
      <c r="P42" s="12"/>
      <c r="S42" s="23" t="s">
        <v>41</v>
      </c>
    </row>
    <row r="43" spans="1:57" ht="13.5" customHeight="1" thickBot="1">
      <c r="B43" s="654"/>
      <c r="C43" s="350"/>
      <c r="D43" s="593"/>
      <c r="E43" s="581"/>
      <c r="F43" s="43"/>
      <c r="G43" s="41"/>
      <c r="H43" s="41"/>
      <c r="I43" s="42"/>
      <c r="J43" s="293" t="s">
        <v>17</v>
      </c>
      <c r="K43" s="294" t="s">
        <v>147</v>
      </c>
      <c r="L43" s="595" t="s">
        <v>136</v>
      </c>
      <c r="M43" s="595"/>
      <c r="N43" s="596"/>
      <c r="O43" s="295"/>
      <c r="P43" s="12"/>
      <c r="S43" s="23"/>
    </row>
    <row r="44" spans="1:57" ht="15" customHeight="1" thickBot="1">
      <c r="B44" s="654"/>
      <c r="C44" s="350"/>
      <c r="D44" s="597"/>
      <c r="E44" s="579"/>
      <c r="F44" s="43"/>
      <c r="G44" s="41"/>
      <c r="H44" s="41"/>
      <c r="I44" s="42"/>
      <c r="J44" s="288" t="s">
        <v>6</v>
      </c>
      <c r="K44" s="325">
        <v>7</v>
      </c>
      <c r="L44" s="344" t="s">
        <v>37</v>
      </c>
      <c r="M44" s="308" t="s">
        <v>38</v>
      </c>
      <c r="N44" s="308" t="s">
        <v>84</v>
      </c>
      <c r="O44" s="295"/>
      <c r="P44" s="12"/>
      <c r="S44" s="23"/>
    </row>
    <row r="45" spans="1:57" ht="15.75" customHeight="1" thickBot="1">
      <c r="B45" s="654"/>
      <c r="C45" s="350"/>
      <c r="D45" s="593"/>
      <c r="E45" s="581"/>
      <c r="F45" s="43"/>
      <c r="G45" s="41"/>
      <c r="H45" s="41"/>
      <c r="I45" s="42"/>
      <c r="J45" s="346" t="s">
        <v>9</v>
      </c>
      <c r="K45" s="325"/>
      <c r="L45" s="345">
        <f>AVERAGE('Jan 2nd'!K69,'Jan 3rd'!K69,'Jan 6th'!K54,'Jan 7th'!K76,'Jan 8th'!K76,'Jan. 10th'!K54)</f>
        <v>6.166666666666667</v>
      </c>
      <c r="M45" s="326">
        <f>L45</f>
        <v>6.166666666666667</v>
      </c>
      <c r="N45" s="488"/>
      <c r="O45" s="295"/>
      <c r="P45" s="12"/>
      <c r="S45" s="23"/>
    </row>
    <row r="46" spans="1:57" ht="15" customHeight="1">
      <c r="B46" s="654"/>
      <c r="C46" s="350"/>
      <c r="D46" s="597"/>
      <c r="E46" s="579"/>
      <c r="F46" s="43"/>
      <c r="G46" s="41"/>
      <c r="H46" s="41"/>
      <c r="I46" s="42"/>
      <c r="J46" s="289" t="s">
        <v>40</v>
      </c>
      <c r="K46" s="325"/>
      <c r="L46" s="295"/>
      <c r="M46" s="295"/>
      <c r="N46" s="295"/>
      <c r="O46" s="295"/>
      <c r="P46" s="12"/>
      <c r="S46" s="23"/>
    </row>
    <row r="47" spans="1:57" ht="15" customHeight="1">
      <c r="B47" s="654"/>
      <c r="C47" s="350"/>
      <c r="D47" s="593"/>
      <c r="E47" s="581"/>
      <c r="F47" s="43"/>
      <c r="G47" s="41"/>
      <c r="H47" s="41"/>
      <c r="I47" s="42"/>
      <c r="J47" s="290" t="s">
        <v>33</v>
      </c>
      <c r="K47" s="325"/>
      <c r="L47" s="295"/>
      <c r="M47" s="295"/>
      <c r="N47" s="295"/>
      <c r="O47" s="295"/>
      <c r="P47" s="12"/>
      <c r="S47" s="23"/>
    </row>
    <row r="48" spans="1:57" ht="14.4">
      <c r="B48" s="654"/>
      <c r="C48" s="350"/>
      <c r="D48" s="597"/>
      <c r="E48" s="579"/>
      <c r="F48" s="43"/>
      <c r="G48" s="41"/>
      <c r="H48" s="41"/>
      <c r="I48" s="42"/>
      <c r="J48" s="291" t="s">
        <v>16</v>
      </c>
      <c r="K48" s="325"/>
      <c r="L48" s="295"/>
      <c r="M48" s="295"/>
      <c r="N48" s="295"/>
      <c r="O48" s="295"/>
      <c r="P48" s="12"/>
      <c r="S48" s="23"/>
      <c r="BD48" s="44"/>
      <c r="BE48" s="44"/>
    </row>
    <row r="49" spans="2:58" ht="14.4">
      <c r="B49" s="654"/>
      <c r="C49" s="350"/>
      <c r="D49" s="593"/>
      <c r="E49" s="581"/>
      <c r="F49" s="43"/>
      <c r="G49" s="41"/>
      <c r="H49" s="41"/>
      <c r="I49" s="42"/>
      <c r="J49" s="292" t="s">
        <v>15</v>
      </c>
      <c r="K49" s="325"/>
      <c r="L49" s="295"/>
      <c r="M49" s="295"/>
      <c r="N49" s="295"/>
      <c r="O49" s="295"/>
      <c r="P49" s="12"/>
      <c r="S49" s="23"/>
      <c r="BD49" s="44"/>
      <c r="BE49" s="44"/>
    </row>
    <row r="50" spans="2:58" ht="14.4">
      <c r="B50" s="654"/>
      <c r="C50" s="350"/>
      <c r="D50" s="598"/>
      <c r="E50" s="583"/>
      <c r="F50" s="43"/>
      <c r="G50" s="41"/>
      <c r="H50" s="41"/>
      <c r="I50" s="42"/>
      <c r="J50" s="292" t="s">
        <v>149</v>
      </c>
      <c r="K50" s="325"/>
      <c r="L50" s="295"/>
      <c r="M50" s="295"/>
      <c r="N50" s="295"/>
      <c r="O50" s="295"/>
      <c r="P50" s="12"/>
      <c r="S50" s="23"/>
      <c r="BD50" s="44"/>
      <c r="BE50" s="44"/>
    </row>
    <row r="51" spans="2:58" ht="15" thickBot="1">
      <c r="B51" s="655"/>
      <c r="C51" s="351"/>
      <c r="D51" s="599"/>
      <c r="E51" s="600"/>
      <c r="F51" s="43"/>
      <c r="G51" s="41"/>
      <c r="H51" s="41"/>
      <c r="I51" s="42"/>
      <c r="J51" s="292" t="s">
        <v>148</v>
      </c>
      <c r="K51" s="325"/>
      <c r="L51" s="295"/>
      <c r="M51" s="295"/>
      <c r="N51" s="295"/>
      <c r="O51" s="295"/>
      <c r="P51" s="12"/>
      <c r="S51" s="23"/>
      <c r="BD51" s="44"/>
      <c r="BE51" s="44"/>
    </row>
    <row r="52" spans="2:58" ht="17.7" customHeight="1" thickBot="1">
      <c r="B52" s="313" t="s">
        <v>139</v>
      </c>
      <c r="C52" s="314"/>
      <c r="D52" s="601">
        <f>AVERAGE(D29:E51)</f>
        <v>11.82</v>
      </c>
      <c r="E52" s="602"/>
      <c r="F52" s="43"/>
      <c r="G52" s="41"/>
      <c r="H52" s="41"/>
      <c r="I52" s="42"/>
      <c r="J52" s="296" t="s">
        <v>134</v>
      </c>
      <c r="K52" s="325"/>
      <c r="L52" s="295"/>
      <c r="M52" s="295"/>
      <c r="N52" s="295"/>
      <c r="O52" s="295"/>
      <c r="P52" s="12"/>
      <c r="S52" s="23"/>
      <c r="BD52" s="44"/>
      <c r="BE52" s="44"/>
    </row>
    <row r="53" spans="2:58" ht="17.7" customHeight="1">
      <c r="B53" s="364"/>
      <c r="C53" s="365"/>
      <c r="D53" s="366"/>
      <c r="E53" s="366"/>
      <c r="F53" s="43"/>
      <c r="G53" s="41"/>
      <c r="H53" s="41"/>
      <c r="I53" s="42"/>
      <c r="J53" s="296" t="s">
        <v>131</v>
      </c>
      <c r="K53" s="325"/>
      <c r="L53" s="295"/>
      <c r="M53" s="295"/>
      <c r="N53" s="295"/>
      <c r="O53" s="295"/>
      <c r="P53" s="12"/>
      <c r="S53" s="23"/>
      <c r="BD53" s="44"/>
      <c r="BE53" s="44"/>
    </row>
    <row r="54" spans="2:58" ht="15.75" customHeight="1">
      <c r="B54" s="45"/>
      <c r="C54" s="11"/>
      <c r="D54" s="11"/>
      <c r="E54" s="46"/>
      <c r="F54" s="23"/>
      <c r="G54" s="11"/>
      <c r="H54" s="41"/>
      <c r="I54" s="42"/>
      <c r="J54" s="347" t="s">
        <v>130</v>
      </c>
      <c r="K54" s="325">
        <f>SUM(K44:K53)</f>
        <v>7</v>
      </c>
      <c r="L54" s="295"/>
      <c r="M54" s="295"/>
      <c r="N54" s="295"/>
      <c r="O54" s="295"/>
      <c r="P54" s="12"/>
    </row>
    <row r="55" spans="2:58" ht="20.25" customHeight="1">
      <c r="B55" s="15" t="s">
        <v>42</v>
      </c>
      <c r="C55" s="1" t="s">
        <v>43</v>
      </c>
      <c r="D55" s="1"/>
      <c r="E55" s="1"/>
      <c r="I55" s="42"/>
      <c r="L55" s="295"/>
      <c r="P55" s="335"/>
    </row>
    <row r="56" spans="2:58" ht="15" customHeight="1" thickBo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/>
      <c r="O56" s="48"/>
      <c r="P56" s="49"/>
      <c r="X56" s="276" t="s">
        <v>41</v>
      </c>
    </row>
    <row r="57" spans="2:58" ht="15" customHeight="1" thickBot="1">
      <c r="B57" s="603" t="s">
        <v>17</v>
      </c>
      <c r="C57" s="603" t="s">
        <v>44</v>
      </c>
      <c r="D57" s="605" t="s">
        <v>45</v>
      </c>
      <c r="E57" s="560" t="s">
        <v>46</v>
      </c>
      <c r="F57" s="620" t="s">
        <v>47</v>
      </c>
      <c r="G57" s="614" t="s">
        <v>48</v>
      </c>
      <c r="H57" s="603" t="s">
        <v>49</v>
      </c>
      <c r="I57" s="616" t="s">
        <v>50</v>
      </c>
      <c r="J57" s="608" t="s">
        <v>28</v>
      </c>
      <c r="K57" s="558" t="s">
        <v>51</v>
      </c>
      <c r="L57" s="570" t="s">
        <v>52</v>
      </c>
      <c r="M57" s="608" t="s">
        <v>53</v>
      </c>
      <c r="N57" s="77"/>
      <c r="O57" s="13"/>
      <c r="P57" s="50"/>
    </row>
    <row r="58" spans="2:58" ht="28.5" customHeight="1" thickTop="1" thickBot="1">
      <c r="B58" s="604"/>
      <c r="C58" s="604"/>
      <c r="D58" s="606"/>
      <c r="E58" s="607"/>
      <c r="F58" s="621"/>
      <c r="G58" s="615"/>
      <c r="H58" s="604"/>
      <c r="I58" s="617"/>
      <c r="J58" s="609"/>
      <c r="K58" s="618"/>
      <c r="L58" s="619"/>
      <c r="M58" s="609"/>
      <c r="N58" s="77"/>
      <c r="O58" s="13"/>
      <c r="P58" s="50"/>
      <c r="Q58" s="356"/>
      <c r="R58" s="356"/>
      <c r="S58" s="356"/>
      <c r="T58" s="356"/>
      <c r="U58" s="51">
        <v>43466</v>
      </c>
      <c r="V58" s="51">
        <v>43467</v>
      </c>
      <c r="W58" s="51">
        <v>43468</v>
      </c>
      <c r="X58" s="51">
        <v>43469</v>
      </c>
      <c r="Y58" s="51">
        <v>43470</v>
      </c>
      <c r="Z58" s="51">
        <v>43471</v>
      </c>
      <c r="AA58" s="51">
        <v>43472</v>
      </c>
      <c r="AB58" s="51">
        <v>43473</v>
      </c>
      <c r="AC58" s="51">
        <v>43474</v>
      </c>
      <c r="AD58" s="51">
        <v>43475</v>
      </c>
      <c r="AE58" s="51">
        <v>43476</v>
      </c>
      <c r="AF58" s="51">
        <v>43477</v>
      </c>
      <c r="AG58" s="51">
        <v>43478</v>
      </c>
      <c r="AH58" s="51">
        <v>43479</v>
      </c>
      <c r="AI58" s="51">
        <v>43480</v>
      </c>
      <c r="AJ58" s="51">
        <v>43481</v>
      </c>
      <c r="AK58" s="51">
        <v>43482</v>
      </c>
      <c r="AL58" s="51">
        <v>43483</v>
      </c>
      <c r="AM58" s="51">
        <v>43484</v>
      </c>
      <c r="AN58" s="51">
        <v>43485</v>
      </c>
      <c r="AO58" s="51">
        <v>43486</v>
      </c>
      <c r="AP58" s="51">
        <v>43487</v>
      </c>
      <c r="AQ58" s="51">
        <v>43488</v>
      </c>
      <c r="AR58" s="51">
        <v>43489</v>
      </c>
      <c r="AS58" s="51">
        <v>43490</v>
      </c>
      <c r="AT58" s="51">
        <v>43491</v>
      </c>
      <c r="AU58" s="51">
        <v>43492</v>
      </c>
      <c r="AV58" s="51">
        <v>43493</v>
      </c>
      <c r="AW58" s="51">
        <v>43494</v>
      </c>
      <c r="AX58" s="51">
        <v>43495</v>
      </c>
      <c r="AY58" s="51">
        <v>43496</v>
      </c>
    </row>
    <row r="59" spans="2:58" s="54" customFormat="1" ht="60.75" customHeight="1" thickBot="1">
      <c r="B59" s="511" t="str">
        <f>B69</f>
        <v>CARIB</v>
      </c>
      <c r="C59" s="284">
        <v>45667</v>
      </c>
      <c r="D59" s="378">
        <f>[23]January_2025!$M$3</f>
        <v>200.09999999999997</v>
      </c>
      <c r="E59" s="379"/>
      <c r="F59" s="380"/>
      <c r="G59" s="304">
        <f>[23]January_2025!$M$7</f>
        <v>181.5</v>
      </c>
      <c r="H59" s="382"/>
      <c r="I59" s="383"/>
      <c r="J59" s="391" t="s">
        <v>180</v>
      </c>
      <c r="K59" s="381">
        <f>[24]January_2025!$M$18</f>
        <v>0.63684210526315788</v>
      </c>
      <c r="L59" s="315">
        <f>(((D59+E59)-G59)/(D59+E59))*100</f>
        <v>9.2953523238380651</v>
      </c>
      <c r="M59" s="358" t="s">
        <v>156</v>
      </c>
      <c r="N59" s="13"/>
      <c r="O59" s="13"/>
      <c r="P59" s="50"/>
      <c r="T59" s="273" t="s">
        <v>54</v>
      </c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0"/>
      <c r="AW59" s="280"/>
      <c r="AX59" s="280"/>
    </row>
    <row r="60" spans="2:58" s="54" customFormat="1" ht="18.75" customHeight="1" thickBot="1">
      <c r="B60" s="388"/>
      <c r="C60" s="284"/>
      <c r="D60" s="280"/>
      <c r="E60" s="280"/>
      <c r="F60" s="280"/>
      <c r="G60" s="280"/>
      <c r="H60" s="321"/>
      <c r="I60" s="322"/>
      <c r="J60" s="390" t="s">
        <v>41</v>
      </c>
      <c r="K60" s="377"/>
      <c r="L60" s="315"/>
      <c r="M60" s="385"/>
      <c r="N60" s="13"/>
      <c r="O60" s="13"/>
      <c r="P60" s="50"/>
      <c r="T60" s="273" t="s">
        <v>51</v>
      </c>
      <c r="U60" s="57" t="e">
        <f>[20]January_2019!D8</f>
        <v>#DIV/0!</v>
      </c>
      <c r="V60" s="57">
        <f>[20]January_2019!E8</f>
        <v>1.0319298245614037</v>
      </c>
      <c r="W60" s="57">
        <f>[20]January_2019!F8</f>
        <v>1.7789473684210526</v>
      </c>
      <c r="X60" s="57">
        <f>[20]January_2019!G8</f>
        <v>0.51929824561403504</v>
      </c>
      <c r="Y60" s="57" t="e">
        <f>[20]January_2019!H8</f>
        <v>#DIV/0!</v>
      </c>
      <c r="Z60" s="57" t="e">
        <f>[20]January_2019!I8</f>
        <v>#DIV/0!</v>
      </c>
      <c r="AA60" s="57">
        <f>[20]January_2019!J8</f>
        <v>1.365263157894737</v>
      </c>
      <c r="AB60" s="57" t="e">
        <f>[20]January_2019!K8</f>
        <v>#DIV/0!</v>
      </c>
      <c r="AC60" s="57">
        <f>[20]January_2019!L8</f>
        <v>1.0028070175438597</v>
      </c>
      <c r="AD60" s="57">
        <f>[20]January_2019!M8</f>
        <v>1.7828070175438597</v>
      </c>
      <c r="AE60" s="57" t="e">
        <f>[20]January_2019!N8</f>
        <v>#DIV/0!</v>
      </c>
      <c r="AF60" s="57" t="e">
        <f>[20]January_2019!O8</f>
        <v>#DIV/0!</v>
      </c>
      <c r="AG60" s="57">
        <f>[20]January_2019!P8</f>
        <v>0.19222222222222221</v>
      </c>
      <c r="AH60" s="57">
        <f>[20]January_2019!Q8</f>
        <v>0.52219298245614032</v>
      </c>
      <c r="AI60" s="57">
        <f>[20]January_2019!R8</f>
        <v>0.42912280701754385</v>
      </c>
      <c r="AJ60" s="57" t="e">
        <f>[20]January_2019!S8</f>
        <v>#DIV/0!</v>
      </c>
      <c r="AK60" s="57">
        <f>[20]January_2019!T8</f>
        <v>1.0340350877192983</v>
      </c>
      <c r="AL60" s="57">
        <f>[20]January_2019!U8</f>
        <v>0.98421052631578942</v>
      </c>
      <c r="AM60" s="57" t="e">
        <f>[20]January_2019!V8</f>
        <v>#DIV/0!</v>
      </c>
      <c r="AN60" s="57" t="e">
        <f>[20]January_2019!W8</f>
        <v>#DIV/0!</v>
      </c>
      <c r="AO60" s="57">
        <f>[20]January_2019!X8</f>
        <v>0.66052631578947374</v>
      </c>
      <c r="AP60" s="57">
        <f>[20]January_2019!Y8</f>
        <v>1.0375438596491227</v>
      </c>
      <c r="AQ60" s="57">
        <f>[20]January_2019!Z8</f>
        <v>0.90456140350877201</v>
      </c>
      <c r="AR60" s="57">
        <f>[20]January_2019!AA8</f>
        <v>1.0217543859649123</v>
      </c>
      <c r="AS60" s="57">
        <f>[20]January_2019!AB8</f>
        <v>0.65614035087719302</v>
      </c>
      <c r="AT60" s="57" t="e">
        <f>[20]January_2019!AC8</f>
        <v>#DIV/0!</v>
      </c>
      <c r="AU60" s="57" t="e">
        <f>[20]January_2019!AD8</f>
        <v>#DIV/0!</v>
      </c>
      <c r="AV60" s="57">
        <f>[20]January_2019!AE8</f>
        <v>1.7021052631578948</v>
      </c>
      <c r="AW60" s="57">
        <f>[20]January_2019!AF8</f>
        <v>0.60192982456140354</v>
      </c>
      <c r="AX60" s="57">
        <f>[20]January_2019!AG8</f>
        <v>1.4870175438596491</v>
      </c>
      <c r="AY60" s="278" t="e">
        <f>[20]January_2019!AH8</f>
        <v>#DIV/0!</v>
      </c>
      <c r="AZ60" s="278"/>
      <c r="BA60" s="278"/>
      <c r="BB60" s="278"/>
      <c r="BC60" s="278"/>
      <c r="BD60" s="278"/>
      <c r="BE60" s="278"/>
      <c r="BF60" s="278"/>
    </row>
    <row r="61" spans="2:58" s="54" customFormat="1" ht="23.25" hidden="1" customHeight="1" thickBot="1">
      <c r="B61" s="374"/>
      <c r="C61" s="284"/>
      <c r="D61" s="280"/>
      <c r="E61" s="280"/>
      <c r="F61" s="280"/>
      <c r="G61" s="280"/>
      <c r="H61" s="382"/>
      <c r="I61" s="383"/>
      <c r="J61" s="391"/>
      <c r="K61" s="373"/>
      <c r="L61" s="315"/>
      <c r="M61" s="358"/>
      <c r="N61" s="13"/>
      <c r="O61" s="13"/>
      <c r="P61" s="50"/>
      <c r="T61" s="27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278"/>
      <c r="AZ61" s="278"/>
      <c r="BA61" s="278"/>
      <c r="BB61" s="278"/>
      <c r="BC61" s="278"/>
      <c r="BD61" s="278"/>
      <c r="BE61" s="278"/>
      <c r="BF61" s="278"/>
    </row>
    <row r="62" spans="2:58" s="54" customFormat="1" ht="14.4" hidden="1" thickBot="1">
      <c r="B62" s="362"/>
      <c r="C62" s="284"/>
      <c r="D62" s="305"/>
      <c r="E62" s="280"/>
      <c r="F62" s="280"/>
      <c r="G62" s="280"/>
      <c r="H62" s="382"/>
      <c r="I62" s="383"/>
      <c r="J62" s="390"/>
      <c r="K62" s="377"/>
      <c r="L62" s="315"/>
      <c r="M62" s="355"/>
      <c r="N62" s="13"/>
      <c r="O62" s="13"/>
      <c r="P62" s="50"/>
      <c r="T62" s="273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278"/>
      <c r="AZ62" s="278"/>
      <c r="BA62" s="278"/>
      <c r="BB62" s="278"/>
      <c r="BC62" s="278"/>
      <c r="BD62" s="278"/>
      <c r="BE62" s="278"/>
      <c r="BF62" s="278"/>
    </row>
    <row r="63" spans="2:58" s="54" customFormat="1" ht="45.75" hidden="1" customHeight="1">
      <c r="B63" s="386"/>
      <c r="C63" s="284"/>
      <c r="D63" s="280"/>
      <c r="E63" s="280"/>
      <c r="F63" s="280"/>
      <c r="G63" s="280"/>
      <c r="H63" s="321"/>
      <c r="I63" s="323"/>
      <c r="J63" s="361"/>
      <c r="K63" s="287"/>
      <c r="L63" s="315"/>
      <c r="M63" s="385"/>
      <c r="N63" s="13"/>
      <c r="O63" s="13"/>
      <c r="P63" s="50"/>
      <c r="T63" s="273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278"/>
      <c r="AZ63" s="278"/>
      <c r="BA63" s="278"/>
      <c r="BB63" s="278"/>
      <c r="BC63" s="278"/>
      <c r="BD63" s="278"/>
      <c r="BE63" s="278"/>
      <c r="BF63" s="278"/>
    </row>
    <row r="64" spans="2:58" s="54" customFormat="1" ht="45.75" hidden="1" customHeight="1">
      <c r="B64" s="362"/>
      <c r="C64" s="284"/>
      <c r="D64" s="280"/>
      <c r="E64" s="280"/>
      <c r="F64" s="280"/>
      <c r="G64" s="280"/>
      <c r="H64" s="321"/>
      <c r="I64" s="323"/>
      <c r="J64" s="282"/>
      <c r="K64" s="287"/>
      <c r="L64" s="315"/>
      <c r="M64" s="340"/>
      <c r="N64" s="13"/>
      <c r="O64" s="13"/>
      <c r="P64" s="50"/>
      <c r="T64" s="273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278"/>
      <c r="AZ64" s="278"/>
      <c r="BA64" s="278"/>
      <c r="BB64" s="278"/>
      <c r="BC64" s="278"/>
      <c r="BD64" s="278"/>
      <c r="BE64" s="278"/>
      <c r="BF64" s="278"/>
    </row>
    <row r="65" spans="2:16" ht="14.4" hidden="1" thickBot="1">
      <c r="B65" s="33"/>
      <c r="C65" s="311"/>
      <c r="D65" s="280"/>
      <c r="E65" s="280"/>
      <c r="F65" s="280"/>
      <c r="G65" s="280"/>
      <c r="H65" s="353"/>
      <c r="I65" s="354"/>
      <c r="J65" s="52"/>
      <c r="K65" s="52"/>
      <c r="L65" s="53"/>
      <c r="M65" s="55"/>
      <c r="N65" s="77"/>
      <c r="O65" s="13"/>
      <c r="P65" s="56"/>
    </row>
    <row r="66" spans="2:16" ht="14.4" thickBot="1">
      <c r="B66" s="58"/>
      <c r="C66" s="310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56"/>
      <c r="P66" s="60"/>
    </row>
    <row r="67" spans="2:16" ht="14.4" thickBot="1">
      <c r="B67" s="610" t="s">
        <v>55</v>
      </c>
      <c r="C67" s="611"/>
      <c r="D67" s="611"/>
      <c r="E67" s="611"/>
      <c r="F67" s="612"/>
      <c r="G67" s="610" t="s">
        <v>56</v>
      </c>
      <c r="H67" s="611"/>
      <c r="I67" s="611"/>
      <c r="J67" s="612"/>
      <c r="K67" s="610" t="s">
        <v>51</v>
      </c>
      <c r="L67" s="611"/>
      <c r="M67" s="611"/>
      <c r="N67" s="613"/>
      <c r="O67" s="56"/>
      <c r="P67" s="50"/>
    </row>
    <row r="68" spans="2:16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16">
      <c r="B69" s="29" t="s">
        <v>6</v>
      </c>
      <c r="C69" s="65">
        <f>L59</f>
        <v>9.2953523238380651</v>
      </c>
      <c r="D69" s="76"/>
      <c r="E69" s="76"/>
      <c r="F69" s="66">
        <v>4.8</v>
      </c>
      <c r="G69" s="65">
        <f>[23]January_2025!$M$11</f>
        <v>9.1481045191689674</v>
      </c>
      <c r="H69" s="76"/>
      <c r="I69" s="76"/>
      <c r="J69" s="66">
        <v>4.8</v>
      </c>
      <c r="K69" s="67">
        <f>K59</f>
        <v>0.63684210526315788</v>
      </c>
      <c r="L69" s="194"/>
      <c r="M69" s="194"/>
      <c r="N69" s="68">
        <v>1</v>
      </c>
      <c r="O69" s="56"/>
      <c r="P69" s="69"/>
    </row>
    <row r="70" spans="2:16">
      <c r="B70" s="33" t="s">
        <v>9</v>
      </c>
      <c r="C70" s="65"/>
      <c r="D70" s="76"/>
      <c r="E70" s="76"/>
      <c r="F70" s="66">
        <v>4.8</v>
      </c>
      <c r="G70" s="65"/>
      <c r="H70" s="76"/>
      <c r="I70" s="76"/>
      <c r="J70" s="66">
        <v>4.8</v>
      </c>
      <c r="K70" s="67"/>
      <c r="L70" s="194"/>
      <c r="M70" s="194"/>
      <c r="N70" s="68">
        <v>1</v>
      </c>
      <c r="P70" s="69"/>
    </row>
    <row r="71" spans="2:16">
      <c r="B71" s="34" t="s">
        <v>40</v>
      </c>
      <c r="C71" s="65"/>
      <c r="D71" s="76"/>
      <c r="E71" s="76"/>
      <c r="F71" s="66">
        <v>5.5</v>
      </c>
      <c r="G71" s="65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16">
      <c r="B72" s="22" t="s">
        <v>33</v>
      </c>
      <c r="C72" s="65"/>
      <c r="D72" s="76"/>
      <c r="E72" s="76"/>
      <c r="F72" s="66">
        <v>3.3</v>
      </c>
      <c r="G72" s="65"/>
      <c r="H72" s="76"/>
      <c r="I72" s="76"/>
      <c r="J72" s="66">
        <v>3.3</v>
      </c>
      <c r="K72" s="67"/>
      <c r="L72" s="194"/>
      <c r="M72" s="194"/>
      <c r="N72" s="68">
        <v>1</v>
      </c>
      <c r="P72" s="69"/>
    </row>
    <row r="73" spans="2:16">
      <c r="B73" s="35" t="s">
        <v>29</v>
      </c>
      <c r="C73" s="65"/>
      <c r="D73" s="76"/>
      <c r="E73" s="76"/>
      <c r="F73" s="66">
        <v>3.3</v>
      </c>
      <c r="G73" s="283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16">
      <c r="B74" s="36" t="s">
        <v>15</v>
      </c>
      <c r="C74" s="283"/>
      <c r="D74" s="76"/>
      <c r="E74" s="76"/>
      <c r="F74" s="70">
        <f>[21]May_2022!$M$43</f>
        <v>3.4878406700073312</v>
      </c>
      <c r="G74" s="283"/>
      <c r="H74" s="76"/>
      <c r="I74" s="76"/>
      <c r="J74" s="70">
        <v>5.5</v>
      </c>
      <c r="K74" s="67"/>
      <c r="L74" s="194"/>
      <c r="M74" s="194"/>
      <c r="N74" s="68">
        <v>1</v>
      </c>
      <c r="P74" s="69"/>
    </row>
    <row r="75" spans="2:16">
      <c r="B75" s="37" t="s">
        <v>16</v>
      </c>
      <c r="C75" s="65"/>
      <c r="D75" s="76"/>
      <c r="E75" s="76"/>
      <c r="F75" s="70">
        <v>3.3</v>
      </c>
      <c r="G75" s="283"/>
      <c r="H75" s="76"/>
      <c r="I75" s="76"/>
      <c r="J75" s="70">
        <v>3.3</v>
      </c>
      <c r="K75" s="67"/>
      <c r="L75" s="194"/>
      <c r="M75" s="194"/>
      <c r="N75" s="71">
        <v>1</v>
      </c>
      <c r="P75" s="69"/>
    </row>
    <row r="76" spans="2:16" ht="14.4" thickBot="1">
      <c r="B76" s="38" t="s">
        <v>127</v>
      </c>
      <c r="C76" s="65"/>
      <c r="D76" s="76"/>
      <c r="E76" s="76"/>
      <c r="F76" s="72">
        <v>7.5</v>
      </c>
      <c r="G76" s="73"/>
      <c r="H76" s="76"/>
      <c r="I76" s="76"/>
      <c r="J76" s="72">
        <v>7.5</v>
      </c>
      <c r="K76" s="67"/>
      <c r="L76" s="194"/>
      <c r="M76" s="194"/>
      <c r="N76" s="71">
        <v>1</v>
      </c>
      <c r="P76" s="69"/>
    </row>
    <row r="77" spans="2:16">
      <c r="C77" s="65"/>
      <c r="D77" s="76"/>
      <c r="E77" s="76"/>
      <c r="F77" s="342">
        <v>4.5</v>
      </c>
      <c r="G77" s="74"/>
      <c r="H77" s="76"/>
      <c r="I77" s="76"/>
      <c r="J77" s="343">
        <v>4.5</v>
      </c>
      <c r="K77" s="67"/>
      <c r="L77" s="194"/>
      <c r="M77" s="194"/>
      <c r="N77" s="387">
        <v>1</v>
      </c>
      <c r="O77" s="74"/>
      <c r="P77" s="75"/>
    </row>
    <row r="82" spans="6:30">
      <c r="F82" s="316"/>
    </row>
    <row r="90" spans="6:30">
      <c r="AD90" s="276" t="s">
        <v>57</v>
      </c>
    </row>
  </sheetData>
  <mergeCells count="52">
    <mergeCell ref="C4:D4"/>
    <mergeCell ref="M4:N4"/>
    <mergeCell ref="T1:U1"/>
    <mergeCell ref="V1:W1"/>
    <mergeCell ref="X1:Y1"/>
    <mergeCell ref="Z1:AA1"/>
    <mergeCell ref="B2:O2"/>
    <mergeCell ref="D28:E28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27:N27"/>
    <mergeCell ref="B29:B41"/>
    <mergeCell ref="D29:E30"/>
    <mergeCell ref="D31:E32"/>
    <mergeCell ref="D33:E34"/>
    <mergeCell ref="D35:E36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67:F67"/>
    <mergeCell ref="G67:J67"/>
    <mergeCell ref="K67:N67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2206" priority="141" operator="notBetween">
      <formula>#REF!</formula>
      <formula>#REF!</formula>
    </cfRule>
  </conditionalFormatting>
  <conditionalFormatting sqref="C56">
    <cfRule type="cellIs" dxfId="2205" priority="174" stopIfTrue="1" operator="greaterThan">
      <formula>100</formula>
    </cfRule>
    <cfRule type="cellIs" dxfId="2204" priority="173" stopIfTrue="1" operator="lessThan">
      <formula>96</formula>
    </cfRule>
  </conditionalFormatting>
  <conditionalFormatting sqref="C69">
    <cfRule type="cellIs" dxfId="2203" priority="51" stopIfTrue="1" operator="greaterThan">
      <formula>$F69</formula>
    </cfRule>
  </conditionalFormatting>
  <conditionalFormatting sqref="C69:C70">
    <cfRule type="cellIs" dxfId="2202" priority="52" stopIfTrue="1" operator="lessThanOrEqual">
      <formula>0</formula>
    </cfRule>
  </conditionalFormatting>
  <conditionalFormatting sqref="C70">
    <cfRule type="cellIs" dxfId="2201" priority="177" stopIfTrue="1" operator="greaterThan">
      <formula>$F69</formula>
    </cfRule>
  </conditionalFormatting>
  <conditionalFormatting sqref="C71:C73">
    <cfRule type="cellIs" dxfId="2200" priority="90" stopIfTrue="1" operator="greaterThan">
      <formula>$F71</formula>
    </cfRule>
  </conditionalFormatting>
  <conditionalFormatting sqref="C71:C74">
    <cfRule type="cellIs" dxfId="2199" priority="113" stopIfTrue="1" operator="lessThanOrEqual">
      <formula>0</formula>
    </cfRule>
  </conditionalFormatting>
  <conditionalFormatting sqref="C74">
    <cfRule type="cellIs" dxfId="2198" priority="112" stopIfTrue="1" operator="greaterThan">
      <formula>$J74</formula>
    </cfRule>
  </conditionalFormatting>
  <conditionalFormatting sqref="C80:C84">
    <cfRule type="cellIs" dxfId="2197" priority="165" stopIfTrue="1" operator="lessThanOrEqual">
      <formula>0</formula>
    </cfRule>
  </conditionalFormatting>
  <conditionalFormatting sqref="C81:C84">
    <cfRule type="cellIs" dxfId="2196" priority="164" stopIfTrue="1" operator="greaterThan">
      <formula>$F$80</formula>
    </cfRule>
  </conditionalFormatting>
  <conditionalFormatting sqref="C86">
    <cfRule type="cellIs" dxfId="2195" priority="167" stopIfTrue="1" operator="lessThanOrEqual">
      <formula>0</formula>
    </cfRule>
    <cfRule type="cellIs" dxfId="2194" priority="166" stopIfTrue="1" operator="greaterThan">
      <formula>$F$80</formula>
    </cfRule>
  </conditionalFormatting>
  <conditionalFormatting sqref="C80:D80 D82:D88">
    <cfRule type="cellIs" dxfId="2193" priority="159" stopIfTrue="1" operator="greaterThan">
      <formula>4.5</formula>
    </cfRule>
  </conditionalFormatting>
  <conditionalFormatting sqref="D52:D53">
    <cfRule type="cellIs" dxfId="2192" priority="142" operator="notBetween">
      <formula>#REF!</formula>
      <formula>#REF!</formula>
    </cfRule>
  </conditionalFormatting>
  <conditionalFormatting sqref="D69:D76">
    <cfRule type="cellIs" dxfId="2191" priority="128" stopIfTrue="1" operator="lessThanOrEqual">
      <formula>0</formula>
    </cfRule>
  </conditionalFormatting>
  <conditionalFormatting sqref="D77">
    <cfRule type="cellIs" dxfId="2190" priority="127" stopIfTrue="1" operator="lessThanOrEqual">
      <formula>0</formula>
    </cfRule>
  </conditionalFormatting>
  <conditionalFormatting sqref="D80 D82:D88">
    <cfRule type="cellIs" dxfId="2189" priority="160" stopIfTrue="1" operator="lessThanOrEqual">
      <formula>0</formula>
    </cfRule>
  </conditionalFormatting>
  <conditionalFormatting sqref="D81">
    <cfRule type="cellIs" dxfId="2188" priority="152" stopIfTrue="1" operator="lessThanOrEqual">
      <formula>0</formula>
    </cfRule>
    <cfRule type="cellIs" dxfId="2187" priority="151" stopIfTrue="1" operator="greaterThan">
      <formula>$F$80</formula>
    </cfRule>
  </conditionalFormatting>
  <conditionalFormatting sqref="D69:E77">
    <cfRule type="cellIs" dxfId="2186" priority="119" stopIfTrue="1" operator="greaterThan">
      <formula>$F69</formula>
    </cfRule>
  </conditionalFormatting>
  <conditionalFormatting sqref="E10:E17">
    <cfRule type="cellIs" dxfId="2185" priority="55" operator="lessThan">
      <formula>48</formula>
    </cfRule>
  </conditionalFormatting>
  <conditionalFormatting sqref="E56">
    <cfRule type="cellIs" dxfId="2184" priority="153" stopIfTrue="1" operator="lessThan">
      <formula>96.8</formula>
    </cfRule>
    <cfRule type="cellIs" dxfId="2183" priority="154" stopIfTrue="1" operator="greaterThan">
      <formula>100</formula>
    </cfRule>
  </conditionalFormatting>
  <conditionalFormatting sqref="E69:E77">
    <cfRule type="cellIs" dxfId="2182" priority="120" stopIfTrue="1" operator="lessThanOrEqual">
      <formula>0</formula>
    </cfRule>
  </conditionalFormatting>
  <conditionalFormatting sqref="E80:E88">
    <cfRule type="cellIs" dxfId="2181" priority="145" stopIfTrue="1" operator="greaterThan">
      <formula>4.5</formula>
    </cfRule>
    <cfRule type="cellIs" dxfId="2180" priority="146" stopIfTrue="1" operator="lessThanOrEqual">
      <formula>0</formula>
    </cfRule>
  </conditionalFormatting>
  <conditionalFormatting sqref="E55:F56">
    <cfRule type="cellIs" dxfId="2179" priority="155" stopIfTrue="1" operator="lessThan">
      <formula>96.5</formula>
    </cfRule>
    <cfRule type="cellIs" dxfId="2178" priority="156" stopIfTrue="1" operator="greaterThan">
      <formula>100</formula>
    </cfRule>
  </conditionalFormatting>
  <conditionalFormatting sqref="F10:F17">
    <cfRule type="cellIs" dxfId="2177" priority="59" operator="greaterThan">
      <formula>$AA23</formula>
    </cfRule>
  </conditionalFormatting>
  <conditionalFormatting sqref="F10:F26">
    <cfRule type="cellIs" dxfId="2176" priority="36" operator="greaterThan">
      <formula>$AA10</formula>
    </cfRule>
  </conditionalFormatting>
  <conditionalFormatting sqref="F56">
    <cfRule type="cellIs" dxfId="2175" priority="172" stopIfTrue="1" operator="greaterThan">
      <formula>100</formula>
    </cfRule>
    <cfRule type="cellIs" dxfId="2174" priority="171" stopIfTrue="1" operator="lessThan">
      <formula>96.8</formula>
    </cfRule>
  </conditionalFormatting>
  <conditionalFormatting sqref="F77">
    <cfRule type="cellIs" dxfId="2173" priority="121" stopIfTrue="1" operator="greaterThan">
      <formula>$F77</formula>
    </cfRule>
    <cfRule type="cellIs" dxfId="2172" priority="122" stopIfTrue="1" operator="lessThanOrEqual">
      <formula>0</formula>
    </cfRule>
  </conditionalFormatting>
  <conditionalFormatting sqref="G10:G17">
    <cfRule type="expression" dxfId="2171" priority="60">
      <formula>IF(+(IF(G10&lt;#REF!,0,IF(G10&gt;#REF!,0,1)))=0,1)</formula>
    </cfRule>
  </conditionalFormatting>
  <conditionalFormatting sqref="G69:G70 C75:C77">
    <cfRule type="cellIs" dxfId="2170" priority="130" stopIfTrue="1" operator="lessThanOrEqual">
      <formula>0</formula>
    </cfRule>
    <cfRule type="cellIs" dxfId="2169" priority="129" stopIfTrue="1" operator="greaterThan">
      <formula>$F69</formula>
    </cfRule>
  </conditionalFormatting>
  <conditionalFormatting sqref="G69:G70">
    <cfRule type="cellIs" dxfId="2168" priority="66" stopIfTrue="1" operator="greaterThan">
      <formula>$F69</formula>
    </cfRule>
    <cfRule type="cellIs" dxfId="2167" priority="67" stopIfTrue="1" operator="lessThanOrEqual">
      <formula>0</formula>
    </cfRule>
  </conditionalFormatting>
  <conditionalFormatting sqref="G71">
    <cfRule type="cellIs" dxfId="2166" priority="176" stopIfTrue="1" operator="lessThanOrEqual">
      <formula>0</formula>
    </cfRule>
    <cfRule type="cellIs" dxfId="2165" priority="175" stopIfTrue="1" operator="greaterThan">
      <formula>$F70</formula>
    </cfRule>
  </conditionalFormatting>
  <conditionalFormatting sqref="G72">
    <cfRule type="cellIs" dxfId="2164" priority="124" stopIfTrue="1" operator="lessThanOrEqual">
      <formula>0</formula>
    </cfRule>
    <cfRule type="cellIs" dxfId="2163" priority="123" stopIfTrue="1" operator="greaterThan">
      <formula>$F72</formula>
    </cfRule>
  </conditionalFormatting>
  <conditionalFormatting sqref="G73:G76">
    <cfRule type="cellIs" dxfId="2162" priority="132" stopIfTrue="1" operator="greaterThan">
      <formula>$J73</formula>
    </cfRule>
    <cfRule type="cellIs" dxfId="2161" priority="133" stopIfTrue="1" operator="lessThanOrEqual">
      <formula>0</formula>
    </cfRule>
  </conditionalFormatting>
  <conditionalFormatting sqref="G77">
    <cfRule type="cellIs" dxfId="2160" priority="131" operator="greaterThan">
      <formula>4.5</formula>
    </cfRule>
  </conditionalFormatting>
  <conditionalFormatting sqref="G82:G87 C85 C87">
    <cfRule type="cellIs" dxfId="2159" priority="168" stopIfTrue="1" operator="greaterThan">
      <formula>4.5</formula>
    </cfRule>
    <cfRule type="cellIs" dxfId="2158" priority="169" stopIfTrue="1" operator="lessThanOrEqual">
      <formula>0</formula>
    </cfRule>
  </conditionalFormatting>
  <conditionalFormatting sqref="G42:H42 G43:G53 H43:H54">
    <cfRule type="cellIs" dxfId="2157" priority="147" stopIfTrue="1" operator="greaterThan">
      <formula>0</formula>
    </cfRule>
  </conditionalFormatting>
  <conditionalFormatting sqref="G81:H81">
    <cfRule type="cellIs" dxfId="2156" priority="149" stopIfTrue="1" operator="greaterThan">
      <formula>$F$80</formula>
    </cfRule>
    <cfRule type="cellIs" dxfId="2155" priority="150" stopIfTrue="1" operator="lessThanOrEqual">
      <formula>0</formula>
    </cfRule>
  </conditionalFormatting>
  <conditionalFormatting sqref="H10:H26">
    <cfRule type="expression" dxfId="2154" priority="3">
      <formula>IF(+(IF(H10&lt;#REF!,0,IF(H10&gt;#REF!,0,1)))=0,1)</formula>
    </cfRule>
  </conditionalFormatting>
  <conditionalFormatting sqref="H30:H41">
    <cfRule type="cellIs" dxfId="2153" priority="143" stopIfTrue="1" operator="greaterThan">
      <formula>0</formula>
    </cfRule>
  </conditionalFormatting>
  <conditionalFormatting sqref="H59">
    <cfRule type="cellIs" dxfId="2152" priority="49" stopIfTrue="1" operator="greaterThan">
      <formula>#REF!</formula>
    </cfRule>
    <cfRule type="cellIs" dxfId="2151" priority="50" stopIfTrue="1" operator="lessThanOrEqual">
      <formula>0</formula>
    </cfRule>
    <cfRule type="cellIs" dxfId="2150" priority="39" stopIfTrue="1" operator="greaterThan">
      <formula>#REF!</formula>
    </cfRule>
    <cfRule type="cellIs" dxfId="2149" priority="38" stopIfTrue="1" operator="lessThanOrEqual">
      <formula>0</formula>
    </cfRule>
  </conditionalFormatting>
  <conditionalFormatting sqref="H60">
    <cfRule type="cellIs" dxfId="2148" priority="89" stopIfTrue="1" operator="lessThanOrEqual">
      <formula>0</formula>
    </cfRule>
    <cfRule type="cellIs" dxfId="2147" priority="78" stopIfTrue="1" operator="greaterThan">
      <formula>$F$68</formula>
    </cfRule>
    <cfRule type="cellIs" dxfId="2146" priority="86" stopIfTrue="1" operator="greaterThan">
      <formula>$F$71</formula>
    </cfRule>
    <cfRule type="cellIs" dxfId="2145" priority="87" stopIfTrue="1" operator="lessThanOrEqual">
      <formula>0</formula>
    </cfRule>
    <cfRule type="cellIs" dxfId="2144" priority="88" stopIfTrue="1" operator="greaterThan">
      <formula>$F$69</formula>
    </cfRule>
    <cfRule type="cellIs" dxfId="2143" priority="77" stopIfTrue="1" operator="lessThanOrEqual">
      <formula>0</formula>
    </cfRule>
  </conditionalFormatting>
  <conditionalFormatting sqref="H61">
    <cfRule type="cellIs" dxfId="2142" priority="5" stopIfTrue="1" operator="lessThanOrEqual">
      <formula>0</formula>
    </cfRule>
    <cfRule type="cellIs" dxfId="2141" priority="6" stopIfTrue="1" operator="greaterThan">
      <formula>#REF!</formula>
    </cfRule>
    <cfRule type="cellIs" dxfId="2140" priority="16" stopIfTrue="1" operator="greaterThan">
      <formula>#REF!</formula>
    </cfRule>
  </conditionalFormatting>
  <conditionalFormatting sqref="H61:H62">
    <cfRule type="cellIs" dxfId="2139" priority="17" stopIfTrue="1" operator="lessThanOrEqual">
      <formula>0</formula>
    </cfRule>
  </conditionalFormatting>
  <conditionalFormatting sqref="H62">
    <cfRule type="cellIs" dxfId="2138" priority="20" stopIfTrue="1" operator="greaterThan">
      <formula>#REF!</formula>
    </cfRule>
    <cfRule type="cellIs" dxfId="2137" priority="30" stopIfTrue="1" operator="greaterThan">
      <formula>#REF!</formula>
    </cfRule>
    <cfRule type="cellIs" dxfId="2136" priority="31" stopIfTrue="1" operator="lessThanOrEqual">
      <formula>0</formula>
    </cfRule>
  </conditionalFormatting>
  <conditionalFormatting sqref="H63:H64">
    <cfRule type="cellIs" dxfId="2135" priority="70" stopIfTrue="1" operator="lessThanOrEqual">
      <formula>0</formula>
    </cfRule>
    <cfRule type="cellIs" dxfId="2134" priority="107" stopIfTrue="1" operator="lessThanOrEqual">
      <formula>0</formula>
    </cfRule>
    <cfRule type="cellIs" dxfId="2133" priority="109" stopIfTrue="1" operator="lessThanOrEqual">
      <formula>0</formula>
    </cfRule>
    <cfRule type="cellIs" dxfId="2132" priority="108" stopIfTrue="1" operator="greaterThan">
      <formula>$F$70</formula>
    </cfRule>
    <cfRule type="cellIs" dxfId="2131" priority="106" stopIfTrue="1" operator="greaterThan">
      <formula>$F$72</formula>
    </cfRule>
    <cfRule type="cellIs" dxfId="2130" priority="98" stopIfTrue="1" operator="greaterThan">
      <formula>$F$69</formula>
    </cfRule>
  </conditionalFormatting>
  <conditionalFormatting sqref="H65">
    <cfRule type="cellIs" dxfId="2129" priority="139" stopIfTrue="1" operator="greaterThan">
      <formula>$F$62</formula>
    </cfRule>
    <cfRule type="cellIs" dxfId="2128" priority="140" stopIfTrue="1" operator="lessThanOrEqual">
      <formula>0</formula>
    </cfRule>
    <cfRule type="cellIs" dxfId="2127" priority="138" stopIfTrue="1" operator="lessThanOrEqual">
      <formula>0</formula>
    </cfRule>
    <cfRule type="cellIs" dxfId="2126" priority="137" stopIfTrue="1" operator="greaterThan">
      <formula>$F$66</formula>
    </cfRule>
  </conditionalFormatting>
  <conditionalFormatting sqref="H69:H76">
    <cfRule type="cellIs" dxfId="2125" priority="110" stopIfTrue="1" operator="greaterThan">
      <formula>$J69</formula>
    </cfRule>
    <cfRule type="cellIs" dxfId="2124" priority="111" stopIfTrue="1" operator="lessThanOrEqual">
      <formula>0</formula>
    </cfRule>
  </conditionalFormatting>
  <conditionalFormatting sqref="H77">
    <cfRule type="cellIs" dxfId="2123" priority="116" operator="greaterThan">
      <formula>5.3</formula>
    </cfRule>
  </conditionalFormatting>
  <conditionalFormatting sqref="H80 H82:H88">
    <cfRule type="cellIs" dxfId="2122" priority="162" stopIfTrue="1" operator="lessThanOrEqual">
      <formula>0</formula>
    </cfRule>
    <cfRule type="cellIs" dxfId="2121" priority="161" stopIfTrue="1" operator="greaterThan">
      <formula>4.5</formula>
    </cfRule>
  </conditionalFormatting>
  <conditionalFormatting sqref="H59:I59">
    <cfRule type="cellIs" dxfId="2120" priority="40" stopIfTrue="1" operator="lessThanOrEqual">
      <formula>0</formula>
    </cfRule>
    <cfRule type="cellIs" dxfId="2119" priority="37" stopIfTrue="1" operator="greaterThan">
      <formula>#REF!</formula>
    </cfRule>
    <cfRule type="cellIs" dxfId="2118" priority="41" stopIfTrue="1" operator="greaterThan">
      <formula>#REF!</formula>
    </cfRule>
    <cfRule type="cellIs" dxfId="2117" priority="46" stopIfTrue="1" operator="lessThanOrEqual">
      <formula>0</formula>
    </cfRule>
  </conditionalFormatting>
  <conditionalFormatting sqref="H60:I60">
    <cfRule type="cellIs" dxfId="2116" priority="79" stopIfTrue="1" operator="lessThanOrEqual">
      <formula>0</formula>
    </cfRule>
    <cfRule type="cellIs" dxfId="2115" priority="76" stopIfTrue="1" operator="greaterThan">
      <formula>$F$70</formula>
    </cfRule>
  </conditionalFormatting>
  <conditionalFormatting sqref="H61:I61">
    <cfRule type="cellIs" dxfId="2114" priority="7" stopIfTrue="1" operator="lessThanOrEqual">
      <formula>0</formula>
    </cfRule>
    <cfRule type="cellIs" dxfId="2113" priority="4" stopIfTrue="1" operator="greaterThan">
      <formula>#REF!</formula>
    </cfRule>
    <cfRule type="cellIs" dxfId="2112" priority="13" stopIfTrue="1" operator="lessThanOrEqual">
      <formula>0</formula>
    </cfRule>
  </conditionalFormatting>
  <conditionalFormatting sqref="H61:I62">
    <cfRule type="cellIs" dxfId="2111" priority="8" stopIfTrue="1" operator="greaterThan">
      <formula>#REF!</formula>
    </cfRule>
  </conditionalFormatting>
  <conditionalFormatting sqref="H62:I62">
    <cfRule type="cellIs" dxfId="2110" priority="21" stopIfTrue="1" operator="lessThanOrEqual">
      <formula>0</formula>
    </cfRule>
    <cfRule type="cellIs" dxfId="2109" priority="24" stopIfTrue="1" operator="greaterThan">
      <formula>#REF!</formula>
    </cfRule>
    <cfRule type="cellIs" dxfId="2108" priority="27" stopIfTrue="1" operator="lessThanOrEqual">
      <formula>0</formula>
    </cfRule>
  </conditionalFormatting>
  <conditionalFormatting sqref="H63:I63">
    <cfRule type="cellIs" dxfId="2107" priority="99" stopIfTrue="1" operator="lessThanOrEqual">
      <formula>0</formula>
    </cfRule>
  </conditionalFormatting>
  <conditionalFormatting sqref="H63:I64">
    <cfRule type="cellIs" dxfId="2106" priority="68" stopIfTrue="1" operator="greaterThan">
      <formula>$F$71</formula>
    </cfRule>
  </conditionalFormatting>
  <conditionalFormatting sqref="H64:I64">
    <cfRule type="cellIs" dxfId="2105" priority="69" stopIfTrue="1" operator="lessThanOrEqual">
      <formula>0</formula>
    </cfRule>
  </conditionalFormatting>
  <conditionalFormatting sqref="I10:I26">
    <cfRule type="cellIs" dxfId="2104" priority="58" operator="lessThan">
      <formula>98</formula>
    </cfRule>
    <cfRule type="cellIs" dxfId="2103" priority="53" operator="lessThan">
      <formula>97.8</formula>
    </cfRule>
  </conditionalFormatting>
  <conditionalFormatting sqref="I59">
    <cfRule type="cellIs" dxfId="2102" priority="42" stopIfTrue="1" operator="lessThanOrEqual">
      <formula>0</formula>
    </cfRule>
    <cfRule type="cellIs" dxfId="2101" priority="43" stopIfTrue="1" operator="greaterThan">
      <formula>#REF!</formula>
    </cfRule>
    <cfRule type="cellIs" dxfId="2100" priority="44" stopIfTrue="1" operator="lessThanOrEqual">
      <formula>0</formula>
    </cfRule>
    <cfRule type="cellIs" dxfId="2099" priority="45" stopIfTrue="1" operator="greaterThan">
      <formula>#REF!</formula>
    </cfRule>
  </conditionalFormatting>
  <conditionalFormatting sqref="I60">
    <cfRule type="cellIs" dxfId="2098" priority="81" stopIfTrue="1" operator="lessThanOrEqual">
      <formula>0</formula>
    </cfRule>
    <cfRule type="cellIs" dxfId="2097" priority="82" stopIfTrue="1" operator="greaterThan">
      <formula>$F$70</formula>
    </cfRule>
    <cfRule type="cellIs" dxfId="2096" priority="83" stopIfTrue="1" operator="lessThanOrEqual">
      <formula>0</formula>
    </cfRule>
    <cfRule type="cellIs" dxfId="2095" priority="80" stopIfTrue="1" operator="greaterThan">
      <formula>$F$68</formula>
    </cfRule>
    <cfRule type="cellIs" dxfId="2094" priority="85" stopIfTrue="1" operator="lessThanOrEqual">
      <formula>0</formula>
    </cfRule>
    <cfRule type="cellIs" dxfId="2093" priority="84" stopIfTrue="1" operator="greaterThan">
      <formula>$F$68</formula>
    </cfRule>
  </conditionalFormatting>
  <conditionalFormatting sqref="I61">
    <cfRule type="cellIs" dxfId="2092" priority="9" stopIfTrue="1" operator="lessThanOrEqual">
      <formula>0</formula>
    </cfRule>
    <cfRule type="cellIs" dxfId="2091" priority="10" stopIfTrue="1" operator="greaterThan">
      <formula>#REF!</formula>
    </cfRule>
    <cfRule type="cellIs" dxfId="2090" priority="12" stopIfTrue="1" operator="greaterThan">
      <formula>#REF!</formula>
    </cfRule>
    <cfRule type="cellIs" dxfId="2089" priority="11" stopIfTrue="1" operator="lessThanOrEqual">
      <formula>0</formula>
    </cfRule>
  </conditionalFormatting>
  <conditionalFormatting sqref="I62">
    <cfRule type="cellIs" dxfId="2088" priority="26" stopIfTrue="1" operator="greaterThan">
      <formula>#REF!</formula>
    </cfRule>
    <cfRule type="cellIs" dxfId="2087" priority="23" stopIfTrue="1" operator="lessThanOrEqual">
      <formula>0</formula>
    </cfRule>
    <cfRule type="cellIs" dxfId="2086" priority="22" stopIfTrue="1" operator="greaterThan">
      <formula>#REF!</formula>
    </cfRule>
    <cfRule type="cellIs" dxfId="2085" priority="25" stopIfTrue="1" operator="lessThanOrEqual">
      <formula>0</formula>
    </cfRule>
  </conditionalFormatting>
  <conditionalFormatting sqref="I63:I64">
    <cfRule type="cellIs" dxfId="2084" priority="105" stopIfTrue="1" operator="lessThanOrEqual">
      <formula>0</formula>
    </cfRule>
    <cfRule type="cellIs" dxfId="2083" priority="101" stopIfTrue="1" operator="lessThanOrEqual">
      <formula>0</formula>
    </cfRule>
    <cfRule type="cellIs" dxfId="2082" priority="100" stopIfTrue="1" operator="greaterThan">
      <formula>$F$69</formula>
    </cfRule>
    <cfRule type="cellIs" dxfId="2081" priority="102" stopIfTrue="1" operator="greaterThan">
      <formula>$F$71</formula>
    </cfRule>
    <cfRule type="cellIs" dxfId="2080" priority="103" stopIfTrue="1" operator="lessThanOrEqual">
      <formula>0</formula>
    </cfRule>
    <cfRule type="cellIs" dxfId="2079" priority="104" stopIfTrue="1" operator="greaterThan">
      <formula>$F$69</formula>
    </cfRule>
  </conditionalFormatting>
  <conditionalFormatting sqref="I69:I77">
    <cfRule type="cellIs" dxfId="2078" priority="117" stopIfTrue="1" operator="greaterThan">
      <formula>$J69</formula>
    </cfRule>
    <cfRule type="cellIs" dxfId="2077" priority="118" stopIfTrue="1" operator="lessThanOrEqual">
      <formula>0</formula>
    </cfRule>
  </conditionalFormatting>
  <conditionalFormatting sqref="I80:I88">
    <cfRule type="cellIs" dxfId="2076" priority="157" stopIfTrue="1" operator="greaterThan">
      <formula>4.5</formula>
    </cfRule>
    <cfRule type="cellIs" dxfId="2075" priority="158" stopIfTrue="1" operator="lessThanOrEqual">
      <formula>0</formula>
    </cfRule>
  </conditionalFormatting>
  <conditionalFormatting sqref="J10:J26">
    <cfRule type="cellIs" dxfId="2074" priority="57" operator="lessThan">
      <formula>97.4</formula>
    </cfRule>
    <cfRule type="cellIs" dxfId="2073" priority="54" operator="notBetween">
      <formula>98</formula>
      <formula>99.9</formula>
    </cfRule>
  </conditionalFormatting>
  <conditionalFormatting sqref="J29:J31">
    <cfRule type="cellIs" dxfId="2072" priority="91" stopIfTrue="1" operator="lessThan">
      <formula>96.8</formula>
    </cfRule>
    <cfRule type="cellIs" dxfId="2071" priority="93" operator="lessThan">
      <formula>98</formula>
    </cfRule>
    <cfRule type="cellIs" dxfId="2070" priority="92" stopIfTrue="1" operator="greaterThan">
      <formula>100</formula>
    </cfRule>
  </conditionalFormatting>
  <conditionalFormatting sqref="J29:J33">
    <cfRule type="cellIs" dxfId="2069" priority="65" operator="lessThan">
      <formula>97.4</formula>
    </cfRule>
  </conditionalFormatting>
  <conditionalFormatting sqref="J34 L41:M41">
    <cfRule type="cellIs" dxfId="2068" priority="94" operator="lessThan">
      <formula>98</formula>
    </cfRule>
  </conditionalFormatting>
  <conditionalFormatting sqref="J35:J37">
    <cfRule type="cellIs" dxfId="2067" priority="95" stopIfTrue="1" operator="lessThan">
      <formula>96.8</formula>
    </cfRule>
    <cfRule type="cellIs" dxfId="2066" priority="96" stopIfTrue="1" operator="greaterThan">
      <formula>100</formula>
    </cfRule>
  </conditionalFormatting>
  <conditionalFormatting sqref="J35:J38">
    <cfRule type="cellIs" dxfId="2065" priority="97" operator="lessThan">
      <formula>98</formula>
    </cfRule>
  </conditionalFormatting>
  <conditionalFormatting sqref="K10:K26">
    <cfRule type="cellIs" dxfId="2064" priority="56" operator="greaterThan">
      <formula>6.4</formula>
    </cfRule>
    <cfRule type="cellIs" dxfId="2063" priority="33" operator="lessThan">
      <formula>4</formula>
    </cfRule>
    <cfRule type="cellIs" dxfId="2062" priority="32" operator="greaterThan">
      <formula>6</formula>
    </cfRule>
  </conditionalFormatting>
  <conditionalFormatting sqref="K44:K53">
    <cfRule type="cellIs" dxfId="2061" priority="126" operator="notEqual">
      <formula>#REF!</formula>
    </cfRule>
  </conditionalFormatting>
  <conditionalFormatting sqref="K59:K64 J65:K65 K69:N77">
    <cfRule type="cellIs" dxfId="2060" priority="136" stopIfTrue="1" operator="lessThan">
      <formula>100%</formula>
    </cfRule>
  </conditionalFormatting>
  <conditionalFormatting sqref="K80:K85">
    <cfRule type="cellIs" dxfId="2059" priority="163" stopIfTrue="1" operator="lessThan">
      <formula>100%</formula>
    </cfRule>
  </conditionalFormatting>
  <conditionalFormatting sqref="K87:K88">
    <cfRule type="cellIs" dxfId="2058" priority="170" stopIfTrue="1" operator="lessThan">
      <formula>100%</formula>
    </cfRule>
  </conditionalFormatting>
  <conditionalFormatting sqref="L10:L26">
    <cfRule type="cellIs" dxfId="2057" priority="35" operator="greaterThan">
      <formula>65</formula>
    </cfRule>
    <cfRule type="cellIs" dxfId="2056" priority="34" operator="between">
      <formula>61</formula>
      <formula>65</formula>
    </cfRule>
  </conditionalFormatting>
  <conditionalFormatting sqref="L29:M39">
    <cfRule type="cellIs" dxfId="2055" priority="2" operator="lessThan">
      <formula>98</formula>
    </cfRule>
  </conditionalFormatting>
  <conditionalFormatting sqref="L45:N45">
    <cfRule type="cellIs" dxfId="2054" priority="72" operator="notEqual">
      <formula>#REF!</formula>
    </cfRule>
  </conditionalFormatting>
  <conditionalFormatting sqref="L80:N88">
    <cfRule type="cellIs" dxfId="2053" priority="148" stopIfTrue="1" operator="lessThan">
      <formula>100%</formula>
    </cfRule>
  </conditionalFormatting>
  <conditionalFormatting sqref="M10:M16">
    <cfRule type="expression" dxfId="2052" priority="1">
      <formula>IF(+(IF(M10&lt;U10,0,IF(M10&gt;V10,0,1)))=0,1)</formula>
    </cfRule>
  </conditionalFormatting>
  <conditionalFormatting sqref="M6:N6">
    <cfRule type="cellIs" dxfId="2051" priority="75" operator="greaterThanOrEqual">
      <formula>19</formula>
    </cfRule>
    <cfRule type="cellIs" dxfId="2050" priority="74" operator="greaterThanOrEqual">
      <formula>15</formula>
    </cfRule>
  </conditionalFormatting>
  <conditionalFormatting sqref="M17:N26">
    <cfRule type="expression" dxfId="2049" priority="182">
      <formula>IF(+(IF(M17&lt;#REF!,0,IF(M17&gt;#REF!,0,1)))=0,1)</formula>
    </cfRule>
  </conditionalFormatting>
  <conditionalFormatting sqref="N10:N16">
    <cfRule type="expression" dxfId="2048" priority="64">
      <formula>IF(+(IF(N10&lt;X23,0,IF(N10&gt;Y23,0,1)))=0,1)</formula>
    </cfRule>
    <cfRule type="expression" dxfId="2047" priority="63">
      <formula>IF(+(IF(N10&lt;X28,0,IF(N10&gt;Y28,0,1)))=0,1)</formula>
    </cfRule>
  </conditionalFormatting>
  <conditionalFormatting sqref="P6">
    <cfRule type="cellIs" dxfId="2046" priority="144" operator="greaterThanOrEqual">
      <formula>19</formula>
    </cfRule>
  </conditionalFormatting>
  <dataValidations disablePrompts="1" count="1">
    <dataValidation type="list" allowBlank="1" showInputMessage="1" showErrorMessage="1" sqref="S8 B17:B26" xr:uid="{91999E9A-7436-45BD-BD5D-44BDC53984D6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3183-2DC5-4D63-981A-0A2C684ADE07}">
  <sheetPr>
    <pageSetUpPr fitToPage="1"/>
  </sheetPr>
  <dimension ref="A1:BF90"/>
  <sheetViews>
    <sheetView topLeftCell="A35" zoomScale="85" zoomScaleNormal="85" workbookViewId="0">
      <selection activeCell="G32" sqref="G32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2.332031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45672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4">
        <v>0</v>
      </c>
      <c r="AA8" s="275"/>
      <c r="AB8" s="19"/>
    </row>
    <row r="9" spans="2:30" ht="34.5" customHeight="1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86"/>
      <c r="I10" s="369"/>
      <c r="J10" s="369"/>
      <c r="K10" s="282"/>
      <c r="L10" s="277"/>
      <c r="M10" s="375"/>
      <c r="N10" s="371"/>
      <c r="O10" s="372"/>
      <c r="P10" s="376" t="s">
        <v>164</v>
      </c>
      <c r="Q10" s="348"/>
      <c r="S10" s="278">
        <f t="shared" ref="S10:S26" si="0">B10</f>
        <v>0</v>
      </c>
      <c r="T10" s="297" t="e">
        <f t="shared" ref="T10:T26" si="1">VLOOKUP($B10,$S$3:$Y$9,2,FALSE)</f>
        <v>#N/A</v>
      </c>
      <c r="U10" s="297" t="e">
        <f t="shared" ref="U10:U26" si="2">VLOOKUP($B10,$S$3:$Y$9,3,FALSE)</f>
        <v>#N/A</v>
      </c>
      <c r="V10" s="298" t="e">
        <f t="shared" ref="V10:V26" si="3">VLOOKUP($B10,$S$3:$Y$9,4,FALSE)</f>
        <v>#N/A</v>
      </c>
      <c r="W10" s="298" t="e">
        <f t="shared" ref="W10:W26" si="4">VLOOKUP($B10,$S$3:$Y$9,5,FALSE)</f>
        <v>#N/A</v>
      </c>
      <c r="X10" s="298" t="e">
        <f t="shared" ref="X10:X26" si="5">VLOOKUP($B10,$S$3:$Y$9,6,FALSE)</f>
        <v>#N/A</v>
      </c>
      <c r="Y10" s="298" t="e">
        <f t="shared" ref="Y10:Y26" si="6">VLOOKUP($B10,$S$3:$Y$9,7,FALSE)</f>
        <v>#N/A</v>
      </c>
      <c r="Z10" s="298" t="e">
        <f t="shared" ref="Z10:Z26" si="7">VLOOKUP($B10,$S$3:$AA$9,8,FALSE)</f>
        <v>#N/A</v>
      </c>
      <c r="AA10" s="297" t="e">
        <f t="shared" ref="AA10:AA26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86"/>
      <c r="I11" s="369"/>
      <c r="J11" s="369"/>
      <c r="K11" s="282"/>
      <c r="L11" s="277"/>
      <c r="M11" s="375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86"/>
      <c r="I12" s="369"/>
      <c r="J12" s="369"/>
      <c r="K12" s="282"/>
      <c r="L12" s="277"/>
      <c r="M12" s="375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customHeight="1">
      <c r="B13" s="29" t="s">
        <v>6</v>
      </c>
      <c r="C13" s="367" t="str">
        <f>[28]Brewhouse!$A109</f>
        <v>CA008</v>
      </c>
      <c r="D13" s="280">
        <f>[28]Brewhouse!$AF109</f>
        <v>54</v>
      </c>
      <c r="E13" s="280">
        <f>[28]Brewhouse!$AI109</f>
        <v>50.9</v>
      </c>
      <c r="F13" s="279">
        <f>[28]Brewhouse!$V109</f>
        <v>63</v>
      </c>
      <c r="G13" s="280">
        <f>[28]Brewhouse!$AG109</f>
        <v>11.9</v>
      </c>
      <c r="H13" s="486">
        <v>11.6</v>
      </c>
      <c r="I13" s="369">
        <f>[28]Brewhouse!$AU109</f>
        <v>96.273574518798767</v>
      </c>
      <c r="J13" s="369">
        <f>[28]Brewhouse!$AV109</f>
        <v>100.15352685941828</v>
      </c>
      <c r="K13" s="282">
        <f>[28]Brewhouse!$Q109</f>
        <v>6.2745098039215739</v>
      </c>
      <c r="L13" s="277">
        <f>[28]Brewhouse!$P109</f>
        <v>60</v>
      </c>
      <c r="M13" s="375">
        <f>[28]Brewhouse!$U109-[28]Brewhouse!$T109</f>
        <v>0.1131944444444446</v>
      </c>
      <c r="N13" s="371">
        <f>[28]Brewhouse!$Z109</f>
        <v>0.46944444444444455</v>
      </c>
      <c r="O13" s="372" t="str">
        <f>[28]Brewhouse!$AX109</f>
        <v>R.Sookram</v>
      </c>
      <c r="P13" s="376"/>
      <c r="Q13" s="348"/>
      <c r="S13" s="278" t="str">
        <f t="shared" si="0"/>
        <v>CARIB</v>
      </c>
      <c r="T13" s="297">
        <f t="shared" si="1"/>
        <v>11.6</v>
      </c>
      <c r="U13" s="297">
        <f t="shared" si="2"/>
        <v>12</v>
      </c>
      <c r="V13" s="298">
        <f t="shared" si="3"/>
        <v>0</v>
      </c>
      <c r="W13" s="298">
        <f t="shared" si="4"/>
        <v>0.118055555555556</v>
      </c>
      <c r="X13" s="298">
        <f t="shared" si="5"/>
        <v>0.17361111111111113</v>
      </c>
      <c r="Y13" s="298">
        <f t="shared" si="6"/>
        <v>0.21180555555555555</v>
      </c>
      <c r="Z13" s="298">
        <f t="shared" si="7"/>
        <v>0</v>
      </c>
      <c r="AA13" s="297">
        <f t="shared" si="8"/>
        <v>60</v>
      </c>
    </row>
    <row r="14" spans="2:30" ht="15.75" customHeight="1">
      <c r="B14" s="29" t="s">
        <v>6</v>
      </c>
      <c r="C14" s="367" t="str">
        <f>[28]Brewhouse!$A110</f>
        <v>CA009</v>
      </c>
      <c r="D14" s="280">
        <f>[28]Brewhouse!$AF110</f>
        <v>53.8</v>
      </c>
      <c r="E14" s="280">
        <f>[28]Brewhouse!$AI110</f>
        <v>50.3</v>
      </c>
      <c r="F14" s="279">
        <f>[28]Brewhouse!$V110</f>
        <v>58</v>
      </c>
      <c r="G14" s="280">
        <f>[28]Brewhouse!$AG110</f>
        <v>11.8</v>
      </c>
      <c r="H14" s="486"/>
      <c r="I14" s="369">
        <f>[28]Brewhouse!$AU110</f>
        <v>94.86612185107694</v>
      </c>
      <c r="J14" s="369">
        <f>[28]Brewhouse!$AV110</f>
        <v>98.852287708173776</v>
      </c>
      <c r="K14" s="282">
        <f>[28]Brewhouse!$Q110</f>
        <v>6.6547406082289786</v>
      </c>
      <c r="L14" s="277">
        <f>[28]Brewhouse!$P110</f>
        <v>59</v>
      </c>
      <c r="M14" s="375">
        <f>[28]Brewhouse!$U110-[28]Brewhouse!$T110</f>
        <v>0.1118055555555556</v>
      </c>
      <c r="N14" s="371">
        <f>[28]Brewhouse!$Z110</f>
        <v>0.27777777777777785</v>
      </c>
      <c r="O14" s="372" t="str">
        <f>[28]Brewhouse!$AX110</f>
        <v>K.Benjamin</v>
      </c>
      <c r="P14" s="376"/>
      <c r="Q14" s="348"/>
      <c r="S14" s="278" t="str">
        <f t="shared" si="0"/>
        <v>CARIB</v>
      </c>
      <c r="T14" s="297">
        <f t="shared" si="1"/>
        <v>11.6</v>
      </c>
      <c r="U14" s="297">
        <f t="shared" si="2"/>
        <v>12</v>
      </c>
      <c r="V14" s="298">
        <f t="shared" si="3"/>
        <v>0</v>
      </c>
      <c r="W14" s="298">
        <f t="shared" si="4"/>
        <v>0.118055555555556</v>
      </c>
      <c r="X14" s="298">
        <f t="shared" si="5"/>
        <v>0.17361111111111113</v>
      </c>
      <c r="Y14" s="298">
        <f t="shared" si="6"/>
        <v>0.21180555555555555</v>
      </c>
      <c r="Z14" s="298">
        <f t="shared" si="7"/>
        <v>0</v>
      </c>
      <c r="AA14" s="297">
        <f t="shared" si="8"/>
        <v>60</v>
      </c>
    </row>
    <row r="15" spans="2:30" ht="15.75" customHeight="1">
      <c r="B15" s="29" t="s">
        <v>6</v>
      </c>
      <c r="C15" s="367" t="str">
        <f>[28]Brewhouse!$A111</f>
        <v>CA010</v>
      </c>
      <c r="D15" s="280">
        <f>[28]Brewhouse!$AF111</f>
        <v>51</v>
      </c>
      <c r="E15" s="280">
        <f>[28]Brewhouse!$AI111</f>
        <v>48.8</v>
      </c>
      <c r="F15" s="279">
        <f>[28]Brewhouse!$V111</f>
        <v>60</v>
      </c>
      <c r="G15" s="280">
        <f>[28]Brewhouse!$AG111</f>
        <v>11.6</v>
      </c>
      <c r="H15" s="486"/>
      <c r="I15" s="369">
        <f>[28]Brewhouse!$AU111</f>
        <v>90.396256118959755</v>
      </c>
      <c r="J15" s="369">
        <f>[28]Brewhouse!$AV111</f>
        <v>94.1946033341694</v>
      </c>
      <c r="K15" s="282">
        <f>[28]Brewhouse!$Q111</f>
        <v>9.5511669658886902</v>
      </c>
      <c r="L15" s="277">
        <f>[28]Brewhouse!$P111</f>
        <v>60</v>
      </c>
      <c r="M15" s="375">
        <f>[28]Brewhouse!$U111-[28]Brewhouse!$T111</f>
        <v>0.11597222222222225</v>
      </c>
      <c r="N15" s="371">
        <f>[28]Brewhouse!$Z111</f>
        <v>0.4555555555555556</v>
      </c>
      <c r="O15" s="372" t="str">
        <f>[28]Brewhouse!$AX111</f>
        <v>K.Benjamin</v>
      </c>
      <c r="P15" s="376"/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0.17361111111111113</v>
      </c>
      <c r="Y15" s="298">
        <f t="shared" si="6"/>
        <v>0.21180555555555555</v>
      </c>
      <c r="Z15" s="298">
        <f t="shared" si="7"/>
        <v>0</v>
      </c>
      <c r="AA15" s="297">
        <f t="shared" si="8"/>
        <v>60</v>
      </c>
    </row>
    <row r="16" spans="2:30" ht="15.75" customHeight="1">
      <c r="B16" s="29" t="s">
        <v>6</v>
      </c>
      <c r="C16" s="367" t="str">
        <f>[28]Brewhouse!$A112</f>
        <v>CA011</v>
      </c>
      <c r="D16" s="280">
        <f>[28]Brewhouse!$AF112</f>
        <v>54.4</v>
      </c>
      <c r="E16" s="280">
        <f>[28]Brewhouse!$AI112</f>
        <v>50</v>
      </c>
      <c r="F16" s="279">
        <f>[28]Brewhouse!$V112</f>
        <v>62</v>
      </c>
      <c r="G16" s="280">
        <f>[28]Brewhouse!$AG112</f>
        <v>11.7</v>
      </c>
      <c r="H16" s="486">
        <v>11.7</v>
      </c>
      <c r="I16" s="369">
        <f>[28]Brewhouse!$AU112</f>
        <v>96.811385381152121</v>
      </c>
      <c r="J16" s="369">
        <f>[28]Brewhouse!$AV112</f>
        <v>100.87287051679228</v>
      </c>
      <c r="K16" s="282">
        <f>[28]Brewhouse!$Q112</f>
        <v>6.3883847549909305</v>
      </c>
      <c r="L16" s="277">
        <f>[28]Brewhouse!$P112</f>
        <v>59</v>
      </c>
      <c r="M16" s="375">
        <f>[28]Brewhouse!$U112-[28]Brewhouse!$T112</f>
        <v>0.1118055555555556</v>
      </c>
      <c r="N16" s="371">
        <f>[28]Brewhouse!$Z112</f>
        <v>0.2548611111111112</v>
      </c>
      <c r="O16" s="372" t="str">
        <f>[28]Brewhouse!$AX112</f>
        <v>R.Sookram</v>
      </c>
      <c r="P16" s="376"/>
      <c r="Q16" s="348"/>
      <c r="S16" s="278" t="str">
        <f t="shared" si="0"/>
        <v>CARIB</v>
      </c>
      <c r="T16" s="297">
        <f t="shared" si="1"/>
        <v>11.6</v>
      </c>
      <c r="U16" s="297">
        <f t="shared" si="2"/>
        <v>12</v>
      </c>
      <c r="V16" s="298">
        <f t="shared" si="3"/>
        <v>0</v>
      </c>
      <c r="W16" s="298">
        <f t="shared" si="4"/>
        <v>0.118055555555556</v>
      </c>
      <c r="X16" s="298">
        <f t="shared" si="5"/>
        <v>0.17361111111111113</v>
      </c>
      <c r="Y16" s="298">
        <f t="shared" si="6"/>
        <v>0.21180555555555555</v>
      </c>
      <c r="Z16" s="298">
        <f t="shared" si="7"/>
        <v>0</v>
      </c>
      <c r="AA16" s="297">
        <f t="shared" si="8"/>
        <v>60</v>
      </c>
    </row>
    <row r="17" spans="1:27" ht="15.75" customHeight="1">
      <c r="B17" s="29" t="s">
        <v>6</v>
      </c>
      <c r="C17" s="367" t="str">
        <f>[28]Brewhouse!$A113</f>
        <v>CA012</v>
      </c>
      <c r="D17" s="280">
        <f>[28]Brewhouse!$AF113</f>
        <v>53.6</v>
      </c>
      <c r="E17" s="280">
        <f>[28]Brewhouse!$AI113</f>
        <v>49.8</v>
      </c>
      <c r="F17" s="279">
        <f>[28]Brewhouse!$V113</f>
        <v>57</v>
      </c>
      <c r="G17" s="280">
        <f>[28]Brewhouse!$AG113</f>
        <v>11.7</v>
      </c>
      <c r="H17" s="486">
        <v>11.8</v>
      </c>
      <c r="I17" s="369">
        <f>[28]Brewhouse!$AU113</f>
        <v>93.316641237557349</v>
      </c>
      <c r="J17" s="369">
        <f>[28]Brewhouse!$AV113</f>
        <v>97.237271996898173</v>
      </c>
      <c r="K17" s="282">
        <f>[28]Brewhouse!$Q113</f>
        <v>7.2826086956521792</v>
      </c>
      <c r="L17" s="277">
        <f>[28]Brewhouse!$P113</f>
        <v>61</v>
      </c>
      <c r="M17" s="375">
        <f>[28]Brewhouse!$U113-[28]Brewhouse!$T113</f>
        <v>0.10763888888888895</v>
      </c>
      <c r="N17" s="371">
        <f>[28]Brewhouse!$Z113</f>
        <v>0.25277777777777788</v>
      </c>
      <c r="O17" s="372" t="str">
        <f>[28]Brewhouse!$AX113</f>
        <v>K.Benjamin</v>
      </c>
      <c r="P17" s="370"/>
      <c r="Q17" s="348"/>
      <c r="S17" s="278" t="str">
        <f t="shared" si="0"/>
        <v>CARIB</v>
      </c>
      <c r="T17" s="297">
        <f t="shared" si="1"/>
        <v>11.6</v>
      </c>
      <c r="U17" s="297">
        <f t="shared" si="2"/>
        <v>12</v>
      </c>
      <c r="V17" s="298">
        <f t="shared" si="3"/>
        <v>0</v>
      </c>
      <c r="W17" s="298">
        <f t="shared" si="4"/>
        <v>0.118055555555556</v>
      </c>
      <c r="X17" s="298">
        <f t="shared" si="5"/>
        <v>0.17361111111111113</v>
      </c>
      <c r="Y17" s="298">
        <f t="shared" si="6"/>
        <v>0.21180555555555555</v>
      </c>
      <c r="Z17" s="298">
        <f t="shared" si="7"/>
        <v>0</v>
      </c>
      <c r="AA17" s="297">
        <f t="shared" si="8"/>
        <v>60</v>
      </c>
    </row>
    <row r="18" spans="1:27" ht="15.75" customHeight="1">
      <c r="B18" s="29" t="s">
        <v>6</v>
      </c>
      <c r="C18" s="367" t="str">
        <f>[28]Brewhouse!$A114</f>
        <v>CA013</v>
      </c>
      <c r="D18" s="280">
        <f>[28]Brewhouse!$AF114</f>
        <v>52.9</v>
      </c>
      <c r="E18" s="280">
        <f>[28]Brewhouse!$AI114</f>
        <v>49.1</v>
      </c>
      <c r="F18" s="279">
        <f>[28]Brewhouse!$V114</f>
        <v>54</v>
      </c>
      <c r="G18" s="280">
        <f>[28]Brewhouse!$AG114</f>
        <v>12</v>
      </c>
      <c r="H18" s="486">
        <v>11.8</v>
      </c>
      <c r="I18" s="369">
        <f>[28]Brewhouse!$AU114</f>
        <v>97.63400510059688</v>
      </c>
      <c r="J18" s="369">
        <f>[28]Brewhouse!$AV114</f>
        <v>101.73000123667005</v>
      </c>
      <c r="K18" s="282">
        <f>[28]Brewhouse!$Q114</f>
        <v>6.870503597122303</v>
      </c>
      <c r="L18" s="277">
        <f>[28]Brewhouse!$P114</f>
        <v>61</v>
      </c>
      <c r="M18" s="375">
        <f>[28]Brewhouse!$U114-[28]Brewhouse!$T114</f>
        <v>0.10486111111111107</v>
      </c>
      <c r="N18" s="371">
        <f>[28]Brewhouse!$Z114</f>
        <v>0.24097222222222214</v>
      </c>
      <c r="O18" s="372" t="str">
        <f>[28]Brewhouse!$AX114</f>
        <v>K.Benjamin</v>
      </c>
      <c r="P18" s="370"/>
      <c r="Q18" s="348"/>
      <c r="S18" s="278" t="str">
        <f t="shared" si="0"/>
        <v>CARIB</v>
      </c>
      <c r="T18" s="297">
        <f t="shared" si="1"/>
        <v>11.6</v>
      </c>
      <c r="U18" s="297">
        <f t="shared" si="2"/>
        <v>12</v>
      </c>
      <c r="V18" s="298">
        <f t="shared" si="3"/>
        <v>0</v>
      </c>
      <c r="W18" s="298">
        <f t="shared" si="4"/>
        <v>0.118055555555556</v>
      </c>
      <c r="X18" s="298">
        <f t="shared" si="5"/>
        <v>0.17361111111111113</v>
      </c>
      <c r="Y18" s="298">
        <f t="shared" si="6"/>
        <v>0.21180555555555555</v>
      </c>
      <c r="Z18" s="298">
        <f t="shared" si="7"/>
        <v>0</v>
      </c>
      <c r="AA18" s="297">
        <f t="shared" si="8"/>
        <v>60</v>
      </c>
    </row>
    <row r="19" spans="1:27" ht="15.75" customHeight="1">
      <c r="B19" s="29" t="s">
        <v>6</v>
      </c>
      <c r="C19" s="367" t="str">
        <f>[28]Brewhouse!$A115</f>
        <v>CA014</v>
      </c>
      <c r="D19" s="280">
        <f>[28]Brewhouse!$AF115</f>
        <v>54.7</v>
      </c>
      <c r="E19" s="280">
        <f>[28]Brewhouse!$AI115</f>
        <v>51.2</v>
      </c>
      <c r="F19" s="279">
        <f>[28]Brewhouse!$V115</f>
        <v>62</v>
      </c>
      <c r="G19" s="280">
        <f>[28]Brewhouse!$AG115</f>
        <v>11.7</v>
      </c>
      <c r="H19" s="486">
        <v>11.8</v>
      </c>
      <c r="I19" s="369">
        <f>[28]Brewhouse!$AU115</f>
        <v>99.134858630299789</v>
      </c>
      <c r="J19" s="369">
        <f>[28]Brewhouse!$AV115</f>
        <v>103.29381940919529</v>
      </c>
      <c r="K19" s="282">
        <f>[28]Brewhouse!$Q115</f>
        <v>6.5342960288808625</v>
      </c>
      <c r="L19" s="277">
        <f>[28]Brewhouse!$P115</f>
        <v>62</v>
      </c>
      <c r="M19" s="375">
        <f>[28]Brewhouse!$U115-[28]Brewhouse!$T115</f>
        <v>0.1111111111111111</v>
      </c>
      <c r="N19" s="371">
        <f>[28]Brewhouse!$Z115</f>
        <v>0.24652777777777776</v>
      </c>
      <c r="O19" s="372" t="str">
        <f>[28]Brewhouse!$AX115</f>
        <v>K.Benjamin</v>
      </c>
      <c r="P19" s="370"/>
      <c r="Q19" s="348"/>
      <c r="S19" s="278" t="str">
        <f t="shared" si="0"/>
        <v>CARIB</v>
      </c>
      <c r="T19" s="297">
        <f t="shared" si="1"/>
        <v>11.6</v>
      </c>
      <c r="U19" s="297">
        <f t="shared" si="2"/>
        <v>12</v>
      </c>
      <c r="V19" s="298">
        <f t="shared" si="3"/>
        <v>0</v>
      </c>
      <c r="W19" s="298">
        <f t="shared" si="4"/>
        <v>0.118055555555556</v>
      </c>
      <c r="X19" s="298">
        <f t="shared" si="5"/>
        <v>0.17361111111111113</v>
      </c>
      <c r="Y19" s="298">
        <f t="shared" si="6"/>
        <v>0.21180555555555555</v>
      </c>
      <c r="Z19" s="298">
        <f t="shared" si="7"/>
        <v>0</v>
      </c>
      <c r="AA19" s="297">
        <f t="shared" si="8"/>
        <v>60</v>
      </c>
    </row>
    <row r="20" spans="1:27" ht="14.4">
      <c r="B20" s="374"/>
      <c r="C20" s="367"/>
      <c r="D20" s="280"/>
      <c r="E20" s="280"/>
      <c r="F20" s="279"/>
      <c r="G20" s="384"/>
      <c r="H20" s="486"/>
      <c r="I20" s="369"/>
      <c r="J20" s="369"/>
      <c r="K20" s="282"/>
      <c r="L20" s="277"/>
      <c r="M20" s="396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1:27" ht="14.4" hidden="1">
      <c r="B21" s="374"/>
      <c r="C21" s="367"/>
      <c r="D21" s="280"/>
      <c r="E21" s="280"/>
      <c r="F21" s="279"/>
      <c r="G21" s="384"/>
      <c r="H21" s="486"/>
      <c r="I21" s="369"/>
      <c r="J21" s="369"/>
      <c r="K21" s="282"/>
      <c r="L21" s="277"/>
      <c r="M21" s="396"/>
      <c r="N21" s="371"/>
      <c r="O21" s="372"/>
      <c r="P21" s="370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1:27" ht="14.4" hidden="1">
      <c r="B22" s="374"/>
      <c r="C22" s="367"/>
      <c r="D22" s="280"/>
      <c r="E22" s="280"/>
      <c r="F22" s="279"/>
      <c r="G22" s="384"/>
      <c r="H22" s="486"/>
      <c r="I22" s="369"/>
      <c r="J22" s="369"/>
      <c r="K22" s="282"/>
      <c r="L22" s="277"/>
      <c r="M22" s="396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1:27" ht="14.4" hidden="1">
      <c r="B23" s="374"/>
      <c r="C23" s="367"/>
      <c r="D23" s="280"/>
      <c r="E23" s="280"/>
      <c r="F23" s="279"/>
      <c r="G23" s="384"/>
      <c r="H23" s="487"/>
      <c r="I23" s="369"/>
      <c r="J23" s="369"/>
      <c r="K23" s="282"/>
      <c r="L23" s="277"/>
      <c r="M23" s="396"/>
      <c r="N23" s="371"/>
      <c r="O23" s="372"/>
      <c r="P23" s="370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1:27" ht="14.4" hidden="1">
      <c r="B24" s="374"/>
      <c r="C24" s="367"/>
      <c r="D24" s="280"/>
      <c r="E24" s="280"/>
      <c r="F24" s="279"/>
      <c r="G24" s="384"/>
      <c r="H24" s="395"/>
      <c r="I24" s="369"/>
      <c r="J24" s="369"/>
      <c r="K24" s="282"/>
      <c r="L24" s="277"/>
      <c r="M24" s="396"/>
      <c r="N24" s="371"/>
      <c r="O24" s="372"/>
      <c r="P24" s="370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1:27" ht="14.4" hidden="1">
      <c r="B25" s="374"/>
      <c r="C25" s="367"/>
      <c r="D25" s="280"/>
      <c r="E25" s="280"/>
      <c r="F25" s="279"/>
      <c r="G25" s="384"/>
      <c r="H25" s="395"/>
      <c r="I25" s="369"/>
      <c r="J25" s="369"/>
      <c r="K25" s="282"/>
      <c r="L25" s="277"/>
      <c r="M25" s="396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1:27" ht="14.4" hidden="1">
      <c r="B26" s="374"/>
      <c r="C26" s="367"/>
      <c r="D26" s="280"/>
      <c r="E26" s="280"/>
      <c r="F26" s="279"/>
      <c r="G26" s="384"/>
      <c r="H26" s="395"/>
      <c r="I26" s="369"/>
      <c r="J26" s="369"/>
      <c r="K26" s="282"/>
      <c r="L26" s="277"/>
      <c r="M26" s="396"/>
      <c r="N26" s="371"/>
      <c r="O26" s="372"/>
      <c r="P26" s="370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1:27" ht="15.75" customHeight="1" thickBot="1">
      <c r="B27" s="359"/>
      <c r="C27" s="359"/>
      <c r="D27" s="359"/>
      <c r="E27" s="359"/>
      <c r="F27" s="295"/>
      <c r="G27" s="295"/>
      <c r="H27" s="349"/>
      <c r="I27" s="574" t="s">
        <v>34</v>
      </c>
      <c r="J27" s="574"/>
      <c r="K27" s="574"/>
      <c r="L27" s="574"/>
      <c r="M27" s="574"/>
      <c r="N27" s="574"/>
      <c r="O27" s="1"/>
      <c r="P27" s="12"/>
      <c r="S27" s="278"/>
      <c r="T27" s="297"/>
      <c r="U27" s="297"/>
      <c r="V27" s="298"/>
      <c r="W27" s="298"/>
      <c r="X27" s="298"/>
      <c r="Y27" s="298"/>
      <c r="Z27" s="298"/>
      <c r="AA27" s="297"/>
    </row>
    <row r="28" spans="1:27" ht="15" thickBot="1">
      <c r="B28" s="389" t="s">
        <v>145</v>
      </c>
      <c r="C28" s="389"/>
      <c r="D28" s="552" t="s">
        <v>35</v>
      </c>
      <c r="E28" s="553"/>
      <c r="F28" s="295"/>
      <c r="G28" s="295"/>
      <c r="H28" s="23"/>
      <c r="I28" s="24" t="s">
        <v>17</v>
      </c>
      <c r="J28" s="25" t="s">
        <v>146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5"/>
      <c r="P28" s="12"/>
      <c r="S28" s="278"/>
      <c r="T28" s="297"/>
      <c r="U28" s="297"/>
      <c r="V28" s="298"/>
      <c r="W28" s="298"/>
      <c r="X28" s="298"/>
      <c r="Y28" s="298"/>
      <c r="Z28" s="298"/>
      <c r="AA28" s="297"/>
    </row>
    <row r="29" spans="1:27" ht="15" customHeight="1">
      <c r="A29" s="28"/>
      <c r="B29" s="656"/>
      <c r="C29" s="363"/>
      <c r="D29" s="578"/>
      <c r="E29" s="579"/>
      <c r="F29" s="295"/>
      <c r="G29" s="295"/>
      <c r="H29" s="295"/>
      <c r="I29" s="29" t="s">
        <v>6</v>
      </c>
      <c r="J29" s="324">
        <f>AVERAGE(I16:I19)</f>
        <v>96.724222587401542</v>
      </c>
      <c r="K29" s="285">
        <f>COUNTA([28]Brewhouse!$A$102:$A$115)</f>
        <v>14</v>
      </c>
      <c r="L29" s="303">
        <f>AVERAGE([28]Brewhouse!$AU$102:$AU$115)</f>
        <v>95.106897174362516</v>
      </c>
      <c r="M29" s="303">
        <f>AVERAGE([28]Brewhouse!$AU$102:$AU$115)</f>
        <v>95.106897174362516</v>
      </c>
      <c r="N29" s="30">
        <v>98</v>
      </c>
      <c r="O29" s="11"/>
      <c r="P29" s="31"/>
      <c r="S29" s="278"/>
      <c r="T29" s="297"/>
      <c r="U29" s="297"/>
      <c r="V29" s="298"/>
      <c r="W29" s="298"/>
      <c r="X29" s="298"/>
      <c r="Y29" s="298"/>
      <c r="Z29" s="298"/>
      <c r="AA29" s="297"/>
    </row>
    <row r="30" spans="1:27" ht="15" customHeight="1">
      <c r="A30" s="28"/>
      <c r="B30" s="657"/>
      <c r="C30" s="350"/>
      <c r="D30" s="580"/>
      <c r="E30" s="581"/>
      <c r="F30" s="295"/>
      <c r="G30" s="295"/>
      <c r="H30" s="32"/>
      <c r="I30" s="33" t="s">
        <v>9</v>
      </c>
      <c r="J30" s="324"/>
      <c r="K30" s="285">
        <f>COUNTA([22]Brewhouse!$A$15:$A$28)</f>
        <v>14</v>
      </c>
      <c r="L30" s="303">
        <f>AVERAGE([22]Brewhouse!$AS$15:$AS$28)</f>
        <v>95.91860109091941</v>
      </c>
      <c r="M30" s="303">
        <f>AVERAGE([22]Brewhouse!$AS$15:$AS$28)</f>
        <v>95.91860109091941</v>
      </c>
      <c r="N30" s="30">
        <v>98</v>
      </c>
      <c r="O30" s="11"/>
      <c r="P30" s="31"/>
      <c r="S30" s="278"/>
      <c r="T30" s="297"/>
      <c r="U30" s="297"/>
      <c r="V30" s="298"/>
      <c r="W30" s="298"/>
      <c r="X30" s="298"/>
      <c r="Y30" s="298"/>
      <c r="Z30" s="298"/>
      <c r="AA30" s="297"/>
    </row>
    <row r="31" spans="1:27" ht="14.7" customHeight="1">
      <c r="A31" s="28"/>
      <c r="B31" s="657"/>
      <c r="C31" s="350"/>
      <c r="D31" s="578"/>
      <c r="E31" s="579"/>
      <c r="F31" s="295"/>
      <c r="G31" s="295"/>
      <c r="H31" s="32"/>
      <c r="I31" s="34" t="s">
        <v>12</v>
      </c>
      <c r="J31" s="281"/>
      <c r="K31" s="285"/>
      <c r="L31" s="303"/>
      <c r="M31" s="303"/>
      <c r="N31" s="30">
        <v>98</v>
      </c>
      <c r="O31" s="11"/>
      <c r="P31" s="31"/>
      <c r="S31" s="23"/>
      <c r="T31" s="1"/>
      <c r="U31" s="1"/>
      <c r="AA31" s="286"/>
    </row>
    <row r="32" spans="1:27" ht="14.7" customHeight="1">
      <c r="A32" s="28"/>
      <c r="B32" s="657"/>
      <c r="C32" s="350"/>
      <c r="D32" s="580"/>
      <c r="E32" s="581"/>
      <c r="F32" s="295"/>
      <c r="G32" s="295"/>
      <c r="H32" s="32"/>
      <c r="I32" s="22" t="s">
        <v>33</v>
      </c>
      <c r="J32" s="281"/>
      <c r="K32" s="285">
        <f>COUNTA([25]Brewhouse!$A$5:$A$8)</f>
        <v>4</v>
      </c>
      <c r="L32" s="303">
        <f>AVERAGE([25]Brewhouse!$AV$5:$AV$8)</f>
        <v>96.702302381453876</v>
      </c>
      <c r="M32" s="303">
        <f>AVERAGE([25]Brewhouse!$AV$5:$AV$8)</f>
        <v>96.702302381453876</v>
      </c>
      <c r="N32" s="30">
        <v>98</v>
      </c>
      <c r="O32" s="11"/>
      <c r="P32" s="31"/>
      <c r="S32" s="23"/>
      <c r="T32" s="1"/>
      <c r="U32" s="1"/>
      <c r="AA32" s="286"/>
    </row>
    <row r="33" spans="1:57" ht="14.7" customHeight="1">
      <c r="A33" s="28"/>
      <c r="B33" s="657"/>
      <c r="C33" s="350"/>
      <c r="D33" s="578"/>
      <c r="E33" s="579"/>
      <c r="F33" s="295"/>
      <c r="G33" s="295"/>
      <c r="H33" s="32"/>
      <c r="I33" s="35" t="s">
        <v>29</v>
      </c>
      <c r="J33" s="281"/>
      <c r="K33" s="285"/>
      <c r="L33" s="303"/>
      <c r="M33" s="303"/>
      <c r="N33" s="30">
        <v>98</v>
      </c>
      <c r="O33" s="11"/>
      <c r="P33" s="31"/>
      <c r="S33" s="23"/>
    </row>
    <row r="34" spans="1:57" ht="14.7" customHeight="1">
      <c r="A34" s="28"/>
      <c r="B34" s="657"/>
      <c r="C34" s="350"/>
      <c r="D34" s="580"/>
      <c r="E34" s="581"/>
      <c r="F34" s="295"/>
      <c r="G34" s="295"/>
      <c r="H34" s="32"/>
      <c r="I34" s="36" t="s">
        <v>15</v>
      </c>
      <c r="J34" s="324"/>
      <c r="K34" s="285">
        <f>COUNTA([27]Brewhouse!$A$4:$A$11)</f>
        <v>8</v>
      </c>
      <c r="L34" s="303">
        <f>AVERAGE([27]Brewhouse!$AT$4:$AT$11)</f>
        <v>94.812616598822359</v>
      </c>
      <c r="M34" s="303">
        <f>AVERAGE([27]Brewhouse!$AT$4:$AT$11)</f>
        <v>94.812616598822359</v>
      </c>
      <c r="N34" s="30">
        <v>98</v>
      </c>
      <c r="O34" s="11"/>
      <c r="P34" s="31"/>
      <c r="S34" s="23"/>
    </row>
    <row r="35" spans="1:57" ht="14.7" customHeight="1">
      <c r="A35" s="28"/>
      <c r="B35" s="657"/>
      <c r="C35" s="350"/>
      <c r="D35" s="578"/>
      <c r="E35" s="579"/>
      <c r="F35" s="295"/>
      <c r="G35" s="295"/>
      <c r="H35" s="32"/>
      <c r="I35" s="37" t="s">
        <v>16</v>
      </c>
      <c r="J35" s="324"/>
      <c r="K35" s="285"/>
      <c r="L35" s="303"/>
      <c r="M35" s="303"/>
      <c r="N35" s="30">
        <v>98</v>
      </c>
      <c r="O35" s="11"/>
      <c r="P35" s="31" t="s">
        <v>41</v>
      </c>
      <c r="S35" s="23"/>
      <c r="X35" s="276" t="s">
        <v>41</v>
      </c>
    </row>
    <row r="36" spans="1:57" ht="14.7" customHeight="1">
      <c r="A36" s="28"/>
      <c r="B36" s="657"/>
      <c r="C36" s="350"/>
      <c r="D36" s="580"/>
      <c r="E36" s="581"/>
      <c r="F36" s="295"/>
      <c r="G36" s="295"/>
      <c r="H36" s="32"/>
      <c r="I36" s="507" t="s">
        <v>174</v>
      </c>
      <c r="J36" s="327"/>
      <c r="K36" s="285">
        <f>COUNTA([26]Brewhouse!$A$5:$A$8)</f>
        <v>4</v>
      </c>
      <c r="L36" s="306">
        <f>AVERAGE([26]Brewhouse!$AU$5:$AU$8)</f>
        <v>91.006888337619571</v>
      </c>
      <c r="M36" s="306">
        <f>AVERAGE([26]Brewhouse!$AU$5:$AU$8)</f>
        <v>91.006888337619571</v>
      </c>
      <c r="N36" s="30">
        <v>98</v>
      </c>
      <c r="O36" s="11"/>
      <c r="P36" s="31"/>
      <c r="S36" s="23"/>
    </row>
    <row r="37" spans="1:57" ht="14.7" customHeight="1">
      <c r="A37" s="28"/>
      <c r="B37" s="657"/>
      <c r="C37" s="350"/>
      <c r="D37" s="411"/>
      <c r="E37" s="490"/>
      <c r="F37" s="295"/>
      <c r="G37" s="295"/>
      <c r="H37" s="32"/>
      <c r="I37" s="506" t="s">
        <v>166</v>
      </c>
      <c r="J37" s="327"/>
      <c r="K37" s="285"/>
      <c r="L37" s="306"/>
      <c r="M37" s="306"/>
      <c r="N37" s="30"/>
      <c r="O37" s="11"/>
      <c r="P37" s="31"/>
      <c r="S37" s="23"/>
    </row>
    <row r="38" spans="1:57" ht="15" customHeight="1" thickBot="1">
      <c r="A38" s="28"/>
      <c r="B38" s="657"/>
      <c r="C38" s="350"/>
      <c r="D38" s="582"/>
      <c r="E38" s="583"/>
      <c r="F38" s="295"/>
      <c r="G38" s="295"/>
      <c r="H38" s="32"/>
      <c r="I38" s="502" t="s">
        <v>165</v>
      </c>
      <c r="J38" s="328"/>
      <c r="K38" s="503"/>
      <c r="L38" s="504"/>
      <c r="M38" s="504"/>
      <c r="N38" s="505">
        <v>98</v>
      </c>
      <c r="O38" s="11"/>
      <c r="P38" s="31"/>
      <c r="S38" s="23"/>
    </row>
    <row r="39" spans="1:57" ht="15" customHeight="1" thickBot="1">
      <c r="A39" s="28"/>
      <c r="B39" s="657"/>
      <c r="C39" s="350"/>
      <c r="D39" s="584"/>
      <c r="E39" s="585"/>
      <c r="F39" s="295"/>
      <c r="G39" s="295"/>
      <c r="H39" s="32"/>
      <c r="I39" s="1"/>
      <c r="J39" s="39"/>
      <c r="K39" s="500">
        <f>SUM(K29:K38)</f>
        <v>44</v>
      </c>
      <c r="L39" s="501">
        <f>((L29*K29)+(L30*K30)+(L31*K31)+(L32*K32)+(L33*K33)+(K36*L36)+(L34*K34)+(L35*K35)+(L38*K38))/(K39)</f>
        <v>95.083969804109529</v>
      </c>
      <c r="M39" s="501">
        <f>L39</f>
        <v>95.083969804109529</v>
      </c>
      <c r="N39" s="40">
        <v>98</v>
      </c>
      <c r="O39" s="11"/>
      <c r="P39" s="31"/>
      <c r="S39" s="23"/>
    </row>
    <row r="40" spans="1:57" ht="15" customHeight="1">
      <c r="A40" s="28"/>
      <c r="B40" s="657"/>
      <c r="C40" s="350"/>
      <c r="D40" s="582"/>
      <c r="E40" s="583"/>
      <c r="F40" s="295"/>
      <c r="G40" s="295"/>
      <c r="H40" s="32"/>
      <c r="I40" s="1"/>
      <c r="J40" s="39"/>
      <c r="O40" s="11"/>
      <c r="P40" s="31"/>
      <c r="S40" s="23"/>
    </row>
    <row r="41" spans="1:57" ht="21.6" customHeight="1" thickBot="1">
      <c r="B41" s="658"/>
      <c r="C41" s="351"/>
      <c r="D41" s="586"/>
      <c r="E41" s="587"/>
      <c r="F41" s="295"/>
      <c r="G41" s="42"/>
      <c r="H41" s="41"/>
      <c r="I41" s="42"/>
      <c r="J41" s="42"/>
      <c r="K41" s="352"/>
      <c r="L41" s="349"/>
      <c r="M41" s="349"/>
      <c r="N41" s="11"/>
      <c r="O41" s="295"/>
      <c r="P41" s="12"/>
      <c r="S41" s="23"/>
    </row>
    <row r="42" spans="1:57" ht="15" thickBot="1">
      <c r="B42" s="653"/>
      <c r="C42" s="363"/>
      <c r="D42" s="591"/>
      <c r="E42" s="592"/>
      <c r="F42" s="43"/>
      <c r="G42" s="41"/>
      <c r="H42" s="41"/>
      <c r="I42" s="42"/>
      <c r="J42" s="594" t="s">
        <v>129</v>
      </c>
      <c r="K42" s="594"/>
      <c r="L42" s="295"/>
      <c r="M42" s="295"/>
      <c r="N42" s="295"/>
      <c r="O42" s="295"/>
      <c r="P42" s="12"/>
      <c r="S42" s="23" t="s">
        <v>41</v>
      </c>
    </row>
    <row r="43" spans="1:57" ht="13.5" customHeight="1" thickBot="1">
      <c r="B43" s="654"/>
      <c r="C43" s="350"/>
      <c r="D43" s="593"/>
      <c r="E43" s="581"/>
      <c r="F43" s="43"/>
      <c r="G43" s="41"/>
      <c r="H43" s="41"/>
      <c r="I43" s="42"/>
      <c r="J43" s="293" t="s">
        <v>17</v>
      </c>
      <c r="K43" s="294" t="s">
        <v>147</v>
      </c>
      <c r="L43" s="595" t="s">
        <v>136</v>
      </c>
      <c r="M43" s="595"/>
      <c r="N43" s="596"/>
      <c r="O43" s="295"/>
      <c r="P43" s="12"/>
      <c r="S43" s="23"/>
    </row>
    <row r="44" spans="1:57" ht="15" customHeight="1" thickBot="1">
      <c r="B44" s="654"/>
      <c r="C44" s="350"/>
      <c r="D44" s="597"/>
      <c r="E44" s="579"/>
      <c r="F44" s="43"/>
      <c r="G44" s="41"/>
      <c r="H44" s="41"/>
      <c r="I44" s="42"/>
      <c r="J44" s="288" t="s">
        <v>6</v>
      </c>
      <c r="K44" s="325">
        <v>4</v>
      </c>
      <c r="L44" s="344" t="s">
        <v>37</v>
      </c>
      <c r="M44" s="308" t="s">
        <v>38</v>
      </c>
      <c r="N44" s="308" t="s">
        <v>84</v>
      </c>
      <c r="O44" s="295"/>
      <c r="P44" s="12"/>
      <c r="S44" s="23"/>
    </row>
    <row r="45" spans="1:57" ht="15.75" customHeight="1" thickBot="1">
      <c r="B45" s="654"/>
      <c r="C45" s="350"/>
      <c r="D45" s="593"/>
      <c r="E45" s="581"/>
      <c r="F45" s="43"/>
      <c r="G45" s="41"/>
      <c r="H45" s="41"/>
      <c r="I45" s="42"/>
      <c r="J45" s="346" t="s">
        <v>9</v>
      </c>
      <c r="K45" s="325"/>
      <c r="L45" s="345">
        <f>AVERAGE('Jan 2nd'!K69,'Jan 3rd'!K69,'Jan 6th'!K54,'Jan 7th'!K76,'Jan 8th'!K76,'Jan. 10th'!K54,'Jan. 14th '!K54)</f>
        <v>5.8571428571428568</v>
      </c>
      <c r="M45" s="326">
        <f>L45</f>
        <v>5.8571428571428568</v>
      </c>
      <c r="N45" s="488"/>
      <c r="O45" s="295"/>
      <c r="P45" s="12"/>
      <c r="S45" s="23"/>
    </row>
    <row r="46" spans="1:57" ht="15" customHeight="1">
      <c r="B46" s="654"/>
      <c r="C46" s="350"/>
      <c r="D46" s="597"/>
      <c r="E46" s="579"/>
      <c r="F46" s="43"/>
      <c r="G46" s="41"/>
      <c r="H46" s="41"/>
      <c r="I46" s="42"/>
      <c r="J46" s="289" t="s">
        <v>40</v>
      </c>
      <c r="K46" s="325"/>
      <c r="L46" s="295"/>
      <c r="M46" s="295"/>
      <c r="N46" s="295"/>
      <c r="O46" s="295"/>
      <c r="P46" s="12"/>
      <c r="S46" s="23"/>
    </row>
    <row r="47" spans="1:57" ht="15" customHeight="1">
      <c r="B47" s="654"/>
      <c r="C47" s="350"/>
      <c r="D47" s="593"/>
      <c r="E47" s="581"/>
      <c r="F47" s="43"/>
      <c r="G47" s="41"/>
      <c r="H47" s="41"/>
      <c r="I47" s="42"/>
      <c r="J47" s="290" t="s">
        <v>33</v>
      </c>
      <c r="K47" s="325"/>
      <c r="L47" s="295"/>
      <c r="M47" s="295"/>
      <c r="N47" s="295"/>
      <c r="O47" s="295"/>
      <c r="P47" s="12"/>
      <c r="S47" s="23"/>
    </row>
    <row r="48" spans="1:57" ht="14.4">
      <c r="B48" s="654"/>
      <c r="C48" s="350"/>
      <c r="D48" s="597"/>
      <c r="E48" s="579"/>
      <c r="F48" s="43"/>
      <c r="G48" s="41"/>
      <c r="H48" s="41"/>
      <c r="I48" s="42"/>
      <c r="J48" s="291" t="s">
        <v>16</v>
      </c>
      <c r="K48" s="325"/>
      <c r="L48" s="295"/>
      <c r="M48" s="295"/>
      <c r="N48" s="295"/>
      <c r="O48" s="295"/>
      <c r="P48" s="12"/>
      <c r="S48" s="23"/>
      <c r="BD48" s="44"/>
      <c r="BE48" s="44"/>
    </row>
    <row r="49" spans="2:58" ht="14.4">
      <c r="B49" s="654"/>
      <c r="C49" s="350"/>
      <c r="D49" s="593"/>
      <c r="E49" s="581"/>
      <c r="F49" s="43"/>
      <c r="G49" s="41"/>
      <c r="H49" s="41"/>
      <c r="I49" s="42"/>
      <c r="J49" s="292" t="s">
        <v>15</v>
      </c>
      <c r="K49" s="325"/>
      <c r="L49" s="295"/>
      <c r="M49" s="295"/>
      <c r="N49" s="295"/>
      <c r="O49" s="295"/>
      <c r="P49" s="12"/>
      <c r="S49" s="23"/>
      <c r="BD49" s="44"/>
      <c r="BE49" s="44"/>
    </row>
    <row r="50" spans="2:58" ht="14.4">
      <c r="B50" s="654"/>
      <c r="C50" s="350"/>
      <c r="D50" s="598"/>
      <c r="E50" s="583"/>
      <c r="F50" s="43"/>
      <c r="G50" s="41"/>
      <c r="H50" s="41"/>
      <c r="I50" s="42"/>
      <c r="J50" s="292" t="s">
        <v>149</v>
      </c>
      <c r="K50" s="325"/>
      <c r="L50" s="295"/>
      <c r="M50" s="295"/>
      <c r="N50" s="295"/>
      <c r="O50" s="295"/>
      <c r="P50" s="12"/>
      <c r="S50" s="23"/>
      <c r="BD50" s="44"/>
      <c r="BE50" s="44"/>
    </row>
    <row r="51" spans="2:58" ht="15" thickBot="1">
      <c r="B51" s="655"/>
      <c r="C51" s="351"/>
      <c r="D51" s="599"/>
      <c r="E51" s="600"/>
      <c r="F51" s="43"/>
      <c r="G51" s="41"/>
      <c r="H51" s="41"/>
      <c r="I51" s="42"/>
      <c r="J51" s="292" t="s">
        <v>148</v>
      </c>
      <c r="K51" s="325"/>
      <c r="L51" s="295"/>
      <c r="M51" s="295"/>
      <c r="N51" s="295"/>
      <c r="O51" s="295"/>
      <c r="P51" s="12"/>
      <c r="S51" s="23"/>
      <c r="BD51" s="44"/>
      <c r="BE51" s="44"/>
    </row>
    <row r="52" spans="2:58" ht="17.7" customHeight="1" thickBot="1">
      <c r="B52" s="313" t="s">
        <v>139</v>
      </c>
      <c r="C52" s="314"/>
      <c r="D52" s="601" t="e">
        <f>AVERAGE(D29:E51)</f>
        <v>#DIV/0!</v>
      </c>
      <c r="E52" s="602"/>
      <c r="F52" s="43"/>
      <c r="G52" s="41"/>
      <c r="H52" s="41"/>
      <c r="I52" s="42"/>
      <c r="J52" s="296" t="s">
        <v>134</v>
      </c>
      <c r="K52" s="325"/>
      <c r="L52" s="295"/>
      <c r="M52" s="295"/>
      <c r="N52" s="295"/>
      <c r="O52" s="295"/>
      <c r="P52" s="12"/>
      <c r="S52" s="23"/>
      <c r="BD52" s="44"/>
      <c r="BE52" s="44"/>
    </row>
    <row r="53" spans="2:58" ht="17.7" customHeight="1">
      <c r="B53" s="364"/>
      <c r="C53" s="365"/>
      <c r="D53" s="366"/>
      <c r="E53" s="366"/>
      <c r="F53" s="43"/>
      <c r="G53" s="41"/>
      <c r="H53" s="41"/>
      <c r="I53" s="42"/>
      <c r="J53" s="296" t="s">
        <v>131</v>
      </c>
      <c r="K53" s="325"/>
      <c r="L53" s="295"/>
      <c r="M53" s="295"/>
      <c r="N53" s="295"/>
      <c r="O53" s="295"/>
      <c r="P53" s="12"/>
      <c r="S53" s="23"/>
      <c r="BD53" s="44"/>
      <c r="BE53" s="44"/>
    </row>
    <row r="54" spans="2:58" ht="15.75" customHeight="1">
      <c r="B54" s="45"/>
      <c r="C54" s="11"/>
      <c r="D54" s="11"/>
      <c r="E54" s="46"/>
      <c r="F54" s="23"/>
      <c r="G54" s="11"/>
      <c r="H54" s="41"/>
      <c r="I54" s="42"/>
      <c r="J54" s="347" t="s">
        <v>130</v>
      </c>
      <c r="K54" s="325">
        <f>SUM(K44:K53)</f>
        <v>4</v>
      </c>
      <c r="L54" s="295"/>
      <c r="M54" s="295"/>
      <c r="N54" s="295"/>
      <c r="O54" s="295"/>
      <c r="P54" s="12"/>
    </row>
    <row r="55" spans="2:58" ht="20.25" customHeight="1">
      <c r="B55" s="15" t="s">
        <v>42</v>
      </c>
      <c r="C55" s="1" t="s">
        <v>43</v>
      </c>
      <c r="D55" s="1"/>
      <c r="E55" s="1"/>
      <c r="I55" s="42"/>
      <c r="L55" s="295"/>
      <c r="P55" s="335"/>
    </row>
    <row r="56" spans="2:58" ht="15" customHeight="1" thickBo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/>
      <c r="O56" s="48"/>
      <c r="P56" s="49"/>
      <c r="X56" s="276" t="s">
        <v>41</v>
      </c>
    </row>
    <row r="57" spans="2:58" ht="15" customHeight="1" thickBot="1">
      <c r="B57" s="603" t="s">
        <v>17</v>
      </c>
      <c r="C57" s="603" t="s">
        <v>44</v>
      </c>
      <c r="D57" s="605" t="s">
        <v>45</v>
      </c>
      <c r="E57" s="560" t="s">
        <v>46</v>
      </c>
      <c r="F57" s="620" t="s">
        <v>47</v>
      </c>
      <c r="G57" s="614" t="s">
        <v>48</v>
      </c>
      <c r="H57" s="603" t="s">
        <v>49</v>
      </c>
      <c r="I57" s="616" t="s">
        <v>50</v>
      </c>
      <c r="J57" s="608" t="s">
        <v>28</v>
      </c>
      <c r="K57" s="558" t="s">
        <v>51</v>
      </c>
      <c r="L57" s="570" t="s">
        <v>52</v>
      </c>
      <c r="M57" s="608" t="s">
        <v>53</v>
      </c>
      <c r="N57" s="77"/>
      <c r="O57" s="13"/>
      <c r="P57" s="50"/>
    </row>
    <row r="58" spans="2:58" ht="28.5" customHeight="1" thickTop="1" thickBot="1">
      <c r="B58" s="604"/>
      <c r="C58" s="604"/>
      <c r="D58" s="606"/>
      <c r="E58" s="607"/>
      <c r="F58" s="621"/>
      <c r="G58" s="615"/>
      <c r="H58" s="604"/>
      <c r="I58" s="617"/>
      <c r="J58" s="609"/>
      <c r="K58" s="618"/>
      <c r="L58" s="619"/>
      <c r="M58" s="609"/>
      <c r="N58" s="77"/>
      <c r="O58" s="13"/>
      <c r="P58" s="50"/>
      <c r="Q58" s="356"/>
      <c r="R58" s="356"/>
      <c r="S58" s="356"/>
      <c r="T58" s="356"/>
      <c r="U58" s="51">
        <v>43466</v>
      </c>
      <c r="V58" s="51">
        <v>43467</v>
      </c>
      <c r="W58" s="51">
        <v>43468</v>
      </c>
      <c r="X58" s="51">
        <v>43469</v>
      </c>
      <c r="Y58" s="51">
        <v>43470</v>
      </c>
      <c r="Z58" s="51">
        <v>43471</v>
      </c>
      <c r="AA58" s="51">
        <v>43472</v>
      </c>
      <c r="AB58" s="51">
        <v>43473</v>
      </c>
      <c r="AC58" s="51">
        <v>43474</v>
      </c>
      <c r="AD58" s="51">
        <v>43475</v>
      </c>
      <c r="AE58" s="51">
        <v>43476</v>
      </c>
      <c r="AF58" s="51">
        <v>43477</v>
      </c>
      <c r="AG58" s="51">
        <v>43478</v>
      </c>
      <c r="AH58" s="51">
        <v>43479</v>
      </c>
      <c r="AI58" s="51">
        <v>43480</v>
      </c>
      <c r="AJ58" s="51">
        <v>43481</v>
      </c>
      <c r="AK58" s="51">
        <v>43482</v>
      </c>
      <c r="AL58" s="51">
        <v>43483</v>
      </c>
      <c r="AM58" s="51">
        <v>43484</v>
      </c>
      <c r="AN58" s="51">
        <v>43485</v>
      </c>
      <c r="AO58" s="51">
        <v>43486</v>
      </c>
      <c r="AP58" s="51">
        <v>43487</v>
      </c>
      <c r="AQ58" s="51">
        <v>43488</v>
      </c>
      <c r="AR58" s="51">
        <v>43489</v>
      </c>
      <c r="AS58" s="51">
        <v>43490</v>
      </c>
      <c r="AT58" s="51">
        <v>43491</v>
      </c>
      <c r="AU58" s="51">
        <v>43492</v>
      </c>
      <c r="AV58" s="51">
        <v>43493</v>
      </c>
      <c r="AW58" s="51">
        <v>43494</v>
      </c>
      <c r="AX58" s="51">
        <v>43495</v>
      </c>
      <c r="AY58" s="51">
        <v>43496</v>
      </c>
    </row>
    <row r="59" spans="2:58" s="54" customFormat="1" ht="60.75" customHeight="1" thickBot="1">
      <c r="B59" s="511"/>
      <c r="C59" s="284"/>
      <c r="D59" s="378"/>
      <c r="E59" s="379"/>
      <c r="F59" s="380"/>
      <c r="G59" s="304"/>
      <c r="H59" s="382"/>
      <c r="I59" s="383"/>
      <c r="J59" s="391" t="s">
        <v>180</v>
      </c>
      <c r="K59" s="381"/>
      <c r="L59" s="315" t="e">
        <f>(((D59+E59)-G59)/(D59+E59))*100</f>
        <v>#DIV/0!</v>
      </c>
      <c r="M59" s="358"/>
      <c r="N59" s="13"/>
      <c r="O59" s="13"/>
      <c r="P59" s="50"/>
      <c r="T59" s="273" t="s">
        <v>54</v>
      </c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0"/>
      <c r="AW59" s="280"/>
      <c r="AX59" s="280"/>
    </row>
    <row r="60" spans="2:58" s="54" customFormat="1" ht="18.75" customHeight="1" thickBot="1">
      <c r="B60" s="388"/>
      <c r="C60" s="284"/>
      <c r="D60" s="280"/>
      <c r="E60" s="280"/>
      <c r="F60" s="280"/>
      <c r="G60" s="280"/>
      <c r="H60" s="321"/>
      <c r="I60" s="322"/>
      <c r="J60" s="390" t="s">
        <v>41</v>
      </c>
      <c r="K60" s="377"/>
      <c r="L60" s="315"/>
      <c r="M60" s="385"/>
      <c r="N60" s="13"/>
      <c r="O60" s="13"/>
      <c r="P60" s="50"/>
      <c r="T60" s="273" t="s">
        <v>51</v>
      </c>
      <c r="U60" s="57" t="e">
        <f>[20]January_2019!D8</f>
        <v>#DIV/0!</v>
      </c>
      <c r="V60" s="57">
        <f>[20]January_2019!E8</f>
        <v>1.0319298245614037</v>
      </c>
      <c r="W60" s="57">
        <f>[20]January_2019!F8</f>
        <v>1.7789473684210526</v>
      </c>
      <c r="X60" s="57">
        <f>[20]January_2019!G8</f>
        <v>0.51929824561403504</v>
      </c>
      <c r="Y60" s="57" t="e">
        <f>[20]January_2019!H8</f>
        <v>#DIV/0!</v>
      </c>
      <c r="Z60" s="57" t="e">
        <f>[20]January_2019!I8</f>
        <v>#DIV/0!</v>
      </c>
      <c r="AA60" s="57">
        <f>[20]January_2019!J8</f>
        <v>1.365263157894737</v>
      </c>
      <c r="AB60" s="57" t="e">
        <f>[20]January_2019!K8</f>
        <v>#DIV/0!</v>
      </c>
      <c r="AC60" s="57">
        <f>[20]January_2019!L8</f>
        <v>1.0028070175438597</v>
      </c>
      <c r="AD60" s="57">
        <f>[20]January_2019!M8</f>
        <v>1.7828070175438597</v>
      </c>
      <c r="AE60" s="57" t="e">
        <f>[20]January_2019!N8</f>
        <v>#DIV/0!</v>
      </c>
      <c r="AF60" s="57" t="e">
        <f>[20]January_2019!O8</f>
        <v>#DIV/0!</v>
      </c>
      <c r="AG60" s="57">
        <f>[20]January_2019!P8</f>
        <v>0.19222222222222221</v>
      </c>
      <c r="AH60" s="57">
        <f>[20]January_2019!Q8</f>
        <v>0.52219298245614032</v>
      </c>
      <c r="AI60" s="57">
        <f>[20]January_2019!R8</f>
        <v>0.42912280701754385</v>
      </c>
      <c r="AJ60" s="57" t="e">
        <f>[20]January_2019!S8</f>
        <v>#DIV/0!</v>
      </c>
      <c r="AK60" s="57">
        <f>[20]January_2019!T8</f>
        <v>1.0340350877192983</v>
      </c>
      <c r="AL60" s="57">
        <f>[20]January_2019!U8</f>
        <v>0.98421052631578942</v>
      </c>
      <c r="AM60" s="57" t="e">
        <f>[20]January_2019!V8</f>
        <v>#DIV/0!</v>
      </c>
      <c r="AN60" s="57" t="e">
        <f>[20]January_2019!W8</f>
        <v>#DIV/0!</v>
      </c>
      <c r="AO60" s="57">
        <f>[20]January_2019!X8</f>
        <v>0.66052631578947374</v>
      </c>
      <c r="AP60" s="57">
        <f>[20]January_2019!Y8</f>
        <v>1.0375438596491227</v>
      </c>
      <c r="AQ60" s="57">
        <f>[20]January_2019!Z8</f>
        <v>0.90456140350877201</v>
      </c>
      <c r="AR60" s="57">
        <f>[20]January_2019!AA8</f>
        <v>1.0217543859649123</v>
      </c>
      <c r="AS60" s="57">
        <f>[20]January_2019!AB8</f>
        <v>0.65614035087719302</v>
      </c>
      <c r="AT60" s="57" t="e">
        <f>[20]January_2019!AC8</f>
        <v>#DIV/0!</v>
      </c>
      <c r="AU60" s="57" t="e">
        <f>[20]January_2019!AD8</f>
        <v>#DIV/0!</v>
      </c>
      <c r="AV60" s="57">
        <f>[20]January_2019!AE8</f>
        <v>1.7021052631578948</v>
      </c>
      <c r="AW60" s="57">
        <f>[20]January_2019!AF8</f>
        <v>0.60192982456140354</v>
      </c>
      <c r="AX60" s="57">
        <f>[20]January_2019!AG8</f>
        <v>1.4870175438596491</v>
      </c>
      <c r="AY60" s="278" t="e">
        <f>[20]January_2019!AH8</f>
        <v>#DIV/0!</v>
      </c>
      <c r="AZ60" s="278"/>
      <c r="BA60" s="278"/>
      <c r="BB60" s="278"/>
      <c r="BC60" s="278"/>
      <c r="BD60" s="278"/>
      <c r="BE60" s="278"/>
      <c r="BF60" s="278"/>
    </row>
    <row r="61" spans="2:58" s="54" customFormat="1" ht="23.25" hidden="1" customHeight="1" thickBot="1">
      <c r="B61" s="374"/>
      <c r="C61" s="284"/>
      <c r="D61" s="280"/>
      <c r="E61" s="280"/>
      <c r="F61" s="280"/>
      <c r="G61" s="280"/>
      <c r="H61" s="382"/>
      <c r="I61" s="383"/>
      <c r="J61" s="391"/>
      <c r="K61" s="373"/>
      <c r="L61" s="315"/>
      <c r="M61" s="358"/>
      <c r="N61" s="13"/>
      <c r="O61" s="13"/>
      <c r="P61" s="50"/>
      <c r="T61" s="27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278"/>
      <c r="AZ61" s="278"/>
      <c r="BA61" s="278"/>
      <c r="BB61" s="278"/>
      <c r="BC61" s="278"/>
      <c r="BD61" s="278"/>
      <c r="BE61" s="278"/>
      <c r="BF61" s="278"/>
    </row>
    <row r="62" spans="2:58" s="54" customFormat="1" ht="14.4" hidden="1" thickBot="1">
      <c r="B62" s="362"/>
      <c r="C62" s="284"/>
      <c r="D62" s="305"/>
      <c r="E62" s="280"/>
      <c r="F62" s="280"/>
      <c r="G62" s="280"/>
      <c r="H62" s="382"/>
      <c r="I62" s="383"/>
      <c r="J62" s="390"/>
      <c r="K62" s="377"/>
      <c r="L62" s="315"/>
      <c r="M62" s="355"/>
      <c r="N62" s="13"/>
      <c r="O62" s="13"/>
      <c r="P62" s="50"/>
      <c r="T62" s="273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278"/>
      <c r="AZ62" s="278"/>
      <c r="BA62" s="278"/>
      <c r="BB62" s="278"/>
      <c r="BC62" s="278"/>
      <c r="BD62" s="278"/>
      <c r="BE62" s="278"/>
      <c r="BF62" s="278"/>
    </row>
    <row r="63" spans="2:58" s="54" customFormat="1" ht="45.75" hidden="1" customHeight="1">
      <c r="B63" s="386"/>
      <c r="C63" s="284"/>
      <c r="D63" s="280"/>
      <c r="E63" s="280"/>
      <c r="F63" s="280"/>
      <c r="G63" s="280"/>
      <c r="H63" s="321"/>
      <c r="I63" s="323"/>
      <c r="J63" s="361"/>
      <c r="K63" s="287"/>
      <c r="L63" s="315"/>
      <c r="M63" s="385"/>
      <c r="N63" s="13"/>
      <c r="O63" s="13"/>
      <c r="P63" s="50"/>
      <c r="T63" s="273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278"/>
      <c r="AZ63" s="278"/>
      <c r="BA63" s="278"/>
      <c r="BB63" s="278"/>
      <c r="BC63" s="278"/>
      <c r="BD63" s="278"/>
      <c r="BE63" s="278"/>
      <c r="BF63" s="278"/>
    </row>
    <row r="64" spans="2:58" s="54" customFormat="1" ht="45.75" hidden="1" customHeight="1">
      <c r="B64" s="362"/>
      <c r="C64" s="284"/>
      <c r="D64" s="280"/>
      <c r="E64" s="280"/>
      <c r="F64" s="280"/>
      <c r="G64" s="280"/>
      <c r="H64" s="321"/>
      <c r="I64" s="323"/>
      <c r="J64" s="282"/>
      <c r="K64" s="287"/>
      <c r="L64" s="315"/>
      <c r="M64" s="340"/>
      <c r="N64" s="13"/>
      <c r="O64" s="13"/>
      <c r="P64" s="50"/>
      <c r="T64" s="273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278"/>
      <c r="AZ64" s="278"/>
      <c r="BA64" s="278"/>
      <c r="BB64" s="278"/>
      <c r="BC64" s="278"/>
      <c r="BD64" s="278"/>
      <c r="BE64" s="278"/>
      <c r="BF64" s="278"/>
    </row>
    <row r="65" spans="2:16" ht="14.4" hidden="1" thickBot="1">
      <c r="B65" s="33"/>
      <c r="C65" s="311"/>
      <c r="D65" s="280"/>
      <c r="E65" s="280"/>
      <c r="F65" s="280"/>
      <c r="G65" s="280"/>
      <c r="H65" s="353"/>
      <c r="I65" s="354"/>
      <c r="J65" s="52"/>
      <c r="K65" s="52"/>
      <c r="L65" s="53"/>
      <c r="M65" s="55"/>
      <c r="N65" s="77"/>
      <c r="O65" s="13"/>
      <c r="P65" s="56"/>
    </row>
    <row r="66" spans="2:16" ht="14.4" thickBot="1">
      <c r="B66" s="58"/>
      <c r="C66" s="310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56"/>
      <c r="P66" s="60"/>
    </row>
    <row r="67" spans="2:16" ht="14.4" thickBot="1">
      <c r="B67" s="610" t="s">
        <v>55</v>
      </c>
      <c r="C67" s="611"/>
      <c r="D67" s="611"/>
      <c r="E67" s="611"/>
      <c r="F67" s="612"/>
      <c r="G67" s="610" t="s">
        <v>56</v>
      </c>
      <c r="H67" s="611"/>
      <c r="I67" s="611"/>
      <c r="J67" s="612"/>
      <c r="K67" s="610" t="s">
        <v>51</v>
      </c>
      <c r="L67" s="611"/>
      <c r="M67" s="611"/>
      <c r="N67" s="613"/>
      <c r="O67" s="56"/>
      <c r="P67" s="50"/>
    </row>
    <row r="68" spans="2:16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16">
      <c r="B69" s="29" t="s">
        <v>6</v>
      </c>
      <c r="C69" s="65" t="e">
        <f>L59</f>
        <v>#DIV/0!</v>
      </c>
      <c r="D69" s="76">
        <v>19.803308001788107</v>
      </c>
      <c r="E69" s="76"/>
      <c r="F69" s="66">
        <v>4.8</v>
      </c>
      <c r="G69" s="65"/>
      <c r="H69" s="76">
        <v>11.396661454981579</v>
      </c>
      <c r="I69" s="76"/>
      <c r="J69" s="66">
        <v>4.8</v>
      </c>
      <c r="K69" s="67">
        <f>K59</f>
        <v>0</v>
      </c>
      <c r="L69" s="194">
        <v>0.92431077694235586</v>
      </c>
      <c r="M69" s="194"/>
      <c r="N69" s="68">
        <v>1</v>
      </c>
      <c r="O69" s="56"/>
      <c r="P69" s="69"/>
    </row>
    <row r="70" spans="2:16">
      <c r="B70" s="33" t="s">
        <v>9</v>
      </c>
      <c r="C70" s="65"/>
      <c r="D70" s="76">
        <v>5.2465523383033963</v>
      </c>
      <c r="E70" s="76"/>
      <c r="F70" s="66">
        <v>4.8</v>
      </c>
      <c r="G70" s="65"/>
      <c r="H70" s="76">
        <v>10.629568276405662</v>
      </c>
      <c r="I70" s="76"/>
      <c r="J70" s="66">
        <v>4.8</v>
      </c>
      <c r="K70" s="67"/>
      <c r="L70" s="194">
        <v>1.3066666666666666</v>
      </c>
      <c r="M70" s="194"/>
      <c r="N70" s="68">
        <v>1</v>
      </c>
      <c r="P70" s="69"/>
    </row>
    <row r="71" spans="2:16">
      <c r="B71" s="34" t="s">
        <v>40</v>
      </c>
      <c r="C71" s="65"/>
      <c r="D71" s="76">
        <v>7.5530586766541949</v>
      </c>
      <c r="E71" s="76"/>
      <c r="F71" s="66">
        <v>5.5</v>
      </c>
      <c r="G71" s="65"/>
      <c r="H71" s="76">
        <v>2.6473552031086438</v>
      </c>
      <c r="I71" s="76"/>
      <c r="J71" s="66">
        <v>5.5</v>
      </c>
      <c r="K71" s="67"/>
      <c r="L71" s="194">
        <v>1.0392982456140349</v>
      </c>
      <c r="M71" s="194"/>
      <c r="N71" s="68">
        <v>1</v>
      </c>
      <c r="P71" s="69"/>
    </row>
    <row r="72" spans="2:16">
      <c r="B72" s="22" t="s">
        <v>33</v>
      </c>
      <c r="C72" s="65"/>
      <c r="D72" s="76">
        <v>2.2380467955239092</v>
      </c>
      <c r="E72" s="76"/>
      <c r="F72" s="66">
        <v>3.3</v>
      </c>
      <c r="G72" s="65"/>
      <c r="H72" s="76">
        <v>5.2472220688473969</v>
      </c>
      <c r="I72" s="76"/>
      <c r="J72" s="66">
        <v>3.3</v>
      </c>
      <c r="K72" s="67"/>
      <c r="L72" s="194">
        <v>0.67438596491228064</v>
      </c>
      <c r="M72" s="194"/>
      <c r="N72" s="68">
        <v>1</v>
      </c>
      <c r="P72" s="69"/>
    </row>
    <row r="73" spans="2:16">
      <c r="B73" s="35" t="s">
        <v>29</v>
      </c>
      <c r="C73" s="65"/>
      <c r="D73" s="76"/>
      <c r="E73" s="76"/>
      <c r="F73" s="66">
        <v>3.3</v>
      </c>
      <c r="G73" s="283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16">
      <c r="B74" s="36" t="s">
        <v>15</v>
      </c>
      <c r="C74" s="283"/>
      <c r="D74" s="76"/>
      <c r="E74" s="76"/>
      <c r="F74" s="70">
        <f>[21]May_2022!$M$43</f>
        <v>3.4878406700073312</v>
      </c>
      <c r="G74" s="283"/>
      <c r="H74" s="76"/>
      <c r="I74" s="76"/>
      <c r="J74" s="70">
        <v>5.5</v>
      </c>
      <c r="K74" s="67"/>
      <c r="L74" s="194"/>
      <c r="M74" s="194"/>
      <c r="N74" s="68">
        <v>1</v>
      </c>
      <c r="P74" s="69"/>
    </row>
    <row r="75" spans="2:16">
      <c r="B75" s="37" t="s">
        <v>16</v>
      </c>
      <c r="C75" s="65"/>
      <c r="D75" s="76"/>
      <c r="E75" s="76"/>
      <c r="F75" s="70">
        <v>3.3</v>
      </c>
      <c r="G75" s="283"/>
      <c r="H75" s="76"/>
      <c r="I75" s="76"/>
      <c r="J75" s="70">
        <v>3.3</v>
      </c>
      <c r="K75" s="67"/>
      <c r="L75" s="194"/>
      <c r="M75" s="194"/>
      <c r="N75" s="71">
        <v>1</v>
      </c>
      <c r="P75" s="69"/>
    </row>
    <row r="76" spans="2:16" ht="14.4" thickBot="1">
      <c r="B76" s="38" t="s">
        <v>127</v>
      </c>
      <c r="C76" s="65"/>
      <c r="D76" s="76"/>
      <c r="E76" s="76"/>
      <c r="F76" s="72">
        <v>7.5</v>
      </c>
      <c r="G76" s="73"/>
      <c r="H76" s="76"/>
      <c r="I76" s="76"/>
      <c r="J76" s="72">
        <v>7.5</v>
      </c>
      <c r="K76" s="67"/>
      <c r="L76" s="194"/>
      <c r="M76" s="194"/>
      <c r="N76" s="71">
        <v>1</v>
      </c>
      <c r="P76" s="69"/>
    </row>
    <row r="77" spans="2:16">
      <c r="C77" s="65"/>
      <c r="D77" s="76">
        <v>11.518417324428247</v>
      </c>
      <c r="E77" s="76"/>
      <c r="F77" s="342">
        <v>4.5</v>
      </c>
      <c r="G77" s="74"/>
      <c r="H77" s="76">
        <v>6.9593481484924711</v>
      </c>
      <c r="I77" s="76"/>
      <c r="J77" s="343">
        <v>4.5</v>
      </c>
      <c r="K77" s="67"/>
      <c r="L77" s="194">
        <v>0.80685146198830426</v>
      </c>
      <c r="M77" s="194"/>
      <c r="N77" s="387">
        <v>1</v>
      </c>
      <c r="O77" s="74"/>
      <c r="P77" s="75"/>
    </row>
    <row r="82" spans="6:30">
      <c r="F82" s="316"/>
    </row>
    <row r="90" spans="6:30">
      <c r="AD90" s="276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27:N27"/>
    <mergeCell ref="D28:E28"/>
    <mergeCell ref="B29:B41"/>
    <mergeCell ref="D29:E30"/>
    <mergeCell ref="D31:E32"/>
    <mergeCell ref="D33:E34"/>
    <mergeCell ref="D35:E36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67:F67"/>
    <mergeCell ref="G67:J67"/>
    <mergeCell ref="K67:N67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2045" priority="147" operator="notBetween">
      <formula>#REF!</formula>
      <formula>#REF!</formula>
    </cfRule>
  </conditionalFormatting>
  <conditionalFormatting sqref="C56">
    <cfRule type="cellIs" dxfId="2044" priority="180" stopIfTrue="1" operator="greaterThan">
      <formula>100</formula>
    </cfRule>
    <cfRule type="cellIs" dxfId="2043" priority="179" stopIfTrue="1" operator="lessThan">
      <formula>96</formula>
    </cfRule>
  </conditionalFormatting>
  <conditionalFormatting sqref="C69">
    <cfRule type="cellIs" dxfId="2042" priority="62" stopIfTrue="1" operator="greaterThan">
      <formula>$F69</formula>
    </cfRule>
  </conditionalFormatting>
  <conditionalFormatting sqref="C69:C70">
    <cfRule type="cellIs" dxfId="2041" priority="63" stopIfTrue="1" operator="lessThanOrEqual">
      <formula>0</formula>
    </cfRule>
  </conditionalFormatting>
  <conditionalFormatting sqref="C70">
    <cfRule type="cellIs" dxfId="2040" priority="183" stopIfTrue="1" operator="greaterThan">
      <formula>$F69</formula>
    </cfRule>
  </conditionalFormatting>
  <conditionalFormatting sqref="C71:C73">
    <cfRule type="cellIs" dxfId="2039" priority="97" stopIfTrue="1" operator="greaterThan">
      <formula>$F71</formula>
    </cfRule>
  </conditionalFormatting>
  <conditionalFormatting sqref="C71:C74">
    <cfRule type="cellIs" dxfId="2038" priority="120" stopIfTrue="1" operator="lessThanOrEqual">
      <formula>0</formula>
    </cfRule>
  </conditionalFormatting>
  <conditionalFormatting sqref="C74">
    <cfRule type="cellIs" dxfId="2037" priority="119" stopIfTrue="1" operator="greaterThan">
      <formula>$J74</formula>
    </cfRule>
  </conditionalFormatting>
  <conditionalFormatting sqref="C80:C84">
    <cfRule type="cellIs" dxfId="2036" priority="171" stopIfTrue="1" operator="lessThanOrEqual">
      <formula>0</formula>
    </cfRule>
  </conditionalFormatting>
  <conditionalFormatting sqref="C81:C84">
    <cfRule type="cellIs" dxfId="2035" priority="170" stopIfTrue="1" operator="greaterThan">
      <formula>$F$80</formula>
    </cfRule>
  </conditionalFormatting>
  <conditionalFormatting sqref="C86">
    <cfRule type="cellIs" dxfId="2034" priority="173" stopIfTrue="1" operator="lessThanOrEqual">
      <formula>0</formula>
    </cfRule>
    <cfRule type="cellIs" dxfId="2033" priority="172" stopIfTrue="1" operator="greaterThan">
      <formula>$F$80</formula>
    </cfRule>
  </conditionalFormatting>
  <conditionalFormatting sqref="C80:D80 D82:D88">
    <cfRule type="cellIs" dxfId="2032" priority="165" stopIfTrue="1" operator="greaterThan">
      <formula>4.5</formula>
    </cfRule>
  </conditionalFormatting>
  <conditionalFormatting sqref="D52:D53">
    <cfRule type="cellIs" dxfId="2031" priority="148" operator="notBetween">
      <formula>#REF!</formula>
      <formula>#REF!</formula>
    </cfRule>
  </conditionalFormatting>
  <conditionalFormatting sqref="D69:D76">
    <cfRule type="cellIs" dxfId="2030" priority="134" stopIfTrue="1" operator="lessThanOrEqual">
      <formula>0</formula>
    </cfRule>
  </conditionalFormatting>
  <conditionalFormatting sqref="D77">
    <cfRule type="cellIs" dxfId="2029" priority="133" stopIfTrue="1" operator="lessThanOrEqual">
      <formula>0</formula>
    </cfRule>
  </conditionalFormatting>
  <conditionalFormatting sqref="D80 D82:D88">
    <cfRule type="cellIs" dxfId="2028" priority="166" stopIfTrue="1" operator="lessThanOrEqual">
      <formula>0</formula>
    </cfRule>
  </conditionalFormatting>
  <conditionalFormatting sqref="D81">
    <cfRule type="cellIs" dxfId="2027" priority="158" stopIfTrue="1" operator="lessThanOrEqual">
      <formula>0</formula>
    </cfRule>
    <cfRule type="cellIs" dxfId="2026" priority="157" stopIfTrue="1" operator="greaterThan">
      <formula>$F$80</formula>
    </cfRule>
  </conditionalFormatting>
  <conditionalFormatting sqref="D69:E77">
    <cfRule type="cellIs" dxfId="2025" priority="126" stopIfTrue="1" operator="greaterThan">
      <formula>$F69</formula>
    </cfRule>
  </conditionalFormatting>
  <conditionalFormatting sqref="E10:E19">
    <cfRule type="cellIs" dxfId="2024" priority="10" operator="lessThan">
      <formula>48</formula>
    </cfRule>
  </conditionalFormatting>
  <conditionalFormatting sqref="E56">
    <cfRule type="cellIs" dxfId="2023" priority="160" stopIfTrue="1" operator="greaterThan">
      <formula>100</formula>
    </cfRule>
    <cfRule type="cellIs" dxfId="2022" priority="159" stopIfTrue="1" operator="lessThan">
      <formula>96.8</formula>
    </cfRule>
  </conditionalFormatting>
  <conditionalFormatting sqref="E69:E77">
    <cfRule type="cellIs" dxfId="2021" priority="127" stopIfTrue="1" operator="lessThanOrEqual">
      <formula>0</formula>
    </cfRule>
  </conditionalFormatting>
  <conditionalFormatting sqref="E80:E88">
    <cfRule type="cellIs" dxfId="2020" priority="151" stopIfTrue="1" operator="greaterThan">
      <formula>4.5</formula>
    </cfRule>
    <cfRule type="cellIs" dxfId="2019" priority="152" stopIfTrue="1" operator="lessThanOrEqual">
      <formula>0</formula>
    </cfRule>
  </conditionalFormatting>
  <conditionalFormatting sqref="E55:F56">
    <cfRule type="cellIs" dxfId="2018" priority="162" stopIfTrue="1" operator="greaterThan">
      <formula>100</formula>
    </cfRule>
    <cfRule type="cellIs" dxfId="2017" priority="161" stopIfTrue="1" operator="lessThan">
      <formula>96.5</formula>
    </cfRule>
  </conditionalFormatting>
  <conditionalFormatting sqref="F10:F19">
    <cfRule type="cellIs" dxfId="2016" priority="14" operator="greaterThan">
      <formula>$AA23</formula>
    </cfRule>
  </conditionalFormatting>
  <conditionalFormatting sqref="F10:F26">
    <cfRule type="cellIs" dxfId="2015" priority="7" operator="greaterThan">
      <formula>$AA10</formula>
    </cfRule>
  </conditionalFormatting>
  <conditionalFormatting sqref="F56">
    <cfRule type="cellIs" dxfId="2014" priority="178" stopIfTrue="1" operator="greaterThan">
      <formula>100</formula>
    </cfRule>
    <cfRule type="cellIs" dxfId="2013" priority="177" stopIfTrue="1" operator="lessThan">
      <formula>96.8</formula>
    </cfRule>
  </conditionalFormatting>
  <conditionalFormatting sqref="F77">
    <cfRule type="cellIs" dxfId="2012" priority="128" stopIfTrue="1" operator="greaterThan">
      <formula>$F77</formula>
    </cfRule>
    <cfRule type="cellIs" dxfId="2011" priority="129" stopIfTrue="1" operator="lessThanOrEqual">
      <formula>0</formula>
    </cfRule>
  </conditionalFormatting>
  <conditionalFormatting sqref="G10:G19">
    <cfRule type="expression" dxfId="2010" priority="15">
      <formula>IF(+(IF(G10&lt;#REF!,0,IF(G10&gt;#REF!,0,1)))=0,1)</formula>
    </cfRule>
  </conditionalFormatting>
  <conditionalFormatting sqref="G69:G70 C75:C77">
    <cfRule type="cellIs" dxfId="2009" priority="135" stopIfTrue="1" operator="greaterThan">
      <formula>$F69</formula>
    </cfRule>
    <cfRule type="cellIs" dxfId="2008" priority="136" stopIfTrue="1" operator="lessThanOrEqual">
      <formula>0</formula>
    </cfRule>
  </conditionalFormatting>
  <conditionalFormatting sqref="G69:G70">
    <cfRule type="cellIs" dxfId="2007" priority="75" stopIfTrue="1" operator="greaterThan">
      <formula>$F69</formula>
    </cfRule>
    <cfRule type="cellIs" dxfId="2006" priority="76" stopIfTrue="1" operator="lessThanOrEqual">
      <formula>0</formula>
    </cfRule>
  </conditionalFormatting>
  <conditionalFormatting sqref="G71">
    <cfRule type="cellIs" dxfId="2005" priority="181" stopIfTrue="1" operator="greaterThan">
      <formula>$F70</formula>
    </cfRule>
    <cfRule type="cellIs" dxfId="2004" priority="182" stopIfTrue="1" operator="lessThanOrEqual">
      <formula>0</formula>
    </cfRule>
  </conditionalFormatting>
  <conditionalFormatting sqref="G72">
    <cfRule type="cellIs" dxfId="2003" priority="130" stopIfTrue="1" operator="greaterThan">
      <formula>$F72</formula>
    </cfRule>
    <cfRule type="cellIs" dxfId="2002" priority="131" stopIfTrue="1" operator="lessThanOrEqual">
      <formula>0</formula>
    </cfRule>
  </conditionalFormatting>
  <conditionalFormatting sqref="G73:G76">
    <cfRule type="cellIs" dxfId="2001" priority="139" stopIfTrue="1" operator="lessThanOrEqual">
      <formula>0</formula>
    </cfRule>
    <cfRule type="cellIs" dxfId="2000" priority="138" stopIfTrue="1" operator="greaterThan">
      <formula>$J73</formula>
    </cfRule>
  </conditionalFormatting>
  <conditionalFormatting sqref="G77">
    <cfRule type="cellIs" dxfId="1999" priority="137" operator="greaterThan">
      <formula>4.5</formula>
    </cfRule>
  </conditionalFormatting>
  <conditionalFormatting sqref="G82:G87 C85 C87">
    <cfRule type="cellIs" dxfId="1998" priority="175" stopIfTrue="1" operator="lessThanOrEqual">
      <formula>0</formula>
    </cfRule>
    <cfRule type="cellIs" dxfId="1997" priority="174" stopIfTrue="1" operator="greaterThan">
      <formula>4.5</formula>
    </cfRule>
  </conditionalFormatting>
  <conditionalFormatting sqref="G42:H42 G43:G53 H43:H54">
    <cfRule type="cellIs" dxfId="1996" priority="153" stopIfTrue="1" operator="greaterThan">
      <formula>0</formula>
    </cfRule>
  </conditionalFormatting>
  <conditionalFormatting sqref="G81:H81">
    <cfRule type="cellIs" dxfId="1995" priority="155" stopIfTrue="1" operator="greaterThan">
      <formula>$F$80</formula>
    </cfRule>
    <cfRule type="cellIs" dxfId="1994" priority="156" stopIfTrue="1" operator="lessThanOrEqual">
      <formula>0</formula>
    </cfRule>
  </conditionalFormatting>
  <conditionalFormatting sqref="H10:H26">
    <cfRule type="expression" dxfId="1993" priority="2">
      <formula>IF(+(IF(H10&lt;#REF!,0,IF(H10&gt;#REF!,0,1)))=0,1)</formula>
    </cfRule>
  </conditionalFormatting>
  <conditionalFormatting sqref="H30:H41">
    <cfRule type="cellIs" dxfId="1992" priority="149" stopIfTrue="1" operator="greaterThan">
      <formula>0</formula>
    </cfRule>
  </conditionalFormatting>
  <conditionalFormatting sqref="H59">
    <cfRule type="cellIs" dxfId="1991" priority="60" stopIfTrue="1" operator="greaterThan">
      <formula>#REF!</formula>
    </cfRule>
    <cfRule type="cellIs" dxfId="1990" priority="52" stopIfTrue="1" operator="greaterThan">
      <formula>#REF!</formula>
    </cfRule>
    <cfRule type="cellIs" dxfId="1989" priority="51" stopIfTrue="1" operator="lessThanOrEqual">
      <formula>0</formula>
    </cfRule>
    <cfRule type="cellIs" dxfId="1988" priority="61" stopIfTrue="1" operator="lessThanOrEqual">
      <formula>0</formula>
    </cfRule>
  </conditionalFormatting>
  <conditionalFormatting sqref="H60">
    <cfRule type="cellIs" dxfId="1987" priority="84" stopIfTrue="1" operator="lessThanOrEqual">
      <formula>0</formula>
    </cfRule>
    <cfRule type="cellIs" dxfId="1986" priority="93" stopIfTrue="1" operator="greaterThan">
      <formula>$F$71</formula>
    </cfRule>
    <cfRule type="cellIs" dxfId="1985" priority="96" stopIfTrue="1" operator="lessThanOrEqual">
      <formula>0</formula>
    </cfRule>
    <cfRule type="cellIs" dxfId="1984" priority="95" stopIfTrue="1" operator="greaterThan">
      <formula>$F$69</formula>
    </cfRule>
    <cfRule type="cellIs" dxfId="1983" priority="94" stopIfTrue="1" operator="lessThanOrEqual">
      <formula>0</formula>
    </cfRule>
    <cfRule type="cellIs" dxfId="1982" priority="85" stopIfTrue="1" operator="greaterThan">
      <formula>$F$68</formula>
    </cfRule>
  </conditionalFormatting>
  <conditionalFormatting sqref="H61">
    <cfRule type="cellIs" dxfId="1981" priority="31" stopIfTrue="1" operator="greaterThan">
      <formula>#REF!</formula>
    </cfRule>
    <cfRule type="cellIs" dxfId="1980" priority="23" stopIfTrue="1" operator="greaterThan">
      <formula>#REF!</formula>
    </cfRule>
    <cfRule type="cellIs" dxfId="1979" priority="22" stopIfTrue="1" operator="lessThanOrEqual">
      <formula>0</formula>
    </cfRule>
  </conditionalFormatting>
  <conditionalFormatting sqref="H61:H62">
    <cfRule type="cellIs" dxfId="1978" priority="32" stopIfTrue="1" operator="lessThanOrEqual">
      <formula>0</formula>
    </cfRule>
  </conditionalFormatting>
  <conditionalFormatting sqref="H62">
    <cfRule type="cellIs" dxfId="1977" priority="35" stopIfTrue="1" operator="greaterThan">
      <formula>#REF!</formula>
    </cfRule>
    <cfRule type="cellIs" dxfId="1976" priority="43" stopIfTrue="1" operator="greaterThan">
      <formula>#REF!</formula>
    </cfRule>
    <cfRule type="cellIs" dxfId="1975" priority="44" stopIfTrue="1" operator="lessThanOrEqual">
      <formula>0</formula>
    </cfRule>
  </conditionalFormatting>
  <conditionalFormatting sqref="H63:H64">
    <cfRule type="cellIs" dxfId="1974" priority="105" stopIfTrue="1" operator="greaterThan">
      <formula>$F$69</formula>
    </cfRule>
    <cfRule type="cellIs" dxfId="1973" priority="115" stopIfTrue="1" operator="greaterThan">
      <formula>$F$70</formula>
    </cfRule>
    <cfRule type="cellIs" dxfId="1972" priority="113" stopIfTrue="1" operator="greaterThan">
      <formula>$F$72</formula>
    </cfRule>
    <cfRule type="cellIs" dxfId="1971" priority="114" stopIfTrue="1" operator="lessThanOrEqual">
      <formula>0</formula>
    </cfRule>
    <cfRule type="cellIs" dxfId="1970" priority="116" stopIfTrue="1" operator="lessThanOrEqual">
      <formula>0</formula>
    </cfRule>
    <cfRule type="cellIs" dxfId="1969" priority="79" stopIfTrue="1" operator="lessThanOrEqual">
      <formula>0</formula>
    </cfRule>
  </conditionalFormatting>
  <conditionalFormatting sqref="H65">
    <cfRule type="cellIs" dxfId="1968" priority="143" stopIfTrue="1" operator="greaterThan">
      <formula>$F$66</formula>
    </cfRule>
    <cfRule type="cellIs" dxfId="1967" priority="144" stopIfTrue="1" operator="lessThanOrEqual">
      <formula>0</formula>
    </cfRule>
    <cfRule type="cellIs" dxfId="1966" priority="146" stopIfTrue="1" operator="lessThanOrEqual">
      <formula>0</formula>
    </cfRule>
    <cfRule type="cellIs" dxfId="1965" priority="145" stopIfTrue="1" operator="greaterThan">
      <formula>$F$62</formula>
    </cfRule>
  </conditionalFormatting>
  <conditionalFormatting sqref="H69:H76">
    <cfRule type="cellIs" dxfId="1964" priority="117" stopIfTrue="1" operator="greaterThan">
      <formula>$J69</formula>
    </cfRule>
    <cfRule type="cellIs" dxfId="1963" priority="118" stopIfTrue="1" operator="lessThanOrEqual">
      <formula>0</formula>
    </cfRule>
  </conditionalFormatting>
  <conditionalFormatting sqref="H77">
    <cfRule type="cellIs" dxfId="1962" priority="123" operator="greaterThan">
      <formula>5.3</formula>
    </cfRule>
  </conditionalFormatting>
  <conditionalFormatting sqref="H80 H82:H88">
    <cfRule type="cellIs" dxfId="1961" priority="167" stopIfTrue="1" operator="greaterThan">
      <formula>4.5</formula>
    </cfRule>
    <cfRule type="cellIs" dxfId="1960" priority="168" stopIfTrue="1" operator="lessThanOrEqual">
      <formula>0</formula>
    </cfRule>
  </conditionalFormatting>
  <conditionalFormatting sqref="H59:I59">
    <cfRule type="cellIs" dxfId="1959" priority="50" stopIfTrue="1" operator="greaterThan">
      <formula>#REF!</formula>
    </cfRule>
    <cfRule type="cellIs" dxfId="1958" priority="53" stopIfTrue="1" operator="lessThanOrEqual">
      <formula>0</formula>
    </cfRule>
    <cfRule type="cellIs" dxfId="1957" priority="54" stopIfTrue="1" operator="greaterThan">
      <formula>#REF!</formula>
    </cfRule>
    <cfRule type="cellIs" dxfId="1956" priority="59" stopIfTrue="1" operator="lessThanOrEqual">
      <formula>0</formula>
    </cfRule>
  </conditionalFormatting>
  <conditionalFormatting sqref="H60:I60">
    <cfRule type="cellIs" dxfId="1955" priority="83" stopIfTrue="1" operator="greaterThan">
      <formula>$F$70</formula>
    </cfRule>
    <cfRule type="cellIs" dxfId="1954" priority="86" stopIfTrue="1" operator="lessThanOrEqual">
      <formula>0</formula>
    </cfRule>
  </conditionalFormatting>
  <conditionalFormatting sqref="H61:I61">
    <cfRule type="cellIs" dxfId="1953" priority="30" stopIfTrue="1" operator="lessThanOrEqual">
      <formula>0</formula>
    </cfRule>
    <cfRule type="cellIs" dxfId="1952" priority="24" stopIfTrue="1" operator="lessThanOrEqual">
      <formula>0</formula>
    </cfRule>
    <cfRule type="cellIs" dxfId="1951" priority="21" stopIfTrue="1" operator="greaterThan">
      <formula>#REF!</formula>
    </cfRule>
  </conditionalFormatting>
  <conditionalFormatting sqref="H61:I62">
    <cfRule type="cellIs" dxfId="1950" priority="25" stopIfTrue="1" operator="greaterThan">
      <formula>#REF!</formula>
    </cfRule>
  </conditionalFormatting>
  <conditionalFormatting sqref="H62:I62">
    <cfRule type="cellIs" dxfId="1949" priority="39" stopIfTrue="1" operator="greaterThan">
      <formula>#REF!</formula>
    </cfRule>
    <cfRule type="cellIs" dxfId="1948" priority="36" stopIfTrue="1" operator="lessThanOrEqual">
      <formula>0</formula>
    </cfRule>
    <cfRule type="cellIs" dxfId="1947" priority="42" stopIfTrue="1" operator="lessThanOrEqual">
      <formula>0</formula>
    </cfRule>
  </conditionalFormatting>
  <conditionalFormatting sqref="H63:I63">
    <cfRule type="cellIs" dxfId="1946" priority="106" stopIfTrue="1" operator="lessThanOrEqual">
      <formula>0</formula>
    </cfRule>
  </conditionalFormatting>
  <conditionalFormatting sqref="H63:I64">
    <cfRule type="cellIs" dxfId="1945" priority="77" stopIfTrue="1" operator="greaterThan">
      <formula>$F$71</formula>
    </cfRule>
  </conditionalFormatting>
  <conditionalFormatting sqref="H64:I64">
    <cfRule type="cellIs" dxfId="1944" priority="78" stopIfTrue="1" operator="lessThanOrEqual">
      <formula>0</formula>
    </cfRule>
  </conditionalFormatting>
  <conditionalFormatting sqref="I10:I26">
    <cfRule type="cellIs" dxfId="1943" priority="13" operator="lessThan">
      <formula>98</formula>
    </cfRule>
    <cfRule type="cellIs" dxfId="1942" priority="8" operator="lessThan">
      <formula>97.8</formula>
    </cfRule>
  </conditionalFormatting>
  <conditionalFormatting sqref="I59">
    <cfRule type="cellIs" dxfId="1941" priority="56" stopIfTrue="1" operator="greaterThan">
      <formula>#REF!</formula>
    </cfRule>
    <cfRule type="cellIs" dxfId="1940" priority="57" stopIfTrue="1" operator="lessThanOrEqual">
      <formula>0</formula>
    </cfRule>
    <cfRule type="cellIs" dxfId="1939" priority="58" stopIfTrue="1" operator="greaterThan">
      <formula>#REF!</formula>
    </cfRule>
    <cfRule type="cellIs" dxfId="1938" priority="55" stopIfTrue="1" operator="lessThanOrEqual">
      <formula>0</formula>
    </cfRule>
  </conditionalFormatting>
  <conditionalFormatting sqref="I60">
    <cfRule type="cellIs" dxfId="1937" priority="89" stopIfTrue="1" operator="greaterThan">
      <formula>$F$70</formula>
    </cfRule>
    <cfRule type="cellIs" dxfId="1936" priority="90" stopIfTrue="1" operator="lessThanOrEqual">
      <formula>0</formula>
    </cfRule>
    <cfRule type="cellIs" dxfId="1935" priority="91" stopIfTrue="1" operator="greaterThan">
      <formula>$F$68</formula>
    </cfRule>
    <cfRule type="cellIs" dxfId="1934" priority="92" stopIfTrue="1" operator="lessThanOrEqual">
      <formula>0</formula>
    </cfRule>
    <cfRule type="cellIs" dxfId="1933" priority="87" stopIfTrue="1" operator="greaterThan">
      <formula>$F$68</formula>
    </cfRule>
    <cfRule type="cellIs" dxfId="1932" priority="88" stopIfTrue="1" operator="lessThanOrEqual">
      <formula>0</formula>
    </cfRule>
  </conditionalFormatting>
  <conditionalFormatting sqref="I61">
    <cfRule type="cellIs" dxfId="1931" priority="26" stopIfTrue="1" operator="lessThanOrEqual">
      <formula>0</formula>
    </cfRule>
    <cfRule type="cellIs" dxfId="1930" priority="27" stopIfTrue="1" operator="greaterThan">
      <formula>#REF!</formula>
    </cfRule>
    <cfRule type="cellIs" dxfId="1929" priority="28" stopIfTrue="1" operator="lessThanOrEqual">
      <formula>0</formula>
    </cfRule>
    <cfRule type="cellIs" dxfId="1928" priority="29" stopIfTrue="1" operator="greaterThan">
      <formula>#REF!</formula>
    </cfRule>
  </conditionalFormatting>
  <conditionalFormatting sqref="I62">
    <cfRule type="cellIs" dxfId="1927" priority="38" stopIfTrue="1" operator="lessThanOrEqual">
      <formula>0</formula>
    </cfRule>
    <cfRule type="cellIs" dxfId="1926" priority="37" stopIfTrue="1" operator="greaterThan">
      <formula>#REF!</formula>
    </cfRule>
    <cfRule type="cellIs" dxfId="1925" priority="41" stopIfTrue="1" operator="greaterThan">
      <formula>#REF!</formula>
    </cfRule>
    <cfRule type="cellIs" dxfId="1924" priority="40" stopIfTrue="1" operator="lessThanOrEqual">
      <formula>0</formula>
    </cfRule>
  </conditionalFormatting>
  <conditionalFormatting sqref="I63:I64">
    <cfRule type="cellIs" dxfId="1923" priority="107" stopIfTrue="1" operator="greaterThan">
      <formula>$F$69</formula>
    </cfRule>
    <cfRule type="cellIs" dxfId="1922" priority="108" stopIfTrue="1" operator="lessThanOrEqual">
      <formula>0</formula>
    </cfRule>
    <cfRule type="cellIs" dxfId="1921" priority="109" stopIfTrue="1" operator="greaterThan">
      <formula>$F$71</formula>
    </cfRule>
    <cfRule type="cellIs" dxfId="1920" priority="112" stopIfTrue="1" operator="lessThanOrEqual">
      <formula>0</formula>
    </cfRule>
    <cfRule type="cellIs" dxfId="1919" priority="111" stopIfTrue="1" operator="greaterThan">
      <formula>$F$69</formula>
    </cfRule>
    <cfRule type="cellIs" dxfId="1918" priority="110" stopIfTrue="1" operator="lessThanOrEqual">
      <formula>0</formula>
    </cfRule>
  </conditionalFormatting>
  <conditionalFormatting sqref="I69:I77">
    <cfRule type="cellIs" dxfId="1917" priority="124" stopIfTrue="1" operator="greaterThan">
      <formula>$J69</formula>
    </cfRule>
    <cfRule type="cellIs" dxfId="1916" priority="125" stopIfTrue="1" operator="lessThanOrEqual">
      <formula>0</formula>
    </cfRule>
  </conditionalFormatting>
  <conditionalFormatting sqref="I80:I88">
    <cfRule type="cellIs" dxfId="1915" priority="163" stopIfTrue="1" operator="greaterThan">
      <formula>4.5</formula>
    </cfRule>
    <cfRule type="cellIs" dxfId="1914" priority="164" stopIfTrue="1" operator="lessThanOrEqual">
      <formula>0</formula>
    </cfRule>
  </conditionalFormatting>
  <conditionalFormatting sqref="J10:J26">
    <cfRule type="cellIs" dxfId="1913" priority="12" operator="lessThan">
      <formula>97.4</formula>
    </cfRule>
    <cfRule type="cellIs" dxfId="1912" priority="9" operator="notBetween">
      <formula>98</formula>
      <formula>99.9</formula>
    </cfRule>
  </conditionalFormatting>
  <conditionalFormatting sqref="J29:J31">
    <cfRule type="cellIs" dxfId="1911" priority="98" stopIfTrue="1" operator="lessThan">
      <formula>96.8</formula>
    </cfRule>
    <cfRule type="cellIs" dxfId="1910" priority="100" operator="lessThan">
      <formula>98</formula>
    </cfRule>
    <cfRule type="cellIs" dxfId="1909" priority="99" stopIfTrue="1" operator="greaterThan">
      <formula>100</formula>
    </cfRule>
  </conditionalFormatting>
  <conditionalFormatting sqref="J29:J33">
    <cfRule type="cellIs" dxfId="1908" priority="74" operator="lessThan">
      <formula>97.4</formula>
    </cfRule>
  </conditionalFormatting>
  <conditionalFormatting sqref="J34 L41:M41">
    <cfRule type="cellIs" dxfId="1907" priority="101" operator="lessThan">
      <formula>98</formula>
    </cfRule>
  </conditionalFormatting>
  <conditionalFormatting sqref="J35:J37">
    <cfRule type="cellIs" dxfId="1906" priority="102" stopIfTrue="1" operator="lessThan">
      <formula>96.8</formula>
    </cfRule>
    <cfRule type="cellIs" dxfId="1905" priority="103" stopIfTrue="1" operator="greaterThan">
      <formula>100</formula>
    </cfRule>
  </conditionalFormatting>
  <conditionalFormatting sqref="J35:J38">
    <cfRule type="cellIs" dxfId="1904" priority="104" operator="lessThan">
      <formula>98</formula>
    </cfRule>
  </conditionalFormatting>
  <conditionalFormatting sqref="K10:K26">
    <cfRule type="cellIs" dxfId="1903" priority="11" operator="greaterThan">
      <formula>6.4</formula>
    </cfRule>
    <cfRule type="cellIs" dxfId="1902" priority="4" operator="lessThan">
      <formula>4</formula>
    </cfRule>
    <cfRule type="cellIs" dxfId="1901" priority="3" operator="greaterThan">
      <formula>6</formula>
    </cfRule>
  </conditionalFormatting>
  <conditionalFormatting sqref="K44:K53">
    <cfRule type="cellIs" dxfId="1900" priority="132" operator="notEqual">
      <formula>#REF!</formula>
    </cfRule>
  </conditionalFormatting>
  <conditionalFormatting sqref="K59:K64 J65:K65 K69:N77">
    <cfRule type="cellIs" dxfId="1899" priority="142" stopIfTrue="1" operator="lessThan">
      <formula>100%</formula>
    </cfRule>
  </conditionalFormatting>
  <conditionalFormatting sqref="K80:K85">
    <cfRule type="cellIs" dxfId="1898" priority="169" stopIfTrue="1" operator="lessThan">
      <formula>100%</formula>
    </cfRule>
  </conditionalFormatting>
  <conditionalFormatting sqref="K87:K88">
    <cfRule type="cellIs" dxfId="1897" priority="176" stopIfTrue="1" operator="lessThan">
      <formula>100%</formula>
    </cfRule>
  </conditionalFormatting>
  <conditionalFormatting sqref="L10:L26">
    <cfRule type="cellIs" dxfId="1896" priority="6" operator="greaterThan">
      <formula>65</formula>
    </cfRule>
    <cfRule type="cellIs" dxfId="1895" priority="5" operator="between">
      <formula>61</formula>
      <formula>65</formula>
    </cfRule>
  </conditionalFormatting>
  <conditionalFormatting sqref="L29:M39">
    <cfRule type="cellIs" dxfId="1894" priority="19" operator="lessThan">
      <formula>98</formula>
    </cfRule>
  </conditionalFormatting>
  <conditionalFormatting sqref="L45:N45">
    <cfRule type="cellIs" dxfId="1893" priority="80" operator="notEqual">
      <formula>#REF!</formula>
    </cfRule>
  </conditionalFormatting>
  <conditionalFormatting sqref="L80:N88">
    <cfRule type="cellIs" dxfId="1892" priority="154" stopIfTrue="1" operator="lessThan">
      <formula>100%</formula>
    </cfRule>
  </conditionalFormatting>
  <conditionalFormatting sqref="M10:M19">
    <cfRule type="expression" dxfId="1891" priority="1">
      <formula>IF(+(IF(M10&lt;U10,0,IF(M10&gt;V10,0,1)))=0,1)</formula>
    </cfRule>
  </conditionalFormatting>
  <conditionalFormatting sqref="M6:N6">
    <cfRule type="cellIs" dxfId="1890" priority="82" operator="greaterThanOrEqual">
      <formula>19</formula>
    </cfRule>
    <cfRule type="cellIs" dxfId="1889" priority="81" operator="greaterThanOrEqual">
      <formula>15</formula>
    </cfRule>
  </conditionalFormatting>
  <conditionalFormatting sqref="M20:N26">
    <cfRule type="expression" dxfId="1888" priority="186">
      <formula>IF(+(IF(M20&lt;#REF!,0,IF(M20&gt;#REF!,0,1)))=0,1)</formula>
    </cfRule>
  </conditionalFormatting>
  <conditionalFormatting sqref="N10:N19">
    <cfRule type="expression" dxfId="1887" priority="17">
      <formula>IF(+(IF(N10&lt;X23,0,IF(N10&gt;Y23,0,1)))=0,1)</formula>
    </cfRule>
    <cfRule type="expression" dxfId="1886" priority="16">
      <formula>IF(+(IF(N10&lt;X28,0,IF(N10&gt;Y28,0,1)))=0,1)</formula>
    </cfRule>
  </conditionalFormatting>
  <conditionalFormatting sqref="P6">
    <cfRule type="cellIs" dxfId="1885" priority="150" operator="greaterThanOrEqual">
      <formula>19</formula>
    </cfRule>
  </conditionalFormatting>
  <dataValidations count="1">
    <dataValidation type="list" allowBlank="1" showInputMessage="1" showErrorMessage="1" sqref="S8 B20:B26" xr:uid="{68F52AB3-4511-4F25-BC7B-8C6B59B545D7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72AD-3DBD-4102-B9B7-E98500F0BC5D}">
  <sheetPr>
    <pageSetUpPr fitToPage="1"/>
  </sheetPr>
  <dimension ref="A1:BF91"/>
  <sheetViews>
    <sheetView topLeftCell="A36" zoomScale="85" zoomScaleNormal="85" workbookViewId="0">
      <selection activeCell="G42" sqref="G42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2.332031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45673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4">
        <v>0</v>
      </c>
      <c r="AA8" s="275"/>
      <c r="AB8" s="19"/>
    </row>
    <row r="9" spans="2:30" ht="34.5" customHeight="1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86"/>
      <c r="I10" s="369"/>
      <c r="J10" s="369"/>
      <c r="K10" s="282"/>
      <c r="L10" s="277"/>
      <c r="M10" s="375"/>
      <c r="N10" s="371"/>
      <c r="O10" s="372"/>
      <c r="P10" s="376" t="s">
        <v>164</v>
      </c>
      <c r="Q10" s="348"/>
      <c r="S10" s="278">
        <f t="shared" ref="S10:S27" si="0">B10</f>
        <v>0</v>
      </c>
      <c r="T10" s="297" t="e">
        <f t="shared" ref="T10:T27" si="1">VLOOKUP($B10,$S$3:$Y$9,2,FALSE)</f>
        <v>#N/A</v>
      </c>
      <c r="U10" s="297" t="e">
        <f t="shared" ref="U10:U27" si="2">VLOOKUP($B10,$S$3:$Y$9,3,FALSE)</f>
        <v>#N/A</v>
      </c>
      <c r="V10" s="298" t="e">
        <f t="shared" ref="V10:V27" si="3">VLOOKUP($B10,$S$3:$Y$9,4,FALSE)</f>
        <v>#N/A</v>
      </c>
      <c r="W10" s="298" t="e">
        <f t="shared" ref="W10:W27" si="4">VLOOKUP($B10,$S$3:$Y$9,5,FALSE)</f>
        <v>#N/A</v>
      </c>
      <c r="X10" s="298" t="e">
        <f t="shared" ref="X10:X27" si="5">VLOOKUP($B10,$S$3:$Y$9,6,FALSE)</f>
        <v>#N/A</v>
      </c>
      <c r="Y10" s="298" t="e">
        <f t="shared" ref="Y10:Y27" si="6">VLOOKUP($B10,$S$3:$Y$9,7,FALSE)</f>
        <v>#N/A</v>
      </c>
      <c r="Z10" s="298" t="e">
        <f t="shared" ref="Z10:Z27" si="7">VLOOKUP($B10,$S$3:$AA$9,8,FALSE)</f>
        <v>#N/A</v>
      </c>
      <c r="AA10" s="297" t="e">
        <f t="shared" ref="AA10:AA27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86"/>
      <c r="I11" s="369"/>
      <c r="J11" s="369"/>
      <c r="K11" s="282"/>
      <c r="L11" s="277"/>
      <c r="M11" s="375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86"/>
      <c r="I12" s="369"/>
      <c r="J12" s="369"/>
      <c r="K12" s="282"/>
      <c r="L12" s="277"/>
      <c r="M12" s="375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486"/>
      <c r="I13" s="369"/>
      <c r="J13" s="369"/>
      <c r="K13" s="282"/>
      <c r="L13" s="277"/>
      <c r="M13" s="375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486"/>
      <c r="I14" s="369"/>
      <c r="J14" s="369"/>
      <c r="K14" s="282"/>
      <c r="L14" s="277"/>
      <c r="M14" s="375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86"/>
      <c r="I15" s="369"/>
      <c r="J15" s="369"/>
      <c r="K15" s="282"/>
      <c r="L15" s="277"/>
      <c r="M15" s="375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86"/>
      <c r="I16" s="369"/>
      <c r="J16" s="369"/>
      <c r="K16" s="282"/>
      <c r="L16" s="277"/>
      <c r="M16" s="375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1:27" ht="15.75" hidden="1" customHeight="1">
      <c r="B17" s="29"/>
      <c r="C17" s="367"/>
      <c r="D17" s="280"/>
      <c r="E17" s="280"/>
      <c r="F17" s="279"/>
      <c r="G17" s="280"/>
      <c r="H17" s="486"/>
      <c r="I17" s="369"/>
      <c r="J17" s="369"/>
      <c r="K17" s="282"/>
      <c r="L17" s="277"/>
      <c r="M17" s="375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1:27" ht="15.75" hidden="1" customHeight="1">
      <c r="B18" s="29"/>
      <c r="C18" s="367"/>
      <c r="D18" s="280"/>
      <c r="E18" s="280"/>
      <c r="F18" s="279"/>
      <c r="G18" s="280"/>
      <c r="H18" s="486"/>
      <c r="I18" s="369"/>
      <c r="J18" s="369"/>
      <c r="K18" s="282"/>
      <c r="L18" s="277"/>
      <c r="M18" s="375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1:27" ht="15.75" customHeight="1">
      <c r="B19" s="29" t="s">
        <v>6</v>
      </c>
      <c r="C19" s="367" t="str">
        <f>[28]Brewhouse!$A116</f>
        <v>CA015</v>
      </c>
      <c r="D19" s="280">
        <f>[28]Brewhouse!$AF116</f>
        <v>52.1</v>
      </c>
      <c r="E19" s="280">
        <f>[28]Brewhouse!$AI116</f>
        <v>48.4</v>
      </c>
      <c r="F19" s="279">
        <f>[28]Brewhouse!$V116</f>
        <v>61</v>
      </c>
      <c r="G19" s="280">
        <f>[28]Brewhouse!$AG116</f>
        <v>11.9</v>
      </c>
      <c r="H19" s="486">
        <v>11.9</v>
      </c>
      <c r="I19" s="369">
        <f>[28]Brewhouse!$AU116</f>
        <v>92.554167304143249</v>
      </c>
      <c r="J19" s="369">
        <f>[28]Brewhouse!$AV116</f>
        <v>96.442336970197545</v>
      </c>
      <c r="K19" s="282">
        <f>[28]Brewhouse!$Q116</f>
        <v>1.381957773512474</v>
      </c>
      <c r="L19" s="277">
        <f>[28]Brewhouse!$P116</f>
        <v>60</v>
      </c>
      <c r="M19" s="375">
        <f>[28]Brewhouse!$U116-[28]Brewhouse!$T116</f>
        <v>0.11388888888888893</v>
      </c>
      <c r="N19" s="371">
        <f>[28]Brewhouse!$Z116</f>
        <v>0.27916666666666667</v>
      </c>
      <c r="O19" s="372" t="str">
        <f>[28]Brewhouse!$AX116</f>
        <v>R.Regis</v>
      </c>
      <c r="P19" s="370"/>
      <c r="Q19" s="348"/>
      <c r="S19" s="278" t="str">
        <f t="shared" si="0"/>
        <v>CARIB</v>
      </c>
      <c r="T19" s="297">
        <f t="shared" si="1"/>
        <v>11.6</v>
      </c>
      <c r="U19" s="297">
        <f t="shared" si="2"/>
        <v>12</v>
      </c>
      <c r="V19" s="298">
        <f t="shared" si="3"/>
        <v>0</v>
      </c>
      <c r="W19" s="298">
        <f t="shared" si="4"/>
        <v>0.118055555555556</v>
      </c>
      <c r="X19" s="298">
        <f t="shared" si="5"/>
        <v>0.17361111111111113</v>
      </c>
      <c r="Y19" s="298">
        <f t="shared" si="6"/>
        <v>0.21180555555555555</v>
      </c>
      <c r="Z19" s="298">
        <f t="shared" si="7"/>
        <v>0</v>
      </c>
      <c r="AA19" s="297">
        <f t="shared" si="8"/>
        <v>60</v>
      </c>
    </row>
    <row r="20" spans="1:27" ht="14.4">
      <c r="B20" s="29" t="s">
        <v>6</v>
      </c>
      <c r="C20" s="367" t="str">
        <f>[28]Brewhouse!$A117</f>
        <v>CA016</v>
      </c>
      <c r="D20" s="280">
        <f>[28]Brewhouse!$AF117</f>
        <v>53.6</v>
      </c>
      <c r="E20" s="280">
        <f>[28]Brewhouse!$AI117</f>
        <v>50.1</v>
      </c>
      <c r="F20" s="279">
        <f>[28]Brewhouse!$V117</f>
        <v>57</v>
      </c>
      <c r="G20" s="280">
        <f>[28]Brewhouse!$AG117</f>
        <v>11.8</v>
      </c>
      <c r="H20" s="486">
        <v>11.8</v>
      </c>
      <c r="I20" s="369">
        <f>[28]Brewhouse!$AU117</f>
        <v>94.723161458360067</v>
      </c>
      <c r="J20" s="369">
        <f>[28]Brewhouse!$AV117</f>
        <v>98.702886141015995</v>
      </c>
      <c r="K20" s="282">
        <f>[28]Brewhouse!$Q117</f>
        <v>1.3432835820895501</v>
      </c>
      <c r="L20" s="277">
        <f>[28]Brewhouse!$P117</f>
        <v>60</v>
      </c>
      <c r="M20" s="375">
        <f>[28]Brewhouse!$U117-[28]Brewhouse!$T117</f>
        <v>0.10555555555555551</v>
      </c>
      <c r="N20" s="371">
        <f>[28]Brewhouse!$Z117</f>
        <v>0.27847222222222218</v>
      </c>
      <c r="O20" s="372" t="str">
        <f>[28]Brewhouse!$AX117</f>
        <v>R.Regis</v>
      </c>
      <c r="P20" s="370"/>
      <c r="Q20" s="348"/>
      <c r="S20" s="278" t="str">
        <f t="shared" si="0"/>
        <v>CARIB</v>
      </c>
      <c r="T20" s="297">
        <f t="shared" si="1"/>
        <v>11.6</v>
      </c>
      <c r="U20" s="297">
        <f t="shared" si="2"/>
        <v>12</v>
      </c>
      <c r="V20" s="298">
        <f t="shared" si="3"/>
        <v>0</v>
      </c>
      <c r="W20" s="298">
        <f t="shared" si="4"/>
        <v>0.118055555555556</v>
      </c>
      <c r="X20" s="298">
        <f t="shared" si="5"/>
        <v>0.17361111111111113</v>
      </c>
      <c r="Y20" s="298">
        <f t="shared" si="6"/>
        <v>0.21180555555555555</v>
      </c>
      <c r="Z20" s="298">
        <f t="shared" si="7"/>
        <v>0</v>
      </c>
      <c r="AA20" s="297">
        <f t="shared" si="8"/>
        <v>60</v>
      </c>
    </row>
    <row r="21" spans="1:27" ht="14.4">
      <c r="B21" s="29" t="s">
        <v>6</v>
      </c>
      <c r="C21" s="367" t="str">
        <f>[28]Brewhouse!$A118</f>
        <v>CA017</v>
      </c>
      <c r="D21" s="280">
        <f>[28]Brewhouse!$AF118</f>
        <v>49.5</v>
      </c>
      <c r="E21" s="280">
        <f>[28]Brewhouse!$AI118</f>
        <v>46.4</v>
      </c>
      <c r="F21" s="279">
        <f>[28]Brewhouse!$V118</f>
        <v>62</v>
      </c>
      <c r="G21" s="280">
        <f>[28]Brewhouse!$AG118</f>
        <v>11.7</v>
      </c>
      <c r="H21" s="486">
        <v>11.8</v>
      </c>
      <c r="I21" s="369">
        <f>[28]Brewhouse!$AU118</f>
        <v>94.836688212040571</v>
      </c>
      <c r="J21" s="369">
        <f>[28]Brewhouse!$AV118</f>
        <v>98.624989620836999</v>
      </c>
      <c r="K21" s="282">
        <f>[28]Brewhouse!$Q118</f>
        <v>1.4663951120162908</v>
      </c>
      <c r="L21" s="277">
        <f>[28]Brewhouse!$P118</f>
        <v>60</v>
      </c>
      <c r="M21" s="375">
        <f>[28]Brewhouse!$U118-[28]Brewhouse!$T118</f>
        <v>0.11805555555555558</v>
      </c>
      <c r="N21" s="371">
        <f>[28]Brewhouse!$Z118</f>
        <v>0.25347222222222221</v>
      </c>
      <c r="O21" s="372" t="str">
        <f>[28]Brewhouse!$AX118</f>
        <v>R.Regis</v>
      </c>
      <c r="P21" s="370"/>
      <c r="Q21" s="348"/>
      <c r="S21" s="278" t="str">
        <f t="shared" si="0"/>
        <v>CARIB</v>
      </c>
      <c r="T21" s="297">
        <f t="shared" si="1"/>
        <v>11.6</v>
      </c>
      <c r="U21" s="297">
        <f t="shared" si="2"/>
        <v>12</v>
      </c>
      <c r="V21" s="298">
        <f t="shared" si="3"/>
        <v>0</v>
      </c>
      <c r="W21" s="298">
        <f t="shared" si="4"/>
        <v>0.118055555555556</v>
      </c>
      <c r="X21" s="298">
        <f t="shared" si="5"/>
        <v>0.17361111111111113</v>
      </c>
      <c r="Y21" s="298">
        <f t="shared" si="6"/>
        <v>0.21180555555555555</v>
      </c>
      <c r="Z21" s="298">
        <f t="shared" si="7"/>
        <v>0</v>
      </c>
      <c r="AA21" s="297">
        <f t="shared" si="8"/>
        <v>60</v>
      </c>
    </row>
    <row r="22" spans="1:27" ht="14.4">
      <c r="B22" s="374"/>
      <c r="C22" s="367"/>
      <c r="D22" s="280"/>
      <c r="E22" s="280"/>
      <c r="F22" s="279"/>
      <c r="G22" s="384"/>
      <c r="H22" s="486"/>
      <c r="I22" s="369"/>
      <c r="J22" s="369"/>
      <c r="K22" s="282"/>
      <c r="L22" s="277"/>
      <c r="M22" s="396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1:27" ht="14.4">
      <c r="B23" s="418" t="s">
        <v>9</v>
      </c>
      <c r="C23" s="367" t="str">
        <f>[22]Brewhouse!$A29</f>
        <v>ST015</v>
      </c>
      <c r="D23" s="280">
        <f>[22]Brewhouse!$AD29</f>
        <v>51.8</v>
      </c>
      <c r="E23" s="280">
        <f>[22]Brewhouse!$AG29</f>
        <v>47.6</v>
      </c>
      <c r="F23" s="279">
        <f>[22]Brewhouse!$V29</f>
        <v>60</v>
      </c>
      <c r="G23" s="280">
        <f>[22]Brewhouse!$AE29</f>
        <v>11.9</v>
      </c>
      <c r="H23" s="486">
        <v>11.9</v>
      </c>
      <c r="I23" s="369">
        <f>[22]Brewhouse!$AS29</f>
        <v>92.363806479823964</v>
      </c>
      <c r="J23" s="369">
        <f>[22]Brewhouse!$AT29</f>
        <v>95.574782114268615</v>
      </c>
      <c r="K23" s="282">
        <f>[22]Brewhouse!$Q29</f>
        <v>6.9981583793738436</v>
      </c>
      <c r="L23" s="277">
        <f>[22]Brewhouse!$P29</f>
        <v>57</v>
      </c>
      <c r="M23" s="420">
        <f>[22]Brewhouse!$U29-[22]Brewhouse!$T29</f>
        <v>0.10833333333333339</v>
      </c>
      <c r="N23" s="371">
        <f>[22]Brewhouse!$AW29</f>
        <v>0.25</v>
      </c>
      <c r="O23" s="372" t="str">
        <f>[22]Brewhouse!$AV29</f>
        <v>R.Sookram</v>
      </c>
      <c r="P23" s="370"/>
      <c r="Q23" s="348"/>
      <c r="S23" s="278" t="str">
        <f t="shared" si="0"/>
        <v>STAG</v>
      </c>
      <c r="T23" s="297">
        <f t="shared" si="1"/>
        <v>11.6</v>
      </c>
      <c r="U23" s="297">
        <f t="shared" si="2"/>
        <v>12</v>
      </c>
      <c r="V23" s="298">
        <f t="shared" si="3"/>
        <v>0</v>
      </c>
      <c r="W23" s="298">
        <f t="shared" si="4"/>
        <v>0.118055555555556</v>
      </c>
      <c r="X23" s="298">
        <f t="shared" si="5"/>
        <v>0.17361111111111113</v>
      </c>
      <c r="Y23" s="298">
        <f t="shared" si="6"/>
        <v>0.21180555555555555</v>
      </c>
      <c r="Z23" s="298">
        <f t="shared" si="7"/>
        <v>0</v>
      </c>
      <c r="AA23" s="297">
        <f t="shared" si="8"/>
        <v>60</v>
      </c>
    </row>
    <row r="24" spans="1:27" ht="14.4">
      <c r="B24" s="418" t="s">
        <v>9</v>
      </c>
      <c r="C24" s="367" t="str">
        <f>[22]Brewhouse!$A30</f>
        <v>ST016</v>
      </c>
      <c r="D24" s="280">
        <f>[22]Brewhouse!$AD30</f>
        <v>53.4</v>
      </c>
      <c r="E24" s="280">
        <f>[22]Brewhouse!$AG30</f>
        <v>49.9</v>
      </c>
      <c r="F24" s="279">
        <f>[22]Brewhouse!$V30</f>
        <v>58</v>
      </c>
      <c r="G24" s="280">
        <f>[22]Brewhouse!$AE30</f>
        <v>11.9</v>
      </c>
      <c r="H24" s="395">
        <v>11.8</v>
      </c>
      <c r="I24" s="369">
        <f>[22]Brewhouse!$AS30</f>
        <v>97.071554839885479</v>
      </c>
      <c r="J24" s="369">
        <f>[22]Brewhouse!$AT30</f>
        <v>100.44397740010105</v>
      </c>
      <c r="K24" s="282">
        <f>[22]Brewhouse!$Q30</f>
        <v>5.882352941176463</v>
      </c>
      <c r="L24" s="277">
        <f>[22]Brewhouse!$P30</f>
        <v>59</v>
      </c>
      <c r="M24" s="420">
        <f>[22]Brewhouse!$U30-[22]Brewhouse!$T30</f>
        <v>0.10486111111111107</v>
      </c>
      <c r="N24" s="371">
        <f>[22]Brewhouse!$AW30</f>
        <v>0.25416666666666665</v>
      </c>
      <c r="O24" s="372" t="str">
        <f>[22]Brewhouse!$AV30</f>
        <v>R.Sookram</v>
      </c>
      <c r="P24" s="370"/>
      <c r="Q24" s="348"/>
      <c r="S24" s="278" t="str">
        <f t="shared" si="0"/>
        <v>STAG</v>
      </c>
      <c r="T24" s="297">
        <f t="shared" si="1"/>
        <v>11.6</v>
      </c>
      <c r="U24" s="297">
        <f t="shared" si="2"/>
        <v>12</v>
      </c>
      <c r="V24" s="298">
        <f t="shared" si="3"/>
        <v>0</v>
      </c>
      <c r="W24" s="298">
        <f t="shared" si="4"/>
        <v>0.118055555555556</v>
      </c>
      <c r="X24" s="298">
        <f t="shared" si="5"/>
        <v>0.17361111111111113</v>
      </c>
      <c r="Y24" s="298">
        <f t="shared" si="6"/>
        <v>0.21180555555555555</v>
      </c>
      <c r="Z24" s="298">
        <f t="shared" si="7"/>
        <v>0</v>
      </c>
      <c r="AA24" s="297">
        <f t="shared" si="8"/>
        <v>60</v>
      </c>
    </row>
    <row r="25" spans="1:27" ht="14.4">
      <c r="B25" s="418" t="s">
        <v>9</v>
      </c>
      <c r="C25" s="367" t="str">
        <f>[22]Brewhouse!$A31</f>
        <v>ST017</v>
      </c>
      <c r="D25" s="280">
        <f>[22]Brewhouse!$AD31</f>
        <v>52.1</v>
      </c>
      <c r="E25" s="280">
        <f>[22]Brewhouse!$AG31</f>
        <v>48.7</v>
      </c>
      <c r="F25" s="279">
        <f>[22]Brewhouse!$V31</f>
        <v>59</v>
      </c>
      <c r="G25" s="280">
        <f>[22]Brewhouse!$AE31</f>
        <v>11.7</v>
      </c>
      <c r="H25" s="395">
        <v>11.7</v>
      </c>
      <c r="I25" s="369">
        <f>[22]Brewhouse!$AS31</f>
        <v>93.180885322057676</v>
      </c>
      <c r="J25" s="369">
        <f>[22]Brewhouse!$AT31</f>
        <v>96.41707248861627</v>
      </c>
      <c r="K25" s="282">
        <f>[22]Brewhouse!$Q31</f>
        <v>5.0467289719626089</v>
      </c>
      <c r="L25" s="277">
        <f>[22]Brewhouse!$P31</f>
        <v>63</v>
      </c>
      <c r="M25" s="420">
        <f>[22]Brewhouse!$U31-[22]Brewhouse!$T31</f>
        <v>0.10555555555555551</v>
      </c>
      <c r="N25" s="371">
        <f>[22]Brewhouse!$AW31</f>
        <v>0.26944444444444438</v>
      </c>
      <c r="O25" s="372" t="str">
        <f>[22]Brewhouse!$AV31</f>
        <v>Regis</v>
      </c>
      <c r="P25" s="370"/>
      <c r="Q25" s="348"/>
      <c r="S25" s="278" t="str">
        <f t="shared" si="0"/>
        <v>STAG</v>
      </c>
      <c r="T25" s="297">
        <f t="shared" si="1"/>
        <v>11.6</v>
      </c>
      <c r="U25" s="297">
        <f t="shared" si="2"/>
        <v>12</v>
      </c>
      <c r="V25" s="298">
        <f t="shared" si="3"/>
        <v>0</v>
      </c>
      <c r="W25" s="298">
        <f t="shared" si="4"/>
        <v>0.118055555555556</v>
      </c>
      <c r="X25" s="298">
        <f t="shared" si="5"/>
        <v>0.17361111111111113</v>
      </c>
      <c r="Y25" s="298">
        <f t="shared" si="6"/>
        <v>0.21180555555555555</v>
      </c>
      <c r="Z25" s="298">
        <f t="shared" si="7"/>
        <v>0</v>
      </c>
      <c r="AA25" s="297">
        <f t="shared" si="8"/>
        <v>60</v>
      </c>
    </row>
    <row r="26" spans="1:27" ht="14.4">
      <c r="B26" s="418" t="s">
        <v>9</v>
      </c>
      <c r="C26" s="367" t="str">
        <f>[22]Brewhouse!$A32</f>
        <v>ST018</v>
      </c>
      <c r="D26" s="280">
        <f>[22]Brewhouse!$AD32</f>
        <v>51.1</v>
      </c>
      <c r="E26" s="280">
        <f>[22]Brewhouse!$AG32</f>
        <v>47.8</v>
      </c>
      <c r="F26" s="279">
        <f>[22]Brewhouse!$V32</f>
        <v>49</v>
      </c>
      <c r="G26" s="280">
        <f>[22]Brewhouse!$AE32</f>
        <v>11.9</v>
      </c>
      <c r="H26" s="395">
        <v>12</v>
      </c>
      <c r="I26" s="369">
        <f>[22]Brewhouse!$AS32</f>
        <v>93.104069106683397</v>
      </c>
      <c r="J26" s="369">
        <f>[22]Brewhouse!$AT32</f>
        <v>96.337588433700446</v>
      </c>
      <c r="K26" s="282">
        <f>[22]Brewhouse!$Q32</f>
        <v>12.932604735883416</v>
      </c>
      <c r="L26" s="277">
        <f>[22]Brewhouse!$P32</f>
        <v>61</v>
      </c>
      <c r="M26" s="420">
        <f>[22]Brewhouse!$U32-[22]Brewhouse!$T32</f>
        <v>0.14861111111111125</v>
      </c>
      <c r="N26" s="371">
        <f>[22]Brewhouse!$AW32</f>
        <v>0.29375000000000007</v>
      </c>
      <c r="O26" s="372" t="str">
        <f>[22]Brewhouse!$AV32</f>
        <v>Regis</v>
      </c>
      <c r="P26" s="370"/>
      <c r="Q26" s="348"/>
      <c r="S26" s="278"/>
      <c r="T26" s="297"/>
      <c r="U26" s="297"/>
      <c r="V26" s="298"/>
      <c r="W26" s="298"/>
      <c r="X26" s="298"/>
      <c r="Y26" s="298"/>
      <c r="Z26" s="298"/>
      <c r="AA26" s="297"/>
    </row>
    <row r="27" spans="1:27" ht="14.4">
      <c r="B27" s="374"/>
      <c r="C27" s="367"/>
      <c r="D27" s="280"/>
      <c r="E27" s="280"/>
      <c r="F27" s="279"/>
      <c r="G27" s="384"/>
      <c r="H27" s="395"/>
      <c r="I27" s="369"/>
      <c r="J27" s="369"/>
      <c r="K27" s="282"/>
      <c r="L27" s="277"/>
      <c r="M27" s="396"/>
      <c r="N27" s="371"/>
      <c r="O27" s="372"/>
      <c r="P27" s="370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1:27" ht="15.75" customHeight="1" thickBot="1">
      <c r="B28" s="359"/>
      <c r="C28" s="359"/>
      <c r="D28" s="359"/>
      <c r="E28" s="359"/>
      <c r="F28" s="295"/>
      <c r="G28" s="295"/>
      <c r="H28" s="349"/>
      <c r="I28" s="574" t="s">
        <v>34</v>
      </c>
      <c r="J28" s="574"/>
      <c r="K28" s="574"/>
      <c r="L28" s="574"/>
      <c r="M28" s="574"/>
      <c r="N28" s="574"/>
      <c r="O28" s="1"/>
      <c r="P28" s="12"/>
      <c r="S28" s="278"/>
      <c r="T28" s="297"/>
      <c r="U28" s="297"/>
      <c r="V28" s="298"/>
      <c r="W28" s="298"/>
      <c r="X28" s="298"/>
      <c r="Y28" s="298"/>
      <c r="Z28" s="298"/>
      <c r="AA28" s="297"/>
    </row>
    <row r="29" spans="1:27" ht="15" thickBot="1">
      <c r="B29" s="389" t="s">
        <v>145</v>
      </c>
      <c r="C29" s="389"/>
      <c r="D29" s="552" t="s">
        <v>35</v>
      </c>
      <c r="E29" s="553"/>
      <c r="F29" s="295"/>
      <c r="G29" s="295"/>
      <c r="H29" s="23"/>
      <c r="I29" s="24" t="s">
        <v>17</v>
      </c>
      <c r="J29" s="25" t="s">
        <v>146</v>
      </c>
      <c r="K29" s="26" t="s">
        <v>138</v>
      </c>
      <c r="L29" s="25" t="s">
        <v>37</v>
      </c>
      <c r="M29" s="25" t="s">
        <v>38</v>
      </c>
      <c r="N29" s="27" t="s">
        <v>39</v>
      </c>
      <c r="O29" s="295"/>
      <c r="P29" s="12"/>
      <c r="S29" s="278"/>
      <c r="T29" s="297"/>
      <c r="U29" s="297"/>
      <c r="V29" s="298"/>
      <c r="W29" s="298"/>
      <c r="X29" s="298"/>
      <c r="Y29" s="298"/>
      <c r="Z29" s="298"/>
      <c r="AA29" s="297"/>
    </row>
    <row r="30" spans="1:27" ht="15" customHeight="1">
      <c r="A30" s="28"/>
      <c r="B30" s="656"/>
      <c r="C30" s="363"/>
      <c r="D30" s="578"/>
      <c r="E30" s="579"/>
      <c r="F30" s="295"/>
      <c r="G30" s="295"/>
      <c r="H30" s="295"/>
      <c r="I30" s="29" t="s">
        <v>6</v>
      </c>
      <c r="J30" s="324">
        <f>AVERAGE(I19:I21)</f>
        <v>94.038005658181305</v>
      </c>
      <c r="K30" s="285">
        <f>COUNTA([28]Brewhouse!$A$102:$A$118)</f>
        <v>17</v>
      </c>
      <c r="L30" s="303">
        <f>AVERAGE([28]Brewhouse!$AU$102:$AU$118)</f>
        <v>94.918269259742289</v>
      </c>
      <c r="M30" s="303">
        <f>AVERAGE([28]Brewhouse!$AU$102:$AU$118)</f>
        <v>94.918269259742289</v>
      </c>
      <c r="N30" s="30">
        <v>98</v>
      </c>
      <c r="O30" s="11"/>
      <c r="P30" s="31"/>
      <c r="S30" s="278"/>
      <c r="T30" s="297"/>
      <c r="U30" s="297"/>
      <c r="V30" s="298"/>
      <c r="W30" s="298"/>
      <c r="X30" s="298"/>
      <c r="Y30" s="298"/>
      <c r="Z30" s="298"/>
      <c r="AA30" s="297"/>
    </row>
    <row r="31" spans="1:27" ht="15" customHeight="1">
      <c r="A31" s="28"/>
      <c r="B31" s="657"/>
      <c r="C31" s="350"/>
      <c r="D31" s="580"/>
      <c r="E31" s="581"/>
      <c r="F31" s="295"/>
      <c r="G31" s="295"/>
      <c r="H31" s="32"/>
      <c r="I31" s="33" t="s">
        <v>9</v>
      </c>
      <c r="J31" s="324">
        <f>AVERAGE(I23:I25)</f>
        <v>94.205415547255711</v>
      </c>
      <c r="K31" s="285">
        <f>COUNTA([22]Brewhouse!$A$15:$A$31)</f>
        <v>17</v>
      </c>
      <c r="L31" s="303">
        <f>AVERAGE([22]Brewhouse!$AS$15:$AS$31)</f>
        <v>95.616274230272879</v>
      </c>
      <c r="M31" s="303">
        <f>AVERAGE([22]Brewhouse!$AS$15:$AS$31)</f>
        <v>95.616274230272879</v>
      </c>
      <c r="N31" s="30">
        <v>98</v>
      </c>
      <c r="O31" s="11"/>
      <c r="P31" s="31"/>
      <c r="S31" s="278"/>
      <c r="T31" s="297"/>
      <c r="U31" s="297"/>
      <c r="V31" s="298"/>
      <c r="W31" s="298"/>
      <c r="X31" s="298"/>
      <c r="Y31" s="298"/>
      <c r="Z31" s="298"/>
      <c r="AA31" s="297"/>
    </row>
    <row r="32" spans="1:27" ht="14.7" customHeight="1">
      <c r="A32" s="28"/>
      <c r="B32" s="657"/>
      <c r="C32" s="350"/>
      <c r="D32" s="578"/>
      <c r="E32" s="579"/>
      <c r="F32" s="295"/>
      <c r="G32" s="295"/>
      <c r="H32" s="32"/>
      <c r="I32" s="34" t="s">
        <v>12</v>
      </c>
      <c r="J32" s="281"/>
      <c r="K32" s="285"/>
      <c r="L32" s="303"/>
      <c r="M32" s="303"/>
      <c r="N32" s="30">
        <v>98</v>
      </c>
      <c r="O32" s="11"/>
      <c r="P32" s="31"/>
      <c r="S32" s="23"/>
      <c r="T32" s="1"/>
      <c r="U32" s="1"/>
      <c r="AA32" s="286"/>
    </row>
    <row r="33" spans="1:27" ht="14.7" customHeight="1">
      <c r="A33" s="28"/>
      <c r="B33" s="657"/>
      <c r="C33" s="350"/>
      <c r="D33" s="580"/>
      <c r="E33" s="581"/>
      <c r="F33" s="295"/>
      <c r="G33" s="295"/>
      <c r="H33" s="32"/>
      <c r="I33" s="22" t="s">
        <v>33</v>
      </c>
      <c r="J33" s="281"/>
      <c r="K33" s="285">
        <f>COUNTA([25]Brewhouse!$A$5:$A$8)</f>
        <v>4</v>
      </c>
      <c r="L33" s="303">
        <f>AVERAGE([25]Brewhouse!$AV$5:$AV$8)</f>
        <v>96.702302381453876</v>
      </c>
      <c r="M33" s="303">
        <f>AVERAGE([25]Brewhouse!$AV$5:$AV$8)</f>
        <v>96.702302381453876</v>
      </c>
      <c r="N33" s="30">
        <v>98</v>
      </c>
      <c r="O33" s="11"/>
      <c r="P33" s="31"/>
      <c r="S33" s="23"/>
      <c r="T33" s="1"/>
      <c r="U33" s="1"/>
      <c r="AA33" s="286"/>
    </row>
    <row r="34" spans="1:27" ht="14.7" customHeight="1">
      <c r="A34" s="28"/>
      <c r="B34" s="657"/>
      <c r="C34" s="350"/>
      <c r="D34" s="578"/>
      <c r="E34" s="579"/>
      <c r="F34" s="295"/>
      <c r="G34" s="295"/>
      <c r="H34" s="32"/>
      <c r="I34" s="35" t="s">
        <v>29</v>
      </c>
      <c r="J34" s="281"/>
      <c r="K34" s="285"/>
      <c r="L34" s="303"/>
      <c r="M34" s="303"/>
      <c r="N34" s="30">
        <v>98</v>
      </c>
      <c r="O34" s="11"/>
      <c r="P34" s="31"/>
      <c r="S34" s="23"/>
    </row>
    <row r="35" spans="1:27" ht="14.7" customHeight="1">
      <c r="A35" s="28"/>
      <c r="B35" s="657"/>
      <c r="C35" s="350"/>
      <c r="D35" s="580"/>
      <c r="E35" s="581"/>
      <c r="F35" s="295"/>
      <c r="G35" s="295"/>
      <c r="H35" s="32"/>
      <c r="I35" s="36" t="s">
        <v>15</v>
      </c>
      <c r="J35" s="324"/>
      <c r="K35" s="285">
        <f>COUNTA([27]Brewhouse!$A$4:$A$11)</f>
        <v>8</v>
      </c>
      <c r="L35" s="303">
        <f>AVERAGE([27]Brewhouse!$AT$4:$AT$11)</f>
        <v>94.812616598822359</v>
      </c>
      <c r="M35" s="303">
        <f>AVERAGE([27]Brewhouse!$AT$4:$AT$11)</f>
        <v>94.812616598822359</v>
      </c>
      <c r="N35" s="30">
        <v>98</v>
      </c>
      <c r="O35" s="11"/>
      <c r="P35" s="31"/>
      <c r="S35" s="23"/>
    </row>
    <row r="36" spans="1:27" ht="14.7" customHeight="1">
      <c r="A36" s="28"/>
      <c r="B36" s="657"/>
      <c r="C36" s="350"/>
      <c r="D36" s="578"/>
      <c r="E36" s="579"/>
      <c r="F36" s="295"/>
      <c r="G36" s="295"/>
      <c r="H36" s="32"/>
      <c r="I36" s="37" t="s">
        <v>16</v>
      </c>
      <c r="J36" s="324"/>
      <c r="K36" s="285"/>
      <c r="L36" s="303"/>
      <c r="M36" s="303"/>
      <c r="N36" s="30">
        <v>98</v>
      </c>
      <c r="O36" s="11"/>
      <c r="P36" s="31" t="s">
        <v>41</v>
      </c>
      <c r="S36" s="23"/>
      <c r="X36" s="276" t="s">
        <v>41</v>
      </c>
    </row>
    <row r="37" spans="1:27" ht="14.7" customHeight="1">
      <c r="A37" s="28"/>
      <c r="B37" s="657"/>
      <c r="C37" s="350"/>
      <c r="D37" s="580"/>
      <c r="E37" s="581"/>
      <c r="F37" s="295"/>
      <c r="G37" s="295"/>
      <c r="H37" s="32"/>
      <c r="I37" s="507" t="s">
        <v>174</v>
      </c>
      <c r="J37" s="327"/>
      <c r="K37" s="285">
        <f>COUNTA([26]Brewhouse!$A$5:$A$8)</f>
        <v>4</v>
      </c>
      <c r="L37" s="306">
        <f>AVERAGE([26]Brewhouse!$AU$5:$AU$8)</f>
        <v>91.006888337619571</v>
      </c>
      <c r="M37" s="306">
        <f>AVERAGE([26]Brewhouse!$AU$5:$AU$8)</f>
        <v>91.006888337619571</v>
      </c>
      <c r="N37" s="30">
        <v>98</v>
      </c>
      <c r="O37" s="11"/>
      <c r="P37" s="31"/>
      <c r="S37" s="23"/>
    </row>
    <row r="38" spans="1:27" ht="14.7" customHeight="1">
      <c r="A38" s="28"/>
      <c r="B38" s="657"/>
      <c r="C38" s="350"/>
      <c r="D38" s="411"/>
      <c r="E38" s="490"/>
      <c r="F38" s="295"/>
      <c r="G38" s="295"/>
      <c r="H38" s="32"/>
      <c r="I38" s="506" t="s">
        <v>166</v>
      </c>
      <c r="J38" s="327"/>
      <c r="K38" s="285"/>
      <c r="L38" s="306"/>
      <c r="M38" s="306"/>
      <c r="N38" s="30"/>
      <c r="O38" s="11"/>
      <c r="P38" s="31"/>
      <c r="S38" s="23"/>
    </row>
    <row r="39" spans="1:27" ht="15" customHeight="1" thickBot="1">
      <c r="A39" s="28"/>
      <c r="B39" s="657"/>
      <c r="C39" s="350"/>
      <c r="D39" s="582"/>
      <c r="E39" s="583"/>
      <c r="F39" s="295"/>
      <c r="G39" s="295"/>
      <c r="H39" s="32"/>
      <c r="I39" s="502" t="s">
        <v>165</v>
      </c>
      <c r="J39" s="328"/>
      <c r="K39" s="503"/>
      <c r="L39" s="504"/>
      <c r="M39" s="504"/>
      <c r="N39" s="505">
        <v>98</v>
      </c>
      <c r="O39" s="11"/>
      <c r="P39" s="31"/>
      <c r="S39" s="23"/>
    </row>
    <row r="40" spans="1:27" ht="15" customHeight="1" thickBot="1">
      <c r="A40" s="28"/>
      <c r="B40" s="657"/>
      <c r="C40" s="350"/>
      <c r="D40" s="584"/>
      <c r="E40" s="585"/>
      <c r="F40" s="295"/>
      <c r="G40" s="295"/>
      <c r="H40" s="32"/>
      <c r="I40" s="1"/>
      <c r="J40" s="39"/>
      <c r="K40" s="500">
        <f>SUM(K30:K39)</f>
        <v>50</v>
      </c>
      <c r="L40" s="501">
        <f>((L30*K30)+(L31*K31)+(L32*K32)+(L33*K33)+(L34*K34)+(K37*L37)+(L35*K35)+(L36*K36)+(L39*K39))/(K40)</f>
        <v>94.968498699942614</v>
      </c>
      <c r="M40" s="501">
        <f>L40</f>
        <v>94.968498699942614</v>
      </c>
      <c r="N40" s="40">
        <v>98</v>
      </c>
      <c r="O40" s="11"/>
      <c r="P40" s="31"/>
      <c r="S40" s="23"/>
    </row>
    <row r="41" spans="1:27" ht="15" customHeight="1">
      <c r="A41" s="28"/>
      <c r="B41" s="657"/>
      <c r="C41" s="350"/>
      <c r="D41" s="582"/>
      <c r="E41" s="583"/>
      <c r="F41" s="295"/>
      <c r="G41" s="295"/>
      <c r="H41" s="32"/>
      <c r="I41" s="1"/>
      <c r="J41" s="39"/>
      <c r="O41" s="11"/>
      <c r="P41" s="31"/>
      <c r="S41" s="23"/>
    </row>
    <row r="42" spans="1:27" ht="21.6" customHeight="1" thickBot="1">
      <c r="B42" s="658"/>
      <c r="C42" s="351"/>
      <c r="D42" s="586"/>
      <c r="E42" s="587"/>
      <c r="F42" s="295"/>
      <c r="G42" s="42"/>
      <c r="H42" s="41"/>
      <c r="I42" s="42"/>
      <c r="J42" s="42"/>
      <c r="K42" s="352"/>
      <c r="L42" s="349"/>
      <c r="M42" s="349"/>
      <c r="N42" s="11"/>
      <c r="O42" s="295"/>
      <c r="P42" s="12"/>
      <c r="S42" s="23"/>
    </row>
    <row r="43" spans="1:27" ht="15" thickBot="1">
      <c r="B43" s="653"/>
      <c r="C43" s="363"/>
      <c r="D43" s="591"/>
      <c r="E43" s="592"/>
      <c r="F43" s="43"/>
      <c r="G43" s="41"/>
      <c r="H43" s="41"/>
      <c r="I43" s="42"/>
      <c r="J43" s="594" t="s">
        <v>129</v>
      </c>
      <c r="K43" s="594"/>
      <c r="L43" s="295"/>
      <c r="M43" s="295"/>
      <c r="N43" s="295"/>
      <c r="O43" s="295"/>
      <c r="P43" s="12"/>
      <c r="S43" s="23" t="s">
        <v>41</v>
      </c>
    </row>
    <row r="44" spans="1:27" ht="13.5" customHeight="1" thickBot="1">
      <c r="B44" s="654"/>
      <c r="C44" s="350"/>
      <c r="D44" s="593"/>
      <c r="E44" s="581"/>
      <c r="F44" s="43"/>
      <c r="G44" s="41"/>
      <c r="H44" s="41"/>
      <c r="I44" s="42"/>
      <c r="J44" s="293" t="s">
        <v>17</v>
      </c>
      <c r="K44" s="294" t="s">
        <v>147</v>
      </c>
      <c r="L44" s="595" t="s">
        <v>136</v>
      </c>
      <c r="M44" s="595"/>
      <c r="N44" s="596"/>
      <c r="O44" s="295"/>
      <c r="P44" s="12"/>
      <c r="S44" s="23"/>
    </row>
    <row r="45" spans="1:27" ht="15" customHeight="1" thickBot="1">
      <c r="B45" s="654"/>
      <c r="C45" s="350"/>
      <c r="D45" s="597"/>
      <c r="E45" s="579"/>
      <c r="F45" s="43"/>
      <c r="G45" s="41"/>
      <c r="H45" s="41"/>
      <c r="I45" s="42"/>
      <c r="J45" s="288" t="s">
        <v>6</v>
      </c>
      <c r="K45" s="325">
        <v>3</v>
      </c>
      <c r="L45" s="344" t="s">
        <v>37</v>
      </c>
      <c r="M45" s="308" t="s">
        <v>38</v>
      </c>
      <c r="N45" s="308" t="s">
        <v>84</v>
      </c>
      <c r="O45" s="295"/>
      <c r="P45" s="12"/>
      <c r="S45" s="23"/>
    </row>
    <row r="46" spans="1:27" ht="15.75" customHeight="1" thickBot="1">
      <c r="B46" s="654"/>
      <c r="C46" s="350"/>
      <c r="D46" s="593"/>
      <c r="E46" s="581"/>
      <c r="F46" s="43"/>
      <c r="G46" s="41"/>
      <c r="H46" s="41"/>
      <c r="I46" s="42"/>
      <c r="J46" s="346" t="s">
        <v>9</v>
      </c>
      <c r="K46" s="325">
        <v>4</v>
      </c>
      <c r="L46" s="345">
        <f>AVERAGE('Jan 2nd'!K69,'Jan 3rd'!K69,'Jan 6th'!K54,'Jan 7th'!K76,'Jan 8th'!K76,'Jan. 10th'!K54,'Jan. 14th '!K54,'Jan.15th '!K55)</f>
        <v>6</v>
      </c>
      <c r="M46" s="326">
        <f>L46</f>
        <v>6</v>
      </c>
      <c r="N46" s="488"/>
      <c r="O46" s="295"/>
      <c r="P46" s="12"/>
      <c r="S46" s="23"/>
    </row>
    <row r="47" spans="1:27" ht="15" customHeight="1">
      <c r="B47" s="654"/>
      <c r="C47" s="350"/>
      <c r="D47" s="597"/>
      <c r="E47" s="579"/>
      <c r="F47" s="43"/>
      <c r="G47" s="41"/>
      <c r="H47" s="41"/>
      <c r="I47" s="42"/>
      <c r="J47" s="289" t="s">
        <v>40</v>
      </c>
      <c r="K47" s="325"/>
      <c r="L47" s="295"/>
      <c r="M47" s="295"/>
      <c r="N47" s="295"/>
      <c r="O47" s="295"/>
      <c r="P47" s="12"/>
      <c r="S47" s="23"/>
    </row>
    <row r="48" spans="1:27" ht="15" customHeight="1">
      <c r="B48" s="654"/>
      <c r="C48" s="350"/>
      <c r="D48" s="593"/>
      <c r="E48" s="581"/>
      <c r="F48" s="43"/>
      <c r="G48" s="41"/>
      <c r="H48" s="41"/>
      <c r="I48" s="42"/>
      <c r="J48" s="290" t="s">
        <v>33</v>
      </c>
      <c r="K48" s="325"/>
      <c r="L48" s="295"/>
      <c r="M48" s="295"/>
      <c r="N48" s="295"/>
      <c r="O48" s="295"/>
      <c r="P48" s="12"/>
      <c r="S48" s="23"/>
    </row>
    <row r="49" spans="2:58" ht="14.4">
      <c r="B49" s="654"/>
      <c r="C49" s="350"/>
      <c r="D49" s="597"/>
      <c r="E49" s="579"/>
      <c r="F49" s="43"/>
      <c r="G49" s="41"/>
      <c r="H49" s="41"/>
      <c r="I49" s="42"/>
      <c r="J49" s="291" t="s">
        <v>16</v>
      </c>
      <c r="K49" s="325"/>
      <c r="L49" s="295"/>
      <c r="M49" s="295"/>
      <c r="N49" s="295"/>
      <c r="O49" s="295"/>
      <c r="P49" s="12"/>
      <c r="S49" s="23"/>
      <c r="BD49" s="44"/>
      <c r="BE49" s="44"/>
    </row>
    <row r="50" spans="2:58" ht="14.4">
      <c r="B50" s="654"/>
      <c r="C50" s="350"/>
      <c r="D50" s="593"/>
      <c r="E50" s="581"/>
      <c r="F50" s="43"/>
      <c r="G50" s="41"/>
      <c r="H50" s="41"/>
      <c r="I50" s="42"/>
      <c r="J50" s="292" t="s">
        <v>15</v>
      </c>
      <c r="K50" s="325"/>
      <c r="L50" s="295"/>
      <c r="M50" s="295"/>
      <c r="N50" s="295"/>
      <c r="O50" s="295"/>
      <c r="P50" s="12"/>
      <c r="S50" s="23"/>
      <c r="BD50" s="44"/>
      <c r="BE50" s="44"/>
    </row>
    <row r="51" spans="2:58" ht="14.4">
      <c r="B51" s="654"/>
      <c r="C51" s="350"/>
      <c r="D51" s="598"/>
      <c r="E51" s="583"/>
      <c r="F51" s="43"/>
      <c r="G51" s="41"/>
      <c r="H51" s="41"/>
      <c r="I51" s="42"/>
      <c r="J51" s="292" t="s">
        <v>149</v>
      </c>
      <c r="K51" s="325"/>
      <c r="L51" s="295"/>
      <c r="M51" s="295"/>
      <c r="N51" s="295"/>
      <c r="O51" s="295"/>
      <c r="P51" s="12"/>
      <c r="S51" s="23"/>
      <c r="BD51" s="44"/>
      <c r="BE51" s="44"/>
    </row>
    <row r="52" spans="2:58" ht="15" thickBot="1">
      <c r="B52" s="655"/>
      <c r="C52" s="351"/>
      <c r="D52" s="599"/>
      <c r="E52" s="600"/>
      <c r="F52" s="43"/>
      <c r="G52" s="41"/>
      <c r="H52" s="41"/>
      <c r="I52" s="42"/>
      <c r="J52" s="292" t="s">
        <v>148</v>
      </c>
      <c r="K52" s="325"/>
      <c r="L52" s="295"/>
      <c r="M52" s="295"/>
      <c r="N52" s="295"/>
      <c r="O52" s="295"/>
      <c r="P52" s="12"/>
      <c r="S52" s="23"/>
      <c r="BD52" s="44"/>
      <c r="BE52" s="44"/>
    </row>
    <row r="53" spans="2:58" ht="17.7" customHeight="1" thickBot="1">
      <c r="B53" s="313" t="s">
        <v>139</v>
      </c>
      <c r="C53" s="314"/>
      <c r="D53" s="601" t="e">
        <f>AVERAGE(D30:E52)</f>
        <v>#DIV/0!</v>
      </c>
      <c r="E53" s="602"/>
      <c r="F53" s="43"/>
      <c r="G53" s="41"/>
      <c r="H53" s="41"/>
      <c r="I53" s="42"/>
      <c r="J53" s="296" t="s">
        <v>134</v>
      </c>
      <c r="K53" s="325"/>
      <c r="L53" s="295"/>
      <c r="M53" s="295"/>
      <c r="N53" s="295"/>
      <c r="O53" s="295"/>
      <c r="P53" s="12"/>
      <c r="S53" s="23"/>
      <c r="BD53" s="44"/>
      <c r="BE53" s="44"/>
    </row>
    <row r="54" spans="2:58" ht="17.7" customHeight="1">
      <c r="B54" s="364"/>
      <c r="C54" s="365"/>
      <c r="D54" s="366"/>
      <c r="E54" s="366"/>
      <c r="F54" s="43"/>
      <c r="G54" s="41"/>
      <c r="H54" s="41"/>
      <c r="I54" s="42"/>
      <c r="J54" s="296" t="s">
        <v>131</v>
      </c>
      <c r="K54" s="325"/>
      <c r="L54" s="295"/>
      <c r="M54" s="295"/>
      <c r="N54" s="295"/>
      <c r="O54" s="295"/>
      <c r="P54" s="12"/>
      <c r="S54" s="23"/>
      <c r="BD54" s="44"/>
      <c r="BE54" s="44"/>
    </row>
    <row r="55" spans="2:58" ht="15.75" customHeight="1">
      <c r="B55" s="45"/>
      <c r="C55" s="11"/>
      <c r="D55" s="11"/>
      <c r="E55" s="46"/>
      <c r="F55" s="23"/>
      <c r="G55" s="11"/>
      <c r="H55" s="41"/>
      <c r="I55" s="42"/>
      <c r="J55" s="347" t="s">
        <v>130</v>
      </c>
      <c r="K55" s="325">
        <f>SUM(K45:K54)</f>
        <v>7</v>
      </c>
      <c r="L55" s="295"/>
      <c r="M55" s="295"/>
      <c r="N55" s="295"/>
      <c r="O55" s="295"/>
      <c r="P55" s="12"/>
    </row>
    <row r="56" spans="2:58" ht="20.25" customHeight="1">
      <c r="B56" s="15" t="s">
        <v>42</v>
      </c>
      <c r="C56" s="1" t="s">
        <v>43</v>
      </c>
      <c r="D56" s="1"/>
      <c r="E56" s="1"/>
      <c r="I56" s="42"/>
      <c r="L56" s="295"/>
      <c r="P56" s="335"/>
    </row>
    <row r="57" spans="2:58" ht="15" customHeight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9"/>
      <c r="X57" s="276" t="s">
        <v>41</v>
      </c>
    </row>
    <row r="58" spans="2:58" ht="15" customHeight="1" thickBot="1">
      <c r="B58" s="603" t="s">
        <v>17</v>
      </c>
      <c r="C58" s="603" t="s">
        <v>44</v>
      </c>
      <c r="D58" s="605" t="s">
        <v>45</v>
      </c>
      <c r="E58" s="560" t="s">
        <v>46</v>
      </c>
      <c r="F58" s="620" t="s">
        <v>47</v>
      </c>
      <c r="G58" s="614" t="s">
        <v>48</v>
      </c>
      <c r="H58" s="603" t="s">
        <v>49</v>
      </c>
      <c r="I58" s="616" t="s">
        <v>50</v>
      </c>
      <c r="J58" s="608" t="s">
        <v>28</v>
      </c>
      <c r="K58" s="558" t="s">
        <v>51</v>
      </c>
      <c r="L58" s="570" t="s">
        <v>52</v>
      </c>
      <c r="M58" s="608" t="s">
        <v>53</v>
      </c>
      <c r="N58" s="77"/>
      <c r="O58" s="13"/>
      <c r="P58" s="50"/>
    </row>
    <row r="59" spans="2:58" ht="28.5" customHeight="1" thickTop="1" thickBot="1">
      <c r="B59" s="604"/>
      <c r="C59" s="604"/>
      <c r="D59" s="606"/>
      <c r="E59" s="607"/>
      <c r="F59" s="621"/>
      <c r="G59" s="615"/>
      <c r="H59" s="604"/>
      <c r="I59" s="617"/>
      <c r="J59" s="609"/>
      <c r="K59" s="618"/>
      <c r="L59" s="619"/>
      <c r="M59" s="609"/>
      <c r="N59" s="77"/>
      <c r="O59" s="13"/>
      <c r="P59" s="50"/>
      <c r="Q59" s="356"/>
      <c r="R59" s="356"/>
      <c r="S59" s="356"/>
      <c r="T59" s="356"/>
      <c r="U59" s="51">
        <v>43466</v>
      </c>
      <c r="V59" s="51">
        <v>43467</v>
      </c>
      <c r="W59" s="51">
        <v>43468</v>
      </c>
      <c r="X59" s="51">
        <v>43469</v>
      </c>
      <c r="Y59" s="51">
        <v>43470</v>
      </c>
      <c r="Z59" s="51">
        <v>43471</v>
      </c>
      <c r="AA59" s="51">
        <v>43472</v>
      </c>
      <c r="AB59" s="51">
        <v>43473</v>
      </c>
      <c r="AC59" s="51">
        <v>43474</v>
      </c>
      <c r="AD59" s="51">
        <v>43475</v>
      </c>
      <c r="AE59" s="51">
        <v>43476</v>
      </c>
      <c r="AF59" s="51">
        <v>43477</v>
      </c>
      <c r="AG59" s="51">
        <v>43478</v>
      </c>
      <c r="AH59" s="51">
        <v>43479</v>
      </c>
      <c r="AI59" s="51">
        <v>43480</v>
      </c>
      <c r="AJ59" s="51">
        <v>43481</v>
      </c>
      <c r="AK59" s="51">
        <v>43482</v>
      </c>
      <c r="AL59" s="51">
        <v>43483</v>
      </c>
      <c r="AM59" s="51">
        <v>43484</v>
      </c>
      <c r="AN59" s="51">
        <v>43485</v>
      </c>
      <c r="AO59" s="51">
        <v>43486</v>
      </c>
      <c r="AP59" s="51">
        <v>43487</v>
      </c>
      <c r="AQ59" s="51">
        <v>43488</v>
      </c>
      <c r="AR59" s="51">
        <v>43489</v>
      </c>
      <c r="AS59" s="51">
        <v>43490</v>
      </c>
      <c r="AT59" s="51">
        <v>43491</v>
      </c>
      <c r="AU59" s="51">
        <v>43492</v>
      </c>
      <c r="AV59" s="51">
        <v>43493</v>
      </c>
      <c r="AW59" s="51">
        <v>43494</v>
      </c>
      <c r="AX59" s="51">
        <v>43495</v>
      </c>
      <c r="AY59" s="51">
        <v>43496</v>
      </c>
    </row>
    <row r="60" spans="2:58" s="54" customFormat="1" ht="60.75" customHeight="1" thickBot="1">
      <c r="B60" s="511"/>
      <c r="C60" s="284"/>
      <c r="D60" s="378"/>
      <c r="E60" s="379"/>
      <c r="F60" s="380"/>
      <c r="G60" s="304"/>
      <c r="H60" s="382"/>
      <c r="I60" s="383"/>
      <c r="J60" s="391" t="s">
        <v>180</v>
      </c>
      <c r="K60" s="381"/>
      <c r="L60" s="315" t="e">
        <f>(((D60+E60)-G60)/(D60+E60))*100</f>
        <v>#DIV/0!</v>
      </c>
      <c r="M60" s="358"/>
      <c r="N60" s="13"/>
      <c r="O60" s="13"/>
      <c r="P60" s="50"/>
      <c r="T60" s="273" t="s">
        <v>54</v>
      </c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  <c r="AH60" s="280"/>
      <c r="AI60" s="280"/>
      <c r="AJ60" s="280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80"/>
      <c r="AV60" s="280"/>
      <c r="AW60" s="280"/>
      <c r="AX60" s="280"/>
    </row>
    <row r="61" spans="2:58" s="54" customFormat="1" ht="18.75" customHeight="1" thickBot="1">
      <c r="B61" s="388"/>
      <c r="C61" s="284"/>
      <c r="D61" s="280"/>
      <c r="E61" s="280"/>
      <c r="F61" s="280"/>
      <c r="G61" s="280"/>
      <c r="H61" s="321"/>
      <c r="I61" s="322"/>
      <c r="J61" s="390" t="s">
        <v>41</v>
      </c>
      <c r="K61" s="377"/>
      <c r="L61" s="315"/>
      <c r="M61" s="385"/>
      <c r="N61" s="13"/>
      <c r="O61" s="13"/>
      <c r="P61" s="50"/>
      <c r="T61" s="273" t="s">
        <v>51</v>
      </c>
      <c r="U61" s="57" t="e">
        <f>[20]January_2019!D8</f>
        <v>#DIV/0!</v>
      </c>
      <c r="V61" s="57">
        <f>[20]January_2019!E8</f>
        <v>1.0319298245614037</v>
      </c>
      <c r="W61" s="57">
        <f>[20]January_2019!F8</f>
        <v>1.7789473684210526</v>
      </c>
      <c r="X61" s="57">
        <f>[20]January_2019!G8</f>
        <v>0.51929824561403504</v>
      </c>
      <c r="Y61" s="57" t="e">
        <f>[20]January_2019!H8</f>
        <v>#DIV/0!</v>
      </c>
      <c r="Z61" s="57" t="e">
        <f>[20]January_2019!I8</f>
        <v>#DIV/0!</v>
      </c>
      <c r="AA61" s="57">
        <f>[20]January_2019!J8</f>
        <v>1.365263157894737</v>
      </c>
      <c r="AB61" s="57" t="e">
        <f>[20]January_2019!K8</f>
        <v>#DIV/0!</v>
      </c>
      <c r="AC61" s="57">
        <f>[20]January_2019!L8</f>
        <v>1.0028070175438597</v>
      </c>
      <c r="AD61" s="57">
        <f>[20]January_2019!M8</f>
        <v>1.7828070175438597</v>
      </c>
      <c r="AE61" s="57" t="e">
        <f>[20]January_2019!N8</f>
        <v>#DIV/0!</v>
      </c>
      <c r="AF61" s="57" t="e">
        <f>[20]January_2019!O8</f>
        <v>#DIV/0!</v>
      </c>
      <c r="AG61" s="57">
        <f>[20]January_2019!P8</f>
        <v>0.19222222222222221</v>
      </c>
      <c r="AH61" s="57">
        <f>[20]January_2019!Q8</f>
        <v>0.52219298245614032</v>
      </c>
      <c r="AI61" s="57">
        <f>[20]January_2019!R8</f>
        <v>0.42912280701754385</v>
      </c>
      <c r="AJ61" s="57" t="e">
        <f>[20]January_2019!S8</f>
        <v>#DIV/0!</v>
      </c>
      <c r="AK61" s="57">
        <f>[20]January_2019!T8</f>
        <v>1.0340350877192983</v>
      </c>
      <c r="AL61" s="57">
        <f>[20]January_2019!U8</f>
        <v>0.98421052631578942</v>
      </c>
      <c r="AM61" s="57" t="e">
        <f>[20]January_2019!V8</f>
        <v>#DIV/0!</v>
      </c>
      <c r="AN61" s="57" t="e">
        <f>[20]January_2019!W8</f>
        <v>#DIV/0!</v>
      </c>
      <c r="AO61" s="57">
        <f>[20]January_2019!X8</f>
        <v>0.66052631578947374</v>
      </c>
      <c r="AP61" s="57">
        <f>[20]January_2019!Y8</f>
        <v>1.0375438596491227</v>
      </c>
      <c r="AQ61" s="57">
        <f>[20]January_2019!Z8</f>
        <v>0.90456140350877201</v>
      </c>
      <c r="AR61" s="57">
        <f>[20]January_2019!AA8</f>
        <v>1.0217543859649123</v>
      </c>
      <c r="AS61" s="57">
        <f>[20]January_2019!AB8</f>
        <v>0.65614035087719302</v>
      </c>
      <c r="AT61" s="57" t="e">
        <f>[20]January_2019!AC8</f>
        <v>#DIV/0!</v>
      </c>
      <c r="AU61" s="57" t="e">
        <f>[20]January_2019!AD8</f>
        <v>#DIV/0!</v>
      </c>
      <c r="AV61" s="57">
        <f>[20]January_2019!AE8</f>
        <v>1.7021052631578948</v>
      </c>
      <c r="AW61" s="57">
        <f>[20]January_2019!AF8</f>
        <v>0.60192982456140354</v>
      </c>
      <c r="AX61" s="57">
        <f>[20]January_2019!AG8</f>
        <v>1.4870175438596491</v>
      </c>
      <c r="AY61" s="278" t="e">
        <f>[20]January_2019!AH8</f>
        <v>#DIV/0!</v>
      </c>
      <c r="AZ61" s="278"/>
      <c r="BA61" s="278"/>
      <c r="BB61" s="278"/>
      <c r="BC61" s="278"/>
      <c r="BD61" s="278"/>
      <c r="BE61" s="278"/>
      <c r="BF61" s="278"/>
    </row>
    <row r="62" spans="2:58" s="54" customFormat="1" ht="23.25" hidden="1" customHeight="1" thickBot="1">
      <c r="B62" s="374"/>
      <c r="C62" s="284"/>
      <c r="D62" s="280"/>
      <c r="E62" s="280"/>
      <c r="F62" s="280"/>
      <c r="G62" s="280"/>
      <c r="H62" s="382"/>
      <c r="I62" s="383"/>
      <c r="J62" s="391"/>
      <c r="K62" s="373"/>
      <c r="L62" s="315"/>
      <c r="M62" s="358"/>
      <c r="N62" s="13"/>
      <c r="O62" s="13"/>
      <c r="P62" s="50"/>
      <c r="T62" s="273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278"/>
      <c r="AZ62" s="278"/>
      <c r="BA62" s="278"/>
      <c r="BB62" s="278"/>
      <c r="BC62" s="278"/>
      <c r="BD62" s="278"/>
      <c r="BE62" s="278"/>
      <c r="BF62" s="278"/>
    </row>
    <row r="63" spans="2:58" s="54" customFormat="1" ht="14.4" hidden="1" thickBot="1">
      <c r="B63" s="362"/>
      <c r="C63" s="284"/>
      <c r="D63" s="305"/>
      <c r="E63" s="280"/>
      <c r="F63" s="280"/>
      <c r="G63" s="280"/>
      <c r="H63" s="382"/>
      <c r="I63" s="383"/>
      <c r="J63" s="390"/>
      <c r="K63" s="377"/>
      <c r="L63" s="315"/>
      <c r="M63" s="355"/>
      <c r="N63" s="13"/>
      <c r="O63" s="13"/>
      <c r="P63" s="50"/>
      <c r="T63" s="273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278"/>
      <c r="AZ63" s="278"/>
      <c r="BA63" s="278"/>
      <c r="BB63" s="278"/>
      <c r="BC63" s="278"/>
      <c r="BD63" s="278"/>
      <c r="BE63" s="278"/>
      <c r="BF63" s="278"/>
    </row>
    <row r="64" spans="2:58" s="54" customFormat="1" ht="45.75" hidden="1" customHeight="1">
      <c r="B64" s="386"/>
      <c r="C64" s="284"/>
      <c r="D64" s="280"/>
      <c r="E64" s="280"/>
      <c r="F64" s="280"/>
      <c r="G64" s="280"/>
      <c r="H64" s="321"/>
      <c r="I64" s="323"/>
      <c r="J64" s="361"/>
      <c r="K64" s="287"/>
      <c r="L64" s="315"/>
      <c r="M64" s="385"/>
      <c r="N64" s="13"/>
      <c r="O64" s="13"/>
      <c r="P64" s="50"/>
      <c r="T64" s="273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278"/>
      <c r="AZ64" s="278"/>
      <c r="BA64" s="278"/>
      <c r="BB64" s="278"/>
      <c r="BC64" s="278"/>
      <c r="BD64" s="278"/>
      <c r="BE64" s="278"/>
      <c r="BF64" s="278"/>
    </row>
    <row r="65" spans="2:58" s="54" customFormat="1" ht="45.75" hidden="1" customHeight="1">
      <c r="B65" s="362"/>
      <c r="C65" s="284"/>
      <c r="D65" s="280"/>
      <c r="E65" s="280"/>
      <c r="F65" s="280"/>
      <c r="G65" s="280"/>
      <c r="H65" s="321"/>
      <c r="I65" s="323"/>
      <c r="J65" s="282"/>
      <c r="K65" s="287"/>
      <c r="L65" s="315"/>
      <c r="M65" s="340"/>
      <c r="N65" s="13"/>
      <c r="O65" s="13"/>
      <c r="P65" s="50"/>
      <c r="T65" s="273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278"/>
      <c r="AZ65" s="278"/>
      <c r="BA65" s="278"/>
      <c r="BB65" s="278"/>
      <c r="BC65" s="278"/>
      <c r="BD65" s="278"/>
      <c r="BE65" s="278"/>
      <c r="BF65" s="278"/>
    </row>
    <row r="66" spans="2:58" ht="14.4" hidden="1" thickBot="1">
      <c r="B66" s="33"/>
      <c r="C66" s="311"/>
      <c r="D66" s="280"/>
      <c r="E66" s="280"/>
      <c r="F66" s="280"/>
      <c r="G66" s="280"/>
      <c r="H66" s="353"/>
      <c r="I66" s="354"/>
      <c r="J66" s="52"/>
      <c r="K66" s="52"/>
      <c r="L66" s="53"/>
      <c r="M66" s="55"/>
      <c r="N66" s="77"/>
      <c r="O66" s="13"/>
      <c r="P66" s="56"/>
    </row>
    <row r="67" spans="2:58" ht="14.4" thickBot="1">
      <c r="B67" s="58"/>
      <c r="C67" s="310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  <c r="O67" s="56"/>
      <c r="P67" s="60"/>
    </row>
    <row r="68" spans="2:58" ht="14.4" thickBot="1">
      <c r="B68" s="610" t="s">
        <v>55</v>
      </c>
      <c r="C68" s="611"/>
      <c r="D68" s="611"/>
      <c r="E68" s="611"/>
      <c r="F68" s="612"/>
      <c r="G68" s="610" t="s">
        <v>56</v>
      </c>
      <c r="H68" s="611"/>
      <c r="I68" s="611"/>
      <c r="J68" s="612"/>
      <c r="K68" s="610" t="s">
        <v>51</v>
      </c>
      <c r="L68" s="611"/>
      <c r="M68" s="611"/>
      <c r="N68" s="613"/>
      <c r="O68" s="56"/>
      <c r="P68" s="50"/>
    </row>
    <row r="69" spans="2:58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8">
      <c r="B70" s="29" t="s">
        <v>6</v>
      </c>
      <c r="C70" s="65" t="e">
        <f>L60</f>
        <v>#DIV/0!</v>
      </c>
      <c r="D70" s="76">
        <v>19.803308001788107</v>
      </c>
      <c r="E70" s="76"/>
      <c r="F70" s="66">
        <v>4.8</v>
      </c>
      <c r="G70" s="65"/>
      <c r="H70" s="76">
        <v>11.396661454981579</v>
      </c>
      <c r="I70" s="76"/>
      <c r="J70" s="66">
        <v>4.8</v>
      </c>
      <c r="K70" s="67">
        <f>K60</f>
        <v>0</v>
      </c>
      <c r="L70" s="194">
        <v>0.92431077694235586</v>
      </c>
      <c r="M70" s="194"/>
      <c r="N70" s="68">
        <v>1</v>
      </c>
      <c r="O70" s="56"/>
      <c r="P70" s="69"/>
    </row>
    <row r="71" spans="2:58">
      <c r="B71" s="33" t="s">
        <v>9</v>
      </c>
      <c r="C71" s="65"/>
      <c r="D71" s="76">
        <v>5.2465523383033963</v>
      </c>
      <c r="E71" s="76"/>
      <c r="F71" s="66">
        <v>4.8</v>
      </c>
      <c r="G71" s="65"/>
      <c r="H71" s="76">
        <v>10.629568276405662</v>
      </c>
      <c r="I71" s="76"/>
      <c r="J71" s="66">
        <v>4.8</v>
      </c>
      <c r="K71" s="67"/>
      <c r="L71" s="194">
        <v>1.3066666666666666</v>
      </c>
      <c r="M71" s="194"/>
      <c r="N71" s="68">
        <v>1</v>
      </c>
      <c r="P71" s="69"/>
    </row>
    <row r="72" spans="2:58">
      <c r="B72" s="34" t="s">
        <v>40</v>
      </c>
      <c r="C72" s="65"/>
      <c r="D72" s="76">
        <v>7.5530586766541949</v>
      </c>
      <c r="E72" s="76"/>
      <c r="F72" s="66">
        <v>5.5</v>
      </c>
      <c r="G72" s="65"/>
      <c r="H72" s="76">
        <v>2.6473552031086438</v>
      </c>
      <c r="I72" s="76"/>
      <c r="J72" s="66">
        <v>5.5</v>
      </c>
      <c r="K72" s="67"/>
      <c r="L72" s="194">
        <v>1.0392982456140349</v>
      </c>
      <c r="M72" s="194"/>
      <c r="N72" s="68">
        <v>1</v>
      </c>
      <c r="P72" s="69"/>
    </row>
    <row r="73" spans="2:58">
      <c r="B73" s="22" t="s">
        <v>33</v>
      </c>
      <c r="C73" s="65"/>
      <c r="D73" s="76">
        <v>2.2380467955239092</v>
      </c>
      <c r="E73" s="76"/>
      <c r="F73" s="66">
        <v>3.3</v>
      </c>
      <c r="G73" s="65"/>
      <c r="H73" s="76">
        <v>5.2472220688473969</v>
      </c>
      <c r="I73" s="76"/>
      <c r="J73" s="66">
        <v>3.3</v>
      </c>
      <c r="K73" s="67"/>
      <c r="L73" s="194">
        <v>0.67438596491228064</v>
      </c>
      <c r="M73" s="194"/>
      <c r="N73" s="68">
        <v>1</v>
      </c>
      <c r="P73" s="69"/>
    </row>
    <row r="74" spans="2:58">
      <c r="B74" s="35" t="s">
        <v>29</v>
      </c>
      <c r="C74" s="65"/>
      <c r="D74" s="76"/>
      <c r="E74" s="76"/>
      <c r="F74" s="66">
        <v>3.3</v>
      </c>
      <c r="G74" s="283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8">
      <c r="B75" s="36" t="s">
        <v>15</v>
      </c>
      <c r="C75" s="283"/>
      <c r="D75" s="76"/>
      <c r="E75" s="76"/>
      <c r="F75" s="70">
        <f>[21]May_2022!$M$43</f>
        <v>3.4878406700073312</v>
      </c>
      <c r="G75" s="283"/>
      <c r="H75" s="76"/>
      <c r="I75" s="76"/>
      <c r="J75" s="70">
        <v>5.5</v>
      </c>
      <c r="K75" s="67"/>
      <c r="L75" s="194"/>
      <c r="M75" s="194"/>
      <c r="N75" s="68">
        <v>1</v>
      </c>
      <c r="P75" s="69"/>
    </row>
    <row r="76" spans="2:58">
      <c r="B76" s="37" t="s">
        <v>16</v>
      </c>
      <c r="C76" s="65"/>
      <c r="D76" s="76"/>
      <c r="E76" s="76"/>
      <c r="F76" s="70">
        <v>3.3</v>
      </c>
      <c r="G76" s="283"/>
      <c r="H76" s="76"/>
      <c r="I76" s="76"/>
      <c r="J76" s="70">
        <v>3.3</v>
      </c>
      <c r="K76" s="67"/>
      <c r="L76" s="194"/>
      <c r="M76" s="194"/>
      <c r="N76" s="71">
        <v>1</v>
      </c>
      <c r="P76" s="69"/>
    </row>
    <row r="77" spans="2:58" ht="14.4" thickBot="1">
      <c r="B77" s="38" t="s">
        <v>127</v>
      </c>
      <c r="C77" s="65"/>
      <c r="D77" s="76"/>
      <c r="E77" s="76"/>
      <c r="F77" s="72">
        <v>7.5</v>
      </c>
      <c r="G77" s="73"/>
      <c r="H77" s="76"/>
      <c r="I77" s="76"/>
      <c r="J77" s="72">
        <v>7.5</v>
      </c>
      <c r="K77" s="67"/>
      <c r="L77" s="194"/>
      <c r="M77" s="194"/>
      <c r="N77" s="71">
        <v>1</v>
      </c>
      <c r="P77" s="69"/>
    </row>
    <row r="78" spans="2:58">
      <c r="C78" s="65"/>
      <c r="D78" s="76">
        <v>11.518417324428247</v>
      </c>
      <c r="E78" s="76"/>
      <c r="F78" s="342">
        <v>4.5</v>
      </c>
      <c r="G78" s="74"/>
      <c r="H78" s="76">
        <v>6.9593481484924711</v>
      </c>
      <c r="I78" s="76"/>
      <c r="J78" s="343">
        <v>4.5</v>
      </c>
      <c r="K78" s="67"/>
      <c r="L78" s="194">
        <v>0.80685146198830426</v>
      </c>
      <c r="M78" s="194"/>
      <c r="N78" s="387">
        <v>1</v>
      </c>
      <c r="O78" s="74"/>
      <c r="P78" s="75"/>
    </row>
    <row r="83" spans="6:30">
      <c r="F83" s="316"/>
    </row>
    <row r="91" spans="6:30">
      <c r="AD91" s="276" t="s">
        <v>57</v>
      </c>
    </row>
  </sheetData>
  <mergeCells count="52">
    <mergeCell ref="M58:M59"/>
    <mergeCell ref="B68:F68"/>
    <mergeCell ref="G68:J68"/>
    <mergeCell ref="K68:N68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C4:D4"/>
    <mergeCell ref="M4:N4"/>
    <mergeCell ref="I28:N28"/>
    <mergeCell ref="D29:E29"/>
    <mergeCell ref="B30:B42"/>
    <mergeCell ref="D30:E31"/>
    <mergeCell ref="D32:E33"/>
    <mergeCell ref="D34:E35"/>
    <mergeCell ref="D36:E37"/>
    <mergeCell ref="D39:E40"/>
    <mergeCell ref="D41:E4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53:B54">
    <cfRule type="cellIs" dxfId="1884" priority="143" operator="notBetween">
      <formula>#REF!</formula>
      <formula>#REF!</formula>
    </cfRule>
  </conditionalFormatting>
  <conditionalFormatting sqref="C57">
    <cfRule type="cellIs" dxfId="1883" priority="176" stopIfTrue="1" operator="greaterThan">
      <formula>100</formula>
    </cfRule>
    <cfRule type="cellIs" dxfId="1882" priority="175" stopIfTrue="1" operator="lessThan">
      <formula>96</formula>
    </cfRule>
  </conditionalFormatting>
  <conditionalFormatting sqref="C70">
    <cfRule type="cellIs" dxfId="1881" priority="58" stopIfTrue="1" operator="greaterThan">
      <formula>$F70</formula>
    </cfRule>
  </conditionalFormatting>
  <conditionalFormatting sqref="C70:C71">
    <cfRule type="cellIs" dxfId="1880" priority="59" stopIfTrue="1" operator="lessThanOrEqual">
      <formula>0</formula>
    </cfRule>
  </conditionalFormatting>
  <conditionalFormatting sqref="C71">
    <cfRule type="cellIs" dxfId="1879" priority="179" stopIfTrue="1" operator="greaterThan">
      <formula>$F70</formula>
    </cfRule>
  </conditionalFormatting>
  <conditionalFormatting sqref="C72:C74">
    <cfRule type="cellIs" dxfId="1878" priority="93" stopIfTrue="1" operator="greaterThan">
      <formula>$F72</formula>
    </cfRule>
  </conditionalFormatting>
  <conditionalFormatting sqref="C72:C75">
    <cfRule type="cellIs" dxfId="1877" priority="116" stopIfTrue="1" operator="lessThanOrEqual">
      <formula>0</formula>
    </cfRule>
  </conditionalFormatting>
  <conditionalFormatting sqref="C75">
    <cfRule type="cellIs" dxfId="1876" priority="115" stopIfTrue="1" operator="greaterThan">
      <formula>$J75</formula>
    </cfRule>
  </conditionalFormatting>
  <conditionalFormatting sqref="C81:C85">
    <cfRule type="cellIs" dxfId="1875" priority="167" stopIfTrue="1" operator="lessThanOrEqual">
      <formula>0</formula>
    </cfRule>
  </conditionalFormatting>
  <conditionalFormatting sqref="C82:C85">
    <cfRule type="cellIs" dxfId="1874" priority="166" stopIfTrue="1" operator="greaterThan">
      <formula>$F$81</formula>
    </cfRule>
  </conditionalFormatting>
  <conditionalFormatting sqref="C87">
    <cfRule type="cellIs" dxfId="1873" priority="169" stopIfTrue="1" operator="lessThanOrEqual">
      <formula>0</formula>
    </cfRule>
    <cfRule type="cellIs" dxfId="1872" priority="168" stopIfTrue="1" operator="greaterThan">
      <formula>$F$81</formula>
    </cfRule>
  </conditionalFormatting>
  <conditionalFormatting sqref="C81:D81 D83:D89">
    <cfRule type="cellIs" dxfId="1871" priority="161" stopIfTrue="1" operator="greaterThan">
      <formula>4.5</formula>
    </cfRule>
  </conditionalFormatting>
  <conditionalFormatting sqref="D53:D54">
    <cfRule type="cellIs" dxfId="1870" priority="144" operator="notBetween">
      <formula>#REF!</formula>
      <formula>#REF!</formula>
    </cfRule>
  </conditionalFormatting>
  <conditionalFormatting sqref="D70:D77">
    <cfRule type="cellIs" dxfId="1869" priority="130" stopIfTrue="1" operator="lessThanOrEqual">
      <formula>0</formula>
    </cfRule>
  </conditionalFormatting>
  <conditionalFormatting sqref="D78">
    <cfRule type="cellIs" dxfId="1868" priority="129" stopIfTrue="1" operator="lessThanOrEqual">
      <formula>0</formula>
    </cfRule>
  </conditionalFormatting>
  <conditionalFormatting sqref="D81 D83:D89">
    <cfRule type="cellIs" dxfId="1867" priority="162" stopIfTrue="1" operator="lessThanOrEqual">
      <formula>0</formula>
    </cfRule>
  </conditionalFormatting>
  <conditionalFormatting sqref="D82">
    <cfRule type="cellIs" dxfId="1866" priority="154" stopIfTrue="1" operator="lessThanOrEqual">
      <formula>0</formula>
    </cfRule>
    <cfRule type="cellIs" dxfId="1865" priority="153" stopIfTrue="1" operator="greaterThan">
      <formula>$F$81</formula>
    </cfRule>
  </conditionalFormatting>
  <conditionalFormatting sqref="D70:E78">
    <cfRule type="cellIs" dxfId="1864" priority="122" stopIfTrue="1" operator="greaterThan">
      <formula>$F70</formula>
    </cfRule>
  </conditionalFormatting>
  <conditionalFormatting sqref="E10:E21">
    <cfRule type="cellIs" dxfId="1863" priority="62" operator="lessThan">
      <formula>48</formula>
    </cfRule>
  </conditionalFormatting>
  <conditionalFormatting sqref="E23:E26">
    <cfRule type="cellIs" dxfId="1862" priority="8" operator="lessThan">
      <formula>48</formula>
    </cfRule>
  </conditionalFormatting>
  <conditionalFormatting sqref="E57">
    <cfRule type="cellIs" dxfId="1861" priority="155" stopIfTrue="1" operator="lessThan">
      <formula>96.8</formula>
    </cfRule>
    <cfRule type="cellIs" dxfId="1860" priority="156" stopIfTrue="1" operator="greaterThan">
      <formula>100</formula>
    </cfRule>
  </conditionalFormatting>
  <conditionalFormatting sqref="E70:E78">
    <cfRule type="cellIs" dxfId="1859" priority="123" stopIfTrue="1" operator="lessThanOrEqual">
      <formula>0</formula>
    </cfRule>
  </conditionalFormatting>
  <conditionalFormatting sqref="E81:E89">
    <cfRule type="cellIs" dxfId="1858" priority="148" stopIfTrue="1" operator="lessThanOrEqual">
      <formula>0</formula>
    </cfRule>
    <cfRule type="cellIs" dxfId="1857" priority="147" stopIfTrue="1" operator="greaterThan">
      <formula>4.5</formula>
    </cfRule>
  </conditionalFormatting>
  <conditionalFormatting sqref="E56:F57">
    <cfRule type="cellIs" dxfId="1856" priority="158" stopIfTrue="1" operator="greaterThan">
      <formula>100</formula>
    </cfRule>
    <cfRule type="cellIs" dxfId="1855" priority="157" stopIfTrue="1" operator="lessThan">
      <formula>96.5</formula>
    </cfRule>
  </conditionalFormatting>
  <conditionalFormatting sqref="F10:F12">
    <cfRule type="cellIs" dxfId="1854" priority="66" operator="greaterThan">
      <formula>$AA23</formula>
    </cfRule>
  </conditionalFormatting>
  <conditionalFormatting sqref="F10:F22 F27">
    <cfRule type="cellIs" dxfId="1853" priority="45" operator="greaterThan">
      <formula>$AA10</formula>
    </cfRule>
  </conditionalFormatting>
  <conditionalFormatting sqref="F13:F21">
    <cfRule type="cellIs" dxfId="1852" priority="214" operator="greaterThan">
      <formula>$AA27</formula>
    </cfRule>
  </conditionalFormatting>
  <conditionalFormatting sqref="F23:F26">
    <cfRule type="cellIs" dxfId="1851" priority="7" operator="greaterThan">
      <formula>60</formula>
    </cfRule>
  </conditionalFormatting>
  <conditionalFormatting sqref="F57">
    <cfRule type="cellIs" dxfId="1850" priority="173" stopIfTrue="1" operator="lessThan">
      <formula>96.8</formula>
    </cfRule>
    <cfRule type="cellIs" dxfId="1849" priority="174" stopIfTrue="1" operator="greaterThan">
      <formula>100</formula>
    </cfRule>
  </conditionalFormatting>
  <conditionalFormatting sqref="F78">
    <cfRule type="cellIs" dxfId="1848" priority="124" stopIfTrue="1" operator="greaterThan">
      <formula>$F78</formula>
    </cfRule>
    <cfRule type="cellIs" dxfId="1847" priority="125" stopIfTrue="1" operator="lessThanOrEqual">
      <formula>0</formula>
    </cfRule>
  </conditionalFormatting>
  <conditionalFormatting sqref="G10:G21">
    <cfRule type="expression" dxfId="1846" priority="67">
      <formula>IF(+(IF(G10&lt;#REF!,0,IF(G10&gt;#REF!,0,1)))=0,1)</formula>
    </cfRule>
  </conditionalFormatting>
  <conditionalFormatting sqref="G23:G26">
    <cfRule type="expression" dxfId="1845" priority="11">
      <formula>IF(+(IF(G23&lt;#REF!,0,IF(G23&gt;#REF!,0,1)))=0,1)</formula>
    </cfRule>
  </conditionalFormatting>
  <conditionalFormatting sqref="G70:G71 C76:C78">
    <cfRule type="cellIs" dxfId="1844" priority="131" stopIfTrue="1" operator="greaterThan">
      <formula>$F70</formula>
    </cfRule>
    <cfRule type="cellIs" dxfId="1843" priority="132" stopIfTrue="1" operator="lessThanOrEqual">
      <formula>0</formula>
    </cfRule>
  </conditionalFormatting>
  <conditionalFormatting sqref="G70:G71">
    <cfRule type="cellIs" dxfId="1842" priority="72" stopIfTrue="1" operator="lessThanOrEqual">
      <formula>0</formula>
    </cfRule>
    <cfRule type="cellIs" dxfId="1841" priority="71" stopIfTrue="1" operator="greaterThan">
      <formula>$F70</formula>
    </cfRule>
  </conditionalFormatting>
  <conditionalFormatting sqref="G72">
    <cfRule type="cellIs" dxfId="1840" priority="177" stopIfTrue="1" operator="greaterThan">
      <formula>$F71</formula>
    </cfRule>
    <cfRule type="cellIs" dxfId="1839" priority="178" stopIfTrue="1" operator="lessThanOrEqual">
      <formula>0</formula>
    </cfRule>
  </conditionalFormatting>
  <conditionalFormatting sqref="G73">
    <cfRule type="cellIs" dxfId="1838" priority="126" stopIfTrue="1" operator="greaterThan">
      <formula>$F73</formula>
    </cfRule>
    <cfRule type="cellIs" dxfId="1837" priority="127" stopIfTrue="1" operator="lessThanOrEqual">
      <formula>0</formula>
    </cfRule>
  </conditionalFormatting>
  <conditionalFormatting sqref="G74:G77">
    <cfRule type="cellIs" dxfId="1836" priority="134" stopIfTrue="1" operator="greaterThan">
      <formula>$J74</formula>
    </cfRule>
    <cfRule type="cellIs" dxfId="1835" priority="135" stopIfTrue="1" operator="lessThanOrEqual">
      <formula>0</formula>
    </cfRule>
  </conditionalFormatting>
  <conditionalFormatting sqref="G78">
    <cfRule type="cellIs" dxfId="1834" priority="133" operator="greaterThan">
      <formula>4.5</formula>
    </cfRule>
  </conditionalFormatting>
  <conditionalFormatting sqref="G83:G88 C86 C88">
    <cfRule type="cellIs" dxfId="1833" priority="171" stopIfTrue="1" operator="lessThanOrEqual">
      <formula>0</formula>
    </cfRule>
    <cfRule type="cellIs" dxfId="1832" priority="170" stopIfTrue="1" operator="greaterThan">
      <formula>4.5</formula>
    </cfRule>
  </conditionalFormatting>
  <conditionalFormatting sqref="G43:H43 G44:G54 H44:H55">
    <cfRule type="cellIs" dxfId="1831" priority="149" stopIfTrue="1" operator="greaterThan">
      <formula>0</formula>
    </cfRule>
  </conditionalFormatting>
  <conditionalFormatting sqref="G82:H82">
    <cfRule type="cellIs" dxfId="1830" priority="151" stopIfTrue="1" operator="greaterThan">
      <formula>$F$81</formula>
    </cfRule>
    <cfRule type="cellIs" dxfId="1829" priority="152" stopIfTrue="1" operator="lessThanOrEqual">
      <formula>0</formula>
    </cfRule>
  </conditionalFormatting>
  <conditionalFormatting sqref="H10:H27">
    <cfRule type="expression" dxfId="1828" priority="16">
      <formula>IF(+(IF(H10&lt;#REF!,0,IF(H10&gt;#REF!,0,1)))=0,1)</formula>
    </cfRule>
  </conditionalFormatting>
  <conditionalFormatting sqref="H31:H42">
    <cfRule type="cellIs" dxfId="1827" priority="145" stopIfTrue="1" operator="greaterThan">
      <formula>0</formula>
    </cfRule>
  </conditionalFormatting>
  <conditionalFormatting sqref="H60">
    <cfRule type="cellIs" dxfId="1826" priority="56" stopIfTrue="1" operator="greaterThan">
      <formula>#REF!</formula>
    </cfRule>
    <cfRule type="cellIs" dxfId="1825" priority="57" stopIfTrue="1" operator="lessThanOrEqual">
      <formula>0</formula>
    </cfRule>
    <cfRule type="cellIs" dxfId="1824" priority="48" stopIfTrue="1" operator="greaterThan">
      <formula>#REF!</formula>
    </cfRule>
    <cfRule type="cellIs" dxfId="1823" priority="47" stopIfTrue="1" operator="lessThanOrEqual">
      <formula>0</formula>
    </cfRule>
  </conditionalFormatting>
  <conditionalFormatting sqref="H61">
    <cfRule type="cellIs" dxfId="1822" priority="80" stopIfTrue="1" operator="lessThanOrEqual">
      <formula>0</formula>
    </cfRule>
    <cfRule type="cellIs" dxfId="1821" priority="89" stopIfTrue="1" operator="greaterThan">
      <formula>$F$72</formula>
    </cfRule>
    <cfRule type="cellIs" dxfId="1820" priority="90" stopIfTrue="1" operator="lessThanOrEqual">
      <formula>0</formula>
    </cfRule>
    <cfRule type="cellIs" dxfId="1819" priority="91" stopIfTrue="1" operator="greaterThan">
      <formula>$F$70</formula>
    </cfRule>
    <cfRule type="cellIs" dxfId="1818" priority="92" stopIfTrue="1" operator="lessThanOrEqual">
      <formula>0</formula>
    </cfRule>
    <cfRule type="cellIs" dxfId="1817" priority="81" stopIfTrue="1" operator="greaterThan">
      <formula>$F$69</formula>
    </cfRule>
  </conditionalFormatting>
  <conditionalFormatting sqref="H62">
    <cfRule type="cellIs" dxfId="1816" priority="19" stopIfTrue="1" operator="greaterThan">
      <formula>#REF!</formula>
    </cfRule>
    <cfRule type="cellIs" dxfId="1815" priority="18" stopIfTrue="1" operator="lessThanOrEqual">
      <formula>0</formula>
    </cfRule>
    <cfRule type="cellIs" dxfId="1814" priority="27" stopIfTrue="1" operator="greaterThan">
      <formula>#REF!</formula>
    </cfRule>
  </conditionalFormatting>
  <conditionalFormatting sqref="H62:H63">
    <cfRule type="cellIs" dxfId="1813" priority="28" stopIfTrue="1" operator="lessThanOrEqual">
      <formula>0</formula>
    </cfRule>
  </conditionalFormatting>
  <conditionalFormatting sqref="H63">
    <cfRule type="cellIs" dxfId="1812" priority="40" stopIfTrue="1" operator="lessThanOrEqual">
      <formula>0</formula>
    </cfRule>
    <cfRule type="cellIs" dxfId="1811" priority="31" stopIfTrue="1" operator="greaterThan">
      <formula>#REF!</formula>
    </cfRule>
    <cfRule type="cellIs" dxfId="1810" priority="39" stopIfTrue="1" operator="greaterThan">
      <formula>#REF!</formula>
    </cfRule>
  </conditionalFormatting>
  <conditionalFormatting sqref="H64:H65">
    <cfRule type="cellIs" dxfId="1809" priority="109" stopIfTrue="1" operator="greaterThan">
      <formula>$F$73</formula>
    </cfRule>
    <cfRule type="cellIs" dxfId="1808" priority="101" stopIfTrue="1" operator="greaterThan">
      <formula>$F$70</formula>
    </cfRule>
    <cfRule type="cellIs" dxfId="1807" priority="111" stopIfTrue="1" operator="greaterThan">
      <formula>$F$71</formula>
    </cfRule>
    <cfRule type="cellIs" dxfId="1806" priority="75" stopIfTrue="1" operator="lessThanOrEqual">
      <formula>0</formula>
    </cfRule>
    <cfRule type="cellIs" dxfId="1805" priority="112" stopIfTrue="1" operator="lessThanOrEqual">
      <formula>0</formula>
    </cfRule>
    <cfRule type="cellIs" dxfId="1804" priority="110" stopIfTrue="1" operator="lessThanOrEqual">
      <formula>0</formula>
    </cfRule>
  </conditionalFormatting>
  <conditionalFormatting sqref="H66">
    <cfRule type="cellIs" dxfId="1803" priority="141" stopIfTrue="1" operator="greaterThan">
      <formula>$F$63</formula>
    </cfRule>
    <cfRule type="cellIs" dxfId="1802" priority="142" stopIfTrue="1" operator="lessThanOrEqual">
      <formula>0</formula>
    </cfRule>
    <cfRule type="cellIs" dxfId="1801" priority="140" stopIfTrue="1" operator="lessThanOrEqual">
      <formula>0</formula>
    </cfRule>
    <cfRule type="cellIs" dxfId="1800" priority="139" stopIfTrue="1" operator="greaterThan">
      <formula>$F$67</formula>
    </cfRule>
  </conditionalFormatting>
  <conditionalFormatting sqref="H70:H77">
    <cfRule type="cellIs" dxfId="1799" priority="114" stopIfTrue="1" operator="lessThanOrEqual">
      <formula>0</formula>
    </cfRule>
    <cfRule type="cellIs" dxfId="1798" priority="113" stopIfTrue="1" operator="greaterThan">
      <formula>$J70</formula>
    </cfRule>
  </conditionalFormatting>
  <conditionalFormatting sqref="H78">
    <cfRule type="cellIs" dxfId="1797" priority="119" operator="greaterThan">
      <formula>5.3</formula>
    </cfRule>
  </conditionalFormatting>
  <conditionalFormatting sqref="H81 H83:H89">
    <cfRule type="cellIs" dxfId="1796" priority="163" stopIfTrue="1" operator="greaterThan">
      <formula>4.5</formula>
    </cfRule>
    <cfRule type="cellIs" dxfId="1795" priority="164" stopIfTrue="1" operator="lessThanOrEqual">
      <formula>0</formula>
    </cfRule>
  </conditionalFormatting>
  <conditionalFormatting sqref="H60:I60">
    <cfRule type="cellIs" dxfId="1794" priority="50" stopIfTrue="1" operator="greaterThan">
      <formula>#REF!</formula>
    </cfRule>
    <cfRule type="cellIs" dxfId="1793" priority="49" stopIfTrue="1" operator="lessThanOrEqual">
      <formula>0</formula>
    </cfRule>
    <cfRule type="cellIs" dxfId="1792" priority="46" stopIfTrue="1" operator="greaterThan">
      <formula>#REF!</formula>
    </cfRule>
    <cfRule type="cellIs" dxfId="1791" priority="55" stopIfTrue="1" operator="lessThanOrEqual">
      <formula>0</formula>
    </cfRule>
  </conditionalFormatting>
  <conditionalFormatting sqref="H61:I61">
    <cfRule type="cellIs" dxfId="1790" priority="79" stopIfTrue="1" operator="greaterThan">
      <formula>$F$71</formula>
    </cfRule>
    <cfRule type="cellIs" dxfId="1789" priority="82" stopIfTrue="1" operator="lessThanOrEqual">
      <formula>0</formula>
    </cfRule>
  </conditionalFormatting>
  <conditionalFormatting sqref="H62:I62">
    <cfRule type="cellIs" dxfId="1788" priority="17" stopIfTrue="1" operator="greaterThan">
      <formula>#REF!</formula>
    </cfRule>
    <cfRule type="cellIs" dxfId="1787" priority="26" stopIfTrue="1" operator="lessThanOrEqual">
      <formula>0</formula>
    </cfRule>
    <cfRule type="cellIs" dxfId="1786" priority="20" stopIfTrue="1" operator="lessThanOrEqual">
      <formula>0</formula>
    </cfRule>
  </conditionalFormatting>
  <conditionalFormatting sqref="H62:I63">
    <cfRule type="cellIs" dxfId="1785" priority="21" stopIfTrue="1" operator="greaterThan">
      <formula>#REF!</formula>
    </cfRule>
  </conditionalFormatting>
  <conditionalFormatting sqref="H63:I63">
    <cfRule type="cellIs" dxfId="1784" priority="32" stopIfTrue="1" operator="lessThanOrEqual">
      <formula>0</formula>
    </cfRule>
    <cfRule type="cellIs" dxfId="1783" priority="35" stopIfTrue="1" operator="greaterThan">
      <formula>#REF!</formula>
    </cfRule>
    <cfRule type="cellIs" dxfId="1782" priority="38" stopIfTrue="1" operator="lessThanOrEqual">
      <formula>0</formula>
    </cfRule>
  </conditionalFormatting>
  <conditionalFormatting sqref="H64:I64">
    <cfRule type="cellIs" dxfId="1781" priority="102" stopIfTrue="1" operator="lessThanOrEqual">
      <formula>0</formula>
    </cfRule>
  </conditionalFormatting>
  <conditionalFormatting sqref="H64:I65">
    <cfRule type="cellIs" dxfId="1780" priority="73" stopIfTrue="1" operator="greaterThan">
      <formula>$F$72</formula>
    </cfRule>
  </conditionalFormatting>
  <conditionalFormatting sqref="H65:I65">
    <cfRule type="cellIs" dxfId="1779" priority="74" stopIfTrue="1" operator="lessThanOrEqual">
      <formula>0</formula>
    </cfRule>
  </conditionalFormatting>
  <conditionalFormatting sqref="I10:I22 I27">
    <cfRule type="cellIs" dxfId="1778" priority="60" operator="lessThan">
      <formula>97.8</formula>
    </cfRule>
    <cfRule type="cellIs" dxfId="1777" priority="65" operator="lessThan">
      <formula>98</formula>
    </cfRule>
  </conditionalFormatting>
  <conditionalFormatting sqref="I60">
    <cfRule type="cellIs" dxfId="1776" priority="52" stopIfTrue="1" operator="greaterThan">
      <formula>#REF!</formula>
    </cfRule>
    <cfRule type="cellIs" dxfId="1775" priority="51" stopIfTrue="1" operator="lessThanOrEqual">
      <formula>0</formula>
    </cfRule>
    <cfRule type="cellIs" dxfId="1774" priority="54" stopIfTrue="1" operator="greaterThan">
      <formula>#REF!</formula>
    </cfRule>
    <cfRule type="cellIs" dxfId="1773" priority="53" stopIfTrue="1" operator="lessThanOrEqual">
      <formula>0</formula>
    </cfRule>
  </conditionalFormatting>
  <conditionalFormatting sqref="I61">
    <cfRule type="cellIs" dxfId="1772" priority="86" stopIfTrue="1" operator="lessThanOrEqual">
      <formula>0</formula>
    </cfRule>
    <cfRule type="cellIs" dxfId="1771" priority="88" stopIfTrue="1" operator="lessThanOrEqual">
      <formula>0</formula>
    </cfRule>
    <cfRule type="cellIs" dxfId="1770" priority="85" stopIfTrue="1" operator="greaterThan">
      <formula>$F$71</formula>
    </cfRule>
    <cfRule type="cellIs" dxfId="1769" priority="84" stopIfTrue="1" operator="lessThanOrEqual">
      <formula>0</formula>
    </cfRule>
    <cfRule type="cellIs" dxfId="1768" priority="83" stopIfTrue="1" operator="greaterThan">
      <formula>$F$69</formula>
    </cfRule>
    <cfRule type="cellIs" dxfId="1767" priority="87" stopIfTrue="1" operator="greaterThan">
      <formula>$F$69</formula>
    </cfRule>
  </conditionalFormatting>
  <conditionalFormatting sqref="I62">
    <cfRule type="cellIs" dxfId="1766" priority="24" stopIfTrue="1" operator="lessThanOrEqual">
      <formula>0</formula>
    </cfRule>
    <cfRule type="cellIs" dxfId="1765" priority="22" stopIfTrue="1" operator="lessThanOrEqual">
      <formula>0</formula>
    </cfRule>
    <cfRule type="cellIs" dxfId="1764" priority="23" stopIfTrue="1" operator="greaterThan">
      <formula>#REF!</formula>
    </cfRule>
    <cfRule type="cellIs" dxfId="1763" priority="25" stopIfTrue="1" operator="greaterThan">
      <formula>#REF!</formula>
    </cfRule>
  </conditionalFormatting>
  <conditionalFormatting sqref="I63">
    <cfRule type="cellIs" dxfId="1762" priority="34" stopIfTrue="1" operator="lessThanOrEqual">
      <formula>0</formula>
    </cfRule>
    <cfRule type="cellIs" dxfId="1761" priority="33" stopIfTrue="1" operator="greaterThan">
      <formula>#REF!</formula>
    </cfRule>
    <cfRule type="cellIs" dxfId="1760" priority="37" stopIfTrue="1" operator="greaterThan">
      <formula>#REF!</formula>
    </cfRule>
    <cfRule type="cellIs" dxfId="1759" priority="36" stopIfTrue="1" operator="lessThanOrEqual">
      <formula>0</formula>
    </cfRule>
  </conditionalFormatting>
  <conditionalFormatting sqref="I64:I65">
    <cfRule type="cellIs" dxfId="1758" priority="104" stopIfTrue="1" operator="lessThanOrEqual">
      <formula>0</formula>
    </cfRule>
    <cfRule type="cellIs" dxfId="1757" priority="105" stopIfTrue="1" operator="greaterThan">
      <formula>$F$72</formula>
    </cfRule>
    <cfRule type="cellIs" dxfId="1756" priority="106" stopIfTrue="1" operator="lessThanOrEqual">
      <formula>0</formula>
    </cfRule>
    <cfRule type="cellIs" dxfId="1755" priority="107" stopIfTrue="1" operator="greaterThan">
      <formula>$F$70</formula>
    </cfRule>
    <cfRule type="cellIs" dxfId="1754" priority="108" stopIfTrue="1" operator="lessThanOrEqual">
      <formula>0</formula>
    </cfRule>
    <cfRule type="cellIs" dxfId="1753" priority="103" stopIfTrue="1" operator="greaterThan">
      <formula>$F$70</formula>
    </cfRule>
  </conditionalFormatting>
  <conditionalFormatting sqref="I70:I78">
    <cfRule type="cellIs" dxfId="1752" priority="120" stopIfTrue="1" operator="greaterThan">
      <formula>$J70</formula>
    </cfRule>
    <cfRule type="cellIs" dxfId="1751" priority="121" stopIfTrue="1" operator="lessThanOrEqual">
      <formula>0</formula>
    </cfRule>
  </conditionalFormatting>
  <conditionalFormatting sqref="I81:I89">
    <cfRule type="cellIs" dxfId="1750" priority="160" stopIfTrue="1" operator="lessThanOrEqual">
      <formula>0</formula>
    </cfRule>
    <cfRule type="cellIs" dxfId="1749" priority="159" stopIfTrue="1" operator="greaterThan">
      <formula>4.5</formula>
    </cfRule>
  </conditionalFormatting>
  <conditionalFormatting sqref="I23:J26">
    <cfRule type="cellIs" dxfId="1748" priority="10" operator="lessThan">
      <formula>97.9</formula>
    </cfRule>
  </conditionalFormatting>
  <conditionalFormatting sqref="J10:J22 J27">
    <cfRule type="cellIs" dxfId="1747" priority="61" operator="notBetween">
      <formula>98</formula>
      <formula>99.9</formula>
    </cfRule>
    <cfRule type="cellIs" dxfId="1746" priority="64" operator="lessThan">
      <formula>97.4</formula>
    </cfRule>
  </conditionalFormatting>
  <conditionalFormatting sqref="J30:J32">
    <cfRule type="cellIs" dxfId="1745" priority="94" stopIfTrue="1" operator="lessThan">
      <formula>96.8</formula>
    </cfRule>
    <cfRule type="cellIs" dxfId="1744" priority="96" operator="lessThan">
      <formula>98</formula>
    </cfRule>
    <cfRule type="cellIs" dxfId="1743" priority="95" stopIfTrue="1" operator="greaterThan">
      <formula>100</formula>
    </cfRule>
  </conditionalFormatting>
  <conditionalFormatting sqref="J30:J34">
    <cfRule type="cellIs" dxfId="1742" priority="70" operator="lessThan">
      <formula>97.4</formula>
    </cfRule>
  </conditionalFormatting>
  <conditionalFormatting sqref="J35 L42:M42">
    <cfRule type="cellIs" dxfId="1741" priority="97" operator="lessThan">
      <formula>98</formula>
    </cfRule>
  </conditionalFormatting>
  <conditionalFormatting sqref="J36:J38">
    <cfRule type="cellIs" dxfId="1740" priority="98" stopIfTrue="1" operator="lessThan">
      <formula>96.8</formula>
    </cfRule>
    <cfRule type="cellIs" dxfId="1739" priority="99" stopIfTrue="1" operator="greaterThan">
      <formula>100</formula>
    </cfRule>
  </conditionalFormatting>
  <conditionalFormatting sqref="J36:J39">
    <cfRule type="cellIs" dxfId="1738" priority="100" operator="lessThan">
      <formula>98</formula>
    </cfRule>
  </conditionalFormatting>
  <conditionalFormatting sqref="K10:K27">
    <cfRule type="cellIs" dxfId="1737" priority="9" operator="greaterThan">
      <formula>6.4</formula>
    </cfRule>
    <cfRule type="cellIs" dxfId="1736" priority="4" operator="greaterThan">
      <formula>6</formula>
    </cfRule>
    <cfRule type="cellIs" dxfId="1735" priority="3" operator="lessThan">
      <formula>4</formula>
    </cfRule>
  </conditionalFormatting>
  <conditionalFormatting sqref="K45:K54">
    <cfRule type="cellIs" dxfId="1734" priority="128" operator="notEqual">
      <formula>#REF!</formula>
    </cfRule>
  </conditionalFormatting>
  <conditionalFormatting sqref="K60:K65 J66:K66 K70:N78">
    <cfRule type="cellIs" dxfId="1733" priority="138" stopIfTrue="1" operator="lessThan">
      <formula>100%</formula>
    </cfRule>
  </conditionalFormatting>
  <conditionalFormatting sqref="K81:K86">
    <cfRule type="cellIs" dxfId="1732" priority="165" stopIfTrue="1" operator="lessThan">
      <formula>100%</formula>
    </cfRule>
  </conditionalFormatting>
  <conditionalFormatting sqref="K88:K89">
    <cfRule type="cellIs" dxfId="1731" priority="172" stopIfTrue="1" operator="lessThan">
      <formula>100%</formula>
    </cfRule>
  </conditionalFormatting>
  <conditionalFormatting sqref="L10:L27">
    <cfRule type="cellIs" dxfId="1730" priority="6" operator="greaterThan">
      <formula>65</formula>
    </cfRule>
    <cfRule type="cellIs" dxfId="1729" priority="5" operator="between">
      <formula>61</formula>
      <formula>65</formula>
    </cfRule>
  </conditionalFormatting>
  <conditionalFormatting sqref="L30:M40">
    <cfRule type="cellIs" dxfId="1728" priority="15" operator="lessThan">
      <formula>98</formula>
    </cfRule>
  </conditionalFormatting>
  <conditionalFormatting sqref="L46:N46">
    <cfRule type="cellIs" dxfId="1727" priority="76" operator="notEqual">
      <formula>#REF!</formula>
    </cfRule>
  </conditionalFormatting>
  <conditionalFormatting sqref="L81:N89">
    <cfRule type="cellIs" dxfId="1726" priority="150" stopIfTrue="1" operator="lessThan">
      <formula>100%</formula>
    </cfRule>
  </conditionalFormatting>
  <conditionalFormatting sqref="M10:M21">
    <cfRule type="expression" dxfId="1725" priority="14">
      <formula>IF(+(IF(M10&lt;U10,0,IF(M10&gt;V10,0,1)))=0,1)</formula>
    </cfRule>
  </conditionalFormatting>
  <conditionalFormatting sqref="M23:M26">
    <cfRule type="expression" dxfId="1724" priority="1">
      <formula>IF(+(IF(M23&lt;U23,0,IF(M23&gt;V23,0,1)))=0,1)</formula>
    </cfRule>
  </conditionalFormatting>
  <conditionalFormatting sqref="M6:N6">
    <cfRule type="cellIs" dxfId="1723" priority="77" operator="greaterThanOrEqual">
      <formula>15</formula>
    </cfRule>
    <cfRule type="cellIs" dxfId="1722" priority="78" operator="greaterThanOrEqual">
      <formula>19</formula>
    </cfRule>
  </conditionalFormatting>
  <conditionalFormatting sqref="M22:N22 M27:N27">
    <cfRule type="expression" dxfId="1721" priority="182">
      <formula>IF(+(IF(M22&lt;#REF!,0,IF(M22&gt;#REF!,0,1)))=0,1)</formula>
    </cfRule>
  </conditionalFormatting>
  <conditionalFormatting sqref="N10:N12">
    <cfRule type="expression" dxfId="1720" priority="216">
      <formula>IF(+(IF(N10&lt;X23,0,IF(N10&gt;Y23,0,1)))=0,1)</formula>
    </cfRule>
  </conditionalFormatting>
  <conditionalFormatting sqref="N10:N21">
    <cfRule type="expression" dxfId="1719" priority="215">
      <formula>IF(+(IF(N10&lt;X29,0,IF(N10&gt;Y29,0,1)))=0,1)</formula>
    </cfRule>
  </conditionalFormatting>
  <conditionalFormatting sqref="N13:N21">
    <cfRule type="expression" dxfId="1718" priority="218">
      <formula>IF(+(IF(N13&lt;X27,0,IF(N13&gt;Y27,0,1)))=0,1)</formula>
    </cfRule>
  </conditionalFormatting>
  <conditionalFormatting sqref="N23:N26">
    <cfRule type="expression" dxfId="1717" priority="2">
      <formula>IF(+(IF(N23&lt;W23,0,IF(N23&gt;X23,0,1)))=0,1)</formula>
    </cfRule>
  </conditionalFormatting>
  <conditionalFormatting sqref="P6">
    <cfRule type="cellIs" dxfId="1716" priority="146" operator="greaterThanOrEqual">
      <formula>19</formula>
    </cfRule>
  </conditionalFormatting>
  <dataValidations count="1">
    <dataValidation type="list" allowBlank="1" showInputMessage="1" showErrorMessage="1" sqref="S8 B22 B27" xr:uid="{361D4CB6-D834-4050-A0F6-9D75D582B52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F944-ED55-4B4A-8171-78B235CDA962}">
  <sheetPr>
    <pageSetUpPr fitToPage="1"/>
  </sheetPr>
  <dimension ref="A1:BF94"/>
  <sheetViews>
    <sheetView topLeftCell="A40" zoomScale="85" zoomScaleNormal="85" workbookViewId="0">
      <selection activeCell="J87" sqref="J87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2.332031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45673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4">
        <v>0</v>
      </c>
      <c r="AA8" s="275"/>
      <c r="AB8" s="19"/>
    </row>
    <row r="9" spans="2:30" ht="34.5" customHeight="1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86"/>
      <c r="I10" s="369"/>
      <c r="J10" s="369"/>
      <c r="K10" s="282"/>
      <c r="L10" s="277"/>
      <c r="M10" s="375"/>
      <c r="N10" s="371"/>
      <c r="O10" s="372"/>
      <c r="P10" s="376" t="s">
        <v>164</v>
      </c>
      <c r="Q10" s="348"/>
      <c r="S10" s="278">
        <f t="shared" ref="S10:S30" si="0">B10</f>
        <v>0</v>
      </c>
      <c r="T10" s="297" t="e">
        <f t="shared" ref="T10:T30" si="1">VLOOKUP($B10,$S$3:$Y$9,2,FALSE)</f>
        <v>#N/A</v>
      </c>
      <c r="U10" s="297" t="e">
        <f t="shared" ref="U10:U30" si="2">VLOOKUP($B10,$S$3:$Y$9,3,FALSE)</f>
        <v>#N/A</v>
      </c>
      <c r="V10" s="298" t="e">
        <f t="shared" ref="V10:V30" si="3">VLOOKUP($B10,$S$3:$Y$9,4,FALSE)</f>
        <v>#N/A</v>
      </c>
      <c r="W10" s="298" t="e">
        <f t="shared" ref="W10:W30" si="4">VLOOKUP($B10,$S$3:$Y$9,5,FALSE)</f>
        <v>#N/A</v>
      </c>
      <c r="X10" s="298" t="e">
        <f t="shared" ref="X10:X30" si="5">VLOOKUP($B10,$S$3:$Y$9,6,FALSE)</f>
        <v>#N/A</v>
      </c>
      <c r="Y10" s="298" t="e">
        <f t="shared" ref="Y10:Y30" si="6">VLOOKUP($B10,$S$3:$Y$9,7,FALSE)</f>
        <v>#N/A</v>
      </c>
      <c r="Z10" s="298" t="e">
        <f t="shared" ref="Z10:Z30" si="7">VLOOKUP($B10,$S$3:$AA$9,8,FALSE)</f>
        <v>#N/A</v>
      </c>
      <c r="AA10" s="297" t="e">
        <f t="shared" ref="AA10:AA30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86"/>
      <c r="I11" s="369"/>
      <c r="J11" s="369"/>
      <c r="K11" s="282"/>
      <c r="L11" s="277"/>
      <c r="M11" s="375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86"/>
      <c r="I12" s="369"/>
      <c r="J12" s="369"/>
      <c r="K12" s="282"/>
      <c r="L12" s="277"/>
      <c r="M12" s="375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486"/>
      <c r="I13" s="369"/>
      <c r="J13" s="369"/>
      <c r="K13" s="282"/>
      <c r="L13" s="277"/>
      <c r="M13" s="375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486"/>
      <c r="I14" s="369"/>
      <c r="J14" s="369"/>
      <c r="K14" s="282"/>
      <c r="L14" s="277"/>
      <c r="M14" s="375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86"/>
      <c r="I15" s="369"/>
      <c r="J15" s="369"/>
      <c r="K15" s="282"/>
      <c r="L15" s="277"/>
      <c r="M15" s="375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86"/>
      <c r="I16" s="369"/>
      <c r="J16" s="369"/>
      <c r="K16" s="282"/>
      <c r="L16" s="277"/>
      <c r="M16" s="375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86"/>
      <c r="I17" s="369"/>
      <c r="J17" s="369"/>
      <c r="K17" s="282"/>
      <c r="L17" s="277"/>
      <c r="M17" s="375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29"/>
      <c r="C18" s="367"/>
      <c r="D18" s="280"/>
      <c r="E18" s="280"/>
      <c r="F18" s="279"/>
      <c r="G18" s="280"/>
      <c r="H18" s="486"/>
      <c r="I18" s="369"/>
      <c r="J18" s="369"/>
      <c r="K18" s="282"/>
      <c r="L18" s="277"/>
      <c r="M18" s="375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29"/>
      <c r="C19" s="367"/>
      <c r="D19" s="280"/>
      <c r="E19" s="280"/>
      <c r="F19" s="279"/>
      <c r="G19" s="280"/>
      <c r="H19" s="486"/>
      <c r="I19" s="369"/>
      <c r="J19" s="369"/>
      <c r="K19" s="282"/>
      <c r="L19" s="277"/>
      <c r="M19" s="375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9"/>
      <c r="C20" s="367"/>
      <c r="D20" s="280"/>
      <c r="E20" s="280"/>
      <c r="F20" s="279"/>
      <c r="G20" s="280"/>
      <c r="H20" s="486"/>
      <c r="I20" s="369"/>
      <c r="J20" s="369"/>
      <c r="K20" s="282"/>
      <c r="L20" s="277"/>
      <c r="M20" s="375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4.4">
      <c r="B21" s="29" t="s">
        <v>6</v>
      </c>
      <c r="C21" s="367" t="str">
        <f>[28]Brewhouse!$A119</f>
        <v>CA018</v>
      </c>
      <c r="D21" s="280">
        <f>[28]Brewhouse!$AF119</f>
        <v>52.7</v>
      </c>
      <c r="E21" s="280">
        <f>[28]Brewhouse!$AI119</f>
        <v>48.3</v>
      </c>
      <c r="F21" s="279">
        <f>[28]Brewhouse!$V119</f>
        <v>57</v>
      </c>
      <c r="G21" s="280">
        <f>[28]Brewhouse!$AG119</f>
        <v>11.58</v>
      </c>
      <c r="H21" s="486">
        <v>12</v>
      </c>
      <c r="I21" s="369">
        <f>[28]Brewhouse!$AU119</f>
        <v>88.825216186637164</v>
      </c>
      <c r="J21" s="369">
        <f>[28]Brewhouse!$AV119</f>
        <v>92.40537773044602</v>
      </c>
      <c r="K21" s="282">
        <f>[28]Brewhouse!$Q119</f>
        <v>5.1459854014598418</v>
      </c>
      <c r="L21" s="277">
        <f>[28]Brewhouse!$P119</f>
        <v>57</v>
      </c>
      <c r="M21" s="375">
        <f>[28]Brewhouse!$U119-[28]Brewhouse!$T119</f>
        <v>0.1069444444444444</v>
      </c>
      <c r="N21" s="371">
        <f>[28]Brewhouse!$Z119</f>
        <v>0.2583333333333333</v>
      </c>
      <c r="O21" s="372" t="str">
        <f>[28]Brewhouse!$AX119</f>
        <v>R.Sookram</v>
      </c>
      <c r="P21" s="370"/>
      <c r="Q21" s="348"/>
      <c r="S21" s="278" t="str">
        <f t="shared" si="0"/>
        <v>CARIB</v>
      </c>
      <c r="T21" s="297">
        <f t="shared" si="1"/>
        <v>11.6</v>
      </c>
      <c r="U21" s="297">
        <f t="shared" si="2"/>
        <v>12</v>
      </c>
      <c r="V21" s="298">
        <f t="shared" si="3"/>
        <v>0</v>
      </c>
      <c r="W21" s="298">
        <f t="shared" si="4"/>
        <v>0.118055555555556</v>
      </c>
      <c r="X21" s="298">
        <f t="shared" si="5"/>
        <v>0.17361111111111113</v>
      </c>
      <c r="Y21" s="298">
        <f t="shared" si="6"/>
        <v>0.21180555555555555</v>
      </c>
      <c r="Z21" s="298">
        <f t="shared" si="7"/>
        <v>0</v>
      </c>
      <c r="AA21" s="297">
        <f t="shared" si="8"/>
        <v>60</v>
      </c>
    </row>
    <row r="22" spans="2:27" ht="14.4">
      <c r="B22" s="29" t="s">
        <v>6</v>
      </c>
      <c r="C22" s="367" t="str">
        <f>[28]Brewhouse!$A120</f>
        <v>CA019</v>
      </c>
      <c r="D22" s="280">
        <f>[28]Brewhouse!$AF120</f>
        <v>53.2</v>
      </c>
      <c r="E22" s="280">
        <f>[28]Brewhouse!$AI120</f>
        <v>49.5</v>
      </c>
      <c r="F22" s="279">
        <f>[28]Brewhouse!$V120</f>
        <v>77</v>
      </c>
      <c r="G22" s="280">
        <f>[28]Brewhouse!$AG120</f>
        <v>11.81</v>
      </c>
      <c r="H22" s="486">
        <v>11.6</v>
      </c>
      <c r="I22" s="369">
        <f>[28]Brewhouse!$AU120</f>
        <v>93.256832532072352</v>
      </c>
      <c r="J22" s="369">
        <f>[28]Brewhouse!$AV120</f>
        <v>97.013567179732902</v>
      </c>
      <c r="K22" s="282">
        <f>[28]Brewhouse!$Q120</f>
        <v>7.3835125448028629</v>
      </c>
      <c r="L22" s="277">
        <f>[28]Brewhouse!$P120</f>
        <v>57</v>
      </c>
      <c r="M22" s="375">
        <f>[28]Brewhouse!$U120-[28]Brewhouse!$T120</f>
        <v>0.10972222222222228</v>
      </c>
      <c r="N22" s="371">
        <f>[28]Brewhouse!$Z120</f>
        <v>0.27291666666666681</v>
      </c>
      <c r="O22" s="372" t="str">
        <f>[28]Brewhouse!$AX120</f>
        <v>K.Benjamin</v>
      </c>
      <c r="P22" s="370"/>
      <c r="Q22" s="348"/>
      <c r="S22" s="278" t="str">
        <f t="shared" si="0"/>
        <v>CARIB</v>
      </c>
      <c r="T22" s="297">
        <f t="shared" si="1"/>
        <v>11.6</v>
      </c>
      <c r="U22" s="297">
        <f t="shared" si="2"/>
        <v>12</v>
      </c>
      <c r="V22" s="298">
        <f t="shared" si="3"/>
        <v>0</v>
      </c>
      <c r="W22" s="298">
        <f t="shared" si="4"/>
        <v>0.118055555555556</v>
      </c>
      <c r="X22" s="298">
        <f t="shared" si="5"/>
        <v>0.17361111111111113</v>
      </c>
      <c r="Y22" s="298">
        <f t="shared" si="6"/>
        <v>0.21180555555555555</v>
      </c>
      <c r="Z22" s="298">
        <f t="shared" si="7"/>
        <v>0</v>
      </c>
      <c r="AA22" s="297">
        <f t="shared" si="8"/>
        <v>60</v>
      </c>
    </row>
    <row r="23" spans="2:27" ht="14.4">
      <c r="B23" s="29" t="s">
        <v>6</v>
      </c>
      <c r="C23" s="367" t="str">
        <f>[28]Brewhouse!$A121</f>
        <v>CA020</v>
      </c>
      <c r="D23" s="280">
        <f>[28]Brewhouse!$AF121</f>
        <v>54.7</v>
      </c>
      <c r="E23" s="280">
        <f>[28]Brewhouse!$AI121</f>
        <v>51.1</v>
      </c>
      <c r="F23" s="279">
        <f>[28]Brewhouse!$V121</f>
        <v>77</v>
      </c>
      <c r="G23" s="280">
        <f>[28]Brewhouse!$AG121</f>
        <v>11.83</v>
      </c>
      <c r="H23" s="486">
        <v>11.8</v>
      </c>
      <c r="I23" s="369">
        <f>[28]Brewhouse!$AU121</f>
        <v>96.271194795735298</v>
      </c>
      <c r="J23" s="369">
        <f>[28]Brewhouse!$AV121</f>
        <v>100.14935925018891</v>
      </c>
      <c r="K23" s="282">
        <f>[28]Brewhouse!$Q121</f>
        <v>6.1956521739130466</v>
      </c>
      <c r="L23" s="277">
        <f>[28]Brewhouse!$P121</f>
        <v>58</v>
      </c>
      <c r="M23" s="375">
        <f>[28]Brewhouse!$U121-[28]Brewhouse!$T121</f>
        <v>0.11597222222222237</v>
      </c>
      <c r="N23" s="371">
        <f>[28]Brewhouse!$Z121</f>
        <v>0.27500000000000002</v>
      </c>
      <c r="O23" s="372" t="str">
        <f>[28]Brewhouse!$AX121</f>
        <v>R.Sookram</v>
      </c>
      <c r="P23" s="370"/>
      <c r="Q23" s="348"/>
      <c r="S23" s="278" t="str">
        <f t="shared" si="0"/>
        <v>CARIB</v>
      </c>
      <c r="T23" s="297">
        <f t="shared" si="1"/>
        <v>11.6</v>
      </c>
      <c r="U23" s="297">
        <f t="shared" si="2"/>
        <v>12</v>
      </c>
      <c r="V23" s="298">
        <f t="shared" si="3"/>
        <v>0</v>
      </c>
      <c r="W23" s="298">
        <f t="shared" si="4"/>
        <v>0.118055555555556</v>
      </c>
      <c r="X23" s="298">
        <f t="shared" si="5"/>
        <v>0.17361111111111113</v>
      </c>
      <c r="Y23" s="298">
        <f t="shared" si="6"/>
        <v>0.21180555555555555</v>
      </c>
      <c r="Z23" s="298">
        <f t="shared" si="7"/>
        <v>0</v>
      </c>
      <c r="AA23" s="297">
        <f t="shared" si="8"/>
        <v>60</v>
      </c>
    </row>
    <row r="24" spans="2:27" ht="14.4">
      <c r="B24" s="29" t="s">
        <v>6</v>
      </c>
      <c r="C24" s="367" t="str">
        <f>[28]Brewhouse!$A122</f>
        <v>CA021</v>
      </c>
      <c r="D24" s="280">
        <f>[28]Brewhouse!$AF122</f>
        <v>53.3</v>
      </c>
      <c r="E24" s="280">
        <f>[28]Brewhouse!$AI122</f>
        <v>49.7</v>
      </c>
      <c r="F24" s="279">
        <f>[28]Brewhouse!$V122</f>
        <v>55</v>
      </c>
      <c r="G24" s="280">
        <f>[28]Brewhouse!$AG122</f>
        <v>11.8</v>
      </c>
      <c r="H24" s="395">
        <v>11.8</v>
      </c>
      <c r="I24" s="369">
        <f>[28]Brewhouse!$AU122</f>
        <v>90.611883285060202</v>
      </c>
      <c r="J24" s="369">
        <f>[28]Brewhouse!$AV122</f>
        <v>94.272524424948628</v>
      </c>
      <c r="K24" s="282">
        <f>[28]Brewhouse!$Q122</f>
        <v>6.1071428571428603</v>
      </c>
      <c r="L24" s="277">
        <f>[28]Brewhouse!$P122</f>
        <v>57</v>
      </c>
      <c r="M24" s="375">
        <f>[28]Brewhouse!$U122-[28]Brewhouse!$T122</f>
        <v>0.11180555555555549</v>
      </c>
      <c r="N24" s="371">
        <f>[28]Brewhouse!$Z122</f>
        <v>0.26597222222222228</v>
      </c>
      <c r="O24" s="372" t="str">
        <f>[28]Brewhouse!$AX122</f>
        <v>K.Benjamin</v>
      </c>
      <c r="P24" s="370"/>
      <c r="Q24" s="348"/>
      <c r="S24" s="278" t="str">
        <f t="shared" si="0"/>
        <v>CARIB</v>
      </c>
      <c r="T24" s="297">
        <f t="shared" si="1"/>
        <v>11.6</v>
      </c>
      <c r="U24" s="297">
        <f t="shared" si="2"/>
        <v>12</v>
      </c>
      <c r="V24" s="298">
        <f t="shared" si="3"/>
        <v>0</v>
      </c>
      <c r="W24" s="298">
        <f t="shared" si="4"/>
        <v>0.118055555555556</v>
      </c>
      <c r="X24" s="298">
        <f t="shared" si="5"/>
        <v>0.17361111111111113</v>
      </c>
      <c r="Y24" s="298">
        <f t="shared" si="6"/>
        <v>0.21180555555555555</v>
      </c>
      <c r="Z24" s="298">
        <f t="shared" si="7"/>
        <v>0</v>
      </c>
      <c r="AA24" s="297">
        <f t="shared" si="8"/>
        <v>60</v>
      </c>
    </row>
    <row r="25" spans="2:27" ht="14.4">
      <c r="B25" s="418"/>
      <c r="C25" s="367"/>
      <c r="D25" s="280"/>
      <c r="E25" s="280"/>
      <c r="F25" s="279"/>
      <c r="G25" s="280"/>
      <c r="H25" s="395"/>
      <c r="I25" s="369"/>
      <c r="J25" s="369"/>
      <c r="K25" s="282"/>
      <c r="L25" s="277"/>
      <c r="M25" s="420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4.4">
      <c r="B26" s="418" t="s">
        <v>9</v>
      </c>
      <c r="C26" s="367" t="str">
        <f>[22]Brewhouse!$A33</f>
        <v>ST019</v>
      </c>
      <c r="D26" s="280">
        <f>[22]Brewhouse!$AD33</f>
        <v>53.5</v>
      </c>
      <c r="E26" s="280">
        <f>[22]Brewhouse!$AG33</f>
        <v>50.2</v>
      </c>
      <c r="F26" s="279">
        <f>[22]Brewhouse!$V33</f>
        <v>61</v>
      </c>
      <c r="G26" s="280">
        <f>[22]Brewhouse!$AE33</f>
        <v>11.8</v>
      </c>
      <c r="H26" s="395">
        <v>12</v>
      </c>
      <c r="I26" s="369">
        <f>[22]Brewhouse!$AS33</f>
        <v>96.914841762663983</v>
      </c>
      <c r="J26" s="369">
        <f>[22]Brewhouse!$AT33</f>
        <v>100.28070983826112</v>
      </c>
      <c r="K26" s="282">
        <f>[22]Brewhouse!$Q33</f>
        <v>3.3088235294117601</v>
      </c>
      <c r="L26" s="277">
        <f>[22]Brewhouse!$P33</f>
        <v>58</v>
      </c>
      <c r="M26" s="420">
        <f>[22]Brewhouse!$U33-[22]Brewhouse!$T33</f>
        <v>0.11388888888888887</v>
      </c>
      <c r="N26" s="371">
        <f>[22]Brewhouse!$AW33</f>
        <v>0.27569444444444446</v>
      </c>
      <c r="O26" s="372" t="str">
        <f>[22]Brewhouse!$AV33</f>
        <v>k.Benjamin</v>
      </c>
      <c r="P26" s="370"/>
      <c r="Q26" s="348"/>
      <c r="S26" s="278"/>
      <c r="T26" s="297"/>
      <c r="U26" s="297"/>
      <c r="V26" s="298"/>
      <c r="W26" s="298"/>
      <c r="X26" s="298"/>
      <c r="Y26" s="298"/>
      <c r="Z26" s="298"/>
      <c r="AA26" s="297"/>
    </row>
    <row r="27" spans="2:27" ht="14.4">
      <c r="B27" s="418" t="s">
        <v>9</v>
      </c>
      <c r="C27" s="367" t="str">
        <f>[22]Brewhouse!$A34</f>
        <v>ST020</v>
      </c>
      <c r="D27" s="280">
        <f>[22]Brewhouse!$AD34</f>
        <v>55.7</v>
      </c>
      <c r="E27" s="280">
        <f>[22]Brewhouse!$AG34</f>
        <v>52.4</v>
      </c>
      <c r="F27" s="279">
        <f>[22]Brewhouse!$V34</f>
        <v>66</v>
      </c>
      <c r="G27" s="280">
        <f>[22]Brewhouse!$AE34</f>
        <v>11.7</v>
      </c>
      <c r="H27" s="395">
        <v>12</v>
      </c>
      <c r="I27" s="369">
        <f>[22]Brewhouse!$AS34</f>
        <v>100.133600634603</v>
      </c>
      <c r="J27" s="369">
        <f>[22]Brewhouse!$AT34</f>
        <v>103.61240361012716</v>
      </c>
      <c r="K27" s="282">
        <f>[22]Brewhouse!$Q34</f>
        <v>5.1001821493624719</v>
      </c>
      <c r="L27" s="277">
        <f>[22]Brewhouse!$P34</f>
        <v>64</v>
      </c>
      <c r="M27" s="420">
        <f>[22]Brewhouse!$U34-[22]Brewhouse!$T34</f>
        <v>0.11805555555555558</v>
      </c>
      <c r="N27" s="371">
        <f>[22]Brewhouse!$AW34</f>
        <v>0.26319444444444445</v>
      </c>
      <c r="O27" s="372" t="str">
        <f>[22]Brewhouse!$AV34</f>
        <v>R.Regis</v>
      </c>
      <c r="P27" s="370"/>
      <c r="Q27" s="348"/>
      <c r="S27" s="278"/>
      <c r="T27" s="297"/>
      <c r="U27" s="297"/>
      <c r="V27" s="298"/>
      <c r="W27" s="298"/>
      <c r="X27" s="298"/>
      <c r="Y27" s="298"/>
      <c r="Z27" s="298"/>
      <c r="AA27" s="297"/>
    </row>
    <row r="28" spans="2:27" ht="14.4">
      <c r="B28" s="418" t="s">
        <v>9</v>
      </c>
      <c r="C28" s="367" t="str">
        <f>[22]Brewhouse!$A35</f>
        <v>ST021</v>
      </c>
      <c r="D28" s="280">
        <f>[22]Brewhouse!$AD35</f>
        <v>55.4</v>
      </c>
      <c r="E28" s="280">
        <f>[22]Brewhouse!$AG35</f>
        <v>51.6</v>
      </c>
      <c r="F28" s="279">
        <f>[22]Brewhouse!$V35</f>
        <v>63</v>
      </c>
      <c r="G28" s="280">
        <f>[22]Brewhouse!$AE35</f>
        <v>11.7</v>
      </c>
      <c r="H28" s="395">
        <v>11.7</v>
      </c>
      <c r="I28" s="369">
        <f>[22]Brewhouse!$AS35</f>
        <v>97.985541190514951</v>
      </c>
      <c r="J28" s="369">
        <f>[22]Brewhouse!$AT35</f>
        <v>101.39528660089505</v>
      </c>
      <c r="K28" s="282">
        <f>[22]Brewhouse!$Q35</f>
        <v>4.1818181818181772</v>
      </c>
      <c r="L28" s="277">
        <f>[22]Brewhouse!$P35</f>
        <v>60</v>
      </c>
      <c r="M28" s="420">
        <f>[22]Brewhouse!$U35-[22]Brewhouse!$T35</f>
        <v>0.11041666666666672</v>
      </c>
      <c r="N28" s="371">
        <f>[22]Brewhouse!$AW35</f>
        <v>0.36736111111111114</v>
      </c>
      <c r="O28" s="372" t="str">
        <f>[22]Brewhouse!$AV35</f>
        <v>R.Regis</v>
      </c>
      <c r="P28" s="370"/>
      <c r="Q28" s="348"/>
      <c r="S28" s="278"/>
      <c r="T28" s="297"/>
      <c r="U28" s="297"/>
      <c r="V28" s="298"/>
      <c r="W28" s="298"/>
      <c r="X28" s="298"/>
      <c r="Y28" s="298"/>
      <c r="Z28" s="298"/>
      <c r="AA28" s="297"/>
    </row>
    <row r="29" spans="2:27" ht="14.4">
      <c r="B29" s="418" t="s">
        <v>9</v>
      </c>
      <c r="C29" s="367" t="str">
        <f>[22]Brewhouse!$A36</f>
        <v>ST022</v>
      </c>
      <c r="D29" s="280">
        <f>[22]Brewhouse!$AD36</f>
        <v>54.5</v>
      </c>
      <c r="E29" s="280">
        <f>[22]Brewhouse!$AG36</f>
        <v>52.1</v>
      </c>
      <c r="F29" s="279">
        <f>[22]Brewhouse!$V36</f>
        <v>65</v>
      </c>
      <c r="G29" s="280">
        <f>[22]Brewhouse!$AE36</f>
        <v>11.7</v>
      </c>
      <c r="H29" s="395">
        <v>11.7</v>
      </c>
      <c r="I29" s="369">
        <f>[22]Brewhouse!$AS36</f>
        <v>97.465856823914748</v>
      </c>
      <c r="J29" s="369">
        <f>[22]Brewhouse!$AT36</f>
        <v>100.87053658921464</v>
      </c>
      <c r="K29" s="282">
        <f>[22]Brewhouse!$Q36</f>
        <v>1.5065913370998063</v>
      </c>
      <c r="L29" s="277">
        <f>[22]Brewhouse!$P36</f>
        <v>58</v>
      </c>
      <c r="M29" s="420">
        <f>[22]Brewhouse!$U36-[22]Brewhouse!$T36</f>
        <v>0.1152777777777777</v>
      </c>
      <c r="N29" s="371">
        <f>[22]Brewhouse!$AW36</f>
        <v>0.25694444444444442</v>
      </c>
      <c r="O29" s="372" t="str">
        <f>[22]Brewhouse!$AV36</f>
        <v>R.Sookram</v>
      </c>
      <c r="P29" s="370"/>
      <c r="Q29" s="348"/>
      <c r="S29" s="278"/>
      <c r="T29" s="297"/>
      <c r="U29" s="297"/>
      <c r="V29" s="298"/>
      <c r="W29" s="298"/>
      <c r="X29" s="298"/>
      <c r="Y29" s="298"/>
      <c r="Z29" s="298"/>
      <c r="AA29" s="297"/>
    </row>
    <row r="30" spans="2:27" ht="14.4">
      <c r="B30" s="374"/>
      <c r="C30" s="367"/>
      <c r="D30" s="280"/>
      <c r="E30" s="280"/>
      <c r="F30" s="279"/>
      <c r="G30" s="384"/>
      <c r="H30" s="395"/>
      <c r="I30" s="369"/>
      <c r="J30" s="369"/>
      <c r="K30" s="282"/>
      <c r="L30" s="277"/>
      <c r="M30" s="396"/>
      <c r="N30" s="371"/>
      <c r="O30" s="372"/>
      <c r="P30" s="370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customHeight="1" thickBot="1">
      <c r="B31" s="359"/>
      <c r="C31" s="359"/>
      <c r="D31" s="359"/>
      <c r="E31" s="359"/>
      <c r="F31" s="295"/>
      <c r="G31" s="295"/>
      <c r="H31" s="349"/>
      <c r="I31" s="574" t="s">
        <v>34</v>
      </c>
      <c r="J31" s="574"/>
      <c r="K31" s="574"/>
      <c r="L31" s="574"/>
      <c r="M31" s="574"/>
      <c r="N31" s="574"/>
      <c r="O31" s="1"/>
      <c r="P31" s="12"/>
      <c r="S31" s="278"/>
      <c r="T31" s="297"/>
      <c r="U31" s="297"/>
      <c r="V31" s="298"/>
      <c r="W31" s="298"/>
      <c r="X31" s="298"/>
      <c r="Y31" s="298"/>
      <c r="Z31" s="298"/>
      <c r="AA31" s="297"/>
    </row>
    <row r="32" spans="2:27" ht="15" thickBot="1">
      <c r="B32" s="389" t="s">
        <v>145</v>
      </c>
      <c r="C32" s="389"/>
      <c r="D32" s="552" t="s">
        <v>35</v>
      </c>
      <c r="E32" s="553"/>
      <c r="F32" s="295"/>
      <c r="G32" s="295"/>
      <c r="H32" s="23"/>
      <c r="I32" s="24" t="s">
        <v>17</v>
      </c>
      <c r="J32" s="25" t="s">
        <v>146</v>
      </c>
      <c r="K32" s="26" t="s">
        <v>138</v>
      </c>
      <c r="L32" s="25" t="s">
        <v>37</v>
      </c>
      <c r="M32" s="25" t="s">
        <v>38</v>
      </c>
      <c r="N32" s="27" t="s">
        <v>39</v>
      </c>
      <c r="O32" s="295"/>
      <c r="P32" s="12"/>
      <c r="S32" s="278"/>
      <c r="T32" s="297"/>
      <c r="U32" s="297"/>
      <c r="V32" s="298"/>
      <c r="W32" s="298"/>
      <c r="X32" s="298"/>
      <c r="Y32" s="298"/>
      <c r="Z32" s="298"/>
      <c r="AA32" s="297"/>
    </row>
    <row r="33" spans="1:27" ht="15" customHeight="1">
      <c r="A33" s="28"/>
      <c r="B33" s="656" t="str">
        <f>I34</f>
        <v>STAG</v>
      </c>
      <c r="C33" s="363">
        <v>11.88</v>
      </c>
      <c r="D33" s="578">
        <v>12</v>
      </c>
      <c r="E33" s="579"/>
      <c r="F33" s="295"/>
      <c r="G33" s="295"/>
      <c r="H33" s="295"/>
      <c r="I33" s="29" t="s">
        <v>6</v>
      </c>
      <c r="J33" s="324">
        <f>AVERAGE(I21:I25)</f>
        <v>92.241281699876254</v>
      </c>
      <c r="K33" s="285">
        <f>COUNTA([28]Brewhouse!$A$102:$A$122)</f>
        <v>21</v>
      </c>
      <c r="L33" s="303">
        <f>AVERAGE([28]Brewhouse!$AU$102:$AU$122)</f>
        <v>94.40836686738686</v>
      </c>
      <c r="M33" s="303">
        <f>AVERAGE([28]Brewhouse!$AU$102:$AU$122)</f>
        <v>94.40836686738686</v>
      </c>
      <c r="N33" s="30">
        <v>98</v>
      </c>
      <c r="O33" s="11"/>
      <c r="P33" s="31"/>
      <c r="S33" s="278"/>
      <c r="T33" s="297"/>
      <c r="U33" s="297"/>
      <c r="V33" s="298"/>
      <c r="W33" s="298"/>
      <c r="X33" s="298"/>
      <c r="Y33" s="298"/>
      <c r="Z33" s="298"/>
      <c r="AA33" s="297"/>
    </row>
    <row r="34" spans="1:27" ht="15" customHeight="1">
      <c r="A34" s="28"/>
      <c r="B34" s="657"/>
      <c r="C34" s="350">
        <v>11.8</v>
      </c>
      <c r="D34" s="580"/>
      <c r="E34" s="581"/>
      <c r="F34" s="295"/>
      <c r="G34" s="295"/>
      <c r="H34" s="32"/>
      <c r="I34" s="33" t="s">
        <v>9</v>
      </c>
      <c r="J34" s="324">
        <f>AVERAGE(I26:I29)</f>
        <v>98.124960102924163</v>
      </c>
      <c r="K34" s="285">
        <f>COUNTA([22]Brewhouse!$A$15:$A$36)</f>
        <v>22</v>
      </c>
      <c r="L34" s="303">
        <f>AVERAGE([22]Brewhouse!$AS$15:$AS$36)</f>
        <v>95.958207792409979</v>
      </c>
      <c r="M34" s="303">
        <f>AVERAGE([22]Brewhouse!$AS$15:$AS$36)</f>
        <v>95.958207792409979</v>
      </c>
      <c r="N34" s="30">
        <v>98</v>
      </c>
      <c r="O34" s="11"/>
      <c r="P34" s="31"/>
      <c r="S34" s="278"/>
      <c r="T34" s="297"/>
      <c r="U34" s="297"/>
      <c r="V34" s="298"/>
      <c r="W34" s="298"/>
      <c r="X34" s="298"/>
      <c r="Y34" s="298"/>
      <c r="Z34" s="298"/>
      <c r="AA34" s="297"/>
    </row>
    <row r="35" spans="1:27" ht="14.7" customHeight="1">
      <c r="A35" s="28"/>
      <c r="B35" s="657"/>
      <c r="C35" s="350"/>
      <c r="D35" s="578"/>
      <c r="E35" s="579"/>
      <c r="F35" s="295"/>
      <c r="G35" s="295"/>
      <c r="H35" s="32"/>
      <c r="I35" s="34" t="s">
        <v>12</v>
      </c>
      <c r="J35" s="281"/>
      <c r="K35" s="285"/>
      <c r="L35" s="303"/>
      <c r="M35" s="303"/>
      <c r="N35" s="30">
        <v>98</v>
      </c>
      <c r="O35" s="11"/>
      <c r="P35" s="31"/>
      <c r="S35" s="23"/>
      <c r="T35" s="1"/>
      <c r="U35" s="1"/>
      <c r="AA35" s="286"/>
    </row>
    <row r="36" spans="1:27" ht="14.7" customHeight="1">
      <c r="A36" s="28"/>
      <c r="B36" s="657"/>
      <c r="C36" s="350"/>
      <c r="D36" s="580"/>
      <c r="E36" s="581"/>
      <c r="F36" s="295"/>
      <c r="G36" s="295"/>
      <c r="H36" s="32"/>
      <c r="I36" s="22" t="s">
        <v>33</v>
      </c>
      <c r="J36" s="281"/>
      <c r="K36" s="285">
        <f>COUNTA([25]Brewhouse!$A$5:$A$8)</f>
        <v>4</v>
      </c>
      <c r="L36" s="303">
        <f>AVERAGE([25]Brewhouse!$AV$5:$AV$8)</f>
        <v>96.702302381453876</v>
      </c>
      <c r="M36" s="303">
        <f>AVERAGE([25]Brewhouse!$AV$5:$AV$8)</f>
        <v>96.702302381453876</v>
      </c>
      <c r="N36" s="30">
        <v>98</v>
      </c>
      <c r="O36" s="11"/>
      <c r="P36" s="31"/>
      <c r="S36" s="23"/>
      <c r="T36" s="1"/>
      <c r="U36" s="1"/>
      <c r="AA36" s="286"/>
    </row>
    <row r="37" spans="1:27" ht="14.7" customHeight="1">
      <c r="A37" s="28"/>
      <c r="B37" s="657"/>
      <c r="C37" s="350"/>
      <c r="D37" s="578"/>
      <c r="E37" s="579"/>
      <c r="F37" s="295"/>
      <c r="G37" s="295"/>
      <c r="H37" s="32"/>
      <c r="I37" s="35" t="s">
        <v>29</v>
      </c>
      <c r="J37" s="281"/>
      <c r="K37" s="285"/>
      <c r="L37" s="303"/>
      <c r="M37" s="303"/>
      <c r="N37" s="30">
        <v>98</v>
      </c>
      <c r="O37" s="11"/>
      <c r="P37" s="31"/>
      <c r="S37" s="23"/>
    </row>
    <row r="38" spans="1:27" ht="14.7" customHeight="1">
      <c r="A38" s="28"/>
      <c r="B38" s="657"/>
      <c r="C38" s="350"/>
      <c r="D38" s="580"/>
      <c r="E38" s="581"/>
      <c r="F38" s="295"/>
      <c r="G38" s="295"/>
      <c r="H38" s="32"/>
      <c r="I38" s="36" t="s">
        <v>15</v>
      </c>
      <c r="J38" s="324"/>
      <c r="K38" s="285">
        <f>COUNTA([27]Brewhouse!$A$4:$A$11)</f>
        <v>8</v>
      </c>
      <c r="L38" s="303">
        <f>AVERAGE([27]Brewhouse!$AT$4:$AT$11)</f>
        <v>94.812616598822359</v>
      </c>
      <c r="M38" s="303">
        <f>AVERAGE([27]Brewhouse!$AT$4:$AT$11)</f>
        <v>94.812616598822359</v>
      </c>
      <c r="N38" s="30">
        <v>98</v>
      </c>
      <c r="O38" s="11"/>
      <c r="P38" s="31"/>
      <c r="S38" s="23"/>
    </row>
    <row r="39" spans="1:27" ht="14.7" customHeight="1">
      <c r="A39" s="28"/>
      <c r="B39" s="657"/>
      <c r="C39" s="350"/>
      <c r="D39" s="578"/>
      <c r="E39" s="579"/>
      <c r="F39" s="295"/>
      <c r="G39" s="295"/>
      <c r="H39" s="32"/>
      <c r="I39" s="37" t="s">
        <v>16</v>
      </c>
      <c r="J39" s="324"/>
      <c r="K39" s="285"/>
      <c r="L39" s="303"/>
      <c r="M39" s="303"/>
      <c r="N39" s="30">
        <v>98</v>
      </c>
      <c r="O39" s="11"/>
      <c r="P39" s="31" t="s">
        <v>41</v>
      </c>
      <c r="S39" s="23"/>
      <c r="X39" s="276" t="s">
        <v>41</v>
      </c>
    </row>
    <row r="40" spans="1:27" ht="14.7" customHeight="1">
      <c r="A40" s="28"/>
      <c r="B40" s="657"/>
      <c r="C40" s="350"/>
      <c r="D40" s="580"/>
      <c r="E40" s="581"/>
      <c r="F40" s="295"/>
      <c r="G40" s="295"/>
      <c r="H40" s="32"/>
      <c r="I40" s="507" t="s">
        <v>174</v>
      </c>
      <c r="J40" s="327"/>
      <c r="K40" s="285">
        <f>COUNTA([26]Brewhouse!$A$5:$A$8)</f>
        <v>4</v>
      </c>
      <c r="L40" s="306">
        <f>AVERAGE([26]Brewhouse!$AU$5:$AU$8)</f>
        <v>91.006888337619571</v>
      </c>
      <c r="M40" s="306">
        <f>AVERAGE([26]Brewhouse!$AU$5:$AU$8)</f>
        <v>91.006888337619571</v>
      </c>
      <c r="N40" s="30">
        <v>98</v>
      </c>
      <c r="O40" s="11"/>
      <c r="P40" s="31"/>
      <c r="S40" s="23"/>
    </row>
    <row r="41" spans="1:27" ht="14.7" customHeight="1">
      <c r="A41" s="28"/>
      <c r="B41" s="657"/>
      <c r="C41" s="350"/>
      <c r="D41" s="411"/>
      <c r="E41" s="490"/>
      <c r="F41" s="295"/>
      <c r="G41" s="295"/>
      <c r="H41" s="32"/>
      <c r="I41" s="506" t="s">
        <v>166</v>
      </c>
      <c r="J41" s="327"/>
      <c r="K41" s="285"/>
      <c r="L41" s="306"/>
      <c r="M41" s="306"/>
      <c r="N41" s="30"/>
      <c r="O41" s="11"/>
      <c r="P41" s="31"/>
      <c r="S41" s="23"/>
    </row>
    <row r="42" spans="1:27" ht="15" customHeight="1" thickBot="1">
      <c r="A42" s="28"/>
      <c r="B42" s="657"/>
      <c r="C42" s="350"/>
      <c r="D42" s="582"/>
      <c r="E42" s="583"/>
      <c r="F42" s="295"/>
      <c r="G42" s="295"/>
      <c r="H42" s="32"/>
      <c r="I42" s="502" t="s">
        <v>165</v>
      </c>
      <c r="J42" s="328"/>
      <c r="K42" s="503"/>
      <c r="L42" s="504"/>
      <c r="M42" s="504"/>
      <c r="N42" s="505">
        <v>98</v>
      </c>
      <c r="O42" s="11"/>
      <c r="P42" s="31"/>
      <c r="S42" s="23"/>
    </row>
    <row r="43" spans="1:27" ht="15" customHeight="1" thickBot="1">
      <c r="A43" s="28"/>
      <c r="B43" s="657"/>
      <c r="C43" s="350"/>
      <c r="D43" s="584"/>
      <c r="E43" s="585"/>
      <c r="F43" s="295"/>
      <c r="G43" s="295"/>
      <c r="H43" s="32"/>
      <c r="I43" s="1"/>
      <c r="J43" s="39"/>
      <c r="K43" s="500">
        <f>SUM(K33:K42)</f>
        <v>59</v>
      </c>
      <c r="L43" s="501">
        <f>((L33*K33)+(L34*K34)+(L35*K35)+(L36*K36)+(L37*K37)+(K40*L40)+(L38*K38)+(L39*K39)+(L42*K42))/(K43)</f>
        <v>94.965999513813827</v>
      </c>
      <c r="M43" s="501">
        <f>L43</f>
        <v>94.965999513813827</v>
      </c>
      <c r="N43" s="40">
        <v>98</v>
      </c>
      <c r="O43" s="11"/>
      <c r="P43" s="31"/>
      <c r="S43" s="23"/>
    </row>
    <row r="44" spans="1:27" ht="15" customHeight="1">
      <c r="A44" s="28"/>
      <c r="B44" s="657"/>
      <c r="C44" s="350"/>
      <c r="D44" s="582"/>
      <c r="E44" s="583"/>
      <c r="F44" s="295"/>
      <c r="G44" s="295"/>
      <c r="H44" s="32"/>
      <c r="I44" s="1"/>
      <c r="J44" s="39"/>
      <c r="O44" s="11"/>
      <c r="P44" s="31"/>
      <c r="S44" s="23"/>
    </row>
    <row r="45" spans="1:27" ht="21.6" customHeight="1" thickBot="1">
      <c r="B45" s="658"/>
      <c r="C45" s="351"/>
      <c r="D45" s="586"/>
      <c r="E45" s="587"/>
      <c r="F45" s="295"/>
      <c r="G45" s="42"/>
      <c r="H45" s="41"/>
      <c r="I45" s="42"/>
      <c r="J45" s="42"/>
      <c r="K45" s="352"/>
      <c r="L45" s="349"/>
      <c r="M45" s="349"/>
      <c r="N45" s="11"/>
      <c r="O45" s="295"/>
      <c r="P45" s="12"/>
      <c r="S45" s="23"/>
    </row>
    <row r="46" spans="1:27" ht="15" thickBot="1">
      <c r="B46" s="653"/>
      <c r="C46" s="363"/>
      <c r="D46" s="591"/>
      <c r="E46" s="592"/>
      <c r="F46" s="43"/>
      <c r="G46" s="41"/>
      <c r="H46" s="41"/>
      <c r="I46" s="42"/>
      <c r="J46" s="594" t="s">
        <v>129</v>
      </c>
      <c r="K46" s="594"/>
      <c r="L46" s="295"/>
      <c r="M46" s="295"/>
      <c r="N46" s="295"/>
      <c r="O46" s="295"/>
      <c r="P46" s="12"/>
      <c r="S46" s="23" t="s">
        <v>41</v>
      </c>
    </row>
    <row r="47" spans="1:27" ht="13.5" customHeight="1" thickBot="1">
      <c r="B47" s="654"/>
      <c r="C47" s="350"/>
      <c r="D47" s="593"/>
      <c r="E47" s="581"/>
      <c r="F47" s="43"/>
      <c r="G47" s="41"/>
      <c r="H47" s="41"/>
      <c r="I47" s="42"/>
      <c r="J47" s="293" t="s">
        <v>17</v>
      </c>
      <c r="K47" s="294" t="s">
        <v>147</v>
      </c>
      <c r="L47" s="595" t="s">
        <v>136</v>
      </c>
      <c r="M47" s="595"/>
      <c r="N47" s="596"/>
      <c r="O47" s="295"/>
      <c r="P47" s="12"/>
      <c r="S47" s="23"/>
    </row>
    <row r="48" spans="1:27" ht="15" customHeight="1" thickBot="1">
      <c r="B48" s="654"/>
      <c r="C48" s="350"/>
      <c r="D48" s="597"/>
      <c r="E48" s="579"/>
      <c r="F48" s="43"/>
      <c r="G48" s="41"/>
      <c r="H48" s="41"/>
      <c r="I48" s="42"/>
      <c r="J48" s="288" t="s">
        <v>6</v>
      </c>
      <c r="K48" s="325">
        <v>4</v>
      </c>
      <c r="L48" s="344" t="s">
        <v>37</v>
      </c>
      <c r="M48" s="308" t="s">
        <v>38</v>
      </c>
      <c r="N48" s="308" t="s">
        <v>84</v>
      </c>
      <c r="O48" s="295"/>
      <c r="P48" s="12"/>
      <c r="S48" s="23"/>
    </row>
    <row r="49" spans="2:58" ht="15.75" customHeight="1" thickBot="1">
      <c r="B49" s="654"/>
      <c r="C49" s="350"/>
      <c r="D49" s="593"/>
      <c r="E49" s="581"/>
      <c r="F49" s="43"/>
      <c r="G49" s="41"/>
      <c r="H49" s="41"/>
      <c r="I49" s="42"/>
      <c r="J49" s="346" t="s">
        <v>9</v>
      </c>
      <c r="K49" s="325">
        <v>4</v>
      </c>
      <c r="L49" s="345">
        <f>AVERAGE('Jan 2nd'!K69,'Jan 3rd'!K69,'Jan 6th'!K54,'Jan 7th'!K76,'Jan 8th'!K76,'Jan. 10th'!K54,'Jan. 14th '!K54,'Jan.15th '!K55,Jan.16th!K58)</f>
        <v>6.2222222222222223</v>
      </c>
      <c r="M49" s="326">
        <f>L49</f>
        <v>6.2222222222222223</v>
      </c>
      <c r="N49" s="488"/>
      <c r="O49" s="295"/>
      <c r="P49" s="12"/>
      <c r="S49" s="23"/>
    </row>
    <row r="50" spans="2:58" ht="15" customHeight="1">
      <c r="B50" s="654"/>
      <c r="C50" s="350"/>
      <c r="D50" s="597"/>
      <c r="E50" s="579"/>
      <c r="F50" s="43"/>
      <c r="G50" s="41"/>
      <c r="H50" s="41"/>
      <c r="I50" s="42"/>
      <c r="J50" s="289" t="s">
        <v>40</v>
      </c>
      <c r="K50" s="325"/>
      <c r="L50" s="295"/>
      <c r="M50" s="295"/>
      <c r="N50" s="295"/>
      <c r="O50" s="295"/>
      <c r="P50" s="12"/>
      <c r="S50" s="23"/>
    </row>
    <row r="51" spans="2:58" ht="15" customHeight="1">
      <c r="B51" s="654"/>
      <c r="C51" s="350"/>
      <c r="D51" s="593"/>
      <c r="E51" s="581"/>
      <c r="F51" s="43"/>
      <c r="G51" s="41"/>
      <c r="H51" s="41"/>
      <c r="I51" s="42"/>
      <c r="J51" s="290" t="s">
        <v>33</v>
      </c>
      <c r="K51" s="325"/>
      <c r="L51" s="295"/>
      <c r="M51" s="295"/>
      <c r="N51" s="295"/>
      <c r="O51" s="295"/>
      <c r="P51" s="12"/>
      <c r="S51" s="23"/>
    </row>
    <row r="52" spans="2:58" ht="14.4">
      <c r="B52" s="654"/>
      <c r="C52" s="350"/>
      <c r="D52" s="597"/>
      <c r="E52" s="579"/>
      <c r="F52" s="43"/>
      <c r="G52" s="41"/>
      <c r="H52" s="41"/>
      <c r="I52" s="42"/>
      <c r="J52" s="291" t="s">
        <v>16</v>
      </c>
      <c r="K52" s="325"/>
      <c r="L52" s="295"/>
      <c r="M52" s="295"/>
      <c r="N52" s="295"/>
      <c r="O52" s="295"/>
      <c r="P52" s="12"/>
      <c r="S52" s="23"/>
      <c r="BD52" s="44"/>
      <c r="BE52" s="44"/>
    </row>
    <row r="53" spans="2:58" ht="14.4">
      <c r="B53" s="654"/>
      <c r="C53" s="350"/>
      <c r="D53" s="593"/>
      <c r="E53" s="581"/>
      <c r="F53" s="43"/>
      <c r="G53" s="41"/>
      <c r="H53" s="41"/>
      <c r="I53" s="42"/>
      <c r="J53" s="292" t="s">
        <v>15</v>
      </c>
      <c r="K53" s="325"/>
      <c r="L53" s="295"/>
      <c r="M53" s="295"/>
      <c r="N53" s="295"/>
      <c r="O53" s="295"/>
      <c r="P53" s="12"/>
      <c r="S53" s="23"/>
      <c r="BD53" s="44"/>
      <c r="BE53" s="44"/>
    </row>
    <row r="54" spans="2:58" ht="14.4">
      <c r="B54" s="654"/>
      <c r="C54" s="350"/>
      <c r="D54" s="598"/>
      <c r="E54" s="583"/>
      <c r="F54" s="43"/>
      <c r="G54" s="41"/>
      <c r="H54" s="41"/>
      <c r="I54" s="42"/>
      <c r="J54" s="292" t="s">
        <v>149</v>
      </c>
      <c r="K54" s="325"/>
      <c r="L54" s="295"/>
      <c r="M54" s="295"/>
      <c r="N54" s="295"/>
      <c r="O54" s="295"/>
      <c r="P54" s="12"/>
      <c r="S54" s="23"/>
      <c r="BD54" s="44"/>
      <c r="BE54" s="44"/>
    </row>
    <row r="55" spans="2:58" ht="15" thickBot="1">
      <c r="B55" s="655"/>
      <c r="C55" s="351"/>
      <c r="D55" s="599"/>
      <c r="E55" s="600"/>
      <c r="F55" s="43"/>
      <c r="G55" s="41"/>
      <c r="H55" s="41"/>
      <c r="I55" s="42"/>
      <c r="J55" s="292" t="s">
        <v>148</v>
      </c>
      <c r="K55" s="325"/>
      <c r="L55" s="295"/>
      <c r="M55" s="295"/>
      <c r="N55" s="295"/>
      <c r="O55" s="295"/>
      <c r="P55" s="12"/>
      <c r="S55" s="23"/>
      <c r="BD55" s="44"/>
      <c r="BE55" s="44"/>
    </row>
    <row r="56" spans="2:58" ht="17.7" customHeight="1" thickBot="1">
      <c r="B56" s="313" t="s">
        <v>139</v>
      </c>
      <c r="C56" s="314"/>
      <c r="D56" s="601">
        <f>AVERAGE(D33:E55)</f>
        <v>12</v>
      </c>
      <c r="E56" s="602"/>
      <c r="F56" s="43"/>
      <c r="G56" s="41"/>
      <c r="H56" s="41"/>
      <c r="I56" s="42"/>
      <c r="J56" s="296" t="s">
        <v>134</v>
      </c>
      <c r="K56" s="325"/>
      <c r="L56" s="295"/>
      <c r="M56" s="295"/>
      <c r="N56" s="295"/>
      <c r="O56" s="295"/>
      <c r="P56" s="12"/>
      <c r="S56" s="23"/>
      <c r="BD56" s="44"/>
      <c r="BE56" s="44"/>
    </row>
    <row r="57" spans="2:58" ht="17.7" customHeight="1">
      <c r="B57" s="364"/>
      <c r="C57" s="365"/>
      <c r="D57" s="366"/>
      <c r="E57" s="366"/>
      <c r="F57" s="43"/>
      <c r="G57" s="41"/>
      <c r="H57" s="41"/>
      <c r="I57" s="42"/>
      <c r="J57" s="296" t="s">
        <v>131</v>
      </c>
      <c r="K57" s="325"/>
      <c r="L57" s="295"/>
      <c r="M57" s="295"/>
      <c r="N57" s="295"/>
      <c r="O57" s="295"/>
      <c r="P57" s="12"/>
      <c r="S57" s="23"/>
      <c r="BD57" s="44"/>
      <c r="BE57" s="44"/>
    </row>
    <row r="58" spans="2:58" ht="15.75" customHeight="1">
      <c r="B58" s="45"/>
      <c r="C58" s="11"/>
      <c r="D58" s="11"/>
      <c r="E58" s="46"/>
      <c r="F58" s="23"/>
      <c r="G58" s="11"/>
      <c r="H58" s="41"/>
      <c r="I58" s="42"/>
      <c r="J58" s="347" t="s">
        <v>130</v>
      </c>
      <c r="K58" s="325">
        <f>SUM(K48:K57)</f>
        <v>8</v>
      </c>
      <c r="L58" s="295"/>
      <c r="M58" s="295"/>
      <c r="N58" s="295"/>
      <c r="O58" s="295"/>
      <c r="P58" s="12"/>
    </row>
    <row r="59" spans="2:58" ht="20.25" customHeight="1">
      <c r="B59" s="15" t="s">
        <v>42</v>
      </c>
      <c r="C59" s="1" t="s">
        <v>43</v>
      </c>
      <c r="D59" s="1"/>
      <c r="E59" s="1"/>
      <c r="I59" s="42"/>
      <c r="L59" s="295"/>
      <c r="P59" s="335"/>
    </row>
    <row r="60" spans="2:58" ht="15" customHeight="1" thickBot="1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8"/>
      <c r="O60" s="48"/>
      <c r="P60" s="49"/>
      <c r="X60" s="276" t="s">
        <v>41</v>
      </c>
    </row>
    <row r="61" spans="2:58" ht="15" customHeight="1" thickBot="1">
      <c r="B61" s="603" t="s">
        <v>17</v>
      </c>
      <c r="C61" s="603" t="s">
        <v>44</v>
      </c>
      <c r="D61" s="605" t="s">
        <v>45</v>
      </c>
      <c r="E61" s="560" t="s">
        <v>46</v>
      </c>
      <c r="F61" s="620" t="s">
        <v>47</v>
      </c>
      <c r="G61" s="614" t="s">
        <v>48</v>
      </c>
      <c r="H61" s="603" t="s">
        <v>49</v>
      </c>
      <c r="I61" s="616" t="s">
        <v>50</v>
      </c>
      <c r="J61" s="608" t="s">
        <v>28</v>
      </c>
      <c r="K61" s="558" t="s">
        <v>51</v>
      </c>
      <c r="L61" s="570" t="s">
        <v>52</v>
      </c>
      <c r="M61" s="608" t="s">
        <v>53</v>
      </c>
      <c r="N61" s="77"/>
      <c r="O61" s="13"/>
      <c r="P61" s="50"/>
    </row>
    <row r="62" spans="2:58" ht="28.5" customHeight="1" thickTop="1" thickBot="1">
      <c r="B62" s="604"/>
      <c r="C62" s="604"/>
      <c r="D62" s="606"/>
      <c r="E62" s="607"/>
      <c r="F62" s="621"/>
      <c r="G62" s="615"/>
      <c r="H62" s="604"/>
      <c r="I62" s="617"/>
      <c r="J62" s="609"/>
      <c r="K62" s="618"/>
      <c r="L62" s="619"/>
      <c r="M62" s="609"/>
      <c r="N62" s="77"/>
      <c r="O62" s="13"/>
      <c r="P62" s="50"/>
      <c r="Q62" s="356"/>
      <c r="R62" s="356"/>
      <c r="S62" s="356"/>
      <c r="T62" s="356"/>
      <c r="U62" s="51">
        <v>43466</v>
      </c>
      <c r="V62" s="51">
        <v>43467</v>
      </c>
      <c r="W62" s="51">
        <v>43468</v>
      </c>
      <c r="X62" s="51">
        <v>43469</v>
      </c>
      <c r="Y62" s="51">
        <v>43470</v>
      </c>
      <c r="Z62" s="51">
        <v>43471</v>
      </c>
      <c r="AA62" s="51">
        <v>43472</v>
      </c>
      <c r="AB62" s="51">
        <v>43473</v>
      </c>
      <c r="AC62" s="51">
        <v>43474</v>
      </c>
      <c r="AD62" s="51">
        <v>43475</v>
      </c>
      <c r="AE62" s="51">
        <v>43476</v>
      </c>
      <c r="AF62" s="51">
        <v>43477</v>
      </c>
      <c r="AG62" s="51">
        <v>43478</v>
      </c>
      <c r="AH62" s="51">
        <v>43479</v>
      </c>
      <c r="AI62" s="51">
        <v>43480</v>
      </c>
      <c r="AJ62" s="51">
        <v>43481</v>
      </c>
      <c r="AK62" s="51">
        <v>43482</v>
      </c>
      <c r="AL62" s="51">
        <v>43483</v>
      </c>
      <c r="AM62" s="51">
        <v>43484</v>
      </c>
      <c r="AN62" s="51">
        <v>43485</v>
      </c>
      <c r="AO62" s="51">
        <v>43486</v>
      </c>
      <c r="AP62" s="51">
        <v>43487</v>
      </c>
      <c r="AQ62" s="51">
        <v>43488</v>
      </c>
      <c r="AR62" s="51">
        <v>43489</v>
      </c>
      <c r="AS62" s="51">
        <v>43490</v>
      </c>
      <c r="AT62" s="51">
        <v>43491</v>
      </c>
      <c r="AU62" s="51">
        <v>43492</v>
      </c>
      <c r="AV62" s="51">
        <v>43493</v>
      </c>
      <c r="AW62" s="51">
        <v>43494</v>
      </c>
      <c r="AX62" s="51">
        <v>43495</v>
      </c>
      <c r="AY62" s="51">
        <v>43496</v>
      </c>
    </row>
    <row r="63" spans="2:58" s="54" customFormat="1" ht="60.75" customHeight="1" thickBot="1">
      <c r="B63" s="511" t="str">
        <f>B74</f>
        <v>STAG</v>
      </c>
      <c r="C63" s="284">
        <v>45673</v>
      </c>
      <c r="D63" s="378">
        <f>[23]January_2025!$S$13</f>
        <v>106.51</v>
      </c>
      <c r="E63" s="379"/>
      <c r="F63" s="380"/>
      <c r="G63" s="304">
        <f>[23]January_2025!$S$17</f>
        <v>93.3</v>
      </c>
      <c r="H63" s="382"/>
      <c r="I63" s="383"/>
      <c r="J63" s="391" t="s">
        <v>180</v>
      </c>
      <c r="K63" s="381">
        <f>[24]January_2025!$S$25</f>
        <v>0.32736842105263159</v>
      </c>
      <c r="L63" s="315">
        <f>(((D63+E63)-G63)/(D63+E63))*100</f>
        <v>12.402591305980666</v>
      </c>
      <c r="M63" s="358" t="s">
        <v>178</v>
      </c>
      <c r="N63" s="13"/>
      <c r="O63" s="13"/>
      <c r="P63" s="50"/>
      <c r="T63" s="273" t="s">
        <v>54</v>
      </c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</row>
    <row r="64" spans="2:58" s="54" customFormat="1" ht="18.75" customHeight="1" thickBot="1">
      <c r="B64" s="388"/>
      <c r="C64" s="284"/>
      <c r="D64" s="280"/>
      <c r="E64" s="280"/>
      <c r="F64" s="280"/>
      <c r="G64" s="280"/>
      <c r="H64" s="321"/>
      <c r="I64" s="322"/>
      <c r="J64" s="390" t="s">
        <v>41</v>
      </c>
      <c r="K64" s="377" t="s">
        <v>183</v>
      </c>
      <c r="L64" s="315"/>
      <c r="M64" s="385"/>
      <c r="N64" s="13"/>
      <c r="O64" s="13"/>
      <c r="P64" s="50"/>
      <c r="T64" s="273" t="s">
        <v>51</v>
      </c>
      <c r="U64" s="57" t="e">
        <f>[20]January_2019!D8</f>
        <v>#DIV/0!</v>
      </c>
      <c r="V64" s="57">
        <f>[20]January_2019!E8</f>
        <v>1.0319298245614037</v>
      </c>
      <c r="W64" s="57">
        <f>[20]January_2019!F8</f>
        <v>1.7789473684210526</v>
      </c>
      <c r="X64" s="57">
        <f>[20]January_2019!G8</f>
        <v>0.51929824561403504</v>
      </c>
      <c r="Y64" s="57" t="e">
        <f>[20]January_2019!H8</f>
        <v>#DIV/0!</v>
      </c>
      <c r="Z64" s="57" t="e">
        <f>[20]January_2019!I8</f>
        <v>#DIV/0!</v>
      </c>
      <c r="AA64" s="57">
        <f>[20]January_2019!J8</f>
        <v>1.365263157894737</v>
      </c>
      <c r="AB64" s="57" t="e">
        <f>[20]January_2019!K8</f>
        <v>#DIV/0!</v>
      </c>
      <c r="AC64" s="57">
        <f>[20]January_2019!L8</f>
        <v>1.0028070175438597</v>
      </c>
      <c r="AD64" s="57">
        <f>[20]January_2019!M8</f>
        <v>1.7828070175438597</v>
      </c>
      <c r="AE64" s="57" t="e">
        <f>[20]January_2019!N8</f>
        <v>#DIV/0!</v>
      </c>
      <c r="AF64" s="57" t="e">
        <f>[20]January_2019!O8</f>
        <v>#DIV/0!</v>
      </c>
      <c r="AG64" s="57">
        <f>[20]January_2019!P8</f>
        <v>0.19222222222222221</v>
      </c>
      <c r="AH64" s="57">
        <f>[20]January_2019!Q8</f>
        <v>0.52219298245614032</v>
      </c>
      <c r="AI64" s="57">
        <f>[20]January_2019!R8</f>
        <v>0.42912280701754385</v>
      </c>
      <c r="AJ64" s="57" t="e">
        <f>[20]January_2019!S8</f>
        <v>#DIV/0!</v>
      </c>
      <c r="AK64" s="57">
        <f>[20]January_2019!T8</f>
        <v>1.0340350877192983</v>
      </c>
      <c r="AL64" s="57">
        <f>[20]January_2019!U8</f>
        <v>0.98421052631578942</v>
      </c>
      <c r="AM64" s="57" t="e">
        <f>[20]January_2019!V8</f>
        <v>#DIV/0!</v>
      </c>
      <c r="AN64" s="57" t="e">
        <f>[20]January_2019!W8</f>
        <v>#DIV/0!</v>
      </c>
      <c r="AO64" s="57">
        <f>[20]January_2019!X8</f>
        <v>0.66052631578947374</v>
      </c>
      <c r="AP64" s="57">
        <f>[20]January_2019!Y8</f>
        <v>1.0375438596491227</v>
      </c>
      <c r="AQ64" s="57">
        <f>[20]January_2019!Z8</f>
        <v>0.90456140350877201</v>
      </c>
      <c r="AR64" s="57">
        <f>[20]January_2019!AA8</f>
        <v>1.0217543859649123</v>
      </c>
      <c r="AS64" s="57">
        <f>[20]January_2019!AB8</f>
        <v>0.65614035087719302</v>
      </c>
      <c r="AT64" s="57" t="e">
        <f>[20]January_2019!AC8</f>
        <v>#DIV/0!</v>
      </c>
      <c r="AU64" s="57" t="e">
        <f>[20]January_2019!AD8</f>
        <v>#DIV/0!</v>
      </c>
      <c r="AV64" s="57">
        <f>[20]January_2019!AE8</f>
        <v>1.7021052631578948</v>
      </c>
      <c r="AW64" s="57">
        <f>[20]January_2019!AF8</f>
        <v>0.60192982456140354</v>
      </c>
      <c r="AX64" s="57">
        <f>[20]January_2019!AG8</f>
        <v>1.4870175438596491</v>
      </c>
      <c r="AY64" s="278" t="e">
        <f>[20]January_2019!AH8</f>
        <v>#DIV/0!</v>
      </c>
      <c r="AZ64" s="278"/>
      <c r="BA64" s="278"/>
      <c r="BB64" s="278"/>
      <c r="BC64" s="278"/>
      <c r="BD64" s="278"/>
      <c r="BE64" s="278"/>
      <c r="BF64" s="278"/>
    </row>
    <row r="65" spans="2:58" s="54" customFormat="1" ht="23.25" hidden="1" customHeight="1" thickBot="1">
      <c r="B65" s="374"/>
      <c r="C65" s="284"/>
      <c r="D65" s="280"/>
      <c r="E65" s="280"/>
      <c r="F65" s="280"/>
      <c r="G65" s="280"/>
      <c r="H65" s="382"/>
      <c r="I65" s="383"/>
      <c r="J65" s="391"/>
      <c r="K65" s="373"/>
      <c r="L65" s="315"/>
      <c r="M65" s="358"/>
      <c r="N65" s="13"/>
      <c r="O65" s="13"/>
      <c r="P65" s="50"/>
      <c r="T65" s="273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278"/>
      <c r="AZ65" s="278"/>
      <c r="BA65" s="278"/>
      <c r="BB65" s="278"/>
      <c r="BC65" s="278"/>
      <c r="BD65" s="278"/>
      <c r="BE65" s="278"/>
      <c r="BF65" s="278"/>
    </row>
    <row r="66" spans="2:58" s="54" customFormat="1" ht="14.4" hidden="1" thickBot="1">
      <c r="B66" s="362"/>
      <c r="C66" s="284"/>
      <c r="D66" s="305"/>
      <c r="E66" s="280"/>
      <c r="F66" s="280"/>
      <c r="G66" s="280"/>
      <c r="H66" s="382"/>
      <c r="I66" s="383"/>
      <c r="J66" s="390"/>
      <c r="K66" s="377"/>
      <c r="L66" s="315"/>
      <c r="M66" s="355"/>
      <c r="N66" s="13"/>
      <c r="O66" s="13"/>
      <c r="P66" s="50"/>
      <c r="T66" s="273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278"/>
      <c r="AZ66" s="278"/>
      <c r="BA66" s="278"/>
      <c r="BB66" s="278"/>
      <c r="BC66" s="278"/>
      <c r="BD66" s="278"/>
      <c r="BE66" s="278"/>
      <c r="BF66" s="278"/>
    </row>
    <row r="67" spans="2:58" s="54" customFormat="1" ht="45.75" hidden="1" customHeight="1">
      <c r="B67" s="386"/>
      <c r="C67" s="284"/>
      <c r="D67" s="280"/>
      <c r="E67" s="280"/>
      <c r="F67" s="280"/>
      <c r="G67" s="280"/>
      <c r="H67" s="321"/>
      <c r="I67" s="323"/>
      <c r="J67" s="361"/>
      <c r="K67" s="287"/>
      <c r="L67" s="315"/>
      <c r="M67" s="385"/>
      <c r="N67" s="13"/>
      <c r="O67" s="13"/>
      <c r="P67" s="50"/>
      <c r="T67" s="273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278"/>
      <c r="AZ67" s="278"/>
      <c r="BA67" s="278"/>
      <c r="BB67" s="278"/>
      <c r="BC67" s="278"/>
      <c r="BD67" s="278"/>
      <c r="BE67" s="278"/>
      <c r="BF67" s="278"/>
    </row>
    <row r="68" spans="2:58" s="54" customFormat="1" ht="45.75" hidden="1" customHeight="1">
      <c r="B68" s="362"/>
      <c r="C68" s="284"/>
      <c r="D68" s="280"/>
      <c r="E68" s="280"/>
      <c r="F68" s="280"/>
      <c r="G68" s="280"/>
      <c r="H68" s="321"/>
      <c r="I68" s="323"/>
      <c r="J68" s="282"/>
      <c r="K68" s="287"/>
      <c r="L68" s="315"/>
      <c r="M68" s="340"/>
      <c r="N68" s="13"/>
      <c r="O68" s="13"/>
      <c r="P68" s="50"/>
      <c r="T68" s="273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278"/>
      <c r="AZ68" s="278"/>
      <c r="BA68" s="278"/>
      <c r="BB68" s="278"/>
      <c r="BC68" s="278"/>
      <c r="BD68" s="278"/>
      <c r="BE68" s="278"/>
      <c r="BF68" s="278"/>
    </row>
    <row r="69" spans="2:58" ht="14.4" hidden="1" thickBot="1">
      <c r="B69" s="33"/>
      <c r="C69" s="311"/>
      <c r="D69" s="280"/>
      <c r="E69" s="280"/>
      <c r="F69" s="280"/>
      <c r="G69" s="280"/>
      <c r="H69" s="353"/>
      <c r="I69" s="354"/>
      <c r="J69" s="52"/>
      <c r="K69" s="52"/>
      <c r="L69" s="53"/>
      <c r="M69" s="55"/>
      <c r="N69" s="77"/>
      <c r="O69" s="13"/>
      <c r="P69" s="56"/>
    </row>
    <row r="70" spans="2:58" ht="14.4" thickBot="1">
      <c r="B70" s="58"/>
      <c r="C70" s="310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9"/>
      <c r="O70" s="56"/>
      <c r="P70" s="60"/>
    </row>
    <row r="71" spans="2:58" ht="14.4" thickBot="1">
      <c r="B71" s="610" t="s">
        <v>55</v>
      </c>
      <c r="C71" s="611"/>
      <c r="D71" s="611"/>
      <c r="E71" s="611"/>
      <c r="F71" s="612"/>
      <c r="G71" s="610" t="s">
        <v>56</v>
      </c>
      <c r="H71" s="611"/>
      <c r="I71" s="611"/>
      <c r="J71" s="612"/>
      <c r="K71" s="610" t="s">
        <v>51</v>
      </c>
      <c r="L71" s="611"/>
      <c r="M71" s="611"/>
      <c r="N71" s="613"/>
      <c r="O71" s="56"/>
      <c r="P71" s="50"/>
    </row>
    <row r="72" spans="2:58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8">
      <c r="B73" s="29" t="s">
        <v>6</v>
      </c>
      <c r="C73" s="65"/>
      <c r="D73" s="76">
        <v>19.803308001788107</v>
      </c>
      <c r="E73" s="76"/>
      <c r="F73" s="66">
        <v>4.8</v>
      </c>
      <c r="G73" s="65"/>
      <c r="H73" s="76">
        <v>11.396661454981579</v>
      </c>
      <c r="I73" s="76"/>
      <c r="J73" s="66">
        <v>4.8</v>
      </c>
      <c r="K73" s="67"/>
      <c r="L73" s="194">
        <v>0.92431077694235586</v>
      </c>
      <c r="M73" s="194"/>
      <c r="N73" s="68">
        <v>1</v>
      </c>
      <c r="O73" s="56"/>
      <c r="P73" s="69"/>
    </row>
    <row r="74" spans="2:58">
      <c r="B74" s="33" t="s">
        <v>9</v>
      </c>
      <c r="C74" s="65">
        <f>L63</f>
        <v>12.402591305980666</v>
      </c>
      <c r="D74" s="76">
        <v>5.2465523383033963</v>
      </c>
      <c r="E74" s="76"/>
      <c r="F74" s="66">
        <v>4.8</v>
      </c>
      <c r="G74" s="65">
        <f>[23]January_2025!$S$21</f>
        <v>11.128961777311568</v>
      </c>
      <c r="H74" s="76">
        <v>15.425866397938915</v>
      </c>
      <c r="I74" s="76"/>
      <c r="J74" s="66">
        <v>4.8</v>
      </c>
      <c r="K74" s="67">
        <f>K63</f>
        <v>0.32736842105263159</v>
      </c>
      <c r="L74" s="194">
        <v>0.81701754385964909</v>
      </c>
      <c r="M74" s="194"/>
      <c r="N74" s="68">
        <v>1</v>
      </c>
      <c r="P74" s="69"/>
    </row>
    <row r="75" spans="2:58">
      <c r="B75" s="34" t="s">
        <v>40</v>
      </c>
      <c r="C75" s="65"/>
      <c r="D75" s="76">
        <v>7.5530586766541949</v>
      </c>
      <c r="E75" s="76"/>
      <c r="F75" s="66">
        <v>5.5</v>
      </c>
      <c r="G75" s="65"/>
      <c r="H75" s="76">
        <v>2.6473552031086438</v>
      </c>
      <c r="I75" s="76"/>
      <c r="J75" s="66">
        <v>5.5</v>
      </c>
      <c r="K75" s="67"/>
      <c r="L75" s="194">
        <v>1.0392982456140349</v>
      </c>
      <c r="M75" s="194"/>
      <c r="N75" s="68">
        <v>1</v>
      </c>
      <c r="P75" s="69"/>
    </row>
    <row r="76" spans="2:58">
      <c r="B76" s="22" t="s">
        <v>33</v>
      </c>
      <c r="C76" s="65"/>
      <c r="D76" s="76">
        <v>2.2380467955239092</v>
      </c>
      <c r="E76" s="76"/>
      <c r="F76" s="66">
        <v>3.3</v>
      </c>
      <c r="G76" s="65"/>
      <c r="H76" s="76">
        <v>5.2472220688473969</v>
      </c>
      <c r="I76" s="76"/>
      <c r="J76" s="66">
        <v>3.3</v>
      </c>
      <c r="K76" s="67"/>
      <c r="L76" s="194">
        <v>0.67438596491228064</v>
      </c>
      <c r="M76" s="194"/>
      <c r="N76" s="68">
        <v>1</v>
      </c>
      <c r="P76" s="69"/>
    </row>
    <row r="77" spans="2:58">
      <c r="B77" s="35" t="s">
        <v>29</v>
      </c>
      <c r="C77" s="65"/>
      <c r="D77" s="76"/>
      <c r="E77" s="76"/>
      <c r="F77" s="66">
        <v>3.3</v>
      </c>
      <c r="G77" s="283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8">
      <c r="B78" s="36" t="s">
        <v>15</v>
      </c>
      <c r="C78" s="283"/>
      <c r="D78" s="76"/>
      <c r="E78" s="76"/>
      <c r="F78" s="70">
        <f>[21]May_2022!$M$43</f>
        <v>3.4878406700073312</v>
      </c>
      <c r="G78" s="283"/>
      <c r="H78" s="76"/>
      <c r="I78" s="76"/>
      <c r="J78" s="70">
        <v>5.5</v>
      </c>
      <c r="K78" s="67"/>
      <c r="L78" s="194"/>
      <c r="M78" s="194"/>
      <c r="N78" s="68">
        <v>1</v>
      </c>
      <c r="P78" s="69"/>
    </row>
    <row r="79" spans="2:58">
      <c r="B79" s="37" t="s">
        <v>16</v>
      </c>
      <c r="C79" s="65"/>
      <c r="D79" s="76"/>
      <c r="E79" s="76"/>
      <c r="F79" s="70">
        <v>3.3</v>
      </c>
      <c r="G79" s="283"/>
      <c r="H79" s="76"/>
      <c r="I79" s="76"/>
      <c r="J79" s="70">
        <v>3.3</v>
      </c>
      <c r="K79" s="67"/>
      <c r="L79" s="194"/>
      <c r="M79" s="194"/>
      <c r="N79" s="71">
        <v>1</v>
      </c>
      <c r="P79" s="69"/>
    </row>
    <row r="80" spans="2:58" ht="14.4" thickBot="1">
      <c r="B80" s="38" t="s">
        <v>127</v>
      </c>
      <c r="C80" s="65"/>
      <c r="D80" s="76"/>
      <c r="E80" s="76"/>
      <c r="F80" s="72">
        <v>7.5</v>
      </c>
      <c r="G80" s="73"/>
      <c r="H80" s="76"/>
      <c r="I80" s="76"/>
      <c r="J80" s="72">
        <v>7.5</v>
      </c>
      <c r="K80" s="67"/>
      <c r="L80" s="194"/>
      <c r="M80" s="194"/>
      <c r="N80" s="71">
        <v>1</v>
      </c>
      <c r="P80" s="69"/>
    </row>
    <row r="81" spans="3:30">
      <c r="C81" s="65"/>
      <c r="D81" s="76">
        <v>11.518417324428247</v>
      </c>
      <c r="E81" s="76"/>
      <c r="F81" s="342">
        <v>4.5</v>
      </c>
      <c r="G81" s="74"/>
      <c r="H81" s="76">
        <v>6.9593481484924711</v>
      </c>
      <c r="I81" s="76"/>
      <c r="J81" s="343">
        <v>4.5</v>
      </c>
      <c r="K81" s="67"/>
      <c r="L81" s="194">
        <v>0.80685146198830426</v>
      </c>
      <c r="M81" s="194"/>
      <c r="N81" s="387">
        <v>1</v>
      </c>
      <c r="O81" s="74"/>
      <c r="P81" s="75"/>
    </row>
    <row r="86" spans="3:30">
      <c r="F86" s="316"/>
    </row>
    <row r="94" spans="3:30">
      <c r="AD94" s="276" t="s">
        <v>57</v>
      </c>
    </row>
  </sheetData>
  <mergeCells count="52">
    <mergeCell ref="M61:M62"/>
    <mergeCell ref="B71:F71"/>
    <mergeCell ref="G71:J71"/>
    <mergeCell ref="K71:N71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C4:D4"/>
    <mergeCell ref="M4:N4"/>
    <mergeCell ref="I31:N31"/>
    <mergeCell ref="D32:E32"/>
    <mergeCell ref="B33:B45"/>
    <mergeCell ref="D33:E34"/>
    <mergeCell ref="D35:E36"/>
    <mergeCell ref="D37:E38"/>
    <mergeCell ref="D39:E40"/>
    <mergeCell ref="D42:E43"/>
    <mergeCell ref="D44:E45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56:B57">
    <cfRule type="cellIs" dxfId="1715" priority="135" operator="notBetween">
      <formula>#REF!</formula>
      <formula>#REF!</formula>
    </cfRule>
  </conditionalFormatting>
  <conditionalFormatting sqref="C60">
    <cfRule type="cellIs" dxfId="1714" priority="168" stopIfTrue="1" operator="greaterThan">
      <formula>100</formula>
    </cfRule>
    <cfRule type="cellIs" dxfId="1713" priority="167" stopIfTrue="1" operator="lessThan">
      <formula>96</formula>
    </cfRule>
  </conditionalFormatting>
  <conditionalFormatting sqref="C73">
    <cfRule type="cellIs" dxfId="1712" priority="53" stopIfTrue="1" operator="greaterThan">
      <formula>$F73</formula>
    </cfRule>
  </conditionalFormatting>
  <conditionalFormatting sqref="C73:C74">
    <cfRule type="cellIs" dxfId="1711" priority="54" stopIfTrue="1" operator="lessThanOrEqual">
      <formula>0</formula>
    </cfRule>
  </conditionalFormatting>
  <conditionalFormatting sqref="C74">
    <cfRule type="cellIs" dxfId="1710" priority="171" stopIfTrue="1" operator="greaterThan">
      <formula>$F73</formula>
    </cfRule>
  </conditionalFormatting>
  <conditionalFormatting sqref="C75:C77">
    <cfRule type="cellIs" dxfId="1709" priority="85" stopIfTrue="1" operator="greaterThan">
      <formula>$F75</formula>
    </cfRule>
  </conditionalFormatting>
  <conditionalFormatting sqref="C75:C78">
    <cfRule type="cellIs" dxfId="1708" priority="108" stopIfTrue="1" operator="lessThanOrEqual">
      <formula>0</formula>
    </cfRule>
  </conditionalFormatting>
  <conditionalFormatting sqref="C78">
    <cfRule type="cellIs" dxfId="1707" priority="107" stopIfTrue="1" operator="greaterThan">
      <formula>$J78</formula>
    </cfRule>
  </conditionalFormatting>
  <conditionalFormatting sqref="C84:C88">
    <cfRule type="cellIs" dxfId="1706" priority="159" stopIfTrue="1" operator="lessThanOrEqual">
      <formula>0</formula>
    </cfRule>
  </conditionalFormatting>
  <conditionalFormatting sqref="C85:C88">
    <cfRule type="cellIs" dxfId="1705" priority="158" stopIfTrue="1" operator="greaterThan">
      <formula>$F$84</formula>
    </cfRule>
  </conditionalFormatting>
  <conditionalFormatting sqref="C90">
    <cfRule type="cellIs" dxfId="1704" priority="161" stopIfTrue="1" operator="lessThanOrEqual">
      <formula>0</formula>
    </cfRule>
    <cfRule type="cellIs" dxfId="1703" priority="160" stopIfTrue="1" operator="greaterThan">
      <formula>$F$84</formula>
    </cfRule>
  </conditionalFormatting>
  <conditionalFormatting sqref="C84:D84 D86:D92">
    <cfRule type="cellIs" dxfId="1702" priority="153" stopIfTrue="1" operator="greaterThan">
      <formula>4.5</formula>
    </cfRule>
  </conditionalFormatting>
  <conditionalFormatting sqref="D56:D57">
    <cfRule type="cellIs" dxfId="1701" priority="136" operator="notBetween">
      <formula>#REF!</formula>
      <formula>#REF!</formula>
    </cfRule>
  </conditionalFormatting>
  <conditionalFormatting sqref="D73:D80">
    <cfRule type="cellIs" dxfId="1700" priority="122" stopIfTrue="1" operator="lessThanOrEqual">
      <formula>0</formula>
    </cfRule>
  </conditionalFormatting>
  <conditionalFormatting sqref="D81">
    <cfRule type="cellIs" dxfId="1699" priority="121" stopIfTrue="1" operator="lessThanOrEqual">
      <formula>0</formula>
    </cfRule>
  </conditionalFormatting>
  <conditionalFormatting sqref="D84 D86:D92">
    <cfRule type="cellIs" dxfId="1698" priority="154" stopIfTrue="1" operator="lessThanOrEqual">
      <formula>0</formula>
    </cfRule>
  </conditionalFormatting>
  <conditionalFormatting sqref="D85">
    <cfRule type="cellIs" dxfId="1697" priority="146" stopIfTrue="1" operator="lessThanOrEqual">
      <formula>0</formula>
    </cfRule>
    <cfRule type="cellIs" dxfId="1696" priority="145" stopIfTrue="1" operator="greaterThan">
      <formula>$F$84</formula>
    </cfRule>
  </conditionalFormatting>
  <conditionalFormatting sqref="D73:E81">
    <cfRule type="cellIs" dxfId="1695" priority="114" stopIfTrue="1" operator="greaterThan">
      <formula>$F73</formula>
    </cfRule>
  </conditionalFormatting>
  <conditionalFormatting sqref="E10:E29">
    <cfRule type="cellIs" dxfId="1694" priority="8" operator="lessThan">
      <formula>48</formula>
    </cfRule>
  </conditionalFormatting>
  <conditionalFormatting sqref="E60">
    <cfRule type="cellIs" dxfId="1693" priority="148" stopIfTrue="1" operator="greaterThan">
      <formula>100</formula>
    </cfRule>
    <cfRule type="cellIs" dxfId="1692" priority="147" stopIfTrue="1" operator="lessThan">
      <formula>96.8</formula>
    </cfRule>
  </conditionalFormatting>
  <conditionalFormatting sqref="E73:E81">
    <cfRule type="cellIs" dxfId="1691" priority="115" stopIfTrue="1" operator="lessThanOrEqual">
      <formula>0</formula>
    </cfRule>
  </conditionalFormatting>
  <conditionalFormatting sqref="E84:E92">
    <cfRule type="cellIs" dxfId="1690" priority="139" stopIfTrue="1" operator="greaterThan">
      <formula>4.5</formula>
    </cfRule>
    <cfRule type="cellIs" dxfId="1689" priority="140" stopIfTrue="1" operator="lessThanOrEqual">
      <formula>0</formula>
    </cfRule>
  </conditionalFormatting>
  <conditionalFormatting sqref="E59:F60">
    <cfRule type="cellIs" dxfId="1688" priority="150" stopIfTrue="1" operator="greaterThan">
      <formula>100</formula>
    </cfRule>
    <cfRule type="cellIs" dxfId="1687" priority="149" stopIfTrue="1" operator="lessThan">
      <formula>96.5</formula>
    </cfRule>
  </conditionalFormatting>
  <conditionalFormatting sqref="F10:F12">
    <cfRule type="cellIs" dxfId="1686" priority="60" operator="greaterThan">
      <formula>$AA23</formula>
    </cfRule>
  </conditionalFormatting>
  <conditionalFormatting sqref="F10:F24 F30">
    <cfRule type="cellIs" dxfId="1685" priority="40" operator="greaterThan">
      <formula>$AA10</formula>
    </cfRule>
  </conditionalFormatting>
  <conditionalFormatting sqref="F13:F24">
    <cfRule type="cellIs" dxfId="1684" priority="178" operator="greaterThan">
      <formula>$AA30</formula>
    </cfRule>
  </conditionalFormatting>
  <conditionalFormatting sqref="F25:F29">
    <cfRule type="cellIs" dxfId="1683" priority="7" operator="greaterThan">
      <formula>60</formula>
    </cfRule>
  </conditionalFormatting>
  <conditionalFormatting sqref="F60">
    <cfRule type="cellIs" dxfId="1682" priority="165" stopIfTrue="1" operator="lessThan">
      <formula>96.8</formula>
    </cfRule>
    <cfRule type="cellIs" dxfId="1681" priority="166" stopIfTrue="1" operator="greaterThan">
      <formula>100</formula>
    </cfRule>
  </conditionalFormatting>
  <conditionalFormatting sqref="F81">
    <cfRule type="cellIs" dxfId="1680" priority="116" stopIfTrue="1" operator="greaterThan">
      <formula>$F81</formula>
    </cfRule>
    <cfRule type="cellIs" dxfId="1679" priority="117" stopIfTrue="1" operator="lessThanOrEqual">
      <formula>0</formula>
    </cfRule>
  </conditionalFormatting>
  <conditionalFormatting sqref="G10:G29">
    <cfRule type="expression" dxfId="1678" priority="11">
      <formula>IF(+(IF(G10&lt;#REF!,0,IF(G10&gt;#REF!,0,1)))=0,1)</formula>
    </cfRule>
  </conditionalFormatting>
  <conditionalFormatting sqref="G73:G74 C79:C81">
    <cfRule type="cellIs" dxfId="1677" priority="124" stopIfTrue="1" operator="lessThanOrEqual">
      <formula>0</formula>
    </cfRule>
    <cfRule type="cellIs" dxfId="1676" priority="123" stopIfTrue="1" operator="greaterThan">
      <formula>$F73</formula>
    </cfRule>
  </conditionalFormatting>
  <conditionalFormatting sqref="G73:G74">
    <cfRule type="cellIs" dxfId="1675" priority="63" stopIfTrue="1" operator="greaterThan">
      <formula>$F73</formula>
    </cfRule>
    <cfRule type="cellIs" dxfId="1674" priority="64" stopIfTrue="1" operator="lessThanOrEqual">
      <formula>0</formula>
    </cfRule>
  </conditionalFormatting>
  <conditionalFormatting sqref="G75">
    <cfRule type="cellIs" dxfId="1673" priority="169" stopIfTrue="1" operator="greaterThan">
      <formula>$F74</formula>
    </cfRule>
    <cfRule type="cellIs" dxfId="1672" priority="170" stopIfTrue="1" operator="lessThanOrEqual">
      <formula>0</formula>
    </cfRule>
  </conditionalFormatting>
  <conditionalFormatting sqref="G76">
    <cfRule type="cellIs" dxfId="1671" priority="119" stopIfTrue="1" operator="lessThanOrEqual">
      <formula>0</formula>
    </cfRule>
    <cfRule type="cellIs" dxfId="1670" priority="118" stopIfTrue="1" operator="greaterThan">
      <formula>$F76</formula>
    </cfRule>
  </conditionalFormatting>
  <conditionalFormatting sqref="G77:G80">
    <cfRule type="cellIs" dxfId="1669" priority="126" stopIfTrue="1" operator="greaterThan">
      <formula>$J77</formula>
    </cfRule>
    <cfRule type="cellIs" dxfId="1668" priority="127" stopIfTrue="1" operator="lessThanOrEqual">
      <formula>0</formula>
    </cfRule>
  </conditionalFormatting>
  <conditionalFormatting sqref="G81">
    <cfRule type="cellIs" dxfId="1667" priority="125" operator="greaterThan">
      <formula>4.5</formula>
    </cfRule>
  </conditionalFormatting>
  <conditionalFormatting sqref="G86:G91 C89 C91">
    <cfRule type="cellIs" dxfId="1666" priority="163" stopIfTrue="1" operator="lessThanOrEqual">
      <formula>0</formula>
    </cfRule>
    <cfRule type="cellIs" dxfId="1665" priority="162" stopIfTrue="1" operator="greaterThan">
      <formula>4.5</formula>
    </cfRule>
  </conditionalFormatting>
  <conditionalFormatting sqref="G46:H46 G47:G57 H47:H58">
    <cfRule type="cellIs" dxfId="1664" priority="141" stopIfTrue="1" operator="greaterThan">
      <formula>0</formula>
    </cfRule>
  </conditionalFormatting>
  <conditionalFormatting sqref="G85:H85">
    <cfRule type="cellIs" dxfId="1663" priority="143" stopIfTrue="1" operator="greaterThan">
      <formula>$F$84</formula>
    </cfRule>
    <cfRule type="cellIs" dxfId="1662" priority="144" stopIfTrue="1" operator="lessThanOrEqual">
      <formula>0</formula>
    </cfRule>
  </conditionalFormatting>
  <conditionalFormatting sqref="H10:H30">
    <cfRule type="expression" dxfId="1661" priority="15">
      <formula>IF(+(IF(H10&lt;#REF!,0,IF(H10&gt;#REF!,0,1)))=0,1)</formula>
    </cfRule>
  </conditionalFormatting>
  <conditionalFormatting sqref="H34:H45">
    <cfRule type="cellIs" dxfId="1660" priority="137" stopIfTrue="1" operator="greaterThan">
      <formula>0</formula>
    </cfRule>
  </conditionalFormatting>
  <conditionalFormatting sqref="H63">
    <cfRule type="cellIs" dxfId="1659" priority="43" stopIfTrue="1" operator="greaterThan">
      <formula>#REF!</formula>
    </cfRule>
    <cfRule type="cellIs" dxfId="1658" priority="42" stopIfTrue="1" operator="lessThanOrEqual">
      <formula>0</formula>
    </cfRule>
    <cfRule type="cellIs" dxfId="1657" priority="51" stopIfTrue="1" operator="greaterThan">
      <formula>#REF!</formula>
    </cfRule>
    <cfRule type="cellIs" dxfId="1656" priority="52" stopIfTrue="1" operator="lessThanOrEqual">
      <formula>0</formula>
    </cfRule>
  </conditionalFormatting>
  <conditionalFormatting sqref="H64">
    <cfRule type="cellIs" dxfId="1655" priority="81" stopIfTrue="1" operator="greaterThan">
      <formula>$F$75</formula>
    </cfRule>
    <cfRule type="cellIs" dxfId="1654" priority="72" stopIfTrue="1" operator="lessThanOrEqual">
      <formula>0</formula>
    </cfRule>
    <cfRule type="cellIs" dxfId="1653" priority="84" stopIfTrue="1" operator="lessThanOrEqual">
      <formula>0</formula>
    </cfRule>
    <cfRule type="cellIs" dxfId="1652" priority="83" stopIfTrue="1" operator="greaterThan">
      <formula>$F$73</formula>
    </cfRule>
    <cfRule type="cellIs" dxfId="1651" priority="82" stopIfTrue="1" operator="lessThanOrEqual">
      <formula>0</formula>
    </cfRule>
    <cfRule type="cellIs" dxfId="1650" priority="73" stopIfTrue="1" operator="greaterThan">
      <formula>$F$72</formula>
    </cfRule>
  </conditionalFormatting>
  <conditionalFormatting sqref="H65">
    <cfRule type="cellIs" dxfId="1649" priority="26" stopIfTrue="1" operator="greaterThan">
      <formula>#REF!</formula>
    </cfRule>
    <cfRule type="cellIs" dxfId="1648" priority="17" stopIfTrue="1" operator="lessThanOrEqual">
      <formula>0</formula>
    </cfRule>
    <cfRule type="cellIs" dxfId="1647" priority="18" stopIfTrue="1" operator="greaterThan">
      <formula>#REF!</formula>
    </cfRule>
  </conditionalFormatting>
  <conditionalFormatting sqref="H65:H66">
    <cfRule type="cellIs" dxfId="1646" priority="27" stopIfTrue="1" operator="lessThanOrEqual">
      <formula>0</formula>
    </cfRule>
  </conditionalFormatting>
  <conditionalFormatting sqref="H66">
    <cfRule type="cellIs" dxfId="1645" priority="39" stopIfTrue="1" operator="lessThanOrEqual">
      <formula>0</formula>
    </cfRule>
    <cfRule type="cellIs" dxfId="1644" priority="38" stopIfTrue="1" operator="greaterThan">
      <formula>#REF!</formula>
    </cfRule>
    <cfRule type="cellIs" dxfId="1643" priority="30" stopIfTrue="1" operator="greaterThan">
      <formula>#REF!</formula>
    </cfRule>
  </conditionalFormatting>
  <conditionalFormatting sqref="H67:H68">
    <cfRule type="cellIs" dxfId="1642" priority="102" stopIfTrue="1" operator="lessThanOrEqual">
      <formula>0</formula>
    </cfRule>
    <cfRule type="cellIs" dxfId="1641" priority="103" stopIfTrue="1" operator="greaterThan">
      <formula>$F$74</formula>
    </cfRule>
    <cfRule type="cellIs" dxfId="1640" priority="104" stopIfTrue="1" operator="lessThanOrEqual">
      <formula>0</formula>
    </cfRule>
    <cfRule type="cellIs" dxfId="1639" priority="67" stopIfTrue="1" operator="lessThanOrEqual">
      <formula>0</formula>
    </cfRule>
    <cfRule type="cellIs" dxfId="1638" priority="101" stopIfTrue="1" operator="greaterThan">
      <formula>$F$76</formula>
    </cfRule>
    <cfRule type="cellIs" dxfId="1637" priority="93" stopIfTrue="1" operator="greaterThan">
      <formula>$F$73</formula>
    </cfRule>
  </conditionalFormatting>
  <conditionalFormatting sqref="H69">
    <cfRule type="cellIs" dxfId="1636" priority="131" stopIfTrue="1" operator="greaterThan">
      <formula>$F$70</formula>
    </cfRule>
    <cfRule type="cellIs" dxfId="1635" priority="132" stopIfTrue="1" operator="lessThanOrEqual">
      <formula>0</formula>
    </cfRule>
    <cfRule type="cellIs" dxfId="1634" priority="133" stopIfTrue="1" operator="greaterThan">
      <formula>$F$66</formula>
    </cfRule>
    <cfRule type="cellIs" dxfId="1633" priority="134" stopIfTrue="1" operator="lessThanOrEqual">
      <formula>0</formula>
    </cfRule>
  </conditionalFormatting>
  <conditionalFormatting sqref="H73:H80">
    <cfRule type="cellIs" dxfId="1632" priority="106" stopIfTrue="1" operator="lessThanOrEqual">
      <formula>0</formula>
    </cfRule>
    <cfRule type="cellIs" dxfId="1631" priority="105" stopIfTrue="1" operator="greaterThan">
      <formula>$J73</formula>
    </cfRule>
  </conditionalFormatting>
  <conditionalFormatting sqref="H81">
    <cfRule type="cellIs" dxfId="1630" priority="111" operator="greaterThan">
      <formula>5.3</formula>
    </cfRule>
  </conditionalFormatting>
  <conditionalFormatting sqref="H84 H86:H92">
    <cfRule type="cellIs" dxfId="1629" priority="155" stopIfTrue="1" operator="greaterThan">
      <formula>4.5</formula>
    </cfRule>
    <cfRule type="cellIs" dxfId="1628" priority="156" stopIfTrue="1" operator="lessThanOrEqual">
      <formula>0</formula>
    </cfRule>
  </conditionalFormatting>
  <conditionalFormatting sqref="H63:I63">
    <cfRule type="cellIs" dxfId="1627" priority="41" stopIfTrue="1" operator="greaterThan">
      <formula>#REF!</formula>
    </cfRule>
    <cfRule type="cellIs" dxfId="1626" priority="50" stopIfTrue="1" operator="lessThanOrEqual">
      <formula>0</formula>
    </cfRule>
    <cfRule type="cellIs" dxfId="1625" priority="45" stopIfTrue="1" operator="greaterThan">
      <formula>#REF!</formula>
    </cfRule>
    <cfRule type="cellIs" dxfId="1624" priority="44" stopIfTrue="1" operator="lessThanOrEqual">
      <formula>0</formula>
    </cfRule>
  </conditionalFormatting>
  <conditionalFormatting sqref="H64:I64">
    <cfRule type="cellIs" dxfId="1623" priority="71" stopIfTrue="1" operator="greaterThan">
      <formula>$F$74</formula>
    </cfRule>
    <cfRule type="cellIs" dxfId="1622" priority="74" stopIfTrue="1" operator="lessThanOrEqual">
      <formula>0</formula>
    </cfRule>
  </conditionalFormatting>
  <conditionalFormatting sqref="H65:I65">
    <cfRule type="cellIs" dxfId="1621" priority="25" stopIfTrue="1" operator="lessThanOrEqual">
      <formula>0</formula>
    </cfRule>
    <cfRule type="cellIs" dxfId="1620" priority="19" stopIfTrue="1" operator="lessThanOrEqual">
      <formula>0</formula>
    </cfRule>
    <cfRule type="cellIs" dxfId="1619" priority="16" stopIfTrue="1" operator="greaterThan">
      <formula>#REF!</formula>
    </cfRule>
  </conditionalFormatting>
  <conditionalFormatting sqref="H65:I66">
    <cfRule type="cellIs" dxfId="1618" priority="20" stopIfTrue="1" operator="greaterThan">
      <formula>#REF!</formula>
    </cfRule>
  </conditionalFormatting>
  <conditionalFormatting sqref="H66:I66">
    <cfRule type="cellIs" dxfId="1617" priority="34" stopIfTrue="1" operator="greaterThan">
      <formula>#REF!</formula>
    </cfRule>
    <cfRule type="cellIs" dxfId="1616" priority="37" stopIfTrue="1" operator="lessThanOrEqual">
      <formula>0</formula>
    </cfRule>
    <cfRule type="cellIs" dxfId="1615" priority="31" stopIfTrue="1" operator="lessThanOrEqual">
      <formula>0</formula>
    </cfRule>
  </conditionalFormatting>
  <conditionalFormatting sqref="H67:I67">
    <cfRule type="cellIs" dxfId="1614" priority="94" stopIfTrue="1" operator="lessThanOrEqual">
      <formula>0</formula>
    </cfRule>
  </conditionalFormatting>
  <conditionalFormatting sqref="H67:I68">
    <cfRule type="cellIs" dxfId="1613" priority="65" stopIfTrue="1" operator="greaterThan">
      <formula>$F$75</formula>
    </cfRule>
  </conditionalFormatting>
  <conditionalFormatting sqref="H68:I68">
    <cfRule type="cellIs" dxfId="1612" priority="66" stopIfTrue="1" operator="lessThanOrEqual">
      <formula>0</formula>
    </cfRule>
  </conditionalFormatting>
  <conditionalFormatting sqref="I10:I24 I30">
    <cfRule type="cellIs" dxfId="1611" priority="55" operator="lessThan">
      <formula>97.8</formula>
    </cfRule>
    <cfRule type="cellIs" dxfId="1610" priority="59" operator="lessThan">
      <formula>98</formula>
    </cfRule>
  </conditionalFormatting>
  <conditionalFormatting sqref="I63">
    <cfRule type="cellIs" dxfId="1609" priority="46" stopIfTrue="1" operator="lessThanOrEqual">
      <formula>0</formula>
    </cfRule>
    <cfRule type="cellIs" dxfId="1608" priority="47" stopIfTrue="1" operator="greaterThan">
      <formula>#REF!</formula>
    </cfRule>
    <cfRule type="cellIs" dxfId="1607" priority="49" stopIfTrue="1" operator="greaterThan">
      <formula>#REF!</formula>
    </cfRule>
    <cfRule type="cellIs" dxfId="1606" priority="48" stopIfTrue="1" operator="lessThanOrEqual">
      <formula>0</formula>
    </cfRule>
  </conditionalFormatting>
  <conditionalFormatting sqref="I64">
    <cfRule type="cellIs" dxfId="1605" priority="76" stopIfTrue="1" operator="lessThanOrEqual">
      <formula>0</formula>
    </cfRule>
    <cfRule type="cellIs" dxfId="1604" priority="80" stopIfTrue="1" operator="lessThanOrEqual">
      <formula>0</formula>
    </cfRule>
    <cfRule type="cellIs" dxfId="1603" priority="79" stopIfTrue="1" operator="greaterThan">
      <formula>$F$72</formula>
    </cfRule>
    <cfRule type="cellIs" dxfId="1602" priority="78" stopIfTrue="1" operator="lessThanOrEqual">
      <formula>0</formula>
    </cfRule>
    <cfRule type="cellIs" dxfId="1601" priority="77" stopIfTrue="1" operator="greaterThan">
      <formula>$F$74</formula>
    </cfRule>
    <cfRule type="cellIs" dxfId="1600" priority="75" stopIfTrue="1" operator="greaterThan">
      <formula>$F$72</formula>
    </cfRule>
  </conditionalFormatting>
  <conditionalFormatting sqref="I65">
    <cfRule type="cellIs" dxfId="1599" priority="21" stopIfTrue="1" operator="lessThanOrEqual">
      <formula>0</formula>
    </cfRule>
    <cfRule type="cellIs" dxfId="1598" priority="22" stopIfTrue="1" operator="greaterThan">
      <formula>#REF!</formula>
    </cfRule>
    <cfRule type="cellIs" dxfId="1597" priority="24" stopIfTrue="1" operator="greaterThan">
      <formula>#REF!</formula>
    </cfRule>
    <cfRule type="cellIs" dxfId="1596" priority="23" stopIfTrue="1" operator="lessThanOrEqual">
      <formula>0</formula>
    </cfRule>
  </conditionalFormatting>
  <conditionalFormatting sqref="I66">
    <cfRule type="cellIs" dxfId="1595" priority="33" stopIfTrue="1" operator="lessThanOrEqual">
      <formula>0</formula>
    </cfRule>
    <cfRule type="cellIs" dxfId="1594" priority="35" stopIfTrue="1" operator="lessThanOrEqual">
      <formula>0</formula>
    </cfRule>
    <cfRule type="cellIs" dxfId="1593" priority="36" stopIfTrue="1" operator="greaterThan">
      <formula>#REF!</formula>
    </cfRule>
    <cfRule type="cellIs" dxfId="1592" priority="32" stopIfTrue="1" operator="greaterThan">
      <formula>#REF!</formula>
    </cfRule>
  </conditionalFormatting>
  <conditionalFormatting sqref="I67:I68">
    <cfRule type="cellIs" dxfId="1591" priority="97" stopIfTrue="1" operator="greaterThan">
      <formula>$F$75</formula>
    </cfRule>
    <cfRule type="cellIs" dxfId="1590" priority="95" stopIfTrue="1" operator="greaterThan">
      <formula>$F$73</formula>
    </cfRule>
    <cfRule type="cellIs" dxfId="1589" priority="96" stopIfTrue="1" operator="lessThanOrEqual">
      <formula>0</formula>
    </cfRule>
    <cfRule type="cellIs" dxfId="1588" priority="98" stopIfTrue="1" operator="lessThanOrEqual">
      <formula>0</formula>
    </cfRule>
    <cfRule type="cellIs" dxfId="1587" priority="99" stopIfTrue="1" operator="greaterThan">
      <formula>$F$73</formula>
    </cfRule>
    <cfRule type="cellIs" dxfId="1586" priority="100" stopIfTrue="1" operator="lessThanOrEqual">
      <formula>0</formula>
    </cfRule>
  </conditionalFormatting>
  <conditionalFormatting sqref="I73:I81">
    <cfRule type="cellIs" dxfId="1585" priority="113" stopIfTrue="1" operator="lessThanOrEqual">
      <formula>0</formula>
    </cfRule>
    <cfRule type="cellIs" dxfId="1584" priority="112" stopIfTrue="1" operator="greaterThan">
      <formula>$J73</formula>
    </cfRule>
  </conditionalFormatting>
  <conditionalFormatting sqref="I84:I92">
    <cfRule type="cellIs" dxfId="1583" priority="151" stopIfTrue="1" operator="greaterThan">
      <formula>4.5</formula>
    </cfRule>
    <cfRule type="cellIs" dxfId="1582" priority="152" stopIfTrue="1" operator="lessThanOrEqual">
      <formula>0</formula>
    </cfRule>
  </conditionalFormatting>
  <conditionalFormatting sqref="I25:J29">
    <cfRule type="cellIs" dxfId="1581" priority="10" operator="lessThan">
      <formula>97.9</formula>
    </cfRule>
  </conditionalFormatting>
  <conditionalFormatting sqref="J10:J24 J30">
    <cfRule type="cellIs" dxfId="1580" priority="58" operator="lessThan">
      <formula>97.4</formula>
    </cfRule>
    <cfRule type="cellIs" dxfId="1579" priority="56" operator="notBetween">
      <formula>98</formula>
      <formula>99.9</formula>
    </cfRule>
  </conditionalFormatting>
  <conditionalFormatting sqref="J33:J35">
    <cfRule type="cellIs" dxfId="1578" priority="86" stopIfTrue="1" operator="lessThan">
      <formula>96.8</formula>
    </cfRule>
    <cfRule type="cellIs" dxfId="1577" priority="88" operator="lessThan">
      <formula>98</formula>
    </cfRule>
    <cfRule type="cellIs" dxfId="1576" priority="87" stopIfTrue="1" operator="greaterThan">
      <formula>100</formula>
    </cfRule>
  </conditionalFormatting>
  <conditionalFormatting sqref="J33:J37">
    <cfRule type="cellIs" dxfId="1575" priority="62" operator="lessThan">
      <formula>97.4</formula>
    </cfRule>
  </conditionalFormatting>
  <conditionalFormatting sqref="J38 L45:M45">
    <cfRule type="cellIs" dxfId="1574" priority="89" operator="lessThan">
      <formula>98</formula>
    </cfRule>
  </conditionalFormatting>
  <conditionalFormatting sqref="J39:J41">
    <cfRule type="cellIs" dxfId="1573" priority="90" stopIfTrue="1" operator="lessThan">
      <formula>96.8</formula>
    </cfRule>
    <cfRule type="cellIs" dxfId="1572" priority="91" stopIfTrue="1" operator="greaterThan">
      <formula>100</formula>
    </cfRule>
  </conditionalFormatting>
  <conditionalFormatting sqref="J39:J42">
    <cfRule type="cellIs" dxfId="1571" priority="92" operator="lessThan">
      <formula>98</formula>
    </cfRule>
  </conditionalFormatting>
  <conditionalFormatting sqref="K10:K30">
    <cfRule type="cellIs" dxfId="1570" priority="9" operator="greaterThan">
      <formula>6.4</formula>
    </cfRule>
    <cfRule type="cellIs" dxfId="1569" priority="4" operator="greaterThan">
      <formula>6</formula>
    </cfRule>
    <cfRule type="cellIs" dxfId="1568" priority="3" operator="lessThan">
      <formula>4</formula>
    </cfRule>
  </conditionalFormatting>
  <conditionalFormatting sqref="K48:K57">
    <cfRule type="cellIs" dxfId="1567" priority="120" operator="notEqual">
      <formula>#REF!</formula>
    </cfRule>
  </conditionalFormatting>
  <conditionalFormatting sqref="K63:K68 J69:K69 K73:N81">
    <cfRule type="cellIs" dxfId="1566" priority="130" stopIfTrue="1" operator="lessThan">
      <formula>100%</formula>
    </cfRule>
  </conditionalFormatting>
  <conditionalFormatting sqref="K84:K89">
    <cfRule type="cellIs" dxfId="1565" priority="157" stopIfTrue="1" operator="lessThan">
      <formula>100%</formula>
    </cfRule>
  </conditionalFormatting>
  <conditionalFormatting sqref="K91:K92">
    <cfRule type="cellIs" dxfId="1564" priority="164" stopIfTrue="1" operator="lessThan">
      <formula>100%</formula>
    </cfRule>
  </conditionalFormatting>
  <conditionalFormatting sqref="L10:L30">
    <cfRule type="cellIs" dxfId="1563" priority="5" operator="between">
      <formula>61</formula>
      <formula>65</formula>
    </cfRule>
    <cfRule type="cellIs" dxfId="1562" priority="6" operator="greaterThan">
      <formula>65</formula>
    </cfRule>
  </conditionalFormatting>
  <conditionalFormatting sqref="L33:M43">
    <cfRule type="cellIs" dxfId="1561" priority="14" operator="lessThan">
      <formula>98</formula>
    </cfRule>
  </conditionalFormatting>
  <conditionalFormatting sqref="L49:N49">
    <cfRule type="cellIs" dxfId="1560" priority="68" operator="notEqual">
      <formula>#REF!</formula>
    </cfRule>
  </conditionalFormatting>
  <conditionalFormatting sqref="L84:N92">
    <cfRule type="cellIs" dxfId="1559" priority="142" stopIfTrue="1" operator="lessThan">
      <formula>100%</formula>
    </cfRule>
  </conditionalFormatting>
  <conditionalFormatting sqref="M10:M29">
    <cfRule type="expression" dxfId="1558" priority="1">
      <formula>IF(+(IF(M10&lt;U10,0,IF(M10&gt;V10,0,1)))=0,1)</formula>
    </cfRule>
  </conditionalFormatting>
  <conditionalFormatting sqref="M6:N6">
    <cfRule type="cellIs" dxfId="1557" priority="70" operator="greaterThanOrEqual">
      <formula>19</formula>
    </cfRule>
    <cfRule type="cellIs" dxfId="1556" priority="69" operator="greaterThanOrEqual">
      <formula>15</formula>
    </cfRule>
  </conditionalFormatting>
  <conditionalFormatting sqref="M30:N30">
    <cfRule type="expression" dxfId="1555" priority="174">
      <formula>IF(+(IF(M30&lt;#REF!,0,IF(M30&gt;#REF!,0,1)))=0,1)</formula>
    </cfRule>
  </conditionalFormatting>
  <conditionalFormatting sqref="N10:N12">
    <cfRule type="expression" dxfId="1554" priority="180">
      <formula>IF(+(IF(N10&lt;X23,0,IF(N10&gt;Y23,0,1)))=0,1)</formula>
    </cfRule>
  </conditionalFormatting>
  <conditionalFormatting sqref="N10:N24">
    <cfRule type="expression" dxfId="1553" priority="179">
      <formula>IF(+(IF(N10&lt;X32,0,IF(N10&gt;Y32,0,1)))=0,1)</formula>
    </cfRule>
  </conditionalFormatting>
  <conditionalFormatting sqref="N13:N24">
    <cfRule type="expression" dxfId="1552" priority="181">
      <formula>IF(+(IF(N13&lt;X30,0,IF(N13&gt;Y30,0,1)))=0,1)</formula>
    </cfRule>
  </conditionalFormatting>
  <conditionalFormatting sqref="N25:N29">
    <cfRule type="expression" dxfId="1551" priority="2">
      <formula>IF(+(IF(N25&lt;W25,0,IF(N25&gt;X25,0,1)))=0,1)</formula>
    </cfRule>
  </conditionalFormatting>
  <conditionalFormatting sqref="P6">
    <cfRule type="cellIs" dxfId="1550" priority="138" operator="greaterThanOrEqual">
      <formula>19</formula>
    </cfRule>
  </conditionalFormatting>
  <dataValidations count="1">
    <dataValidation type="list" allowBlank="1" showInputMessage="1" showErrorMessage="1" sqref="S8 B30" xr:uid="{C826AF19-99C9-4F6D-9DA9-F65E0666640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ED4C-95BD-4F49-A86C-B9A27594AE2F}">
  <sheetPr>
    <pageSetUpPr fitToPage="1"/>
  </sheetPr>
  <dimension ref="A1:BF103"/>
  <sheetViews>
    <sheetView topLeftCell="A33" zoomScale="60" zoomScaleNormal="60" workbookViewId="0">
      <selection activeCell="L88" sqref="L88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45673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customHeight="1">
      <c r="B10" s="29" t="s">
        <v>6</v>
      </c>
      <c r="C10" s="367" t="str">
        <f>[28]Brewhouse!$A123</f>
        <v>CA022</v>
      </c>
      <c r="D10" s="280">
        <f>[28]Brewhouse!$AF123</f>
        <v>54.6</v>
      </c>
      <c r="E10" s="280">
        <f>[28]Brewhouse!$AI123</f>
        <v>51</v>
      </c>
      <c r="F10" s="279">
        <f>[28]Brewhouse!$V123</f>
        <v>85</v>
      </c>
      <c r="G10" s="280">
        <f>[28]Brewhouse!$AG123</f>
        <v>11.8</v>
      </c>
      <c r="H10" s="419">
        <v>11.8</v>
      </c>
      <c r="I10" s="369">
        <f>[28]Brewhouse!$AU123</f>
        <v>96.544443432374834</v>
      </c>
      <c r="J10" s="369">
        <f>[28]Brewhouse!$AV123</f>
        <v>100.60046588434774</v>
      </c>
      <c r="K10" s="282">
        <f>[28]Brewhouse!$Q123</f>
        <v>5.6890459363957575</v>
      </c>
      <c r="L10" s="277">
        <f>[28]Brewhouse!$P123</f>
        <v>60</v>
      </c>
      <c r="M10" s="420">
        <f>[28]Brewhouse!$U123-[28]Brewhouse!$T123</f>
        <v>0.1430555555555556</v>
      </c>
      <c r="N10" s="371">
        <f>[28]Brewhouse!$Z123</f>
        <v>0.30555555555555558</v>
      </c>
      <c r="O10" s="372" t="str">
        <f>[28]Brewhouse!$AX123</f>
        <v>K.Benjamin</v>
      </c>
      <c r="P10" s="376"/>
      <c r="Q10" s="348"/>
      <c r="S10" s="278" t="str">
        <f t="shared" ref="S10:S40" si="0">B10</f>
        <v>CARIB</v>
      </c>
      <c r="T10" s="297">
        <f t="shared" ref="T10:T40" si="1">VLOOKUP($B10,$S$3:$Y$9,2,FALSE)</f>
        <v>11.6</v>
      </c>
      <c r="U10" s="297">
        <f t="shared" ref="U10:U40" si="2">VLOOKUP($B10,$S$3:$Y$9,3,FALSE)</f>
        <v>12</v>
      </c>
      <c r="V10" s="298">
        <f t="shared" ref="V10:V40" si="3">VLOOKUP($B10,$S$3:$Y$9,4,FALSE)</f>
        <v>0</v>
      </c>
      <c r="W10" s="298">
        <f t="shared" ref="W10:W40" si="4">VLOOKUP($B10,$S$3:$Y$9,5,FALSE)</f>
        <v>0.118055555555556</v>
      </c>
      <c r="X10" s="298">
        <f t="shared" ref="X10:X40" si="5">VLOOKUP($B10,$S$3:$Y$9,6,FALSE)</f>
        <v>0.22569444444444445</v>
      </c>
      <c r="Y10" s="298">
        <f t="shared" ref="Y10:Y40" si="6">VLOOKUP($B10,$S$3:$Y$9,7,FALSE)</f>
        <v>0.2638888888888889</v>
      </c>
      <c r="Z10" s="298">
        <f t="shared" ref="Z10:Z40" si="7">VLOOKUP($B10,$S$3:$AA$9,8,FALSE)</f>
        <v>0</v>
      </c>
      <c r="AA10" s="297">
        <f t="shared" ref="AA10:AA40" si="8">VLOOKUP($B10,$S$3:$AA$9,9,FALSE)</f>
        <v>60</v>
      </c>
    </row>
    <row r="11" spans="2:30" ht="15.75" customHeight="1">
      <c r="B11" s="29" t="s">
        <v>6</v>
      </c>
      <c r="C11" s="367" t="str">
        <f>[28]Brewhouse!$A124</f>
        <v>CA023</v>
      </c>
      <c r="D11" s="280">
        <f>[28]Brewhouse!$AF124</f>
        <v>53.7</v>
      </c>
      <c r="E11" s="280">
        <f>[28]Brewhouse!$AI124</f>
        <v>49.4</v>
      </c>
      <c r="F11" s="279">
        <f>[28]Brewhouse!$V124</f>
        <v>72</v>
      </c>
      <c r="G11" s="280">
        <f>[28]Brewhouse!$AG124</f>
        <v>11.9</v>
      </c>
      <c r="H11" s="419">
        <v>11.7</v>
      </c>
      <c r="I11" s="369">
        <f>[28]Brewhouse!$AU124</f>
        <v>94.232258322472063</v>
      </c>
      <c r="J11" s="369">
        <f>[28]Brewhouse!$AV124</f>
        <v>98.191358067186627</v>
      </c>
      <c r="K11" s="282">
        <f>[28]Brewhouse!$Q124</f>
        <v>6.2300884955752149</v>
      </c>
      <c r="L11" s="277">
        <f>[28]Brewhouse!$P124</f>
        <v>60</v>
      </c>
      <c r="M11" s="420">
        <f>[28]Brewhouse!$U124-[28]Brewhouse!$T124</f>
        <v>0.11805555555555558</v>
      </c>
      <c r="N11" s="371">
        <f>[28]Brewhouse!$Z124</f>
        <v>0.2673611111111111</v>
      </c>
      <c r="O11" s="372" t="str">
        <f>[28]Brewhouse!$AX124</f>
        <v>R.Regis</v>
      </c>
      <c r="P11" s="376"/>
      <c r="Q11" s="348"/>
      <c r="S11" s="278" t="str">
        <f t="shared" si="0"/>
        <v>CARIB</v>
      </c>
      <c r="T11" s="297">
        <f t="shared" si="1"/>
        <v>11.6</v>
      </c>
      <c r="U11" s="297">
        <f t="shared" si="2"/>
        <v>12</v>
      </c>
      <c r="V11" s="298">
        <f t="shared" si="3"/>
        <v>0</v>
      </c>
      <c r="W11" s="298">
        <f t="shared" si="4"/>
        <v>0.118055555555556</v>
      </c>
      <c r="X11" s="298">
        <f t="shared" si="5"/>
        <v>0.22569444444444445</v>
      </c>
      <c r="Y11" s="298">
        <f t="shared" si="6"/>
        <v>0.2638888888888889</v>
      </c>
      <c r="Z11" s="298">
        <f t="shared" si="7"/>
        <v>0</v>
      </c>
      <c r="AA11" s="297">
        <f t="shared" si="8"/>
        <v>60</v>
      </c>
    </row>
    <row r="12" spans="2:30" ht="15.75" customHeight="1">
      <c r="B12" s="29" t="s">
        <v>6</v>
      </c>
      <c r="C12" s="367" t="str">
        <f>[28]Brewhouse!$A125</f>
        <v>CA024</v>
      </c>
      <c r="D12" s="280">
        <f>[28]Brewhouse!$AF125</f>
        <v>54.9</v>
      </c>
      <c r="E12" s="280">
        <f>[28]Brewhouse!$AI125</f>
        <v>51.4</v>
      </c>
      <c r="F12" s="279">
        <f>[28]Brewhouse!$V125</f>
        <v>68</v>
      </c>
      <c r="G12" s="280">
        <f>[28]Brewhouse!$AG125</f>
        <v>11.7</v>
      </c>
      <c r="H12" s="419">
        <v>11.6</v>
      </c>
      <c r="I12" s="369">
        <f>[28]Brewhouse!$AU125</f>
        <v>95.957942302884106</v>
      </c>
      <c r="J12" s="369">
        <f>[28]Brewhouse!$AV125</f>
        <v>99.990204293293559</v>
      </c>
      <c r="K12" s="282">
        <f>[28]Brewhouse!$Q125</f>
        <v>6.4070796460176949</v>
      </c>
      <c r="L12" s="277">
        <f>[28]Brewhouse!$P125</f>
        <v>60</v>
      </c>
      <c r="M12" s="420">
        <f>[28]Brewhouse!$U125-[28]Brewhouse!$T125</f>
        <v>0.11944444444444446</v>
      </c>
      <c r="N12" s="371">
        <f>[28]Brewhouse!$Z125</f>
        <v>0.26666666666666672</v>
      </c>
      <c r="O12" s="372" t="str">
        <f>[28]Brewhouse!$AX125</f>
        <v>R.Regis</v>
      </c>
      <c r="P12" s="376"/>
      <c r="Q12" s="348"/>
      <c r="S12" s="278" t="str">
        <f t="shared" si="0"/>
        <v>CARIB</v>
      </c>
      <c r="T12" s="297">
        <f t="shared" si="1"/>
        <v>11.6</v>
      </c>
      <c r="U12" s="297">
        <f t="shared" si="2"/>
        <v>12</v>
      </c>
      <c r="V12" s="298">
        <f t="shared" si="3"/>
        <v>0</v>
      </c>
      <c r="W12" s="298">
        <f t="shared" si="4"/>
        <v>0.118055555555556</v>
      </c>
      <c r="X12" s="298">
        <f t="shared" si="5"/>
        <v>0.22569444444444445</v>
      </c>
      <c r="Y12" s="298">
        <f t="shared" si="6"/>
        <v>0.2638888888888889</v>
      </c>
      <c r="Z12" s="298">
        <f t="shared" si="7"/>
        <v>0</v>
      </c>
      <c r="AA12" s="297">
        <f t="shared" si="8"/>
        <v>60</v>
      </c>
    </row>
    <row r="13" spans="2:30" ht="15.75" customHeight="1">
      <c r="B13" s="29" t="s">
        <v>6</v>
      </c>
      <c r="C13" s="367" t="str">
        <f>[28]Brewhouse!$A126</f>
        <v>CA025</v>
      </c>
      <c r="D13" s="280">
        <f>[28]Brewhouse!$AF126</f>
        <v>53.8</v>
      </c>
      <c r="E13" s="280">
        <f>[28]Brewhouse!$AI126</f>
        <v>50.8</v>
      </c>
      <c r="F13" s="279">
        <f>[28]Brewhouse!$V126</f>
        <v>63</v>
      </c>
      <c r="G13" s="280">
        <f>[28]Brewhouse!$AG126</f>
        <v>11.8</v>
      </c>
      <c r="H13" s="368"/>
      <c r="I13" s="369">
        <f>[28]Brewhouse!$AU126</f>
        <v>95.337604364892485</v>
      </c>
      <c r="J13" s="369">
        <f>[28]Brewhouse!$AV126</f>
        <v>99.344448854597502</v>
      </c>
      <c r="K13" s="282">
        <f>[28]Brewhouse!$Q126</f>
        <v>5.0447227191413244</v>
      </c>
      <c r="L13" s="277">
        <f>[28]Brewhouse!$P126</f>
        <v>57</v>
      </c>
      <c r="M13" s="420">
        <f>[28]Brewhouse!$U126-[28]Brewhouse!$T126</f>
        <v>0.10555555555555551</v>
      </c>
      <c r="N13" s="371">
        <f>[28]Brewhouse!$Z126</f>
        <v>0.24722222222222223</v>
      </c>
      <c r="O13" s="372" t="str">
        <f>[28]Brewhouse!$AX126</f>
        <v>R.Sookram</v>
      </c>
      <c r="P13" s="376"/>
      <c r="Q13" s="348"/>
      <c r="S13" s="278" t="str">
        <f t="shared" si="0"/>
        <v>CARIB</v>
      </c>
      <c r="T13" s="297">
        <f t="shared" si="1"/>
        <v>11.6</v>
      </c>
      <c r="U13" s="297">
        <f t="shared" si="2"/>
        <v>12</v>
      </c>
      <c r="V13" s="298">
        <f t="shared" si="3"/>
        <v>0</v>
      </c>
      <c r="W13" s="298">
        <f t="shared" si="4"/>
        <v>0.118055555555556</v>
      </c>
      <c r="X13" s="298">
        <f t="shared" si="5"/>
        <v>0.22569444444444445</v>
      </c>
      <c r="Y13" s="298">
        <f t="shared" si="6"/>
        <v>0.2638888888888889</v>
      </c>
      <c r="Z13" s="298">
        <f t="shared" si="7"/>
        <v>0</v>
      </c>
      <c r="AA13" s="297">
        <f t="shared" si="8"/>
        <v>60</v>
      </c>
    </row>
    <row r="14" spans="2:30" ht="15.75" customHeight="1">
      <c r="B14" s="29" t="s">
        <v>6</v>
      </c>
      <c r="C14" s="367" t="str">
        <f>[28]Brewhouse!$A127</f>
        <v>CA026</v>
      </c>
      <c r="D14" s="280">
        <f>[28]Brewhouse!$AF127</f>
        <v>53</v>
      </c>
      <c r="E14" s="280">
        <f>[28]Brewhouse!$AI127</f>
        <v>48.7</v>
      </c>
      <c r="F14" s="279">
        <f>[28]Brewhouse!$V127</f>
        <v>60</v>
      </c>
      <c r="G14" s="280">
        <f>[28]Brewhouse!$AG127</f>
        <v>11.9</v>
      </c>
      <c r="H14" s="368"/>
      <c r="I14" s="369">
        <f>[28]Brewhouse!$AU127</f>
        <v>89.580178011311446</v>
      </c>
      <c r="J14" s="369">
        <f>[28]Brewhouse!$AV127</f>
        <v>93.199139157004794</v>
      </c>
      <c r="K14" s="282">
        <f>[28]Brewhouse!$Q127</f>
        <v>6.4758497316636809</v>
      </c>
      <c r="L14" s="277">
        <f>[28]Brewhouse!$P127</f>
        <v>58</v>
      </c>
      <c r="M14" s="420">
        <f>[28]Brewhouse!$U127-[28]Brewhouse!$T127</f>
        <v>0.10555555555555551</v>
      </c>
      <c r="N14" s="371">
        <f>[28]Brewhouse!$Z127</f>
        <v>0.24722222222222223</v>
      </c>
      <c r="O14" s="372" t="str">
        <f>[28]Brewhouse!$AX127</f>
        <v>R.Sookram</v>
      </c>
      <c r="P14" s="376"/>
      <c r="Q14" s="348"/>
      <c r="S14" s="278" t="str">
        <f t="shared" si="0"/>
        <v>CARIB</v>
      </c>
      <c r="T14" s="297">
        <f t="shared" si="1"/>
        <v>11.6</v>
      </c>
      <c r="U14" s="297">
        <f t="shared" si="2"/>
        <v>12</v>
      </c>
      <c r="V14" s="298">
        <f t="shared" si="3"/>
        <v>0</v>
      </c>
      <c r="W14" s="298">
        <f t="shared" si="4"/>
        <v>0.118055555555556</v>
      </c>
      <c r="X14" s="298">
        <f t="shared" si="5"/>
        <v>0.22569444444444445</v>
      </c>
      <c r="Y14" s="298">
        <f t="shared" si="6"/>
        <v>0.2638888888888889</v>
      </c>
      <c r="Z14" s="298">
        <f t="shared" si="7"/>
        <v>0</v>
      </c>
      <c r="AA14" s="297">
        <f t="shared" si="8"/>
        <v>60</v>
      </c>
    </row>
    <row r="15" spans="2:30" ht="15.75" customHeight="1">
      <c r="B15" s="29" t="s">
        <v>6</v>
      </c>
      <c r="C15" s="367" t="str">
        <f>[28]Brewhouse!$A128</f>
        <v>CA027</v>
      </c>
      <c r="D15" s="280">
        <f>[28]Brewhouse!$AF128</f>
        <v>52.1</v>
      </c>
      <c r="E15" s="280">
        <f>[28]Brewhouse!$AI128</f>
        <v>48.3</v>
      </c>
      <c r="F15" s="279">
        <f>[28]Brewhouse!$V128</f>
        <v>59</v>
      </c>
      <c r="G15" s="280">
        <f>[28]Brewhouse!$AG128</f>
        <v>11.8</v>
      </c>
      <c r="H15" s="419">
        <v>11.7</v>
      </c>
      <c r="I15" s="369">
        <f>[28]Brewhouse!$AU128</f>
        <v>90.548707098481913</v>
      </c>
      <c r="J15" s="369">
        <f>[28]Brewhouse!$AV128</f>
        <v>94.197939712964541</v>
      </c>
      <c r="K15" s="282">
        <f>[28]Brewhouse!$Q128</f>
        <v>5.5514705882352873</v>
      </c>
      <c r="L15" s="277">
        <f>[28]Brewhouse!$P128</f>
        <v>58</v>
      </c>
      <c r="M15" s="420">
        <f>[28]Brewhouse!$U128-[28]Brewhouse!$T128</f>
        <v>0.10138888888888897</v>
      </c>
      <c r="N15" s="371">
        <f>[28]Brewhouse!$Z128</f>
        <v>0.26319444444444451</v>
      </c>
      <c r="O15" s="372" t="str">
        <f>[28]Brewhouse!$AX128</f>
        <v>R.Sookram</v>
      </c>
      <c r="P15" s="376"/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0.22569444444444445</v>
      </c>
      <c r="Y15" s="298">
        <f t="shared" si="6"/>
        <v>0.2638888888888889</v>
      </c>
      <c r="Z15" s="298">
        <f t="shared" si="7"/>
        <v>0</v>
      </c>
      <c r="AA15" s="297">
        <f t="shared" si="8"/>
        <v>60</v>
      </c>
    </row>
    <row r="16" spans="2:30" ht="15.75" customHeight="1">
      <c r="B16" s="29" t="s">
        <v>6</v>
      </c>
      <c r="C16" s="367" t="str">
        <f>[28]Brewhouse!$A129</f>
        <v>CA028</v>
      </c>
      <c r="D16" s="280">
        <f>[28]Brewhouse!$AF129</f>
        <v>54.4</v>
      </c>
      <c r="E16" s="280">
        <f>[28]Brewhouse!$AI129</f>
        <v>50.8</v>
      </c>
      <c r="F16" s="279">
        <f>[28]Brewhouse!$V129</f>
        <v>61</v>
      </c>
      <c r="G16" s="280">
        <f>[28]Brewhouse!$AG129</f>
        <v>11.6</v>
      </c>
      <c r="H16" s="419">
        <v>11.8</v>
      </c>
      <c r="I16" s="369">
        <f>[28]Brewhouse!$AU129</f>
        <v>94.451373889375304</v>
      </c>
      <c r="J16" s="369">
        <f>[28]Brewhouse!$AV129</f>
        <v>98.419462362362736</v>
      </c>
      <c r="K16" s="282">
        <f>[28]Brewhouse!$Q129</f>
        <v>6.7971530249110321</v>
      </c>
      <c r="L16" s="277">
        <f>[28]Brewhouse!$P129</f>
        <v>58</v>
      </c>
      <c r="M16" s="420">
        <f>[28]Brewhouse!$U129-[28]Brewhouse!$T129</f>
        <v>0.10347222222222219</v>
      </c>
      <c r="N16" s="371">
        <f>[28]Brewhouse!$Z129</f>
        <v>0.25347222222222221</v>
      </c>
      <c r="O16" s="372" t="str">
        <f>[28]Brewhouse!$AX129</f>
        <v>R.Sookram</v>
      </c>
      <c r="P16" s="376"/>
      <c r="Q16" s="348"/>
      <c r="S16" s="278" t="str">
        <f t="shared" si="0"/>
        <v>CARIB</v>
      </c>
      <c r="T16" s="297">
        <f t="shared" si="1"/>
        <v>11.6</v>
      </c>
      <c r="U16" s="297">
        <f t="shared" si="2"/>
        <v>12</v>
      </c>
      <c r="V16" s="298">
        <f t="shared" si="3"/>
        <v>0</v>
      </c>
      <c r="W16" s="298">
        <f t="shared" si="4"/>
        <v>0.118055555555556</v>
      </c>
      <c r="X16" s="298">
        <f t="shared" si="5"/>
        <v>0.22569444444444445</v>
      </c>
      <c r="Y16" s="298">
        <f t="shared" si="6"/>
        <v>0.2638888888888889</v>
      </c>
      <c r="Z16" s="298">
        <f t="shared" si="7"/>
        <v>0</v>
      </c>
      <c r="AA16" s="297">
        <f t="shared" si="8"/>
        <v>60</v>
      </c>
    </row>
    <row r="17" spans="2:27" ht="15.75" customHeight="1">
      <c r="B17" s="29" t="s">
        <v>6</v>
      </c>
      <c r="C17" s="367" t="str">
        <f>[28]Brewhouse!$A130</f>
        <v>CA029</v>
      </c>
      <c r="D17" s="280">
        <f>[28]Brewhouse!$AF130</f>
        <v>52.8</v>
      </c>
      <c r="E17" s="280">
        <f>[28]Brewhouse!$AI130</f>
        <v>49.3</v>
      </c>
      <c r="F17" s="279">
        <f>[28]Brewhouse!$V130</f>
        <v>61</v>
      </c>
      <c r="G17" s="280">
        <f>[28]Brewhouse!$AG130</f>
        <v>11.7</v>
      </c>
      <c r="H17" s="419">
        <v>11.9</v>
      </c>
      <c r="I17" s="369">
        <f>[28]Brewhouse!$AU130</f>
        <v>92.379727168907181</v>
      </c>
      <c r="J17" s="369">
        <f>[28]Brewhouse!$AV130</f>
        <v>96.260994165604004</v>
      </c>
      <c r="K17" s="282">
        <f>[28]Brewhouse!$Q130</f>
        <v>6.3309352517985671</v>
      </c>
      <c r="L17" s="277">
        <f>[28]Brewhouse!$P130</f>
        <v>59</v>
      </c>
      <c r="M17" s="420">
        <f>[28]Brewhouse!$U130-[28]Brewhouse!$T130</f>
        <v>0.10416666666666674</v>
      </c>
      <c r="N17" s="371">
        <f>[28]Brewhouse!$Z130</f>
        <v>0.26597222222222228</v>
      </c>
      <c r="O17" s="372" t="str">
        <f>[28]Brewhouse!$AX130</f>
        <v>R.Sookram</v>
      </c>
      <c r="P17" s="370"/>
      <c r="Q17" s="348"/>
      <c r="S17" s="278" t="str">
        <f t="shared" si="0"/>
        <v>CARIB</v>
      </c>
      <c r="T17" s="297">
        <f t="shared" si="1"/>
        <v>11.6</v>
      </c>
      <c r="U17" s="297">
        <f t="shared" si="2"/>
        <v>12</v>
      </c>
      <c r="V17" s="298">
        <f t="shared" si="3"/>
        <v>0</v>
      </c>
      <c r="W17" s="298">
        <f t="shared" si="4"/>
        <v>0.118055555555556</v>
      </c>
      <c r="X17" s="298">
        <f t="shared" si="5"/>
        <v>0.22569444444444445</v>
      </c>
      <c r="Y17" s="298">
        <f t="shared" si="6"/>
        <v>0.2638888888888889</v>
      </c>
      <c r="Z17" s="298">
        <f t="shared" si="7"/>
        <v>0</v>
      </c>
      <c r="AA17" s="297">
        <f t="shared" si="8"/>
        <v>60</v>
      </c>
    </row>
    <row r="18" spans="2:27" ht="15.75" customHeight="1">
      <c r="B18" s="29" t="s">
        <v>6</v>
      </c>
      <c r="C18" s="367" t="str">
        <f>[28]Brewhouse!$A131</f>
        <v>CA030</v>
      </c>
      <c r="D18" s="280">
        <f>[28]Brewhouse!$AF131</f>
        <v>55.6</v>
      </c>
      <c r="E18" s="280">
        <f>[28]Brewhouse!$AI131</f>
        <v>52.3</v>
      </c>
      <c r="F18" s="279">
        <f>[28]Brewhouse!$V131</f>
        <v>64</v>
      </c>
      <c r="G18" s="280">
        <f>[28]Brewhouse!$AG131</f>
        <v>11.9</v>
      </c>
      <c r="H18" s="419">
        <v>11.7</v>
      </c>
      <c r="I18" s="369">
        <f>[28]Brewhouse!$AU131</f>
        <v>99.165328369665957</v>
      </c>
      <c r="J18" s="369">
        <f>[28]Brewhouse!$AV131</f>
        <v>103.16095293124729</v>
      </c>
      <c r="K18" s="282">
        <f>[28]Brewhouse!$Q131</f>
        <v>4.6953405017921108</v>
      </c>
      <c r="L18" s="277">
        <f>[28]Brewhouse!$P131</f>
        <v>58</v>
      </c>
      <c r="M18" s="420">
        <f>[28]Brewhouse!$U131-[28]Brewhouse!$T131</f>
        <v>0.11041666666666669</v>
      </c>
      <c r="N18" s="371">
        <f>[28]Brewhouse!$Z131</f>
        <v>0.24583333333333335</v>
      </c>
      <c r="O18" s="372" t="str">
        <f>[28]Brewhouse!$AX131</f>
        <v>R.Sookram</v>
      </c>
      <c r="P18" s="370"/>
      <c r="Q18" s="348"/>
      <c r="S18" s="278" t="str">
        <f t="shared" si="0"/>
        <v>CARIB</v>
      </c>
      <c r="T18" s="297">
        <f t="shared" si="1"/>
        <v>11.6</v>
      </c>
      <c r="U18" s="297">
        <f t="shared" si="2"/>
        <v>12</v>
      </c>
      <c r="V18" s="298">
        <f t="shared" si="3"/>
        <v>0</v>
      </c>
      <c r="W18" s="298">
        <f t="shared" si="4"/>
        <v>0.118055555555556</v>
      </c>
      <c r="X18" s="298">
        <f t="shared" si="5"/>
        <v>0.22569444444444445</v>
      </c>
      <c r="Y18" s="298">
        <f t="shared" si="6"/>
        <v>0.2638888888888889</v>
      </c>
      <c r="Z18" s="298">
        <f t="shared" si="7"/>
        <v>0</v>
      </c>
      <c r="AA18" s="297">
        <f t="shared" si="8"/>
        <v>60</v>
      </c>
    </row>
    <row r="19" spans="2:27" ht="15.75" customHeight="1">
      <c r="B19" s="29" t="s">
        <v>6</v>
      </c>
      <c r="C19" s="367" t="str">
        <f>[28]Brewhouse!$A132</f>
        <v>CA031</v>
      </c>
      <c r="D19" s="280">
        <f>[28]Brewhouse!$AF132</f>
        <v>55</v>
      </c>
      <c r="E19" s="280">
        <f>[28]Brewhouse!$AI132</f>
        <v>51.1</v>
      </c>
      <c r="F19" s="279">
        <f>[28]Brewhouse!$V132</f>
        <v>63</v>
      </c>
      <c r="G19" s="280">
        <f>[28]Brewhouse!$AG132</f>
        <v>11.6</v>
      </c>
      <c r="H19" s="419">
        <v>11.7</v>
      </c>
      <c r="I19" s="369">
        <f>[28]Brewhouse!$AU132</f>
        <v>93.744354514117632</v>
      </c>
      <c r="J19" s="369">
        <f>[28]Brewhouse!$AV132</f>
        <v>97.523601066700934</v>
      </c>
      <c r="K19" s="282">
        <f>[28]Brewhouse!$Q132</f>
        <v>7.4368231046931372</v>
      </c>
      <c r="L19" s="277">
        <f>[28]Brewhouse!$P132</f>
        <v>60</v>
      </c>
      <c r="M19" s="420">
        <f>[28]Brewhouse!$U132-[28]Brewhouse!$T132</f>
        <v>0.11736111111111114</v>
      </c>
      <c r="N19" s="371">
        <f>[28]Brewhouse!$Z132</f>
        <v>0.26250000000000001</v>
      </c>
      <c r="O19" s="372" t="str">
        <f>[28]Brewhouse!$AX132</f>
        <v>R.Regis</v>
      </c>
      <c r="P19" s="370"/>
      <c r="Q19" s="348"/>
      <c r="S19" s="278" t="str">
        <f t="shared" si="0"/>
        <v>CARIB</v>
      </c>
      <c r="T19" s="297">
        <f t="shared" si="1"/>
        <v>11.6</v>
      </c>
      <c r="U19" s="297">
        <f t="shared" si="2"/>
        <v>12</v>
      </c>
      <c r="V19" s="298">
        <f t="shared" si="3"/>
        <v>0</v>
      </c>
      <c r="W19" s="298">
        <f t="shared" si="4"/>
        <v>0.118055555555556</v>
      </c>
      <c r="X19" s="298">
        <f t="shared" si="5"/>
        <v>0.22569444444444445</v>
      </c>
      <c r="Y19" s="298">
        <f t="shared" si="6"/>
        <v>0.2638888888888889</v>
      </c>
      <c r="Z19" s="298">
        <f t="shared" si="7"/>
        <v>0</v>
      </c>
      <c r="AA19" s="297">
        <f t="shared" si="8"/>
        <v>60</v>
      </c>
    </row>
    <row r="20" spans="2:27" ht="14.4">
      <c r="B20" s="29" t="s">
        <v>6</v>
      </c>
      <c r="C20" s="367" t="str">
        <f>[28]Brewhouse!$A133</f>
        <v>CA032</v>
      </c>
      <c r="D20" s="280">
        <f>[28]Brewhouse!$AF133</f>
        <v>54</v>
      </c>
      <c r="E20" s="280">
        <f>[28]Brewhouse!$AI133</f>
        <v>50.3</v>
      </c>
      <c r="F20" s="279">
        <f>[28]Brewhouse!$V133</f>
        <v>62</v>
      </c>
      <c r="G20" s="280">
        <f>[28]Brewhouse!$AG133</f>
        <v>11.9</v>
      </c>
      <c r="H20" s="419">
        <v>11.8</v>
      </c>
      <c r="I20" s="369">
        <f>[28]Brewhouse!$AU133</f>
        <v>93.755953364927763</v>
      </c>
      <c r="J20" s="369">
        <f>[28]Brewhouse!$AV133</f>
        <v>97.539290094207871</v>
      </c>
      <c r="K20" s="282">
        <f>[28]Brewhouse!$Q133</f>
        <v>5.4512635379061303</v>
      </c>
      <c r="L20" s="277">
        <f>[28]Brewhouse!$P133</f>
        <v>61</v>
      </c>
      <c r="M20" s="420">
        <f>[28]Brewhouse!$U133-[28]Brewhouse!$T133</f>
        <v>0.10972222222222222</v>
      </c>
      <c r="N20" s="371">
        <f>[28]Brewhouse!$Z133</f>
        <v>0.25694444444444448</v>
      </c>
      <c r="O20" s="372" t="str">
        <f>[28]Brewhouse!$AX133</f>
        <v>R.Regis</v>
      </c>
      <c r="P20" s="370"/>
      <c r="Q20" s="348"/>
      <c r="S20" s="278" t="str">
        <f t="shared" si="0"/>
        <v>CARIB</v>
      </c>
      <c r="T20" s="297">
        <f t="shared" si="1"/>
        <v>11.6</v>
      </c>
      <c r="U20" s="297">
        <f t="shared" si="2"/>
        <v>12</v>
      </c>
      <c r="V20" s="298">
        <f t="shared" si="3"/>
        <v>0</v>
      </c>
      <c r="W20" s="298">
        <f t="shared" si="4"/>
        <v>0.118055555555556</v>
      </c>
      <c r="X20" s="298">
        <f t="shared" si="5"/>
        <v>0.22569444444444445</v>
      </c>
      <c r="Y20" s="298">
        <f t="shared" si="6"/>
        <v>0.2638888888888889</v>
      </c>
      <c r="Z20" s="298">
        <f t="shared" si="7"/>
        <v>0</v>
      </c>
      <c r="AA20" s="297">
        <f t="shared" si="8"/>
        <v>60</v>
      </c>
    </row>
    <row r="21" spans="2:27" ht="15.75" customHeight="1">
      <c r="B21" s="29" t="s">
        <v>6</v>
      </c>
      <c r="C21" s="367" t="str">
        <f>[28]Brewhouse!$A134</f>
        <v>CA033</v>
      </c>
      <c r="D21" s="280">
        <f>[28]Brewhouse!$AF134</f>
        <v>53.7</v>
      </c>
      <c r="E21" s="280">
        <f>[28]Brewhouse!$AI134</f>
        <v>50.2</v>
      </c>
      <c r="F21" s="279">
        <f>[28]Brewhouse!$V134</f>
        <v>63</v>
      </c>
      <c r="G21" s="280">
        <f>[28]Brewhouse!$AG134</f>
        <v>12</v>
      </c>
      <c r="H21" s="419">
        <v>11.9</v>
      </c>
      <c r="I21" s="369">
        <f>[28]Brewhouse!$AU134</f>
        <v>94.510748705987353</v>
      </c>
      <c r="J21" s="369">
        <f>[28]Brewhouse!$AV134</f>
        <v>98.324141887822279</v>
      </c>
      <c r="K21" s="282">
        <f>[28]Brewhouse!$Q134</f>
        <v>6.7148014440433199</v>
      </c>
      <c r="L21" s="277">
        <f>[28]Brewhouse!$P134</f>
        <v>61</v>
      </c>
      <c r="M21" s="420">
        <f>[28]Brewhouse!$U134-[28]Brewhouse!$T134</f>
        <v>0.11111111111111116</v>
      </c>
      <c r="N21" s="371">
        <f>[28]Brewhouse!$Z134</f>
        <v>0.25208333333333338</v>
      </c>
      <c r="O21" s="372" t="str">
        <f>[28]Brewhouse!$AX134</f>
        <v>R.Regis</v>
      </c>
      <c r="P21" s="376"/>
      <c r="Q21" s="348"/>
      <c r="S21" s="278" t="str">
        <f t="shared" si="0"/>
        <v>CARIB</v>
      </c>
      <c r="T21" s="297">
        <f t="shared" si="1"/>
        <v>11.6</v>
      </c>
      <c r="U21" s="297">
        <f t="shared" si="2"/>
        <v>12</v>
      </c>
      <c r="V21" s="298">
        <f t="shared" si="3"/>
        <v>0</v>
      </c>
      <c r="W21" s="298">
        <f t="shared" si="4"/>
        <v>0.118055555555556</v>
      </c>
      <c r="X21" s="298">
        <f t="shared" si="5"/>
        <v>0.22569444444444445</v>
      </c>
      <c r="Y21" s="298">
        <f t="shared" si="6"/>
        <v>0.2638888888888889</v>
      </c>
      <c r="Z21" s="298">
        <f t="shared" si="7"/>
        <v>0</v>
      </c>
      <c r="AA21" s="297">
        <f t="shared" si="8"/>
        <v>60</v>
      </c>
    </row>
    <row r="22" spans="2:27" ht="15.75" customHeight="1">
      <c r="B22" s="29" t="s">
        <v>6</v>
      </c>
      <c r="C22" s="367" t="str">
        <f>[28]Brewhouse!$A135</f>
        <v>CA034</v>
      </c>
      <c r="D22" s="280">
        <f>[28]Brewhouse!$AF135</f>
        <v>54.2</v>
      </c>
      <c r="E22" s="280">
        <f>[28]Brewhouse!$AI135</f>
        <v>50.8</v>
      </c>
      <c r="F22" s="279">
        <f>[28]Brewhouse!$V135</f>
        <v>63</v>
      </c>
      <c r="G22" s="280">
        <f>[28]Brewhouse!$AG135</f>
        <v>11.8</v>
      </c>
      <c r="H22" s="419">
        <v>11.8</v>
      </c>
      <c r="I22" s="369">
        <f>[28]Brewhouse!$AU135</f>
        <v>94.653823201385563</v>
      </c>
      <c r="J22" s="369">
        <f>[28]Brewhouse!$AV135</f>
        <v>98.470554082255333</v>
      </c>
      <c r="K22" s="282">
        <f>[28]Brewhouse!$Q135</f>
        <v>6.4874551971326122</v>
      </c>
      <c r="L22" s="277">
        <f>[28]Brewhouse!$P135</f>
        <v>60</v>
      </c>
      <c r="M22" s="420">
        <f>[28]Brewhouse!$U135-[28]Brewhouse!$T135</f>
        <v>0.10902777777777772</v>
      </c>
      <c r="N22" s="371">
        <f>[28]Brewhouse!$Z135</f>
        <v>0.25</v>
      </c>
      <c r="O22" s="372" t="str">
        <f>[28]Brewhouse!$AX135</f>
        <v>R.Regis</v>
      </c>
      <c r="P22" s="376"/>
      <c r="Q22" s="348"/>
      <c r="S22" s="278" t="str">
        <f t="shared" si="0"/>
        <v>CARIB</v>
      </c>
      <c r="T22" s="297">
        <f t="shared" si="1"/>
        <v>11.6</v>
      </c>
      <c r="U22" s="297">
        <f t="shared" si="2"/>
        <v>12</v>
      </c>
      <c r="V22" s="298">
        <f t="shared" si="3"/>
        <v>0</v>
      </c>
      <c r="W22" s="298">
        <f t="shared" si="4"/>
        <v>0.118055555555556</v>
      </c>
      <c r="X22" s="298">
        <f t="shared" si="5"/>
        <v>0.22569444444444445</v>
      </c>
      <c r="Y22" s="298">
        <f t="shared" si="6"/>
        <v>0.2638888888888889</v>
      </c>
      <c r="Z22" s="298">
        <f t="shared" si="7"/>
        <v>0</v>
      </c>
      <c r="AA22" s="297">
        <f t="shared" si="8"/>
        <v>60</v>
      </c>
    </row>
    <row r="23" spans="2:27" ht="15.75" customHeight="1">
      <c r="B23" s="29" t="s">
        <v>6</v>
      </c>
      <c r="C23" s="367" t="str">
        <f>[28]Brewhouse!$A136</f>
        <v>CA035</v>
      </c>
      <c r="D23" s="280">
        <f>[28]Brewhouse!$AF136</f>
        <v>53.9</v>
      </c>
      <c r="E23" s="280">
        <f>[28]Brewhouse!$AI136</f>
        <v>50.4</v>
      </c>
      <c r="F23" s="279">
        <f>[28]Brewhouse!$V136</f>
        <v>64</v>
      </c>
      <c r="G23" s="280">
        <f>[28]Brewhouse!$AG136</f>
        <v>11.8</v>
      </c>
      <c r="H23" s="419">
        <v>11.8</v>
      </c>
      <c r="I23" s="369">
        <f>[28]Brewhouse!$AU136</f>
        <v>94.703434335224557</v>
      </c>
      <c r="J23" s="369">
        <f>[28]Brewhouse!$AV136</f>
        <v>98.683411323887796</v>
      </c>
      <c r="K23" s="282">
        <f>[28]Brewhouse!$Q136</f>
        <v>6.46428571428571</v>
      </c>
      <c r="L23" s="277">
        <f>[28]Brewhouse!$P136</f>
        <v>57</v>
      </c>
      <c r="M23" s="420">
        <f>[28]Brewhouse!$U136-[28]Brewhouse!$T136</f>
        <v>0.10416666666666663</v>
      </c>
      <c r="N23" s="371">
        <f>[28]Brewhouse!$Z136</f>
        <v>0.25</v>
      </c>
      <c r="O23" s="372" t="str">
        <f>[28]Brewhouse!$AX136</f>
        <v>G.Mason</v>
      </c>
      <c r="P23" s="376"/>
      <c r="Q23" s="348"/>
      <c r="S23" s="278" t="str">
        <f t="shared" si="0"/>
        <v>CARIB</v>
      </c>
      <c r="T23" s="297">
        <f t="shared" si="1"/>
        <v>11.6</v>
      </c>
      <c r="U23" s="297">
        <f t="shared" si="2"/>
        <v>12</v>
      </c>
      <c r="V23" s="298">
        <f t="shared" si="3"/>
        <v>0</v>
      </c>
      <c r="W23" s="298">
        <f t="shared" si="4"/>
        <v>0.118055555555556</v>
      </c>
      <c r="X23" s="298">
        <f t="shared" si="5"/>
        <v>0.22569444444444445</v>
      </c>
      <c r="Y23" s="298">
        <f t="shared" si="6"/>
        <v>0.2638888888888889</v>
      </c>
      <c r="Z23" s="298">
        <f t="shared" si="7"/>
        <v>0</v>
      </c>
      <c r="AA23" s="297">
        <f t="shared" si="8"/>
        <v>60</v>
      </c>
    </row>
    <row r="24" spans="2:27" ht="15.75" customHeight="1">
      <c r="B24" s="29" t="s">
        <v>6</v>
      </c>
      <c r="C24" s="367" t="str">
        <f>[28]Brewhouse!$A137</f>
        <v>CA036</v>
      </c>
      <c r="D24" s="280">
        <f>[28]Brewhouse!$AF137</f>
        <v>54</v>
      </c>
      <c r="E24" s="280">
        <f>[28]Brewhouse!$AI137</f>
        <v>50.5</v>
      </c>
      <c r="F24" s="279">
        <f>[28]Brewhouse!$V137</f>
        <v>68</v>
      </c>
      <c r="G24" s="280">
        <f>[28]Brewhouse!$AG137</f>
        <v>11.7</v>
      </c>
      <c r="H24" s="419">
        <v>11.7</v>
      </c>
      <c r="I24" s="369">
        <f>[28]Brewhouse!$AU137</f>
        <v>94.045467052799196</v>
      </c>
      <c r="J24" s="369">
        <f>[28]Brewhouse!$AV137</f>
        <v>97.997792513703928</v>
      </c>
      <c r="K24" s="282">
        <f>[28]Brewhouse!$Q137</f>
        <v>6.5107913669064699</v>
      </c>
      <c r="L24" s="277">
        <f>[28]Brewhouse!$P137</f>
        <v>59</v>
      </c>
      <c r="M24" s="420">
        <f>[28]Brewhouse!$U137-[28]Brewhouse!$T137</f>
        <v>0.10972222222222217</v>
      </c>
      <c r="N24" s="371">
        <f>[28]Brewhouse!$Z137</f>
        <v>0.25416666666666665</v>
      </c>
      <c r="O24" s="372" t="str">
        <f>[28]Brewhouse!$AX137</f>
        <v>G.Mason</v>
      </c>
      <c r="P24" s="376"/>
      <c r="Q24" s="348"/>
      <c r="S24" s="278" t="str">
        <f t="shared" si="0"/>
        <v>CARIB</v>
      </c>
      <c r="T24" s="297">
        <f t="shared" si="1"/>
        <v>11.6</v>
      </c>
      <c r="U24" s="297">
        <f t="shared" si="2"/>
        <v>12</v>
      </c>
      <c r="V24" s="298">
        <f t="shared" si="3"/>
        <v>0</v>
      </c>
      <c r="W24" s="298">
        <f t="shared" si="4"/>
        <v>0.118055555555556</v>
      </c>
      <c r="X24" s="298">
        <f t="shared" si="5"/>
        <v>0.22569444444444445</v>
      </c>
      <c r="Y24" s="298">
        <f t="shared" si="6"/>
        <v>0.2638888888888889</v>
      </c>
      <c r="Z24" s="298">
        <f t="shared" si="7"/>
        <v>0</v>
      </c>
      <c r="AA24" s="297">
        <f t="shared" si="8"/>
        <v>60</v>
      </c>
    </row>
    <row r="25" spans="2:27" ht="15.75" customHeight="1">
      <c r="B25" s="29" t="s">
        <v>6</v>
      </c>
      <c r="C25" s="367" t="str">
        <f>[28]Brewhouse!$A138</f>
        <v>CA037</v>
      </c>
      <c r="D25" s="280">
        <f>[28]Brewhouse!$AF138</f>
        <v>53.5</v>
      </c>
      <c r="E25" s="280">
        <f>[28]Brewhouse!$AI138</f>
        <v>50</v>
      </c>
      <c r="F25" s="279">
        <f>[28]Brewhouse!$V138</f>
        <v>60</v>
      </c>
      <c r="G25" s="280">
        <f>[28]Brewhouse!$AG138</f>
        <v>11.9</v>
      </c>
      <c r="H25" s="419">
        <v>11.9</v>
      </c>
      <c r="I25" s="369">
        <f>[28]Brewhouse!$AU138</f>
        <v>95.023430747802905</v>
      </c>
      <c r="J25" s="369">
        <f>[28]Brewhouse!$AV138</f>
        <v>99.016423498660956</v>
      </c>
      <c r="K25" s="282">
        <f>[28]Brewhouse!$Q138</f>
        <v>6.0854092526690415</v>
      </c>
      <c r="L25" s="277">
        <f>[28]Brewhouse!$P138</f>
        <v>59</v>
      </c>
      <c r="M25" s="420">
        <f>[28]Brewhouse!$U138-[28]Brewhouse!$T138</f>
        <v>0.10972222222222228</v>
      </c>
      <c r="N25" s="371">
        <f>[28]Brewhouse!$Z138</f>
        <v>0.25069444444444455</v>
      </c>
      <c r="O25" s="372" t="str">
        <f>[28]Brewhouse!$AX138</f>
        <v>G.Mason</v>
      </c>
      <c r="P25" s="376"/>
      <c r="Q25" s="348"/>
      <c r="S25" s="278" t="str">
        <f t="shared" si="0"/>
        <v>CARIB</v>
      </c>
      <c r="T25" s="297">
        <f t="shared" si="1"/>
        <v>11.6</v>
      </c>
      <c r="U25" s="297">
        <f t="shared" si="2"/>
        <v>12</v>
      </c>
      <c r="V25" s="298">
        <f t="shared" si="3"/>
        <v>0</v>
      </c>
      <c r="W25" s="298">
        <f t="shared" si="4"/>
        <v>0.118055555555556</v>
      </c>
      <c r="X25" s="298">
        <f t="shared" si="5"/>
        <v>0.22569444444444445</v>
      </c>
      <c r="Y25" s="298">
        <f t="shared" si="6"/>
        <v>0.2638888888888889</v>
      </c>
      <c r="Z25" s="298">
        <f t="shared" si="7"/>
        <v>0</v>
      </c>
      <c r="AA25" s="297">
        <f t="shared" si="8"/>
        <v>60</v>
      </c>
    </row>
    <row r="26" spans="2:27" ht="15.75" customHeight="1">
      <c r="B26" s="29" t="s">
        <v>6</v>
      </c>
      <c r="C26" s="367" t="str">
        <f>[28]Brewhouse!$A139</f>
        <v>CA038</v>
      </c>
      <c r="D26" s="280">
        <f>[28]Brewhouse!$AF139</f>
        <v>53.9</v>
      </c>
      <c r="E26" s="280">
        <f>[28]Brewhouse!$AI139</f>
        <v>50.7</v>
      </c>
      <c r="F26" s="279">
        <f>[28]Brewhouse!$V139</f>
        <v>67</v>
      </c>
      <c r="G26" s="280">
        <f>[28]Brewhouse!$AG139</f>
        <v>11.8</v>
      </c>
      <c r="H26" s="419">
        <v>11.8</v>
      </c>
      <c r="I26" s="369">
        <f>[28]Brewhouse!$AU139</f>
        <v>95.149931915355324</v>
      </c>
      <c r="J26" s="369">
        <f>[28]Brewhouse!$AV139</f>
        <v>99.148888915907364</v>
      </c>
      <c r="K26" s="282">
        <f>[28]Brewhouse!$Q139</f>
        <v>6.46428571428571</v>
      </c>
      <c r="L26" s="277">
        <f>[28]Brewhouse!$P139</f>
        <v>57</v>
      </c>
      <c r="M26" s="420">
        <f>[28]Brewhouse!$U139-[28]Brewhouse!$T139</f>
        <v>0.11388888888888893</v>
      </c>
      <c r="N26" s="371">
        <f>[28]Brewhouse!$Z139</f>
        <v>0.25694444444444442</v>
      </c>
      <c r="O26" s="372" t="str">
        <f>[28]Brewhouse!$AX139</f>
        <v>G.Mason</v>
      </c>
      <c r="P26" s="376"/>
      <c r="Q26" s="348"/>
      <c r="S26" s="278" t="str">
        <f t="shared" si="0"/>
        <v>CARIB</v>
      </c>
      <c r="T26" s="297">
        <f t="shared" si="1"/>
        <v>11.6</v>
      </c>
      <c r="U26" s="297">
        <f t="shared" si="2"/>
        <v>12</v>
      </c>
      <c r="V26" s="298">
        <f t="shared" si="3"/>
        <v>0</v>
      </c>
      <c r="W26" s="298">
        <f t="shared" si="4"/>
        <v>0.118055555555556</v>
      </c>
      <c r="X26" s="298">
        <f t="shared" si="5"/>
        <v>0.22569444444444445</v>
      </c>
      <c r="Y26" s="298">
        <f t="shared" si="6"/>
        <v>0.2638888888888889</v>
      </c>
      <c r="Z26" s="298">
        <f t="shared" si="7"/>
        <v>0</v>
      </c>
      <c r="AA26" s="297">
        <f t="shared" si="8"/>
        <v>60</v>
      </c>
    </row>
    <row r="27" spans="2:27" ht="15.75" customHeigh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375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5.75" customHeight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>
      <c r="B29" s="33" t="s">
        <v>9</v>
      </c>
      <c r="C29" s="367" t="str">
        <f>[22]Brewhouse!$A37</f>
        <v>ST023</v>
      </c>
      <c r="D29" s="280">
        <f>[22]Brewhouse!$AD37</f>
        <v>53.4</v>
      </c>
      <c r="E29" s="280">
        <f>[22]Brewhouse!$AG37</f>
        <v>49.5</v>
      </c>
      <c r="F29" s="279">
        <f>[22]Brewhouse!$V37</f>
        <v>58</v>
      </c>
      <c r="G29" s="280">
        <f>[22]Brewhouse!$AE37</f>
        <v>11.6</v>
      </c>
      <c r="H29" s="419">
        <v>11.7</v>
      </c>
      <c r="I29" s="512">
        <f>[22]Brewhouse!$AS37</f>
        <v>93.269474250821958</v>
      </c>
      <c r="J29" s="512">
        <f>[22]Brewhouse!$AT37</f>
        <v>96.514052821889791</v>
      </c>
      <c r="K29" s="422">
        <f>[22]Brewhouse!$Q37</f>
        <v>7.8066914498141182</v>
      </c>
      <c r="L29" s="277">
        <f>[22]Brewhouse!$P37</f>
        <v>63</v>
      </c>
      <c r="M29" s="375">
        <f>[22]Brewhouse!$U37-[22]Brewhouse!$T37</f>
        <v>0.12638888888888888</v>
      </c>
      <c r="N29" s="371">
        <f>[22]Brewhouse!$AW37</f>
        <v>0.26527777777777778</v>
      </c>
      <c r="O29" s="513" t="str">
        <f>[22]Brewhouse!$AV37</f>
        <v>k.Benjamin</v>
      </c>
      <c r="P29" s="370"/>
      <c r="Q29" s="348"/>
      <c r="S29" s="278" t="str">
        <f t="shared" si="0"/>
        <v>STAG</v>
      </c>
      <c r="T29" s="297">
        <f t="shared" si="1"/>
        <v>11.6</v>
      </c>
      <c r="U29" s="297">
        <f t="shared" si="2"/>
        <v>12</v>
      </c>
      <c r="V29" s="298">
        <f t="shared" si="3"/>
        <v>0</v>
      </c>
      <c r="W29" s="298">
        <f t="shared" si="4"/>
        <v>0.118055555555556</v>
      </c>
      <c r="X29" s="298">
        <f t="shared" si="5"/>
        <v>0.22569444444444445</v>
      </c>
      <c r="Y29" s="298">
        <f t="shared" si="6"/>
        <v>0.2638888888888889</v>
      </c>
      <c r="Z29" s="298">
        <f t="shared" si="7"/>
        <v>0</v>
      </c>
      <c r="AA29" s="297">
        <f t="shared" si="8"/>
        <v>60</v>
      </c>
    </row>
    <row r="30" spans="2:27" ht="15.75" customHeight="1">
      <c r="B30" s="33" t="s">
        <v>9</v>
      </c>
      <c r="C30" s="367" t="str">
        <f>[22]Brewhouse!$A38</f>
        <v>ST024</v>
      </c>
      <c r="D30" s="280">
        <f>[22]Brewhouse!$AD38</f>
        <v>53.3</v>
      </c>
      <c r="E30" s="280">
        <f>[22]Brewhouse!$AG38</f>
        <v>49.9</v>
      </c>
      <c r="F30" s="279">
        <f>[22]Brewhouse!$V38</f>
        <v>59</v>
      </c>
      <c r="G30" s="280">
        <f>[22]Brewhouse!$AE38</f>
        <v>11.8</v>
      </c>
      <c r="H30" s="419">
        <v>11.8</v>
      </c>
      <c r="I30" s="512">
        <f>[22]Brewhouse!$AS38</f>
        <v>95.729858121698229</v>
      </c>
      <c r="J30" s="512">
        <f>[22]Brewhouse!$AT38</f>
        <v>99.060026419181582</v>
      </c>
      <c r="K30" s="422">
        <f>[22]Brewhouse!$Q38</f>
        <v>6.2846580406654322</v>
      </c>
      <c r="L30" s="277">
        <f>[22]Brewhouse!$P38</f>
        <v>62</v>
      </c>
      <c r="M30" s="375">
        <f>[22]Brewhouse!$U38-[22]Brewhouse!$T38</f>
        <v>0.11249999999999999</v>
      </c>
      <c r="N30" s="371">
        <f>[22]Brewhouse!$AW38</f>
        <v>0.24861111111111106</v>
      </c>
      <c r="O30" s="513" t="str">
        <f>[22]Brewhouse!$AV38</f>
        <v>k.Benjamin</v>
      </c>
      <c r="P30" s="376"/>
      <c r="Q30" s="348"/>
      <c r="S30" s="278" t="str">
        <f t="shared" si="0"/>
        <v>STAG</v>
      </c>
      <c r="T30" s="297">
        <f t="shared" si="1"/>
        <v>11.6</v>
      </c>
      <c r="U30" s="297">
        <f t="shared" si="2"/>
        <v>12</v>
      </c>
      <c r="V30" s="298">
        <f t="shared" si="3"/>
        <v>0</v>
      </c>
      <c r="W30" s="298">
        <f t="shared" si="4"/>
        <v>0.118055555555556</v>
      </c>
      <c r="X30" s="298">
        <f t="shared" si="5"/>
        <v>0.22569444444444445</v>
      </c>
      <c r="Y30" s="298">
        <f t="shared" si="6"/>
        <v>0.2638888888888889</v>
      </c>
      <c r="Z30" s="298">
        <f t="shared" si="7"/>
        <v>0</v>
      </c>
      <c r="AA30" s="297">
        <f t="shared" si="8"/>
        <v>60</v>
      </c>
    </row>
    <row r="31" spans="2:27" ht="15.75" customHeight="1">
      <c r="B31" s="33" t="s">
        <v>9</v>
      </c>
      <c r="C31" s="367" t="str">
        <f>[22]Brewhouse!$A39</f>
        <v>ST025</v>
      </c>
      <c r="D31" s="280">
        <f>[22]Brewhouse!$AD39</f>
        <v>53</v>
      </c>
      <c r="E31" s="280">
        <f>[22]Brewhouse!$AG39</f>
        <v>50</v>
      </c>
      <c r="F31" s="279">
        <f>[22]Brewhouse!$V39</f>
        <v>53</v>
      </c>
      <c r="G31" s="280">
        <f>[22]Brewhouse!$AE39</f>
        <v>11.9</v>
      </c>
      <c r="H31" s="419">
        <v>11.6</v>
      </c>
      <c r="I31" s="512">
        <f>[22]Brewhouse!$AS39</f>
        <v>96.776757210948887</v>
      </c>
      <c r="J31" s="512">
        <f>[22]Brewhouse!$AT39</f>
        <v>100.14334413712437</v>
      </c>
      <c r="K31" s="393"/>
      <c r="L31" s="277">
        <f>[22]Brewhouse!$P39</f>
        <v>59</v>
      </c>
      <c r="M31" s="375">
        <f>[22]Brewhouse!$U39-[22]Brewhouse!$T39</f>
        <v>0.10833333333333339</v>
      </c>
      <c r="N31" s="371">
        <f>[22]Brewhouse!$AW39</f>
        <v>0.25416666666666665</v>
      </c>
      <c r="O31" s="513" t="str">
        <f>[22]Brewhouse!$AV39</f>
        <v>k.Benjamin</v>
      </c>
      <c r="P31" s="376"/>
      <c r="Q31" s="348"/>
      <c r="S31" s="278" t="str">
        <f t="shared" si="0"/>
        <v>STAG</v>
      </c>
      <c r="T31" s="297">
        <f t="shared" si="1"/>
        <v>11.6</v>
      </c>
      <c r="U31" s="297">
        <f t="shared" si="2"/>
        <v>12</v>
      </c>
      <c r="V31" s="298">
        <f t="shared" si="3"/>
        <v>0</v>
      </c>
      <c r="W31" s="298">
        <f t="shared" si="4"/>
        <v>0.118055555555556</v>
      </c>
      <c r="X31" s="298">
        <f t="shared" si="5"/>
        <v>0.22569444444444445</v>
      </c>
      <c r="Y31" s="298">
        <f t="shared" si="6"/>
        <v>0.2638888888888889</v>
      </c>
      <c r="Z31" s="298">
        <f t="shared" si="7"/>
        <v>0</v>
      </c>
      <c r="AA31" s="297">
        <f t="shared" si="8"/>
        <v>60</v>
      </c>
    </row>
    <row r="32" spans="2:27" ht="15.75" customHeight="1">
      <c r="B32" s="33" t="s">
        <v>9</v>
      </c>
      <c r="C32" s="367" t="str">
        <f>[22]Brewhouse!$A40</f>
        <v>ST026</v>
      </c>
      <c r="D32" s="280">
        <f>[22]Brewhouse!$AD40</f>
        <v>53.9</v>
      </c>
      <c r="E32" s="280">
        <f>[22]Brewhouse!$AG40</f>
        <v>50.9</v>
      </c>
      <c r="F32" s="279">
        <f>[22]Brewhouse!$V40</f>
        <v>63</v>
      </c>
      <c r="G32" s="280">
        <f>[22]Brewhouse!$AE40</f>
        <v>11.6</v>
      </c>
      <c r="H32" s="419">
        <v>11.7</v>
      </c>
      <c r="I32" s="512">
        <f>[22]Brewhouse!$AS40</f>
        <v>96.149254375240844</v>
      </c>
      <c r="J32" s="512">
        <f>[22]Brewhouse!$AT40</f>
        <v>99.491828970586909</v>
      </c>
      <c r="K32" s="422">
        <f>[22]Brewhouse!$Q40</f>
        <v>5.5658627087198518</v>
      </c>
      <c r="L32" s="277">
        <f>[22]Brewhouse!$P40</f>
        <v>58</v>
      </c>
      <c r="M32" s="375">
        <f>[22]Brewhouse!$U40-[22]Brewhouse!$T40</f>
        <v>0.12222222222222223</v>
      </c>
      <c r="N32" s="371">
        <f>[22]Brewhouse!$AW40</f>
        <v>0.26875000000000004</v>
      </c>
      <c r="O32" s="513" t="str">
        <f>[22]Brewhouse!$AV40</f>
        <v>k.Benjamin</v>
      </c>
      <c r="P32" s="376"/>
      <c r="Q32" s="348"/>
      <c r="S32" s="278" t="str">
        <f t="shared" si="0"/>
        <v>STAG</v>
      </c>
      <c r="T32" s="297">
        <f t="shared" si="1"/>
        <v>11.6</v>
      </c>
      <c r="U32" s="297">
        <f t="shared" si="2"/>
        <v>12</v>
      </c>
      <c r="V32" s="298">
        <f t="shared" si="3"/>
        <v>0</v>
      </c>
      <c r="W32" s="298">
        <f t="shared" si="4"/>
        <v>0.118055555555556</v>
      </c>
      <c r="X32" s="298">
        <f t="shared" si="5"/>
        <v>0.22569444444444445</v>
      </c>
      <c r="Y32" s="298">
        <f t="shared" si="6"/>
        <v>0.2638888888888889</v>
      </c>
      <c r="Z32" s="298">
        <f t="shared" si="7"/>
        <v>0</v>
      </c>
      <c r="AA32" s="297">
        <f t="shared" si="8"/>
        <v>60</v>
      </c>
    </row>
    <row r="33" spans="1:27" ht="15.75" customHeight="1">
      <c r="B33" s="33" t="s">
        <v>9</v>
      </c>
      <c r="C33" s="367" t="str">
        <f>[22]Brewhouse!$A41</f>
        <v>ST027</v>
      </c>
      <c r="D33" s="280">
        <f>[22]Brewhouse!$AD41</f>
        <v>53.9</v>
      </c>
      <c r="E33" s="280">
        <f>[22]Brewhouse!$AG41</f>
        <v>50.6</v>
      </c>
      <c r="F33" s="279">
        <f>[22]Brewhouse!$V41</f>
        <v>63</v>
      </c>
      <c r="G33" s="280">
        <f>[22]Brewhouse!$AE41</f>
        <v>11.6</v>
      </c>
      <c r="H33" s="368"/>
      <c r="I33" s="512">
        <f>[22]Brewhouse!$AS41</f>
        <v>95.703229726515019</v>
      </c>
      <c r="J33" s="512">
        <f>[22]Brewhouse!$AT41</f>
        <v>99.029207861285457</v>
      </c>
      <c r="K33" s="422">
        <f>[22]Brewhouse!$Q41</f>
        <v>4.0441176470588163</v>
      </c>
      <c r="L33" s="277">
        <f>[22]Brewhouse!$P41</f>
        <v>61</v>
      </c>
      <c r="M33" s="375">
        <f>[22]Brewhouse!$U41-[22]Brewhouse!$T41</f>
        <v>0.11250000000000004</v>
      </c>
      <c r="N33" s="371">
        <f>[22]Brewhouse!$AW41</f>
        <v>0.26111111111111118</v>
      </c>
      <c r="O33" s="513" t="str">
        <f>[22]Brewhouse!$AV41</f>
        <v>R.Sookram</v>
      </c>
      <c r="P33" s="376"/>
      <c r="Q33" s="348"/>
      <c r="S33" s="278" t="str">
        <f t="shared" si="0"/>
        <v>STAG</v>
      </c>
      <c r="T33" s="297">
        <f t="shared" si="1"/>
        <v>11.6</v>
      </c>
      <c r="U33" s="297">
        <f t="shared" si="2"/>
        <v>12</v>
      </c>
      <c r="V33" s="298">
        <f t="shared" si="3"/>
        <v>0</v>
      </c>
      <c r="W33" s="298">
        <f t="shared" si="4"/>
        <v>0.118055555555556</v>
      </c>
      <c r="X33" s="298">
        <f t="shared" si="5"/>
        <v>0.22569444444444445</v>
      </c>
      <c r="Y33" s="298">
        <f t="shared" si="6"/>
        <v>0.2638888888888889</v>
      </c>
      <c r="Z33" s="298">
        <f t="shared" si="7"/>
        <v>0</v>
      </c>
      <c r="AA33" s="297">
        <f t="shared" si="8"/>
        <v>60</v>
      </c>
    </row>
    <row r="34" spans="1:27" ht="15.75" customHeight="1">
      <c r="B34" s="33" t="s">
        <v>9</v>
      </c>
      <c r="C34" s="367" t="str">
        <f>[22]Brewhouse!$A42</f>
        <v>ST028</v>
      </c>
      <c r="D34" s="280">
        <f>[22]Brewhouse!$AD42</f>
        <v>53.9</v>
      </c>
      <c r="E34" s="280">
        <f>[22]Brewhouse!$AG42</f>
        <v>50.9</v>
      </c>
      <c r="F34" s="279">
        <f>[22]Brewhouse!$V42</f>
        <v>62</v>
      </c>
      <c r="G34" s="280">
        <f>[22]Brewhouse!$AE42</f>
        <v>11.6</v>
      </c>
      <c r="H34" s="419">
        <v>11.6</v>
      </c>
      <c r="I34" s="512">
        <f>[22]Brewhouse!$AS42</f>
        <v>96.392332863581075</v>
      </c>
      <c r="J34" s="512">
        <f>[22]Brewhouse!$AT42</f>
        <v>99.741158155574638</v>
      </c>
      <c r="K34" s="422">
        <f>[22]Brewhouse!$Q42</f>
        <v>4.6125461254612548</v>
      </c>
      <c r="L34" s="277">
        <f>[22]Brewhouse!$P42</f>
        <v>58</v>
      </c>
      <c r="M34" s="375">
        <f>[22]Brewhouse!$U42-[22]Brewhouse!$T42</f>
        <v>0.10902777777777772</v>
      </c>
      <c r="N34" s="371">
        <f>[22]Brewhouse!$AW42</f>
        <v>0.25972222222222219</v>
      </c>
      <c r="O34" s="513" t="str">
        <f>[22]Brewhouse!$AV42</f>
        <v>R.Sookram</v>
      </c>
      <c r="P34" s="376"/>
      <c r="Q34" s="348"/>
      <c r="S34" s="278" t="str">
        <f t="shared" si="0"/>
        <v>STAG</v>
      </c>
      <c r="T34" s="297">
        <f t="shared" si="1"/>
        <v>11.6</v>
      </c>
      <c r="U34" s="297">
        <f t="shared" si="2"/>
        <v>12</v>
      </c>
      <c r="V34" s="298">
        <f t="shared" si="3"/>
        <v>0</v>
      </c>
      <c r="W34" s="298">
        <f t="shared" si="4"/>
        <v>0.118055555555556</v>
      </c>
      <c r="X34" s="298">
        <f t="shared" si="5"/>
        <v>0.22569444444444445</v>
      </c>
      <c r="Y34" s="298">
        <f t="shared" si="6"/>
        <v>0.2638888888888889</v>
      </c>
      <c r="Z34" s="298">
        <f t="shared" si="7"/>
        <v>0</v>
      </c>
      <c r="AA34" s="297">
        <f t="shared" si="8"/>
        <v>60</v>
      </c>
    </row>
    <row r="35" spans="1:27" ht="15.75" customHeight="1">
      <c r="B35" s="33" t="s">
        <v>9</v>
      </c>
      <c r="C35" s="367" t="str">
        <f>[22]Brewhouse!$A43</f>
        <v>ST029</v>
      </c>
      <c r="D35" s="280">
        <f>[22]Brewhouse!$AD43</f>
        <v>53.3</v>
      </c>
      <c r="E35" s="280">
        <f>[22]Brewhouse!$AG43</f>
        <v>50</v>
      </c>
      <c r="F35" s="279">
        <f>[22]Brewhouse!$V43</f>
        <v>62</v>
      </c>
      <c r="G35" s="280">
        <f>[22]Brewhouse!$AE43</f>
        <v>11.8</v>
      </c>
      <c r="H35" s="368"/>
      <c r="I35" s="512">
        <f>[22]Brewhouse!$AS43</f>
        <v>96.042495052644043</v>
      </c>
      <c r="J35" s="512">
        <f>[22]Brewhouse!$AT43</f>
        <v>99.382450019325603</v>
      </c>
      <c r="K35" s="422">
        <f>[22]Brewhouse!$Q43</f>
        <v>5.1565377532228309</v>
      </c>
      <c r="L35" s="277">
        <f>[22]Brewhouse!$P43</f>
        <v>57</v>
      </c>
      <c r="M35" s="375">
        <f>[22]Brewhouse!$U43-[22]Brewhouse!$T43</f>
        <v>0.10624999999999996</v>
      </c>
      <c r="N35" s="371">
        <f>[22]Brewhouse!$AW43</f>
        <v>0.27500000000000002</v>
      </c>
      <c r="O35" s="513" t="str">
        <f>[22]Brewhouse!$AV43</f>
        <v>R.Sookram</v>
      </c>
      <c r="P35" s="376"/>
      <c r="Q35" s="348"/>
      <c r="S35" s="278" t="str">
        <f t="shared" si="0"/>
        <v>STAG</v>
      </c>
      <c r="T35" s="297">
        <f t="shared" si="1"/>
        <v>11.6</v>
      </c>
      <c r="U35" s="297">
        <f t="shared" si="2"/>
        <v>12</v>
      </c>
      <c r="V35" s="298">
        <f t="shared" si="3"/>
        <v>0</v>
      </c>
      <c r="W35" s="298">
        <f t="shared" si="4"/>
        <v>0.118055555555556</v>
      </c>
      <c r="X35" s="298">
        <f t="shared" si="5"/>
        <v>0.22569444444444445</v>
      </c>
      <c r="Y35" s="298">
        <f t="shared" si="6"/>
        <v>0.2638888888888889</v>
      </c>
      <c r="Z35" s="298">
        <f t="shared" si="7"/>
        <v>0</v>
      </c>
      <c r="AA35" s="297">
        <f t="shared" si="8"/>
        <v>60</v>
      </c>
    </row>
    <row r="36" spans="1:27" ht="15.75" customHeight="1">
      <c r="B36" s="33" t="s">
        <v>9</v>
      </c>
      <c r="C36" s="367" t="str">
        <f>[22]Brewhouse!$A44</f>
        <v>ST030</v>
      </c>
      <c r="D36" s="280">
        <f>[22]Brewhouse!$AD44</f>
        <v>53.1</v>
      </c>
      <c r="E36" s="280">
        <f>[22]Brewhouse!$AG44</f>
        <v>50</v>
      </c>
      <c r="F36" s="279">
        <f>[22]Brewhouse!$V44</f>
        <v>63</v>
      </c>
      <c r="G36" s="280">
        <f>[22]Brewhouse!$AE44</f>
        <v>11.8</v>
      </c>
      <c r="H36" s="368"/>
      <c r="I36" s="512">
        <f>[22]Brewhouse!$AS44</f>
        <v>96.528726855243008</v>
      </c>
      <c r="J36" s="512">
        <f>[22]Brewhouse!$AT44</f>
        <v>99.881185097869619</v>
      </c>
      <c r="K36" s="422">
        <f>[22]Brewhouse!$Q44</f>
        <v>5.0909090909090855</v>
      </c>
      <c r="L36" s="277">
        <f>[22]Brewhouse!$P44</f>
        <v>58</v>
      </c>
      <c r="M36" s="375">
        <f>[22]Brewhouse!$U44-[22]Brewhouse!$T44</f>
        <v>0.11180555555555549</v>
      </c>
      <c r="N36" s="371">
        <f>[22]Brewhouse!$AW44</f>
        <v>0.25555555555555554</v>
      </c>
      <c r="O36" s="513" t="str">
        <f>[22]Brewhouse!$AV44</f>
        <v>R.Sookram</v>
      </c>
      <c r="P36" s="376"/>
      <c r="Q36" s="348"/>
      <c r="S36" s="278" t="str">
        <f t="shared" si="0"/>
        <v>STAG</v>
      </c>
      <c r="T36" s="297">
        <f t="shared" si="1"/>
        <v>11.6</v>
      </c>
      <c r="U36" s="297">
        <f t="shared" si="2"/>
        <v>12</v>
      </c>
      <c r="V36" s="298">
        <f t="shared" si="3"/>
        <v>0</v>
      </c>
      <c r="W36" s="298">
        <f t="shared" si="4"/>
        <v>0.118055555555556</v>
      </c>
      <c r="X36" s="298">
        <f t="shared" si="5"/>
        <v>0.22569444444444445</v>
      </c>
      <c r="Y36" s="298">
        <f t="shared" si="6"/>
        <v>0.2638888888888889</v>
      </c>
      <c r="Z36" s="298">
        <f t="shared" si="7"/>
        <v>0</v>
      </c>
      <c r="AA36" s="297">
        <f t="shared" si="8"/>
        <v>60</v>
      </c>
    </row>
    <row r="37" spans="1:27" ht="15.75" customHeight="1">
      <c r="B37" s="29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375"/>
      <c r="N37" s="371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1:27" ht="15.75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1:27" ht="15.75" customHeight="1">
      <c r="B39" s="29"/>
      <c r="C39" s="367"/>
      <c r="D39" s="280"/>
      <c r="E39" s="280"/>
      <c r="F39" s="279"/>
      <c r="G39" s="280"/>
      <c r="H39" s="419"/>
      <c r="I39" s="369"/>
      <c r="J39" s="369"/>
      <c r="K39" s="282"/>
      <c r="L39" s="277"/>
      <c r="M39" s="375"/>
      <c r="N39" s="371"/>
      <c r="O39" s="372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1:27" ht="14.4">
      <c r="B40" s="29"/>
      <c r="C40" s="367"/>
      <c r="D40" s="280"/>
      <c r="E40" s="280"/>
      <c r="F40" s="279"/>
      <c r="G40" s="280"/>
      <c r="H40" s="419"/>
      <c r="I40" s="369"/>
      <c r="J40" s="369"/>
      <c r="K40" s="282"/>
      <c r="L40" s="277"/>
      <c r="M40" s="375"/>
      <c r="N40" s="371"/>
      <c r="O40" s="372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1:27" ht="15.75" customHeight="1" thickBot="1">
      <c r="B41" s="359"/>
      <c r="C41" s="359"/>
      <c r="D41" s="359"/>
      <c r="E41" s="359"/>
      <c r="F41" s="295"/>
      <c r="G41" s="295"/>
      <c r="H41" s="349"/>
      <c r="I41" s="574" t="s">
        <v>34</v>
      </c>
      <c r="J41" s="574"/>
      <c r="K41" s="574"/>
      <c r="L41" s="574"/>
      <c r="M41" s="574"/>
      <c r="N41" s="574"/>
      <c r="O41" s="1"/>
      <c r="P41" s="12"/>
      <c r="S41" s="278"/>
      <c r="T41" s="297"/>
      <c r="U41" s="297"/>
      <c r="V41" s="298"/>
      <c r="W41" s="298"/>
      <c r="X41" s="298"/>
      <c r="Y41" s="298"/>
      <c r="Z41" s="298"/>
      <c r="AA41" s="297"/>
    </row>
    <row r="42" spans="1:27" ht="15" thickBot="1">
      <c r="B42" s="389" t="s">
        <v>145</v>
      </c>
      <c r="C42" s="389"/>
      <c r="D42" s="552" t="s">
        <v>35</v>
      </c>
      <c r="E42" s="553"/>
      <c r="F42" s="295"/>
      <c r="G42" s="295"/>
      <c r="H42" s="23"/>
      <c r="I42" s="24" t="s">
        <v>17</v>
      </c>
      <c r="J42" s="25" t="s">
        <v>146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5"/>
      <c r="P42" s="12"/>
      <c r="S42" s="278"/>
      <c r="T42" s="297"/>
      <c r="U42" s="297"/>
      <c r="V42" s="298"/>
      <c r="W42" s="298"/>
      <c r="X42" s="298"/>
      <c r="Y42" s="298"/>
      <c r="Z42" s="298"/>
      <c r="AA42" s="297"/>
    </row>
    <row r="43" spans="1:27" ht="15" customHeight="1">
      <c r="A43" s="28"/>
      <c r="B43" s="656" t="str">
        <f>I43</f>
        <v>CARIB</v>
      </c>
      <c r="C43" s="363">
        <v>11.7</v>
      </c>
      <c r="D43" s="578">
        <v>12.02</v>
      </c>
      <c r="E43" s="579"/>
      <c r="F43" s="295"/>
      <c r="G43" s="295"/>
      <c r="H43" s="295"/>
      <c r="I43" s="29" t="s">
        <v>6</v>
      </c>
      <c r="J43" s="324">
        <f>AVERAGE(I10:I26)</f>
        <v>94.340276870468571</v>
      </c>
      <c r="K43" s="285">
        <f>COUNTA([28]Brewhouse!$A$102:$A$139)</f>
        <v>38</v>
      </c>
      <c r="L43" s="303">
        <f>AVERAGE([28]Brewhouse!$AU$102:$AU$139)</f>
        <v>94.37790555297606</v>
      </c>
      <c r="M43" s="303">
        <f>AVERAGE([28]Brewhouse!$AU$102:$AU$139)</f>
        <v>94.37790555297606</v>
      </c>
      <c r="N43" s="30">
        <v>98</v>
      </c>
      <c r="O43" s="11"/>
      <c r="P43" s="31"/>
      <c r="S43" s="278"/>
      <c r="T43" s="297"/>
      <c r="U43" s="297"/>
      <c r="V43" s="298"/>
      <c r="W43" s="298"/>
      <c r="X43" s="298"/>
      <c r="Y43" s="298"/>
      <c r="Z43" s="298"/>
      <c r="AA43" s="297"/>
    </row>
    <row r="44" spans="1:27" ht="15" customHeight="1">
      <c r="A44" s="28"/>
      <c r="B44" s="657"/>
      <c r="C44" s="350">
        <v>11.82</v>
      </c>
      <c r="D44" s="580"/>
      <c r="E44" s="581"/>
      <c r="F44" s="295"/>
      <c r="G44" s="295"/>
      <c r="H44" s="32"/>
      <c r="I44" s="33" t="s">
        <v>9</v>
      </c>
      <c r="J44" s="324">
        <f>AVERAGE(I29:I36)</f>
        <v>95.824016057086638</v>
      </c>
      <c r="K44" s="285">
        <f>COUNTA([22]Brewhouse!$A$15:$A$36)</f>
        <v>22</v>
      </c>
      <c r="L44" s="303">
        <f>AVERAGE([22]Brewhouse!$AS$15:$AS$44)</f>
        <v>95.922423329657065</v>
      </c>
      <c r="M44" s="303">
        <f>AVERAGE([22]Brewhouse!$AS$15:$AS$44)</f>
        <v>95.922423329657065</v>
      </c>
      <c r="N44" s="30">
        <v>98</v>
      </c>
      <c r="O44" s="11"/>
      <c r="P44" s="31"/>
      <c r="S44" s="278"/>
      <c r="T44" s="297"/>
      <c r="U44" s="297"/>
      <c r="V44" s="298"/>
      <c r="W44" s="298"/>
      <c r="X44" s="298"/>
      <c r="Y44" s="298"/>
      <c r="Z44" s="298"/>
      <c r="AA44" s="297"/>
    </row>
    <row r="45" spans="1:27" ht="14.7" customHeight="1">
      <c r="A45" s="28"/>
      <c r="B45" s="657"/>
      <c r="C45" s="350">
        <v>11.7</v>
      </c>
      <c r="D45" s="578">
        <v>11.98</v>
      </c>
      <c r="E45" s="579"/>
      <c r="F45" s="295"/>
      <c r="G45" s="295"/>
      <c r="H45" s="32"/>
      <c r="I45" s="34" t="s">
        <v>12</v>
      </c>
      <c r="J45" s="281"/>
      <c r="K45" s="285"/>
      <c r="L45" s="303"/>
      <c r="M45" s="303"/>
      <c r="N45" s="30">
        <v>98</v>
      </c>
      <c r="O45" s="11"/>
      <c r="P45" s="31"/>
      <c r="S45" s="23"/>
      <c r="T45" s="1"/>
      <c r="U45" s="1"/>
      <c r="AA45" s="286"/>
    </row>
    <row r="46" spans="1:27" ht="14.7" customHeight="1">
      <c r="A46" s="28"/>
      <c r="B46" s="657"/>
      <c r="C46" s="350">
        <v>11.64</v>
      </c>
      <c r="D46" s="580"/>
      <c r="E46" s="581"/>
      <c r="F46" s="295"/>
      <c r="G46" s="295"/>
      <c r="H46" s="32"/>
      <c r="I46" s="22" t="s">
        <v>33</v>
      </c>
      <c r="J46" s="281"/>
      <c r="K46" s="285">
        <f>COUNTA([25]Brewhouse!$A$5:$A$8)</f>
        <v>4</v>
      </c>
      <c r="L46" s="303">
        <f>AVERAGE([25]Brewhouse!$AV$5:$AV$8)</f>
        <v>96.702302381453876</v>
      </c>
      <c r="M46" s="303">
        <f>AVERAGE([25]Brewhouse!$AV$5:$AV$8)</f>
        <v>96.702302381453876</v>
      </c>
      <c r="N46" s="30">
        <v>98</v>
      </c>
      <c r="O46" s="11"/>
      <c r="P46" s="31"/>
      <c r="S46" s="23"/>
      <c r="T46" s="1"/>
      <c r="U46" s="1"/>
      <c r="AA46" s="286"/>
    </row>
    <row r="47" spans="1:27" ht="14.7" customHeight="1">
      <c r="A47" s="28"/>
      <c r="B47" s="657"/>
      <c r="C47" s="350">
        <v>11.8</v>
      </c>
      <c r="D47" s="578">
        <v>11.9</v>
      </c>
      <c r="E47" s="579"/>
      <c r="F47" s="295"/>
      <c r="G47" s="295"/>
      <c r="H47" s="32"/>
      <c r="I47" s="35" t="s">
        <v>29</v>
      </c>
      <c r="J47" s="281"/>
      <c r="K47" s="285"/>
      <c r="L47" s="303"/>
      <c r="M47" s="303"/>
      <c r="N47" s="30">
        <v>98</v>
      </c>
      <c r="O47" s="11"/>
      <c r="P47" s="31"/>
      <c r="S47" s="23"/>
    </row>
    <row r="48" spans="1:27" ht="14.7" customHeight="1">
      <c r="A48" s="28"/>
      <c r="B48" s="657"/>
      <c r="C48" s="350">
        <v>11.8</v>
      </c>
      <c r="D48" s="580"/>
      <c r="E48" s="581"/>
      <c r="F48" s="295"/>
      <c r="G48" s="295"/>
      <c r="H48" s="32"/>
      <c r="I48" s="36" t="s">
        <v>15</v>
      </c>
      <c r="J48" s="324"/>
      <c r="K48" s="285">
        <f>COUNTA([27]Brewhouse!$A$4:$A$11)</f>
        <v>8</v>
      </c>
      <c r="L48" s="303">
        <f>AVERAGE([27]Brewhouse!$AT$4:$AT$11)</f>
        <v>94.812616598822359</v>
      </c>
      <c r="M48" s="303">
        <f>AVERAGE([27]Brewhouse!$AT$4:$AT$11)</f>
        <v>94.812616598822359</v>
      </c>
      <c r="N48" s="30">
        <v>98</v>
      </c>
      <c r="O48" s="11"/>
      <c r="P48" s="31"/>
      <c r="S48" s="23"/>
    </row>
    <row r="49" spans="1:57" ht="14.7" customHeight="1">
      <c r="A49" s="28"/>
      <c r="B49" s="657"/>
      <c r="C49" s="350">
        <v>11.83</v>
      </c>
      <c r="D49" s="578">
        <v>11.97</v>
      </c>
      <c r="E49" s="579"/>
      <c r="F49" s="295"/>
      <c r="G49" s="295"/>
      <c r="H49" s="32"/>
      <c r="I49" s="37" t="s">
        <v>16</v>
      </c>
      <c r="J49" s="324"/>
      <c r="K49" s="285"/>
      <c r="L49" s="303"/>
      <c r="M49" s="303"/>
      <c r="N49" s="30">
        <v>98</v>
      </c>
      <c r="O49" s="11"/>
      <c r="P49" s="31" t="s">
        <v>41</v>
      </c>
      <c r="S49" s="23"/>
      <c r="X49" s="276" t="s">
        <v>41</v>
      </c>
    </row>
    <row r="50" spans="1:57" ht="14.7" customHeight="1">
      <c r="A50" s="28"/>
      <c r="B50" s="657"/>
      <c r="C50" s="350">
        <v>11.6</v>
      </c>
      <c r="D50" s="580"/>
      <c r="E50" s="581"/>
      <c r="F50" s="295"/>
      <c r="G50" s="295"/>
      <c r="H50" s="32"/>
      <c r="I50" s="507" t="s">
        <v>174</v>
      </c>
      <c r="J50" s="327"/>
      <c r="K50" s="285">
        <f>COUNTA([26]Brewhouse!$A$5:$A$8)</f>
        <v>4</v>
      </c>
      <c r="L50" s="306">
        <f>AVERAGE([26]Brewhouse!$AU$5:$AU$8)</f>
        <v>91.006888337619571</v>
      </c>
      <c r="M50" s="306">
        <f>AVERAGE([26]Brewhouse!$AU$5:$AU$8)</f>
        <v>91.006888337619571</v>
      </c>
      <c r="N50" s="30">
        <v>98</v>
      </c>
      <c r="O50" s="11"/>
      <c r="P50" s="31"/>
      <c r="S50" s="23"/>
    </row>
    <row r="51" spans="1:57" ht="14.7" customHeight="1">
      <c r="A51" s="28"/>
      <c r="B51" s="657"/>
      <c r="C51" s="350"/>
      <c r="D51" s="578"/>
      <c r="E51" s="579"/>
      <c r="F51" s="295"/>
      <c r="G51" s="295"/>
      <c r="H51" s="32"/>
      <c r="I51" s="506" t="s">
        <v>166</v>
      </c>
      <c r="J51" s="327"/>
      <c r="K51" s="285"/>
      <c r="L51" s="306"/>
      <c r="M51" s="306"/>
      <c r="N51" s="30"/>
      <c r="O51" s="11"/>
      <c r="P51" s="31"/>
      <c r="S51" s="23"/>
    </row>
    <row r="52" spans="1:57" ht="15" customHeight="1" thickBot="1">
      <c r="A52" s="28"/>
      <c r="B52" s="657"/>
      <c r="C52" s="350"/>
      <c r="D52" s="580"/>
      <c r="E52" s="581"/>
      <c r="F52" s="295"/>
      <c r="G52" s="295"/>
      <c r="H52" s="32"/>
      <c r="I52" s="502" t="s">
        <v>165</v>
      </c>
      <c r="J52" s="328"/>
      <c r="K52" s="503"/>
      <c r="L52" s="504"/>
      <c r="M52" s="504"/>
      <c r="N52" s="505">
        <v>98</v>
      </c>
      <c r="O52" s="11"/>
      <c r="P52" s="31"/>
      <c r="S52" s="23"/>
    </row>
    <row r="53" spans="1:57" ht="15" customHeight="1" thickBot="1">
      <c r="A53" s="28"/>
      <c r="B53" s="657"/>
      <c r="C53" s="350"/>
      <c r="D53" s="578"/>
      <c r="E53" s="579"/>
      <c r="F53" s="295"/>
      <c r="G53" s="295"/>
      <c r="H53" s="32"/>
      <c r="I53" s="1"/>
      <c r="J53" s="39"/>
      <c r="K53" s="500">
        <f>SUM(K43:K52)</f>
        <v>76</v>
      </c>
      <c r="L53" s="501">
        <f>((L43*K43)+(L44*K44)+(L45*K45)+(L46*K46)+(L47*K47)+(K50*L50)+(L48*K48)+(L49*K49)+(L52*K52))/(K53)</f>
        <v>94.815676578058131</v>
      </c>
      <c r="M53" s="501">
        <f>L53</f>
        <v>94.815676578058131</v>
      </c>
      <c r="N53" s="40">
        <v>98</v>
      </c>
      <c r="O53" s="11"/>
      <c r="P53" s="31"/>
      <c r="S53" s="23"/>
    </row>
    <row r="54" spans="1:57" ht="15" thickBot="1">
      <c r="B54" s="658"/>
      <c r="C54" s="351"/>
      <c r="D54" s="580"/>
      <c r="E54" s="581"/>
      <c r="F54" s="295"/>
      <c r="G54" s="42"/>
      <c r="H54" s="41"/>
      <c r="I54" s="42"/>
      <c r="J54" s="42"/>
      <c r="K54" s="352"/>
      <c r="L54" s="349"/>
      <c r="M54" s="349"/>
      <c r="N54" s="11"/>
      <c r="O54" s="295"/>
      <c r="P54" s="12"/>
      <c r="S54" s="23"/>
    </row>
    <row r="55" spans="1:57" ht="15" thickBot="1">
      <c r="B55" s="653"/>
      <c r="C55" s="363"/>
      <c r="D55" s="591"/>
      <c r="E55" s="592"/>
      <c r="F55" s="43"/>
      <c r="G55" s="41"/>
      <c r="H55" s="41"/>
      <c r="I55" s="42"/>
      <c r="J55" s="594" t="s">
        <v>129</v>
      </c>
      <c r="K55" s="594"/>
      <c r="L55" s="295"/>
      <c r="M55" s="295"/>
      <c r="N55" s="295"/>
      <c r="O55" s="295"/>
      <c r="P55" s="12"/>
      <c r="S55" s="23" t="s">
        <v>41</v>
      </c>
    </row>
    <row r="56" spans="1:57" ht="13.5" customHeight="1" thickBot="1">
      <c r="B56" s="654"/>
      <c r="C56" s="350"/>
      <c r="D56" s="593"/>
      <c r="E56" s="581"/>
      <c r="F56" s="43"/>
      <c r="G56" s="41"/>
      <c r="H56" s="515" t="s">
        <v>186</v>
      </c>
      <c r="I56" s="517" t="s">
        <v>185</v>
      </c>
      <c r="J56" s="293" t="s">
        <v>17</v>
      </c>
      <c r="K56" s="294" t="s">
        <v>184</v>
      </c>
      <c r="L56" s="595" t="s">
        <v>136</v>
      </c>
      <c r="M56" s="595"/>
      <c r="N56" s="596"/>
      <c r="O56" s="295"/>
      <c r="P56" s="12"/>
      <c r="S56" s="23"/>
    </row>
    <row r="57" spans="1:57" ht="15" customHeight="1" thickBot="1">
      <c r="B57" s="654"/>
      <c r="C57" s="350"/>
      <c r="D57" s="597"/>
      <c r="E57" s="579"/>
      <c r="F57" s="43"/>
      <c r="G57" s="41"/>
      <c r="H57" s="516">
        <v>1</v>
      </c>
      <c r="I57" s="516">
        <v>8</v>
      </c>
      <c r="J57" s="288" t="s">
        <v>6</v>
      </c>
      <c r="K57" s="325">
        <v>8</v>
      </c>
      <c r="L57" s="344" t="s">
        <v>37</v>
      </c>
      <c r="M57" s="308" t="s">
        <v>38</v>
      </c>
      <c r="N57" s="308" t="s">
        <v>84</v>
      </c>
      <c r="O57" s="295"/>
      <c r="P57" s="12"/>
      <c r="S57" s="23"/>
    </row>
    <row r="58" spans="1:57" ht="15.75" customHeight="1" thickBot="1">
      <c r="B58" s="654"/>
      <c r="C58" s="350"/>
      <c r="D58" s="593"/>
      <c r="E58" s="581"/>
      <c r="F58" s="43"/>
      <c r="G58" s="41"/>
      <c r="H58" s="516">
        <v>8</v>
      </c>
      <c r="I58" s="516"/>
      <c r="J58" s="346" t="s">
        <v>9</v>
      </c>
      <c r="K58" s="325"/>
      <c r="L58" s="345">
        <f>AVERAGE('Jan 2nd'!K69,'Jan 3rd'!K69,'Jan 6th'!K54,'Jan 7th'!K76,'Jan 8th'!K76,'Jan. 10th'!K54,'Jan. 14th '!K54,'Jan.15th '!K55,Jan.16th!K58,'Jan.17th -19th'!K67)</f>
        <v>6.4</v>
      </c>
      <c r="M58" s="326">
        <f>L58</f>
        <v>6.4</v>
      </c>
      <c r="N58" s="488"/>
      <c r="O58" s="295"/>
      <c r="P58" s="12"/>
      <c r="S58" s="23"/>
    </row>
    <row r="59" spans="1:57" ht="15" customHeight="1">
      <c r="B59" s="654"/>
      <c r="C59" s="350"/>
      <c r="D59" s="597"/>
      <c r="E59" s="579"/>
      <c r="F59" s="43"/>
      <c r="G59" s="41"/>
      <c r="H59" s="516"/>
      <c r="I59" s="516"/>
      <c r="J59" s="289" t="s">
        <v>40</v>
      </c>
      <c r="K59" s="325"/>
      <c r="L59" s="295"/>
      <c r="M59" s="295"/>
      <c r="N59" s="295"/>
      <c r="O59" s="295"/>
      <c r="P59" s="12"/>
      <c r="S59" s="23"/>
    </row>
    <row r="60" spans="1:57" ht="15" customHeight="1">
      <c r="B60" s="654"/>
      <c r="C60" s="350"/>
      <c r="D60" s="593"/>
      <c r="E60" s="581"/>
      <c r="F60" s="43"/>
      <c r="G60" s="41"/>
      <c r="H60" s="516"/>
      <c r="I60" s="516"/>
      <c r="J60" s="290" t="s">
        <v>33</v>
      </c>
      <c r="K60" s="325"/>
      <c r="L60" s="295"/>
      <c r="M60" s="295"/>
      <c r="N60" s="295"/>
      <c r="O60" s="295"/>
      <c r="P60" s="12"/>
      <c r="S60" s="23"/>
    </row>
    <row r="61" spans="1:57" ht="14.4">
      <c r="B61" s="654"/>
      <c r="C61" s="350"/>
      <c r="D61" s="597"/>
      <c r="E61" s="579"/>
      <c r="F61" s="43"/>
      <c r="G61" s="41"/>
      <c r="H61" s="516"/>
      <c r="I61" s="516"/>
      <c r="J61" s="291" t="s">
        <v>16</v>
      </c>
      <c r="K61" s="325"/>
      <c r="L61" s="295"/>
      <c r="M61" s="295"/>
      <c r="N61" s="295"/>
      <c r="O61" s="295"/>
      <c r="P61" s="12"/>
      <c r="S61" s="23"/>
      <c r="BD61" s="44"/>
      <c r="BE61" s="44"/>
    </row>
    <row r="62" spans="1:57" ht="14.4">
      <c r="B62" s="654"/>
      <c r="C62" s="350"/>
      <c r="D62" s="593"/>
      <c r="E62" s="581"/>
      <c r="F62" s="43"/>
      <c r="G62" s="41"/>
      <c r="H62" s="516"/>
      <c r="I62" s="516"/>
      <c r="J62" s="292" t="s">
        <v>15</v>
      </c>
      <c r="K62" s="325"/>
      <c r="L62" s="295"/>
      <c r="M62" s="295"/>
      <c r="N62" s="295"/>
      <c r="O62" s="295"/>
      <c r="P62" s="12"/>
      <c r="S62" s="23"/>
      <c r="BD62" s="44"/>
      <c r="BE62" s="44"/>
    </row>
    <row r="63" spans="1:57" ht="14.4">
      <c r="B63" s="654"/>
      <c r="C63" s="350"/>
      <c r="D63" s="598"/>
      <c r="E63" s="583"/>
      <c r="F63" s="43"/>
      <c r="G63" s="41"/>
      <c r="H63" s="516"/>
      <c r="I63" s="516"/>
      <c r="J63" s="292" t="s">
        <v>149</v>
      </c>
      <c r="K63" s="325"/>
      <c r="L63" s="295"/>
      <c r="M63" s="295"/>
      <c r="N63" s="295"/>
      <c r="O63" s="295"/>
      <c r="P63" s="12"/>
      <c r="S63" s="23"/>
      <c r="BD63" s="44"/>
      <c r="BE63" s="44"/>
    </row>
    <row r="64" spans="1:57" ht="15" thickBot="1">
      <c r="B64" s="655"/>
      <c r="C64" s="351"/>
      <c r="D64" s="599"/>
      <c r="E64" s="600"/>
      <c r="F64" s="43"/>
      <c r="G64" s="41"/>
      <c r="H64" s="516"/>
      <c r="I64" s="516"/>
      <c r="J64" s="292" t="s">
        <v>148</v>
      </c>
      <c r="K64" s="325"/>
      <c r="L64" s="295"/>
      <c r="M64" s="295"/>
      <c r="N64" s="295"/>
      <c r="O64" s="295"/>
      <c r="P64" s="12"/>
      <c r="S64" s="23"/>
      <c r="BD64" s="44"/>
      <c r="BE64" s="44"/>
    </row>
    <row r="65" spans="2:58" ht="17.7" customHeight="1" thickBot="1">
      <c r="B65" s="313" t="s">
        <v>139</v>
      </c>
      <c r="C65" s="314"/>
      <c r="D65" s="601">
        <f>AVERAGE(D43:E64)</f>
        <v>11.967499999999999</v>
      </c>
      <c r="E65" s="602"/>
      <c r="F65" s="43"/>
      <c r="G65" s="41"/>
      <c r="H65" s="516"/>
      <c r="I65" s="516"/>
      <c r="J65" s="296" t="s">
        <v>134</v>
      </c>
      <c r="K65" s="325"/>
      <c r="L65" s="295"/>
      <c r="M65" s="295"/>
      <c r="N65" s="295"/>
      <c r="O65" s="295"/>
      <c r="P65" s="12"/>
      <c r="S65" s="23"/>
      <c r="BD65" s="44"/>
      <c r="BE65" s="44"/>
    </row>
    <row r="66" spans="2:58" ht="17.7" customHeight="1">
      <c r="B66" s="364"/>
      <c r="C66" s="365"/>
      <c r="D66" s="366"/>
      <c r="E66" s="366"/>
      <c r="F66" s="43"/>
      <c r="G66" s="41"/>
      <c r="H66" s="516"/>
      <c r="I66" s="516"/>
      <c r="J66" s="296" t="s">
        <v>131</v>
      </c>
      <c r="K66" s="325"/>
      <c r="L66" s="295"/>
      <c r="M66" s="295"/>
      <c r="N66" s="295"/>
      <c r="O66" s="295"/>
      <c r="P66" s="12"/>
      <c r="S66" s="23"/>
      <c r="BD66" s="44"/>
      <c r="BE66" s="44"/>
    </row>
    <row r="67" spans="2:58" ht="15.75" customHeight="1" thickBot="1">
      <c r="B67" s="45"/>
      <c r="C67" s="11"/>
      <c r="D67" s="11"/>
      <c r="E67" s="46"/>
      <c r="F67" s="23"/>
      <c r="G67" s="11"/>
      <c r="H67" s="514">
        <f t="shared" ref="H67:I67" si="9">SUM(H57:H66)</f>
        <v>9</v>
      </c>
      <c r="I67" s="514">
        <f t="shared" si="9"/>
        <v>8</v>
      </c>
      <c r="J67" s="347" t="s">
        <v>130</v>
      </c>
      <c r="K67" s="325">
        <f>SUM(K57:K66)</f>
        <v>8</v>
      </c>
      <c r="L67" s="295"/>
      <c r="M67" s="295"/>
      <c r="N67" s="295"/>
      <c r="O67" s="295"/>
      <c r="P67" s="12"/>
    </row>
    <row r="68" spans="2:58" ht="20.25" customHeight="1">
      <c r="B68" s="15" t="s">
        <v>42</v>
      </c>
      <c r="C68" s="1" t="s">
        <v>43</v>
      </c>
      <c r="D68" s="1"/>
      <c r="E68" s="1"/>
      <c r="I68" s="42"/>
      <c r="L68" s="295"/>
      <c r="P68" s="335"/>
    </row>
    <row r="69" spans="2:58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  <c r="X69" s="276" t="s">
        <v>41</v>
      </c>
    </row>
    <row r="70" spans="2:58" ht="15" customHeight="1" thickBot="1">
      <c r="B70" s="603" t="s">
        <v>17</v>
      </c>
      <c r="C70" s="603" t="s">
        <v>44</v>
      </c>
      <c r="D70" s="605" t="s">
        <v>45</v>
      </c>
      <c r="E70" s="560" t="s">
        <v>46</v>
      </c>
      <c r="F70" s="620" t="s">
        <v>47</v>
      </c>
      <c r="G70" s="614" t="s">
        <v>48</v>
      </c>
      <c r="H70" s="603" t="s">
        <v>49</v>
      </c>
      <c r="I70" s="616" t="s">
        <v>50</v>
      </c>
      <c r="J70" s="608" t="s">
        <v>28</v>
      </c>
      <c r="K70" s="558" t="s">
        <v>51</v>
      </c>
      <c r="L70" s="570" t="s">
        <v>52</v>
      </c>
      <c r="M70" s="608" t="s">
        <v>53</v>
      </c>
      <c r="N70" s="77"/>
      <c r="O70" s="13"/>
      <c r="P70" s="50"/>
    </row>
    <row r="71" spans="2:58" ht="28.5" customHeight="1" thickTop="1" thickBot="1">
      <c r="B71" s="604"/>
      <c r="C71" s="604"/>
      <c r="D71" s="606"/>
      <c r="E71" s="607"/>
      <c r="F71" s="621"/>
      <c r="G71" s="615"/>
      <c r="H71" s="604"/>
      <c r="I71" s="617"/>
      <c r="J71" s="609"/>
      <c r="K71" s="618"/>
      <c r="L71" s="619"/>
      <c r="M71" s="609"/>
      <c r="N71" s="77"/>
      <c r="O71" s="13"/>
      <c r="P71" s="50"/>
      <c r="Q71" s="356"/>
      <c r="R71" s="356"/>
      <c r="S71" s="356"/>
      <c r="T71" s="356"/>
      <c r="U71" s="51">
        <v>43466</v>
      </c>
      <c r="V71" s="51">
        <v>43467</v>
      </c>
      <c r="W71" s="51">
        <v>43468</v>
      </c>
      <c r="X71" s="51">
        <v>43469</v>
      </c>
      <c r="Y71" s="51">
        <v>43470</v>
      </c>
      <c r="Z71" s="51">
        <v>43471</v>
      </c>
      <c r="AA71" s="51">
        <v>43472</v>
      </c>
      <c r="AB71" s="51">
        <v>43473</v>
      </c>
      <c r="AC71" s="51">
        <v>43474</v>
      </c>
      <c r="AD71" s="51">
        <v>43475</v>
      </c>
      <c r="AE71" s="51">
        <v>43476</v>
      </c>
      <c r="AF71" s="51">
        <v>43477</v>
      </c>
      <c r="AG71" s="51">
        <v>43478</v>
      </c>
      <c r="AH71" s="51">
        <v>43479</v>
      </c>
      <c r="AI71" s="51">
        <v>43480</v>
      </c>
      <c r="AJ71" s="51">
        <v>43481</v>
      </c>
      <c r="AK71" s="51">
        <v>43482</v>
      </c>
      <c r="AL71" s="51">
        <v>43483</v>
      </c>
      <c r="AM71" s="51">
        <v>43484</v>
      </c>
      <c r="AN71" s="51">
        <v>43485</v>
      </c>
      <c r="AO71" s="51">
        <v>43486</v>
      </c>
      <c r="AP71" s="51">
        <v>43487</v>
      </c>
      <c r="AQ71" s="51">
        <v>43488</v>
      </c>
      <c r="AR71" s="51">
        <v>43489</v>
      </c>
      <c r="AS71" s="51">
        <v>43490</v>
      </c>
      <c r="AT71" s="51">
        <v>43491</v>
      </c>
      <c r="AU71" s="51">
        <v>43492</v>
      </c>
      <c r="AV71" s="51">
        <v>43493</v>
      </c>
      <c r="AW71" s="51">
        <v>43494</v>
      </c>
      <c r="AX71" s="51">
        <v>43495</v>
      </c>
      <c r="AY71" s="51">
        <v>43496</v>
      </c>
    </row>
    <row r="72" spans="2:58" s="54" customFormat="1" ht="60.75" customHeight="1" thickBot="1">
      <c r="B72" s="511" t="str">
        <f>I43</f>
        <v>CARIB</v>
      </c>
      <c r="C72" s="284">
        <v>45674</v>
      </c>
      <c r="D72" s="378">
        <f>[23]January_2025!$T$3</f>
        <v>401.49999999999994</v>
      </c>
      <c r="E72" s="379"/>
      <c r="F72" s="380"/>
      <c r="G72" s="304">
        <f>[23]January_2025!$T$7</f>
        <v>372.9</v>
      </c>
      <c r="H72" s="382"/>
      <c r="I72" s="383"/>
      <c r="J72" s="391" t="s">
        <v>180</v>
      </c>
      <c r="K72" s="381">
        <f>[24]January_2025!$T$18</f>
        <v>1.3084210526315789</v>
      </c>
      <c r="L72" s="315">
        <f>(((D72+E72)-G72)/(D72+E72))*100</f>
        <v>7.1232876712328697</v>
      </c>
      <c r="M72" s="358" t="s">
        <v>178</v>
      </c>
      <c r="N72" s="13"/>
      <c r="O72" s="13"/>
      <c r="P72" s="50"/>
      <c r="T72" s="273" t="s">
        <v>54</v>
      </c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80"/>
      <c r="AV72" s="280"/>
      <c r="AW72" s="280"/>
      <c r="AX72" s="280"/>
    </row>
    <row r="73" spans="2:58" s="54" customFormat="1" ht="18.75" customHeight="1" thickBot="1">
      <c r="B73" s="388"/>
      <c r="C73" s="284"/>
      <c r="D73" s="280"/>
      <c r="E73" s="280"/>
      <c r="F73" s="280"/>
      <c r="G73" s="280"/>
      <c r="H73" s="321"/>
      <c r="I73" s="322"/>
      <c r="J73" s="390" t="s">
        <v>41</v>
      </c>
      <c r="K73" s="377"/>
      <c r="L73" s="315"/>
      <c r="M73" s="385"/>
      <c r="N73" s="13"/>
      <c r="O73" s="13"/>
      <c r="P73" s="50"/>
      <c r="T73" s="273" t="s">
        <v>51</v>
      </c>
      <c r="U73" s="57" t="e">
        <f>[20]January_2019!D8</f>
        <v>#DIV/0!</v>
      </c>
      <c r="V73" s="57">
        <f>[20]January_2019!E8</f>
        <v>1.0319298245614037</v>
      </c>
      <c r="W73" s="57">
        <f>[20]January_2019!F8</f>
        <v>1.7789473684210526</v>
      </c>
      <c r="X73" s="57">
        <f>[20]January_2019!G8</f>
        <v>0.51929824561403504</v>
      </c>
      <c r="Y73" s="57" t="e">
        <f>[20]January_2019!H8</f>
        <v>#DIV/0!</v>
      </c>
      <c r="Z73" s="57" t="e">
        <f>[20]January_2019!I8</f>
        <v>#DIV/0!</v>
      </c>
      <c r="AA73" s="57">
        <f>[20]January_2019!J8</f>
        <v>1.365263157894737</v>
      </c>
      <c r="AB73" s="57" t="e">
        <f>[20]January_2019!K8</f>
        <v>#DIV/0!</v>
      </c>
      <c r="AC73" s="57">
        <f>[20]January_2019!L8</f>
        <v>1.0028070175438597</v>
      </c>
      <c r="AD73" s="57">
        <f>[20]January_2019!M8</f>
        <v>1.7828070175438597</v>
      </c>
      <c r="AE73" s="57" t="e">
        <f>[20]January_2019!N8</f>
        <v>#DIV/0!</v>
      </c>
      <c r="AF73" s="57" t="e">
        <f>[20]January_2019!O8</f>
        <v>#DIV/0!</v>
      </c>
      <c r="AG73" s="57">
        <f>[20]January_2019!P8</f>
        <v>0.19222222222222221</v>
      </c>
      <c r="AH73" s="57">
        <f>[20]January_2019!Q8</f>
        <v>0.52219298245614032</v>
      </c>
      <c r="AI73" s="57">
        <f>[20]January_2019!R8</f>
        <v>0.42912280701754385</v>
      </c>
      <c r="AJ73" s="57" t="e">
        <f>[20]January_2019!S8</f>
        <v>#DIV/0!</v>
      </c>
      <c r="AK73" s="57">
        <f>[20]January_2019!T8</f>
        <v>1.0340350877192983</v>
      </c>
      <c r="AL73" s="57">
        <f>[20]January_2019!U8</f>
        <v>0.98421052631578942</v>
      </c>
      <c r="AM73" s="57" t="e">
        <f>[20]January_2019!V8</f>
        <v>#DIV/0!</v>
      </c>
      <c r="AN73" s="57" t="e">
        <f>[20]January_2019!W8</f>
        <v>#DIV/0!</v>
      </c>
      <c r="AO73" s="57">
        <f>[20]January_2019!X8</f>
        <v>0.66052631578947374</v>
      </c>
      <c r="AP73" s="57">
        <f>[20]January_2019!Y8</f>
        <v>1.0375438596491227</v>
      </c>
      <c r="AQ73" s="57">
        <f>[20]January_2019!Z8</f>
        <v>0.90456140350877201</v>
      </c>
      <c r="AR73" s="57">
        <f>[20]January_2019!AA8</f>
        <v>1.0217543859649123</v>
      </c>
      <c r="AS73" s="57">
        <f>[20]January_2019!AB8</f>
        <v>0.65614035087719302</v>
      </c>
      <c r="AT73" s="57" t="e">
        <f>[20]January_2019!AC8</f>
        <v>#DIV/0!</v>
      </c>
      <c r="AU73" s="57" t="e">
        <f>[20]January_2019!AD8</f>
        <v>#DIV/0!</v>
      </c>
      <c r="AV73" s="57">
        <f>[20]January_2019!AE8</f>
        <v>1.7021052631578948</v>
      </c>
      <c r="AW73" s="57">
        <f>[20]January_2019!AF8</f>
        <v>0.60192982456140354</v>
      </c>
      <c r="AX73" s="57">
        <f>[20]January_2019!AG8</f>
        <v>1.4870175438596491</v>
      </c>
      <c r="AY73" s="278" t="e">
        <f>[20]January_2019!AH8</f>
        <v>#DIV/0!</v>
      </c>
      <c r="AZ73" s="278"/>
      <c r="BA73" s="278"/>
      <c r="BB73" s="278"/>
      <c r="BC73" s="278"/>
      <c r="BD73" s="278"/>
      <c r="BE73" s="278"/>
      <c r="BF73" s="278"/>
    </row>
    <row r="74" spans="2:58" s="54" customFormat="1" ht="23.25" hidden="1" customHeight="1" thickBot="1">
      <c r="B74" s="374"/>
      <c r="C74" s="284"/>
      <c r="D74" s="280"/>
      <c r="E74" s="280"/>
      <c r="F74" s="280"/>
      <c r="G74" s="280"/>
      <c r="H74" s="382"/>
      <c r="I74" s="383"/>
      <c r="J74" s="391"/>
      <c r="K74" s="373"/>
      <c r="L74" s="315"/>
      <c r="M74" s="358"/>
      <c r="N74" s="13"/>
      <c r="O74" s="13"/>
      <c r="P74" s="50"/>
      <c r="T74" s="273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278"/>
      <c r="AZ74" s="278"/>
      <c r="BA74" s="278"/>
      <c r="BB74" s="278"/>
      <c r="BC74" s="278"/>
      <c r="BD74" s="278"/>
      <c r="BE74" s="278"/>
      <c r="BF74" s="278"/>
    </row>
    <row r="75" spans="2:58" s="54" customFormat="1" ht="14.4" hidden="1" thickBot="1">
      <c r="B75" s="362"/>
      <c r="C75" s="284"/>
      <c r="D75" s="305"/>
      <c r="E75" s="280"/>
      <c r="F75" s="280"/>
      <c r="G75" s="280"/>
      <c r="H75" s="382"/>
      <c r="I75" s="383"/>
      <c r="J75" s="390"/>
      <c r="K75" s="377"/>
      <c r="L75" s="315"/>
      <c r="M75" s="355"/>
      <c r="N75" s="13"/>
      <c r="O75" s="13"/>
      <c r="P75" s="50"/>
      <c r="T75" s="273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278"/>
      <c r="AZ75" s="278"/>
      <c r="BA75" s="278"/>
      <c r="BB75" s="278"/>
      <c r="BC75" s="278"/>
      <c r="BD75" s="278"/>
      <c r="BE75" s="278"/>
      <c r="BF75" s="278"/>
    </row>
    <row r="76" spans="2:58" s="54" customFormat="1" ht="45.75" hidden="1" customHeight="1">
      <c r="B76" s="386"/>
      <c r="C76" s="284"/>
      <c r="D76" s="280"/>
      <c r="E76" s="280"/>
      <c r="F76" s="280"/>
      <c r="G76" s="280"/>
      <c r="H76" s="321"/>
      <c r="I76" s="323"/>
      <c r="J76" s="361"/>
      <c r="K76" s="287"/>
      <c r="L76" s="315"/>
      <c r="M76" s="385"/>
      <c r="N76" s="13"/>
      <c r="O76" s="13"/>
      <c r="P76" s="50"/>
      <c r="T76" s="273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278"/>
      <c r="AZ76" s="278"/>
      <c r="BA76" s="278"/>
      <c r="BB76" s="278"/>
      <c r="BC76" s="278"/>
      <c r="BD76" s="278"/>
      <c r="BE76" s="278"/>
      <c r="BF76" s="278"/>
    </row>
    <row r="77" spans="2:58" s="54" customFormat="1" ht="45.75" hidden="1" customHeight="1">
      <c r="B77" s="362"/>
      <c r="C77" s="284"/>
      <c r="D77" s="280"/>
      <c r="E77" s="280"/>
      <c r="F77" s="280"/>
      <c r="G77" s="280"/>
      <c r="H77" s="321"/>
      <c r="I77" s="323"/>
      <c r="J77" s="282"/>
      <c r="K77" s="287"/>
      <c r="L77" s="315"/>
      <c r="M77" s="340"/>
      <c r="N77" s="13"/>
      <c r="O77" s="13"/>
      <c r="P77" s="50"/>
      <c r="T77" s="273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278"/>
      <c r="AZ77" s="278"/>
      <c r="BA77" s="278"/>
      <c r="BB77" s="278"/>
      <c r="BC77" s="278"/>
      <c r="BD77" s="278"/>
      <c r="BE77" s="278"/>
      <c r="BF77" s="278"/>
    </row>
    <row r="78" spans="2:58" ht="14.4" hidden="1" thickBot="1">
      <c r="B78" s="33"/>
      <c r="C78" s="311"/>
      <c r="D78" s="280"/>
      <c r="E78" s="280"/>
      <c r="F78" s="280"/>
      <c r="G78" s="280"/>
      <c r="H78" s="353"/>
      <c r="I78" s="354"/>
      <c r="J78" s="52"/>
      <c r="K78" s="52"/>
      <c r="L78" s="53"/>
      <c r="M78" s="55"/>
      <c r="N78" s="77"/>
      <c r="O78" s="13"/>
      <c r="P78" s="56"/>
    </row>
    <row r="79" spans="2:58" ht="14.4" thickBot="1">
      <c r="B79" s="58"/>
      <c r="C79" s="310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9"/>
      <c r="O79" s="56"/>
      <c r="P79" s="60"/>
    </row>
    <row r="80" spans="2:58" ht="14.4" thickBot="1">
      <c r="B80" s="610" t="s">
        <v>55</v>
      </c>
      <c r="C80" s="611"/>
      <c r="D80" s="611"/>
      <c r="E80" s="611"/>
      <c r="F80" s="612"/>
      <c r="G80" s="610" t="s">
        <v>56</v>
      </c>
      <c r="H80" s="611"/>
      <c r="I80" s="611"/>
      <c r="J80" s="612"/>
      <c r="K80" s="610" t="s">
        <v>51</v>
      </c>
      <c r="L80" s="611"/>
      <c r="M80" s="611"/>
      <c r="N80" s="613"/>
      <c r="O80" s="56"/>
      <c r="P80" s="50"/>
    </row>
    <row r="81" spans="2:16">
      <c r="B81" s="61" t="s">
        <v>17</v>
      </c>
      <c r="C81" s="62" t="s">
        <v>36</v>
      </c>
      <c r="D81" s="62" t="s">
        <v>37</v>
      </c>
      <c r="E81" s="62" t="s">
        <v>38</v>
      </c>
      <c r="F81" s="63" t="s">
        <v>39</v>
      </c>
      <c r="G81" s="62" t="s">
        <v>36</v>
      </c>
      <c r="H81" s="62" t="s">
        <v>37</v>
      </c>
      <c r="I81" s="62" t="s">
        <v>38</v>
      </c>
      <c r="J81" s="63" t="s">
        <v>39</v>
      </c>
      <c r="K81" s="62" t="s">
        <v>36</v>
      </c>
      <c r="L81" s="62" t="s">
        <v>37</v>
      </c>
      <c r="M81" s="62" t="s">
        <v>38</v>
      </c>
      <c r="N81" s="63" t="s">
        <v>39</v>
      </c>
      <c r="O81" s="56"/>
      <c r="P81" s="64"/>
    </row>
    <row r="82" spans="2:16">
      <c r="B82" s="29" t="s">
        <v>6</v>
      </c>
      <c r="C82" s="65">
        <f>L72</f>
        <v>7.1232876712328697</v>
      </c>
      <c r="D82" s="76">
        <v>8.851993992991817</v>
      </c>
      <c r="E82" s="76"/>
      <c r="F82" s="66">
        <v>4.8</v>
      </c>
      <c r="G82" s="65">
        <f>[23]January_2025!$T$11</f>
        <v>5.9121813979970987</v>
      </c>
      <c r="H82" s="76">
        <v>10.305764255799362</v>
      </c>
      <c r="I82" s="76"/>
      <c r="J82" s="66">
        <v>4.8</v>
      </c>
      <c r="K82" s="67">
        <f>K72</f>
        <v>1.3084210526315789</v>
      </c>
      <c r="L82" s="194">
        <v>0.97232456140350876</v>
      </c>
      <c r="M82" s="194"/>
      <c r="N82" s="68">
        <v>1</v>
      </c>
      <c r="O82" s="56"/>
      <c r="P82" s="69"/>
    </row>
    <row r="83" spans="2:16">
      <c r="B83" s="33" t="s">
        <v>9</v>
      </c>
      <c r="C83" s="65"/>
      <c r="D83" s="76">
        <v>6.7850094667561489</v>
      </c>
      <c r="E83" s="76"/>
      <c r="F83" s="66">
        <v>4.8</v>
      </c>
      <c r="G83" s="65"/>
      <c r="H83" s="76">
        <v>11.587687428344005</v>
      </c>
      <c r="I83" s="76"/>
      <c r="J83" s="66">
        <v>4.8</v>
      </c>
      <c r="K83" s="67"/>
      <c r="L83" s="194">
        <v>1.0883040935672514</v>
      </c>
      <c r="M83" s="194"/>
      <c r="N83" s="68">
        <v>1</v>
      </c>
      <c r="P83" s="69"/>
    </row>
    <row r="84" spans="2:16">
      <c r="B84" s="34" t="s">
        <v>40</v>
      </c>
      <c r="C84" s="65"/>
      <c r="D84" s="76">
        <v>7.5530586766541949</v>
      </c>
      <c r="E84" s="76"/>
      <c r="F84" s="66">
        <v>5.5</v>
      </c>
      <c r="G84" s="65"/>
      <c r="H84" s="76">
        <v>2.6473552031086438</v>
      </c>
      <c r="I84" s="76"/>
      <c r="J84" s="66">
        <v>5.5</v>
      </c>
      <c r="K84" s="67"/>
      <c r="L84" s="194">
        <v>1.0392982456140349</v>
      </c>
      <c r="M84" s="194"/>
      <c r="N84" s="68">
        <v>1</v>
      </c>
      <c r="P84" s="69"/>
    </row>
    <row r="85" spans="2:16">
      <c r="B85" s="22" t="s">
        <v>33</v>
      </c>
      <c r="C85" s="65"/>
      <c r="D85" s="76">
        <v>2.2380467955239092</v>
      </c>
      <c r="E85" s="76"/>
      <c r="F85" s="66">
        <v>3.3</v>
      </c>
      <c r="G85" s="65"/>
      <c r="H85" s="76">
        <v>5.2472220688473969</v>
      </c>
      <c r="I85" s="76"/>
      <c r="J85" s="66">
        <v>3.3</v>
      </c>
      <c r="K85" s="67"/>
      <c r="L85" s="194">
        <v>0.67438596491228064</v>
      </c>
      <c r="M85" s="194"/>
      <c r="N85" s="68">
        <v>1</v>
      </c>
      <c r="P85" s="69"/>
    </row>
    <row r="86" spans="2:16">
      <c r="B86" s="35" t="s">
        <v>29</v>
      </c>
      <c r="C86" s="65"/>
      <c r="D86" s="76"/>
      <c r="E86" s="76"/>
      <c r="F86" s="66">
        <v>3.3</v>
      </c>
      <c r="G86" s="283"/>
      <c r="H86" s="76"/>
      <c r="I86" s="76"/>
      <c r="J86" s="66">
        <v>3</v>
      </c>
      <c r="K86" s="67"/>
      <c r="L86" s="194"/>
      <c r="M86" s="194"/>
      <c r="N86" s="68">
        <v>1</v>
      </c>
      <c r="P86" s="69"/>
    </row>
    <row r="87" spans="2:16">
      <c r="B87" s="36" t="s">
        <v>15</v>
      </c>
      <c r="C87" s="283"/>
      <c r="D87" s="76"/>
      <c r="E87" s="76"/>
      <c r="F87" s="70">
        <f>[21]May_2022!$M$43</f>
        <v>3.4878406700073312</v>
      </c>
      <c r="G87" s="283"/>
      <c r="H87" s="76"/>
      <c r="I87" s="76"/>
      <c r="J87" s="70">
        <v>5.5</v>
      </c>
      <c r="K87" s="67"/>
      <c r="L87" s="194"/>
      <c r="M87" s="194"/>
      <c r="N87" s="68">
        <v>1</v>
      </c>
      <c r="P87" s="69"/>
    </row>
    <row r="88" spans="2:16">
      <c r="B88" s="37" t="s">
        <v>16</v>
      </c>
      <c r="C88" s="65"/>
      <c r="D88" s="76"/>
      <c r="E88" s="76"/>
      <c r="F88" s="70">
        <v>3.3</v>
      </c>
      <c r="G88" s="283"/>
      <c r="H88" s="76"/>
      <c r="I88" s="76"/>
      <c r="J88" s="70">
        <v>3.3</v>
      </c>
      <c r="K88" s="67"/>
      <c r="L88" s="194"/>
      <c r="M88" s="194"/>
      <c r="N88" s="71">
        <v>1</v>
      </c>
      <c r="P88" s="69"/>
    </row>
    <row r="89" spans="2:16" ht="14.4" thickBot="1">
      <c r="B89" s="38" t="s">
        <v>127</v>
      </c>
      <c r="C89" s="65"/>
      <c r="D89" s="76"/>
      <c r="E89" s="76"/>
      <c r="F89" s="72">
        <v>7.5</v>
      </c>
      <c r="G89" s="73"/>
      <c r="H89" s="76"/>
      <c r="I89" s="76"/>
      <c r="J89" s="72">
        <v>7.5</v>
      </c>
      <c r="K89" s="67"/>
      <c r="L89" s="194"/>
      <c r="M89" s="194"/>
      <c r="N89" s="71">
        <v>1</v>
      </c>
      <c r="P89" s="69"/>
    </row>
    <row r="90" spans="2:16">
      <c r="C90" s="65"/>
      <c r="D90" s="76">
        <v>6.7275556802816645</v>
      </c>
      <c r="E90" s="76"/>
      <c r="F90" s="342">
        <v>4.5</v>
      </c>
      <c r="G90" s="74"/>
      <c r="H90" s="76">
        <v>6.9593481484924711</v>
      </c>
      <c r="I90" s="76"/>
      <c r="J90" s="343">
        <v>4.5</v>
      </c>
      <c r="K90" s="67"/>
      <c r="L90" s="194">
        <v>0.80685146198830426</v>
      </c>
      <c r="M90" s="194"/>
      <c r="N90" s="387">
        <v>1</v>
      </c>
      <c r="O90" s="74"/>
      <c r="P90" s="75"/>
    </row>
    <row r="95" spans="2:16">
      <c r="F95" s="316"/>
    </row>
    <row r="103" spans="30:30">
      <c r="AD103" s="276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41:N41"/>
    <mergeCell ref="D42:E42"/>
    <mergeCell ref="B43:B54"/>
    <mergeCell ref="D43:E44"/>
    <mergeCell ref="D45:E46"/>
    <mergeCell ref="D47:E48"/>
    <mergeCell ref="D49:E50"/>
    <mergeCell ref="L56:N56"/>
    <mergeCell ref="D57:E58"/>
    <mergeCell ref="D59:E60"/>
    <mergeCell ref="D61:E62"/>
    <mergeCell ref="D63:E64"/>
    <mergeCell ref="E70:E71"/>
    <mergeCell ref="F70:F71"/>
    <mergeCell ref="B55:B64"/>
    <mergeCell ref="D55:E56"/>
    <mergeCell ref="J55:K55"/>
    <mergeCell ref="M70:M71"/>
    <mergeCell ref="B80:F80"/>
    <mergeCell ref="G80:J80"/>
    <mergeCell ref="K80:N80"/>
    <mergeCell ref="D51:E52"/>
    <mergeCell ref="D53:E54"/>
    <mergeCell ref="G70:G71"/>
    <mergeCell ref="H70:H71"/>
    <mergeCell ref="I70:I71"/>
    <mergeCell ref="J70:J71"/>
    <mergeCell ref="K70:K71"/>
    <mergeCell ref="L70:L71"/>
    <mergeCell ref="D65:E65"/>
    <mergeCell ref="B70:B71"/>
    <mergeCell ref="C70:C71"/>
    <mergeCell ref="D70:D71"/>
  </mergeCells>
  <conditionalFormatting sqref="B65:B66">
    <cfRule type="cellIs" dxfId="1549" priority="206" operator="notBetween">
      <formula>#REF!</formula>
      <formula>#REF!</formula>
    </cfRule>
  </conditionalFormatting>
  <conditionalFormatting sqref="C69">
    <cfRule type="cellIs" dxfId="1548" priority="238" stopIfTrue="1" operator="lessThan">
      <formula>96</formula>
    </cfRule>
    <cfRule type="cellIs" dxfId="1547" priority="239" stopIfTrue="1" operator="greaterThan">
      <formula>100</formula>
    </cfRule>
  </conditionalFormatting>
  <conditionalFormatting sqref="C82">
    <cfRule type="cellIs" dxfId="1546" priority="125" stopIfTrue="1" operator="greaterThan">
      <formula>$F82</formula>
    </cfRule>
  </conditionalFormatting>
  <conditionalFormatting sqref="C82:C83">
    <cfRule type="cellIs" dxfId="1545" priority="126" stopIfTrue="1" operator="lessThanOrEqual">
      <formula>0</formula>
    </cfRule>
  </conditionalFormatting>
  <conditionalFormatting sqref="C83">
    <cfRule type="cellIs" dxfId="1544" priority="242" stopIfTrue="1" operator="greaterThan">
      <formula>$F82</formula>
    </cfRule>
  </conditionalFormatting>
  <conditionalFormatting sqref="C84:C86">
    <cfRule type="cellIs" dxfId="1543" priority="156" stopIfTrue="1" operator="greaterThan">
      <formula>$F84</formula>
    </cfRule>
  </conditionalFormatting>
  <conditionalFormatting sqref="C84:C87">
    <cfRule type="cellIs" dxfId="1542" priority="179" stopIfTrue="1" operator="lessThanOrEqual">
      <formula>0</formula>
    </cfRule>
  </conditionalFormatting>
  <conditionalFormatting sqref="C87">
    <cfRule type="cellIs" dxfId="1541" priority="178" stopIfTrue="1" operator="greaterThan">
      <formula>$J87</formula>
    </cfRule>
  </conditionalFormatting>
  <conditionalFormatting sqref="C93:C97">
    <cfRule type="cellIs" dxfId="1540" priority="230" stopIfTrue="1" operator="lessThanOrEqual">
      <formula>0</formula>
    </cfRule>
  </conditionalFormatting>
  <conditionalFormatting sqref="C94:C97">
    <cfRule type="cellIs" dxfId="1539" priority="229" stopIfTrue="1" operator="greaterThan">
      <formula>$F$93</formula>
    </cfRule>
  </conditionalFormatting>
  <conditionalFormatting sqref="C99">
    <cfRule type="cellIs" dxfId="1538" priority="232" stopIfTrue="1" operator="lessThanOrEqual">
      <formula>0</formula>
    </cfRule>
    <cfRule type="cellIs" dxfId="1537" priority="231" stopIfTrue="1" operator="greaterThan">
      <formula>$F$93</formula>
    </cfRule>
  </conditionalFormatting>
  <conditionalFormatting sqref="C93:D93 D95:D101">
    <cfRule type="cellIs" dxfId="1536" priority="224" stopIfTrue="1" operator="greaterThan">
      <formula>4.5</formula>
    </cfRule>
  </conditionalFormatting>
  <conditionalFormatting sqref="D65:D66">
    <cfRule type="cellIs" dxfId="1535" priority="207" operator="notBetween">
      <formula>#REF!</formula>
      <formula>#REF!</formula>
    </cfRule>
  </conditionalFormatting>
  <conditionalFormatting sqref="D82:D89">
    <cfRule type="cellIs" dxfId="1534" priority="193" stopIfTrue="1" operator="lessThanOrEqual">
      <formula>0</formula>
    </cfRule>
  </conditionalFormatting>
  <conditionalFormatting sqref="D90">
    <cfRule type="cellIs" dxfId="1533" priority="192" stopIfTrue="1" operator="lessThanOrEqual">
      <formula>0</formula>
    </cfRule>
  </conditionalFormatting>
  <conditionalFormatting sqref="D93 D95:D101">
    <cfRule type="cellIs" dxfId="1532" priority="225" stopIfTrue="1" operator="lessThanOrEqual">
      <formula>0</formula>
    </cfRule>
  </conditionalFormatting>
  <conditionalFormatting sqref="D94">
    <cfRule type="cellIs" dxfId="1531" priority="217" stopIfTrue="1" operator="lessThanOrEqual">
      <formula>0</formula>
    </cfRule>
    <cfRule type="cellIs" dxfId="1530" priority="216" stopIfTrue="1" operator="greaterThan">
      <formula>$F$93</formula>
    </cfRule>
  </conditionalFormatting>
  <conditionalFormatting sqref="D82:E90">
    <cfRule type="cellIs" dxfId="1529" priority="185" stopIfTrue="1" operator="greaterThan">
      <formula>$F82</formula>
    </cfRule>
  </conditionalFormatting>
  <conditionalFormatting sqref="E10:E40">
    <cfRule type="cellIs" dxfId="1528" priority="11" operator="lessThan">
      <formula>48</formula>
    </cfRule>
  </conditionalFormatting>
  <conditionalFormatting sqref="E69">
    <cfRule type="cellIs" dxfId="1527" priority="219" stopIfTrue="1" operator="greaterThan">
      <formula>100</formula>
    </cfRule>
    <cfRule type="cellIs" dxfId="1526" priority="218" stopIfTrue="1" operator="lessThan">
      <formula>96.8</formula>
    </cfRule>
  </conditionalFormatting>
  <conditionalFormatting sqref="E82:E90">
    <cfRule type="cellIs" dxfId="1525" priority="186" stopIfTrue="1" operator="lessThanOrEqual">
      <formula>0</formula>
    </cfRule>
  </conditionalFormatting>
  <conditionalFormatting sqref="E93:E101">
    <cfRule type="cellIs" dxfId="1524" priority="211" stopIfTrue="1" operator="lessThanOrEqual">
      <formula>0</formula>
    </cfRule>
    <cfRule type="cellIs" dxfId="1523" priority="210" stopIfTrue="1" operator="greaterThan">
      <formula>4.5</formula>
    </cfRule>
  </conditionalFormatting>
  <conditionalFormatting sqref="E68:F69">
    <cfRule type="cellIs" dxfId="1522" priority="220" stopIfTrue="1" operator="lessThan">
      <formula>96.5</formula>
    </cfRule>
    <cfRule type="cellIs" dxfId="1521" priority="221" stopIfTrue="1" operator="greaterThan">
      <formula>100</formula>
    </cfRule>
  </conditionalFormatting>
  <conditionalFormatting sqref="F10:F26">
    <cfRule type="cellIs" dxfId="1520" priority="10" operator="greaterThan">
      <formula>60</formula>
    </cfRule>
  </conditionalFormatting>
  <conditionalFormatting sqref="F27">
    <cfRule type="cellIs" dxfId="1519" priority="346" operator="greaterThan">
      <formula>$AA64</formula>
    </cfRule>
  </conditionalFormatting>
  <conditionalFormatting sqref="F27:F28 F37:F40">
    <cfRule type="cellIs" dxfId="1518" priority="112" operator="greaterThan">
      <formula>$AA27</formula>
    </cfRule>
  </conditionalFormatting>
  <conditionalFormatting sqref="F28 F37:F40">
    <cfRule type="cellIs" dxfId="1517" priority="315" operator="greaterThan">
      <formula>$AA67</formula>
    </cfRule>
  </conditionalFormatting>
  <conditionalFormatting sqref="F29:F36">
    <cfRule type="cellIs" dxfId="1516" priority="24" operator="greaterThan">
      <formula>60</formula>
    </cfRule>
  </conditionalFormatting>
  <conditionalFormatting sqref="F69">
    <cfRule type="cellIs" dxfId="1515" priority="236" stopIfTrue="1" operator="lessThan">
      <formula>96.8</formula>
    </cfRule>
    <cfRule type="cellIs" dxfId="1514" priority="237" stopIfTrue="1" operator="greaterThan">
      <formula>100</formula>
    </cfRule>
  </conditionalFormatting>
  <conditionalFormatting sqref="F90">
    <cfRule type="cellIs" dxfId="1513" priority="187" stopIfTrue="1" operator="greaterThan">
      <formula>$F90</formula>
    </cfRule>
    <cfRule type="cellIs" dxfId="1512" priority="188" stopIfTrue="1" operator="lessThanOrEqual">
      <formula>0</formula>
    </cfRule>
  </conditionalFormatting>
  <conditionalFormatting sqref="G82:G83 C88:C90">
    <cfRule type="cellIs" dxfId="1511" priority="194" stopIfTrue="1" operator="greaterThan">
      <formula>$F82</formula>
    </cfRule>
    <cfRule type="cellIs" dxfId="1510" priority="195" stopIfTrue="1" operator="lessThanOrEqual">
      <formula>0</formula>
    </cfRule>
  </conditionalFormatting>
  <conditionalFormatting sqref="G82:G83">
    <cfRule type="cellIs" dxfId="1509" priority="135" stopIfTrue="1" operator="lessThanOrEqual">
      <formula>0</formula>
    </cfRule>
    <cfRule type="cellIs" dxfId="1508" priority="134" stopIfTrue="1" operator="greaterThan">
      <formula>$F82</formula>
    </cfRule>
  </conditionalFormatting>
  <conditionalFormatting sqref="G84">
    <cfRule type="cellIs" dxfId="1507" priority="240" stopIfTrue="1" operator="greaterThan">
      <formula>$F83</formula>
    </cfRule>
    <cfRule type="cellIs" dxfId="1506" priority="241" stopIfTrue="1" operator="lessThanOrEqual">
      <formula>0</formula>
    </cfRule>
  </conditionalFormatting>
  <conditionalFormatting sqref="G85">
    <cfRule type="cellIs" dxfId="1505" priority="189" stopIfTrue="1" operator="greaterThan">
      <formula>$F85</formula>
    </cfRule>
    <cfRule type="cellIs" dxfId="1504" priority="190" stopIfTrue="1" operator="lessThanOrEqual">
      <formula>0</formula>
    </cfRule>
  </conditionalFormatting>
  <conditionalFormatting sqref="G86:G89">
    <cfRule type="cellIs" dxfId="1503" priority="198" stopIfTrue="1" operator="lessThanOrEqual">
      <formula>0</formula>
    </cfRule>
    <cfRule type="cellIs" dxfId="1502" priority="197" stopIfTrue="1" operator="greaterThan">
      <formula>$J86</formula>
    </cfRule>
  </conditionalFormatting>
  <conditionalFormatting sqref="G90">
    <cfRule type="cellIs" dxfId="1501" priority="196" operator="greaterThan">
      <formula>4.5</formula>
    </cfRule>
  </conditionalFormatting>
  <conditionalFormatting sqref="G95:G100 C98 C100">
    <cfRule type="cellIs" dxfId="1500" priority="234" stopIfTrue="1" operator="lessThanOrEqual">
      <formula>0</formula>
    </cfRule>
    <cfRule type="cellIs" dxfId="1499" priority="233" stopIfTrue="1" operator="greaterThan">
      <formula>4.5</formula>
    </cfRule>
  </conditionalFormatting>
  <conditionalFormatting sqref="G10:H40">
    <cfRule type="expression" dxfId="1498" priority="14">
      <formula>IF(+(IF(G10&lt;#REF!,0,IF(G10&gt;#REF!,0,1)))=0,1)</formula>
    </cfRule>
  </conditionalFormatting>
  <conditionalFormatting sqref="G94:H94">
    <cfRule type="cellIs" dxfId="1497" priority="215" stopIfTrue="1" operator="lessThanOrEqual">
      <formula>0</formula>
    </cfRule>
    <cfRule type="cellIs" dxfId="1496" priority="214" stopIfTrue="1" operator="greaterThan">
      <formula>$F$93</formula>
    </cfRule>
  </conditionalFormatting>
  <conditionalFormatting sqref="H44:H54 G55:H56 G57:G66">
    <cfRule type="cellIs" dxfId="1495" priority="212" stopIfTrue="1" operator="greaterThan">
      <formula>0</formula>
    </cfRule>
  </conditionalFormatting>
  <conditionalFormatting sqref="H72">
    <cfRule type="cellIs" dxfId="1494" priority="115" stopIfTrue="1" operator="greaterThan">
      <formula>#REF!</formula>
    </cfRule>
    <cfRule type="cellIs" dxfId="1493" priority="123" stopIfTrue="1" operator="greaterThan">
      <formula>#REF!</formula>
    </cfRule>
    <cfRule type="cellIs" dxfId="1492" priority="124" stopIfTrue="1" operator="lessThanOrEqual">
      <formula>0</formula>
    </cfRule>
    <cfRule type="cellIs" dxfId="1491" priority="114" stopIfTrue="1" operator="lessThanOrEqual">
      <formula>0</formula>
    </cfRule>
  </conditionalFormatting>
  <conditionalFormatting sqref="H73">
    <cfRule type="cellIs" dxfId="1490" priority="155" stopIfTrue="1" operator="lessThanOrEqual">
      <formula>0</formula>
    </cfRule>
    <cfRule type="cellIs" dxfId="1489" priority="143" stopIfTrue="1" operator="lessThanOrEqual">
      <formula>0</formula>
    </cfRule>
    <cfRule type="cellIs" dxfId="1488" priority="144" stopIfTrue="1" operator="greaterThan">
      <formula>$F$81</formula>
    </cfRule>
    <cfRule type="cellIs" dxfId="1487" priority="153" stopIfTrue="1" operator="lessThanOrEqual">
      <formula>0</formula>
    </cfRule>
    <cfRule type="cellIs" dxfId="1486" priority="152" stopIfTrue="1" operator="greaterThan">
      <formula>$F$84</formula>
    </cfRule>
    <cfRule type="cellIs" dxfId="1485" priority="154" stopIfTrue="1" operator="greaterThan">
      <formula>$F$82</formula>
    </cfRule>
  </conditionalFormatting>
  <conditionalFormatting sqref="H74">
    <cfRule type="cellIs" dxfId="1484" priority="89" stopIfTrue="1" operator="lessThanOrEqual">
      <formula>0</formula>
    </cfRule>
    <cfRule type="cellIs" dxfId="1483" priority="98" stopIfTrue="1" operator="greaterThan">
      <formula>#REF!</formula>
    </cfRule>
    <cfRule type="cellIs" dxfId="1482" priority="90" stopIfTrue="1" operator="greaterThan">
      <formula>#REF!</formula>
    </cfRule>
  </conditionalFormatting>
  <conditionalFormatting sqref="H74:H75">
    <cfRule type="cellIs" dxfId="1481" priority="99" stopIfTrue="1" operator="lessThanOrEqual">
      <formula>0</formula>
    </cfRule>
  </conditionalFormatting>
  <conditionalFormatting sqref="H75">
    <cfRule type="cellIs" dxfId="1480" priority="102" stopIfTrue="1" operator="greaterThan">
      <formula>#REF!</formula>
    </cfRule>
    <cfRule type="cellIs" dxfId="1479" priority="110" stopIfTrue="1" operator="greaterThan">
      <formula>#REF!</formula>
    </cfRule>
    <cfRule type="cellIs" dxfId="1478" priority="111" stopIfTrue="1" operator="lessThanOrEqual">
      <formula>0</formula>
    </cfRule>
  </conditionalFormatting>
  <conditionalFormatting sqref="H76:H77">
    <cfRule type="cellIs" dxfId="1477" priority="138" stopIfTrue="1" operator="lessThanOrEqual">
      <formula>0</formula>
    </cfRule>
    <cfRule type="cellIs" dxfId="1476" priority="175" stopIfTrue="1" operator="lessThanOrEqual">
      <formula>0</formula>
    </cfRule>
    <cfRule type="cellIs" dxfId="1475" priority="164" stopIfTrue="1" operator="greaterThan">
      <formula>$F$82</formula>
    </cfRule>
    <cfRule type="cellIs" dxfId="1474" priority="174" stopIfTrue="1" operator="greaterThan">
      <formula>$F$83</formula>
    </cfRule>
    <cfRule type="cellIs" dxfId="1473" priority="172" stopIfTrue="1" operator="greaterThan">
      <formula>$F$85</formula>
    </cfRule>
    <cfRule type="cellIs" dxfId="1472" priority="173" stopIfTrue="1" operator="lessThanOrEqual">
      <formula>0</formula>
    </cfRule>
  </conditionalFormatting>
  <conditionalFormatting sqref="H78">
    <cfRule type="cellIs" dxfId="1471" priority="202" stopIfTrue="1" operator="greaterThan">
      <formula>$F$79</formula>
    </cfRule>
    <cfRule type="cellIs" dxfId="1470" priority="203" stopIfTrue="1" operator="lessThanOrEqual">
      <formula>0</formula>
    </cfRule>
    <cfRule type="cellIs" dxfId="1469" priority="204" stopIfTrue="1" operator="greaterThan">
      <formula>$F$75</formula>
    </cfRule>
    <cfRule type="cellIs" dxfId="1468" priority="205" stopIfTrue="1" operator="lessThanOrEqual">
      <formula>0</formula>
    </cfRule>
  </conditionalFormatting>
  <conditionalFormatting sqref="H82:H89">
    <cfRule type="cellIs" dxfId="1467" priority="176" stopIfTrue="1" operator="greaterThan">
      <formula>$J82</formula>
    </cfRule>
    <cfRule type="cellIs" dxfId="1466" priority="177" stopIfTrue="1" operator="lessThanOrEqual">
      <formula>0</formula>
    </cfRule>
  </conditionalFormatting>
  <conditionalFormatting sqref="H90">
    <cfRule type="cellIs" dxfId="1465" priority="182" operator="greaterThan">
      <formula>5.3</formula>
    </cfRule>
  </conditionalFormatting>
  <conditionalFormatting sqref="H93 H95:H101">
    <cfRule type="cellIs" dxfId="1464" priority="226" stopIfTrue="1" operator="greaterThan">
      <formula>4.5</formula>
    </cfRule>
    <cfRule type="cellIs" dxfId="1463" priority="227" stopIfTrue="1" operator="lessThanOrEqual">
      <formula>0</formula>
    </cfRule>
  </conditionalFormatting>
  <conditionalFormatting sqref="H72:I72">
    <cfRule type="cellIs" dxfId="1462" priority="116" stopIfTrue="1" operator="lessThanOrEqual">
      <formula>0</formula>
    </cfRule>
    <cfRule type="cellIs" dxfId="1461" priority="113" stopIfTrue="1" operator="greaterThan">
      <formula>#REF!</formula>
    </cfRule>
    <cfRule type="cellIs" dxfId="1460" priority="117" stopIfTrue="1" operator="greaterThan">
      <formula>#REF!</formula>
    </cfRule>
    <cfRule type="cellIs" dxfId="1459" priority="122" stopIfTrue="1" operator="lessThanOrEqual">
      <formula>0</formula>
    </cfRule>
  </conditionalFormatting>
  <conditionalFormatting sqref="H73:I73">
    <cfRule type="cellIs" dxfId="1458" priority="145" stopIfTrue="1" operator="lessThanOrEqual">
      <formula>0</formula>
    </cfRule>
    <cfRule type="cellIs" dxfId="1457" priority="142" stopIfTrue="1" operator="greaterThan">
      <formula>$F$83</formula>
    </cfRule>
  </conditionalFormatting>
  <conditionalFormatting sqref="H74:I74">
    <cfRule type="cellIs" dxfId="1456" priority="91" stopIfTrue="1" operator="lessThanOrEqual">
      <formula>0</formula>
    </cfRule>
    <cfRule type="cellIs" dxfId="1455" priority="97" stopIfTrue="1" operator="lessThanOrEqual">
      <formula>0</formula>
    </cfRule>
    <cfRule type="cellIs" dxfId="1454" priority="88" stopIfTrue="1" operator="greaterThan">
      <formula>#REF!</formula>
    </cfRule>
  </conditionalFormatting>
  <conditionalFormatting sqref="H74:I75">
    <cfRule type="cellIs" dxfId="1453" priority="92" stopIfTrue="1" operator="greaterThan">
      <formula>#REF!</formula>
    </cfRule>
  </conditionalFormatting>
  <conditionalFormatting sqref="H75:I75">
    <cfRule type="cellIs" dxfId="1452" priority="109" stopIfTrue="1" operator="lessThanOrEqual">
      <formula>0</formula>
    </cfRule>
    <cfRule type="cellIs" dxfId="1451" priority="106" stopIfTrue="1" operator="greaterThan">
      <formula>#REF!</formula>
    </cfRule>
    <cfRule type="cellIs" dxfId="1450" priority="103" stopIfTrue="1" operator="lessThanOrEqual">
      <formula>0</formula>
    </cfRule>
  </conditionalFormatting>
  <conditionalFormatting sqref="H76:I76">
    <cfRule type="cellIs" dxfId="1449" priority="165" stopIfTrue="1" operator="lessThanOrEqual">
      <formula>0</formula>
    </cfRule>
  </conditionalFormatting>
  <conditionalFormatting sqref="H76:I77">
    <cfRule type="cellIs" dxfId="1448" priority="136" stopIfTrue="1" operator="greaterThan">
      <formula>$F$84</formula>
    </cfRule>
  </conditionalFormatting>
  <conditionalFormatting sqref="H77:I77">
    <cfRule type="cellIs" dxfId="1447" priority="137" stopIfTrue="1" operator="lessThanOrEqual">
      <formula>0</formula>
    </cfRule>
  </conditionalFormatting>
  <conditionalFormatting sqref="I27:I28 I37:I40">
    <cfRule type="cellIs" dxfId="1446" priority="127" operator="lessThan">
      <formula>97.8</formula>
    </cfRule>
    <cfRule type="cellIs" dxfId="1445" priority="130" operator="lessThan">
      <formula>98</formula>
    </cfRule>
  </conditionalFormatting>
  <conditionalFormatting sqref="I72">
    <cfRule type="cellIs" dxfId="1444" priority="121" stopIfTrue="1" operator="greaterThan">
      <formula>#REF!</formula>
    </cfRule>
    <cfRule type="cellIs" dxfId="1443" priority="120" stopIfTrue="1" operator="lessThanOrEqual">
      <formula>0</formula>
    </cfRule>
    <cfRule type="cellIs" dxfId="1442" priority="119" stopIfTrue="1" operator="greaterThan">
      <formula>#REF!</formula>
    </cfRule>
    <cfRule type="cellIs" dxfId="1441" priority="118" stopIfTrue="1" operator="lessThanOrEqual">
      <formula>0</formula>
    </cfRule>
  </conditionalFormatting>
  <conditionalFormatting sqref="I73">
    <cfRule type="cellIs" dxfId="1440" priority="151" stopIfTrue="1" operator="lessThanOrEqual">
      <formula>0</formula>
    </cfRule>
    <cfRule type="cellIs" dxfId="1439" priority="150" stopIfTrue="1" operator="greaterThan">
      <formula>$F$81</formula>
    </cfRule>
    <cfRule type="cellIs" dxfId="1438" priority="148" stopIfTrue="1" operator="greaterThan">
      <formula>$F$83</formula>
    </cfRule>
    <cfRule type="cellIs" dxfId="1437" priority="147" stopIfTrue="1" operator="lessThanOrEqual">
      <formula>0</formula>
    </cfRule>
    <cfRule type="cellIs" dxfId="1436" priority="146" stopIfTrue="1" operator="greaterThan">
      <formula>$F$81</formula>
    </cfRule>
    <cfRule type="cellIs" dxfId="1435" priority="149" stopIfTrue="1" operator="lessThanOrEqual">
      <formula>0</formula>
    </cfRule>
  </conditionalFormatting>
  <conditionalFormatting sqref="I74">
    <cfRule type="cellIs" dxfId="1434" priority="96" stopIfTrue="1" operator="greaterThan">
      <formula>#REF!</formula>
    </cfRule>
    <cfRule type="cellIs" dxfId="1433" priority="95" stopIfTrue="1" operator="lessThanOrEqual">
      <formula>0</formula>
    </cfRule>
    <cfRule type="cellIs" dxfId="1432" priority="94" stopIfTrue="1" operator="greaterThan">
      <formula>#REF!</formula>
    </cfRule>
    <cfRule type="cellIs" dxfId="1431" priority="93" stopIfTrue="1" operator="lessThanOrEqual">
      <formula>0</formula>
    </cfRule>
  </conditionalFormatting>
  <conditionalFormatting sqref="I75">
    <cfRule type="cellIs" dxfId="1430" priority="105" stopIfTrue="1" operator="lessThanOrEqual">
      <formula>0</formula>
    </cfRule>
    <cfRule type="cellIs" dxfId="1429" priority="108" stopIfTrue="1" operator="greaterThan">
      <formula>#REF!</formula>
    </cfRule>
    <cfRule type="cellIs" dxfId="1428" priority="107" stopIfTrue="1" operator="lessThanOrEqual">
      <formula>0</formula>
    </cfRule>
    <cfRule type="cellIs" dxfId="1427" priority="104" stopIfTrue="1" operator="greaterThan">
      <formula>#REF!</formula>
    </cfRule>
  </conditionalFormatting>
  <conditionalFormatting sqref="I76:I77">
    <cfRule type="cellIs" dxfId="1426" priority="171" stopIfTrue="1" operator="lessThanOrEqual">
      <formula>0</formula>
    </cfRule>
    <cfRule type="cellIs" dxfId="1425" priority="167" stopIfTrue="1" operator="lessThanOrEqual">
      <formula>0</formula>
    </cfRule>
    <cfRule type="cellIs" dxfId="1424" priority="169" stopIfTrue="1" operator="lessThanOrEqual">
      <formula>0</formula>
    </cfRule>
    <cfRule type="cellIs" dxfId="1423" priority="168" stopIfTrue="1" operator="greaterThan">
      <formula>$F$84</formula>
    </cfRule>
    <cfRule type="cellIs" dxfId="1422" priority="166" stopIfTrue="1" operator="greaterThan">
      <formula>$F$82</formula>
    </cfRule>
    <cfRule type="cellIs" dxfId="1421" priority="170" stopIfTrue="1" operator="greaterThan">
      <formula>$F$82</formula>
    </cfRule>
  </conditionalFormatting>
  <conditionalFormatting sqref="I82:I90">
    <cfRule type="cellIs" dxfId="1420" priority="183" stopIfTrue="1" operator="greaterThan">
      <formula>$J82</formula>
    </cfRule>
    <cfRule type="cellIs" dxfId="1419" priority="184" stopIfTrue="1" operator="lessThanOrEqual">
      <formula>0</formula>
    </cfRule>
  </conditionalFormatting>
  <conditionalFormatting sqref="I93:I101">
    <cfRule type="cellIs" dxfId="1418" priority="222" stopIfTrue="1" operator="greaterThan">
      <formula>4.5</formula>
    </cfRule>
    <cfRule type="cellIs" dxfId="1417" priority="223" stopIfTrue="1" operator="lessThanOrEqual">
      <formula>0</formula>
    </cfRule>
  </conditionalFormatting>
  <conditionalFormatting sqref="I10:J26">
    <cfRule type="cellIs" dxfId="1416" priority="3" operator="lessThan">
      <formula>97.9</formula>
    </cfRule>
  </conditionalFormatting>
  <conditionalFormatting sqref="I29:J36">
    <cfRule type="cellIs" dxfId="1415" priority="17" operator="lessThan">
      <formula>97.9</formula>
    </cfRule>
  </conditionalFormatting>
  <conditionalFormatting sqref="J27:J28 J37:J40">
    <cfRule type="cellIs" dxfId="1414" priority="128" operator="notBetween">
      <formula>98</formula>
      <formula>99.9</formula>
    </cfRule>
    <cfRule type="cellIs" dxfId="1413" priority="129" operator="lessThan">
      <formula>97.4</formula>
    </cfRule>
  </conditionalFormatting>
  <conditionalFormatting sqref="J43:J45">
    <cfRule type="cellIs" dxfId="1412" priority="157" stopIfTrue="1" operator="lessThan">
      <formula>96.8</formula>
    </cfRule>
    <cfRule type="cellIs" dxfId="1411" priority="158" stopIfTrue="1" operator="greaterThan">
      <formula>100</formula>
    </cfRule>
    <cfRule type="cellIs" dxfId="1410" priority="159" operator="lessThan">
      <formula>98</formula>
    </cfRule>
  </conditionalFormatting>
  <conditionalFormatting sqref="J43:J47">
    <cfRule type="cellIs" dxfId="1409" priority="133" operator="lessThan">
      <formula>97.4</formula>
    </cfRule>
  </conditionalFormatting>
  <conditionalFormatting sqref="J48">
    <cfRule type="cellIs" dxfId="1408" priority="160" operator="lessThan">
      <formula>98</formula>
    </cfRule>
  </conditionalFormatting>
  <conditionalFormatting sqref="J49:J51">
    <cfRule type="cellIs" dxfId="1407" priority="162" stopIfTrue="1" operator="greaterThan">
      <formula>100</formula>
    </cfRule>
    <cfRule type="cellIs" dxfId="1406" priority="161" stopIfTrue="1" operator="lessThan">
      <formula>96.8</formula>
    </cfRule>
  </conditionalFormatting>
  <conditionalFormatting sqref="J49:J52">
    <cfRule type="cellIs" dxfId="1405" priority="163" operator="lessThan">
      <formula>98</formula>
    </cfRule>
  </conditionalFormatting>
  <conditionalFormatting sqref="K10:K40">
    <cfRule type="cellIs" dxfId="1404" priority="12" operator="greaterThan">
      <formula>6.4</formula>
    </cfRule>
    <cfRule type="cellIs" dxfId="1403" priority="7" operator="greaterThan">
      <formula>6</formula>
    </cfRule>
    <cfRule type="cellIs" dxfId="1402" priority="6" operator="lessThan">
      <formula>4</formula>
    </cfRule>
  </conditionalFormatting>
  <conditionalFormatting sqref="K57:K66">
    <cfRule type="cellIs" dxfId="1401" priority="191" operator="notEqual">
      <formula>#REF!</formula>
    </cfRule>
  </conditionalFormatting>
  <conditionalFormatting sqref="K72:K77 J78:K78 K82:N90">
    <cfRule type="cellIs" dxfId="1400" priority="201" stopIfTrue="1" operator="lessThan">
      <formula>100%</formula>
    </cfRule>
  </conditionalFormatting>
  <conditionalFormatting sqref="K93:K98">
    <cfRule type="cellIs" dxfId="1399" priority="228" stopIfTrue="1" operator="lessThan">
      <formula>100%</formula>
    </cfRule>
  </conditionalFormatting>
  <conditionalFormatting sqref="K100:K101">
    <cfRule type="cellIs" dxfId="1398" priority="235" stopIfTrue="1" operator="lessThan">
      <formula>100%</formula>
    </cfRule>
  </conditionalFormatting>
  <conditionalFormatting sqref="L10:L40">
    <cfRule type="cellIs" dxfId="1397" priority="9" operator="greaterThan">
      <formula>65</formula>
    </cfRule>
    <cfRule type="cellIs" dxfId="1396" priority="8" operator="between">
      <formula>61</formula>
      <formula>65</formula>
    </cfRule>
  </conditionalFormatting>
  <conditionalFormatting sqref="L43:M54">
    <cfRule type="cellIs" dxfId="1395" priority="86" operator="lessThan">
      <formula>98</formula>
    </cfRule>
  </conditionalFormatting>
  <conditionalFormatting sqref="L58:N58">
    <cfRule type="cellIs" dxfId="1394" priority="139" operator="notEqual">
      <formula>#REF!</formula>
    </cfRule>
  </conditionalFormatting>
  <conditionalFormatting sqref="L93:N101">
    <cfRule type="cellIs" dxfId="1393" priority="213" stopIfTrue="1" operator="lessThan">
      <formula>100%</formula>
    </cfRule>
  </conditionalFormatting>
  <conditionalFormatting sqref="M10:M40">
    <cfRule type="expression" dxfId="1392" priority="1">
      <formula>IF(+(IF(M10&lt;V10,0,IF(M10&gt;W10,0,1)))=0,1)</formula>
    </cfRule>
  </conditionalFormatting>
  <conditionalFormatting sqref="M6:N6">
    <cfRule type="cellIs" dxfId="1391" priority="141" operator="greaterThanOrEqual">
      <formula>19</formula>
    </cfRule>
    <cfRule type="cellIs" dxfId="1390" priority="140" operator="greaterThanOrEqual">
      <formula>15</formula>
    </cfRule>
  </conditionalFormatting>
  <conditionalFormatting sqref="N10:N40">
    <cfRule type="expression" dxfId="1389" priority="5">
      <formula>IF(+(IF(N10&lt;X10,0,IF(N10&gt;Y10,0,1)))=0,1)</formula>
    </cfRule>
  </conditionalFormatting>
  <conditionalFormatting sqref="N27">
    <cfRule type="expression" dxfId="1388" priority="348">
      <formula>IF(+(IF(N27&lt;X69,0,IF(N27&gt;Y69,0,1)))=0,1)</formula>
    </cfRule>
    <cfRule type="expression" dxfId="1387" priority="350">
      <formula>IF(+(IF(N27&lt;X64,0,IF(N27&gt;Y64,0,1)))=0,1)</formula>
    </cfRule>
  </conditionalFormatting>
  <conditionalFormatting sqref="N28 N37:N40">
    <cfRule type="expression" dxfId="1386" priority="317">
      <formula>IF(+(IF(N28&lt;X72,0,IF(N28&gt;Y72,0,1)))=0,1)</formula>
    </cfRule>
    <cfRule type="expression" dxfId="1385" priority="319">
      <formula>IF(+(IF(N28&lt;X67,0,IF(N28&gt;Y67,0,1)))=0,1)</formula>
    </cfRule>
  </conditionalFormatting>
  <conditionalFormatting sqref="P6">
    <cfRule type="cellIs" dxfId="1384" priority="209" operator="greaterThanOrEqual">
      <formula>19</formula>
    </cfRule>
  </conditionalFormatting>
  <dataValidations disablePrompts="1" count="1">
    <dataValidation type="list" allowBlank="1" showInputMessage="1" showErrorMessage="1" sqref="S8 B40" xr:uid="{19B4AEB7-AAF7-4CE5-8283-DD8B37CCE11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5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2381-5191-4EC2-A2A6-EF3567FB7F29}">
  <sheetPr>
    <pageSetUpPr fitToPage="1"/>
  </sheetPr>
  <dimension ref="A1:BF103"/>
  <sheetViews>
    <sheetView topLeftCell="A31" zoomScale="60" zoomScaleNormal="60" workbookViewId="0">
      <selection activeCell="L94" sqref="L93:L94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45678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19"/>
      <c r="I10" s="369"/>
      <c r="J10" s="369"/>
      <c r="K10" s="282"/>
      <c r="L10" s="277"/>
      <c r="M10" s="420"/>
      <c r="N10" s="371"/>
      <c r="O10" s="372"/>
      <c r="P10" s="376"/>
      <c r="Q10" s="348"/>
      <c r="S10" s="278">
        <f t="shared" ref="S10:S40" si="0">B10</f>
        <v>0</v>
      </c>
      <c r="T10" s="297" t="e">
        <f t="shared" ref="T10:T40" si="1">VLOOKUP($B10,$S$3:$Y$9,2,FALSE)</f>
        <v>#N/A</v>
      </c>
      <c r="U10" s="297" t="e">
        <f t="shared" ref="U10:U40" si="2">VLOOKUP($B10,$S$3:$Y$9,3,FALSE)</f>
        <v>#N/A</v>
      </c>
      <c r="V10" s="298" t="e">
        <f t="shared" ref="V10:V40" si="3">VLOOKUP($B10,$S$3:$Y$9,4,FALSE)</f>
        <v>#N/A</v>
      </c>
      <c r="W10" s="298" t="e">
        <f t="shared" ref="W10:W40" si="4">VLOOKUP($B10,$S$3:$Y$9,5,FALSE)</f>
        <v>#N/A</v>
      </c>
      <c r="X10" s="298" t="e">
        <f t="shared" ref="X10:X40" si="5">VLOOKUP($B10,$S$3:$Y$9,6,FALSE)</f>
        <v>#N/A</v>
      </c>
      <c r="Y10" s="298" t="e">
        <f t="shared" ref="Y10:Y40" si="6">VLOOKUP($B10,$S$3:$Y$9,7,FALSE)</f>
        <v>#N/A</v>
      </c>
      <c r="Z10" s="298" t="e">
        <f t="shared" ref="Z10:Z40" si="7">VLOOKUP($B10,$S$3:$AA$9,8,FALSE)</f>
        <v>#N/A</v>
      </c>
      <c r="AA10" s="297" t="e">
        <f t="shared" ref="AA10:AA40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19"/>
      <c r="I11" s="369"/>
      <c r="J11" s="369"/>
      <c r="K11" s="282"/>
      <c r="L11" s="277"/>
      <c r="M11" s="420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19"/>
      <c r="I12" s="369"/>
      <c r="J12" s="369"/>
      <c r="K12" s="282"/>
      <c r="L12" s="277"/>
      <c r="M12" s="420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368"/>
      <c r="I13" s="369"/>
      <c r="J13" s="369"/>
      <c r="K13" s="282"/>
      <c r="L13" s="277"/>
      <c r="M13" s="420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368"/>
      <c r="I14" s="369"/>
      <c r="J14" s="369"/>
      <c r="K14" s="282"/>
      <c r="L14" s="277"/>
      <c r="M14" s="420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19"/>
      <c r="I15" s="369"/>
      <c r="J15" s="369"/>
      <c r="K15" s="282"/>
      <c r="L15" s="277"/>
      <c r="M15" s="420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29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9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29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6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29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6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29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6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29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6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6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customHeight="1">
      <c r="B26" s="29" t="s">
        <v>6</v>
      </c>
      <c r="C26" s="367" t="str">
        <f>[28]Brewhouse!$A140</f>
        <v>CA039</v>
      </c>
      <c r="D26" s="280">
        <f>[28]Brewhouse!$AF140</f>
        <v>52.8</v>
      </c>
      <c r="E26" s="280">
        <f>[28]Brewhouse!$AI140</f>
        <v>48.2</v>
      </c>
      <c r="F26" s="279">
        <f>[28]Brewhouse!$V140</f>
        <v>57</v>
      </c>
      <c r="G26" s="280">
        <f>[28]Brewhouse!$AG140</f>
        <v>12</v>
      </c>
      <c r="H26" s="419">
        <v>11.8</v>
      </c>
      <c r="I26" s="369">
        <f>[28]Brewhouse!$AU140</f>
        <v>92.54089949084161</v>
      </c>
      <c r="J26" s="369">
        <f>[28]Brewhouse!$AV140</f>
        <v>96.268384562593496</v>
      </c>
      <c r="K26" s="282">
        <f>[28]Brewhouse!$Q140</f>
        <v>7.9717813051146429</v>
      </c>
      <c r="L26" s="277">
        <f>[28]Brewhouse!$P140</f>
        <v>57</v>
      </c>
      <c r="M26" s="420">
        <f>[28]Brewhouse!$U140-[28]Brewhouse!$T140</f>
        <v>0.10416666666666669</v>
      </c>
      <c r="N26" s="371">
        <f>[28]Brewhouse!$Z140</f>
        <v>0.26458333333333334</v>
      </c>
      <c r="O26" s="372" t="str">
        <f>[28]Brewhouse!$AX140</f>
        <v>R.Sookram</v>
      </c>
      <c r="P26" s="376"/>
      <c r="Q26" s="348"/>
      <c r="S26" s="278" t="str">
        <f t="shared" si="0"/>
        <v>CARIB</v>
      </c>
      <c r="T26" s="297">
        <f t="shared" si="1"/>
        <v>11.6</v>
      </c>
      <c r="U26" s="297">
        <f t="shared" si="2"/>
        <v>12</v>
      </c>
      <c r="V26" s="298">
        <f t="shared" si="3"/>
        <v>0</v>
      </c>
      <c r="W26" s="298">
        <f t="shared" si="4"/>
        <v>0.118055555555556</v>
      </c>
      <c r="X26" s="298">
        <f t="shared" si="5"/>
        <v>0.22569444444444445</v>
      </c>
      <c r="Y26" s="298">
        <f t="shared" si="6"/>
        <v>0.2638888888888889</v>
      </c>
      <c r="Z26" s="298">
        <f t="shared" si="7"/>
        <v>0</v>
      </c>
      <c r="AA26" s="297">
        <f t="shared" si="8"/>
        <v>60</v>
      </c>
    </row>
    <row r="27" spans="2:27" ht="15.75" customHeight="1">
      <c r="B27" s="29" t="s">
        <v>6</v>
      </c>
      <c r="C27" s="367" t="str">
        <f>[28]Brewhouse!$A141</f>
        <v>CA040</v>
      </c>
      <c r="D27" s="280">
        <f>[28]Brewhouse!$AF141</f>
        <v>53.5</v>
      </c>
      <c r="E27" s="280">
        <f>[28]Brewhouse!$AI141</f>
        <v>49.7</v>
      </c>
      <c r="F27" s="279">
        <f>[28]Brewhouse!$V141</f>
        <v>58</v>
      </c>
      <c r="G27" s="280">
        <f>[28]Brewhouse!$AG141</f>
        <v>11.9</v>
      </c>
      <c r="H27" s="419">
        <v>11.8</v>
      </c>
      <c r="I27" s="369">
        <f>[28]Brewhouse!$AU141</f>
        <v>94.468287382263057</v>
      </c>
      <c r="J27" s="369">
        <f>[28]Brewhouse!$AV141</f>
        <v>98.273823970609541</v>
      </c>
      <c r="K27" s="282">
        <f>[28]Brewhouse!$Q141</f>
        <v>7.8928571428571459</v>
      </c>
      <c r="L27" s="277">
        <f>[28]Brewhouse!$P141</f>
        <v>61</v>
      </c>
      <c r="M27" s="420">
        <f>[28]Brewhouse!$U141-[28]Brewhouse!$T141</f>
        <v>0.10416666666666669</v>
      </c>
      <c r="N27" s="371">
        <f>[28]Brewhouse!$Z141</f>
        <v>0.26041666666666669</v>
      </c>
      <c r="O27" s="372" t="str">
        <f>[28]Brewhouse!$AX141</f>
        <v>K.Benjamin</v>
      </c>
      <c r="P27" s="376"/>
      <c r="Q27" s="348"/>
      <c r="S27" s="278" t="str">
        <f t="shared" si="0"/>
        <v>CARIB</v>
      </c>
      <c r="T27" s="297">
        <f t="shared" si="1"/>
        <v>11.6</v>
      </c>
      <c r="U27" s="297">
        <f t="shared" si="2"/>
        <v>12</v>
      </c>
      <c r="V27" s="298">
        <f t="shared" si="3"/>
        <v>0</v>
      </c>
      <c r="W27" s="298">
        <f t="shared" si="4"/>
        <v>0.118055555555556</v>
      </c>
      <c r="X27" s="298">
        <f t="shared" si="5"/>
        <v>0.22569444444444445</v>
      </c>
      <c r="Y27" s="298">
        <f t="shared" si="6"/>
        <v>0.2638888888888889</v>
      </c>
      <c r="Z27" s="298">
        <f t="shared" si="7"/>
        <v>0</v>
      </c>
      <c r="AA27" s="297">
        <f t="shared" si="8"/>
        <v>60</v>
      </c>
    </row>
    <row r="28" spans="2:27" ht="15.75" customHeight="1">
      <c r="B28" s="29" t="s">
        <v>6</v>
      </c>
      <c r="C28" s="367" t="str">
        <f>[28]Brewhouse!$A142</f>
        <v>CA041</v>
      </c>
      <c r="D28" s="280">
        <f>[28]Brewhouse!$AF142</f>
        <v>52.1</v>
      </c>
      <c r="E28" s="280">
        <f>[28]Brewhouse!$AI142</f>
        <v>48.9</v>
      </c>
      <c r="F28" s="279">
        <f>[28]Brewhouse!$V142</f>
        <v>58</v>
      </c>
      <c r="G28" s="280">
        <f>[28]Brewhouse!$AG142</f>
        <v>11.6</v>
      </c>
      <c r="H28" s="419">
        <v>11.8</v>
      </c>
      <c r="I28" s="369">
        <f>[28]Brewhouse!$AU142</f>
        <v>90.693632481516147</v>
      </c>
      <c r="J28" s="369">
        <f>[28]Brewhouse!$AV142</f>
        <v>94.504267530982659</v>
      </c>
      <c r="K28" s="282">
        <f>[28]Brewhouse!$Q142</f>
        <v>6.5818181818181776</v>
      </c>
      <c r="L28" s="277">
        <f>[28]Brewhouse!$P142</f>
        <v>62</v>
      </c>
      <c r="M28" s="420">
        <f>[28]Brewhouse!$U142-[28]Brewhouse!$T142</f>
        <v>0.10555555555555551</v>
      </c>
      <c r="N28" s="371">
        <f>[28]Brewhouse!$Z142</f>
        <v>0.26111111111111107</v>
      </c>
      <c r="O28" s="372" t="str">
        <f>[28]Brewhouse!$AX142</f>
        <v>K.Benjamin</v>
      </c>
      <c r="P28" s="370"/>
      <c r="Q28" s="348"/>
      <c r="S28" s="278" t="str">
        <f t="shared" si="0"/>
        <v>CARIB</v>
      </c>
      <c r="T28" s="297">
        <f t="shared" si="1"/>
        <v>11.6</v>
      </c>
      <c r="U28" s="297">
        <f t="shared" si="2"/>
        <v>12</v>
      </c>
      <c r="V28" s="298">
        <f t="shared" si="3"/>
        <v>0</v>
      </c>
      <c r="W28" s="298">
        <f t="shared" si="4"/>
        <v>0.118055555555556</v>
      </c>
      <c r="X28" s="298">
        <f t="shared" si="5"/>
        <v>0.22569444444444445</v>
      </c>
      <c r="Y28" s="298">
        <f t="shared" si="6"/>
        <v>0.2638888888888889</v>
      </c>
      <c r="Z28" s="298">
        <f t="shared" si="7"/>
        <v>0</v>
      </c>
      <c r="AA28" s="297">
        <f t="shared" si="8"/>
        <v>60</v>
      </c>
    </row>
    <row r="29" spans="2:27" ht="14.4">
      <c r="B29" s="29" t="s">
        <v>6</v>
      </c>
      <c r="C29" s="367" t="str">
        <f>[28]Brewhouse!$A143</f>
        <v>CA042</v>
      </c>
      <c r="D29" s="280">
        <f>[28]Brewhouse!$AF143</f>
        <v>52.9</v>
      </c>
      <c r="E29" s="280">
        <f>[28]Brewhouse!$AI143</f>
        <v>49.2</v>
      </c>
      <c r="F29" s="279">
        <f>[28]Brewhouse!$V143</f>
        <v>64</v>
      </c>
      <c r="G29" s="280">
        <f>[28]Brewhouse!$AG143</f>
        <v>11.9</v>
      </c>
      <c r="H29" s="419">
        <v>11.8</v>
      </c>
      <c r="I29" s="369">
        <f>[28]Brewhouse!$AU143</f>
        <v>93.387729203040266</v>
      </c>
      <c r="J29" s="369">
        <f>[28]Brewhouse!$AV143</f>
        <v>97.312200606990189</v>
      </c>
      <c r="K29" s="282">
        <f>[28]Brewhouse!$Q143</f>
        <v>7.6036036036036005</v>
      </c>
      <c r="L29" s="277">
        <f>[28]Brewhouse!$P143</f>
        <v>58</v>
      </c>
      <c r="M29" s="420">
        <f>[28]Brewhouse!$U143-[28]Brewhouse!$T143</f>
        <v>0.11944444444444446</v>
      </c>
      <c r="N29" s="371">
        <f>[28]Brewhouse!$Z143</f>
        <v>0.28333333333333338</v>
      </c>
      <c r="O29" s="372" t="str">
        <f>[28]Brewhouse!$AX143</f>
        <v>K.Benjamin</v>
      </c>
      <c r="P29" s="370"/>
      <c r="Q29" s="348"/>
      <c r="S29" s="278" t="str">
        <f t="shared" si="0"/>
        <v>CARIB</v>
      </c>
      <c r="T29" s="297">
        <f t="shared" si="1"/>
        <v>11.6</v>
      </c>
      <c r="U29" s="297">
        <f t="shared" si="2"/>
        <v>12</v>
      </c>
      <c r="V29" s="298">
        <f t="shared" si="3"/>
        <v>0</v>
      </c>
      <c r="W29" s="298">
        <f t="shared" si="4"/>
        <v>0.118055555555556</v>
      </c>
      <c r="X29" s="298">
        <f t="shared" si="5"/>
        <v>0.22569444444444445</v>
      </c>
      <c r="Y29" s="298">
        <f t="shared" si="6"/>
        <v>0.2638888888888889</v>
      </c>
      <c r="Z29" s="298">
        <f t="shared" si="7"/>
        <v>0</v>
      </c>
      <c r="AA29" s="297">
        <f t="shared" si="8"/>
        <v>60</v>
      </c>
    </row>
    <row r="30" spans="2:27" ht="15.75" customHeight="1">
      <c r="B30" s="29"/>
      <c r="C30" s="367"/>
      <c r="D30" s="280"/>
      <c r="E30" s="280"/>
      <c r="F30" s="279"/>
      <c r="G30" s="280"/>
      <c r="H30" s="419"/>
      <c r="I30" s="512"/>
      <c r="J30" s="512"/>
      <c r="K30" s="422"/>
      <c r="L30" s="277"/>
      <c r="M30" s="375"/>
      <c r="N30" s="371"/>
      <c r="O30" s="513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customHeight="1">
      <c r="B31" s="37" t="s">
        <v>16</v>
      </c>
      <c r="C31" s="367" t="str">
        <f>[29]Brewhouse!A6</f>
        <v>SM001</v>
      </c>
      <c r="D31" s="280">
        <f>[29]Brewhouse!AH6</f>
        <v>53.5</v>
      </c>
      <c r="E31" s="280">
        <f>[29]Brewhouse!AM6</f>
        <v>50.2</v>
      </c>
      <c r="F31" s="279">
        <f>[29]Brewhouse!Z6</f>
        <v>64</v>
      </c>
      <c r="G31" s="280">
        <f>[29]Brewhouse!AK6</f>
        <v>17.399999999999999</v>
      </c>
      <c r="H31" s="419"/>
      <c r="I31" s="369">
        <f>[29]Brewhouse!AY6</f>
        <v>92.614349283942801</v>
      </c>
      <c r="J31" s="369">
        <f>[29]Brewhouse!AZ6</f>
        <v>94.52340707201941</v>
      </c>
      <c r="K31" s="282">
        <f>[29]Brewhouse!U6</f>
        <v>6.1308411214953296</v>
      </c>
      <c r="L31" s="277">
        <f>[29]Brewhouse!T6</f>
        <v>61</v>
      </c>
      <c r="M31" s="518">
        <f>[29]Brewhouse!$Y6-[29]Brewhouse!$X6</f>
        <v>0.12847222222222221</v>
      </c>
      <c r="N31" s="519">
        <f>[29]Brewhouse!AD6</f>
        <v>0.29652777777777772</v>
      </c>
      <c r="O31" s="372" t="str">
        <f>[29]Brewhouse!BC6</f>
        <v>R.Regis</v>
      </c>
      <c r="P31" s="376"/>
      <c r="Q31" s="348"/>
      <c r="S31" s="278" t="str">
        <f t="shared" si="0"/>
        <v>STARMALT</v>
      </c>
      <c r="T31" s="297">
        <f t="shared" si="1"/>
        <v>17.100000000000001</v>
      </c>
      <c r="U31" s="297">
        <f t="shared" si="2"/>
        <v>17.5</v>
      </c>
      <c r="V31" s="298">
        <f t="shared" si="3"/>
        <v>0</v>
      </c>
      <c r="W31" s="298">
        <f t="shared" si="4"/>
        <v>0.13605324074074074</v>
      </c>
      <c r="X31" s="298">
        <f t="shared" si="5"/>
        <v>0.27430555555555552</v>
      </c>
      <c r="Y31" s="298">
        <f t="shared" si="6"/>
        <v>0.30902777777777779</v>
      </c>
      <c r="Z31" s="298">
        <f t="shared" si="7"/>
        <v>0</v>
      </c>
      <c r="AA31" s="297">
        <f t="shared" si="8"/>
        <v>60</v>
      </c>
    </row>
    <row r="32" spans="2:27" ht="15.75" customHeight="1">
      <c r="B32" s="37" t="s">
        <v>16</v>
      </c>
      <c r="C32" s="367" t="str">
        <f>[29]Brewhouse!A7</f>
        <v>SM002</v>
      </c>
      <c r="D32" s="280">
        <f>[29]Brewhouse!AH7</f>
        <v>53.2</v>
      </c>
      <c r="E32" s="280">
        <f>[29]Brewhouse!AM7</f>
        <v>51.8</v>
      </c>
      <c r="F32" s="279">
        <f>[29]Brewhouse!Z7</f>
        <v>75</v>
      </c>
      <c r="G32" s="280">
        <f>[29]Brewhouse!AK7</f>
        <v>17.489999999999998</v>
      </c>
      <c r="H32" s="419"/>
      <c r="I32" s="369">
        <f>[29]Brewhouse!AY7</f>
        <v>95.540360033399878</v>
      </c>
      <c r="J32" s="369">
        <f>[29]Brewhouse!AZ7</f>
        <v>97.51151185754405</v>
      </c>
      <c r="K32" s="282">
        <f>[29]Brewhouse!U7</f>
        <v>5.6015037593985033</v>
      </c>
      <c r="L32" s="277">
        <f>[29]Brewhouse!T7</f>
        <v>60</v>
      </c>
      <c r="M32" s="518">
        <f>[29]Brewhouse!$Y7-[29]Brewhouse!$X7</f>
        <v>0.13124999999999998</v>
      </c>
      <c r="N32" s="519">
        <f>[29]Brewhouse!AD7</f>
        <v>0.28541666666666665</v>
      </c>
      <c r="O32" s="372" t="str">
        <f>[29]Brewhouse!BC7</f>
        <v>R.Regis</v>
      </c>
      <c r="P32" s="376"/>
      <c r="Q32" s="348"/>
      <c r="S32" s="278" t="str">
        <f t="shared" si="0"/>
        <v>STARMALT</v>
      </c>
      <c r="T32" s="297">
        <f t="shared" si="1"/>
        <v>17.100000000000001</v>
      </c>
      <c r="U32" s="297">
        <f t="shared" si="2"/>
        <v>17.5</v>
      </c>
      <c r="V32" s="298">
        <f t="shared" si="3"/>
        <v>0</v>
      </c>
      <c r="W32" s="298">
        <f t="shared" si="4"/>
        <v>0.13605324074074074</v>
      </c>
      <c r="X32" s="298">
        <f t="shared" si="5"/>
        <v>0.27430555555555552</v>
      </c>
      <c r="Y32" s="298">
        <f t="shared" si="6"/>
        <v>0.30902777777777779</v>
      </c>
      <c r="Z32" s="298">
        <f t="shared" si="7"/>
        <v>0</v>
      </c>
      <c r="AA32" s="297">
        <f t="shared" si="8"/>
        <v>60</v>
      </c>
    </row>
    <row r="33" spans="1:27" ht="15.75" customHeight="1">
      <c r="B33" s="37" t="s">
        <v>16</v>
      </c>
      <c r="C33" s="367" t="str">
        <f>[29]Brewhouse!A8</f>
        <v>SM003</v>
      </c>
      <c r="D33" s="280">
        <f>[29]Brewhouse!AH8</f>
        <v>51.9</v>
      </c>
      <c r="E33" s="280">
        <f>[29]Brewhouse!AM8</f>
        <v>51.6</v>
      </c>
      <c r="F33" s="279">
        <f>[29]Brewhouse!Z8</f>
        <v>71</v>
      </c>
      <c r="G33" s="280">
        <f>[29]Brewhouse!AK8</f>
        <v>17.100000000000001</v>
      </c>
      <c r="H33" s="419"/>
      <c r="I33" s="369">
        <f>[29]Brewhouse!AY8</f>
        <v>94.754877612732329</v>
      </c>
      <c r="J33" s="369">
        <f>[29]Brewhouse!AZ8</f>
        <v>96.713346387306672</v>
      </c>
      <c r="K33" s="282">
        <f>[29]Brewhouse!U8</f>
        <v>2.2736030828516376</v>
      </c>
      <c r="L33" s="277">
        <f>[29]Brewhouse!T8</f>
        <v>61</v>
      </c>
      <c r="M33" s="518">
        <f>[29]Brewhouse!$Y8-[29]Brewhouse!$X8</f>
        <v>0.37708333333333344</v>
      </c>
      <c r="N33" s="519">
        <f>[29]Brewhouse!AD8</f>
        <v>0.52500000000000013</v>
      </c>
      <c r="O33" s="372" t="str">
        <f>[29]Brewhouse!BC8</f>
        <v>R.Sookram</v>
      </c>
      <c r="P33" s="376"/>
      <c r="Q33" s="348"/>
      <c r="S33" s="278" t="str">
        <f t="shared" si="0"/>
        <v>STARMALT</v>
      </c>
      <c r="T33" s="297">
        <f t="shared" si="1"/>
        <v>17.100000000000001</v>
      </c>
      <c r="U33" s="297">
        <f t="shared" si="2"/>
        <v>17.5</v>
      </c>
      <c r="V33" s="298">
        <f t="shared" si="3"/>
        <v>0</v>
      </c>
      <c r="W33" s="298">
        <f t="shared" si="4"/>
        <v>0.13605324074074074</v>
      </c>
      <c r="X33" s="298">
        <f t="shared" si="5"/>
        <v>0.27430555555555552</v>
      </c>
      <c r="Y33" s="298">
        <f t="shared" si="6"/>
        <v>0.30902777777777779</v>
      </c>
      <c r="Z33" s="298">
        <f t="shared" si="7"/>
        <v>0</v>
      </c>
      <c r="AA33" s="297">
        <f t="shared" si="8"/>
        <v>60</v>
      </c>
    </row>
    <row r="34" spans="1:27" ht="15.75" customHeight="1">
      <c r="B34" s="37" t="s">
        <v>16</v>
      </c>
      <c r="C34" s="367" t="str">
        <f>[29]Brewhouse!A9</f>
        <v>SM004</v>
      </c>
      <c r="D34" s="280">
        <f>[29]Brewhouse!AH9</f>
        <v>50.6</v>
      </c>
      <c r="E34" s="280">
        <f>[29]Brewhouse!AM9</f>
        <v>51.3</v>
      </c>
      <c r="F34" s="279">
        <f>[29]Brewhouse!Z9</f>
        <v>71</v>
      </c>
      <c r="G34" s="280">
        <f>[29]Brewhouse!AK9</f>
        <v>17.63</v>
      </c>
      <c r="H34" s="419"/>
      <c r="I34" s="369">
        <f>[29]Brewhouse!AY9</f>
        <v>95.371776201789885</v>
      </c>
      <c r="J34" s="369">
        <f>[29]Brewhouse!AZ9</f>
        <v>97.337672777519472</v>
      </c>
      <c r="K34" s="282">
        <f>[29]Brewhouse!U9</f>
        <v>0.35573122529645618</v>
      </c>
      <c r="L34" s="277">
        <f>[29]Brewhouse!T9</f>
        <v>62</v>
      </c>
      <c r="M34" s="518">
        <f>[29]Brewhouse!$Y9-[29]Brewhouse!$X9</f>
        <v>0.13055555555555554</v>
      </c>
      <c r="N34" s="519">
        <f>[29]Brewhouse!AD9</f>
        <v>0.27708333333333324</v>
      </c>
      <c r="O34" s="372" t="str">
        <f>[29]Brewhouse!BC9</f>
        <v>R.Sookram</v>
      </c>
      <c r="P34" s="376"/>
      <c r="Q34" s="348"/>
      <c r="S34" s="278" t="str">
        <f t="shared" si="0"/>
        <v>STARMALT</v>
      </c>
      <c r="T34" s="297">
        <f t="shared" si="1"/>
        <v>17.100000000000001</v>
      </c>
      <c r="U34" s="297">
        <f t="shared" si="2"/>
        <v>17.5</v>
      </c>
      <c r="V34" s="298">
        <f t="shared" si="3"/>
        <v>0</v>
      </c>
      <c r="W34" s="298">
        <f t="shared" si="4"/>
        <v>0.13605324074074074</v>
      </c>
      <c r="X34" s="298">
        <f t="shared" si="5"/>
        <v>0.27430555555555552</v>
      </c>
      <c r="Y34" s="298">
        <f t="shared" si="6"/>
        <v>0.30902777777777779</v>
      </c>
      <c r="Z34" s="298">
        <f t="shared" si="7"/>
        <v>0</v>
      </c>
      <c r="AA34" s="297">
        <f t="shared" si="8"/>
        <v>60</v>
      </c>
    </row>
    <row r="35" spans="1:27" ht="15.75" customHeight="1">
      <c r="B35" s="33"/>
      <c r="C35" s="367"/>
      <c r="D35" s="280"/>
      <c r="E35" s="280"/>
      <c r="F35" s="279"/>
      <c r="G35" s="280"/>
      <c r="H35" s="419"/>
      <c r="I35" s="512"/>
      <c r="J35" s="512"/>
      <c r="K35" s="422"/>
      <c r="L35" s="277"/>
      <c r="M35" s="375"/>
      <c r="N35" s="371"/>
      <c r="O35" s="513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1:27" ht="15.75" customHeight="1">
      <c r="B36" s="33"/>
      <c r="C36" s="367"/>
      <c r="D36" s="280"/>
      <c r="E36" s="280"/>
      <c r="F36" s="279"/>
      <c r="G36" s="280"/>
      <c r="H36" s="419"/>
      <c r="I36" s="512"/>
      <c r="J36" s="512"/>
      <c r="K36" s="422"/>
      <c r="L36" s="277"/>
      <c r="M36" s="375"/>
      <c r="N36" s="371"/>
      <c r="O36" s="513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1:27" ht="15.75" customHeight="1">
      <c r="B37" s="29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375"/>
      <c r="N37" s="371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1:27" ht="15.75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1:27" ht="15.75" customHeight="1">
      <c r="B39" s="29"/>
      <c r="C39" s="367"/>
      <c r="D39" s="280"/>
      <c r="E39" s="280"/>
      <c r="F39" s="279"/>
      <c r="G39" s="280"/>
      <c r="H39" s="419"/>
      <c r="I39" s="369"/>
      <c r="J39" s="369"/>
      <c r="K39" s="282"/>
      <c r="L39" s="277"/>
      <c r="M39" s="375"/>
      <c r="N39" s="371"/>
      <c r="O39" s="372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1:27" ht="14.4">
      <c r="B40" s="29"/>
      <c r="C40" s="367"/>
      <c r="D40" s="280"/>
      <c r="E40" s="280"/>
      <c r="F40" s="279"/>
      <c r="G40" s="280"/>
      <c r="H40" s="419"/>
      <c r="I40" s="369"/>
      <c r="J40" s="369"/>
      <c r="K40" s="282"/>
      <c r="L40" s="277"/>
      <c r="M40" s="375"/>
      <c r="N40" s="371"/>
      <c r="O40" s="372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1:27" ht="15.75" customHeight="1" thickBot="1">
      <c r="B41" s="359"/>
      <c r="C41" s="359"/>
      <c r="D41" s="359"/>
      <c r="E41" s="359"/>
      <c r="F41" s="295"/>
      <c r="G41" s="295"/>
      <c r="H41" s="349"/>
      <c r="I41" s="574" t="s">
        <v>34</v>
      </c>
      <c r="J41" s="574"/>
      <c r="K41" s="574"/>
      <c r="L41" s="574"/>
      <c r="M41" s="574"/>
      <c r="N41" s="574"/>
      <c r="O41" s="1"/>
      <c r="P41" s="12"/>
      <c r="S41" s="278"/>
      <c r="T41" s="297"/>
      <c r="U41" s="297"/>
      <c r="V41" s="298"/>
      <c r="W41" s="298"/>
      <c r="X41" s="298"/>
      <c r="Y41" s="298"/>
      <c r="Z41" s="298"/>
      <c r="AA41" s="297"/>
    </row>
    <row r="42" spans="1:27" ht="15" thickBot="1">
      <c r="B42" s="389" t="s">
        <v>145</v>
      </c>
      <c r="C42" s="389"/>
      <c r="D42" s="552" t="s">
        <v>35</v>
      </c>
      <c r="E42" s="553"/>
      <c r="F42" s="295"/>
      <c r="G42" s="295"/>
      <c r="H42" s="23"/>
      <c r="I42" s="24" t="s">
        <v>17</v>
      </c>
      <c r="J42" s="25" t="s">
        <v>146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5"/>
      <c r="P42" s="12"/>
      <c r="S42" s="278"/>
      <c r="T42" s="297"/>
      <c r="U42" s="297"/>
      <c r="V42" s="298"/>
      <c r="W42" s="298"/>
      <c r="X42" s="298"/>
      <c r="Y42" s="298"/>
      <c r="Z42" s="298"/>
      <c r="AA42" s="297"/>
    </row>
    <row r="43" spans="1:27" ht="15" customHeight="1">
      <c r="A43" s="28"/>
      <c r="B43" s="656" t="str">
        <f>I44</f>
        <v>STAG</v>
      </c>
      <c r="C43" s="363">
        <v>11.6</v>
      </c>
      <c r="D43" s="578">
        <v>11.77</v>
      </c>
      <c r="E43" s="579"/>
      <c r="F43" s="295"/>
      <c r="G43" s="295"/>
      <c r="H43" s="295"/>
      <c r="I43" s="29" t="s">
        <v>6</v>
      </c>
      <c r="J43" s="324">
        <f>AVERAGE(I26:I29)</f>
        <v>92.772637139415281</v>
      </c>
      <c r="K43" s="285">
        <f>COUNTA([28]Brewhouse!$A$102:$A$143)</f>
        <v>42</v>
      </c>
      <c r="L43" s="303">
        <f>AVERAGE([28]Brewhouse!$AU$102:$AU$143)</f>
        <v>94.225022846922641</v>
      </c>
      <c r="M43" s="303">
        <f>AVERAGE([28]Brewhouse!$AU$102:$AU$143)</f>
        <v>94.225022846922641</v>
      </c>
      <c r="N43" s="30">
        <v>98</v>
      </c>
      <c r="O43" s="11"/>
      <c r="P43" s="31"/>
      <c r="S43" s="278"/>
      <c r="T43" s="297"/>
      <c r="U43" s="297"/>
      <c r="V43" s="298"/>
      <c r="W43" s="298"/>
      <c r="X43" s="298"/>
      <c r="Y43" s="298"/>
      <c r="Z43" s="298"/>
      <c r="AA43" s="297"/>
    </row>
    <row r="44" spans="1:27" ht="15" customHeight="1">
      <c r="A44" s="28"/>
      <c r="B44" s="657"/>
      <c r="C44" s="350">
        <v>11.8</v>
      </c>
      <c r="D44" s="580"/>
      <c r="E44" s="581"/>
      <c r="F44" s="295"/>
      <c r="G44" s="295"/>
      <c r="H44" s="32"/>
      <c r="I44" s="33" t="s">
        <v>9</v>
      </c>
      <c r="J44" s="324">
        <f>AVERAGE(I29:I36)</f>
        <v>94.333818466981029</v>
      </c>
      <c r="K44" s="285">
        <f>COUNTA([22]Brewhouse!$A$15:$A$36)</f>
        <v>22</v>
      </c>
      <c r="L44" s="303">
        <f>AVERAGE([22]Brewhouse!$AS$15:$AS$44)</f>
        <v>95.922423329657065</v>
      </c>
      <c r="M44" s="303">
        <f>AVERAGE([22]Brewhouse!$AS$15:$AS$44)</f>
        <v>95.922423329657065</v>
      </c>
      <c r="N44" s="30">
        <v>98</v>
      </c>
      <c r="O44" s="11"/>
      <c r="P44" s="31"/>
      <c r="S44" s="278"/>
      <c r="T44" s="297"/>
      <c r="U44" s="297"/>
      <c r="V44" s="298"/>
      <c r="W44" s="298"/>
      <c r="X44" s="298"/>
      <c r="Y44" s="298"/>
      <c r="Z44" s="298"/>
      <c r="AA44" s="297"/>
    </row>
    <row r="45" spans="1:27" ht="14.7" customHeight="1">
      <c r="A45" s="28"/>
      <c r="B45" s="657"/>
      <c r="C45" s="350">
        <v>11.8</v>
      </c>
      <c r="D45" s="578">
        <v>11.74</v>
      </c>
      <c r="E45" s="579"/>
      <c r="F45" s="295"/>
      <c r="G45" s="295"/>
      <c r="H45" s="32"/>
      <c r="I45" s="34" t="s">
        <v>12</v>
      </c>
      <c r="J45" s="281"/>
      <c r="K45" s="285"/>
      <c r="L45" s="303"/>
      <c r="M45" s="303"/>
      <c r="N45" s="30">
        <v>98</v>
      </c>
      <c r="O45" s="11"/>
      <c r="P45" s="31"/>
      <c r="S45" s="23"/>
      <c r="T45" s="1"/>
      <c r="U45" s="1"/>
      <c r="AA45" s="286"/>
    </row>
    <row r="46" spans="1:27" ht="14.7" customHeight="1">
      <c r="A46" s="28"/>
      <c r="B46" s="657"/>
      <c r="C46" s="350">
        <v>11.8</v>
      </c>
      <c r="D46" s="580"/>
      <c r="E46" s="581"/>
      <c r="F46" s="295"/>
      <c r="G46" s="295"/>
      <c r="H46" s="32"/>
      <c r="I46" s="22" t="s">
        <v>33</v>
      </c>
      <c r="J46" s="281"/>
      <c r="K46" s="285">
        <f>COUNTA([25]Brewhouse!$A$5:$A$8)</f>
        <v>4</v>
      </c>
      <c r="L46" s="303">
        <f>AVERAGE([25]Brewhouse!$AV$5:$AV$8)</f>
        <v>96.702302381453876</v>
      </c>
      <c r="M46" s="303">
        <f>AVERAGE([25]Brewhouse!$AV$5:$AV$8)</f>
        <v>96.702302381453876</v>
      </c>
      <c r="N46" s="30">
        <v>98</v>
      </c>
      <c r="O46" s="11"/>
      <c r="P46" s="31"/>
      <c r="S46" s="23"/>
      <c r="T46" s="1"/>
      <c r="U46" s="1"/>
      <c r="AA46" s="286"/>
    </row>
    <row r="47" spans="1:27" ht="14.7" customHeight="1">
      <c r="A47" s="28"/>
      <c r="B47" s="657"/>
      <c r="C47" s="350">
        <v>11.9</v>
      </c>
      <c r="D47" s="578">
        <v>11.86</v>
      </c>
      <c r="E47" s="579"/>
      <c r="F47" s="295"/>
      <c r="G47" s="295"/>
      <c r="H47" s="32"/>
      <c r="I47" s="35" t="s">
        <v>29</v>
      </c>
      <c r="J47" s="281"/>
      <c r="K47" s="285"/>
      <c r="L47" s="303"/>
      <c r="M47" s="303"/>
      <c r="N47" s="30">
        <v>98</v>
      </c>
      <c r="O47" s="11"/>
      <c r="P47" s="31"/>
      <c r="S47" s="23"/>
    </row>
    <row r="48" spans="1:27" ht="14.7" customHeight="1">
      <c r="A48" s="28"/>
      <c r="B48" s="657"/>
      <c r="C48" s="350">
        <v>11.7</v>
      </c>
      <c r="D48" s="580"/>
      <c r="E48" s="581"/>
      <c r="F48" s="295"/>
      <c r="G48" s="295"/>
      <c r="H48" s="32"/>
      <c r="I48" s="36" t="s">
        <v>15</v>
      </c>
      <c r="J48" s="324"/>
      <c r="K48" s="285">
        <f>COUNTA([27]Brewhouse!$A$4:$A$11)</f>
        <v>8</v>
      </c>
      <c r="L48" s="303">
        <f>AVERAGE([27]Brewhouse!$AT$4:$AT$11)</f>
        <v>94.812616598822359</v>
      </c>
      <c r="M48" s="303">
        <f>AVERAGE([27]Brewhouse!$AT$4:$AT$11)</f>
        <v>94.812616598822359</v>
      </c>
      <c r="N48" s="30">
        <v>98</v>
      </c>
      <c r="O48" s="11"/>
      <c r="P48" s="31"/>
      <c r="S48" s="23"/>
    </row>
    <row r="49" spans="1:57" ht="14.7" customHeight="1">
      <c r="A49" s="28"/>
      <c r="B49" s="657"/>
      <c r="C49" s="350">
        <v>11.8</v>
      </c>
      <c r="D49" s="578">
        <v>11.83</v>
      </c>
      <c r="E49" s="579"/>
      <c r="F49" s="295"/>
      <c r="G49" s="295"/>
      <c r="H49" s="32"/>
      <c r="I49" s="37" t="s">
        <v>16</v>
      </c>
      <c r="J49" s="324"/>
      <c r="K49" s="285">
        <f>COUNTA(B31:B34)</f>
        <v>4</v>
      </c>
      <c r="L49" s="303"/>
      <c r="M49" s="303"/>
      <c r="N49" s="30">
        <v>98</v>
      </c>
      <c r="O49" s="11"/>
      <c r="P49" s="31" t="s">
        <v>41</v>
      </c>
      <c r="S49" s="23"/>
      <c r="X49" s="276" t="s">
        <v>41</v>
      </c>
    </row>
    <row r="50" spans="1:57" ht="14.7" customHeight="1">
      <c r="A50" s="28"/>
      <c r="B50" s="657"/>
      <c r="C50" s="350">
        <v>11.8</v>
      </c>
      <c r="D50" s="580"/>
      <c r="E50" s="581"/>
      <c r="F50" s="295"/>
      <c r="G50" s="295"/>
      <c r="H50" s="32"/>
      <c r="I50" s="507" t="s">
        <v>174</v>
      </c>
      <c r="J50" s="327"/>
      <c r="K50" s="285">
        <f>COUNTA([26]Brewhouse!$A$5:$A$8)</f>
        <v>4</v>
      </c>
      <c r="L50" s="306">
        <f>AVERAGE([26]Brewhouse!$AU$5:$AU$8)</f>
        <v>91.006888337619571</v>
      </c>
      <c r="M50" s="306">
        <f>AVERAGE([26]Brewhouse!$AU$5:$AU$8)</f>
        <v>91.006888337619571</v>
      </c>
      <c r="N50" s="30">
        <v>98</v>
      </c>
      <c r="O50" s="11"/>
      <c r="P50" s="31"/>
      <c r="S50" s="23"/>
    </row>
    <row r="51" spans="1:57" ht="14.7" customHeight="1">
      <c r="A51" s="28"/>
      <c r="B51" s="657"/>
      <c r="C51" s="350">
        <v>11.9</v>
      </c>
      <c r="D51" s="578">
        <v>11.7</v>
      </c>
      <c r="E51" s="579"/>
      <c r="F51" s="295"/>
      <c r="G51" s="295"/>
      <c r="H51" s="32"/>
      <c r="I51" s="506" t="s">
        <v>166</v>
      </c>
      <c r="J51" s="327"/>
      <c r="K51" s="285"/>
      <c r="L51" s="306"/>
      <c r="M51" s="306"/>
      <c r="N51" s="30"/>
      <c r="O51" s="11"/>
      <c r="P51" s="31"/>
      <c r="S51" s="23"/>
    </row>
    <row r="52" spans="1:57" ht="15" customHeight="1" thickBot="1">
      <c r="A52" s="28"/>
      <c r="B52" s="657"/>
      <c r="C52" s="350">
        <v>11.9</v>
      </c>
      <c r="D52" s="580"/>
      <c r="E52" s="581"/>
      <c r="F52" s="295"/>
      <c r="G52" s="295"/>
      <c r="H52" s="32"/>
      <c r="I52" s="502" t="s">
        <v>165</v>
      </c>
      <c r="J52" s="328"/>
      <c r="K52" s="503"/>
      <c r="L52" s="504"/>
      <c r="M52" s="504"/>
      <c r="N52" s="505">
        <v>98</v>
      </c>
      <c r="O52" s="11"/>
      <c r="P52" s="31"/>
      <c r="S52" s="23"/>
    </row>
    <row r="53" spans="1:57" ht="15" customHeight="1" thickBot="1">
      <c r="A53" s="28"/>
      <c r="B53" s="657"/>
      <c r="C53" s="350"/>
      <c r="D53" s="578"/>
      <c r="E53" s="579"/>
      <c r="F53" s="295"/>
      <c r="G53" s="295"/>
      <c r="H53" s="32"/>
      <c r="I53" s="1"/>
      <c r="J53" s="39"/>
      <c r="K53" s="500">
        <f>SUM(K43:K52)</f>
        <v>84</v>
      </c>
      <c r="L53" s="501">
        <f>((L43*K43)+(L44*K44)+(L45*K45)+(L46*K46)+(L47*K47)+(K50*L50)+(L48*K48)+(L49*K49)+(L52*K52))/(K53)</f>
        <v>90.203356767739038</v>
      </c>
      <c r="M53" s="501">
        <f>L53</f>
        <v>90.203356767739038</v>
      </c>
      <c r="N53" s="40">
        <v>98</v>
      </c>
      <c r="O53" s="11"/>
      <c r="P53" s="31"/>
      <c r="S53" s="23"/>
    </row>
    <row r="54" spans="1:57" ht="15" thickBot="1">
      <c r="B54" s="658"/>
      <c r="C54" s="351"/>
      <c r="D54" s="580"/>
      <c r="E54" s="581"/>
      <c r="F54" s="295"/>
      <c r="G54" s="42"/>
      <c r="H54" s="41"/>
      <c r="I54" s="42"/>
      <c r="J54" s="42"/>
      <c r="K54" s="352"/>
      <c r="L54" s="349"/>
      <c r="M54" s="349"/>
      <c r="N54" s="11"/>
      <c r="O54" s="295"/>
      <c r="P54" s="12"/>
      <c r="S54" s="23"/>
    </row>
    <row r="55" spans="1:57" ht="15" thickBot="1">
      <c r="B55" s="653"/>
      <c r="C55" s="363"/>
      <c r="D55" s="591"/>
      <c r="E55" s="592"/>
      <c r="F55" s="43"/>
      <c r="G55" s="41"/>
      <c r="H55" s="41"/>
      <c r="I55" s="42"/>
      <c r="J55" s="594" t="s">
        <v>129</v>
      </c>
      <c r="K55" s="594"/>
      <c r="L55" s="295"/>
      <c r="M55" s="295"/>
      <c r="N55" s="295"/>
      <c r="O55" s="295"/>
      <c r="P55" s="12"/>
      <c r="S55" s="23" t="s">
        <v>41</v>
      </c>
    </row>
    <row r="56" spans="1:57" ht="13.5" customHeight="1" thickBot="1">
      <c r="B56" s="654"/>
      <c r="C56" s="350"/>
      <c r="D56" s="593"/>
      <c r="E56" s="581"/>
      <c r="F56" s="43"/>
      <c r="G56" s="41"/>
      <c r="H56" s="515" t="s">
        <v>186</v>
      </c>
      <c r="I56" s="517" t="s">
        <v>185</v>
      </c>
      <c r="J56" s="293" t="s">
        <v>17</v>
      </c>
      <c r="K56" s="294" t="s">
        <v>184</v>
      </c>
      <c r="L56" s="595" t="s">
        <v>136</v>
      </c>
      <c r="M56" s="595"/>
      <c r="N56" s="596"/>
      <c r="O56" s="295"/>
      <c r="P56" s="12"/>
      <c r="S56" s="23"/>
    </row>
    <row r="57" spans="1:57" ht="15" customHeight="1" thickBot="1">
      <c r="B57" s="654"/>
      <c r="C57" s="350"/>
      <c r="D57" s="597"/>
      <c r="E57" s="579"/>
      <c r="F57" s="43"/>
      <c r="G57" s="41"/>
      <c r="H57" s="516">
        <v>1</v>
      </c>
      <c r="I57" s="516">
        <v>8</v>
      </c>
      <c r="J57" s="288" t="s">
        <v>6</v>
      </c>
      <c r="K57" s="325">
        <v>8</v>
      </c>
      <c r="L57" s="344" t="s">
        <v>37</v>
      </c>
      <c r="M57" s="308" t="s">
        <v>38</v>
      </c>
      <c r="N57" s="308" t="s">
        <v>84</v>
      </c>
      <c r="O57" s="295"/>
      <c r="P57" s="12"/>
      <c r="S57" s="23"/>
    </row>
    <row r="58" spans="1:57" ht="15.75" customHeight="1" thickBot="1">
      <c r="B58" s="654"/>
      <c r="C58" s="350"/>
      <c r="D58" s="593"/>
      <c r="E58" s="581"/>
      <c r="F58" s="43"/>
      <c r="G58" s="41"/>
      <c r="H58" s="516">
        <v>8</v>
      </c>
      <c r="I58" s="516"/>
      <c r="J58" s="346" t="s">
        <v>9</v>
      </c>
      <c r="K58" s="325"/>
      <c r="L58" s="345">
        <f>AVERAGE('Jan 2nd'!K69,'Jan 3rd'!K69,'Jan 6th'!K54,'Jan 7th'!K76,'Jan 8th'!K76,'Jan. 10th'!K54,'Jan. 14th '!K54,'Jan.15th '!K55,Jan.16th!K58,Jan.20th!K67)</f>
        <v>6.4</v>
      </c>
      <c r="M58" s="326">
        <f>L58</f>
        <v>6.4</v>
      </c>
      <c r="N58" s="488"/>
      <c r="O58" s="295"/>
      <c r="P58" s="12"/>
      <c r="S58" s="23"/>
    </row>
    <row r="59" spans="1:57" ht="15" customHeight="1">
      <c r="B59" s="654"/>
      <c r="C59" s="350"/>
      <c r="D59" s="597"/>
      <c r="E59" s="579"/>
      <c r="F59" s="43"/>
      <c r="G59" s="41"/>
      <c r="H59" s="516"/>
      <c r="I59" s="516"/>
      <c r="J59" s="289" t="s">
        <v>40</v>
      </c>
      <c r="K59" s="325"/>
      <c r="L59" s="295"/>
      <c r="M59" s="295"/>
      <c r="N59" s="295"/>
      <c r="O59" s="295"/>
      <c r="P59" s="12"/>
      <c r="S59" s="23"/>
    </row>
    <row r="60" spans="1:57" ht="15" customHeight="1">
      <c r="B60" s="654"/>
      <c r="C60" s="350"/>
      <c r="D60" s="593"/>
      <c r="E60" s="581"/>
      <c r="F60" s="43"/>
      <c r="G60" s="41"/>
      <c r="H60" s="516"/>
      <c r="I60" s="516"/>
      <c r="J60" s="290" t="s">
        <v>33</v>
      </c>
      <c r="K60" s="325"/>
      <c r="L60" s="295"/>
      <c r="M60" s="295"/>
      <c r="N60" s="295"/>
      <c r="O60" s="295"/>
      <c r="P60" s="12"/>
      <c r="S60" s="23"/>
    </row>
    <row r="61" spans="1:57" ht="14.4">
      <c r="B61" s="654"/>
      <c r="C61" s="350"/>
      <c r="D61" s="597"/>
      <c r="E61" s="579"/>
      <c r="F61" s="43"/>
      <c r="G61" s="41"/>
      <c r="H61" s="516"/>
      <c r="I61" s="516"/>
      <c r="J61" s="291" t="s">
        <v>16</v>
      </c>
      <c r="K61" s="325"/>
      <c r="L61" s="295"/>
      <c r="M61" s="295"/>
      <c r="N61" s="295"/>
      <c r="O61" s="295"/>
      <c r="P61" s="12"/>
      <c r="S61" s="23"/>
      <c r="BD61" s="44"/>
      <c r="BE61" s="44"/>
    </row>
    <row r="62" spans="1:57" ht="14.4">
      <c r="B62" s="654"/>
      <c r="C62" s="350"/>
      <c r="D62" s="593"/>
      <c r="E62" s="581"/>
      <c r="F62" s="43"/>
      <c r="G62" s="41"/>
      <c r="H62" s="516"/>
      <c r="I62" s="516"/>
      <c r="J62" s="292" t="s">
        <v>15</v>
      </c>
      <c r="K62" s="325"/>
      <c r="L62" s="295"/>
      <c r="M62" s="295"/>
      <c r="N62" s="295"/>
      <c r="O62" s="295"/>
      <c r="P62" s="12"/>
      <c r="S62" s="23"/>
      <c r="BD62" s="44"/>
      <c r="BE62" s="44"/>
    </row>
    <row r="63" spans="1:57" ht="14.4">
      <c r="B63" s="654"/>
      <c r="C63" s="350"/>
      <c r="D63" s="598"/>
      <c r="E63" s="583"/>
      <c r="F63" s="43"/>
      <c r="G63" s="41"/>
      <c r="H63" s="516"/>
      <c r="I63" s="516"/>
      <c r="J63" s="292" t="s">
        <v>149</v>
      </c>
      <c r="K63" s="325"/>
      <c r="L63" s="295"/>
      <c r="M63" s="295"/>
      <c r="N63" s="295"/>
      <c r="O63" s="295"/>
      <c r="P63" s="12"/>
      <c r="S63" s="23"/>
      <c r="BD63" s="44"/>
      <c r="BE63" s="44"/>
    </row>
    <row r="64" spans="1:57" ht="15" thickBot="1">
      <c r="B64" s="655"/>
      <c r="C64" s="351"/>
      <c r="D64" s="599"/>
      <c r="E64" s="600"/>
      <c r="F64" s="43"/>
      <c r="G64" s="41"/>
      <c r="H64" s="516"/>
      <c r="I64" s="516"/>
      <c r="J64" s="292" t="s">
        <v>148</v>
      </c>
      <c r="K64" s="325"/>
      <c r="L64" s="295"/>
      <c r="M64" s="295"/>
      <c r="N64" s="295"/>
      <c r="O64" s="295"/>
      <c r="P64" s="12"/>
      <c r="S64" s="23"/>
      <c r="BD64" s="44"/>
      <c r="BE64" s="44"/>
    </row>
    <row r="65" spans="2:58" ht="17.7" customHeight="1" thickBot="1">
      <c r="B65" s="313" t="s">
        <v>139</v>
      </c>
      <c r="C65" s="314"/>
      <c r="D65" s="601">
        <f>AVERAGE(D43:E64)</f>
        <v>11.779999999999998</v>
      </c>
      <c r="E65" s="602"/>
      <c r="F65" s="43"/>
      <c r="G65" s="41"/>
      <c r="H65" s="516"/>
      <c r="I65" s="516"/>
      <c r="J65" s="296" t="s">
        <v>134</v>
      </c>
      <c r="K65" s="325"/>
      <c r="L65" s="295"/>
      <c r="M65" s="295"/>
      <c r="N65" s="295"/>
      <c r="O65" s="295"/>
      <c r="P65" s="12"/>
      <c r="S65" s="23"/>
      <c r="BD65" s="44"/>
      <c r="BE65" s="44"/>
    </row>
    <row r="66" spans="2:58" ht="17.7" customHeight="1">
      <c r="B66" s="364"/>
      <c r="C66" s="365"/>
      <c r="D66" s="366"/>
      <c r="E66" s="366"/>
      <c r="F66" s="43"/>
      <c r="G66" s="41"/>
      <c r="H66" s="516"/>
      <c r="I66" s="516"/>
      <c r="J66" s="296" t="s">
        <v>131</v>
      </c>
      <c r="K66" s="325"/>
      <c r="L66" s="295"/>
      <c r="M66" s="295"/>
      <c r="N66" s="295"/>
      <c r="O66" s="295"/>
      <c r="P66" s="12"/>
      <c r="S66" s="23"/>
      <c r="BD66" s="44"/>
      <c r="BE66" s="44"/>
    </row>
    <row r="67" spans="2:58" ht="15.75" customHeight="1" thickBot="1">
      <c r="B67" s="45"/>
      <c r="C67" s="11"/>
      <c r="D67" s="11"/>
      <c r="E67" s="46"/>
      <c r="F67" s="23"/>
      <c r="G67" s="11"/>
      <c r="H67" s="514">
        <f t="shared" ref="H67:I67" si="9">SUM(H57:H66)</f>
        <v>9</v>
      </c>
      <c r="I67" s="514">
        <f t="shared" si="9"/>
        <v>8</v>
      </c>
      <c r="J67" s="347" t="s">
        <v>130</v>
      </c>
      <c r="K67" s="325">
        <f>SUM(K57:K66)</f>
        <v>8</v>
      </c>
      <c r="L67" s="295"/>
      <c r="M67" s="295"/>
      <c r="N67" s="295"/>
      <c r="O67" s="295"/>
      <c r="P67" s="12"/>
    </row>
    <row r="68" spans="2:58" ht="20.25" customHeight="1">
      <c r="B68" s="15" t="s">
        <v>42</v>
      </c>
      <c r="C68" s="1" t="s">
        <v>43</v>
      </c>
      <c r="D68" s="1"/>
      <c r="E68" s="1"/>
      <c r="I68" s="42"/>
      <c r="L68" s="295"/>
      <c r="P68" s="335"/>
    </row>
    <row r="69" spans="2:58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  <c r="X69" s="276" t="s">
        <v>41</v>
      </c>
    </row>
    <row r="70" spans="2:58" ht="15" customHeight="1" thickBot="1">
      <c r="B70" s="603" t="s">
        <v>17</v>
      </c>
      <c r="C70" s="603" t="s">
        <v>44</v>
      </c>
      <c r="D70" s="605" t="s">
        <v>45</v>
      </c>
      <c r="E70" s="560" t="s">
        <v>46</v>
      </c>
      <c r="F70" s="620" t="s">
        <v>47</v>
      </c>
      <c r="G70" s="614" t="s">
        <v>48</v>
      </c>
      <c r="H70" s="603" t="s">
        <v>49</v>
      </c>
      <c r="I70" s="603" t="s">
        <v>50</v>
      </c>
      <c r="J70" s="608" t="s">
        <v>28</v>
      </c>
      <c r="K70" s="558" t="s">
        <v>51</v>
      </c>
      <c r="L70" s="570" t="s">
        <v>52</v>
      </c>
      <c r="M70" s="608" t="s">
        <v>53</v>
      </c>
      <c r="N70" s="77"/>
      <c r="O70" s="13"/>
      <c r="P70" s="50"/>
    </row>
    <row r="71" spans="2:58" ht="28.5" customHeight="1" thickTop="1" thickBot="1">
      <c r="B71" s="604"/>
      <c r="C71" s="604"/>
      <c r="D71" s="606"/>
      <c r="E71" s="607"/>
      <c r="F71" s="621"/>
      <c r="G71" s="615"/>
      <c r="H71" s="604"/>
      <c r="I71" s="604"/>
      <c r="J71" s="609"/>
      <c r="K71" s="618"/>
      <c r="L71" s="619"/>
      <c r="M71" s="609"/>
      <c r="N71" s="77"/>
      <c r="O71" s="13"/>
      <c r="P71" s="50"/>
      <c r="Q71" s="356"/>
      <c r="R71" s="356"/>
      <c r="S71" s="356"/>
      <c r="T71" s="356"/>
      <c r="U71" s="51">
        <v>43466</v>
      </c>
      <c r="V71" s="51">
        <v>43467</v>
      </c>
      <c r="W71" s="51">
        <v>43468</v>
      </c>
      <c r="X71" s="51">
        <v>43469</v>
      </c>
      <c r="Y71" s="51">
        <v>43470</v>
      </c>
      <c r="Z71" s="51">
        <v>43471</v>
      </c>
      <c r="AA71" s="51">
        <v>43472</v>
      </c>
      <c r="AB71" s="51">
        <v>43473</v>
      </c>
      <c r="AC71" s="51">
        <v>43474</v>
      </c>
      <c r="AD71" s="51">
        <v>43475</v>
      </c>
      <c r="AE71" s="51">
        <v>43476</v>
      </c>
      <c r="AF71" s="51">
        <v>43477</v>
      </c>
      <c r="AG71" s="51">
        <v>43478</v>
      </c>
      <c r="AH71" s="51">
        <v>43479</v>
      </c>
      <c r="AI71" s="51">
        <v>43480</v>
      </c>
      <c r="AJ71" s="51">
        <v>43481</v>
      </c>
      <c r="AK71" s="51">
        <v>43482</v>
      </c>
      <c r="AL71" s="51">
        <v>43483</v>
      </c>
      <c r="AM71" s="51">
        <v>43484</v>
      </c>
      <c r="AN71" s="51">
        <v>43485</v>
      </c>
      <c r="AO71" s="51">
        <v>43486</v>
      </c>
      <c r="AP71" s="51">
        <v>43487</v>
      </c>
      <c r="AQ71" s="51">
        <v>43488</v>
      </c>
      <c r="AR71" s="51">
        <v>43489</v>
      </c>
      <c r="AS71" s="51">
        <v>43490</v>
      </c>
      <c r="AT71" s="51">
        <v>43491</v>
      </c>
      <c r="AU71" s="51">
        <v>43492</v>
      </c>
      <c r="AV71" s="51">
        <v>43493</v>
      </c>
      <c r="AW71" s="51">
        <v>43494</v>
      </c>
      <c r="AX71" s="51">
        <v>43495</v>
      </c>
      <c r="AY71" s="51">
        <v>43496</v>
      </c>
    </row>
    <row r="72" spans="2:58" s="54" customFormat="1" ht="60.75" customHeight="1" thickBot="1">
      <c r="B72" s="511" t="str">
        <f>B43</f>
        <v>STAG</v>
      </c>
      <c r="C72" s="284">
        <v>45677</v>
      </c>
      <c r="D72" s="378">
        <f>[23]January_2025!$W$13</f>
        <v>498.7</v>
      </c>
      <c r="E72" s="379"/>
      <c r="F72" s="380"/>
      <c r="G72" s="304">
        <f>[23]January_2025!$W$17</f>
        <v>464.8</v>
      </c>
      <c r="H72" s="382"/>
      <c r="I72" s="383"/>
      <c r="J72" s="391" t="s">
        <v>180</v>
      </c>
      <c r="K72" s="381">
        <f>[24]January_2025!$W$25</f>
        <v>1.6308771929824561</v>
      </c>
      <c r="L72" s="315">
        <f>(((D72+E72)-G72)/(D72+E72))*100</f>
        <v>6.7976739522759138</v>
      </c>
      <c r="M72" s="358" t="s">
        <v>179</v>
      </c>
      <c r="N72" s="13"/>
      <c r="O72" s="13"/>
      <c r="P72" s="50"/>
      <c r="T72" s="273" t="s">
        <v>54</v>
      </c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80"/>
      <c r="AV72" s="280"/>
      <c r="AW72" s="280"/>
      <c r="AX72" s="280"/>
    </row>
    <row r="73" spans="2:58" s="54" customFormat="1" ht="18.75" customHeight="1" thickBot="1">
      <c r="B73" s="388"/>
      <c r="C73" s="284"/>
      <c r="D73" s="280"/>
      <c r="E73" s="280"/>
      <c r="F73" s="280"/>
      <c r="G73" s="280"/>
      <c r="H73" s="321"/>
      <c r="I73" s="322"/>
      <c r="J73" s="390" t="s">
        <v>41</v>
      </c>
      <c r="K73" s="377"/>
      <c r="L73" s="315"/>
      <c r="M73" s="385"/>
      <c r="N73" s="13"/>
      <c r="O73" s="13"/>
      <c r="P73" s="50"/>
      <c r="T73" s="273" t="s">
        <v>51</v>
      </c>
      <c r="U73" s="57" t="e">
        <f>[20]January_2019!D8</f>
        <v>#DIV/0!</v>
      </c>
      <c r="V73" s="57">
        <f>[20]January_2019!E8</f>
        <v>1.0319298245614037</v>
      </c>
      <c r="W73" s="57">
        <f>[20]January_2019!F8</f>
        <v>1.7789473684210526</v>
      </c>
      <c r="X73" s="57">
        <f>[20]January_2019!G8</f>
        <v>0.51929824561403504</v>
      </c>
      <c r="Y73" s="57" t="e">
        <f>[20]January_2019!H8</f>
        <v>#DIV/0!</v>
      </c>
      <c r="Z73" s="57" t="e">
        <f>[20]January_2019!I8</f>
        <v>#DIV/0!</v>
      </c>
      <c r="AA73" s="57">
        <f>[20]January_2019!J8</f>
        <v>1.365263157894737</v>
      </c>
      <c r="AB73" s="57" t="e">
        <f>[20]January_2019!K8</f>
        <v>#DIV/0!</v>
      </c>
      <c r="AC73" s="57">
        <f>[20]January_2019!L8</f>
        <v>1.0028070175438597</v>
      </c>
      <c r="AD73" s="57">
        <f>[20]January_2019!M8</f>
        <v>1.7828070175438597</v>
      </c>
      <c r="AE73" s="57" t="e">
        <f>[20]January_2019!N8</f>
        <v>#DIV/0!</v>
      </c>
      <c r="AF73" s="57" t="e">
        <f>[20]January_2019!O8</f>
        <v>#DIV/0!</v>
      </c>
      <c r="AG73" s="57">
        <f>[20]January_2019!P8</f>
        <v>0.19222222222222221</v>
      </c>
      <c r="AH73" s="57">
        <f>[20]January_2019!Q8</f>
        <v>0.52219298245614032</v>
      </c>
      <c r="AI73" s="57">
        <f>[20]January_2019!R8</f>
        <v>0.42912280701754385</v>
      </c>
      <c r="AJ73" s="57" t="e">
        <f>[20]January_2019!S8</f>
        <v>#DIV/0!</v>
      </c>
      <c r="AK73" s="57">
        <f>[20]January_2019!T8</f>
        <v>1.0340350877192983</v>
      </c>
      <c r="AL73" s="57">
        <f>[20]January_2019!U8</f>
        <v>0.98421052631578942</v>
      </c>
      <c r="AM73" s="57" t="e">
        <f>[20]January_2019!V8</f>
        <v>#DIV/0!</v>
      </c>
      <c r="AN73" s="57" t="e">
        <f>[20]January_2019!W8</f>
        <v>#DIV/0!</v>
      </c>
      <c r="AO73" s="57">
        <f>[20]January_2019!X8</f>
        <v>0.66052631578947374</v>
      </c>
      <c r="AP73" s="57">
        <f>[20]January_2019!Y8</f>
        <v>1.0375438596491227</v>
      </c>
      <c r="AQ73" s="57">
        <f>[20]January_2019!Z8</f>
        <v>0.90456140350877201</v>
      </c>
      <c r="AR73" s="57">
        <f>[20]January_2019!AA8</f>
        <v>1.0217543859649123</v>
      </c>
      <c r="AS73" s="57">
        <f>[20]January_2019!AB8</f>
        <v>0.65614035087719302</v>
      </c>
      <c r="AT73" s="57" t="e">
        <f>[20]January_2019!AC8</f>
        <v>#DIV/0!</v>
      </c>
      <c r="AU73" s="57" t="e">
        <f>[20]January_2019!AD8</f>
        <v>#DIV/0!</v>
      </c>
      <c r="AV73" s="57">
        <f>[20]January_2019!AE8</f>
        <v>1.7021052631578948</v>
      </c>
      <c r="AW73" s="57">
        <f>[20]January_2019!AF8</f>
        <v>0.60192982456140354</v>
      </c>
      <c r="AX73" s="57">
        <f>[20]January_2019!AG8</f>
        <v>1.4870175438596491</v>
      </c>
      <c r="AY73" s="278" t="e">
        <f>[20]January_2019!AH8</f>
        <v>#DIV/0!</v>
      </c>
      <c r="AZ73" s="278"/>
      <c r="BA73" s="278"/>
      <c r="BB73" s="278"/>
      <c r="BC73" s="278"/>
      <c r="BD73" s="278"/>
      <c r="BE73" s="278"/>
      <c r="BF73" s="278"/>
    </row>
    <row r="74" spans="2:58" s="54" customFormat="1" ht="23.25" hidden="1" customHeight="1" thickBot="1">
      <c r="B74" s="374"/>
      <c r="C74" s="284"/>
      <c r="D74" s="280"/>
      <c r="E74" s="280"/>
      <c r="F74" s="280"/>
      <c r="G74" s="280"/>
      <c r="H74" s="382"/>
      <c r="I74" s="383"/>
      <c r="J74" s="391"/>
      <c r="K74" s="373"/>
      <c r="L74" s="315"/>
      <c r="M74" s="358"/>
      <c r="N74" s="13"/>
      <c r="O74" s="13"/>
      <c r="P74" s="50"/>
      <c r="T74" s="273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278"/>
      <c r="AZ74" s="278"/>
      <c r="BA74" s="278"/>
      <c r="BB74" s="278"/>
      <c r="BC74" s="278"/>
      <c r="BD74" s="278"/>
      <c r="BE74" s="278"/>
      <c r="BF74" s="278"/>
    </row>
    <row r="75" spans="2:58" s="54" customFormat="1" ht="14.4" hidden="1" thickBot="1">
      <c r="B75" s="362"/>
      <c r="C75" s="284"/>
      <c r="D75" s="305"/>
      <c r="E75" s="280"/>
      <c r="F75" s="280"/>
      <c r="G75" s="280"/>
      <c r="H75" s="382"/>
      <c r="I75" s="383"/>
      <c r="J75" s="390"/>
      <c r="K75" s="377"/>
      <c r="L75" s="315"/>
      <c r="M75" s="355"/>
      <c r="N75" s="13"/>
      <c r="O75" s="13"/>
      <c r="P75" s="50"/>
      <c r="T75" s="273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278"/>
      <c r="AZ75" s="278"/>
      <c r="BA75" s="278"/>
      <c r="BB75" s="278"/>
      <c r="BC75" s="278"/>
      <c r="BD75" s="278"/>
      <c r="BE75" s="278"/>
      <c r="BF75" s="278"/>
    </row>
    <row r="76" spans="2:58" s="54" customFormat="1" ht="45.75" hidden="1" customHeight="1" thickBot="1">
      <c r="B76" s="386"/>
      <c r="C76" s="284"/>
      <c r="D76" s="280"/>
      <c r="E76" s="280"/>
      <c r="F76" s="280"/>
      <c r="G76" s="280"/>
      <c r="H76" s="321"/>
      <c r="I76" s="323"/>
      <c r="J76" s="361"/>
      <c r="K76" s="287"/>
      <c r="L76" s="315"/>
      <c r="M76" s="385"/>
      <c r="N76" s="13"/>
      <c r="O76" s="13"/>
      <c r="P76" s="50"/>
      <c r="T76" s="273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278"/>
      <c r="AZ76" s="278"/>
      <c r="BA76" s="278"/>
      <c r="BB76" s="278"/>
      <c r="BC76" s="278"/>
      <c r="BD76" s="278"/>
      <c r="BE76" s="278"/>
      <c r="BF76" s="278"/>
    </row>
    <row r="77" spans="2:58" s="54" customFormat="1" ht="45.75" hidden="1" customHeight="1" thickBot="1">
      <c r="B77" s="362"/>
      <c r="C77" s="284"/>
      <c r="D77" s="280"/>
      <c r="E77" s="280"/>
      <c r="F77" s="280"/>
      <c r="G77" s="280"/>
      <c r="H77" s="321"/>
      <c r="I77" s="323"/>
      <c r="J77" s="282"/>
      <c r="K77" s="287"/>
      <c r="L77" s="315"/>
      <c r="M77" s="340"/>
      <c r="N77" s="13"/>
      <c r="O77" s="13"/>
      <c r="P77" s="50"/>
      <c r="T77" s="273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278"/>
      <c r="AZ77" s="278"/>
      <c r="BA77" s="278"/>
      <c r="BB77" s="278"/>
      <c r="BC77" s="278"/>
      <c r="BD77" s="278"/>
      <c r="BE77" s="278"/>
      <c r="BF77" s="278"/>
    </row>
    <row r="78" spans="2:58" ht="14.4" hidden="1" thickBot="1">
      <c r="B78" s="33"/>
      <c r="C78" s="311"/>
      <c r="D78" s="280"/>
      <c r="E78" s="280"/>
      <c r="F78" s="280"/>
      <c r="G78" s="280"/>
      <c r="H78" s="353"/>
      <c r="I78" s="354"/>
      <c r="J78" s="52"/>
      <c r="K78" s="52"/>
      <c r="L78" s="53"/>
      <c r="M78" s="55"/>
      <c r="N78" s="77"/>
      <c r="O78" s="13"/>
      <c r="P78" s="56"/>
    </row>
    <row r="79" spans="2:58" ht="14.4" thickBot="1">
      <c r="B79" s="58"/>
      <c r="C79" s="310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9"/>
      <c r="O79" s="56"/>
      <c r="P79" s="60"/>
    </row>
    <row r="80" spans="2:58" ht="14.4" thickBot="1">
      <c r="B80" s="610" t="s">
        <v>55</v>
      </c>
      <c r="C80" s="611"/>
      <c r="D80" s="611"/>
      <c r="E80" s="611"/>
      <c r="F80" s="612"/>
      <c r="G80" s="610" t="s">
        <v>56</v>
      </c>
      <c r="H80" s="611"/>
      <c r="I80" s="611"/>
      <c r="J80" s="612"/>
      <c r="K80" s="610" t="s">
        <v>51</v>
      </c>
      <c r="L80" s="611"/>
      <c r="M80" s="611"/>
      <c r="N80" s="613"/>
      <c r="O80" s="56"/>
      <c r="P80" s="50"/>
    </row>
    <row r="81" spans="2:16">
      <c r="B81" s="61" t="s">
        <v>17</v>
      </c>
      <c r="C81" s="62" t="s">
        <v>36</v>
      </c>
      <c r="D81" s="62" t="s">
        <v>37</v>
      </c>
      <c r="E81" s="62" t="s">
        <v>38</v>
      </c>
      <c r="F81" s="63" t="s">
        <v>39</v>
      </c>
      <c r="G81" s="62" t="s">
        <v>36</v>
      </c>
      <c r="H81" s="62" t="s">
        <v>37</v>
      </c>
      <c r="I81" s="62" t="s">
        <v>38</v>
      </c>
      <c r="J81" s="63" t="s">
        <v>39</v>
      </c>
      <c r="K81" s="62" t="s">
        <v>36</v>
      </c>
      <c r="L81" s="62" t="s">
        <v>37</v>
      </c>
      <c r="M81" s="62" t="s">
        <v>38</v>
      </c>
      <c r="N81" s="63" t="s">
        <v>39</v>
      </c>
      <c r="O81" s="56"/>
      <c r="P81" s="64"/>
    </row>
    <row r="82" spans="2:16">
      <c r="B82" s="29" t="s">
        <v>6</v>
      </c>
      <c r="C82" s="65"/>
      <c r="D82" s="76">
        <v>8.851993992991817</v>
      </c>
      <c r="E82" s="76"/>
      <c r="F82" s="66">
        <v>4.8</v>
      </c>
      <c r="G82" s="65"/>
      <c r="H82" s="76">
        <v>10.305764255799362</v>
      </c>
      <c r="I82" s="76"/>
      <c r="J82" s="66">
        <v>4.8</v>
      </c>
      <c r="K82" s="67"/>
      <c r="L82" s="194">
        <v>0.97232456140350876</v>
      </c>
      <c r="M82" s="194"/>
      <c r="N82" s="68">
        <v>1</v>
      </c>
      <c r="O82" s="56"/>
      <c r="P82" s="69"/>
    </row>
    <row r="83" spans="2:16">
      <c r="B83" s="33" t="s">
        <v>9</v>
      </c>
      <c r="C83" s="65">
        <f>L72</f>
        <v>6.7976739522759138</v>
      </c>
      <c r="D83" s="76">
        <v>6.7850094667561489</v>
      </c>
      <c r="E83" s="76"/>
      <c r="F83" s="66">
        <v>4.8</v>
      </c>
      <c r="G83" s="65">
        <f>[23]January_2025!$W$21</f>
        <v>7.3263743431463153</v>
      </c>
      <c r="H83" s="76">
        <v>11.587687428344005</v>
      </c>
      <c r="I83" s="76"/>
      <c r="J83" s="66">
        <v>4.8</v>
      </c>
      <c r="K83" s="67">
        <f>[24]January_2025!$W$25</f>
        <v>1.6308771929824561</v>
      </c>
      <c r="L83" s="194">
        <v>1.0883040935672514</v>
      </c>
      <c r="M83" s="194"/>
      <c r="N83" s="68">
        <v>1</v>
      </c>
      <c r="P83" s="69"/>
    </row>
    <row r="84" spans="2:16">
      <c r="B84" s="34" t="s">
        <v>40</v>
      </c>
      <c r="C84" s="65"/>
      <c r="D84" s="76">
        <v>7.5530586766541949</v>
      </c>
      <c r="E84" s="76"/>
      <c r="F84" s="66">
        <v>5.5</v>
      </c>
      <c r="G84" s="65"/>
      <c r="H84" s="76">
        <v>2.6473552031086438</v>
      </c>
      <c r="I84" s="76"/>
      <c r="J84" s="66">
        <v>5.5</v>
      </c>
      <c r="K84" s="67"/>
      <c r="L84" s="194">
        <v>1.0392982456140349</v>
      </c>
      <c r="M84" s="194"/>
      <c r="N84" s="68">
        <v>1</v>
      </c>
      <c r="P84" s="69"/>
    </row>
    <row r="85" spans="2:16">
      <c r="B85" s="22" t="s">
        <v>33</v>
      </c>
      <c r="C85" s="65"/>
      <c r="D85" s="76">
        <v>2.2380467955239092</v>
      </c>
      <c r="E85" s="76"/>
      <c r="F85" s="66">
        <v>3.3</v>
      </c>
      <c r="G85" s="65"/>
      <c r="H85" s="76">
        <v>5.2472220688473969</v>
      </c>
      <c r="I85" s="76"/>
      <c r="J85" s="66">
        <v>3.3</v>
      </c>
      <c r="K85" s="67"/>
      <c r="L85" s="194">
        <v>0.67438596491228064</v>
      </c>
      <c r="M85" s="194"/>
      <c r="N85" s="68">
        <v>1</v>
      </c>
      <c r="P85" s="69"/>
    </row>
    <row r="86" spans="2:16">
      <c r="B86" s="35" t="s">
        <v>29</v>
      </c>
      <c r="C86" s="65"/>
      <c r="D86" s="76"/>
      <c r="E86" s="76"/>
      <c r="F86" s="66">
        <v>3.3</v>
      </c>
      <c r="G86" s="283"/>
      <c r="H86" s="76"/>
      <c r="I86" s="76"/>
      <c r="J86" s="66">
        <v>3</v>
      </c>
      <c r="K86" s="67"/>
      <c r="L86" s="194"/>
      <c r="M86" s="194"/>
      <c r="N86" s="68">
        <v>1</v>
      </c>
      <c r="P86" s="69"/>
    </row>
    <row r="87" spans="2:16">
      <c r="B87" s="36" t="s">
        <v>15</v>
      </c>
      <c r="C87" s="283"/>
      <c r="D87" s="76"/>
      <c r="E87" s="76"/>
      <c r="F87" s="70">
        <f>[21]May_2022!$M$43</f>
        <v>3.4878406700073312</v>
      </c>
      <c r="G87" s="283"/>
      <c r="H87" s="76"/>
      <c r="I87" s="76"/>
      <c r="J87" s="70">
        <v>5.5</v>
      </c>
      <c r="K87" s="67"/>
      <c r="L87" s="194"/>
      <c r="M87" s="194"/>
      <c r="N87" s="68">
        <v>1</v>
      </c>
      <c r="P87" s="69"/>
    </row>
    <row r="88" spans="2:16">
      <c r="B88" s="37" t="s">
        <v>16</v>
      </c>
      <c r="C88" s="65"/>
      <c r="D88" s="76"/>
      <c r="E88" s="76"/>
      <c r="F88" s="70">
        <v>3.3</v>
      </c>
      <c r="G88" s="283"/>
      <c r="H88" s="76"/>
      <c r="I88" s="76"/>
      <c r="J88" s="70">
        <v>3.3</v>
      </c>
      <c r="K88" s="67"/>
      <c r="L88" s="194"/>
      <c r="M88" s="194"/>
      <c r="N88" s="71">
        <v>1</v>
      </c>
      <c r="P88" s="69"/>
    </row>
    <row r="89" spans="2:16" ht="14.4" thickBot="1">
      <c r="B89" s="38" t="s">
        <v>127</v>
      </c>
      <c r="C89" s="65"/>
      <c r="D89" s="76"/>
      <c r="E89" s="76"/>
      <c r="F89" s="72">
        <v>7.5</v>
      </c>
      <c r="G89" s="73"/>
      <c r="H89" s="76"/>
      <c r="I89" s="76"/>
      <c r="J89" s="72">
        <v>7.5</v>
      </c>
      <c r="K89" s="67"/>
      <c r="L89" s="194"/>
      <c r="M89" s="194"/>
      <c r="N89" s="71">
        <v>1</v>
      </c>
      <c r="P89" s="69"/>
    </row>
    <row r="90" spans="2:16">
      <c r="C90" s="65"/>
      <c r="D90" s="76">
        <v>6.7275556802816645</v>
      </c>
      <c r="E90" s="76"/>
      <c r="F90" s="342">
        <v>4.5</v>
      </c>
      <c r="G90" s="74"/>
      <c r="H90" s="76">
        <v>6.9593481484924711</v>
      </c>
      <c r="I90" s="76"/>
      <c r="J90" s="343">
        <v>4.5</v>
      </c>
      <c r="K90" s="67"/>
      <c r="L90" s="194">
        <v>0.80685146198830426</v>
      </c>
      <c r="M90" s="194"/>
      <c r="N90" s="387">
        <v>1</v>
      </c>
      <c r="O90" s="74"/>
      <c r="P90" s="75"/>
    </row>
    <row r="95" spans="2:16">
      <c r="F95" s="316"/>
    </row>
    <row r="103" spans="30:30">
      <c r="AD103" s="276" t="s">
        <v>57</v>
      </c>
    </row>
  </sheetData>
  <mergeCells count="52">
    <mergeCell ref="M70:M71"/>
    <mergeCell ref="B80:F80"/>
    <mergeCell ref="G80:J80"/>
    <mergeCell ref="K80:N80"/>
    <mergeCell ref="I8:I9"/>
    <mergeCell ref="H8:H9"/>
    <mergeCell ref="G70:G71"/>
    <mergeCell ref="H70:H71"/>
    <mergeCell ref="I70:I71"/>
    <mergeCell ref="J70:J71"/>
    <mergeCell ref="K70:K71"/>
    <mergeCell ref="L70:L71"/>
    <mergeCell ref="D65:E65"/>
    <mergeCell ref="B70:B71"/>
    <mergeCell ref="C70:C71"/>
    <mergeCell ref="D70:D71"/>
    <mergeCell ref="E70:E71"/>
    <mergeCell ref="F70:F71"/>
    <mergeCell ref="B55:B64"/>
    <mergeCell ref="D55:E56"/>
    <mergeCell ref="J55:K55"/>
    <mergeCell ref="L56:N56"/>
    <mergeCell ref="D57:E58"/>
    <mergeCell ref="D59:E60"/>
    <mergeCell ref="D61:E62"/>
    <mergeCell ref="D63:E64"/>
    <mergeCell ref="V1:W1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X1:Y1"/>
    <mergeCell ref="Z1:AA1"/>
    <mergeCell ref="B2:O2"/>
    <mergeCell ref="Q8:Q9"/>
    <mergeCell ref="B8:B9"/>
    <mergeCell ref="C8:C9"/>
    <mergeCell ref="D8:D9"/>
    <mergeCell ref="G8:G9"/>
    <mergeCell ref="J8:J9"/>
    <mergeCell ref="K8:K9"/>
    <mergeCell ref="L8:L9"/>
    <mergeCell ref="O8:O9"/>
    <mergeCell ref="P8:P9"/>
    <mergeCell ref="C4:D4"/>
    <mergeCell ref="M4:N4"/>
    <mergeCell ref="T1:U1"/>
  </mergeCells>
  <conditionalFormatting sqref="B65:B66">
    <cfRule type="cellIs" dxfId="1383" priority="148" operator="notBetween">
      <formula>#REF!</formula>
      <formula>#REF!</formula>
    </cfRule>
  </conditionalFormatting>
  <conditionalFormatting sqref="C69">
    <cfRule type="cellIs" dxfId="1382" priority="179" stopIfTrue="1" operator="lessThan">
      <formula>96</formula>
    </cfRule>
    <cfRule type="cellIs" dxfId="1381" priority="180" stopIfTrue="1" operator="greaterThan">
      <formula>100</formula>
    </cfRule>
  </conditionalFormatting>
  <conditionalFormatting sqref="C82">
    <cfRule type="cellIs" dxfId="1380" priority="68" stopIfTrue="1" operator="greaterThan">
      <formula>$F82</formula>
    </cfRule>
  </conditionalFormatting>
  <conditionalFormatting sqref="C82:C83">
    <cfRule type="cellIs" dxfId="1379" priority="69" stopIfTrue="1" operator="lessThanOrEqual">
      <formula>0</formula>
    </cfRule>
  </conditionalFormatting>
  <conditionalFormatting sqref="C83">
    <cfRule type="cellIs" dxfId="1378" priority="183" stopIfTrue="1" operator="greaterThan">
      <formula>$F82</formula>
    </cfRule>
  </conditionalFormatting>
  <conditionalFormatting sqref="C84:C86">
    <cfRule type="cellIs" dxfId="1377" priority="98" stopIfTrue="1" operator="greaterThan">
      <formula>$F84</formula>
    </cfRule>
  </conditionalFormatting>
  <conditionalFormatting sqref="C84:C87">
    <cfRule type="cellIs" dxfId="1376" priority="121" stopIfTrue="1" operator="lessThanOrEqual">
      <formula>0</formula>
    </cfRule>
  </conditionalFormatting>
  <conditionalFormatting sqref="C87">
    <cfRule type="cellIs" dxfId="1375" priority="120" stopIfTrue="1" operator="greaterThan">
      <formula>$J87</formula>
    </cfRule>
  </conditionalFormatting>
  <conditionalFormatting sqref="C93:C97">
    <cfRule type="cellIs" dxfId="1374" priority="171" stopIfTrue="1" operator="lessThanOrEqual">
      <formula>0</formula>
    </cfRule>
  </conditionalFormatting>
  <conditionalFormatting sqref="C94:C97">
    <cfRule type="cellIs" dxfId="1373" priority="170" stopIfTrue="1" operator="greaterThan">
      <formula>$F$93</formula>
    </cfRule>
  </conditionalFormatting>
  <conditionalFormatting sqref="C99">
    <cfRule type="cellIs" dxfId="1372" priority="173" stopIfTrue="1" operator="lessThanOrEqual">
      <formula>0</formula>
    </cfRule>
    <cfRule type="cellIs" dxfId="1371" priority="172" stopIfTrue="1" operator="greaterThan">
      <formula>$F$93</formula>
    </cfRule>
  </conditionalFormatting>
  <conditionalFormatting sqref="C93:D93 D95:D101">
    <cfRule type="cellIs" dxfId="1370" priority="165" stopIfTrue="1" operator="greaterThan">
      <formula>4.5</formula>
    </cfRule>
  </conditionalFormatting>
  <conditionalFormatting sqref="D65:D66">
    <cfRule type="cellIs" dxfId="1369" priority="149" operator="notBetween">
      <formula>#REF!</formula>
      <formula>#REF!</formula>
    </cfRule>
  </conditionalFormatting>
  <conditionalFormatting sqref="D82:D89">
    <cfRule type="cellIs" dxfId="1368" priority="135" stopIfTrue="1" operator="lessThanOrEqual">
      <formula>0</formula>
    </cfRule>
  </conditionalFormatting>
  <conditionalFormatting sqref="D90">
    <cfRule type="cellIs" dxfId="1367" priority="134" stopIfTrue="1" operator="lessThanOrEqual">
      <formula>0</formula>
    </cfRule>
  </conditionalFormatting>
  <conditionalFormatting sqref="D93 D95:D101">
    <cfRule type="cellIs" dxfId="1366" priority="166" stopIfTrue="1" operator="lessThanOrEqual">
      <formula>0</formula>
    </cfRule>
  </conditionalFormatting>
  <conditionalFormatting sqref="D94">
    <cfRule type="cellIs" dxfId="1365" priority="158" stopIfTrue="1" operator="lessThanOrEqual">
      <formula>0</formula>
    </cfRule>
    <cfRule type="cellIs" dxfId="1364" priority="157" stopIfTrue="1" operator="greaterThan">
      <formula>$F$93</formula>
    </cfRule>
  </conditionalFormatting>
  <conditionalFormatting sqref="D82:E90">
    <cfRule type="cellIs" dxfId="1363" priority="127" stopIfTrue="1" operator="greaterThan">
      <formula>$F82</formula>
    </cfRule>
  </conditionalFormatting>
  <conditionalFormatting sqref="E10:E40">
    <cfRule type="cellIs" dxfId="1362" priority="7" operator="lessThan">
      <formula>48</formula>
    </cfRule>
  </conditionalFormatting>
  <conditionalFormatting sqref="E69">
    <cfRule type="cellIs" dxfId="1361" priority="160" stopIfTrue="1" operator="greaterThan">
      <formula>100</formula>
    </cfRule>
    <cfRule type="cellIs" dxfId="1360" priority="159" stopIfTrue="1" operator="lessThan">
      <formula>96.8</formula>
    </cfRule>
  </conditionalFormatting>
  <conditionalFormatting sqref="E82:E90">
    <cfRule type="cellIs" dxfId="1359" priority="128" stopIfTrue="1" operator="lessThanOrEqual">
      <formula>0</formula>
    </cfRule>
  </conditionalFormatting>
  <conditionalFormatting sqref="E93:E101">
    <cfRule type="cellIs" dxfId="1358" priority="151" stopIfTrue="1" operator="greaterThan">
      <formula>4.5</formula>
    </cfRule>
    <cfRule type="cellIs" dxfId="1357" priority="152" stopIfTrue="1" operator="lessThanOrEqual">
      <formula>0</formula>
    </cfRule>
  </conditionalFormatting>
  <conditionalFormatting sqref="E68:F69">
    <cfRule type="cellIs" dxfId="1356" priority="162" stopIfTrue="1" operator="greaterThan">
      <formula>100</formula>
    </cfRule>
    <cfRule type="cellIs" dxfId="1355" priority="161" stopIfTrue="1" operator="lessThan">
      <formula>96.5</formula>
    </cfRule>
  </conditionalFormatting>
  <conditionalFormatting sqref="F10:F36">
    <cfRule type="cellIs" dxfId="1354" priority="9" operator="greaterThan">
      <formula>60</formula>
    </cfRule>
  </conditionalFormatting>
  <conditionalFormatting sqref="F37:F40">
    <cfRule type="cellIs" dxfId="1353" priority="55" operator="greaterThan">
      <formula>$AA37</formula>
    </cfRule>
    <cfRule type="cellIs" dxfId="1352" priority="184" operator="greaterThan">
      <formula>$AA76</formula>
    </cfRule>
  </conditionalFormatting>
  <conditionalFormatting sqref="F69">
    <cfRule type="cellIs" dxfId="1351" priority="177" stopIfTrue="1" operator="lessThan">
      <formula>96.8</formula>
    </cfRule>
    <cfRule type="cellIs" dxfId="1350" priority="178" stopIfTrue="1" operator="greaterThan">
      <formula>100</formula>
    </cfRule>
  </conditionalFormatting>
  <conditionalFormatting sqref="F90">
    <cfRule type="cellIs" dxfId="1349" priority="129" stopIfTrue="1" operator="greaterThan">
      <formula>$F90</formula>
    </cfRule>
    <cfRule type="cellIs" dxfId="1348" priority="130" stopIfTrue="1" operator="lessThanOrEqual">
      <formula>0</formula>
    </cfRule>
  </conditionalFormatting>
  <conditionalFormatting sqref="G82:G83 C88:C90">
    <cfRule type="cellIs" dxfId="1347" priority="136" stopIfTrue="1" operator="greaterThan">
      <formula>$F82</formula>
    </cfRule>
    <cfRule type="cellIs" dxfId="1346" priority="137" stopIfTrue="1" operator="lessThanOrEqual">
      <formula>0</formula>
    </cfRule>
  </conditionalFormatting>
  <conditionalFormatting sqref="G82:G83">
    <cfRule type="cellIs" dxfId="1345" priority="76" stopIfTrue="1" operator="greaterThan">
      <formula>$F82</formula>
    </cfRule>
    <cfRule type="cellIs" dxfId="1344" priority="77" stopIfTrue="1" operator="lessThanOrEqual">
      <formula>0</formula>
    </cfRule>
  </conditionalFormatting>
  <conditionalFormatting sqref="G84">
    <cfRule type="cellIs" dxfId="1343" priority="181" stopIfTrue="1" operator="greaterThan">
      <formula>$F83</formula>
    </cfRule>
    <cfRule type="cellIs" dxfId="1342" priority="182" stopIfTrue="1" operator="lessThanOrEqual">
      <formula>0</formula>
    </cfRule>
  </conditionalFormatting>
  <conditionalFormatting sqref="G85">
    <cfRule type="cellIs" dxfId="1341" priority="132" stopIfTrue="1" operator="lessThanOrEqual">
      <formula>0</formula>
    </cfRule>
    <cfRule type="cellIs" dxfId="1340" priority="131" stopIfTrue="1" operator="greaterThan">
      <formula>$F85</formula>
    </cfRule>
  </conditionalFormatting>
  <conditionalFormatting sqref="G86:G89">
    <cfRule type="cellIs" dxfId="1339" priority="139" stopIfTrue="1" operator="greaterThan">
      <formula>$J86</formula>
    </cfRule>
    <cfRule type="cellIs" dxfId="1338" priority="140" stopIfTrue="1" operator="lessThanOrEqual">
      <formula>0</formula>
    </cfRule>
  </conditionalFormatting>
  <conditionalFormatting sqref="G90">
    <cfRule type="cellIs" dxfId="1337" priority="138" operator="greaterThan">
      <formula>4.5</formula>
    </cfRule>
  </conditionalFormatting>
  <conditionalFormatting sqref="G95:G100 C98 C100">
    <cfRule type="cellIs" dxfId="1336" priority="174" stopIfTrue="1" operator="greaterThan">
      <formula>4.5</formula>
    </cfRule>
    <cfRule type="cellIs" dxfId="1335" priority="175" stopIfTrue="1" operator="lessThanOrEqual">
      <formula>0</formula>
    </cfRule>
  </conditionalFormatting>
  <conditionalFormatting sqref="G10:H40">
    <cfRule type="expression" dxfId="1334" priority="10">
      <formula>IF(+(IF(G10&lt;#REF!,0,IF(G10&gt;#REF!,0,1)))=0,1)</formula>
    </cfRule>
  </conditionalFormatting>
  <conditionalFormatting sqref="G94:H94">
    <cfRule type="cellIs" dxfId="1333" priority="155" stopIfTrue="1" operator="greaterThan">
      <formula>$F$93</formula>
    </cfRule>
    <cfRule type="cellIs" dxfId="1332" priority="156" stopIfTrue="1" operator="lessThanOrEqual">
      <formula>0</formula>
    </cfRule>
  </conditionalFormatting>
  <conditionalFormatting sqref="H44:H54 G55:H56 G57:G66">
    <cfRule type="cellIs" dxfId="1331" priority="153" stopIfTrue="1" operator="greaterThan">
      <formula>0</formula>
    </cfRule>
  </conditionalFormatting>
  <conditionalFormatting sqref="H72">
    <cfRule type="cellIs" dxfId="1330" priority="66" stopIfTrue="1" operator="greaterThan">
      <formula>#REF!</formula>
    </cfRule>
    <cfRule type="cellIs" dxfId="1329" priority="67" stopIfTrue="1" operator="lessThanOrEqual">
      <formula>0</formula>
    </cfRule>
    <cfRule type="cellIs" dxfId="1328" priority="57" stopIfTrue="1" operator="lessThanOrEqual">
      <formula>0</formula>
    </cfRule>
    <cfRule type="cellIs" dxfId="1327" priority="58" stopIfTrue="1" operator="greaterThan">
      <formula>#REF!</formula>
    </cfRule>
  </conditionalFormatting>
  <conditionalFormatting sqref="H73">
    <cfRule type="cellIs" dxfId="1326" priority="96" stopIfTrue="1" operator="greaterThan">
      <formula>$F$82</formula>
    </cfRule>
    <cfRule type="cellIs" dxfId="1325" priority="97" stopIfTrue="1" operator="lessThanOrEqual">
      <formula>0</formula>
    </cfRule>
    <cfRule type="cellIs" dxfId="1324" priority="86" stopIfTrue="1" operator="greaterThan">
      <formula>$F$81</formula>
    </cfRule>
    <cfRule type="cellIs" dxfId="1323" priority="85" stopIfTrue="1" operator="lessThanOrEqual">
      <formula>0</formula>
    </cfRule>
    <cfRule type="cellIs" dxfId="1322" priority="94" stopIfTrue="1" operator="greaterThan">
      <formula>$F$84</formula>
    </cfRule>
    <cfRule type="cellIs" dxfId="1321" priority="95" stopIfTrue="1" operator="lessThanOrEqual">
      <formula>0</formula>
    </cfRule>
  </conditionalFormatting>
  <conditionalFormatting sqref="H74">
    <cfRule type="cellIs" dxfId="1320" priority="33" stopIfTrue="1" operator="greaterThan">
      <formula>#REF!</formula>
    </cfRule>
    <cfRule type="cellIs" dxfId="1319" priority="32" stopIfTrue="1" operator="lessThanOrEqual">
      <formula>0</formula>
    </cfRule>
    <cfRule type="cellIs" dxfId="1318" priority="41" stopIfTrue="1" operator="greaterThan">
      <formula>#REF!</formula>
    </cfRule>
  </conditionalFormatting>
  <conditionalFormatting sqref="H74:H75">
    <cfRule type="cellIs" dxfId="1317" priority="42" stopIfTrue="1" operator="lessThanOrEqual">
      <formula>0</formula>
    </cfRule>
  </conditionalFormatting>
  <conditionalFormatting sqref="H75">
    <cfRule type="cellIs" dxfId="1316" priority="54" stopIfTrue="1" operator="lessThanOrEqual">
      <formula>0</formula>
    </cfRule>
    <cfRule type="cellIs" dxfId="1315" priority="53" stopIfTrue="1" operator="greaterThan">
      <formula>#REF!</formula>
    </cfRule>
    <cfRule type="cellIs" dxfId="1314" priority="45" stopIfTrue="1" operator="greaterThan">
      <formula>#REF!</formula>
    </cfRule>
  </conditionalFormatting>
  <conditionalFormatting sqref="H76:H77">
    <cfRule type="cellIs" dxfId="1313" priority="115" stopIfTrue="1" operator="lessThanOrEqual">
      <formula>0</formula>
    </cfRule>
    <cfRule type="cellIs" dxfId="1312" priority="114" stopIfTrue="1" operator="greaterThan">
      <formula>$F$85</formula>
    </cfRule>
    <cfRule type="cellIs" dxfId="1311" priority="106" stopIfTrue="1" operator="greaterThan">
      <formula>$F$82</formula>
    </cfRule>
    <cfRule type="cellIs" dxfId="1310" priority="117" stopIfTrue="1" operator="lessThanOrEqual">
      <formula>0</formula>
    </cfRule>
    <cfRule type="cellIs" dxfId="1309" priority="116" stopIfTrue="1" operator="greaterThan">
      <formula>$F$83</formula>
    </cfRule>
    <cfRule type="cellIs" dxfId="1308" priority="80" stopIfTrue="1" operator="lessThanOrEqual">
      <formula>0</formula>
    </cfRule>
  </conditionalFormatting>
  <conditionalFormatting sqref="H78">
    <cfRule type="cellIs" dxfId="1307" priority="144" stopIfTrue="1" operator="greaterThan">
      <formula>$F$79</formula>
    </cfRule>
    <cfRule type="cellIs" dxfId="1306" priority="145" stopIfTrue="1" operator="lessThanOrEqual">
      <formula>0</formula>
    </cfRule>
    <cfRule type="cellIs" dxfId="1305" priority="146" stopIfTrue="1" operator="greaterThan">
      <formula>$F$75</formula>
    </cfRule>
    <cfRule type="cellIs" dxfId="1304" priority="147" stopIfTrue="1" operator="lessThanOrEqual">
      <formula>0</formula>
    </cfRule>
  </conditionalFormatting>
  <conditionalFormatting sqref="H82:H89">
    <cfRule type="cellIs" dxfId="1303" priority="118" stopIfTrue="1" operator="greaterThan">
      <formula>$J82</formula>
    </cfRule>
    <cfRule type="cellIs" dxfId="1302" priority="119" stopIfTrue="1" operator="lessThanOrEqual">
      <formula>0</formula>
    </cfRule>
  </conditionalFormatting>
  <conditionalFormatting sqref="H90">
    <cfRule type="cellIs" dxfId="1301" priority="124" operator="greaterThan">
      <formula>5.3</formula>
    </cfRule>
  </conditionalFormatting>
  <conditionalFormatting sqref="H93 H95:H101">
    <cfRule type="cellIs" dxfId="1300" priority="168" stopIfTrue="1" operator="lessThanOrEqual">
      <formula>0</formula>
    </cfRule>
    <cfRule type="cellIs" dxfId="1299" priority="167" stopIfTrue="1" operator="greaterThan">
      <formula>4.5</formula>
    </cfRule>
  </conditionalFormatting>
  <conditionalFormatting sqref="H72:I72">
    <cfRule type="cellIs" dxfId="1298" priority="65" stopIfTrue="1" operator="lessThanOrEqual">
      <formula>0</formula>
    </cfRule>
    <cfRule type="cellIs" dxfId="1297" priority="56" stopIfTrue="1" operator="greaterThan">
      <formula>#REF!</formula>
    </cfRule>
    <cfRule type="cellIs" dxfId="1296" priority="59" stopIfTrue="1" operator="lessThanOrEqual">
      <formula>0</formula>
    </cfRule>
    <cfRule type="cellIs" dxfId="1295" priority="60" stopIfTrue="1" operator="greaterThan">
      <formula>#REF!</formula>
    </cfRule>
  </conditionalFormatting>
  <conditionalFormatting sqref="H73:I73">
    <cfRule type="cellIs" dxfId="1294" priority="87" stopIfTrue="1" operator="lessThanOrEqual">
      <formula>0</formula>
    </cfRule>
    <cfRule type="cellIs" dxfId="1293" priority="84" stopIfTrue="1" operator="greaterThan">
      <formula>$F$83</formula>
    </cfRule>
  </conditionalFormatting>
  <conditionalFormatting sqref="H74:I74">
    <cfRule type="cellIs" dxfId="1292" priority="40" stopIfTrue="1" operator="lessThanOrEqual">
      <formula>0</formula>
    </cfRule>
    <cfRule type="cellIs" dxfId="1291" priority="34" stopIfTrue="1" operator="lessThanOrEqual">
      <formula>0</formula>
    </cfRule>
    <cfRule type="cellIs" dxfId="1290" priority="31" stopIfTrue="1" operator="greaterThan">
      <formula>#REF!</formula>
    </cfRule>
  </conditionalFormatting>
  <conditionalFormatting sqref="H74:I75">
    <cfRule type="cellIs" dxfId="1289" priority="35" stopIfTrue="1" operator="greaterThan">
      <formula>#REF!</formula>
    </cfRule>
  </conditionalFormatting>
  <conditionalFormatting sqref="H75:I75">
    <cfRule type="cellIs" dxfId="1288" priority="49" stopIfTrue="1" operator="greaterThan">
      <formula>#REF!</formula>
    </cfRule>
    <cfRule type="cellIs" dxfId="1287" priority="46" stopIfTrue="1" operator="lessThanOrEqual">
      <formula>0</formula>
    </cfRule>
    <cfRule type="cellIs" dxfId="1286" priority="52" stopIfTrue="1" operator="lessThanOrEqual">
      <formula>0</formula>
    </cfRule>
  </conditionalFormatting>
  <conditionalFormatting sqref="H76:I76">
    <cfRule type="cellIs" dxfId="1285" priority="107" stopIfTrue="1" operator="lessThanOrEqual">
      <formula>0</formula>
    </cfRule>
  </conditionalFormatting>
  <conditionalFormatting sqref="H76:I77">
    <cfRule type="cellIs" dxfId="1284" priority="78" stopIfTrue="1" operator="greaterThan">
      <formula>$F$84</formula>
    </cfRule>
  </conditionalFormatting>
  <conditionalFormatting sqref="H77:I77">
    <cfRule type="cellIs" dxfId="1283" priority="79" stopIfTrue="1" operator="lessThanOrEqual">
      <formula>0</formula>
    </cfRule>
  </conditionalFormatting>
  <conditionalFormatting sqref="I37:I40">
    <cfRule type="cellIs" dxfId="1282" priority="73" operator="lessThan">
      <formula>98</formula>
    </cfRule>
    <cfRule type="cellIs" dxfId="1281" priority="70" operator="lessThan">
      <formula>97.8</formula>
    </cfRule>
  </conditionalFormatting>
  <conditionalFormatting sqref="I72">
    <cfRule type="cellIs" dxfId="1280" priority="63" stopIfTrue="1" operator="lessThanOrEqual">
      <formula>0</formula>
    </cfRule>
    <cfRule type="cellIs" dxfId="1279" priority="64" stopIfTrue="1" operator="greaterThan">
      <formula>#REF!</formula>
    </cfRule>
    <cfRule type="cellIs" dxfId="1278" priority="62" stopIfTrue="1" operator="greaterThan">
      <formula>#REF!</formula>
    </cfRule>
    <cfRule type="cellIs" dxfId="1277" priority="61" stopIfTrue="1" operator="lessThanOrEqual">
      <formula>0</formula>
    </cfRule>
  </conditionalFormatting>
  <conditionalFormatting sqref="I73">
    <cfRule type="cellIs" dxfId="1276" priority="92" stopIfTrue="1" operator="greaterThan">
      <formula>$F$81</formula>
    </cfRule>
    <cfRule type="cellIs" dxfId="1275" priority="93" stopIfTrue="1" operator="lessThanOrEqual">
      <formula>0</formula>
    </cfRule>
    <cfRule type="cellIs" dxfId="1274" priority="88" stopIfTrue="1" operator="greaterThan">
      <formula>$F$81</formula>
    </cfRule>
    <cfRule type="cellIs" dxfId="1273" priority="89" stopIfTrue="1" operator="lessThanOrEqual">
      <formula>0</formula>
    </cfRule>
    <cfRule type="cellIs" dxfId="1272" priority="90" stopIfTrue="1" operator="greaterThan">
      <formula>$F$83</formula>
    </cfRule>
    <cfRule type="cellIs" dxfId="1271" priority="91" stopIfTrue="1" operator="lessThanOrEqual">
      <formula>0</formula>
    </cfRule>
  </conditionalFormatting>
  <conditionalFormatting sqref="I74">
    <cfRule type="cellIs" dxfId="1270" priority="39" stopIfTrue="1" operator="greaterThan">
      <formula>#REF!</formula>
    </cfRule>
    <cfRule type="cellIs" dxfId="1269" priority="36" stopIfTrue="1" operator="lessThanOrEqual">
      <formula>0</formula>
    </cfRule>
    <cfRule type="cellIs" dxfId="1268" priority="37" stopIfTrue="1" operator="greaterThan">
      <formula>#REF!</formula>
    </cfRule>
    <cfRule type="cellIs" dxfId="1267" priority="38" stopIfTrue="1" operator="lessThanOrEqual">
      <formula>0</formula>
    </cfRule>
  </conditionalFormatting>
  <conditionalFormatting sqref="I75">
    <cfRule type="cellIs" dxfId="1266" priority="47" stopIfTrue="1" operator="greaterThan">
      <formula>#REF!</formula>
    </cfRule>
    <cfRule type="cellIs" dxfId="1265" priority="48" stopIfTrue="1" operator="lessThanOrEqual">
      <formula>0</formula>
    </cfRule>
    <cfRule type="cellIs" dxfId="1264" priority="51" stopIfTrue="1" operator="greaterThan">
      <formula>#REF!</formula>
    </cfRule>
    <cfRule type="cellIs" dxfId="1263" priority="50" stopIfTrue="1" operator="lessThanOrEqual">
      <formula>0</formula>
    </cfRule>
  </conditionalFormatting>
  <conditionalFormatting sqref="I76:I77">
    <cfRule type="cellIs" dxfId="1262" priority="109" stopIfTrue="1" operator="lessThanOrEqual">
      <formula>0</formula>
    </cfRule>
    <cfRule type="cellIs" dxfId="1261" priority="108" stopIfTrue="1" operator="greaterThan">
      <formula>$F$82</formula>
    </cfRule>
    <cfRule type="cellIs" dxfId="1260" priority="113" stopIfTrue="1" operator="lessThanOrEqual">
      <formula>0</formula>
    </cfRule>
    <cfRule type="cellIs" dxfId="1259" priority="110" stopIfTrue="1" operator="greaterThan">
      <formula>$F$84</formula>
    </cfRule>
    <cfRule type="cellIs" dxfId="1258" priority="111" stopIfTrue="1" operator="lessThanOrEqual">
      <formula>0</formula>
    </cfRule>
    <cfRule type="cellIs" dxfId="1257" priority="112" stopIfTrue="1" operator="greaterThan">
      <formula>$F$82</formula>
    </cfRule>
  </conditionalFormatting>
  <conditionalFormatting sqref="I82:I90">
    <cfRule type="cellIs" dxfId="1256" priority="126" stopIfTrue="1" operator="lessThanOrEqual">
      <formula>0</formula>
    </cfRule>
    <cfRule type="cellIs" dxfId="1255" priority="125" stopIfTrue="1" operator="greaterThan">
      <formula>$J82</formula>
    </cfRule>
  </conditionalFormatting>
  <conditionalFormatting sqref="I93:I101">
    <cfRule type="cellIs" dxfId="1254" priority="163" stopIfTrue="1" operator="greaterThan">
      <formula>4.5</formula>
    </cfRule>
    <cfRule type="cellIs" dxfId="1253" priority="164" stopIfTrue="1" operator="lessThanOrEqual">
      <formula>0</formula>
    </cfRule>
  </conditionalFormatting>
  <conditionalFormatting sqref="I10:J36">
    <cfRule type="cellIs" dxfId="1252" priority="11" operator="lessThan">
      <formula>97.9</formula>
    </cfRule>
  </conditionalFormatting>
  <conditionalFormatting sqref="J37:J40">
    <cfRule type="cellIs" dxfId="1251" priority="72" operator="lessThan">
      <formula>97.4</formula>
    </cfRule>
    <cfRule type="cellIs" dxfId="1250" priority="71" operator="notBetween">
      <formula>98</formula>
      <formula>99.9</formula>
    </cfRule>
  </conditionalFormatting>
  <conditionalFormatting sqref="J43:J45">
    <cfRule type="cellIs" dxfId="1249" priority="101" operator="lessThan">
      <formula>98</formula>
    </cfRule>
    <cfRule type="cellIs" dxfId="1248" priority="100" stopIfTrue="1" operator="greaterThan">
      <formula>100</formula>
    </cfRule>
    <cfRule type="cellIs" dxfId="1247" priority="99" stopIfTrue="1" operator="lessThan">
      <formula>96.8</formula>
    </cfRule>
  </conditionalFormatting>
  <conditionalFormatting sqref="J43:J47">
    <cfRule type="cellIs" dxfId="1246" priority="75" operator="lessThan">
      <formula>97.4</formula>
    </cfRule>
  </conditionalFormatting>
  <conditionalFormatting sqref="J48">
    <cfRule type="cellIs" dxfId="1245" priority="102" operator="lessThan">
      <formula>98</formula>
    </cfRule>
  </conditionalFormatting>
  <conditionalFormatting sqref="J49:J51">
    <cfRule type="cellIs" dxfId="1244" priority="103" stopIfTrue="1" operator="lessThan">
      <formula>96.8</formula>
    </cfRule>
    <cfRule type="cellIs" dxfId="1243" priority="104" stopIfTrue="1" operator="greaterThan">
      <formula>100</formula>
    </cfRule>
  </conditionalFormatting>
  <conditionalFormatting sqref="J49:J52">
    <cfRule type="cellIs" dxfId="1242" priority="105" operator="lessThan">
      <formula>98</formula>
    </cfRule>
  </conditionalFormatting>
  <conditionalFormatting sqref="K10:K40">
    <cfRule type="cellIs" dxfId="1241" priority="8" operator="greaterThan">
      <formula>6.4</formula>
    </cfRule>
    <cfRule type="cellIs" dxfId="1240" priority="4" operator="lessThan">
      <formula>4</formula>
    </cfRule>
    <cfRule type="cellIs" dxfId="1239" priority="3" operator="greaterThan">
      <formula>6</formula>
    </cfRule>
  </conditionalFormatting>
  <conditionalFormatting sqref="K57:K66">
    <cfRule type="cellIs" dxfId="1238" priority="133" operator="notEqual">
      <formula>#REF!</formula>
    </cfRule>
  </conditionalFormatting>
  <conditionalFormatting sqref="K72:K77 J78:K78 K82:N90">
    <cfRule type="cellIs" dxfId="1237" priority="143" stopIfTrue="1" operator="lessThan">
      <formula>100%</formula>
    </cfRule>
  </conditionalFormatting>
  <conditionalFormatting sqref="K93:K98">
    <cfRule type="cellIs" dxfId="1236" priority="169" stopIfTrue="1" operator="lessThan">
      <formula>100%</formula>
    </cfRule>
  </conditionalFormatting>
  <conditionalFormatting sqref="K100:K101">
    <cfRule type="cellIs" dxfId="1235" priority="176" stopIfTrue="1" operator="lessThan">
      <formula>100%</formula>
    </cfRule>
  </conditionalFormatting>
  <conditionalFormatting sqref="L10:L40">
    <cfRule type="cellIs" dxfId="1234" priority="6" operator="greaterThan">
      <formula>65</formula>
    </cfRule>
    <cfRule type="cellIs" dxfId="1233" priority="5" operator="between">
      <formula>61</formula>
      <formula>65</formula>
    </cfRule>
  </conditionalFormatting>
  <conditionalFormatting sqref="L43:M54">
    <cfRule type="cellIs" dxfId="1232" priority="30" operator="lessThan">
      <formula>98</formula>
    </cfRule>
  </conditionalFormatting>
  <conditionalFormatting sqref="L58:N58">
    <cfRule type="cellIs" dxfId="1231" priority="81" operator="notEqual">
      <formula>#REF!</formula>
    </cfRule>
  </conditionalFormatting>
  <conditionalFormatting sqref="L93:N101">
    <cfRule type="cellIs" dxfId="1230" priority="154" stopIfTrue="1" operator="lessThan">
      <formula>100%</formula>
    </cfRule>
  </conditionalFormatting>
  <conditionalFormatting sqref="M10:M40">
    <cfRule type="expression" dxfId="1229" priority="1">
      <formula>IF(+(IF(M10&lt;V10,0,IF(M10&gt;W10,0,1)))=0,1)</formula>
    </cfRule>
  </conditionalFormatting>
  <conditionalFormatting sqref="M6:N6">
    <cfRule type="cellIs" dxfId="1228" priority="83" operator="greaterThanOrEqual">
      <formula>19</formula>
    </cfRule>
    <cfRule type="cellIs" dxfId="1227" priority="82" operator="greaterThanOrEqual">
      <formula>15</formula>
    </cfRule>
  </conditionalFormatting>
  <conditionalFormatting sqref="N10:N40">
    <cfRule type="expression" dxfId="1226" priority="2">
      <formula>IF(+(IF(N10&lt;X10,0,IF(N10&gt;Y10,0,1)))=0,1)</formula>
    </cfRule>
  </conditionalFormatting>
  <conditionalFormatting sqref="N27">
    <cfRule type="expression" dxfId="1225" priority="188">
      <formula>IF(+(IF(N27&lt;X69,0,IF(N27&gt;Y69,0,1)))=0,1)</formula>
    </cfRule>
    <cfRule type="expression" dxfId="1224" priority="189">
      <formula>IF(+(IF(N27&lt;X64,0,IF(N27&gt;Y64,0,1)))=0,1)</formula>
    </cfRule>
  </conditionalFormatting>
  <conditionalFormatting sqref="N28 N37:N40">
    <cfRule type="expression" dxfId="1223" priority="185">
      <formula>IF(+(IF(N28&lt;X72,0,IF(N28&gt;Y72,0,1)))=0,1)</formula>
    </cfRule>
    <cfRule type="expression" dxfId="1222" priority="186">
      <formula>IF(+(IF(N28&lt;X67,0,IF(N28&gt;Y67,0,1)))=0,1)</formula>
    </cfRule>
  </conditionalFormatting>
  <conditionalFormatting sqref="P6">
    <cfRule type="cellIs" dxfId="1221" priority="150" operator="greaterThanOrEqual">
      <formula>19</formula>
    </cfRule>
  </conditionalFormatting>
  <dataValidations count="1">
    <dataValidation type="list" allowBlank="1" showInputMessage="1" showErrorMessage="1" sqref="S8 B40" xr:uid="{9BC229EE-7FE2-4075-BD7D-7DFDBD8FA35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5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63D2-07E2-40B7-8605-4B6427DD9EC8}">
  <sheetPr>
    <pageSetUpPr fitToPage="1"/>
  </sheetPr>
  <dimension ref="A1:BF106"/>
  <sheetViews>
    <sheetView topLeftCell="A39" zoomScale="60" zoomScaleNormal="60" workbookViewId="0">
      <selection activeCell="D62" sqref="D62:E63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45678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19"/>
      <c r="I10" s="369"/>
      <c r="J10" s="369"/>
      <c r="K10" s="282"/>
      <c r="L10" s="277"/>
      <c r="M10" s="420"/>
      <c r="N10" s="371"/>
      <c r="O10" s="372"/>
      <c r="P10" s="376"/>
      <c r="Q10" s="348"/>
      <c r="S10" s="278">
        <f t="shared" ref="S10:S43" si="0">B10</f>
        <v>0</v>
      </c>
      <c r="T10" s="297" t="e">
        <f t="shared" ref="T10:T43" si="1">VLOOKUP($B10,$S$3:$Y$9,2,FALSE)</f>
        <v>#N/A</v>
      </c>
      <c r="U10" s="297" t="e">
        <f t="shared" ref="U10:U43" si="2">VLOOKUP($B10,$S$3:$Y$9,3,FALSE)</f>
        <v>#N/A</v>
      </c>
      <c r="V10" s="298" t="e">
        <f t="shared" ref="V10:V43" si="3">VLOOKUP($B10,$S$3:$Y$9,4,FALSE)</f>
        <v>#N/A</v>
      </c>
      <c r="W10" s="298" t="e">
        <f t="shared" ref="W10:W43" si="4">VLOOKUP($B10,$S$3:$Y$9,5,FALSE)</f>
        <v>#N/A</v>
      </c>
      <c r="X10" s="298" t="e">
        <f t="shared" ref="X10:X43" si="5">VLOOKUP($B10,$S$3:$Y$9,6,FALSE)</f>
        <v>#N/A</v>
      </c>
      <c r="Y10" s="298" t="e">
        <f t="shared" ref="Y10:Y43" si="6">VLOOKUP($B10,$S$3:$Y$9,7,FALSE)</f>
        <v>#N/A</v>
      </c>
      <c r="Z10" s="298" t="e">
        <f t="shared" ref="Z10:Z43" si="7">VLOOKUP($B10,$S$3:$AA$9,8,FALSE)</f>
        <v>#N/A</v>
      </c>
      <c r="AA10" s="297" t="e">
        <f t="shared" ref="AA10:AA43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19"/>
      <c r="I11" s="369"/>
      <c r="J11" s="369"/>
      <c r="K11" s="282"/>
      <c r="L11" s="277"/>
      <c r="M11" s="420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19"/>
      <c r="I12" s="369"/>
      <c r="J12" s="369"/>
      <c r="K12" s="282"/>
      <c r="L12" s="277"/>
      <c r="M12" s="420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368"/>
      <c r="I13" s="369"/>
      <c r="J13" s="369"/>
      <c r="K13" s="282"/>
      <c r="L13" s="277"/>
      <c r="M13" s="420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368"/>
      <c r="I14" s="369"/>
      <c r="J14" s="369"/>
      <c r="K14" s="282"/>
      <c r="L14" s="277"/>
      <c r="M14" s="420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19"/>
      <c r="I15" s="369"/>
      <c r="J15" s="369"/>
      <c r="K15" s="282"/>
      <c r="L15" s="277"/>
      <c r="M15" s="420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29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9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29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6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29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6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29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6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29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6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6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hidden="1" customHeight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5.75" hidden="1" customHeigh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5.75" hidden="1" customHeight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29"/>
      <c r="C29" s="367"/>
      <c r="D29" s="280"/>
      <c r="E29" s="280"/>
      <c r="F29" s="279"/>
      <c r="G29" s="280"/>
      <c r="H29" s="419"/>
      <c r="I29" s="369"/>
      <c r="J29" s="369"/>
      <c r="K29" s="282"/>
      <c r="L29" s="277"/>
      <c r="M29" s="420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5.75" hidden="1" customHeight="1">
      <c r="B30" s="29"/>
      <c r="C30" s="367"/>
      <c r="D30" s="280"/>
      <c r="E30" s="280"/>
      <c r="F30" s="279"/>
      <c r="G30" s="280"/>
      <c r="H30" s="419"/>
      <c r="I30" s="512"/>
      <c r="J30" s="512"/>
      <c r="K30" s="422"/>
      <c r="L30" s="277"/>
      <c r="M30" s="375"/>
      <c r="N30" s="371"/>
      <c r="O30" s="513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hidden="1" customHeight="1">
      <c r="B31" s="37"/>
      <c r="C31" s="367"/>
      <c r="D31" s="280"/>
      <c r="E31" s="280"/>
      <c r="F31" s="279"/>
      <c r="G31" s="280"/>
      <c r="H31" s="419"/>
      <c r="I31" s="369"/>
      <c r="J31" s="369"/>
      <c r="K31" s="282"/>
      <c r="L31" s="277"/>
      <c r="M31" s="518"/>
      <c r="N31" s="519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hidden="1" customHeight="1">
      <c r="B32" s="37"/>
      <c r="C32" s="367"/>
      <c r="D32" s="280"/>
      <c r="E32" s="280"/>
      <c r="F32" s="279"/>
      <c r="G32" s="280"/>
      <c r="H32" s="419"/>
      <c r="I32" s="369"/>
      <c r="J32" s="369"/>
      <c r="K32" s="282"/>
      <c r="L32" s="277"/>
      <c r="M32" s="518"/>
      <c r="N32" s="519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1:27" ht="15.75" hidden="1" customHeight="1">
      <c r="B33" s="37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518"/>
      <c r="N33" s="519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1:27" ht="15.75" customHeight="1">
      <c r="B34" s="37" t="s">
        <v>16</v>
      </c>
      <c r="C34" s="367" t="str">
        <f>[29]Brewhouse!A10</f>
        <v>SM005</v>
      </c>
      <c r="D34" s="280">
        <f>[29]Brewhouse!AH10</f>
        <v>52.3</v>
      </c>
      <c r="E34" s="280">
        <f>[29]Brewhouse!AM10</f>
        <v>48.9</v>
      </c>
      <c r="F34" s="279">
        <f>[29]Brewhouse!Z10</f>
        <v>80</v>
      </c>
      <c r="G34" s="280">
        <f>[29]Brewhouse!AK10</f>
        <v>17.239999999999998</v>
      </c>
      <c r="H34" s="419"/>
      <c r="I34" s="369">
        <f>[29]Brewhouse!AY10</f>
        <v>90.190794188520044</v>
      </c>
      <c r="J34" s="369">
        <f>[29]Brewhouse!AZ10</f>
        <v>92.048212032216995</v>
      </c>
      <c r="K34" s="282">
        <f>[29]Brewhouse!U10</f>
        <v>2.638623326959852</v>
      </c>
      <c r="L34" s="277">
        <f>[29]Brewhouse!T10</f>
        <v>61</v>
      </c>
      <c r="M34" s="518">
        <f>[29]Brewhouse!$Y10-[29]Brewhouse!$X10</f>
        <v>0.1333333333333333</v>
      </c>
      <c r="N34" s="519">
        <f>[29]Brewhouse!AD9</f>
        <v>0.27708333333333324</v>
      </c>
      <c r="O34" s="372" t="str">
        <f>[29]Brewhouse!BC10</f>
        <v>R.Regis</v>
      </c>
      <c r="P34" s="376"/>
      <c r="Q34" s="348"/>
      <c r="S34" s="278" t="str">
        <f t="shared" si="0"/>
        <v>STARMALT</v>
      </c>
      <c r="T34" s="297">
        <f t="shared" si="1"/>
        <v>17.100000000000001</v>
      </c>
      <c r="U34" s="297">
        <f t="shared" si="2"/>
        <v>17.5</v>
      </c>
      <c r="V34" s="298">
        <f t="shared" si="3"/>
        <v>0</v>
      </c>
      <c r="W34" s="298">
        <f t="shared" si="4"/>
        <v>0.13605324074074074</v>
      </c>
      <c r="X34" s="298">
        <f t="shared" si="5"/>
        <v>0.27430555555555552</v>
      </c>
      <c r="Y34" s="298">
        <f t="shared" si="6"/>
        <v>0.30902777777777779</v>
      </c>
      <c r="Z34" s="298">
        <f t="shared" si="7"/>
        <v>0</v>
      </c>
      <c r="AA34" s="297">
        <f t="shared" si="8"/>
        <v>60</v>
      </c>
    </row>
    <row r="35" spans="1:27" ht="15.75" customHeight="1">
      <c r="B35" s="37" t="s">
        <v>16</v>
      </c>
      <c r="C35" s="367" t="str">
        <f>[29]Brewhouse!A11</f>
        <v>SM006</v>
      </c>
      <c r="D35" s="280">
        <f>[29]Brewhouse!AH11</f>
        <v>50.9</v>
      </c>
      <c r="E35" s="280">
        <f>[29]Brewhouse!AM11</f>
        <v>50.6</v>
      </c>
      <c r="F35" s="279">
        <f>[29]Brewhouse!Z11</f>
        <v>69</v>
      </c>
      <c r="G35" s="280">
        <f>[29]Brewhouse!AK11</f>
        <v>17.3</v>
      </c>
      <c r="H35" s="419"/>
      <c r="I35" s="369">
        <f>[29]Brewhouse!AY11</f>
        <v>93.224568939148085</v>
      </c>
      <c r="J35" s="369">
        <f>[29]Brewhouse!AZ11</f>
        <v>95.147942255463988</v>
      </c>
      <c r="K35" s="393">
        <f>[29]Brewhouse!U11</f>
        <v>-1.2180746561886</v>
      </c>
      <c r="L35" s="277">
        <f>[29]Brewhouse!T11</f>
        <v>61</v>
      </c>
      <c r="M35" s="518">
        <f>[29]Brewhouse!$Y11-[29]Brewhouse!$X11</f>
        <v>0.12569444444444444</v>
      </c>
      <c r="N35" s="519">
        <f>[29]Brewhouse!AD10</f>
        <v>0.28333333333333321</v>
      </c>
      <c r="O35" s="372" t="str">
        <f>[29]Brewhouse!BC11</f>
        <v>K.Benjamin</v>
      </c>
      <c r="P35" s="376"/>
      <c r="Q35" s="348"/>
      <c r="S35" s="278" t="str">
        <f t="shared" si="0"/>
        <v>STARMALT</v>
      </c>
      <c r="T35" s="297">
        <f t="shared" si="1"/>
        <v>17.100000000000001</v>
      </c>
      <c r="U35" s="297">
        <f t="shared" si="2"/>
        <v>17.5</v>
      </c>
      <c r="V35" s="298">
        <f t="shared" si="3"/>
        <v>0</v>
      </c>
      <c r="W35" s="298">
        <f t="shared" si="4"/>
        <v>0.13605324074074074</v>
      </c>
      <c r="X35" s="298">
        <f t="shared" si="5"/>
        <v>0.27430555555555552</v>
      </c>
      <c r="Y35" s="298">
        <f t="shared" si="6"/>
        <v>0.30902777777777779</v>
      </c>
      <c r="Z35" s="298">
        <f t="shared" si="7"/>
        <v>0</v>
      </c>
      <c r="AA35" s="297">
        <f t="shared" si="8"/>
        <v>60</v>
      </c>
    </row>
    <row r="36" spans="1:27" ht="15.75" customHeight="1">
      <c r="B36" s="37" t="s">
        <v>16</v>
      </c>
      <c r="C36" s="367" t="str">
        <f>[29]Brewhouse!A12</f>
        <v>SM007</v>
      </c>
      <c r="D36" s="280">
        <f>[29]Brewhouse!AH12</f>
        <v>53.2</v>
      </c>
      <c r="E36" s="280">
        <f>[29]Brewhouse!AM12</f>
        <v>50.5</v>
      </c>
      <c r="F36" s="279">
        <f>[29]Brewhouse!Z12</f>
        <v>88</v>
      </c>
      <c r="G36" s="280">
        <f>[29]Brewhouse!AK12</f>
        <v>17.3</v>
      </c>
      <c r="H36" s="419"/>
      <c r="I36" s="369">
        <f>[29]Brewhouse!AY12</f>
        <v>93.116630380109711</v>
      </c>
      <c r="J36" s="369">
        <f>[29]Brewhouse!AZ12</f>
        <v>95.036041678693664</v>
      </c>
      <c r="K36" s="282">
        <f>[29]Brewhouse!U12</f>
        <v>2.7819548872180526</v>
      </c>
      <c r="L36" s="277">
        <f>[29]Brewhouse!T12</f>
        <v>60</v>
      </c>
      <c r="M36" s="518">
        <f>[29]Brewhouse!$Y12-[29]Brewhouse!$X12</f>
        <v>0.13749999999999996</v>
      </c>
      <c r="N36" s="519">
        <f>[29]Brewhouse!AD11</f>
        <v>0.27708333333333335</v>
      </c>
      <c r="O36" s="372" t="str">
        <f>[29]Brewhouse!BC12</f>
        <v>K.Benjamin</v>
      </c>
      <c r="P36" s="376"/>
      <c r="Q36" s="348"/>
      <c r="S36" s="278" t="str">
        <f t="shared" si="0"/>
        <v>STARMALT</v>
      </c>
      <c r="T36" s="297">
        <f t="shared" si="1"/>
        <v>17.100000000000001</v>
      </c>
      <c r="U36" s="297">
        <f t="shared" si="2"/>
        <v>17.5</v>
      </c>
      <c r="V36" s="298">
        <f t="shared" si="3"/>
        <v>0</v>
      </c>
      <c r="W36" s="298">
        <f t="shared" si="4"/>
        <v>0.13605324074074074</v>
      </c>
      <c r="X36" s="298">
        <f t="shared" si="5"/>
        <v>0.27430555555555552</v>
      </c>
      <c r="Y36" s="298">
        <f t="shared" si="6"/>
        <v>0.30902777777777779</v>
      </c>
      <c r="Z36" s="298">
        <f t="shared" si="7"/>
        <v>0</v>
      </c>
      <c r="AA36" s="297">
        <f t="shared" si="8"/>
        <v>60</v>
      </c>
    </row>
    <row r="37" spans="1:27" ht="15.75" customHeight="1">
      <c r="B37" s="37" t="s">
        <v>16</v>
      </c>
      <c r="C37" s="367" t="str">
        <f>[29]Brewhouse!A13</f>
        <v>SM008</v>
      </c>
      <c r="D37" s="280">
        <f>[29]Brewhouse!AH13</f>
        <v>52.9</v>
      </c>
      <c r="E37" s="280">
        <f>[29]Brewhouse!AM13</f>
        <v>49.1</v>
      </c>
      <c r="F37" s="279">
        <f>[29]Brewhouse!Z13</f>
        <v>71</v>
      </c>
      <c r="G37" s="280">
        <f>[29]Brewhouse!AK13</f>
        <v>17.3</v>
      </c>
      <c r="H37" s="419"/>
      <c r="I37" s="369">
        <f>[29]Brewhouse!AY13</f>
        <v>89.945088045838986</v>
      </c>
      <c r="J37" s="369">
        <f>[29]Brewhouse!AZ13</f>
        <v>91.812457428508168</v>
      </c>
      <c r="K37" s="282">
        <f>[29]Brewhouse!U13</f>
        <v>2.608695652173918</v>
      </c>
      <c r="L37" s="277">
        <f>[29]Brewhouse!T13</f>
        <v>59</v>
      </c>
      <c r="M37" s="518">
        <f>[29]Brewhouse!$Y13-[29]Brewhouse!$X13</f>
        <v>0.12430555555555556</v>
      </c>
      <c r="N37" s="519">
        <f>[29]Brewhouse!AD12</f>
        <v>0.29652777777777772</v>
      </c>
      <c r="O37" s="372" t="str">
        <f>[29]Brewhouse!BC13</f>
        <v>R.Sookram</v>
      </c>
      <c r="P37" s="370"/>
      <c r="Q37" s="348"/>
      <c r="S37" s="278" t="str">
        <f t="shared" si="0"/>
        <v>STARMALT</v>
      </c>
      <c r="T37" s="297">
        <f t="shared" si="1"/>
        <v>17.100000000000001</v>
      </c>
      <c r="U37" s="297">
        <f t="shared" si="2"/>
        <v>17.5</v>
      </c>
      <c r="V37" s="298">
        <f t="shared" si="3"/>
        <v>0</v>
      </c>
      <c r="W37" s="298">
        <f t="shared" si="4"/>
        <v>0.13605324074074074</v>
      </c>
      <c r="X37" s="298">
        <f t="shared" si="5"/>
        <v>0.27430555555555552</v>
      </c>
      <c r="Y37" s="298">
        <f t="shared" si="6"/>
        <v>0.30902777777777779</v>
      </c>
      <c r="Z37" s="298">
        <f t="shared" si="7"/>
        <v>0</v>
      </c>
      <c r="AA37" s="297">
        <f t="shared" si="8"/>
        <v>60</v>
      </c>
    </row>
    <row r="38" spans="1:27" ht="15.75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1:27" ht="15.75" customHeight="1">
      <c r="B39" s="33" t="s">
        <v>9</v>
      </c>
      <c r="C39" s="367" t="str">
        <f>[22]Brewhouse!$A45</f>
        <v>ST031</v>
      </c>
      <c r="D39" s="280">
        <f>[22]Brewhouse!$AD45</f>
        <v>52.5</v>
      </c>
      <c r="E39" s="280">
        <f>[22]Brewhouse!$AG45</f>
        <v>51.5</v>
      </c>
      <c r="F39" s="279">
        <f>[22]Brewhouse!$V45</f>
        <v>59</v>
      </c>
      <c r="G39" s="280">
        <f>[22]Brewhouse!$AE45</f>
        <v>11.9</v>
      </c>
      <c r="H39" s="419">
        <v>11.8</v>
      </c>
      <c r="I39" s="512">
        <f>[22]Brewhouse!$AS45</f>
        <v>99.057134588670351</v>
      </c>
      <c r="J39" s="512">
        <f>[22]Brewhouse!$AT45</f>
        <v>102.50862388221751</v>
      </c>
      <c r="K39" s="422">
        <f>[22]Brewhouse!$Q45</f>
        <v>7.3800738007380069</v>
      </c>
      <c r="L39" s="277">
        <f>[22]Brewhouse!$P45</f>
        <v>59</v>
      </c>
      <c r="M39" s="375">
        <f>[22]Brewhouse!$U45-[22]Brewhouse!$T45</f>
        <v>0.12013888888888891</v>
      </c>
      <c r="N39" s="371">
        <f>[22]Brewhouse!$AW45</f>
        <v>0.26180555555555562</v>
      </c>
      <c r="O39" s="513" t="str">
        <f>[22]Brewhouse!$AV45</f>
        <v>R.Sookram</v>
      </c>
      <c r="P39" s="370"/>
      <c r="Q39" s="348"/>
      <c r="S39" s="278" t="str">
        <f t="shared" ref="S39:S41" si="9">B39</f>
        <v>STAG</v>
      </c>
      <c r="T39" s="297">
        <f t="shared" si="1"/>
        <v>11.6</v>
      </c>
      <c r="U39" s="297">
        <f t="shared" si="2"/>
        <v>12</v>
      </c>
      <c r="V39" s="298">
        <f t="shared" si="3"/>
        <v>0</v>
      </c>
      <c r="W39" s="298">
        <f t="shared" si="4"/>
        <v>0.118055555555556</v>
      </c>
      <c r="X39" s="298">
        <f t="shared" si="5"/>
        <v>0.22569444444444445</v>
      </c>
      <c r="Y39" s="298">
        <f t="shared" si="6"/>
        <v>0.2638888888888889</v>
      </c>
      <c r="Z39" s="298">
        <f t="shared" si="7"/>
        <v>0</v>
      </c>
      <c r="AA39" s="297">
        <f t="shared" si="8"/>
        <v>60</v>
      </c>
    </row>
    <row r="40" spans="1:27" ht="15.75" customHeight="1">
      <c r="B40" s="33" t="s">
        <v>9</v>
      </c>
      <c r="C40" s="367" t="str">
        <f>[22]Brewhouse!$A46</f>
        <v>ST032</v>
      </c>
      <c r="D40" s="280">
        <f>[22]Brewhouse!$AD46</f>
        <v>54.1</v>
      </c>
      <c r="E40" s="280">
        <f>[22]Brewhouse!$AG46</f>
        <v>51.3</v>
      </c>
      <c r="F40" s="279">
        <f>[22]Brewhouse!$V46</f>
        <v>61</v>
      </c>
      <c r="G40" s="280">
        <f>[22]Brewhouse!$AE46</f>
        <v>11.73</v>
      </c>
      <c r="H40" s="419">
        <v>11.7</v>
      </c>
      <c r="I40" s="512">
        <f>[22]Brewhouse!$AS46</f>
        <v>97.66120802841786</v>
      </c>
      <c r="J40" s="512">
        <f>[22]Brewhouse!$AT46</f>
        <v>101.05745503999168</v>
      </c>
      <c r="K40" s="422">
        <f>[22]Brewhouse!$Q46</f>
        <v>5.5045871559633035</v>
      </c>
      <c r="L40" s="277">
        <f>[22]Brewhouse!$P46</f>
        <v>63</v>
      </c>
      <c r="M40" s="375">
        <f>[22]Brewhouse!$U46-[22]Brewhouse!$T46</f>
        <v>0.10763888888888895</v>
      </c>
      <c r="N40" s="371">
        <f>[22]Brewhouse!$AW46</f>
        <v>0.25138888888888888</v>
      </c>
      <c r="O40" s="513" t="str">
        <f>[22]Brewhouse!$AV46</f>
        <v>k.Benjamin</v>
      </c>
      <c r="P40" s="370"/>
      <c r="Q40" s="348"/>
      <c r="S40" s="278" t="str">
        <f t="shared" si="9"/>
        <v>STAG</v>
      </c>
      <c r="T40" s="297">
        <f t="shared" si="1"/>
        <v>11.6</v>
      </c>
      <c r="U40" s="297">
        <f t="shared" si="2"/>
        <v>12</v>
      </c>
      <c r="V40" s="298">
        <f t="shared" si="3"/>
        <v>0</v>
      </c>
      <c r="W40" s="298">
        <f t="shared" si="4"/>
        <v>0.118055555555556</v>
      </c>
      <c r="X40" s="298">
        <f t="shared" si="5"/>
        <v>0.22569444444444445</v>
      </c>
      <c r="Y40" s="298">
        <f t="shared" si="6"/>
        <v>0.2638888888888889</v>
      </c>
      <c r="Z40" s="298">
        <f t="shared" si="7"/>
        <v>0</v>
      </c>
      <c r="AA40" s="297">
        <f t="shared" si="8"/>
        <v>60</v>
      </c>
    </row>
    <row r="41" spans="1:27" ht="15.75" customHeight="1">
      <c r="B41" s="33" t="s">
        <v>9</v>
      </c>
      <c r="C41" s="367" t="str">
        <f>[22]Brewhouse!$A47</f>
        <v>ST033</v>
      </c>
      <c r="D41" s="280">
        <f>[22]Brewhouse!$AD47</f>
        <v>53.6</v>
      </c>
      <c r="E41" s="280">
        <f>[22]Brewhouse!$AG47</f>
        <v>52.3</v>
      </c>
      <c r="F41" s="279">
        <f>[22]Brewhouse!$V47</f>
        <v>63</v>
      </c>
      <c r="G41" s="280">
        <f>[22]Brewhouse!$AE47</f>
        <v>11.79</v>
      </c>
      <c r="H41" s="419">
        <v>11.8</v>
      </c>
      <c r="I41" s="512">
        <f>[22]Brewhouse!$AS47</f>
        <v>99.956949475386367</v>
      </c>
      <c r="J41" s="512">
        <f>[22]Brewhouse!$AT47</f>
        <v>103.43754970477963</v>
      </c>
      <c r="K41" s="422">
        <f>[22]Brewhouse!$Q47</f>
        <v>6.2962962962962941</v>
      </c>
      <c r="L41" s="277">
        <f>[22]Brewhouse!$P47</f>
        <v>61</v>
      </c>
      <c r="M41" s="375">
        <f>[22]Brewhouse!$U47-[22]Brewhouse!$T47</f>
        <v>0.11041666666666661</v>
      </c>
      <c r="N41" s="371">
        <f>[22]Brewhouse!$AW47</f>
        <v>0.25</v>
      </c>
      <c r="O41" s="513" t="str">
        <f>[22]Brewhouse!$AV47</f>
        <v>k.Benjamin</v>
      </c>
      <c r="P41" s="370"/>
      <c r="Q41" s="348"/>
      <c r="S41" s="278" t="str">
        <f t="shared" si="9"/>
        <v>STAG</v>
      </c>
      <c r="T41" s="297">
        <f t="shared" si="1"/>
        <v>11.6</v>
      </c>
      <c r="U41" s="297">
        <f t="shared" si="2"/>
        <v>12</v>
      </c>
      <c r="V41" s="298">
        <f t="shared" si="3"/>
        <v>0</v>
      </c>
      <c r="W41" s="298">
        <f t="shared" si="4"/>
        <v>0.118055555555556</v>
      </c>
      <c r="X41" s="298">
        <f t="shared" si="5"/>
        <v>0.22569444444444445</v>
      </c>
      <c r="Y41" s="298">
        <f t="shared" si="6"/>
        <v>0.2638888888888889</v>
      </c>
      <c r="Z41" s="298">
        <f t="shared" si="7"/>
        <v>0</v>
      </c>
      <c r="AA41" s="297">
        <f t="shared" si="8"/>
        <v>60</v>
      </c>
    </row>
    <row r="42" spans="1:27" ht="15.75" customHeight="1">
      <c r="B42" s="33" t="s">
        <v>9</v>
      </c>
      <c r="C42" s="367" t="str">
        <f>[22]Brewhouse!$A48</f>
        <v>ST034</v>
      </c>
      <c r="D42" s="280">
        <f>[22]Brewhouse!$AD48</f>
        <v>52.4</v>
      </c>
      <c r="E42" s="280">
        <f>[22]Brewhouse!$AG48</f>
        <v>53</v>
      </c>
      <c r="F42" s="279">
        <f>[22]Brewhouse!$V48</f>
        <v>63</v>
      </c>
      <c r="G42" s="280">
        <f>[22]Brewhouse!$AE48</f>
        <v>11.76</v>
      </c>
      <c r="H42" s="419">
        <v>11.7</v>
      </c>
      <c r="I42" s="512">
        <f>[22]Brewhouse!$AS48</f>
        <v>101.54928414912592</v>
      </c>
      <c r="J42" s="512">
        <f>[22]Brewhouse!$AT48</f>
        <v>105.0830423071957</v>
      </c>
      <c r="K42" s="422">
        <f>[22]Brewhouse!$Q48</f>
        <v>6.4695009242144179</v>
      </c>
      <c r="L42" s="277">
        <f>[22]Brewhouse!$P48</f>
        <v>58</v>
      </c>
      <c r="M42" s="375">
        <f>[22]Brewhouse!$U48-[22]Brewhouse!$T48</f>
        <v>0.10555555555555562</v>
      </c>
      <c r="N42" s="371">
        <f>[22]Brewhouse!$AW48</f>
        <v>0.2680555555555556</v>
      </c>
      <c r="O42" s="513" t="str">
        <f>[22]Brewhouse!$AV48</f>
        <v>k.Benjamin</v>
      </c>
      <c r="P42" s="370"/>
      <c r="Q42" s="348"/>
      <c r="S42" s="278" t="str">
        <f t="shared" si="0"/>
        <v>STAG</v>
      </c>
      <c r="T42" s="297">
        <f t="shared" si="1"/>
        <v>11.6</v>
      </c>
      <c r="U42" s="297">
        <f t="shared" si="2"/>
        <v>12</v>
      </c>
      <c r="V42" s="298">
        <f t="shared" si="3"/>
        <v>0</v>
      </c>
      <c r="W42" s="298">
        <f t="shared" si="4"/>
        <v>0.118055555555556</v>
      </c>
      <c r="X42" s="298">
        <f t="shared" si="5"/>
        <v>0.22569444444444445</v>
      </c>
      <c r="Y42" s="298">
        <f t="shared" si="6"/>
        <v>0.2638888888888889</v>
      </c>
      <c r="Z42" s="298">
        <f t="shared" si="7"/>
        <v>0</v>
      </c>
      <c r="AA42" s="297">
        <f t="shared" si="8"/>
        <v>60</v>
      </c>
    </row>
    <row r="43" spans="1:27" ht="14.4">
      <c r="B43" s="29"/>
      <c r="C43" s="367"/>
      <c r="D43" s="280"/>
      <c r="E43" s="280"/>
      <c r="F43" s="279"/>
      <c r="G43" s="280"/>
      <c r="H43" s="419"/>
      <c r="I43" s="369"/>
      <c r="J43" s="369"/>
      <c r="K43" s="282"/>
      <c r="L43" s="277"/>
      <c r="M43" s="375"/>
      <c r="N43" s="371"/>
      <c r="O43" s="372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1:27" ht="15.75" customHeight="1" thickBot="1">
      <c r="B44" s="359"/>
      <c r="C44" s="359"/>
      <c r="D44" s="359"/>
      <c r="E44" s="359"/>
      <c r="F44" s="295"/>
      <c r="G44" s="295"/>
      <c r="H44" s="349"/>
      <c r="I44" s="574" t="s">
        <v>34</v>
      </c>
      <c r="J44" s="574"/>
      <c r="K44" s="574"/>
      <c r="L44" s="574"/>
      <c r="M44" s="574"/>
      <c r="N44" s="574"/>
      <c r="O44" s="1"/>
      <c r="P44" s="12"/>
      <c r="S44" s="278"/>
      <c r="T44" s="297"/>
      <c r="U44" s="297"/>
      <c r="V44" s="298"/>
      <c r="W44" s="298"/>
      <c r="X44" s="298"/>
      <c r="Y44" s="298"/>
      <c r="Z44" s="298"/>
      <c r="AA44" s="297"/>
    </row>
    <row r="45" spans="1:27" ht="15" thickBot="1">
      <c r="B45" s="389" t="s">
        <v>145</v>
      </c>
      <c r="C45" s="389"/>
      <c r="D45" s="552" t="s">
        <v>35</v>
      </c>
      <c r="E45" s="553"/>
      <c r="F45" s="295"/>
      <c r="G45" s="295"/>
      <c r="H45" s="23"/>
      <c r="I45" s="24" t="s">
        <v>17</v>
      </c>
      <c r="J45" s="25" t="s">
        <v>146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5"/>
      <c r="P45" s="12"/>
      <c r="S45" s="278"/>
      <c r="T45" s="297"/>
      <c r="U45" s="297"/>
      <c r="V45" s="298"/>
      <c r="W45" s="298"/>
      <c r="X45" s="298"/>
      <c r="Y45" s="298"/>
      <c r="Z45" s="298"/>
      <c r="AA45" s="297"/>
    </row>
    <row r="46" spans="1:27" ht="15" customHeight="1">
      <c r="A46" s="28"/>
      <c r="B46" s="656" t="str">
        <f>I52</f>
        <v>STARMALT</v>
      </c>
      <c r="C46" s="363">
        <v>17.399999999999999</v>
      </c>
      <c r="D46" s="578">
        <v>17.46</v>
      </c>
      <c r="E46" s="579"/>
      <c r="F46" s="295"/>
      <c r="G46" s="295"/>
      <c r="H46" s="295"/>
      <c r="I46" s="29" t="s">
        <v>6</v>
      </c>
      <c r="J46" s="324"/>
      <c r="K46" s="285">
        <f>COUNTA([28]Brewhouse!$A$102:$A$143)</f>
        <v>42</v>
      </c>
      <c r="L46" s="303">
        <f>AVERAGE([28]Brewhouse!$AU$102:$AU$143)</f>
        <v>94.225022846922641</v>
      </c>
      <c r="M46" s="303">
        <f>AVERAGE([28]Brewhouse!$AU$102:$AU$143)</f>
        <v>94.225022846922641</v>
      </c>
      <c r="N46" s="30">
        <v>98</v>
      </c>
      <c r="O46" s="11"/>
      <c r="P46" s="31"/>
      <c r="S46" s="278"/>
      <c r="T46" s="297"/>
      <c r="U46" s="297"/>
      <c r="V46" s="298"/>
      <c r="W46" s="298"/>
      <c r="X46" s="298"/>
      <c r="Y46" s="298"/>
      <c r="Z46" s="298"/>
      <c r="AA46" s="297"/>
    </row>
    <row r="47" spans="1:27" ht="15" customHeight="1">
      <c r="A47" s="28"/>
      <c r="B47" s="657"/>
      <c r="C47" s="350">
        <v>17.489999999999998</v>
      </c>
      <c r="D47" s="580"/>
      <c r="E47" s="581"/>
      <c r="F47" s="295"/>
      <c r="G47" s="295"/>
      <c r="H47" s="32"/>
      <c r="I47" s="33" t="s">
        <v>9</v>
      </c>
      <c r="J47" s="324">
        <f>AVERAGE(I39:I42)</f>
        <v>99.556144060400129</v>
      </c>
      <c r="K47" s="285">
        <f>COUNTA([22]Brewhouse!$A$15:$A$48)</f>
        <v>34</v>
      </c>
      <c r="L47" s="303">
        <f>AVERAGE([22]Brewhouse!$AS$15:$AS$48)</f>
        <v>96.349919886215076</v>
      </c>
      <c r="M47" s="303">
        <f>AVERAGE([22]Brewhouse!$AS$15:$AS$48)</f>
        <v>96.349919886215076</v>
      </c>
      <c r="N47" s="30">
        <v>98</v>
      </c>
      <c r="O47" s="11"/>
      <c r="P47" s="31"/>
      <c r="S47" s="278"/>
      <c r="T47" s="297"/>
      <c r="U47" s="297"/>
      <c r="V47" s="298"/>
      <c r="W47" s="298"/>
      <c r="X47" s="298"/>
      <c r="Y47" s="298"/>
      <c r="Z47" s="298"/>
      <c r="AA47" s="297"/>
    </row>
    <row r="48" spans="1:27" ht="14.7" customHeight="1">
      <c r="A48" s="28"/>
      <c r="B48" s="657"/>
      <c r="C48" s="350">
        <v>17.3</v>
      </c>
      <c r="D48" s="578">
        <v>17.489999999999998</v>
      </c>
      <c r="E48" s="579"/>
      <c r="F48" s="295"/>
      <c r="G48" s="295"/>
      <c r="H48" s="32"/>
      <c r="I48" s="34" t="s">
        <v>12</v>
      </c>
      <c r="J48" s="281"/>
      <c r="K48" s="285"/>
      <c r="L48" s="303"/>
      <c r="M48" s="303"/>
      <c r="N48" s="30">
        <v>98</v>
      </c>
      <c r="O48" s="11"/>
      <c r="P48" s="31"/>
      <c r="S48" s="23"/>
      <c r="T48" s="1"/>
      <c r="U48" s="1"/>
      <c r="AA48" s="286"/>
    </row>
    <row r="49" spans="1:57" ht="14.7" customHeight="1">
      <c r="A49" s="28"/>
      <c r="B49" s="657"/>
      <c r="C49" s="350">
        <v>17.3</v>
      </c>
      <c r="D49" s="580"/>
      <c r="E49" s="581"/>
      <c r="F49" s="295"/>
      <c r="G49" s="295"/>
      <c r="H49" s="32"/>
      <c r="I49" s="22" t="s">
        <v>33</v>
      </c>
      <c r="J49" s="281"/>
      <c r="K49" s="285">
        <f>COUNTA([25]Brewhouse!$A$5:$A$8)</f>
        <v>4</v>
      </c>
      <c r="L49" s="303">
        <f>AVERAGE([25]Brewhouse!$AV$5:$AV$8)</f>
        <v>96.702302381453876</v>
      </c>
      <c r="M49" s="303">
        <f>AVERAGE([25]Brewhouse!$AV$5:$AV$8)</f>
        <v>96.702302381453876</v>
      </c>
      <c r="N49" s="30">
        <v>98</v>
      </c>
      <c r="O49" s="11"/>
      <c r="P49" s="31"/>
      <c r="S49" s="23"/>
      <c r="T49" s="1"/>
      <c r="U49" s="1"/>
      <c r="AA49" s="286"/>
    </row>
    <row r="50" spans="1:57" ht="14.7" customHeight="1">
      <c r="A50" s="28"/>
      <c r="B50" s="657"/>
      <c r="C50" s="350"/>
      <c r="D50" s="578"/>
      <c r="E50" s="579"/>
      <c r="F50" s="295"/>
      <c r="G50" s="295"/>
      <c r="H50" s="32"/>
      <c r="I50" s="35" t="s">
        <v>29</v>
      </c>
      <c r="J50" s="281"/>
      <c r="K50" s="285"/>
      <c r="L50" s="303"/>
      <c r="M50" s="303"/>
      <c r="N50" s="30">
        <v>98</v>
      </c>
      <c r="O50" s="11"/>
      <c r="P50" s="31"/>
      <c r="S50" s="23"/>
    </row>
    <row r="51" spans="1:57" ht="14.7" customHeight="1">
      <c r="A51" s="28"/>
      <c r="B51" s="657"/>
      <c r="C51" s="350"/>
      <c r="D51" s="580"/>
      <c r="E51" s="581"/>
      <c r="F51" s="295"/>
      <c r="G51" s="295"/>
      <c r="H51" s="32"/>
      <c r="I51" s="36" t="s">
        <v>15</v>
      </c>
      <c r="J51" s="324"/>
      <c r="K51" s="285">
        <f>COUNTA([27]Brewhouse!$A$4:$A$11)</f>
        <v>8</v>
      </c>
      <c r="L51" s="303">
        <f>AVERAGE([27]Brewhouse!$AT$4:$AT$11)</f>
        <v>94.812616598822359</v>
      </c>
      <c r="M51" s="303">
        <f>AVERAGE([27]Brewhouse!$AT$4:$AT$11)</f>
        <v>94.812616598822359</v>
      </c>
      <c r="N51" s="30">
        <v>98</v>
      </c>
      <c r="O51" s="11"/>
      <c r="P51" s="31"/>
      <c r="S51" s="23"/>
    </row>
    <row r="52" spans="1:57" ht="14.7" customHeight="1">
      <c r="A52" s="28"/>
      <c r="B52" s="657"/>
      <c r="C52" s="350"/>
      <c r="D52" s="578"/>
      <c r="E52" s="579"/>
      <c r="F52" s="295"/>
      <c r="G52" s="295"/>
      <c r="H52" s="32"/>
      <c r="I52" s="37" t="s">
        <v>16</v>
      </c>
      <c r="J52" s="324">
        <f>AVERAGE(I34:I37)</f>
        <v>91.619270388404203</v>
      </c>
      <c r="K52" s="285">
        <f>COUNTA(Jan.20th!B31:B34,'Jan.21ST '!B34:B36)</f>
        <v>7</v>
      </c>
      <c r="L52" s="303">
        <f>AVERAGE([29]Brewhouse!$AY$6:$AY$13)</f>
        <v>93.094805585685208</v>
      </c>
      <c r="M52" s="303">
        <f>AVERAGE([29]Brewhouse!$AY$6:$AY$13)</f>
        <v>93.094805585685208</v>
      </c>
      <c r="N52" s="30">
        <v>98</v>
      </c>
      <c r="O52" s="11"/>
      <c r="P52" s="31" t="s">
        <v>41</v>
      </c>
      <c r="S52" s="23"/>
      <c r="X52" s="276" t="s">
        <v>41</v>
      </c>
    </row>
    <row r="53" spans="1:57" ht="14.7" customHeight="1">
      <c r="A53" s="28"/>
      <c r="B53" s="657"/>
      <c r="C53" s="350"/>
      <c r="D53" s="580"/>
      <c r="E53" s="581"/>
      <c r="F53" s="295"/>
      <c r="G53" s="295"/>
      <c r="H53" s="32"/>
      <c r="I53" s="507" t="s">
        <v>174</v>
      </c>
      <c r="J53" s="327"/>
      <c r="K53" s="285">
        <f>COUNTA([26]Brewhouse!$A$5:$A$8)</f>
        <v>4</v>
      </c>
      <c r="L53" s="306">
        <f>AVERAGE([26]Brewhouse!$AU$5:$AU$8)</f>
        <v>91.006888337619571</v>
      </c>
      <c r="M53" s="306">
        <f>AVERAGE([26]Brewhouse!$AU$5:$AU$8)</f>
        <v>91.006888337619571</v>
      </c>
      <c r="N53" s="30">
        <v>98</v>
      </c>
      <c r="O53" s="11"/>
      <c r="P53" s="31"/>
      <c r="S53" s="23"/>
    </row>
    <row r="54" spans="1:57" ht="14.7" customHeight="1">
      <c r="A54" s="28"/>
      <c r="B54" s="657"/>
      <c r="C54" s="350"/>
      <c r="D54" s="578"/>
      <c r="E54" s="579"/>
      <c r="F54" s="295"/>
      <c r="G54" s="295"/>
      <c r="H54" s="32"/>
      <c r="I54" s="506" t="s">
        <v>166</v>
      </c>
      <c r="J54" s="327"/>
      <c r="K54" s="285"/>
      <c r="L54" s="306"/>
      <c r="M54" s="306"/>
      <c r="N54" s="30"/>
      <c r="O54" s="11"/>
      <c r="P54" s="31"/>
      <c r="S54" s="23"/>
    </row>
    <row r="55" spans="1:57" ht="15" customHeight="1" thickBot="1">
      <c r="A55" s="28"/>
      <c r="B55" s="657"/>
      <c r="C55" s="350"/>
      <c r="D55" s="580"/>
      <c r="E55" s="581"/>
      <c r="F55" s="295"/>
      <c r="G55" s="295"/>
      <c r="H55" s="32"/>
      <c r="I55" s="502" t="s">
        <v>165</v>
      </c>
      <c r="J55" s="328"/>
      <c r="K55" s="503"/>
      <c r="L55" s="504"/>
      <c r="M55" s="504"/>
      <c r="N55" s="505">
        <v>98</v>
      </c>
      <c r="O55" s="11"/>
      <c r="P55" s="31"/>
      <c r="S55" s="23"/>
    </row>
    <row r="56" spans="1:57" ht="15" customHeight="1" thickBot="1">
      <c r="A56" s="28"/>
      <c r="B56" s="657"/>
      <c r="C56" s="350"/>
      <c r="D56" s="578"/>
      <c r="E56" s="579"/>
      <c r="F56" s="295"/>
      <c r="G56" s="295"/>
      <c r="H56" s="32"/>
      <c r="I56" s="1"/>
      <c r="J56" s="39"/>
      <c r="K56" s="500">
        <f>SUM(K46:K55)</f>
        <v>99</v>
      </c>
      <c r="L56" s="501">
        <f>((L46*K46)+(L47*K47)+(L48*K48)+(L49*K49)+(L50*K50)+(K53*L53)+(L51*K51)+(L52*K52)+(L55*K55))/(K56)</f>
        <v>94.892419903724587</v>
      </c>
      <c r="M56" s="501">
        <f>L56</f>
        <v>94.892419903724587</v>
      </c>
      <c r="N56" s="40">
        <v>98</v>
      </c>
      <c r="O56" s="11"/>
      <c r="P56" s="31"/>
      <c r="S56" s="23"/>
    </row>
    <row r="57" spans="1:57" ht="15" thickBot="1">
      <c r="B57" s="658"/>
      <c r="C57" s="351"/>
      <c r="D57" s="580"/>
      <c r="E57" s="581"/>
      <c r="F57" s="295"/>
      <c r="G57" s="42"/>
      <c r="H57" s="41"/>
      <c r="I57" s="42"/>
      <c r="J57" s="42"/>
      <c r="K57" s="352"/>
      <c r="L57" s="349"/>
      <c r="M57" s="349"/>
      <c r="N57" s="11"/>
      <c r="O57" s="295"/>
      <c r="P57" s="12"/>
      <c r="S57" s="23"/>
    </row>
    <row r="58" spans="1:57" ht="15" thickBot="1">
      <c r="B58" s="653" t="str">
        <f>I51</f>
        <v>MACKESON</v>
      </c>
      <c r="C58" s="363">
        <v>13.49</v>
      </c>
      <c r="D58" s="591">
        <v>14.11</v>
      </c>
      <c r="E58" s="592"/>
      <c r="F58" s="43"/>
      <c r="G58" s="41"/>
      <c r="H58" s="41"/>
      <c r="I58" s="42"/>
      <c r="J58" s="594" t="s">
        <v>129</v>
      </c>
      <c r="K58" s="594"/>
      <c r="L58" s="295"/>
      <c r="M58" s="295"/>
      <c r="N58" s="295"/>
      <c r="O58" s="295"/>
      <c r="P58" s="12"/>
      <c r="S58" s="23" t="s">
        <v>41</v>
      </c>
    </row>
    <row r="59" spans="1:57" ht="13.5" customHeight="1" thickBot="1">
      <c r="B59" s="654"/>
      <c r="C59" s="350">
        <v>13.5</v>
      </c>
      <c r="D59" s="593"/>
      <c r="E59" s="581"/>
      <c r="F59" s="43"/>
      <c r="G59" s="41"/>
      <c r="H59" s="523"/>
      <c r="I59" s="520"/>
      <c r="J59" s="293" t="s">
        <v>17</v>
      </c>
      <c r="K59" s="294" t="s">
        <v>184</v>
      </c>
      <c r="L59" s="595" t="s">
        <v>136</v>
      </c>
      <c r="M59" s="595"/>
      <c r="N59" s="596"/>
      <c r="O59" s="295"/>
      <c r="P59" s="12"/>
      <c r="S59" s="23"/>
    </row>
    <row r="60" spans="1:57" ht="15" customHeight="1" thickBot="1">
      <c r="B60" s="654"/>
      <c r="C60" s="350">
        <v>13.3</v>
      </c>
      <c r="D60" s="597">
        <v>14.13</v>
      </c>
      <c r="E60" s="579"/>
      <c r="F60" s="43"/>
      <c r="G60" s="41"/>
      <c r="H60" s="524"/>
      <c r="I60" s="521"/>
      <c r="J60" s="288" t="s">
        <v>6</v>
      </c>
      <c r="K60" s="325"/>
      <c r="L60" s="344" t="s">
        <v>37</v>
      </c>
      <c r="M60" s="308" t="s">
        <v>38</v>
      </c>
      <c r="N60" s="308" t="s">
        <v>84</v>
      </c>
      <c r="O60" s="295"/>
      <c r="P60" s="12"/>
      <c r="S60" s="23"/>
    </row>
    <row r="61" spans="1:57" ht="15.75" customHeight="1" thickBot="1">
      <c r="B61" s="654"/>
      <c r="C61" s="350">
        <v>13.1</v>
      </c>
      <c r="D61" s="593"/>
      <c r="E61" s="581"/>
      <c r="F61" s="43"/>
      <c r="G61" s="41"/>
      <c r="H61" s="524"/>
      <c r="I61" s="521"/>
      <c r="J61" s="346" t="s">
        <v>9</v>
      </c>
      <c r="K61" s="325">
        <v>4</v>
      </c>
      <c r="L61" s="345">
        <f>AVERAGE('Jan 2nd'!K69,'Jan 3rd'!K69,'Jan 6th'!K54,'Jan 7th'!K76,'Jan 8th'!K76,'Jan. 10th'!K54,'Jan. 14th '!K54,'Jan.15th '!K55,Jan.16th!K58,'Jan.17th -19th'!K67,Jan.20th!K67,'Jan.21ST '!K70)</f>
        <v>6.666666666666667</v>
      </c>
      <c r="M61" s="326">
        <f>L61</f>
        <v>6.666666666666667</v>
      </c>
      <c r="N61" s="488"/>
      <c r="O61" s="295"/>
      <c r="P61" s="12"/>
      <c r="S61" s="23"/>
    </row>
    <row r="62" spans="1:57" ht="15" customHeight="1">
      <c r="B62" s="654"/>
      <c r="C62" s="350"/>
      <c r="D62" s="597"/>
      <c r="E62" s="579"/>
      <c r="F62" s="43"/>
      <c r="G62" s="41"/>
      <c r="H62" s="524"/>
      <c r="I62" s="521"/>
      <c r="J62" s="289" t="s">
        <v>40</v>
      </c>
      <c r="K62" s="325"/>
      <c r="L62" s="295"/>
      <c r="M62" s="295"/>
      <c r="N62" s="295"/>
      <c r="O62" s="295"/>
      <c r="P62" s="12"/>
      <c r="S62" s="23"/>
    </row>
    <row r="63" spans="1:57" ht="15" customHeight="1">
      <c r="B63" s="654"/>
      <c r="C63" s="350"/>
      <c r="D63" s="593"/>
      <c r="E63" s="581"/>
      <c r="F63" s="43"/>
      <c r="G63" s="41"/>
      <c r="H63" s="524"/>
      <c r="I63" s="521"/>
      <c r="J63" s="290" t="s">
        <v>33</v>
      </c>
      <c r="K63" s="325"/>
      <c r="L63" s="295"/>
      <c r="M63" s="295"/>
      <c r="N63" s="295"/>
      <c r="O63" s="295"/>
      <c r="P63" s="12"/>
      <c r="S63" s="23"/>
    </row>
    <row r="64" spans="1:57" ht="14.4">
      <c r="B64" s="654"/>
      <c r="C64" s="350"/>
      <c r="D64" s="597"/>
      <c r="E64" s="579"/>
      <c r="F64" s="43"/>
      <c r="G64" s="41"/>
      <c r="H64" s="524"/>
      <c r="I64" s="521"/>
      <c r="J64" s="291" t="s">
        <v>16</v>
      </c>
      <c r="K64" s="325">
        <v>4</v>
      </c>
      <c r="L64" s="295"/>
      <c r="M64" s="295"/>
      <c r="N64" s="295"/>
      <c r="O64" s="295"/>
      <c r="P64" s="12"/>
      <c r="S64" s="23"/>
      <c r="BD64" s="44"/>
      <c r="BE64" s="44"/>
    </row>
    <row r="65" spans="2:58" ht="14.4">
      <c r="B65" s="654"/>
      <c r="C65" s="350"/>
      <c r="D65" s="593"/>
      <c r="E65" s="581"/>
      <c r="F65" s="43"/>
      <c r="G65" s="41"/>
      <c r="H65" s="524"/>
      <c r="I65" s="521"/>
      <c r="J65" s="292" t="s">
        <v>15</v>
      </c>
      <c r="K65" s="325"/>
      <c r="L65" s="295"/>
      <c r="M65" s="295"/>
      <c r="N65" s="295"/>
      <c r="O65" s="295"/>
      <c r="P65" s="12"/>
      <c r="S65" s="23"/>
      <c r="BD65" s="44"/>
      <c r="BE65" s="44"/>
    </row>
    <row r="66" spans="2:58" ht="14.4">
      <c r="B66" s="654"/>
      <c r="C66" s="350"/>
      <c r="D66" s="598"/>
      <c r="E66" s="583"/>
      <c r="F66" s="43"/>
      <c r="G66" s="41"/>
      <c r="H66" s="524"/>
      <c r="I66" s="521"/>
      <c r="J66" s="292" t="s">
        <v>149</v>
      </c>
      <c r="K66" s="325"/>
      <c r="L66" s="295"/>
      <c r="M66" s="295"/>
      <c r="N66" s="295"/>
      <c r="O66" s="295"/>
      <c r="P66" s="12"/>
      <c r="S66" s="23"/>
      <c r="BD66" s="44"/>
      <c r="BE66" s="44"/>
    </row>
    <row r="67" spans="2:58" ht="15" thickBot="1">
      <c r="B67" s="655"/>
      <c r="C67" s="351"/>
      <c r="D67" s="599"/>
      <c r="E67" s="600"/>
      <c r="F67" s="43"/>
      <c r="G67" s="41"/>
      <c r="H67" s="524"/>
      <c r="I67" s="521"/>
      <c r="J67" s="292" t="s">
        <v>148</v>
      </c>
      <c r="K67" s="325"/>
      <c r="L67" s="295"/>
      <c r="M67" s="295"/>
      <c r="N67" s="295"/>
      <c r="O67" s="295"/>
      <c r="P67" s="12"/>
      <c r="S67" s="23"/>
      <c r="BD67" s="44"/>
      <c r="BE67" s="44"/>
    </row>
    <row r="68" spans="2:58" ht="17.7" customHeight="1" thickBot="1">
      <c r="B68" s="313" t="s">
        <v>139</v>
      </c>
      <c r="C68" s="314"/>
      <c r="D68" s="601">
        <f>AVERAGE(D46:E67)</f>
        <v>15.797500000000001</v>
      </c>
      <c r="E68" s="602"/>
      <c r="F68" s="43"/>
      <c r="G68" s="41"/>
      <c r="H68" s="524"/>
      <c r="I68" s="521"/>
      <c r="J68" s="296" t="s">
        <v>134</v>
      </c>
      <c r="K68" s="325"/>
      <c r="L68" s="295"/>
      <c r="M68" s="295"/>
      <c r="N68" s="295"/>
      <c r="O68" s="295"/>
      <c r="P68" s="12"/>
      <c r="S68" s="23"/>
      <c r="BD68" s="44"/>
      <c r="BE68" s="44"/>
    </row>
    <row r="69" spans="2:58" ht="17.7" customHeight="1">
      <c r="B69" s="364"/>
      <c r="C69" s="365"/>
      <c r="D69" s="366"/>
      <c r="E69" s="366"/>
      <c r="F69" s="43"/>
      <c r="G69" s="41"/>
      <c r="H69" s="524"/>
      <c r="I69" s="521"/>
      <c r="J69" s="296" t="s">
        <v>131</v>
      </c>
      <c r="K69" s="325"/>
      <c r="L69" s="295"/>
      <c r="M69" s="295"/>
      <c r="N69" s="295"/>
      <c r="O69" s="295"/>
      <c r="P69" s="12"/>
      <c r="S69" s="23"/>
      <c r="BD69" s="44"/>
      <c r="BE69" s="44"/>
    </row>
    <row r="70" spans="2:58" ht="15.75" customHeight="1" thickBot="1">
      <c r="B70" s="45"/>
      <c r="C70" s="11"/>
      <c r="D70" s="11"/>
      <c r="E70" s="46"/>
      <c r="F70" s="23"/>
      <c r="G70" s="11"/>
      <c r="H70" s="525"/>
      <c r="I70" s="522"/>
      <c r="J70" s="347" t="s">
        <v>130</v>
      </c>
      <c r="K70" s="325">
        <f>SUM(K60:K69)</f>
        <v>8</v>
      </c>
      <c r="L70" s="295"/>
      <c r="M70" s="295"/>
      <c r="N70" s="295"/>
      <c r="O70" s="295"/>
      <c r="P70" s="12"/>
    </row>
    <row r="71" spans="2:58" ht="20.25" customHeight="1">
      <c r="B71" s="15" t="s">
        <v>42</v>
      </c>
      <c r="C71" s="1" t="s">
        <v>43</v>
      </c>
      <c r="D71" s="1"/>
      <c r="E71" s="1"/>
      <c r="I71" s="42"/>
      <c r="L71" s="295"/>
      <c r="P71" s="335"/>
    </row>
    <row r="72" spans="2:58" ht="15" customHeight="1" thickBot="1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8"/>
      <c r="O72" s="48"/>
      <c r="P72" s="49"/>
      <c r="X72" s="276" t="s">
        <v>41</v>
      </c>
    </row>
    <row r="73" spans="2:58" ht="15" customHeight="1" thickBot="1">
      <c r="B73" s="603" t="s">
        <v>17</v>
      </c>
      <c r="C73" s="603" t="s">
        <v>44</v>
      </c>
      <c r="D73" s="605" t="s">
        <v>45</v>
      </c>
      <c r="E73" s="560" t="s">
        <v>46</v>
      </c>
      <c r="F73" s="620" t="s">
        <v>47</v>
      </c>
      <c r="G73" s="614" t="s">
        <v>48</v>
      </c>
      <c r="H73" s="603" t="s">
        <v>49</v>
      </c>
      <c r="I73" s="603" t="s">
        <v>50</v>
      </c>
      <c r="J73" s="608" t="s">
        <v>28</v>
      </c>
      <c r="K73" s="558" t="s">
        <v>51</v>
      </c>
      <c r="L73" s="570" t="s">
        <v>52</v>
      </c>
      <c r="M73" s="608" t="s">
        <v>53</v>
      </c>
      <c r="N73" s="77"/>
      <c r="O73" s="13"/>
      <c r="P73" s="50"/>
    </row>
    <row r="74" spans="2:58" ht="28.5" customHeight="1" thickTop="1" thickBot="1">
      <c r="B74" s="604"/>
      <c r="C74" s="604"/>
      <c r="D74" s="606"/>
      <c r="E74" s="607"/>
      <c r="F74" s="621"/>
      <c r="G74" s="615"/>
      <c r="H74" s="604"/>
      <c r="I74" s="604"/>
      <c r="J74" s="609"/>
      <c r="K74" s="618"/>
      <c r="L74" s="619"/>
      <c r="M74" s="609"/>
      <c r="N74" s="77"/>
      <c r="O74" s="13"/>
      <c r="P74" s="50"/>
      <c r="Q74" s="356"/>
      <c r="R74" s="356"/>
      <c r="S74" s="356"/>
      <c r="T74" s="356"/>
      <c r="U74" s="51">
        <v>43466</v>
      </c>
      <c r="V74" s="51">
        <v>43467</v>
      </c>
      <c r="W74" s="51">
        <v>43468</v>
      </c>
      <c r="X74" s="51">
        <v>43469</v>
      </c>
      <c r="Y74" s="51">
        <v>43470</v>
      </c>
      <c r="Z74" s="51">
        <v>43471</v>
      </c>
      <c r="AA74" s="51">
        <v>43472</v>
      </c>
      <c r="AB74" s="51">
        <v>43473</v>
      </c>
      <c r="AC74" s="51">
        <v>43474</v>
      </c>
      <c r="AD74" s="51">
        <v>43475</v>
      </c>
      <c r="AE74" s="51">
        <v>43476</v>
      </c>
      <c r="AF74" s="51">
        <v>43477</v>
      </c>
      <c r="AG74" s="51">
        <v>43478</v>
      </c>
      <c r="AH74" s="51">
        <v>43479</v>
      </c>
      <c r="AI74" s="51">
        <v>43480</v>
      </c>
      <c r="AJ74" s="51">
        <v>43481</v>
      </c>
      <c r="AK74" s="51">
        <v>43482</v>
      </c>
      <c r="AL74" s="51">
        <v>43483</v>
      </c>
      <c r="AM74" s="51">
        <v>43484</v>
      </c>
      <c r="AN74" s="51">
        <v>43485</v>
      </c>
      <c r="AO74" s="51">
        <v>43486</v>
      </c>
      <c r="AP74" s="51">
        <v>43487</v>
      </c>
      <c r="AQ74" s="51">
        <v>43488</v>
      </c>
      <c r="AR74" s="51">
        <v>43489</v>
      </c>
      <c r="AS74" s="51">
        <v>43490</v>
      </c>
      <c r="AT74" s="51">
        <v>43491</v>
      </c>
      <c r="AU74" s="51">
        <v>43492</v>
      </c>
      <c r="AV74" s="51">
        <v>43493</v>
      </c>
      <c r="AW74" s="51">
        <v>43494</v>
      </c>
      <c r="AX74" s="51">
        <v>43495</v>
      </c>
      <c r="AY74" s="51">
        <v>43496</v>
      </c>
    </row>
    <row r="75" spans="2:58" s="54" customFormat="1" ht="60.75" customHeight="1" thickBot="1">
      <c r="B75" s="511" t="str">
        <f>I52</f>
        <v>STARMALT</v>
      </c>
      <c r="C75" s="284">
        <v>45678</v>
      </c>
      <c r="D75" s="378">
        <f>[23]January_2025!$X$55</f>
        <v>201.6</v>
      </c>
      <c r="E75" s="379"/>
      <c r="F75" s="380"/>
      <c r="G75" s="304">
        <f>SUM([23]January_2025!$X$59)</f>
        <v>197.9</v>
      </c>
      <c r="H75" s="382"/>
      <c r="I75" s="383"/>
      <c r="J75" s="391" t="s">
        <v>180</v>
      </c>
      <c r="K75" s="381">
        <f>[24]January_2025!$X$53</f>
        <v>0.69438596491228077</v>
      </c>
      <c r="L75" s="315">
        <f>(((D75+E75)-G75)/(D75+E75))*100</f>
        <v>1.8353174603174549</v>
      </c>
      <c r="M75" s="358" t="s">
        <v>179</v>
      </c>
      <c r="N75" s="13"/>
      <c r="O75" s="13"/>
      <c r="P75" s="50"/>
      <c r="T75" s="273" t="s">
        <v>54</v>
      </c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</row>
    <row r="76" spans="2:58" s="54" customFormat="1" ht="18.75" customHeight="1" thickBot="1">
      <c r="B76" s="388"/>
      <c r="C76" s="284"/>
      <c r="D76" s="280"/>
      <c r="E76" s="280"/>
      <c r="F76" s="280"/>
      <c r="G76" s="280"/>
      <c r="H76" s="321"/>
      <c r="I76" s="322"/>
      <c r="J76" s="390" t="s">
        <v>41</v>
      </c>
      <c r="K76" s="377"/>
      <c r="L76" s="315"/>
      <c r="M76" s="385"/>
      <c r="N76" s="13"/>
      <c r="O76" s="13"/>
      <c r="P76" s="50"/>
      <c r="T76" s="273" t="s">
        <v>51</v>
      </c>
      <c r="U76" s="57" t="e">
        <f>[20]January_2019!D8</f>
        <v>#DIV/0!</v>
      </c>
      <c r="V76" s="57">
        <f>[20]January_2019!E8</f>
        <v>1.0319298245614037</v>
      </c>
      <c r="W76" s="57">
        <f>[20]January_2019!F8</f>
        <v>1.7789473684210526</v>
      </c>
      <c r="X76" s="57">
        <f>[20]January_2019!G8</f>
        <v>0.51929824561403504</v>
      </c>
      <c r="Y76" s="57" t="e">
        <f>[20]January_2019!H8</f>
        <v>#DIV/0!</v>
      </c>
      <c r="Z76" s="57" t="e">
        <f>[20]January_2019!I8</f>
        <v>#DIV/0!</v>
      </c>
      <c r="AA76" s="57">
        <f>[20]January_2019!J8</f>
        <v>1.365263157894737</v>
      </c>
      <c r="AB76" s="57" t="e">
        <f>[20]January_2019!K8</f>
        <v>#DIV/0!</v>
      </c>
      <c r="AC76" s="57">
        <f>[20]January_2019!L8</f>
        <v>1.0028070175438597</v>
      </c>
      <c r="AD76" s="57">
        <f>[20]January_2019!M8</f>
        <v>1.7828070175438597</v>
      </c>
      <c r="AE76" s="57" t="e">
        <f>[20]January_2019!N8</f>
        <v>#DIV/0!</v>
      </c>
      <c r="AF76" s="57" t="e">
        <f>[20]January_2019!O8</f>
        <v>#DIV/0!</v>
      </c>
      <c r="AG76" s="57">
        <f>[20]January_2019!P8</f>
        <v>0.19222222222222221</v>
      </c>
      <c r="AH76" s="57">
        <f>[20]January_2019!Q8</f>
        <v>0.52219298245614032</v>
      </c>
      <c r="AI76" s="57">
        <f>[20]January_2019!R8</f>
        <v>0.42912280701754385</v>
      </c>
      <c r="AJ76" s="57" t="e">
        <f>[20]January_2019!S8</f>
        <v>#DIV/0!</v>
      </c>
      <c r="AK76" s="57">
        <f>[20]January_2019!T8</f>
        <v>1.0340350877192983</v>
      </c>
      <c r="AL76" s="57">
        <f>[20]January_2019!U8</f>
        <v>0.98421052631578942</v>
      </c>
      <c r="AM76" s="57" t="e">
        <f>[20]January_2019!V8</f>
        <v>#DIV/0!</v>
      </c>
      <c r="AN76" s="57" t="e">
        <f>[20]January_2019!W8</f>
        <v>#DIV/0!</v>
      </c>
      <c r="AO76" s="57">
        <f>[20]January_2019!X8</f>
        <v>0.66052631578947374</v>
      </c>
      <c r="AP76" s="57">
        <f>[20]January_2019!Y8</f>
        <v>1.0375438596491227</v>
      </c>
      <c r="AQ76" s="57">
        <f>[20]January_2019!Z8</f>
        <v>0.90456140350877201</v>
      </c>
      <c r="AR76" s="57">
        <f>[20]January_2019!AA8</f>
        <v>1.0217543859649123</v>
      </c>
      <c r="AS76" s="57">
        <f>[20]January_2019!AB8</f>
        <v>0.65614035087719302</v>
      </c>
      <c r="AT76" s="57" t="e">
        <f>[20]January_2019!AC8</f>
        <v>#DIV/0!</v>
      </c>
      <c r="AU76" s="57" t="e">
        <f>[20]January_2019!AD8</f>
        <v>#DIV/0!</v>
      </c>
      <c r="AV76" s="57">
        <f>[20]January_2019!AE8</f>
        <v>1.7021052631578948</v>
      </c>
      <c r="AW76" s="57">
        <f>[20]January_2019!AF8</f>
        <v>0.60192982456140354</v>
      </c>
      <c r="AX76" s="57">
        <f>[20]January_2019!AG8</f>
        <v>1.4870175438596491</v>
      </c>
      <c r="AY76" s="278" t="e">
        <f>[20]January_2019!AH8</f>
        <v>#DIV/0!</v>
      </c>
      <c r="AZ76" s="278"/>
      <c r="BA76" s="278"/>
      <c r="BB76" s="278"/>
      <c r="BC76" s="278"/>
      <c r="BD76" s="278"/>
      <c r="BE76" s="278"/>
      <c r="BF76" s="278"/>
    </row>
    <row r="77" spans="2:58" s="54" customFormat="1" ht="34.5" customHeight="1" thickBot="1">
      <c r="B77" s="36" t="str">
        <f>B58</f>
        <v>MACKESON</v>
      </c>
      <c r="C77" s="284">
        <v>45678</v>
      </c>
      <c r="D77" s="280">
        <f>[23]January_2025!$X$34</f>
        <v>204.39999999999998</v>
      </c>
      <c r="E77" s="280"/>
      <c r="F77" s="280"/>
      <c r="G77" s="280">
        <f>[23]January_2025!$X$39</f>
        <v>196.2</v>
      </c>
      <c r="H77" s="382"/>
      <c r="I77" s="383"/>
      <c r="J77" s="391" t="s">
        <v>180</v>
      </c>
      <c r="K77" s="373">
        <f>[24]January_2025!$X$39</f>
        <v>0.68842105263157893</v>
      </c>
      <c r="L77" s="315">
        <f>(((D77+E77)-G77)/(D77+E77))*100</f>
        <v>4.0117416829745549</v>
      </c>
      <c r="M77" s="358" t="s">
        <v>178</v>
      </c>
      <c r="N77" s="13"/>
      <c r="O77" s="13"/>
      <c r="P77" s="50"/>
      <c r="T77" s="273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278"/>
      <c r="AZ77" s="278"/>
      <c r="BA77" s="278"/>
      <c r="BB77" s="278"/>
      <c r="BC77" s="278"/>
      <c r="BD77" s="278"/>
      <c r="BE77" s="278"/>
      <c r="BF77" s="278"/>
    </row>
    <row r="78" spans="2:58" s="54" customFormat="1" ht="14.4" hidden="1" thickBot="1">
      <c r="B78" s="362"/>
      <c r="C78" s="284"/>
      <c r="D78" s="305"/>
      <c r="E78" s="280"/>
      <c r="F78" s="280"/>
      <c r="G78" s="280"/>
      <c r="H78" s="382"/>
      <c r="I78" s="383"/>
      <c r="J78" s="390"/>
      <c r="K78" s="377"/>
      <c r="L78" s="315"/>
      <c r="M78" s="355"/>
      <c r="N78" s="13"/>
      <c r="O78" s="13"/>
      <c r="P78" s="50"/>
      <c r="T78" s="273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278"/>
      <c r="AZ78" s="278"/>
      <c r="BA78" s="278"/>
      <c r="BB78" s="278"/>
      <c r="BC78" s="278"/>
      <c r="BD78" s="278"/>
      <c r="BE78" s="278"/>
      <c r="BF78" s="278"/>
    </row>
    <row r="79" spans="2:58" s="54" customFormat="1" ht="45.75" hidden="1" customHeight="1">
      <c r="B79" s="386"/>
      <c r="C79" s="284"/>
      <c r="D79" s="280"/>
      <c r="E79" s="280"/>
      <c r="F79" s="280"/>
      <c r="G79" s="280"/>
      <c r="H79" s="321"/>
      <c r="I79" s="323"/>
      <c r="J79" s="361"/>
      <c r="K79" s="287"/>
      <c r="L79" s="315"/>
      <c r="M79" s="385"/>
      <c r="N79" s="13"/>
      <c r="O79" s="13"/>
      <c r="P79" s="50"/>
      <c r="T79" s="273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278"/>
      <c r="AZ79" s="278"/>
      <c r="BA79" s="278"/>
      <c r="BB79" s="278"/>
      <c r="BC79" s="278"/>
      <c r="BD79" s="278"/>
      <c r="BE79" s="278"/>
      <c r="BF79" s="278"/>
    </row>
    <row r="80" spans="2:58" s="54" customFormat="1" ht="45.75" hidden="1" customHeight="1">
      <c r="B80" s="362"/>
      <c r="C80" s="284"/>
      <c r="D80" s="280"/>
      <c r="E80" s="280"/>
      <c r="F80" s="280"/>
      <c r="G80" s="280"/>
      <c r="H80" s="321"/>
      <c r="I80" s="323"/>
      <c r="J80" s="282"/>
      <c r="K80" s="287"/>
      <c r="L80" s="315"/>
      <c r="M80" s="340"/>
      <c r="N80" s="13"/>
      <c r="O80" s="13"/>
      <c r="P80" s="50"/>
      <c r="T80" s="273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278"/>
      <c r="AZ80" s="278"/>
      <c r="BA80" s="278"/>
      <c r="BB80" s="278"/>
      <c r="BC80" s="278"/>
      <c r="BD80" s="278"/>
      <c r="BE80" s="278"/>
      <c r="BF80" s="278"/>
    </row>
    <row r="81" spans="2:16" ht="14.4" thickBot="1">
      <c r="B81" s="33"/>
      <c r="C81" s="311"/>
      <c r="D81" s="280"/>
      <c r="E81" s="280"/>
      <c r="F81" s="280"/>
      <c r="G81" s="280"/>
      <c r="H81" s="353"/>
      <c r="I81" s="354"/>
      <c r="J81" s="52"/>
      <c r="K81" s="52"/>
      <c r="L81" s="53"/>
      <c r="M81" s="55"/>
      <c r="N81" s="77"/>
      <c r="O81" s="13"/>
      <c r="P81" s="56"/>
    </row>
    <row r="82" spans="2:16" ht="14.4" thickBot="1">
      <c r="B82" s="58"/>
      <c r="C82" s="310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9"/>
      <c r="O82" s="56"/>
      <c r="P82" s="60"/>
    </row>
    <row r="83" spans="2:16" ht="14.4" thickBot="1">
      <c r="B83" s="610" t="s">
        <v>55</v>
      </c>
      <c r="C83" s="611"/>
      <c r="D83" s="611"/>
      <c r="E83" s="611"/>
      <c r="F83" s="612"/>
      <c r="G83" s="610" t="s">
        <v>56</v>
      </c>
      <c r="H83" s="611"/>
      <c r="I83" s="611"/>
      <c r="J83" s="612"/>
      <c r="K83" s="610" t="s">
        <v>51</v>
      </c>
      <c r="L83" s="611"/>
      <c r="M83" s="611"/>
      <c r="N83" s="613"/>
      <c r="O83" s="56"/>
      <c r="P83" s="50"/>
    </row>
    <row r="84" spans="2:16">
      <c r="B84" s="61" t="s">
        <v>17</v>
      </c>
      <c r="C84" s="62" t="s">
        <v>36</v>
      </c>
      <c r="D84" s="62" t="s">
        <v>37</v>
      </c>
      <c r="E84" s="62" t="s">
        <v>38</v>
      </c>
      <c r="F84" s="63" t="s">
        <v>39</v>
      </c>
      <c r="G84" s="62" t="s">
        <v>36</v>
      </c>
      <c r="H84" s="62" t="s">
        <v>37</v>
      </c>
      <c r="I84" s="62" t="s">
        <v>38</v>
      </c>
      <c r="J84" s="63" t="s">
        <v>39</v>
      </c>
      <c r="K84" s="62" t="s">
        <v>36</v>
      </c>
      <c r="L84" s="62" t="s">
        <v>37</v>
      </c>
      <c r="M84" s="62" t="s">
        <v>38</v>
      </c>
      <c r="N84" s="63" t="s">
        <v>39</v>
      </c>
      <c r="O84" s="56"/>
      <c r="P84" s="64"/>
    </row>
    <row r="85" spans="2:16">
      <c r="B85" s="29" t="s">
        <v>6</v>
      </c>
      <c r="C85" s="65"/>
      <c r="D85" s="76">
        <v>8.851993992991817</v>
      </c>
      <c r="E85" s="76"/>
      <c r="F85" s="66">
        <v>4.8</v>
      </c>
      <c r="G85" s="65"/>
      <c r="H85" s="76">
        <v>10.305764255799362</v>
      </c>
      <c r="I85" s="76"/>
      <c r="J85" s="66">
        <v>4.8</v>
      </c>
      <c r="K85" s="67"/>
      <c r="L85" s="194">
        <v>0.97232456140350876</v>
      </c>
      <c r="M85" s="194"/>
      <c r="N85" s="68">
        <v>1</v>
      </c>
      <c r="O85" s="56"/>
      <c r="P85" s="69"/>
    </row>
    <row r="86" spans="2:16">
      <c r="B86" s="33" t="s">
        <v>9</v>
      </c>
      <c r="C86" s="65"/>
      <c r="D86" s="76">
        <v>6.7850094667561489</v>
      </c>
      <c r="E86" s="76"/>
      <c r="F86" s="66">
        <v>4.8</v>
      </c>
      <c r="G86" s="65"/>
      <c r="H86" s="76">
        <v>11.587687428344005</v>
      </c>
      <c r="I86" s="76"/>
      <c r="J86" s="66">
        <v>4.8</v>
      </c>
      <c r="K86" s="67"/>
      <c r="L86" s="194">
        <v>1.0883040935672514</v>
      </c>
      <c r="M86" s="194"/>
      <c r="N86" s="68">
        <v>1</v>
      </c>
      <c r="P86" s="69"/>
    </row>
    <row r="87" spans="2:16">
      <c r="B87" s="34" t="s">
        <v>40</v>
      </c>
      <c r="C87" s="65"/>
      <c r="D87" s="76">
        <v>7.5530586766541949</v>
      </c>
      <c r="E87" s="76"/>
      <c r="F87" s="66">
        <v>5.5</v>
      </c>
      <c r="G87" s="65"/>
      <c r="H87" s="76">
        <v>2.6473552031086438</v>
      </c>
      <c r="I87" s="76"/>
      <c r="J87" s="66">
        <v>5.5</v>
      </c>
      <c r="K87" s="67"/>
      <c r="L87" s="194">
        <v>1.0392982456140349</v>
      </c>
      <c r="M87" s="194"/>
      <c r="N87" s="68">
        <v>1</v>
      </c>
      <c r="P87" s="69"/>
    </row>
    <row r="88" spans="2:16">
      <c r="B88" s="22" t="s">
        <v>33</v>
      </c>
      <c r="C88" s="65"/>
      <c r="D88" s="76">
        <v>2.2380467955239092</v>
      </c>
      <c r="E88" s="76"/>
      <c r="F88" s="66">
        <v>3.3</v>
      </c>
      <c r="G88" s="65"/>
      <c r="H88" s="76">
        <v>5.2472220688473969</v>
      </c>
      <c r="I88" s="76"/>
      <c r="J88" s="66">
        <v>3.3</v>
      </c>
      <c r="K88" s="67"/>
      <c r="L88" s="194">
        <v>0.67438596491228064</v>
      </c>
      <c r="M88" s="194"/>
      <c r="N88" s="68">
        <v>1</v>
      </c>
      <c r="P88" s="69"/>
    </row>
    <row r="89" spans="2:16">
      <c r="B89" s="35" t="s">
        <v>29</v>
      </c>
      <c r="C89" s="65"/>
      <c r="D89" s="76"/>
      <c r="E89" s="76"/>
      <c r="F89" s="66">
        <v>3.3</v>
      </c>
      <c r="G89" s="283"/>
      <c r="H89" s="76"/>
      <c r="I89" s="76"/>
      <c r="J89" s="66">
        <v>3</v>
      </c>
      <c r="K89" s="67"/>
      <c r="L89" s="194"/>
      <c r="M89" s="194"/>
      <c r="N89" s="68">
        <v>1</v>
      </c>
      <c r="P89" s="69"/>
    </row>
    <row r="90" spans="2:16">
      <c r="B90" s="36" t="s">
        <v>15</v>
      </c>
      <c r="C90" s="283">
        <f>L77</f>
        <v>4.0117416829745549</v>
      </c>
      <c r="D90" s="76">
        <v>7.0748963161746765</v>
      </c>
      <c r="E90" s="76"/>
      <c r="F90" s="70">
        <f>[21]May_2022!$M$43</f>
        <v>3.4878406700073312</v>
      </c>
      <c r="G90" s="283">
        <f>[23]January_2025!$X$43</f>
        <v>7.8656670963914044</v>
      </c>
      <c r="H90" s="76">
        <v>1.4270716225331497</v>
      </c>
      <c r="I90" s="76"/>
      <c r="J90" s="70">
        <v>5.5</v>
      </c>
      <c r="K90" s="67">
        <f>[24]January_2025!$X$39</f>
        <v>0.68842105263157893</v>
      </c>
      <c r="L90" s="194">
        <v>0.66824561403508764</v>
      </c>
      <c r="M90" s="194"/>
      <c r="N90" s="68">
        <v>1</v>
      </c>
      <c r="P90" s="69"/>
    </row>
    <row r="91" spans="2:16">
      <c r="B91" s="37" t="s">
        <v>16</v>
      </c>
      <c r="C91" s="65">
        <f>L75</f>
        <v>1.8353174603174549</v>
      </c>
      <c r="D91" s="76">
        <v>1.4603960396039548</v>
      </c>
      <c r="E91" s="76"/>
      <c r="F91" s="70">
        <v>3.3</v>
      </c>
      <c r="G91" s="283">
        <f>[23]January_2025!$X$63</f>
        <v>4.6883276094793755</v>
      </c>
      <c r="H91" s="76">
        <v>4.0624079285034069</v>
      </c>
      <c r="I91" s="76"/>
      <c r="J91" s="70">
        <v>3.3</v>
      </c>
      <c r="K91" s="67">
        <f>[24]January_2025!$X$53</f>
        <v>0.69438596491228077</v>
      </c>
      <c r="L91" s="194">
        <v>0.69842105263157894</v>
      </c>
      <c r="M91" s="194"/>
      <c r="N91" s="71">
        <v>1</v>
      </c>
      <c r="P91" s="69"/>
    </row>
    <row r="92" spans="2:16" ht="14.4" thickBot="1">
      <c r="B92" s="38" t="s">
        <v>127</v>
      </c>
      <c r="C92" s="65"/>
      <c r="D92" s="76"/>
      <c r="E92" s="76"/>
      <c r="F92" s="72">
        <v>7.5</v>
      </c>
      <c r="G92" s="73"/>
      <c r="H92" s="76"/>
      <c r="I92" s="76"/>
      <c r="J92" s="72">
        <v>7.5</v>
      </c>
      <c r="K92" s="67"/>
      <c r="L92" s="194"/>
      <c r="M92" s="194"/>
      <c r="N92" s="71">
        <v>1</v>
      </c>
      <c r="P92" s="69"/>
    </row>
    <row r="93" spans="2:16">
      <c r="C93" s="65"/>
      <c r="D93" s="76">
        <v>6.7275556802816645</v>
      </c>
      <c r="E93" s="76"/>
      <c r="F93" s="342">
        <v>4.5</v>
      </c>
      <c r="G93" s="74"/>
      <c r="H93" s="76">
        <v>6.9593481484924711</v>
      </c>
      <c r="I93" s="76"/>
      <c r="J93" s="343">
        <v>4.5</v>
      </c>
      <c r="K93" s="67"/>
      <c r="L93" s="194">
        <v>0.80685146198830426</v>
      </c>
      <c r="M93" s="194"/>
      <c r="N93" s="387">
        <v>1</v>
      </c>
      <c r="O93" s="74"/>
      <c r="P93" s="75"/>
    </row>
    <row r="98" spans="6:30">
      <c r="F98" s="316"/>
    </row>
    <row r="106" spans="6:30">
      <c r="AD106" s="276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B58:B67"/>
    <mergeCell ref="D58:E59"/>
    <mergeCell ref="J58:K58"/>
    <mergeCell ref="L59:N59"/>
    <mergeCell ref="D60:E61"/>
    <mergeCell ref="D62:E63"/>
    <mergeCell ref="D64:E65"/>
    <mergeCell ref="D66:E67"/>
    <mergeCell ref="D68:E68"/>
    <mergeCell ref="B73:B74"/>
    <mergeCell ref="C73:C74"/>
    <mergeCell ref="D73:D74"/>
    <mergeCell ref="E73:E74"/>
    <mergeCell ref="M73:M74"/>
    <mergeCell ref="B83:F83"/>
    <mergeCell ref="G83:J83"/>
    <mergeCell ref="K83:N83"/>
    <mergeCell ref="G73:G74"/>
    <mergeCell ref="H73:H74"/>
    <mergeCell ref="I73:I74"/>
    <mergeCell ref="J73:J74"/>
    <mergeCell ref="K73:K74"/>
    <mergeCell ref="L73:L74"/>
    <mergeCell ref="F73:F74"/>
  </mergeCells>
  <conditionalFormatting sqref="B68:B69">
    <cfRule type="cellIs" dxfId="1220" priority="160" operator="notBetween">
      <formula>#REF!</formula>
      <formula>#REF!</formula>
    </cfRule>
  </conditionalFormatting>
  <conditionalFormatting sqref="C72">
    <cfRule type="cellIs" dxfId="1219" priority="192" stopIfTrue="1" operator="greaterThan">
      <formula>100</formula>
    </cfRule>
    <cfRule type="cellIs" dxfId="1218" priority="191" stopIfTrue="1" operator="lessThan">
      <formula>96</formula>
    </cfRule>
  </conditionalFormatting>
  <conditionalFormatting sqref="C85">
    <cfRule type="cellIs" dxfId="1217" priority="80" stopIfTrue="1" operator="greaterThan">
      <formula>$F85</formula>
    </cfRule>
  </conditionalFormatting>
  <conditionalFormatting sqref="C85:C86">
    <cfRule type="cellIs" dxfId="1216" priority="81" stopIfTrue="1" operator="lessThanOrEqual">
      <formula>0</formula>
    </cfRule>
  </conditionalFormatting>
  <conditionalFormatting sqref="C86">
    <cfRule type="cellIs" dxfId="1215" priority="195" stopIfTrue="1" operator="greaterThan">
      <formula>$F85</formula>
    </cfRule>
  </conditionalFormatting>
  <conditionalFormatting sqref="C87:C89">
    <cfRule type="cellIs" dxfId="1214" priority="110" stopIfTrue="1" operator="greaterThan">
      <formula>$F87</formula>
    </cfRule>
  </conditionalFormatting>
  <conditionalFormatting sqref="C87:C90">
    <cfRule type="cellIs" dxfId="1213" priority="133" stopIfTrue="1" operator="lessThanOrEqual">
      <formula>0</formula>
    </cfRule>
  </conditionalFormatting>
  <conditionalFormatting sqref="C90">
    <cfRule type="cellIs" dxfId="1212" priority="132" stopIfTrue="1" operator="greaterThan">
      <formula>$J90</formula>
    </cfRule>
  </conditionalFormatting>
  <conditionalFormatting sqref="C96:C100">
    <cfRule type="cellIs" dxfId="1211" priority="183" stopIfTrue="1" operator="lessThanOrEqual">
      <formula>0</formula>
    </cfRule>
  </conditionalFormatting>
  <conditionalFormatting sqref="C97:C100">
    <cfRule type="cellIs" dxfId="1210" priority="182" stopIfTrue="1" operator="greaterThan">
      <formula>$F$96</formula>
    </cfRule>
  </conditionalFormatting>
  <conditionalFormatting sqref="C102">
    <cfRule type="cellIs" dxfId="1209" priority="185" stopIfTrue="1" operator="lessThanOrEqual">
      <formula>0</formula>
    </cfRule>
    <cfRule type="cellIs" dxfId="1208" priority="184" stopIfTrue="1" operator="greaterThan">
      <formula>$F$96</formula>
    </cfRule>
  </conditionalFormatting>
  <conditionalFormatting sqref="C96:D96 D98:D104">
    <cfRule type="cellIs" dxfId="1207" priority="177" stopIfTrue="1" operator="greaterThan">
      <formula>4.5</formula>
    </cfRule>
  </conditionalFormatting>
  <conditionalFormatting sqref="D68:D69">
    <cfRule type="cellIs" dxfId="1206" priority="161" operator="notBetween">
      <formula>#REF!</formula>
      <formula>#REF!</formula>
    </cfRule>
  </conditionalFormatting>
  <conditionalFormatting sqref="D85:D92">
    <cfRule type="cellIs" dxfId="1205" priority="147" stopIfTrue="1" operator="lessThanOrEqual">
      <formula>0</formula>
    </cfRule>
  </conditionalFormatting>
  <conditionalFormatting sqref="D93">
    <cfRule type="cellIs" dxfId="1204" priority="146" stopIfTrue="1" operator="lessThanOrEqual">
      <formula>0</formula>
    </cfRule>
  </conditionalFormatting>
  <conditionalFormatting sqref="D96 D98:D104">
    <cfRule type="cellIs" dxfId="1203" priority="178" stopIfTrue="1" operator="lessThanOrEqual">
      <formula>0</formula>
    </cfRule>
  </conditionalFormatting>
  <conditionalFormatting sqref="D97">
    <cfRule type="cellIs" dxfId="1202" priority="170" stopIfTrue="1" operator="lessThanOrEqual">
      <formula>0</formula>
    </cfRule>
    <cfRule type="cellIs" dxfId="1201" priority="169" stopIfTrue="1" operator="greaterThan">
      <formula>$F$96</formula>
    </cfRule>
  </conditionalFormatting>
  <conditionalFormatting sqref="D85:E93">
    <cfRule type="cellIs" dxfId="1200" priority="139" stopIfTrue="1" operator="greaterThan">
      <formula>$F85</formula>
    </cfRule>
  </conditionalFormatting>
  <conditionalFormatting sqref="E10:E43">
    <cfRule type="cellIs" dxfId="1199" priority="7" operator="lessThan">
      <formula>48</formula>
    </cfRule>
  </conditionalFormatting>
  <conditionalFormatting sqref="E72">
    <cfRule type="cellIs" dxfId="1198" priority="171" stopIfTrue="1" operator="lessThan">
      <formula>96.8</formula>
    </cfRule>
    <cfRule type="cellIs" dxfId="1197" priority="172" stopIfTrue="1" operator="greaterThan">
      <formula>100</formula>
    </cfRule>
  </conditionalFormatting>
  <conditionalFormatting sqref="E85:E93">
    <cfRule type="cellIs" dxfId="1196" priority="140" stopIfTrue="1" operator="lessThanOrEqual">
      <formula>0</formula>
    </cfRule>
  </conditionalFormatting>
  <conditionalFormatting sqref="E96:E104">
    <cfRule type="cellIs" dxfId="1195" priority="163" stopIfTrue="1" operator="greaterThan">
      <formula>4.5</formula>
    </cfRule>
    <cfRule type="cellIs" dxfId="1194" priority="164" stopIfTrue="1" operator="lessThanOrEqual">
      <formula>0</formula>
    </cfRule>
  </conditionalFormatting>
  <conditionalFormatting sqref="E71:F72">
    <cfRule type="cellIs" dxfId="1193" priority="174" stopIfTrue="1" operator="greaterThan">
      <formula>100</formula>
    </cfRule>
    <cfRule type="cellIs" dxfId="1192" priority="173" stopIfTrue="1" operator="lessThan">
      <formula>96.5</formula>
    </cfRule>
  </conditionalFormatting>
  <conditionalFormatting sqref="F10:F37">
    <cfRule type="cellIs" dxfId="1191" priority="33" operator="greaterThan">
      <formula>60</formula>
    </cfRule>
  </conditionalFormatting>
  <conditionalFormatting sqref="F38">
    <cfRule type="cellIs" dxfId="1190" priority="393" operator="greaterThan">
      <formula>$AA38</formula>
    </cfRule>
    <cfRule type="cellIs" dxfId="1189" priority="394" operator="greaterThan">
      <formula>$AA80</formula>
    </cfRule>
  </conditionalFormatting>
  <conditionalFormatting sqref="F39:F42">
    <cfRule type="cellIs" dxfId="1188" priority="10" operator="greaterThan">
      <formula>60</formula>
    </cfRule>
  </conditionalFormatting>
  <conditionalFormatting sqref="F43">
    <cfRule type="cellIs" dxfId="1187" priority="67" operator="greaterThan">
      <formula>$AA43</formula>
    </cfRule>
    <cfRule type="cellIs" dxfId="1186" priority="196" operator="greaterThan">
      <formula>$AA82</formula>
    </cfRule>
  </conditionalFormatting>
  <conditionalFormatting sqref="F72">
    <cfRule type="cellIs" dxfId="1185" priority="189" stopIfTrue="1" operator="lessThan">
      <formula>96.8</formula>
    </cfRule>
    <cfRule type="cellIs" dxfId="1184" priority="190" stopIfTrue="1" operator="greaterThan">
      <formula>100</formula>
    </cfRule>
  </conditionalFormatting>
  <conditionalFormatting sqref="F93">
    <cfRule type="cellIs" dxfId="1183" priority="142" stopIfTrue="1" operator="lessThanOrEqual">
      <formula>0</formula>
    </cfRule>
    <cfRule type="cellIs" dxfId="1182" priority="141" stopIfTrue="1" operator="greaterThan">
      <formula>$F93</formula>
    </cfRule>
  </conditionalFormatting>
  <conditionalFormatting sqref="G85:G86 C91:C93">
    <cfRule type="cellIs" dxfId="1181" priority="148" stopIfTrue="1" operator="greaterThan">
      <formula>$F85</formula>
    </cfRule>
    <cfRule type="cellIs" dxfId="1180" priority="149" stopIfTrue="1" operator="lessThanOrEqual">
      <formula>0</formula>
    </cfRule>
  </conditionalFormatting>
  <conditionalFormatting sqref="G85:G86">
    <cfRule type="cellIs" dxfId="1179" priority="89" stopIfTrue="1" operator="lessThanOrEqual">
      <formula>0</formula>
    </cfRule>
    <cfRule type="cellIs" dxfId="1178" priority="88" stopIfTrue="1" operator="greaterThan">
      <formula>$F85</formula>
    </cfRule>
  </conditionalFormatting>
  <conditionalFormatting sqref="G87">
    <cfRule type="cellIs" dxfId="1177" priority="193" stopIfTrue="1" operator="greaterThan">
      <formula>$F86</formula>
    </cfRule>
    <cfRule type="cellIs" dxfId="1176" priority="194" stopIfTrue="1" operator="lessThanOrEqual">
      <formula>0</formula>
    </cfRule>
  </conditionalFormatting>
  <conditionalFormatting sqref="G88">
    <cfRule type="cellIs" dxfId="1175" priority="143" stopIfTrue="1" operator="greaterThan">
      <formula>$F88</formula>
    </cfRule>
    <cfRule type="cellIs" dxfId="1174" priority="144" stopIfTrue="1" operator="lessThanOrEqual">
      <formula>0</formula>
    </cfRule>
  </conditionalFormatting>
  <conditionalFormatting sqref="G89:G92">
    <cfRule type="cellIs" dxfId="1173" priority="152" stopIfTrue="1" operator="lessThanOrEqual">
      <formula>0</formula>
    </cfRule>
    <cfRule type="cellIs" dxfId="1172" priority="151" stopIfTrue="1" operator="greaterThan">
      <formula>$J89</formula>
    </cfRule>
  </conditionalFormatting>
  <conditionalFormatting sqref="G93">
    <cfRule type="cellIs" dxfId="1171" priority="150" operator="greaterThan">
      <formula>4.5</formula>
    </cfRule>
  </conditionalFormatting>
  <conditionalFormatting sqref="G98:G103 C101 C103">
    <cfRule type="cellIs" dxfId="1170" priority="187" stopIfTrue="1" operator="lessThanOrEqual">
      <formula>0</formula>
    </cfRule>
    <cfRule type="cellIs" dxfId="1169" priority="186" stopIfTrue="1" operator="greaterThan">
      <formula>4.5</formula>
    </cfRule>
  </conditionalFormatting>
  <conditionalFormatting sqref="G10:H43">
    <cfRule type="expression" dxfId="1168" priority="12">
      <formula>IF(+(IF(G10&lt;#REF!,0,IF(G10&gt;#REF!,0,1)))=0,1)</formula>
    </cfRule>
  </conditionalFormatting>
  <conditionalFormatting sqref="G97:H97">
    <cfRule type="cellIs" dxfId="1167" priority="167" stopIfTrue="1" operator="greaterThan">
      <formula>$F$96</formula>
    </cfRule>
    <cfRule type="cellIs" dxfId="1166" priority="168" stopIfTrue="1" operator="lessThanOrEqual">
      <formula>0</formula>
    </cfRule>
  </conditionalFormatting>
  <conditionalFormatting sqref="H47:H57 G58:H59 G60:G69">
    <cfRule type="cellIs" dxfId="1165" priority="165" stopIfTrue="1" operator="greaterThan">
      <formula>0</formula>
    </cfRule>
  </conditionalFormatting>
  <conditionalFormatting sqref="H75">
    <cfRule type="cellIs" dxfId="1164" priority="79" stopIfTrue="1" operator="lessThanOrEqual">
      <formula>0</formula>
    </cfRule>
    <cfRule type="cellIs" dxfId="1163" priority="69" stopIfTrue="1" operator="lessThanOrEqual">
      <formula>0</formula>
    </cfRule>
    <cfRule type="cellIs" dxfId="1162" priority="78" stopIfTrue="1" operator="greaterThan">
      <formula>#REF!</formula>
    </cfRule>
    <cfRule type="cellIs" dxfId="1161" priority="70" stopIfTrue="1" operator="greaterThan">
      <formula>#REF!</formula>
    </cfRule>
  </conditionalFormatting>
  <conditionalFormatting sqref="H76">
    <cfRule type="cellIs" dxfId="1160" priority="98" stopIfTrue="1" operator="greaterThan">
      <formula>$F$84</formula>
    </cfRule>
    <cfRule type="cellIs" dxfId="1159" priority="97" stopIfTrue="1" operator="lessThanOrEqual">
      <formula>0</formula>
    </cfRule>
    <cfRule type="cellIs" dxfId="1158" priority="109" stopIfTrue="1" operator="lessThanOrEqual">
      <formula>0</formula>
    </cfRule>
    <cfRule type="cellIs" dxfId="1157" priority="108" stopIfTrue="1" operator="greaterThan">
      <formula>$F$85</formula>
    </cfRule>
    <cfRule type="cellIs" dxfId="1156" priority="107" stopIfTrue="1" operator="lessThanOrEqual">
      <formula>0</formula>
    </cfRule>
    <cfRule type="cellIs" dxfId="1155" priority="106" stopIfTrue="1" operator="greaterThan">
      <formula>$F$87</formula>
    </cfRule>
  </conditionalFormatting>
  <conditionalFormatting sqref="H77">
    <cfRule type="cellIs" dxfId="1154" priority="45" stopIfTrue="1" operator="greaterThan">
      <formula>#REF!</formula>
    </cfRule>
    <cfRule type="cellIs" dxfId="1153" priority="44" stopIfTrue="1" operator="lessThanOrEqual">
      <formula>0</formula>
    </cfRule>
    <cfRule type="cellIs" dxfId="1152" priority="53" stopIfTrue="1" operator="greaterThan">
      <formula>#REF!</formula>
    </cfRule>
  </conditionalFormatting>
  <conditionalFormatting sqref="H77:H78">
    <cfRule type="cellIs" dxfId="1151" priority="54" stopIfTrue="1" operator="lessThanOrEqual">
      <formula>0</formula>
    </cfRule>
  </conditionalFormatting>
  <conditionalFormatting sqref="H78">
    <cfRule type="cellIs" dxfId="1150" priority="57" stopIfTrue="1" operator="greaterThan">
      <formula>#REF!</formula>
    </cfRule>
    <cfRule type="cellIs" dxfId="1149" priority="65" stopIfTrue="1" operator="greaterThan">
      <formula>#REF!</formula>
    </cfRule>
    <cfRule type="cellIs" dxfId="1148" priority="66" stopIfTrue="1" operator="lessThanOrEqual">
      <formula>0</formula>
    </cfRule>
  </conditionalFormatting>
  <conditionalFormatting sqref="H79:H80">
    <cfRule type="cellIs" dxfId="1147" priority="129" stopIfTrue="1" operator="lessThanOrEqual">
      <formula>0</formula>
    </cfRule>
    <cfRule type="cellIs" dxfId="1146" priority="118" stopIfTrue="1" operator="greaterThan">
      <formula>$F$85</formula>
    </cfRule>
    <cfRule type="cellIs" dxfId="1145" priority="127" stopIfTrue="1" operator="lessThanOrEqual">
      <formula>0</formula>
    </cfRule>
    <cfRule type="cellIs" dxfId="1144" priority="126" stopIfTrue="1" operator="greaterThan">
      <formula>$F$88</formula>
    </cfRule>
    <cfRule type="cellIs" dxfId="1143" priority="128" stopIfTrue="1" operator="greaterThan">
      <formula>$F$86</formula>
    </cfRule>
    <cfRule type="cellIs" dxfId="1142" priority="92" stopIfTrue="1" operator="lessThanOrEqual">
      <formula>0</formula>
    </cfRule>
  </conditionalFormatting>
  <conditionalFormatting sqref="H81">
    <cfRule type="cellIs" dxfId="1141" priority="156" stopIfTrue="1" operator="greaterThan">
      <formula>$F$82</formula>
    </cfRule>
    <cfRule type="cellIs" dxfId="1140" priority="159" stopIfTrue="1" operator="lessThanOrEqual">
      <formula>0</formula>
    </cfRule>
    <cfRule type="cellIs" dxfId="1139" priority="158" stopIfTrue="1" operator="greaterThan">
      <formula>$F$78</formula>
    </cfRule>
    <cfRule type="cellIs" dxfId="1138" priority="157" stopIfTrue="1" operator="lessThanOrEqual">
      <formula>0</formula>
    </cfRule>
  </conditionalFormatting>
  <conditionalFormatting sqref="H85:H92">
    <cfRule type="cellIs" dxfId="1137" priority="130" stopIfTrue="1" operator="greaterThan">
      <formula>$J85</formula>
    </cfRule>
    <cfRule type="cellIs" dxfId="1136" priority="131" stopIfTrue="1" operator="lessThanOrEqual">
      <formula>0</formula>
    </cfRule>
  </conditionalFormatting>
  <conditionalFormatting sqref="H93">
    <cfRule type="cellIs" dxfId="1135" priority="136" operator="greaterThan">
      <formula>5.3</formula>
    </cfRule>
  </conditionalFormatting>
  <conditionalFormatting sqref="H96 H98:H104">
    <cfRule type="cellIs" dxfId="1134" priority="179" stopIfTrue="1" operator="greaterThan">
      <formula>4.5</formula>
    </cfRule>
    <cfRule type="cellIs" dxfId="1133" priority="180" stopIfTrue="1" operator="lessThanOrEqual">
      <formula>0</formula>
    </cfRule>
  </conditionalFormatting>
  <conditionalFormatting sqref="H75:I75">
    <cfRule type="cellIs" dxfId="1132" priority="77" stopIfTrue="1" operator="lessThanOrEqual">
      <formula>0</formula>
    </cfRule>
    <cfRule type="cellIs" dxfId="1131" priority="68" stopIfTrue="1" operator="greaterThan">
      <formula>#REF!</formula>
    </cfRule>
    <cfRule type="cellIs" dxfId="1130" priority="71" stopIfTrue="1" operator="lessThanOrEqual">
      <formula>0</formula>
    </cfRule>
    <cfRule type="cellIs" dxfId="1129" priority="72" stopIfTrue="1" operator="greaterThan">
      <formula>#REF!</formula>
    </cfRule>
  </conditionalFormatting>
  <conditionalFormatting sqref="H76:I76">
    <cfRule type="cellIs" dxfId="1128" priority="99" stopIfTrue="1" operator="lessThanOrEqual">
      <formula>0</formula>
    </cfRule>
    <cfRule type="cellIs" dxfId="1127" priority="96" stopIfTrue="1" operator="greaterThan">
      <formula>$F$86</formula>
    </cfRule>
  </conditionalFormatting>
  <conditionalFormatting sqref="H77:I77">
    <cfRule type="cellIs" dxfId="1126" priority="43" stopIfTrue="1" operator="greaterThan">
      <formula>#REF!</formula>
    </cfRule>
    <cfRule type="cellIs" dxfId="1125" priority="46" stopIfTrue="1" operator="lessThanOrEqual">
      <formula>0</formula>
    </cfRule>
    <cfRule type="cellIs" dxfId="1124" priority="52" stopIfTrue="1" operator="lessThanOrEqual">
      <formula>0</formula>
    </cfRule>
  </conditionalFormatting>
  <conditionalFormatting sqref="H77:I78">
    <cfRule type="cellIs" dxfId="1123" priority="47" stopIfTrue="1" operator="greaterThan">
      <formula>#REF!</formula>
    </cfRule>
  </conditionalFormatting>
  <conditionalFormatting sqref="H78:I78">
    <cfRule type="cellIs" dxfId="1122" priority="64" stopIfTrue="1" operator="lessThanOrEqual">
      <formula>0</formula>
    </cfRule>
    <cfRule type="cellIs" dxfId="1121" priority="61" stopIfTrue="1" operator="greaterThan">
      <formula>#REF!</formula>
    </cfRule>
    <cfRule type="cellIs" dxfId="1120" priority="58" stopIfTrue="1" operator="lessThanOrEqual">
      <formula>0</formula>
    </cfRule>
  </conditionalFormatting>
  <conditionalFormatting sqref="H79:I79">
    <cfRule type="cellIs" dxfId="1119" priority="119" stopIfTrue="1" operator="lessThanOrEqual">
      <formula>0</formula>
    </cfRule>
  </conditionalFormatting>
  <conditionalFormatting sqref="H79:I80">
    <cfRule type="cellIs" dxfId="1118" priority="90" stopIfTrue="1" operator="greaterThan">
      <formula>$F$87</formula>
    </cfRule>
  </conditionalFormatting>
  <conditionalFormatting sqref="H80:I80">
    <cfRule type="cellIs" dxfId="1117" priority="91" stopIfTrue="1" operator="lessThanOrEqual">
      <formula>0</formula>
    </cfRule>
  </conditionalFormatting>
  <conditionalFormatting sqref="I38 I43">
    <cfRule type="cellIs" dxfId="1116" priority="82" operator="lessThan">
      <formula>97.8</formula>
    </cfRule>
    <cfRule type="cellIs" dxfId="1115" priority="85" operator="lessThan">
      <formula>98</formula>
    </cfRule>
  </conditionalFormatting>
  <conditionalFormatting sqref="I75">
    <cfRule type="cellIs" dxfId="1114" priority="76" stopIfTrue="1" operator="greaterThan">
      <formula>#REF!</formula>
    </cfRule>
    <cfRule type="cellIs" dxfId="1113" priority="74" stopIfTrue="1" operator="greaterThan">
      <formula>#REF!</formula>
    </cfRule>
    <cfRule type="cellIs" dxfId="1112" priority="75" stopIfTrue="1" operator="lessThanOrEqual">
      <formula>0</formula>
    </cfRule>
    <cfRule type="cellIs" dxfId="1111" priority="73" stopIfTrue="1" operator="lessThanOrEqual">
      <formula>0</formula>
    </cfRule>
  </conditionalFormatting>
  <conditionalFormatting sqref="I76">
    <cfRule type="cellIs" dxfId="1110" priority="100" stopIfTrue="1" operator="greaterThan">
      <formula>$F$84</formula>
    </cfRule>
    <cfRule type="cellIs" dxfId="1109" priority="101" stopIfTrue="1" operator="lessThanOrEqual">
      <formula>0</formula>
    </cfRule>
    <cfRule type="cellIs" dxfId="1108" priority="102" stopIfTrue="1" operator="greaterThan">
      <formula>$F$86</formula>
    </cfRule>
    <cfRule type="cellIs" dxfId="1107" priority="103" stopIfTrue="1" operator="lessThanOrEqual">
      <formula>0</formula>
    </cfRule>
    <cfRule type="cellIs" dxfId="1106" priority="104" stopIfTrue="1" operator="greaterThan">
      <formula>$F$84</formula>
    </cfRule>
    <cfRule type="cellIs" dxfId="1105" priority="105" stopIfTrue="1" operator="lessThanOrEqual">
      <formula>0</formula>
    </cfRule>
  </conditionalFormatting>
  <conditionalFormatting sqref="I77">
    <cfRule type="cellIs" dxfId="1104" priority="50" stopIfTrue="1" operator="lessThanOrEqual">
      <formula>0</formula>
    </cfRule>
    <cfRule type="cellIs" dxfId="1103" priority="48" stopIfTrue="1" operator="lessThanOrEqual">
      <formula>0</formula>
    </cfRule>
    <cfRule type="cellIs" dxfId="1102" priority="49" stopIfTrue="1" operator="greaterThan">
      <formula>#REF!</formula>
    </cfRule>
    <cfRule type="cellIs" dxfId="1101" priority="51" stopIfTrue="1" operator="greaterThan">
      <formula>#REF!</formula>
    </cfRule>
  </conditionalFormatting>
  <conditionalFormatting sqref="I78">
    <cfRule type="cellIs" dxfId="1100" priority="59" stopIfTrue="1" operator="greaterThan">
      <formula>#REF!</formula>
    </cfRule>
    <cfRule type="cellIs" dxfId="1099" priority="63" stopIfTrue="1" operator="greaterThan">
      <formula>#REF!</formula>
    </cfRule>
    <cfRule type="cellIs" dxfId="1098" priority="60" stopIfTrue="1" operator="lessThanOrEqual">
      <formula>0</formula>
    </cfRule>
    <cfRule type="cellIs" dxfId="1097" priority="62" stopIfTrue="1" operator="lessThanOrEqual">
      <formula>0</formula>
    </cfRule>
  </conditionalFormatting>
  <conditionalFormatting sqref="I79:I80">
    <cfRule type="cellIs" dxfId="1096" priority="122" stopIfTrue="1" operator="greaterThan">
      <formula>$F$87</formula>
    </cfRule>
    <cfRule type="cellIs" dxfId="1095" priority="120" stopIfTrue="1" operator="greaterThan">
      <formula>$F$85</formula>
    </cfRule>
    <cfRule type="cellIs" dxfId="1094" priority="121" stopIfTrue="1" operator="lessThanOrEqual">
      <formula>0</formula>
    </cfRule>
    <cfRule type="cellIs" dxfId="1093" priority="123" stopIfTrue="1" operator="lessThanOrEqual">
      <formula>0</formula>
    </cfRule>
    <cfRule type="cellIs" dxfId="1092" priority="124" stopIfTrue="1" operator="greaterThan">
      <formula>$F$85</formula>
    </cfRule>
    <cfRule type="cellIs" dxfId="1091" priority="125" stopIfTrue="1" operator="lessThanOrEqual">
      <formula>0</formula>
    </cfRule>
  </conditionalFormatting>
  <conditionalFormatting sqref="I85:I93">
    <cfRule type="cellIs" dxfId="1090" priority="137" stopIfTrue="1" operator="greaterThan">
      <formula>$J85</formula>
    </cfRule>
    <cfRule type="cellIs" dxfId="1089" priority="138" stopIfTrue="1" operator="lessThanOrEqual">
      <formula>0</formula>
    </cfRule>
  </conditionalFormatting>
  <conditionalFormatting sqref="I96:I104">
    <cfRule type="cellIs" dxfId="1088" priority="175" stopIfTrue="1" operator="greaterThan">
      <formula>4.5</formula>
    </cfRule>
    <cfRule type="cellIs" dxfId="1087" priority="176" stopIfTrue="1" operator="lessThanOrEqual">
      <formula>0</formula>
    </cfRule>
  </conditionalFormatting>
  <conditionalFormatting sqref="I10:J37">
    <cfRule type="cellIs" dxfId="1086" priority="35" operator="lessThan">
      <formula>97.9</formula>
    </cfRule>
  </conditionalFormatting>
  <conditionalFormatting sqref="I39:J42">
    <cfRule type="cellIs" dxfId="1085" priority="9" operator="lessThan">
      <formula>97.9</formula>
    </cfRule>
  </conditionalFormatting>
  <conditionalFormatting sqref="J38 J43">
    <cfRule type="cellIs" dxfId="1084" priority="83" operator="notBetween">
      <formula>98</formula>
      <formula>99.9</formula>
    </cfRule>
    <cfRule type="cellIs" dxfId="1083" priority="84" operator="lessThan">
      <formula>97.4</formula>
    </cfRule>
  </conditionalFormatting>
  <conditionalFormatting sqref="J46:J48">
    <cfRule type="cellIs" dxfId="1082" priority="112" stopIfTrue="1" operator="greaterThan">
      <formula>100</formula>
    </cfRule>
    <cfRule type="cellIs" dxfId="1081" priority="113" operator="lessThan">
      <formula>98</formula>
    </cfRule>
    <cfRule type="cellIs" dxfId="1080" priority="111" stopIfTrue="1" operator="lessThan">
      <formula>96.8</formula>
    </cfRule>
  </conditionalFormatting>
  <conditionalFormatting sqref="J46:J50">
    <cfRule type="cellIs" dxfId="1079" priority="87" operator="lessThan">
      <formula>97.4</formula>
    </cfRule>
  </conditionalFormatting>
  <conditionalFormatting sqref="J51">
    <cfRule type="cellIs" dxfId="1078" priority="114" operator="lessThan">
      <formula>98</formula>
    </cfRule>
  </conditionalFormatting>
  <conditionalFormatting sqref="J52:J54">
    <cfRule type="cellIs" dxfId="1077" priority="115" stopIfTrue="1" operator="lessThan">
      <formula>96.8</formula>
    </cfRule>
    <cfRule type="cellIs" dxfId="1076" priority="116" stopIfTrue="1" operator="greaterThan">
      <formula>100</formula>
    </cfRule>
  </conditionalFormatting>
  <conditionalFormatting sqref="J52:J55">
    <cfRule type="cellIs" dxfId="1075" priority="117" operator="lessThan">
      <formula>98</formula>
    </cfRule>
  </conditionalFormatting>
  <conditionalFormatting sqref="K10:K43">
    <cfRule type="cellIs" dxfId="1074" priority="8" operator="greaterThan">
      <formula>6.4</formula>
    </cfRule>
    <cfRule type="cellIs" dxfId="1073" priority="4" operator="greaterThan">
      <formula>6</formula>
    </cfRule>
    <cfRule type="cellIs" dxfId="1072" priority="3" operator="lessThan">
      <formula>4</formula>
    </cfRule>
  </conditionalFormatting>
  <conditionalFormatting sqref="K60:K69">
    <cfRule type="cellIs" dxfId="1071" priority="145" operator="notEqual">
      <formula>#REF!</formula>
    </cfRule>
  </conditionalFormatting>
  <conditionalFormatting sqref="K75:K80 J81:K81 K85:N93">
    <cfRule type="cellIs" dxfId="1070" priority="155" stopIfTrue="1" operator="lessThan">
      <formula>100%</formula>
    </cfRule>
  </conditionalFormatting>
  <conditionalFormatting sqref="K96:K101">
    <cfRule type="cellIs" dxfId="1069" priority="181" stopIfTrue="1" operator="lessThan">
      <formula>100%</formula>
    </cfRule>
  </conditionalFormatting>
  <conditionalFormatting sqref="K103:K104">
    <cfRule type="cellIs" dxfId="1068" priority="188" stopIfTrue="1" operator="lessThan">
      <formula>100%</formula>
    </cfRule>
  </conditionalFormatting>
  <conditionalFormatting sqref="L10:L43">
    <cfRule type="cellIs" dxfId="1067" priority="6" operator="greaterThan">
      <formula>65</formula>
    </cfRule>
    <cfRule type="cellIs" dxfId="1066" priority="5" operator="between">
      <formula>61</formula>
      <formula>65</formula>
    </cfRule>
  </conditionalFormatting>
  <conditionalFormatting sqref="L46:M57">
    <cfRule type="cellIs" dxfId="1065" priority="42" operator="lessThan">
      <formula>98</formula>
    </cfRule>
  </conditionalFormatting>
  <conditionalFormatting sqref="L61:N61">
    <cfRule type="cellIs" dxfId="1064" priority="93" operator="notEqual">
      <formula>#REF!</formula>
    </cfRule>
  </conditionalFormatting>
  <conditionalFormatting sqref="L96:N104">
    <cfRule type="cellIs" dxfId="1063" priority="166" stopIfTrue="1" operator="lessThan">
      <formula>100%</formula>
    </cfRule>
  </conditionalFormatting>
  <conditionalFormatting sqref="M10:M43">
    <cfRule type="expression" dxfId="1062" priority="1">
      <formula>IF(+(IF(M10&lt;V10,0,IF(M10&gt;W10,0,1)))=0,1)</formula>
    </cfRule>
  </conditionalFormatting>
  <conditionalFormatting sqref="M6:N6">
    <cfRule type="cellIs" dxfId="1061" priority="95" operator="greaterThanOrEqual">
      <formula>19</formula>
    </cfRule>
    <cfRule type="cellIs" dxfId="1060" priority="94" operator="greaterThanOrEqual">
      <formula>15</formula>
    </cfRule>
  </conditionalFormatting>
  <conditionalFormatting sqref="N10:N43">
    <cfRule type="expression" dxfId="1059" priority="2">
      <formula>IF(+(IF(N10&lt;X10,0,IF(N10&gt;Y10,0,1)))=0,1)</formula>
    </cfRule>
  </conditionalFormatting>
  <conditionalFormatting sqref="N27">
    <cfRule type="expression" dxfId="1058" priority="199">
      <formula>IF(+(IF(N27&lt;X72,0,IF(N27&gt;Y72,0,1)))=0,1)</formula>
    </cfRule>
    <cfRule type="expression" dxfId="1057" priority="200">
      <formula>IF(+(IF(N27&lt;X67,0,IF(N27&gt;Y67,0,1)))=0,1)</formula>
    </cfRule>
  </conditionalFormatting>
  <conditionalFormatting sqref="N28 N37:N38">
    <cfRule type="expression" dxfId="1056" priority="197">
      <formula>IF(+(IF(N28&lt;X75,0,IF(N28&gt;Y75,0,1)))=0,1)</formula>
    </cfRule>
    <cfRule type="expression" dxfId="1055" priority="198">
      <formula>IF(+(IF(N28&lt;X70,0,IF(N28&gt;Y70,0,1)))=0,1)</formula>
    </cfRule>
  </conditionalFormatting>
  <conditionalFormatting sqref="N43">
    <cfRule type="expression" dxfId="1054" priority="381">
      <formula>IF(+(IF(N43&lt;X87,0,IF(N43&gt;Y87,0,1)))=0,1)</formula>
    </cfRule>
    <cfRule type="expression" dxfId="1053" priority="382">
      <formula>IF(+(IF(N43&lt;X82,0,IF(N43&gt;Y82,0,1)))=0,1)</formula>
    </cfRule>
  </conditionalFormatting>
  <conditionalFormatting sqref="P6">
    <cfRule type="cellIs" dxfId="1052" priority="162" operator="greaterThanOrEqual">
      <formula>19</formula>
    </cfRule>
  </conditionalFormatting>
  <dataValidations count="1">
    <dataValidation type="list" allowBlank="1" showInputMessage="1" showErrorMessage="1" sqref="S8 B43" xr:uid="{BE324C2B-03B8-4AE2-A73E-CA03AB28D3C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8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9AC1-6072-4E5D-80BD-BA1F9DAEA78E}">
  <sheetPr>
    <pageSetUpPr fitToPage="1"/>
  </sheetPr>
  <dimension ref="A1:BF115"/>
  <sheetViews>
    <sheetView topLeftCell="A47" zoomScale="60" zoomScaleNormal="60" workbookViewId="0">
      <selection activeCell="B50" sqref="B50:O50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45680</v>
      </c>
      <c r="D4" s="545"/>
      <c r="J4" s="489" t="s">
        <v>153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175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19"/>
      <c r="I10" s="369"/>
      <c r="J10" s="369"/>
      <c r="K10" s="282"/>
      <c r="L10" s="277"/>
      <c r="M10" s="420"/>
      <c r="N10" s="371"/>
      <c r="O10" s="372"/>
      <c r="P10" s="376"/>
      <c r="Q10" s="348"/>
      <c r="S10" s="278">
        <f t="shared" ref="S10:S52" si="0">B10</f>
        <v>0</v>
      </c>
      <c r="T10" s="297" t="e">
        <f t="shared" ref="T10:T52" si="1">VLOOKUP($B10,$S$3:$Y$9,2,FALSE)</f>
        <v>#N/A</v>
      </c>
      <c r="U10" s="297" t="e">
        <f t="shared" ref="U10:U52" si="2">VLOOKUP($B10,$S$3:$Y$9,3,FALSE)</f>
        <v>#N/A</v>
      </c>
      <c r="V10" s="298" t="e">
        <f t="shared" ref="V10:V52" si="3">VLOOKUP($B10,$S$3:$Y$9,4,FALSE)</f>
        <v>#N/A</v>
      </c>
      <c r="W10" s="298" t="e">
        <f t="shared" ref="W10:W52" si="4">VLOOKUP($B10,$S$3:$Y$9,5,FALSE)</f>
        <v>#N/A</v>
      </c>
      <c r="X10" s="298" t="e">
        <f t="shared" ref="X10:X52" si="5">VLOOKUP($B10,$S$3:$Y$9,6,FALSE)</f>
        <v>#N/A</v>
      </c>
      <c r="Y10" s="298" t="e">
        <f t="shared" ref="Y10:Y52" si="6">VLOOKUP($B10,$S$3:$Y$9,7,FALSE)</f>
        <v>#N/A</v>
      </c>
      <c r="Z10" s="298" t="e">
        <f t="shared" ref="Z10:Z52" si="7">VLOOKUP($B10,$S$3:$AA$9,8,FALSE)</f>
        <v>#N/A</v>
      </c>
      <c r="AA10" s="297" t="e">
        <f t="shared" ref="AA10:AA52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19"/>
      <c r="I11" s="369"/>
      <c r="J11" s="369"/>
      <c r="K11" s="282"/>
      <c r="L11" s="277"/>
      <c r="M11" s="420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19"/>
      <c r="I12" s="369"/>
      <c r="J12" s="369"/>
      <c r="K12" s="282"/>
      <c r="L12" s="277"/>
      <c r="M12" s="420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368"/>
      <c r="I13" s="369"/>
      <c r="J13" s="369"/>
      <c r="K13" s="282"/>
      <c r="L13" s="277"/>
      <c r="M13" s="420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368"/>
      <c r="I14" s="369"/>
      <c r="J14" s="369"/>
      <c r="K14" s="282"/>
      <c r="L14" s="277"/>
      <c r="M14" s="420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19"/>
      <c r="I15" s="369"/>
      <c r="J15" s="369"/>
      <c r="K15" s="282"/>
      <c r="L15" s="277"/>
      <c r="M15" s="420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29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9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29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6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29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6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29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6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29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6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6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hidden="1" customHeight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5.75" hidden="1" customHeigh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5.75" hidden="1" customHeight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29"/>
      <c r="C29" s="367"/>
      <c r="D29" s="280"/>
      <c r="E29" s="280"/>
      <c r="F29" s="279"/>
      <c r="G29" s="280"/>
      <c r="H29" s="419"/>
      <c r="I29" s="369"/>
      <c r="J29" s="369"/>
      <c r="K29" s="282"/>
      <c r="L29" s="277"/>
      <c r="M29" s="420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5.75" hidden="1" customHeight="1">
      <c r="B30" s="29"/>
      <c r="C30" s="367"/>
      <c r="D30" s="280"/>
      <c r="E30" s="280"/>
      <c r="F30" s="279"/>
      <c r="G30" s="280"/>
      <c r="H30" s="419"/>
      <c r="I30" s="512"/>
      <c r="J30" s="512"/>
      <c r="K30" s="422"/>
      <c r="L30" s="277"/>
      <c r="M30" s="375"/>
      <c r="N30" s="371"/>
      <c r="O30" s="513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hidden="1" customHeight="1">
      <c r="B31" s="37"/>
      <c r="C31" s="367"/>
      <c r="D31" s="280"/>
      <c r="E31" s="280"/>
      <c r="F31" s="279"/>
      <c r="G31" s="280"/>
      <c r="H31" s="419"/>
      <c r="I31" s="369"/>
      <c r="J31" s="369"/>
      <c r="K31" s="282"/>
      <c r="L31" s="277"/>
      <c r="M31" s="518"/>
      <c r="N31" s="519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hidden="1" customHeight="1">
      <c r="B32" s="37"/>
      <c r="C32" s="367"/>
      <c r="D32" s="280"/>
      <c r="E32" s="280"/>
      <c r="F32" s="279"/>
      <c r="G32" s="280"/>
      <c r="H32" s="419"/>
      <c r="I32" s="369"/>
      <c r="J32" s="369"/>
      <c r="K32" s="282"/>
      <c r="L32" s="277"/>
      <c r="M32" s="518"/>
      <c r="N32" s="519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5.75" hidden="1" customHeight="1">
      <c r="B33" s="37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518"/>
      <c r="N33" s="519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5.75" hidden="1" customHeight="1">
      <c r="B34" s="37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518"/>
      <c r="N34" s="519"/>
      <c r="O34" s="372"/>
      <c r="P34" s="376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5.75" hidden="1" customHeight="1">
      <c r="B35" s="37"/>
      <c r="C35" s="367"/>
      <c r="D35" s="280"/>
      <c r="E35" s="280"/>
      <c r="F35" s="279"/>
      <c r="G35" s="280"/>
      <c r="H35" s="419"/>
      <c r="I35" s="369"/>
      <c r="J35" s="369"/>
      <c r="K35" s="393"/>
      <c r="L35" s="277"/>
      <c r="M35" s="518"/>
      <c r="N35" s="519"/>
      <c r="O35" s="372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5.75" hidden="1" customHeight="1">
      <c r="B36" s="37"/>
      <c r="C36" s="367"/>
      <c r="D36" s="280"/>
      <c r="E36" s="280"/>
      <c r="F36" s="279"/>
      <c r="G36" s="280"/>
      <c r="H36" s="419"/>
      <c r="I36" s="369"/>
      <c r="J36" s="369"/>
      <c r="K36" s="282"/>
      <c r="L36" s="277"/>
      <c r="M36" s="518"/>
      <c r="N36" s="519"/>
      <c r="O36" s="372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5.75" hidden="1" customHeight="1">
      <c r="B37" s="37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518"/>
      <c r="N37" s="519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5.75" hidden="1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hidden="1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customHeight="1">
      <c r="B42" s="33" t="s">
        <v>9</v>
      </c>
      <c r="C42" s="367" t="str">
        <f>[22]Brewhouse!$A49</f>
        <v>ST035</v>
      </c>
      <c r="D42" s="280">
        <f>[22]Brewhouse!$AD49</f>
        <v>54.4</v>
      </c>
      <c r="E42" s="280">
        <f>[22]Brewhouse!$AG49</f>
        <v>51.3</v>
      </c>
      <c r="F42" s="279">
        <f>[22]Brewhouse!$V49</f>
        <v>59</v>
      </c>
      <c r="G42" s="280">
        <f>[22]Brewhouse!$AE49</f>
        <v>11.8</v>
      </c>
      <c r="H42" s="419">
        <v>11.7</v>
      </c>
      <c r="I42" s="512">
        <f>[22]Brewhouse!$AS49</f>
        <v>97.80064193750701</v>
      </c>
      <c r="J42" s="512">
        <f>[22]Brewhouse!$AT49</f>
        <v>101.20835073052869</v>
      </c>
      <c r="K42" s="422">
        <f>[22]Brewhouse!$Q49</f>
        <v>4.2201834862385272</v>
      </c>
      <c r="L42" s="277">
        <f>[22]Brewhouse!$P49</f>
        <v>58</v>
      </c>
      <c r="M42" s="375">
        <f>[22]Brewhouse!$U49-[22]Brewhouse!$T49</f>
        <v>0.10555555555555557</v>
      </c>
      <c r="N42" s="371">
        <f>[22]Brewhouse!$AW49</f>
        <v>0.26944444444444449</v>
      </c>
      <c r="O42" s="513" t="str">
        <f>[22]Brewhouse!$AV49</f>
        <v>R.Sookram</v>
      </c>
      <c r="P42" s="370"/>
      <c r="Q42" s="348"/>
      <c r="S42" s="278" t="str">
        <f t="shared" si="0"/>
        <v>STAG</v>
      </c>
      <c r="T42" s="297">
        <f t="shared" si="1"/>
        <v>11.6</v>
      </c>
      <c r="U42" s="297">
        <f t="shared" si="2"/>
        <v>12</v>
      </c>
      <c r="V42" s="298">
        <f t="shared" si="3"/>
        <v>0</v>
      </c>
      <c r="W42" s="298">
        <f t="shared" si="4"/>
        <v>0.118055555555556</v>
      </c>
      <c r="X42" s="298">
        <f t="shared" si="5"/>
        <v>0.22569444444444445</v>
      </c>
      <c r="Y42" s="298">
        <f t="shared" si="6"/>
        <v>0.2638888888888889</v>
      </c>
      <c r="Z42" s="298">
        <f t="shared" si="7"/>
        <v>0</v>
      </c>
      <c r="AA42" s="297">
        <f t="shared" si="8"/>
        <v>60</v>
      </c>
    </row>
    <row r="43" spans="2:27" ht="15.75" customHeight="1">
      <c r="B43" s="33" t="s">
        <v>9</v>
      </c>
      <c r="C43" s="367" t="str">
        <f>[22]Brewhouse!$A50</f>
        <v>ST036</v>
      </c>
      <c r="D43" s="280">
        <f>[22]Brewhouse!$AD50</f>
        <v>53.9</v>
      </c>
      <c r="E43" s="280">
        <f>[22]Brewhouse!$AG50</f>
        <v>50.7</v>
      </c>
      <c r="F43" s="279">
        <f>[22]Brewhouse!$V50</f>
        <v>74</v>
      </c>
      <c r="G43" s="280">
        <f>[22]Brewhouse!$AE50</f>
        <v>11.7</v>
      </c>
      <c r="H43" s="419">
        <v>11.8</v>
      </c>
      <c r="I43" s="512">
        <f>[22]Brewhouse!$AS50</f>
        <v>96.518971677208299</v>
      </c>
      <c r="J43" s="512">
        <f>[22]Brewhouse!$AT50</f>
        <v>99.875496501512245</v>
      </c>
      <c r="K43" s="422">
        <f>[22]Brewhouse!$Q50</f>
        <v>4.2592592592592542</v>
      </c>
      <c r="L43" s="277">
        <f>[22]Brewhouse!$P50</f>
        <v>61</v>
      </c>
      <c r="M43" s="375">
        <f>[22]Brewhouse!$U50-[22]Brewhouse!$T50</f>
        <v>0.12013888888888885</v>
      </c>
      <c r="N43" s="371">
        <f>[22]Brewhouse!$AW50</f>
        <v>0.27569444444444446</v>
      </c>
      <c r="O43" s="513" t="str">
        <f>[22]Brewhouse!$AV50</f>
        <v>k.Benjamin</v>
      </c>
      <c r="P43" s="370"/>
      <c r="Q43" s="348"/>
      <c r="S43" s="278" t="str">
        <f t="shared" ref="S43:S50" si="9">B43</f>
        <v>STAG</v>
      </c>
      <c r="T43" s="297">
        <f t="shared" si="1"/>
        <v>11.6</v>
      </c>
      <c r="U43" s="297">
        <f t="shared" si="2"/>
        <v>12</v>
      </c>
      <c r="V43" s="298">
        <f t="shared" si="3"/>
        <v>0</v>
      </c>
      <c r="W43" s="298">
        <f t="shared" si="4"/>
        <v>0.118055555555556</v>
      </c>
      <c r="X43" s="298">
        <f t="shared" si="5"/>
        <v>0.22569444444444445</v>
      </c>
      <c r="Y43" s="298">
        <f t="shared" si="6"/>
        <v>0.2638888888888889</v>
      </c>
      <c r="Z43" s="298">
        <f t="shared" si="7"/>
        <v>0</v>
      </c>
      <c r="AA43" s="297">
        <f t="shared" si="8"/>
        <v>60</v>
      </c>
    </row>
    <row r="44" spans="2:27" ht="15.75" customHeight="1">
      <c r="B44" s="33" t="s">
        <v>9</v>
      </c>
      <c r="C44" s="367" t="str">
        <f>[22]Brewhouse!$A51</f>
        <v>ST037</v>
      </c>
      <c r="D44" s="280">
        <f>[22]Brewhouse!$AD51</f>
        <v>53.3</v>
      </c>
      <c r="E44" s="280">
        <f>[22]Brewhouse!$AG51</f>
        <v>50</v>
      </c>
      <c r="F44" s="279">
        <f>[22]Brewhouse!$V51</f>
        <v>66</v>
      </c>
      <c r="G44" s="280">
        <f>[22]Brewhouse!$AE51</f>
        <v>11.8</v>
      </c>
      <c r="H44" s="419">
        <v>11.8</v>
      </c>
      <c r="I44" s="512">
        <f>[22]Brewhouse!$AS51</f>
        <v>95.561137165761352</v>
      </c>
      <c r="J44" s="512">
        <f>[22]Brewhouse!$AT51</f>
        <v>98.88867084586964</v>
      </c>
      <c r="K44" s="422">
        <f>[22]Brewhouse!$Q51</f>
        <v>5.1094890510948856</v>
      </c>
      <c r="L44" s="277">
        <f>[22]Brewhouse!$P51</f>
        <v>60</v>
      </c>
      <c r="M44" s="375">
        <f>[22]Brewhouse!$U51-[22]Brewhouse!$T51</f>
        <v>0.1159722222222222</v>
      </c>
      <c r="N44" s="371">
        <f>[22]Brewhouse!$AW51</f>
        <v>0.2722222222222222</v>
      </c>
      <c r="O44" s="513" t="str">
        <f>[22]Brewhouse!$AV51</f>
        <v>k.Benjamin</v>
      </c>
      <c r="P44" s="370"/>
      <c r="Q44" s="348"/>
      <c r="S44" s="278" t="str">
        <f t="shared" si="9"/>
        <v>STAG</v>
      </c>
      <c r="T44" s="297">
        <f t="shared" si="1"/>
        <v>11.6</v>
      </c>
      <c r="U44" s="297">
        <f t="shared" si="2"/>
        <v>12</v>
      </c>
      <c r="V44" s="298">
        <f t="shared" si="3"/>
        <v>0</v>
      </c>
      <c r="W44" s="298">
        <f t="shared" si="4"/>
        <v>0.118055555555556</v>
      </c>
      <c r="X44" s="298">
        <f t="shared" si="5"/>
        <v>0.22569444444444445</v>
      </c>
      <c r="Y44" s="298">
        <f t="shared" si="6"/>
        <v>0.2638888888888889</v>
      </c>
      <c r="Z44" s="298">
        <f t="shared" si="7"/>
        <v>0</v>
      </c>
      <c r="AA44" s="297">
        <f t="shared" si="8"/>
        <v>60</v>
      </c>
    </row>
    <row r="45" spans="2:27" ht="15.75" customHeight="1">
      <c r="B45" s="33" t="s">
        <v>9</v>
      </c>
      <c r="C45" s="367" t="str">
        <f>[22]Brewhouse!$A52</f>
        <v>ST038</v>
      </c>
      <c r="D45" s="280">
        <f>[22]Brewhouse!$AD52</f>
        <v>53.5</v>
      </c>
      <c r="E45" s="280">
        <f>[22]Brewhouse!$AG52</f>
        <v>50.5</v>
      </c>
      <c r="F45" s="279">
        <f>[22]Brewhouse!$V52</f>
        <v>68</v>
      </c>
      <c r="G45" s="280">
        <f>[22]Brewhouse!$AE52</f>
        <v>11.8</v>
      </c>
      <c r="H45" s="419">
        <v>11.9</v>
      </c>
      <c r="I45" s="512">
        <f>[22]Brewhouse!$AS52</f>
        <v>95.558880444994585</v>
      </c>
      <c r="J45" s="512">
        <f>[22]Brewhouse!$AT52</f>
        <v>98.894844518457631</v>
      </c>
      <c r="K45" s="422">
        <f>[22]Brewhouse!$Q52</f>
        <v>4.5372050816696916</v>
      </c>
      <c r="L45" s="277">
        <f>[22]Brewhouse!$P52</f>
        <v>60</v>
      </c>
      <c r="M45" s="375">
        <f>[22]Brewhouse!$U52-[22]Brewhouse!$T52</f>
        <v>0.12013888888888891</v>
      </c>
      <c r="N45" s="371">
        <f>[22]Brewhouse!$AW52</f>
        <v>0.30763888888888885</v>
      </c>
      <c r="O45" s="513" t="str">
        <f>[22]Brewhouse!$AV52</f>
        <v>R.Regis</v>
      </c>
      <c r="P45" s="370"/>
      <c r="Q45" s="348"/>
      <c r="S45" s="278" t="str">
        <f t="shared" si="9"/>
        <v>STAG</v>
      </c>
      <c r="T45" s="297">
        <f t="shared" si="1"/>
        <v>11.6</v>
      </c>
      <c r="U45" s="297">
        <f t="shared" si="2"/>
        <v>12</v>
      </c>
      <c r="V45" s="298">
        <f t="shared" si="3"/>
        <v>0</v>
      </c>
      <c r="W45" s="298">
        <f t="shared" si="4"/>
        <v>0.118055555555556</v>
      </c>
      <c r="X45" s="298">
        <f t="shared" si="5"/>
        <v>0.22569444444444445</v>
      </c>
      <c r="Y45" s="298">
        <f t="shared" si="6"/>
        <v>0.2638888888888889</v>
      </c>
      <c r="Z45" s="298">
        <f t="shared" si="7"/>
        <v>0</v>
      </c>
      <c r="AA45" s="297">
        <f t="shared" si="8"/>
        <v>60</v>
      </c>
    </row>
    <row r="46" spans="2:27" ht="15.75" customHeight="1">
      <c r="B46" s="33"/>
      <c r="C46" s="367"/>
      <c r="D46" s="280"/>
      <c r="E46" s="280"/>
      <c r="F46" s="279"/>
      <c r="G46" s="280"/>
      <c r="H46" s="419"/>
      <c r="I46" s="512"/>
      <c r="J46" s="512"/>
      <c r="K46" s="422"/>
      <c r="L46" s="277"/>
      <c r="M46" s="375"/>
      <c r="N46" s="371"/>
      <c r="O46" s="513"/>
      <c r="P46" s="370"/>
      <c r="Q46" s="348"/>
      <c r="S46" s="278">
        <f t="shared" si="9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5.75" customHeight="1">
      <c r="B47" s="29" t="s">
        <v>6</v>
      </c>
      <c r="C47" s="367" t="str">
        <f>[28]Brewhouse!$A144</f>
        <v>CA043</v>
      </c>
      <c r="D47" s="280">
        <f>[28]Brewhouse!$AF144</f>
        <v>53.1</v>
      </c>
      <c r="E47" s="280">
        <f>[28]Brewhouse!$AI144</f>
        <v>48.8</v>
      </c>
      <c r="F47" s="279">
        <f>[28]Brewhouse!$V144</f>
        <v>59</v>
      </c>
      <c r="G47" s="280">
        <f>[28]Brewhouse!$AG144</f>
        <v>11.9</v>
      </c>
      <c r="H47" s="419">
        <v>11.9</v>
      </c>
      <c r="I47" s="369">
        <f>[28]Brewhouse!$AU144</f>
        <v>92.301580285213745</v>
      </c>
      <c r="J47" s="369">
        <f>[28]Brewhouse!$AV144</f>
        <v>96.021456006672139</v>
      </c>
      <c r="K47" s="282">
        <f>[28]Brewhouse!$Q144</f>
        <v>7.1276595744680789</v>
      </c>
      <c r="L47" s="277">
        <f>[28]Brewhouse!$P144</f>
        <v>60</v>
      </c>
      <c r="M47" s="420">
        <f>[28]Brewhouse!$U144-[28]Brewhouse!$T144</f>
        <v>0.10833333333333328</v>
      </c>
      <c r="N47" s="371">
        <f>[28]Brewhouse!$Z144</f>
        <v>0.25902777777777775</v>
      </c>
      <c r="O47" s="372" t="str">
        <f>[28]Brewhouse!$AX144</f>
        <v>R.Regis</v>
      </c>
      <c r="P47" s="370"/>
      <c r="Q47" s="348"/>
      <c r="S47" s="278" t="str">
        <f t="shared" si="9"/>
        <v>CARIB</v>
      </c>
      <c r="T47" s="297">
        <f t="shared" si="1"/>
        <v>11.6</v>
      </c>
      <c r="U47" s="297">
        <f t="shared" si="2"/>
        <v>12</v>
      </c>
      <c r="V47" s="298">
        <f t="shared" si="3"/>
        <v>0</v>
      </c>
      <c r="W47" s="298">
        <f t="shared" si="4"/>
        <v>0.118055555555556</v>
      </c>
      <c r="X47" s="298">
        <f t="shared" si="5"/>
        <v>0.22569444444444445</v>
      </c>
      <c r="Y47" s="298">
        <f t="shared" si="6"/>
        <v>0.2638888888888889</v>
      </c>
      <c r="Z47" s="298">
        <f t="shared" si="7"/>
        <v>0</v>
      </c>
      <c r="AA47" s="297">
        <f t="shared" si="8"/>
        <v>60</v>
      </c>
    </row>
    <row r="48" spans="2:27" ht="15.75" customHeight="1">
      <c r="B48" s="29" t="s">
        <v>6</v>
      </c>
      <c r="C48" s="367" t="str">
        <f>[28]Brewhouse!$A145</f>
        <v>CA044</v>
      </c>
      <c r="D48" s="280">
        <f>[28]Brewhouse!$AF145</f>
        <v>54.4</v>
      </c>
      <c r="E48" s="280">
        <f>[28]Brewhouse!$AI145</f>
        <v>50.6</v>
      </c>
      <c r="F48" s="279">
        <f>[28]Brewhouse!$V145</f>
        <v>65</v>
      </c>
      <c r="G48" s="280">
        <f>[28]Brewhouse!$AG145</f>
        <v>11.9</v>
      </c>
      <c r="H48" s="419">
        <v>11.9</v>
      </c>
      <c r="I48" s="369">
        <f>[28]Brewhouse!$AU145</f>
        <v>95.47146892959492</v>
      </c>
      <c r="J48" s="369">
        <f>[28]Brewhouse!$AV145</f>
        <v>99.31992816638936</v>
      </c>
      <c r="K48" s="282">
        <f>[28]Brewhouse!$Q145</f>
        <v>6.9077757685352497</v>
      </c>
      <c r="L48" s="277">
        <f>[28]Brewhouse!$P145</f>
        <v>60</v>
      </c>
      <c r="M48" s="420">
        <f>[28]Brewhouse!$U145-[28]Brewhouse!$T145</f>
        <v>0.10972222222222228</v>
      </c>
      <c r="N48" s="371">
        <f>[28]Brewhouse!$Z145</f>
        <v>0.25069444444444444</v>
      </c>
      <c r="O48" s="372" t="str">
        <f>[28]Brewhouse!$AX145</f>
        <v>R.Regis</v>
      </c>
      <c r="P48" s="370"/>
      <c r="Q48" s="348"/>
      <c r="S48" s="278" t="str">
        <f t="shared" si="9"/>
        <v>CARIB</v>
      </c>
      <c r="T48" s="297">
        <f t="shared" si="1"/>
        <v>11.6</v>
      </c>
      <c r="U48" s="297">
        <f t="shared" si="2"/>
        <v>12</v>
      </c>
      <c r="V48" s="298">
        <f t="shared" si="3"/>
        <v>0</v>
      </c>
      <c r="W48" s="298">
        <f t="shared" si="4"/>
        <v>0.118055555555556</v>
      </c>
      <c r="X48" s="298">
        <f t="shared" si="5"/>
        <v>0.22569444444444445</v>
      </c>
      <c r="Y48" s="298">
        <f t="shared" si="6"/>
        <v>0.2638888888888889</v>
      </c>
      <c r="Z48" s="298">
        <f t="shared" si="7"/>
        <v>0</v>
      </c>
      <c r="AA48" s="297">
        <f t="shared" si="8"/>
        <v>60</v>
      </c>
    </row>
    <row r="49" spans="1:27" ht="15.75" customHeight="1">
      <c r="B49" s="29" t="s">
        <v>6</v>
      </c>
      <c r="C49" s="367" t="str">
        <f>[28]Brewhouse!$A146</f>
        <v>CA045</v>
      </c>
      <c r="D49" s="280">
        <f>[28]Brewhouse!$AF146</f>
        <v>53.8</v>
      </c>
      <c r="E49" s="280">
        <f>[28]Brewhouse!$AI146</f>
        <v>50.4</v>
      </c>
      <c r="F49" s="279">
        <f>[28]Brewhouse!$V146</f>
        <v>61</v>
      </c>
      <c r="G49" s="280">
        <f>[28]Brewhouse!$AG146</f>
        <v>11.9</v>
      </c>
      <c r="H49" s="419">
        <v>11.9</v>
      </c>
      <c r="I49" s="369">
        <f>[28]Brewhouse!$AU146</f>
        <v>95.327861606040415</v>
      </c>
      <c r="J49" s="369">
        <f>[28]Brewhouse!$AV146</f>
        <v>99.169700465907283</v>
      </c>
      <c r="K49" s="282">
        <f>[28]Brewhouse!$Q146</f>
        <v>6.8007312614259572</v>
      </c>
      <c r="L49" s="277">
        <f>[28]Brewhouse!$P146</f>
        <v>60</v>
      </c>
      <c r="M49" s="420">
        <f>[28]Brewhouse!$U146-[28]Brewhouse!$T146</f>
        <v>0.10763888888888895</v>
      </c>
      <c r="N49" s="371">
        <f>[28]Brewhouse!$Z146</f>
        <v>0.24930555555555567</v>
      </c>
      <c r="O49" s="372" t="str">
        <f>[28]Brewhouse!$AX146</f>
        <v>R.Sookram</v>
      </c>
      <c r="P49" s="370"/>
      <c r="Q49" s="348"/>
      <c r="S49" s="278" t="str">
        <f t="shared" si="9"/>
        <v>CARIB</v>
      </c>
      <c r="T49" s="297">
        <f t="shared" si="1"/>
        <v>11.6</v>
      </c>
      <c r="U49" s="297">
        <f t="shared" si="2"/>
        <v>12</v>
      </c>
      <c r="V49" s="298">
        <f t="shared" si="3"/>
        <v>0</v>
      </c>
      <c r="W49" s="298">
        <f t="shared" si="4"/>
        <v>0.118055555555556</v>
      </c>
      <c r="X49" s="298">
        <f t="shared" si="5"/>
        <v>0.22569444444444445</v>
      </c>
      <c r="Y49" s="298">
        <f t="shared" si="6"/>
        <v>0.2638888888888889</v>
      </c>
      <c r="Z49" s="298">
        <f t="shared" si="7"/>
        <v>0</v>
      </c>
      <c r="AA49" s="297">
        <f t="shared" si="8"/>
        <v>60</v>
      </c>
    </row>
    <row r="50" spans="1:27" ht="15.75" customHeight="1">
      <c r="B50" s="29" t="s">
        <v>6</v>
      </c>
      <c r="C50" s="367" t="str">
        <f>[28]Brewhouse!$A147</f>
        <v>CA046</v>
      </c>
      <c r="D50" s="280">
        <f>[28]Brewhouse!$AF147</f>
        <v>53.2</v>
      </c>
      <c r="E50" s="280">
        <f>[28]Brewhouse!$AI147</f>
        <v>50.9</v>
      </c>
      <c r="F50" s="279">
        <f>[28]Brewhouse!$V147</f>
        <v>59</v>
      </c>
      <c r="G50" s="280">
        <f>[28]Brewhouse!$AG147</f>
        <v>11.9</v>
      </c>
      <c r="H50" s="419">
        <v>11.9</v>
      </c>
      <c r="I50" s="369">
        <f>[28]Brewhouse!$AU147</f>
        <v>96.037505306647844</v>
      </c>
      <c r="J50" s="369">
        <f>[28]Brewhouse!$AV147</f>
        <v>99.908781495439086</v>
      </c>
      <c r="K50" s="282">
        <f>[28]Brewhouse!$Q147</f>
        <v>6.0473588342440809</v>
      </c>
      <c r="L50" s="277">
        <f>[28]Brewhouse!$P147</f>
        <v>58</v>
      </c>
      <c r="M50" s="420">
        <f>[28]Brewhouse!$U147-[28]Brewhouse!$T147</f>
        <v>0.11944444444444446</v>
      </c>
      <c r="N50" s="371">
        <f>[28]Brewhouse!$Z147</f>
        <v>0.25416666666666665</v>
      </c>
      <c r="O50" s="372" t="str">
        <f>[28]Brewhouse!$AX147</f>
        <v>R.Sookram</v>
      </c>
      <c r="P50" s="370"/>
      <c r="Q50" s="348"/>
      <c r="S50" s="278" t="str">
        <f t="shared" si="9"/>
        <v>CARIB</v>
      </c>
      <c r="T50" s="297">
        <f t="shared" si="1"/>
        <v>11.6</v>
      </c>
      <c r="U50" s="297">
        <f t="shared" si="2"/>
        <v>12</v>
      </c>
      <c r="V50" s="298">
        <f t="shared" si="3"/>
        <v>0</v>
      </c>
      <c r="W50" s="298">
        <f t="shared" si="4"/>
        <v>0.118055555555556</v>
      </c>
      <c r="X50" s="298">
        <f t="shared" si="5"/>
        <v>0.22569444444444445</v>
      </c>
      <c r="Y50" s="298">
        <f t="shared" si="6"/>
        <v>0.2638888888888889</v>
      </c>
      <c r="Z50" s="298">
        <f t="shared" si="7"/>
        <v>0</v>
      </c>
      <c r="AA50" s="297">
        <f t="shared" si="8"/>
        <v>60</v>
      </c>
    </row>
    <row r="51" spans="1:27" ht="15.75" customHeight="1">
      <c r="B51" s="33"/>
      <c r="C51" s="367"/>
      <c r="D51" s="280"/>
      <c r="E51" s="280"/>
      <c r="F51" s="279"/>
      <c r="G51" s="280"/>
      <c r="H51" s="419"/>
      <c r="I51" s="512"/>
      <c r="J51" s="512"/>
      <c r="K51" s="422"/>
      <c r="L51" s="277"/>
      <c r="M51" s="375"/>
      <c r="N51" s="371"/>
      <c r="O51" s="513"/>
      <c r="P51" s="370"/>
      <c r="Q51" s="348"/>
      <c r="S51" s="278"/>
      <c r="T51" s="297"/>
      <c r="U51" s="297"/>
      <c r="V51" s="298"/>
      <c r="W51" s="298"/>
      <c r="X51" s="298"/>
      <c r="Y51" s="298"/>
      <c r="Z51" s="298"/>
      <c r="AA51" s="297"/>
    </row>
    <row r="52" spans="1:27" ht="14.4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375"/>
      <c r="N52" s="371"/>
      <c r="O52" s="372"/>
      <c r="P52" s="370"/>
      <c r="Q52" s="348"/>
      <c r="S52" s="278">
        <f t="shared" si="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 thickBot="1">
      <c r="B53" s="359"/>
      <c r="C53" s="359"/>
      <c r="D53" s="359"/>
      <c r="E53" s="359"/>
      <c r="F53" s="295"/>
      <c r="G53" s="295"/>
      <c r="H53" s="349"/>
      <c r="I53" s="574" t="s">
        <v>34</v>
      </c>
      <c r="J53" s="574"/>
      <c r="K53" s="574"/>
      <c r="L53" s="574"/>
      <c r="M53" s="574"/>
      <c r="N53" s="574"/>
      <c r="O53" s="1"/>
      <c r="P53" s="12"/>
      <c r="S53" s="278"/>
      <c r="T53" s="297"/>
      <c r="U53" s="297"/>
      <c r="V53" s="298"/>
      <c r="W53" s="298"/>
      <c r="X53" s="298"/>
      <c r="Y53" s="298"/>
      <c r="Z53" s="298"/>
      <c r="AA53" s="297"/>
    </row>
    <row r="54" spans="1:27" ht="15" thickBot="1">
      <c r="B54" s="389" t="s">
        <v>145</v>
      </c>
      <c r="C54" s="389"/>
      <c r="D54" s="552" t="s">
        <v>35</v>
      </c>
      <c r="E54" s="553"/>
      <c r="F54" s="295"/>
      <c r="G54" s="295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5"/>
      <c r="P54" s="12"/>
      <c r="S54" s="278"/>
      <c r="T54" s="297"/>
      <c r="U54" s="297"/>
      <c r="V54" s="298"/>
      <c r="W54" s="298"/>
      <c r="X54" s="298"/>
      <c r="Y54" s="298"/>
      <c r="Z54" s="298"/>
      <c r="AA54" s="297"/>
    </row>
    <row r="55" spans="1:27" ht="15" customHeight="1">
      <c r="A55" s="28"/>
      <c r="B55" s="656" t="str">
        <f>I61</f>
        <v>STARMALT</v>
      </c>
      <c r="C55" s="363">
        <v>17.100000000000001</v>
      </c>
      <c r="D55" s="578">
        <v>17</v>
      </c>
      <c r="E55" s="579"/>
      <c r="F55" s="295"/>
      <c r="G55" s="295"/>
      <c r="H55" s="295"/>
      <c r="I55" s="29" t="s">
        <v>6</v>
      </c>
      <c r="J55" s="324">
        <f>AVERAGE(I47:I50)</f>
        <v>94.784604031874238</v>
      </c>
      <c r="K55" s="285">
        <f>COUNTA([28]Brewhouse!$A$102:$A$147)</f>
        <v>46</v>
      </c>
      <c r="L55" s="303">
        <f>AVERAGE([28]Brewhouse!$AU$102:$AU$147)</f>
        <v>94.273682080396711</v>
      </c>
      <c r="M55" s="303">
        <f>AVERAGE([28]Brewhouse!$AU$102:$AU$147)</f>
        <v>94.273682080396711</v>
      </c>
      <c r="N55" s="30">
        <v>98</v>
      </c>
      <c r="O55" s="11"/>
      <c r="P55" s="31"/>
      <c r="S55" s="278"/>
      <c r="T55" s="297"/>
      <c r="U55" s="297"/>
      <c r="V55" s="298"/>
      <c r="W55" s="298"/>
      <c r="X55" s="298"/>
      <c r="Y55" s="298"/>
      <c r="Z55" s="298"/>
      <c r="AA55" s="297"/>
    </row>
    <row r="56" spans="1:27" ht="15" customHeight="1">
      <c r="A56" s="28"/>
      <c r="B56" s="657"/>
      <c r="C56" s="350">
        <v>17.63</v>
      </c>
      <c r="D56" s="580"/>
      <c r="E56" s="581"/>
      <c r="F56" s="295"/>
      <c r="G56" s="295"/>
      <c r="H56" s="32"/>
      <c r="I56" s="33" t="s">
        <v>9</v>
      </c>
      <c r="J56" s="324">
        <f>AVERAGE(I42:I45)</f>
        <v>96.359907806367815</v>
      </c>
      <c r="K56" s="285">
        <f>COUNTA([22]Brewhouse!$A$15:$A$52)</f>
        <v>38</v>
      </c>
      <c r="L56" s="303">
        <f>AVERAGE([22]Brewhouse!$AS$15:$AS$52)</f>
        <v>96.350971246231154</v>
      </c>
      <c r="M56" s="303">
        <f>AVERAGE([22]Brewhouse!$AS$15:$AS$52)</f>
        <v>96.350971246231154</v>
      </c>
      <c r="N56" s="30">
        <v>98</v>
      </c>
      <c r="O56" s="11"/>
      <c r="P56" s="31"/>
      <c r="S56" s="278"/>
      <c r="T56" s="297"/>
      <c r="U56" s="297"/>
      <c r="V56" s="298"/>
      <c r="W56" s="298"/>
      <c r="X56" s="298"/>
      <c r="Y56" s="298"/>
      <c r="Z56" s="298"/>
      <c r="AA56" s="297"/>
    </row>
    <row r="57" spans="1:27" ht="14.7" customHeight="1">
      <c r="A57" s="28"/>
      <c r="B57" s="657"/>
      <c r="C57" s="350">
        <v>17.239999999999998</v>
      </c>
      <c r="D57" s="578">
        <v>16.87</v>
      </c>
      <c r="E57" s="579"/>
      <c r="F57" s="295"/>
      <c r="G57" s="295"/>
      <c r="H57" s="32"/>
      <c r="I57" s="34" t="s">
        <v>12</v>
      </c>
      <c r="J57" s="281"/>
      <c r="K57" s="285"/>
      <c r="L57" s="303"/>
      <c r="M57" s="303"/>
      <c r="N57" s="30">
        <v>98</v>
      </c>
      <c r="O57" s="11"/>
      <c r="P57" s="31"/>
      <c r="S57" s="23"/>
      <c r="T57" s="1"/>
      <c r="U57" s="1"/>
      <c r="AA57" s="286"/>
    </row>
    <row r="58" spans="1:27" ht="14.7" customHeight="1">
      <c r="A58" s="28"/>
      <c r="B58" s="657"/>
      <c r="C58" s="350">
        <v>17.3</v>
      </c>
      <c r="D58" s="580"/>
      <c r="E58" s="581"/>
      <c r="F58" s="295"/>
      <c r="G58" s="295"/>
      <c r="H58" s="32"/>
      <c r="I58" s="22" t="s">
        <v>33</v>
      </c>
      <c r="J58" s="281"/>
      <c r="K58" s="285">
        <f>COUNTA([25]Brewhouse!$A$5:$A$8)</f>
        <v>4</v>
      </c>
      <c r="L58" s="303">
        <f>AVERAGE([25]Brewhouse!$AV$5:$AV$8)</f>
        <v>96.702302381453876</v>
      </c>
      <c r="M58" s="303">
        <f>AVERAGE([25]Brewhouse!$AV$5:$AV$8)</f>
        <v>96.702302381453876</v>
      </c>
      <c r="N58" s="30">
        <v>98</v>
      </c>
      <c r="O58" s="11"/>
      <c r="P58" s="31"/>
      <c r="S58" s="23"/>
      <c r="T58" s="1"/>
      <c r="U58" s="1"/>
      <c r="AA58" s="286"/>
    </row>
    <row r="59" spans="1:27" ht="14.7" customHeight="1">
      <c r="A59" s="28"/>
      <c r="B59" s="657"/>
      <c r="C59" s="350"/>
      <c r="D59" s="578"/>
      <c r="E59" s="579"/>
      <c r="F59" s="295"/>
      <c r="G59" s="295"/>
      <c r="H59" s="32"/>
      <c r="I59" s="35" t="s">
        <v>29</v>
      </c>
      <c r="J59" s="281"/>
      <c r="K59" s="285"/>
      <c r="L59" s="303"/>
      <c r="M59" s="303"/>
      <c r="N59" s="30">
        <v>98</v>
      </c>
      <c r="O59" s="11"/>
      <c r="P59" s="31"/>
      <c r="S59" s="23"/>
    </row>
    <row r="60" spans="1:27" ht="14.7" customHeight="1">
      <c r="A60" s="28"/>
      <c r="B60" s="657"/>
      <c r="C60" s="350"/>
      <c r="D60" s="580"/>
      <c r="E60" s="581"/>
      <c r="F60" s="295"/>
      <c r="G60" s="295"/>
      <c r="H60" s="32"/>
      <c r="I60" s="36" t="s">
        <v>15</v>
      </c>
      <c r="J60" s="324"/>
      <c r="K60" s="285">
        <f>COUNTA([27]Brewhouse!$A$4:$A$11)</f>
        <v>8</v>
      </c>
      <c r="L60" s="303">
        <f>AVERAGE([27]Brewhouse!$AT$4:$AT$11)</f>
        <v>94.812616598822359</v>
      </c>
      <c r="M60" s="303">
        <f>AVERAGE([27]Brewhouse!$AT$4:$AT$11)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657"/>
      <c r="C61" s="350"/>
      <c r="D61" s="578"/>
      <c r="E61" s="579"/>
      <c r="F61" s="295"/>
      <c r="G61" s="295"/>
      <c r="H61" s="32"/>
      <c r="I61" s="37" t="s">
        <v>16</v>
      </c>
      <c r="J61" s="324"/>
      <c r="K61" s="285">
        <f>COUNTA(Jan.20th!B31:B34,'Jan 22nd'!B34:B36)</f>
        <v>4</v>
      </c>
      <c r="L61" s="303">
        <f>AVERAGE([29]Brewhouse!$AY$6:$AY$13)</f>
        <v>93.094805585685208</v>
      </c>
      <c r="M61" s="303">
        <f>AVERAGE([29]Brewhouse!$AY$6:$AY$13)</f>
        <v>93.094805585685208</v>
      </c>
      <c r="N61" s="30">
        <v>98</v>
      </c>
      <c r="O61" s="11"/>
      <c r="P61" s="31" t="s">
        <v>41</v>
      </c>
      <c r="S61" s="23"/>
      <c r="X61" s="276" t="s">
        <v>41</v>
      </c>
    </row>
    <row r="62" spans="1:27" ht="14.7" customHeight="1">
      <c r="A62" s="28"/>
      <c r="B62" s="657"/>
      <c r="C62" s="350"/>
      <c r="D62" s="580"/>
      <c r="E62" s="581"/>
      <c r="F62" s="295"/>
      <c r="G62" s="295"/>
      <c r="H62" s="32"/>
      <c r="I62" s="507" t="s">
        <v>174</v>
      </c>
      <c r="J62" s="327"/>
      <c r="K62" s="285">
        <f>COUNTA([26]Brewhouse!$A$5:$A$8)</f>
        <v>4</v>
      </c>
      <c r="L62" s="306">
        <f>AVERAGE([26]Brewhouse!$AU$5:$AU$8)</f>
        <v>91.006888337619571</v>
      </c>
      <c r="M62" s="306">
        <f>AVERAGE([26]Brewhouse!$AU$5:$AU$8)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657"/>
      <c r="C63" s="350"/>
      <c r="D63" s="578"/>
      <c r="E63" s="579"/>
      <c r="F63" s="295"/>
      <c r="G63" s="295"/>
      <c r="H63" s="32"/>
      <c r="I63" s="506" t="s">
        <v>166</v>
      </c>
      <c r="J63" s="327"/>
      <c r="K63" s="285"/>
      <c r="L63" s="306"/>
      <c r="M63" s="306"/>
      <c r="N63" s="30"/>
      <c r="O63" s="11"/>
      <c r="P63" s="31"/>
      <c r="S63" s="23"/>
    </row>
    <row r="64" spans="1:27" ht="15" customHeight="1" thickBot="1">
      <c r="A64" s="28"/>
      <c r="B64" s="657"/>
      <c r="C64" s="350"/>
      <c r="D64" s="580"/>
      <c r="E64" s="581"/>
      <c r="F64" s="295"/>
      <c r="G64" s="295"/>
      <c r="H64" s="32"/>
      <c r="I64" s="502" t="s">
        <v>165</v>
      </c>
      <c r="J64" s="328"/>
      <c r="K64" s="503"/>
      <c r="L64" s="504"/>
      <c r="M64" s="504"/>
      <c r="N64" s="505">
        <v>98</v>
      </c>
      <c r="O64" s="11"/>
      <c r="P64" s="31"/>
      <c r="S64" s="23"/>
    </row>
    <row r="65" spans="1:57" ht="15" customHeight="1" thickBot="1">
      <c r="A65" s="28"/>
      <c r="B65" s="657"/>
      <c r="C65" s="350"/>
      <c r="D65" s="578"/>
      <c r="E65" s="579"/>
      <c r="F65" s="295"/>
      <c r="G65" s="295"/>
      <c r="H65" s="32"/>
      <c r="I65" s="1"/>
      <c r="J65" s="39"/>
      <c r="K65" s="500">
        <f>SUM(K55:K64)</f>
        <v>104</v>
      </c>
      <c r="L65" s="501">
        <f>((L55*K55)+(L56*K56)+(L57*K57)+(L58*K58)+(L59*K59)+(K62*L62)+(L60*K60)+(L61*K61)+(L64*K64))/(K65)</f>
        <v>94.996569241006227</v>
      </c>
      <c r="M65" s="501">
        <f>L65</f>
        <v>94.996569241006227</v>
      </c>
      <c r="N65" s="40">
        <v>98</v>
      </c>
      <c r="O65" s="11"/>
      <c r="P65" s="31"/>
      <c r="S65" s="23"/>
    </row>
    <row r="66" spans="1:57" ht="15" thickBot="1">
      <c r="B66" s="658"/>
      <c r="C66" s="351"/>
      <c r="D66" s="580"/>
      <c r="E66" s="581"/>
      <c r="F66" s="295"/>
      <c r="G66" s="42"/>
      <c r="H66" s="41"/>
      <c r="I66" s="42"/>
      <c r="J66" s="42"/>
      <c r="K66" s="352"/>
      <c r="L66" s="349"/>
      <c r="M66" s="349"/>
      <c r="N66" s="11"/>
      <c r="O66" s="295"/>
      <c r="P66" s="12"/>
      <c r="S66" s="23"/>
    </row>
    <row r="67" spans="1:57" ht="15" thickBot="1">
      <c r="B67" s="653" t="str">
        <f>I60</f>
        <v>MACKESON</v>
      </c>
      <c r="C67" s="363">
        <v>13.46</v>
      </c>
      <c r="D67" s="591">
        <v>14.24</v>
      </c>
      <c r="E67" s="592"/>
      <c r="F67" s="43"/>
      <c r="G67" s="41"/>
      <c r="H67" s="41"/>
      <c r="I67" s="42"/>
      <c r="J67" s="594" t="s">
        <v>129</v>
      </c>
      <c r="K67" s="594"/>
      <c r="L67" s="295"/>
      <c r="M67" s="295"/>
      <c r="N67" s="295"/>
      <c r="O67" s="295"/>
      <c r="P67" s="12"/>
      <c r="S67" s="23" t="s">
        <v>41</v>
      </c>
    </row>
    <row r="68" spans="1:57" ht="13.5" customHeight="1" thickBot="1">
      <c r="B68" s="654"/>
      <c r="C68" s="350">
        <v>13.04</v>
      </c>
      <c r="D68" s="593"/>
      <c r="E68" s="581"/>
      <c r="F68" s="43"/>
      <c r="G68" s="41"/>
      <c r="H68" s="523"/>
      <c r="I68" s="520"/>
      <c r="J68" s="293" t="s">
        <v>17</v>
      </c>
      <c r="K68" s="294" t="s">
        <v>184</v>
      </c>
      <c r="L68" s="595" t="s">
        <v>136</v>
      </c>
      <c r="M68" s="595"/>
      <c r="N68" s="596"/>
      <c r="O68" s="295"/>
      <c r="P68" s="12"/>
      <c r="S68" s="23"/>
    </row>
    <row r="69" spans="1:57" ht="15" customHeight="1" thickBot="1">
      <c r="B69" s="654"/>
      <c r="C69" s="350">
        <v>14</v>
      </c>
      <c r="D69" s="597">
        <v>14.33</v>
      </c>
      <c r="E69" s="579"/>
      <c r="F69" s="43"/>
      <c r="G69" s="41"/>
      <c r="H69" s="524"/>
      <c r="I69" s="521"/>
      <c r="J69" s="288" t="s">
        <v>6</v>
      </c>
      <c r="K69" s="325">
        <v>4</v>
      </c>
      <c r="L69" s="344" t="s">
        <v>37</v>
      </c>
      <c r="M69" s="308" t="s">
        <v>38</v>
      </c>
      <c r="N69" s="308" t="s">
        <v>84</v>
      </c>
      <c r="O69" s="295"/>
      <c r="P69" s="12"/>
      <c r="S69" s="23"/>
    </row>
    <row r="70" spans="1:57" ht="15.75" customHeight="1" thickBot="1">
      <c r="B70" s="654"/>
      <c r="C70" s="350">
        <v>13.29</v>
      </c>
      <c r="D70" s="593"/>
      <c r="E70" s="581"/>
      <c r="F70" s="43"/>
      <c r="G70" s="41"/>
      <c r="H70" s="524"/>
      <c r="I70" s="521"/>
      <c r="J70" s="346" t="s">
        <v>9</v>
      </c>
      <c r="K70" s="325">
        <v>4</v>
      </c>
      <c r="L70" s="345">
        <f>AVERAGE('Jan 2nd'!K69,'Jan 3rd'!K69,'Jan 6th'!K54,'Jan 7th'!K76,'Jan 8th'!K76,'Jan. 10th'!K54,'Jan. 14th '!K54,'Jan.15th '!K55,Jan.16th!K58,'Jan.17th -19th'!K67,Jan.20th!K67,'Jan.21ST '!K70,'Jan 22nd'!K79)</f>
        <v>6.7692307692307692</v>
      </c>
      <c r="M70" s="326">
        <f>L70</f>
        <v>6.7692307692307692</v>
      </c>
      <c r="N70" s="488"/>
      <c r="O70" s="295"/>
      <c r="P70" s="12"/>
      <c r="S70" s="23"/>
    </row>
    <row r="71" spans="1:57" ht="15" customHeight="1">
      <c r="B71" s="654"/>
      <c r="C71" s="350"/>
      <c r="D71" s="597"/>
      <c r="E71" s="579"/>
      <c r="F71" s="43"/>
      <c r="G71" s="41"/>
      <c r="H71" s="524"/>
      <c r="I71" s="521"/>
      <c r="J71" s="289" t="s">
        <v>40</v>
      </c>
      <c r="K71" s="325"/>
      <c r="L71" s="295"/>
      <c r="M71" s="295"/>
      <c r="N71" s="295"/>
      <c r="O71" s="295"/>
      <c r="P71" s="12"/>
      <c r="S71" s="23"/>
    </row>
    <row r="72" spans="1:57" ht="15" customHeight="1">
      <c r="B72" s="654"/>
      <c r="C72" s="350"/>
      <c r="D72" s="593"/>
      <c r="E72" s="581"/>
      <c r="F72" s="43"/>
      <c r="G72" s="41"/>
      <c r="H72" s="524"/>
      <c r="I72" s="521"/>
      <c r="J72" s="290" t="s">
        <v>33</v>
      </c>
      <c r="K72" s="325"/>
      <c r="L72" s="295"/>
      <c r="M72" s="295"/>
      <c r="N72" s="295"/>
      <c r="O72" s="295"/>
      <c r="P72" s="12"/>
      <c r="S72" s="23"/>
    </row>
    <row r="73" spans="1:57" ht="14.4">
      <c r="B73" s="654"/>
      <c r="C73" s="350"/>
      <c r="D73" s="597"/>
      <c r="E73" s="579"/>
      <c r="F73" s="43"/>
      <c r="G73" s="41"/>
      <c r="H73" s="524"/>
      <c r="I73" s="521"/>
      <c r="J73" s="291" t="s">
        <v>16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1:57" ht="14.4">
      <c r="B74" s="654"/>
      <c r="C74" s="350"/>
      <c r="D74" s="593"/>
      <c r="E74" s="581"/>
      <c r="F74" s="43"/>
      <c r="G74" s="41"/>
      <c r="H74" s="524"/>
      <c r="I74" s="521"/>
      <c r="J74" s="292" t="s">
        <v>15</v>
      </c>
      <c r="K74" s="325"/>
      <c r="L74" s="295"/>
      <c r="M74" s="295"/>
      <c r="N74" s="295"/>
      <c r="O74" s="295"/>
      <c r="P74" s="12"/>
      <c r="S74" s="23"/>
      <c r="BD74" s="44"/>
      <c r="BE74" s="44"/>
    </row>
    <row r="75" spans="1:57" ht="14.4">
      <c r="B75" s="654"/>
      <c r="C75" s="350"/>
      <c r="D75" s="598"/>
      <c r="E75" s="583"/>
      <c r="F75" s="43"/>
      <c r="G75" s="41"/>
      <c r="H75" s="524"/>
      <c r="I75" s="521"/>
      <c r="J75" s="292" t="s">
        <v>149</v>
      </c>
      <c r="K75" s="325"/>
      <c r="L75" s="295"/>
      <c r="M75" s="295"/>
      <c r="N75" s="295"/>
      <c r="O75" s="295"/>
      <c r="P75" s="12"/>
      <c r="S75" s="23"/>
      <c r="BD75" s="44"/>
      <c r="BE75" s="44"/>
    </row>
    <row r="76" spans="1:57" ht="15" thickBot="1">
      <c r="B76" s="655"/>
      <c r="C76" s="351"/>
      <c r="D76" s="599"/>
      <c r="E76" s="600"/>
      <c r="F76" s="43"/>
      <c r="G76" s="41"/>
      <c r="H76" s="524"/>
      <c r="I76" s="521"/>
      <c r="J76" s="292" t="s">
        <v>148</v>
      </c>
      <c r="K76" s="325"/>
      <c r="L76" s="295"/>
      <c r="M76" s="295"/>
      <c r="N76" s="295"/>
      <c r="O76" s="295"/>
      <c r="P76" s="12"/>
      <c r="S76" s="23"/>
      <c r="BD76" s="44"/>
      <c r="BE76" s="44"/>
    </row>
    <row r="77" spans="1:57" ht="17.7" customHeight="1" thickBot="1">
      <c r="B77" s="313" t="s">
        <v>139</v>
      </c>
      <c r="C77" s="314"/>
      <c r="D77" s="601">
        <f>AVERAGE(D55:E76)</f>
        <v>15.610000000000001</v>
      </c>
      <c r="E77" s="602"/>
      <c r="F77" s="43"/>
      <c r="G77" s="41"/>
      <c r="H77" s="524"/>
      <c r="I77" s="521"/>
      <c r="J77" s="296" t="s">
        <v>134</v>
      </c>
      <c r="K77" s="325"/>
      <c r="L77" s="295"/>
      <c r="M77" s="295"/>
      <c r="N77" s="295"/>
      <c r="O77" s="295"/>
      <c r="P77" s="12"/>
      <c r="S77" s="23"/>
      <c r="BD77" s="44"/>
      <c r="BE77" s="44"/>
    </row>
    <row r="78" spans="1:57" ht="17.7" customHeight="1">
      <c r="B78" s="364"/>
      <c r="C78" s="365"/>
      <c r="D78" s="366"/>
      <c r="E78" s="366"/>
      <c r="F78" s="43"/>
      <c r="G78" s="41"/>
      <c r="H78" s="524"/>
      <c r="I78" s="521"/>
      <c r="J78" s="296" t="s">
        <v>131</v>
      </c>
      <c r="K78" s="325"/>
      <c r="L78" s="295"/>
      <c r="M78" s="295"/>
      <c r="N78" s="295"/>
      <c r="O78" s="295"/>
      <c r="P78" s="12"/>
      <c r="S78" s="23"/>
      <c r="BD78" s="44"/>
      <c r="BE78" s="44"/>
    </row>
    <row r="79" spans="1:57" ht="15.75" customHeight="1" thickBot="1">
      <c r="B79" s="45"/>
      <c r="C79" s="11"/>
      <c r="D79" s="11"/>
      <c r="E79" s="46"/>
      <c r="F79" s="23"/>
      <c r="G79" s="11"/>
      <c r="H79" s="525"/>
      <c r="I79" s="522"/>
      <c r="J79" s="347" t="s">
        <v>130</v>
      </c>
      <c r="K79" s="325">
        <f>SUM(K69:K78)</f>
        <v>8</v>
      </c>
      <c r="L79" s="295"/>
      <c r="M79" s="295"/>
      <c r="N79" s="295"/>
      <c r="O79" s="295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5"/>
      <c r="P80" s="335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6" t="s">
        <v>41</v>
      </c>
    </row>
    <row r="82" spans="2:58" ht="15" customHeight="1" thickBot="1">
      <c r="B82" s="603" t="s">
        <v>17</v>
      </c>
      <c r="C82" s="603" t="s">
        <v>44</v>
      </c>
      <c r="D82" s="605" t="s">
        <v>45</v>
      </c>
      <c r="E82" s="560" t="s">
        <v>46</v>
      </c>
      <c r="F82" s="620" t="s">
        <v>47</v>
      </c>
      <c r="G82" s="614" t="s">
        <v>48</v>
      </c>
      <c r="H82" s="603" t="s">
        <v>49</v>
      </c>
      <c r="I82" s="603" t="s">
        <v>50</v>
      </c>
      <c r="J82" s="608" t="s">
        <v>28</v>
      </c>
      <c r="K82" s="558" t="s">
        <v>51</v>
      </c>
      <c r="L82" s="570" t="s">
        <v>52</v>
      </c>
      <c r="M82" s="608" t="s">
        <v>53</v>
      </c>
      <c r="N82" s="77"/>
      <c r="O82" s="13"/>
      <c r="P82" s="50"/>
    </row>
    <row r="83" spans="2:58" ht="28.5" customHeight="1" thickTop="1" thickBot="1">
      <c r="B83" s="604"/>
      <c r="C83" s="604"/>
      <c r="D83" s="606"/>
      <c r="E83" s="607"/>
      <c r="F83" s="621"/>
      <c r="G83" s="615"/>
      <c r="H83" s="604"/>
      <c r="I83" s="604"/>
      <c r="J83" s="609"/>
      <c r="K83" s="618"/>
      <c r="L83" s="619"/>
      <c r="M83" s="609"/>
      <c r="N83" s="77"/>
      <c r="O83" s="13"/>
      <c r="P83" s="50"/>
      <c r="Q83" s="356"/>
      <c r="R83" s="356"/>
      <c r="S83" s="356"/>
      <c r="T83" s="356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69.75" customHeight="1" thickBot="1">
      <c r="B84" s="511" t="str">
        <f>B55</f>
        <v>STARMALT</v>
      </c>
      <c r="C84" s="284">
        <v>45679</v>
      </c>
      <c r="D84" s="378">
        <f>[23]January_2025!$Y$55</f>
        <v>202.4</v>
      </c>
      <c r="E84" s="280">
        <f>1.9*2</f>
        <v>3.8</v>
      </c>
      <c r="F84" s="380"/>
      <c r="G84" s="304">
        <f>[23]January_2025!$Y$59</f>
        <v>200.2</v>
      </c>
      <c r="H84" s="382"/>
      <c r="I84" s="383"/>
      <c r="J84" s="391" t="s">
        <v>180</v>
      </c>
      <c r="K84" s="381">
        <f>[24]January_2025!$Y$53</f>
        <v>0.70245614035087711</v>
      </c>
      <c r="L84" s="315">
        <f>(((D84+E84)-G84)/(D84+E84))*100</f>
        <v>2.9097963142580152</v>
      </c>
      <c r="M84" s="358" t="s">
        <v>187</v>
      </c>
      <c r="N84" s="13"/>
      <c r="O84" s="13"/>
      <c r="P84" s="50"/>
      <c r="T84" s="273" t="s">
        <v>54</v>
      </c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</row>
    <row r="85" spans="2:58" s="54" customFormat="1" ht="18.75" customHeight="1" thickBot="1">
      <c r="B85" s="388"/>
      <c r="C85" s="284"/>
      <c r="D85" s="280"/>
      <c r="E85" s="280"/>
      <c r="F85" s="280"/>
      <c r="G85" s="280"/>
      <c r="H85" s="321"/>
      <c r="I85" s="322"/>
      <c r="J85" s="390" t="s">
        <v>41</v>
      </c>
      <c r="K85" s="377"/>
      <c r="L85" s="315"/>
      <c r="M85" s="385"/>
      <c r="N85" s="13"/>
      <c r="O85" s="13"/>
      <c r="P85" s="50"/>
      <c r="T85" s="273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8" t="e">
        <f>[20]January_2019!AH8</f>
        <v>#DIV/0!</v>
      </c>
      <c r="AZ85" s="278"/>
      <c r="BA85" s="278"/>
      <c r="BB85" s="278"/>
      <c r="BC85" s="278"/>
      <c r="BD85" s="278"/>
      <c r="BE85" s="278"/>
      <c r="BF85" s="278"/>
    </row>
    <row r="86" spans="2:58" s="54" customFormat="1" ht="42" customHeight="1" thickBot="1">
      <c r="B86" s="374" t="str">
        <f>J74</f>
        <v>MACKESON</v>
      </c>
      <c r="C86" s="284">
        <v>45679</v>
      </c>
      <c r="D86" s="280">
        <f>[23]January_2025!$Y$34</f>
        <v>205.5</v>
      </c>
      <c r="E86" s="280">
        <f>1.9*2</f>
        <v>3.8</v>
      </c>
      <c r="F86" s="280"/>
      <c r="G86" s="280">
        <f>[23]January_2025!$Y$39</f>
        <v>184.7</v>
      </c>
      <c r="H86" s="446"/>
      <c r="I86" s="446"/>
      <c r="J86" s="391" t="s">
        <v>180</v>
      </c>
      <c r="K86" s="373">
        <f>[24]January_2025!$Y$39</f>
        <v>0.64807017543859646</v>
      </c>
      <c r="L86" s="315">
        <f>(((D86+E86)-G86)/(D86+E86))*100</f>
        <v>11.753463927376981</v>
      </c>
      <c r="M86" s="358" t="s">
        <v>187</v>
      </c>
      <c r="N86" s="13"/>
      <c r="O86" s="13"/>
      <c r="P86" s="50"/>
      <c r="T86" s="273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8"/>
      <c r="AZ86" s="278"/>
      <c r="BA86" s="278"/>
      <c r="BB86" s="278"/>
      <c r="BC86" s="278"/>
      <c r="BD86" s="278"/>
      <c r="BE86" s="278"/>
      <c r="BF86" s="278"/>
    </row>
    <row r="87" spans="2:58" s="54" customFormat="1" ht="14.4" hidden="1" thickBot="1">
      <c r="B87" s="362"/>
      <c r="C87" s="284"/>
      <c r="D87" s="305"/>
      <c r="E87" s="280"/>
      <c r="F87" s="280"/>
      <c r="G87" s="280"/>
      <c r="H87" s="382"/>
      <c r="I87" s="383"/>
      <c r="J87" s="390"/>
      <c r="K87" s="377"/>
      <c r="L87" s="315"/>
      <c r="M87" s="355"/>
      <c r="N87" s="13"/>
      <c r="O87" s="13"/>
      <c r="P87" s="50"/>
      <c r="T87" s="273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8"/>
      <c r="AZ87" s="278"/>
      <c r="BA87" s="278"/>
      <c r="BB87" s="278"/>
      <c r="BC87" s="278"/>
      <c r="BD87" s="278"/>
      <c r="BE87" s="278"/>
      <c r="BF87" s="278"/>
    </row>
    <row r="88" spans="2:58" s="54" customFormat="1" ht="45.75" hidden="1" customHeight="1">
      <c r="B88" s="386"/>
      <c r="C88" s="284"/>
      <c r="D88" s="280"/>
      <c r="E88" s="280"/>
      <c r="F88" s="280"/>
      <c r="G88" s="280"/>
      <c r="H88" s="321"/>
      <c r="I88" s="323"/>
      <c r="J88" s="361"/>
      <c r="K88" s="287"/>
      <c r="L88" s="315"/>
      <c r="M88" s="385"/>
      <c r="N88" s="13"/>
      <c r="O88" s="13"/>
      <c r="P88" s="50"/>
      <c r="T88" s="273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8"/>
      <c r="AZ88" s="278"/>
      <c r="BA88" s="278"/>
      <c r="BB88" s="278"/>
      <c r="BC88" s="278"/>
      <c r="BD88" s="278"/>
      <c r="BE88" s="278"/>
      <c r="BF88" s="278"/>
    </row>
    <row r="89" spans="2:58" s="54" customFormat="1" ht="45.75" hidden="1" customHeight="1">
      <c r="B89" s="362"/>
      <c r="C89" s="284"/>
      <c r="D89" s="280"/>
      <c r="E89" s="280"/>
      <c r="F89" s="280"/>
      <c r="G89" s="280"/>
      <c r="H89" s="321"/>
      <c r="I89" s="323"/>
      <c r="J89" s="282"/>
      <c r="K89" s="287"/>
      <c r="L89" s="315"/>
      <c r="M89" s="340"/>
      <c r="N89" s="13"/>
      <c r="O89" s="13"/>
      <c r="P89" s="50"/>
      <c r="T89" s="273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8"/>
      <c r="AZ89" s="278"/>
      <c r="BA89" s="278"/>
      <c r="BB89" s="278"/>
      <c r="BC89" s="278"/>
      <c r="BD89" s="278"/>
      <c r="BE89" s="278"/>
      <c r="BF89" s="278"/>
    </row>
    <row r="90" spans="2:58" ht="14.4" thickBot="1">
      <c r="B90" s="33"/>
      <c r="C90" s="311"/>
      <c r="D90" s="280"/>
      <c r="E90" s="280"/>
      <c r="F90" s="280"/>
      <c r="G90" s="280"/>
      <c r="H90" s="353"/>
      <c r="I90" s="354"/>
      <c r="J90" s="52"/>
      <c r="K90" s="52"/>
      <c r="L90" s="53"/>
      <c r="M90" s="55"/>
      <c r="N90" s="77"/>
      <c r="O90" s="13"/>
      <c r="P90" s="56"/>
    </row>
    <row r="91" spans="2:58" ht="14.4" thickBot="1">
      <c r="B91" s="58"/>
      <c r="C91" s="31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610" t="s">
        <v>55</v>
      </c>
      <c r="C92" s="611"/>
      <c r="D92" s="611"/>
      <c r="E92" s="611"/>
      <c r="F92" s="612"/>
      <c r="G92" s="610" t="s">
        <v>56</v>
      </c>
      <c r="H92" s="611"/>
      <c r="I92" s="611"/>
      <c r="J92" s="612"/>
      <c r="K92" s="610" t="s">
        <v>51</v>
      </c>
      <c r="L92" s="611"/>
      <c r="M92" s="611"/>
      <c r="N92" s="613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/>
      <c r="D94" s="76">
        <v>8.851993992991817</v>
      </c>
      <c r="E94" s="76"/>
      <c r="F94" s="66">
        <v>4.8</v>
      </c>
      <c r="G94" s="65"/>
      <c r="H94" s="76">
        <v>10.305764255799362</v>
      </c>
      <c r="I94" s="76"/>
      <c r="J94" s="66">
        <v>4.8</v>
      </c>
      <c r="K94" s="67"/>
      <c r="L94" s="194">
        <v>0.97232456140350876</v>
      </c>
      <c r="M94" s="194"/>
      <c r="N94" s="68">
        <v>1</v>
      </c>
      <c r="O94" s="56"/>
      <c r="P94" s="69"/>
    </row>
    <row r="95" spans="2:58">
      <c r="B95" s="33" t="s">
        <v>9</v>
      </c>
      <c r="C95" s="65"/>
      <c r="D95" s="76">
        <v>6.7850094667561489</v>
      </c>
      <c r="E95" s="76"/>
      <c r="F95" s="66">
        <v>4.8</v>
      </c>
      <c r="G95" s="65"/>
      <c r="H95" s="76">
        <v>11.587687428344005</v>
      </c>
      <c r="I95" s="76"/>
      <c r="J95" s="66">
        <v>4.8</v>
      </c>
      <c r="K95" s="67"/>
      <c r="L95" s="194">
        <v>1.0883040935672514</v>
      </c>
      <c r="M95" s="194"/>
      <c r="N95" s="68">
        <v>1</v>
      </c>
      <c r="P95" s="69"/>
    </row>
    <row r="96" spans="2:58">
      <c r="B96" s="34" t="s">
        <v>40</v>
      </c>
      <c r="C96" s="65"/>
      <c r="D96" s="76">
        <v>7.5530586766541949</v>
      </c>
      <c r="E96" s="76"/>
      <c r="F96" s="66">
        <v>5.5</v>
      </c>
      <c r="G96" s="65"/>
      <c r="H96" s="76">
        <v>2.6473552031086438</v>
      </c>
      <c r="I96" s="76"/>
      <c r="J96" s="66">
        <v>5.5</v>
      </c>
      <c r="K96" s="67"/>
      <c r="L96" s="194">
        <v>1.0392982456140349</v>
      </c>
      <c r="M96" s="194"/>
      <c r="N96" s="68">
        <v>1</v>
      </c>
      <c r="P96" s="69"/>
    </row>
    <row r="97" spans="2:16">
      <c r="B97" s="22" t="s">
        <v>33</v>
      </c>
      <c r="C97" s="65"/>
      <c r="D97" s="76">
        <v>2.2380467955239092</v>
      </c>
      <c r="E97" s="76"/>
      <c r="F97" s="66">
        <v>3.3</v>
      </c>
      <c r="G97" s="65"/>
      <c r="H97" s="76">
        <v>5.2472220688473969</v>
      </c>
      <c r="I97" s="76"/>
      <c r="J97" s="66">
        <v>3.3</v>
      </c>
      <c r="K97" s="67"/>
      <c r="L97" s="194">
        <v>0.67438596491228064</v>
      </c>
      <c r="M97" s="194"/>
      <c r="N97" s="68">
        <v>1</v>
      </c>
      <c r="P97" s="69"/>
    </row>
    <row r="98" spans="2:16">
      <c r="B98" s="35" t="s">
        <v>29</v>
      </c>
      <c r="C98" s="65"/>
      <c r="D98" s="76"/>
      <c r="E98" s="76"/>
      <c r="F98" s="66">
        <v>3.3</v>
      </c>
      <c r="G98" s="283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3">
        <f>L86</f>
        <v>11.753463927376981</v>
      </c>
      <c r="D99" s="76">
        <v>7.0748963161746765</v>
      </c>
      <c r="E99" s="76"/>
      <c r="F99" s="70">
        <f>[21]May_2022!$M$43</f>
        <v>3.4878406700073312</v>
      </c>
      <c r="G99" s="283">
        <f>[23]January_2025!$Y$43</f>
        <v>13.316265196436897</v>
      </c>
      <c r="H99" s="76">
        <v>1.4270716225331497</v>
      </c>
      <c r="I99" s="76"/>
      <c r="J99" s="70">
        <v>5.5</v>
      </c>
      <c r="K99" s="67">
        <f>K86</f>
        <v>0.64807017543859646</v>
      </c>
      <c r="L99" s="194">
        <v>0.66824561403508764</v>
      </c>
      <c r="M99" s="194"/>
      <c r="N99" s="68">
        <v>1</v>
      </c>
      <c r="P99" s="69"/>
    </row>
    <row r="100" spans="2:16">
      <c r="B100" s="37" t="s">
        <v>16</v>
      </c>
      <c r="C100" s="65">
        <f>L84</f>
        <v>2.9097963142580152</v>
      </c>
      <c r="D100" s="76">
        <v>1.4603960396039548</v>
      </c>
      <c r="E100" s="76"/>
      <c r="F100" s="70">
        <v>3.3</v>
      </c>
      <c r="G100" s="283">
        <f>[23]January_2025!$Y$63</f>
        <v>3.4369424359094838</v>
      </c>
      <c r="H100" s="76">
        <v>4.0624079285034069</v>
      </c>
      <c r="I100" s="76"/>
      <c r="J100" s="70">
        <v>3.3</v>
      </c>
      <c r="K100" s="67">
        <f>[24]January_2025!$Y$53</f>
        <v>0.70245614035087711</v>
      </c>
      <c r="L100" s="194">
        <v>0.69842105263157894</v>
      </c>
      <c r="M100" s="194"/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/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6.7275556802816645</v>
      </c>
      <c r="E102" s="76"/>
      <c r="F102" s="342">
        <v>4.5</v>
      </c>
      <c r="G102" s="74"/>
      <c r="H102" s="76">
        <v>6.9593481484924711</v>
      </c>
      <c r="I102" s="76"/>
      <c r="J102" s="343">
        <v>4.5</v>
      </c>
      <c r="K102" s="67"/>
      <c r="L102" s="194">
        <v>0.80685146198830426</v>
      </c>
      <c r="M102" s="194"/>
      <c r="N102" s="387">
        <v>1</v>
      </c>
      <c r="O102" s="74"/>
      <c r="P102" s="75"/>
    </row>
    <row r="107" spans="2:16">
      <c r="F107" s="316"/>
    </row>
    <row r="115" spans="30:30">
      <c r="AD115" s="276" t="s">
        <v>57</v>
      </c>
    </row>
  </sheetData>
  <mergeCells count="52"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  <mergeCell ref="D77:E77"/>
    <mergeCell ref="B82:B83"/>
    <mergeCell ref="C82:C83"/>
    <mergeCell ref="D82:D83"/>
    <mergeCell ref="E82:E83"/>
    <mergeCell ref="B67:B76"/>
    <mergeCell ref="D67:E68"/>
    <mergeCell ref="J67:K67"/>
    <mergeCell ref="L68:N68"/>
    <mergeCell ref="D69:E70"/>
    <mergeCell ref="D71:E72"/>
    <mergeCell ref="D73:E74"/>
    <mergeCell ref="D75:E76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7:B78">
    <cfRule type="cellIs" dxfId="1051" priority="165" operator="notBetween">
      <formula>#REF!</formula>
      <formula>#REF!</formula>
    </cfRule>
  </conditionalFormatting>
  <conditionalFormatting sqref="C81">
    <cfRule type="cellIs" dxfId="1050" priority="196" stopIfTrue="1" operator="lessThan">
      <formula>96</formula>
    </cfRule>
    <cfRule type="cellIs" dxfId="1049" priority="197" stopIfTrue="1" operator="greaterThan">
      <formula>100</formula>
    </cfRule>
  </conditionalFormatting>
  <conditionalFormatting sqref="C94">
    <cfRule type="cellIs" dxfId="1048" priority="85" stopIfTrue="1" operator="greaterThan">
      <formula>$F94</formula>
    </cfRule>
  </conditionalFormatting>
  <conditionalFormatting sqref="C94:C95">
    <cfRule type="cellIs" dxfId="1047" priority="86" stopIfTrue="1" operator="lessThanOrEqual">
      <formula>0</formula>
    </cfRule>
  </conditionalFormatting>
  <conditionalFormatting sqref="C95">
    <cfRule type="cellIs" dxfId="1046" priority="200" stopIfTrue="1" operator="greaterThan">
      <formula>$F94</formula>
    </cfRule>
  </conditionalFormatting>
  <conditionalFormatting sqref="C96:C98">
    <cfRule type="cellIs" dxfId="1045" priority="115" stopIfTrue="1" operator="greaterThan">
      <formula>$F96</formula>
    </cfRule>
  </conditionalFormatting>
  <conditionalFormatting sqref="C96:C99">
    <cfRule type="cellIs" dxfId="1044" priority="138" stopIfTrue="1" operator="lessThanOrEqual">
      <formula>0</formula>
    </cfRule>
  </conditionalFormatting>
  <conditionalFormatting sqref="C99">
    <cfRule type="cellIs" dxfId="1043" priority="137" stopIfTrue="1" operator="greaterThan">
      <formula>$J99</formula>
    </cfRule>
  </conditionalFormatting>
  <conditionalFormatting sqref="C105:C109">
    <cfRule type="cellIs" dxfId="1042" priority="188" stopIfTrue="1" operator="lessThanOrEqual">
      <formula>0</formula>
    </cfRule>
  </conditionalFormatting>
  <conditionalFormatting sqref="C106:C109">
    <cfRule type="cellIs" dxfId="1041" priority="187" stopIfTrue="1" operator="greaterThan">
      <formula>$F$105</formula>
    </cfRule>
  </conditionalFormatting>
  <conditionalFormatting sqref="C111">
    <cfRule type="cellIs" dxfId="1040" priority="189" stopIfTrue="1" operator="greaterThan">
      <formula>$F$105</formula>
    </cfRule>
    <cfRule type="cellIs" dxfId="1039" priority="190" stopIfTrue="1" operator="lessThanOrEqual">
      <formula>0</formula>
    </cfRule>
  </conditionalFormatting>
  <conditionalFormatting sqref="C105:D105 D107:D113">
    <cfRule type="cellIs" dxfId="1038" priority="182" stopIfTrue="1" operator="greaterThan">
      <formula>4.5</formula>
    </cfRule>
  </conditionalFormatting>
  <conditionalFormatting sqref="D77:D78">
    <cfRule type="cellIs" dxfId="1037" priority="166" operator="notBetween">
      <formula>#REF!</formula>
      <formula>#REF!</formula>
    </cfRule>
  </conditionalFormatting>
  <conditionalFormatting sqref="D94:D101">
    <cfRule type="cellIs" dxfId="1036" priority="152" stopIfTrue="1" operator="lessThanOrEqual">
      <formula>0</formula>
    </cfRule>
  </conditionalFormatting>
  <conditionalFormatting sqref="D102">
    <cfRule type="cellIs" dxfId="1035" priority="151" stopIfTrue="1" operator="lessThanOrEqual">
      <formula>0</formula>
    </cfRule>
  </conditionalFormatting>
  <conditionalFormatting sqref="D105 D107:D113">
    <cfRule type="cellIs" dxfId="1034" priority="183" stopIfTrue="1" operator="lessThanOrEqual">
      <formula>0</formula>
    </cfRule>
  </conditionalFormatting>
  <conditionalFormatting sqref="D106">
    <cfRule type="cellIs" dxfId="1033" priority="175" stopIfTrue="1" operator="lessThanOrEqual">
      <formula>0</formula>
    </cfRule>
    <cfRule type="cellIs" dxfId="1032" priority="174" stopIfTrue="1" operator="greaterThan">
      <formula>$F$105</formula>
    </cfRule>
  </conditionalFormatting>
  <conditionalFormatting sqref="D94:E102">
    <cfRule type="cellIs" dxfId="1031" priority="144" stopIfTrue="1" operator="greaterThan">
      <formula>$F94</formula>
    </cfRule>
  </conditionalFormatting>
  <conditionalFormatting sqref="E10:E52">
    <cfRule type="cellIs" dxfId="1030" priority="21" operator="lessThan">
      <formula>48</formula>
    </cfRule>
  </conditionalFormatting>
  <conditionalFormatting sqref="E81">
    <cfRule type="cellIs" dxfId="1029" priority="176" stopIfTrue="1" operator="lessThan">
      <formula>96.8</formula>
    </cfRule>
    <cfRule type="cellIs" dxfId="1028" priority="177" stopIfTrue="1" operator="greaterThan">
      <formula>100</formula>
    </cfRule>
  </conditionalFormatting>
  <conditionalFormatting sqref="E94:E102">
    <cfRule type="cellIs" dxfId="1027" priority="145" stopIfTrue="1" operator="lessThanOrEqual">
      <formula>0</formula>
    </cfRule>
  </conditionalFormatting>
  <conditionalFormatting sqref="E105:E113">
    <cfRule type="cellIs" dxfId="1026" priority="169" stopIfTrue="1" operator="lessThanOrEqual">
      <formula>0</formula>
    </cfRule>
    <cfRule type="cellIs" dxfId="1025" priority="168" stopIfTrue="1" operator="greaterThan">
      <formula>4.5</formula>
    </cfRule>
  </conditionalFormatting>
  <conditionalFormatting sqref="E80:F81">
    <cfRule type="cellIs" dxfId="1024" priority="178" stopIfTrue="1" operator="lessThan">
      <formula>96.5</formula>
    </cfRule>
    <cfRule type="cellIs" dxfId="1023" priority="179" stopIfTrue="1" operator="greaterThan">
      <formula>100</formula>
    </cfRule>
  </conditionalFormatting>
  <conditionalFormatting sqref="F10:F37">
    <cfRule type="cellIs" dxfId="1022" priority="39" operator="greaterThan">
      <formula>60</formula>
    </cfRule>
  </conditionalFormatting>
  <conditionalFormatting sqref="F38">
    <cfRule type="cellIs" dxfId="1021" priority="208" operator="greaterThan">
      <formula>$AA38</formula>
    </cfRule>
    <cfRule type="cellIs" dxfId="1020" priority="209" operator="greaterThan">
      <formula>$AA89</formula>
    </cfRule>
  </conditionalFormatting>
  <conditionalFormatting sqref="F39:F51">
    <cfRule type="cellIs" dxfId="1019" priority="23" operator="greaterThan">
      <formula>60</formula>
    </cfRule>
  </conditionalFormatting>
  <conditionalFormatting sqref="F52">
    <cfRule type="cellIs" dxfId="1018" priority="201" operator="greaterThan">
      <formula>$AA91</formula>
    </cfRule>
    <cfRule type="cellIs" dxfId="1017" priority="72" operator="greaterThan">
      <formula>$AA52</formula>
    </cfRule>
  </conditionalFormatting>
  <conditionalFormatting sqref="F81">
    <cfRule type="cellIs" dxfId="1016" priority="195" stopIfTrue="1" operator="greaterThan">
      <formula>100</formula>
    </cfRule>
    <cfRule type="cellIs" dxfId="1015" priority="194" stopIfTrue="1" operator="lessThan">
      <formula>96.8</formula>
    </cfRule>
  </conditionalFormatting>
  <conditionalFormatting sqref="F102">
    <cfRule type="cellIs" dxfId="1014" priority="146" stopIfTrue="1" operator="greaterThan">
      <formula>$F102</formula>
    </cfRule>
    <cfRule type="cellIs" dxfId="1013" priority="147" stopIfTrue="1" operator="lessThanOrEqual">
      <formula>0</formula>
    </cfRule>
  </conditionalFormatting>
  <conditionalFormatting sqref="G94:G95 C100:C102">
    <cfRule type="cellIs" dxfId="1012" priority="153" stopIfTrue="1" operator="greaterThan">
      <formula>$F94</formula>
    </cfRule>
    <cfRule type="cellIs" dxfId="1011" priority="154" stopIfTrue="1" operator="lessThanOrEqual">
      <formula>0</formula>
    </cfRule>
  </conditionalFormatting>
  <conditionalFormatting sqref="G94:G95">
    <cfRule type="cellIs" dxfId="1010" priority="94" stopIfTrue="1" operator="lessThanOrEqual">
      <formula>0</formula>
    </cfRule>
    <cfRule type="cellIs" dxfId="1009" priority="93" stopIfTrue="1" operator="greaterThan">
      <formula>$F94</formula>
    </cfRule>
  </conditionalFormatting>
  <conditionalFormatting sqref="G96">
    <cfRule type="cellIs" dxfId="1008" priority="199" stopIfTrue="1" operator="lessThanOrEqual">
      <formula>0</formula>
    </cfRule>
    <cfRule type="cellIs" dxfId="1007" priority="198" stopIfTrue="1" operator="greaterThan">
      <formula>$F95</formula>
    </cfRule>
  </conditionalFormatting>
  <conditionalFormatting sqref="G97">
    <cfRule type="cellIs" dxfId="1006" priority="148" stopIfTrue="1" operator="greaterThan">
      <formula>$F97</formula>
    </cfRule>
    <cfRule type="cellIs" dxfId="1005" priority="149" stopIfTrue="1" operator="lessThanOrEqual">
      <formula>0</formula>
    </cfRule>
  </conditionalFormatting>
  <conditionalFormatting sqref="G98:G101">
    <cfRule type="cellIs" dxfId="1004" priority="157" stopIfTrue="1" operator="lessThanOrEqual">
      <formula>0</formula>
    </cfRule>
    <cfRule type="cellIs" dxfId="1003" priority="156" stopIfTrue="1" operator="greaterThan">
      <formula>$J98</formula>
    </cfRule>
  </conditionalFormatting>
  <conditionalFormatting sqref="G102">
    <cfRule type="cellIs" dxfId="1002" priority="155" operator="greaterThan">
      <formula>4.5</formula>
    </cfRule>
  </conditionalFormatting>
  <conditionalFormatting sqref="G107:G112 C110 C112">
    <cfRule type="cellIs" dxfId="1001" priority="192" stopIfTrue="1" operator="lessThanOrEqual">
      <formula>0</formula>
    </cfRule>
    <cfRule type="cellIs" dxfId="1000" priority="191" stopIfTrue="1" operator="greaterThan">
      <formula>4.5</formula>
    </cfRule>
  </conditionalFormatting>
  <conditionalFormatting sqref="G10:H52">
    <cfRule type="expression" dxfId="999" priority="25">
      <formula>IF(+(IF(G10&lt;#REF!,0,IF(G10&gt;#REF!,0,1)))=0,1)</formula>
    </cfRule>
  </conditionalFormatting>
  <conditionalFormatting sqref="G106:H106">
    <cfRule type="cellIs" dxfId="998" priority="172" stopIfTrue="1" operator="greaterThan">
      <formula>$F$105</formula>
    </cfRule>
    <cfRule type="cellIs" dxfId="997" priority="173" stopIfTrue="1" operator="lessThanOrEqual">
      <formula>0</formula>
    </cfRule>
  </conditionalFormatting>
  <conditionalFormatting sqref="H56:H66 G67:H68 G69:G78">
    <cfRule type="cellIs" dxfId="996" priority="170" stopIfTrue="1" operator="greaterThan">
      <formula>0</formula>
    </cfRule>
  </conditionalFormatting>
  <conditionalFormatting sqref="H84">
    <cfRule type="cellIs" dxfId="995" priority="83" stopIfTrue="1" operator="greaterThan">
      <formula>#REF!</formula>
    </cfRule>
    <cfRule type="cellIs" dxfId="994" priority="84" stopIfTrue="1" operator="lessThanOrEqual">
      <formula>0</formula>
    </cfRule>
    <cfRule type="cellIs" dxfId="993" priority="75" stopIfTrue="1" operator="greaterThan">
      <formula>#REF!</formula>
    </cfRule>
    <cfRule type="cellIs" dxfId="992" priority="74" stopIfTrue="1" operator="lessThanOrEqual">
      <formula>0</formula>
    </cfRule>
  </conditionalFormatting>
  <conditionalFormatting sqref="H85">
    <cfRule type="cellIs" dxfId="991" priority="111" stopIfTrue="1" operator="greaterThan">
      <formula>$F$96</formula>
    </cfRule>
    <cfRule type="cellIs" dxfId="990" priority="114" stopIfTrue="1" operator="lessThanOrEqual">
      <formula>0</formula>
    </cfRule>
    <cfRule type="cellIs" dxfId="989" priority="113" stopIfTrue="1" operator="greaterThan">
      <formula>$F$94</formula>
    </cfRule>
    <cfRule type="cellIs" dxfId="988" priority="102" stopIfTrue="1" operator="lessThanOrEqual">
      <formula>0</formula>
    </cfRule>
    <cfRule type="cellIs" dxfId="987" priority="103" stopIfTrue="1" operator="greaterThan">
      <formula>$F$93</formula>
    </cfRule>
    <cfRule type="cellIs" dxfId="986" priority="112" stopIfTrue="1" operator="lessThanOrEqual">
      <formula>0</formula>
    </cfRule>
  </conditionalFormatting>
  <conditionalFormatting sqref="H86">
    <cfRule type="cellIs" dxfId="985" priority="12" stopIfTrue="1" operator="lessThanOrEqual">
      <formula>0</formula>
    </cfRule>
    <cfRule type="cellIs" dxfId="984" priority="14" stopIfTrue="1" operator="lessThanOrEqual">
      <formula>0</formula>
    </cfRule>
    <cfRule type="cellIs" dxfId="983" priority="13" stopIfTrue="1" operator="greaterThan">
      <formula>$F$70</formula>
    </cfRule>
    <cfRule type="cellIs" dxfId="982" priority="11" stopIfTrue="1" operator="greaterThan">
      <formula>$F$72</formula>
    </cfRule>
    <cfRule type="cellIs" dxfId="981" priority="3" stopIfTrue="1" operator="greaterThan">
      <formula>$F$69</formula>
    </cfRule>
    <cfRule type="cellIs" dxfId="980" priority="2" stopIfTrue="1" operator="lessThanOrEqual">
      <formula>0</formula>
    </cfRule>
  </conditionalFormatting>
  <conditionalFormatting sqref="H87">
    <cfRule type="cellIs" dxfId="979" priority="71" stopIfTrue="1" operator="lessThanOrEqual">
      <formula>0</formula>
    </cfRule>
    <cfRule type="cellIs" dxfId="978" priority="70" stopIfTrue="1" operator="greaterThan">
      <formula>#REF!</formula>
    </cfRule>
    <cfRule type="cellIs" dxfId="977" priority="62" stopIfTrue="1" operator="greaterThan">
      <formula>#REF!</formula>
    </cfRule>
    <cfRule type="cellIs" dxfId="976" priority="61" stopIfTrue="1" operator="lessThanOrEqual">
      <formula>0</formula>
    </cfRule>
  </conditionalFormatting>
  <conditionalFormatting sqref="H88:H89">
    <cfRule type="cellIs" dxfId="975" priority="132" stopIfTrue="1" operator="lessThanOrEqual">
      <formula>0</formula>
    </cfRule>
    <cfRule type="cellIs" dxfId="974" priority="97" stopIfTrue="1" operator="lessThanOrEqual">
      <formula>0</formula>
    </cfRule>
    <cfRule type="cellIs" dxfId="973" priority="123" stopIfTrue="1" operator="greaterThan">
      <formula>$F$94</formula>
    </cfRule>
    <cfRule type="cellIs" dxfId="972" priority="134" stopIfTrue="1" operator="lessThanOrEqual">
      <formula>0</formula>
    </cfRule>
    <cfRule type="cellIs" dxfId="971" priority="133" stopIfTrue="1" operator="greaterThan">
      <formula>$F$95</formula>
    </cfRule>
    <cfRule type="cellIs" dxfId="970" priority="131" stopIfTrue="1" operator="greaterThan">
      <formula>$F$97</formula>
    </cfRule>
  </conditionalFormatting>
  <conditionalFormatting sqref="H90">
    <cfRule type="cellIs" dxfId="969" priority="162" stopIfTrue="1" operator="lessThanOrEqual">
      <formula>0</formula>
    </cfRule>
    <cfRule type="cellIs" dxfId="968" priority="161" stopIfTrue="1" operator="greaterThan">
      <formula>$F$91</formula>
    </cfRule>
    <cfRule type="cellIs" dxfId="967" priority="163" stopIfTrue="1" operator="greaterThan">
      <formula>$F$87</formula>
    </cfRule>
    <cfRule type="cellIs" dxfId="966" priority="164" stopIfTrue="1" operator="lessThanOrEqual">
      <formula>0</formula>
    </cfRule>
  </conditionalFormatting>
  <conditionalFormatting sqref="H94:H101">
    <cfRule type="cellIs" dxfId="965" priority="136" stopIfTrue="1" operator="lessThanOrEqual">
      <formula>0</formula>
    </cfRule>
    <cfRule type="cellIs" dxfId="964" priority="135" stopIfTrue="1" operator="greaterThan">
      <formula>$J94</formula>
    </cfRule>
  </conditionalFormatting>
  <conditionalFormatting sqref="H102">
    <cfRule type="cellIs" dxfId="963" priority="141" operator="greaterThan">
      <formula>5.3</formula>
    </cfRule>
  </conditionalFormatting>
  <conditionalFormatting sqref="H105 H107:H113">
    <cfRule type="cellIs" dxfId="962" priority="184" stopIfTrue="1" operator="greaterThan">
      <formula>4.5</formula>
    </cfRule>
    <cfRule type="cellIs" dxfId="961" priority="185" stopIfTrue="1" operator="lessThanOrEqual">
      <formula>0</formula>
    </cfRule>
  </conditionalFormatting>
  <conditionalFormatting sqref="H84:I84">
    <cfRule type="cellIs" dxfId="960" priority="82" stopIfTrue="1" operator="lessThanOrEqual">
      <formula>0</formula>
    </cfRule>
    <cfRule type="cellIs" dxfId="959" priority="73" stopIfTrue="1" operator="greaterThan">
      <formula>#REF!</formula>
    </cfRule>
    <cfRule type="cellIs" dxfId="958" priority="76" stopIfTrue="1" operator="lessThanOrEqual">
      <formula>0</formula>
    </cfRule>
    <cfRule type="cellIs" dxfId="957" priority="77" stopIfTrue="1" operator="greaterThan">
      <formula>#REF!</formula>
    </cfRule>
  </conditionalFormatting>
  <conditionalFormatting sqref="H85:I85">
    <cfRule type="cellIs" dxfId="956" priority="101" stopIfTrue="1" operator="greaterThan">
      <formula>$F$95</formula>
    </cfRule>
    <cfRule type="cellIs" dxfId="955" priority="104" stopIfTrue="1" operator="lessThanOrEqual">
      <formula>0</formula>
    </cfRule>
  </conditionalFormatting>
  <conditionalFormatting sqref="H86:I86">
    <cfRule type="cellIs" dxfId="954" priority="4" stopIfTrue="1" operator="lessThanOrEqual">
      <formula>0</formula>
    </cfRule>
    <cfRule type="cellIs" dxfId="953" priority="1" stopIfTrue="1" operator="greaterThan">
      <formula>$F$71</formula>
    </cfRule>
  </conditionalFormatting>
  <conditionalFormatting sqref="H87:I87">
    <cfRule type="cellIs" dxfId="952" priority="69" stopIfTrue="1" operator="lessThanOrEqual">
      <formula>0</formula>
    </cfRule>
    <cfRule type="cellIs" dxfId="951" priority="66" stopIfTrue="1" operator="greaterThan">
      <formula>#REF!</formula>
    </cfRule>
    <cfRule type="cellIs" dxfId="950" priority="63" stopIfTrue="1" operator="lessThanOrEqual">
      <formula>0</formula>
    </cfRule>
    <cfRule type="cellIs" dxfId="949" priority="60" stopIfTrue="1" operator="greaterThan">
      <formula>#REF!</formula>
    </cfRule>
  </conditionalFormatting>
  <conditionalFormatting sqref="H88:I88">
    <cfRule type="cellIs" dxfId="948" priority="124" stopIfTrue="1" operator="lessThanOrEqual">
      <formula>0</formula>
    </cfRule>
  </conditionalFormatting>
  <conditionalFormatting sqref="H88:I89">
    <cfRule type="cellIs" dxfId="947" priority="95" stopIfTrue="1" operator="greaterThan">
      <formula>$F$96</formula>
    </cfRule>
  </conditionalFormatting>
  <conditionalFormatting sqref="H89:I89">
    <cfRule type="cellIs" dxfId="946" priority="96" stopIfTrue="1" operator="lessThanOrEqual">
      <formula>0</formula>
    </cfRule>
  </conditionalFormatting>
  <conditionalFormatting sqref="I38 I52">
    <cfRule type="cellIs" dxfId="945" priority="87" operator="lessThan">
      <formula>97.8</formula>
    </cfRule>
    <cfRule type="cellIs" dxfId="944" priority="90" operator="lessThan">
      <formula>98</formula>
    </cfRule>
  </conditionalFormatting>
  <conditionalFormatting sqref="I84">
    <cfRule type="cellIs" dxfId="943" priority="81" stopIfTrue="1" operator="greaterThan">
      <formula>#REF!</formula>
    </cfRule>
    <cfRule type="cellIs" dxfId="942" priority="79" stopIfTrue="1" operator="greaterThan">
      <formula>#REF!</formula>
    </cfRule>
    <cfRule type="cellIs" dxfId="941" priority="80" stopIfTrue="1" operator="lessThanOrEqual">
      <formula>0</formula>
    </cfRule>
    <cfRule type="cellIs" dxfId="940" priority="78" stopIfTrue="1" operator="lessThanOrEqual">
      <formula>0</formula>
    </cfRule>
  </conditionalFormatting>
  <conditionalFormatting sqref="I85">
    <cfRule type="cellIs" dxfId="939" priority="110" stopIfTrue="1" operator="lessThanOrEqual">
      <formula>0</formula>
    </cfRule>
    <cfRule type="cellIs" dxfId="938" priority="109" stopIfTrue="1" operator="greaterThan">
      <formula>$F$93</formula>
    </cfRule>
    <cfRule type="cellIs" dxfId="937" priority="108" stopIfTrue="1" operator="lessThanOrEqual">
      <formula>0</formula>
    </cfRule>
    <cfRule type="cellIs" dxfId="936" priority="107" stopIfTrue="1" operator="greaterThan">
      <formula>$F$95</formula>
    </cfRule>
    <cfRule type="cellIs" dxfId="935" priority="106" stopIfTrue="1" operator="lessThanOrEqual">
      <formula>0</formula>
    </cfRule>
    <cfRule type="cellIs" dxfId="934" priority="105" stopIfTrue="1" operator="greaterThan">
      <formula>$F$93</formula>
    </cfRule>
  </conditionalFormatting>
  <conditionalFormatting sqref="I86">
    <cfRule type="cellIs" dxfId="933" priority="5" stopIfTrue="1" operator="greaterThan">
      <formula>$F$69</formula>
    </cfRule>
    <cfRule type="cellIs" dxfId="932" priority="6" stopIfTrue="1" operator="lessThanOrEqual">
      <formula>0</formula>
    </cfRule>
    <cfRule type="cellIs" dxfId="931" priority="7" stopIfTrue="1" operator="greaterThan">
      <formula>$F$71</formula>
    </cfRule>
    <cfRule type="cellIs" dxfId="930" priority="8" stopIfTrue="1" operator="lessThanOrEqual">
      <formula>0</formula>
    </cfRule>
    <cfRule type="cellIs" dxfId="929" priority="9" stopIfTrue="1" operator="greaterThan">
      <formula>$F$69</formula>
    </cfRule>
    <cfRule type="cellIs" dxfId="928" priority="10" stopIfTrue="1" operator="lessThanOrEqual">
      <formula>0</formula>
    </cfRule>
  </conditionalFormatting>
  <conditionalFormatting sqref="I87">
    <cfRule type="cellIs" dxfId="927" priority="67" stopIfTrue="1" operator="lessThanOrEqual">
      <formula>0</formula>
    </cfRule>
    <cfRule type="cellIs" dxfId="926" priority="68" stopIfTrue="1" operator="greaterThan">
      <formula>#REF!</formula>
    </cfRule>
    <cfRule type="cellIs" dxfId="925" priority="65" stopIfTrue="1" operator="lessThanOrEqual">
      <formula>0</formula>
    </cfRule>
    <cfRule type="cellIs" dxfId="924" priority="64" stopIfTrue="1" operator="greaterThan">
      <formula>#REF!</formula>
    </cfRule>
  </conditionalFormatting>
  <conditionalFormatting sqref="I88:I89">
    <cfRule type="cellIs" dxfId="923" priority="129" stopIfTrue="1" operator="greaterThan">
      <formula>$F$94</formula>
    </cfRule>
    <cfRule type="cellIs" dxfId="922" priority="130" stopIfTrue="1" operator="lessThanOrEqual">
      <formula>0</formula>
    </cfRule>
    <cfRule type="cellIs" dxfId="921" priority="125" stopIfTrue="1" operator="greaterThan">
      <formula>$F$94</formula>
    </cfRule>
    <cfRule type="cellIs" dxfId="920" priority="126" stopIfTrue="1" operator="lessThanOrEqual">
      <formula>0</formula>
    </cfRule>
    <cfRule type="cellIs" dxfId="919" priority="127" stopIfTrue="1" operator="greaterThan">
      <formula>$F$96</formula>
    </cfRule>
    <cfRule type="cellIs" dxfId="918" priority="128" stopIfTrue="1" operator="lessThanOrEqual">
      <formula>0</formula>
    </cfRule>
  </conditionalFormatting>
  <conditionalFormatting sqref="I94:I102">
    <cfRule type="cellIs" dxfId="917" priority="142" stopIfTrue="1" operator="greaterThan">
      <formula>$J94</formula>
    </cfRule>
    <cfRule type="cellIs" dxfId="916" priority="143" stopIfTrue="1" operator="lessThanOrEqual">
      <formula>0</formula>
    </cfRule>
  </conditionalFormatting>
  <conditionalFormatting sqref="I105:I113">
    <cfRule type="cellIs" dxfId="915" priority="180" stopIfTrue="1" operator="greaterThan">
      <formula>4.5</formula>
    </cfRule>
    <cfRule type="cellIs" dxfId="914" priority="181" stopIfTrue="1" operator="lessThanOrEqual">
      <formula>0</formula>
    </cfRule>
  </conditionalFormatting>
  <conditionalFormatting sqref="I10:J37">
    <cfRule type="cellIs" dxfId="913" priority="41" operator="lessThan">
      <formula>97.9</formula>
    </cfRule>
  </conditionalFormatting>
  <conditionalFormatting sqref="I39:J51">
    <cfRule type="cellIs" dxfId="912" priority="24" operator="lessThan">
      <formula>97.9</formula>
    </cfRule>
  </conditionalFormatting>
  <conditionalFormatting sqref="J38 J52">
    <cfRule type="cellIs" dxfId="911" priority="88" operator="notBetween">
      <formula>98</formula>
      <formula>99.9</formula>
    </cfRule>
    <cfRule type="cellIs" dxfId="910" priority="89" operator="lessThan">
      <formula>97.4</formula>
    </cfRule>
  </conditionalFormatting>
  <conditionalFormatting sqref="J55:J57">
    <cfRule type="cellIs" dxfId="909" priority="116" stopIfTrue="1" operator="lessThan">
      <formula>96.8</formula>
    </cfRule>
    <cfRule type="cellIs" dxfId="908" priority="118" operator="lessThan">
      <formula>98</formula>
    </cfRule>
    <cfRule type="cellIs" dxfId="907" priority="117" stopIfTrue="1" operator="greaterThan">
      <formula>100</formula>
    </cfRule>
  </conditionalFormatting>
  <conditionalFormatting sqref="J55:J59">
    <cfRule type="cellIs" dxfId="906" priority="92" operator="lessThan">
      <formula>97.4</formula>
    </cfRule>
  </conditionalFormatting>
  <conditionalFormatting sqref="J60">
    <cfRule type="cellIs" dxfId="905" priority="119" operator="lessThan">
      <formula>98</formula>
    </cfRule>
  </conditionalFormatting>
  <conditionalFormatting sqref="J61:J63">
    <cfRule type="cellIs" dxfId="904" priority="120" stopIfTrue="1" operator="lessThan">
      <formula>96.8</formula>
    </cfRule>
    <cfRule type="cellIs" dxfId="903" priority="121" stopIfTrue="1" operator="greaterThan">
      <formula>100</formula>
    </cfRule>
  </conditionalFormatting>
  <conditionalFormatting sqref="J61:J64">
    <cfRule type="cellIs" dxfId="902" priority="122" operator="lessThan">
      <formula>98</formula>
    </cfRule>
  </conditionalFormatting>
  <conditionalFormatting sqref="K10:K52">
    <cfRule type="cellIs" dxfId="901" priority="22" operator="greaterThan">
      <formula>6.4</formula>
    </cfRule>
    <cfRule type="cellIs" dxfId="900" priority="18" operator="lessThan">
      <formula>4</formula>
    </cfRule>
    <cfRule type="cellIs" dxfId="899" priority="17" operator="greaterThan">
      <formula>6</formula>
    </cfRule>
  </conditionalFormatting>
  <conditionalFormatting sqref="K69:K78">
    <cfRule type="cellIs" dxfId="898" priority="150" operator="notEqual">
      <formula>#REF!</formula>
    </cfRule>
  </conditionalFormatting>
  <conditionalFormatting sqref="K84:K89 J90:K90 K94:N102">
    <cfRule type="cellIs" dxfId="897" priority="160" stopIfTrue="1" operator="lessThan">
      <formula>100%</formula>
    </cfRule>
  </conditionalFormatting>
  <conditionalFormatting sqref="K105:K110">
    <cfRule type="cellIs" dxfId="896" priority="186" stopIfTrue="1" operator="lessThan">
      <formula>100%</formula>
    </cfRule>
  </conditionalFormatting>
  <conditionalFormatting sqref="K112:K113">
    <cfRule type="cellIs" dxfId="895" priority="193" stopIfTrue="1" operator="lessThan">
      <formula>100%</formula>
    </cfRule>
  </conditionalFormatting>
  <conditionalFormatting sqref="L10:L52">
    <cfRule type="cellIs" dxfId="894" priority="20" operator="greaterThan">
      <formula>65</formula>
    </cfRule>
    <cfRule type="cellIs" dxfId="893" priority="19" operator="between">
      <formula>61</formula>
      <formula>65</formula>
    </cfRule>
  </conditionalFormatting>
  <conditionalFormatting sqref="L55:M66">
    <cfRule type="cellIs" dxfId="892" priority="47" operator="lessThan">
      <formula>98</formula>
    </cfRule>
  </conditionalFormatting>
  <conditionalFormatting sqref="L70:N70">
    <cfRule type="cellIs" dxfId="891" priority="98" operator="notEqual">
      <formula>#REF!</formula>
    </cfRule>
  </conditionalFormatting>
  <conditionalFormatting sqref="L105:N113">
    <cfRule type="cellIs" dxfId="890" priority="171" stopIfTrue="1" operator="lessThan">
      <formula>100%</formula>
    </cfRule>
  </conditionalFormatting>
  <conditionalFormatting sqref="M10:M52">
    <cfRule type="expression" dxfId="889" priority="15">
      <formula>IF(+(IF(M10&lt;V10,0,IF(M10&gt;W10,0,1)))=0,1)</formula>
    </cfRule>
  </conditionalFormatting>
  <conditionalFormatting sqref="M6:N6">
    <cfRule type="cellIs" dxfId="888" priority="99" operator="greaterThanOrEqual">
      <formula>15</formula>
    </cfRule>
    <cfRule type="cellIs" dxfId="887" priority="100" operator="greaterThanOrEqual">
      <formula>19</formula>
    </cfRule>
  </conditionalFormatting>
  <conditionalFormatting sqref="N10:N52">
    <cfRule type="expression" dxfId="886" priority="16">
      <formula>IF(+(IF(N10&lt;X10,0,IF(N10&gt;Y10,0,1)))=0,1)</formula>
    </cfRule>
  </conditionalFormatting>
  <conditionalFormatting sqref="N27">
    <cfRule type="expression" dxfId="885" priority="204">
      <formula>IF(+(IF(N27&lt;X81,0,IF(N27&gt;Y81,0,1)))=0,1)</formula>
    </cfRule>
    <cfRule type="expression" dxfId="884" priority="205">
      <formula>IF(+(IF(N27&lt;X76,0,IF(N27&gt;Y76,0,1)))=0,1)</formula>
    </cfRule>
  </conditionalFormatting>
  <conditionalFormatting sqref="N28 N37:N38">
    <cfRule type="expression" dxfId="883" priority="202">
      <formula>IF(+(IF(N28&lt;X84,0,IF(N28&gt;Y84,0,1)))=0,1)</formula>
    </cfRule>
    <cfRule type="expression" dxfId="882" priority="203">
      <formula>IF(+(IF(N28&lt;X79,0,IF(N28&gt;Y79,0,1)))=0,1)</formula>
    </cfRule>
  </conditionalFormatting>
  <conditionalFormatting sqref="N52">
    <cfRule type="expression" dxfId="881" priority="206">
      <formula>IF(+(IF(N52&lt;X96,0,IF(N52&gt;Y96,0,1)))=0,1)</formula>
    </cfRule>
    <cfRule type="expression" dxfId="880" priority="207">
      <formula>IF(+(IF(N52&lt;X91,0,IF(N52&gt;Y91,0,1)))=0,1)</formula>
    </cfRule>
  </conditionalFormatting>
  <conditionalFormatting sqref="P6">
    <cfRule type="cellIs" dxfId="879" priority="167" operator="greaterThanOrEqual">
      <formula>19</formula>
    </cfRule>
  </conditionalFormatting>
  <dataValidations count="1">
    <dataValidation type="list" allowBlank="1" showInputMessage="1" showErrorMessage="1" sqref="S8 B52" xr:uid="{B39ED095-E538-42D3-84DD-F2718AA3237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2572-B07C-4F08-AC3D-88D4884D6005}">
  <sheetPr>
    <pageSetUpPr fitToPage="1"/>
  </sheetPr>
  <dimension ref="A1:BF122"/>
  <sheetViews>
    <sheetView topLeftCell="A57" zoomScale="60" zoomScaleNormal="60" workbookViewId="0">
      <selection activeCell="B51" sqref="B51:O51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45681</v>
      </c>
      <c r="D4" s="545"/>
      <c r="J4" s="489" t="s">
        <v>191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190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hidden="1" customHeight="1">
      <c r="B10" s="29"/>
      <c r="C10" s="367"/>
      <c r="D10" s="280"/>
      <c r="E10" s="280"/>
      <c r="F10" s="279"/>
      <c r="G10" s="280"/>
      <c r="H10" s="419"/>
      <c r="I10" s="369"/>
      <c r="J10" s="369"/>
      <c r="K10" s="282"/>
      <c r="L10" s="277"/>
      <c r="M10" s="420"/>
      <c r="N10" s="371"/>
      <c r="O10" s="372"/>
      <c r="P10" s="376"/>
      <c r="Q10" s="348"/>
      <c r="S10" s="278">
        <f t="shared" ref="S10:S44" si="0">B10</f>
        <v>0</v>
      </c>
      <c r="T10" s="297" t="e">
        <f t="shared" ref="T10:T59" si="1">VLOOKUP($B10,$S$3:$Y$9,2,FALSE)</f>
        <v>#N/A</v>
      </c>
      <c r="U10" s="297" t="e">
        <f t="shared" ref="U10:U59" si="2">VLOOKUP($B10,$S$3:$Y$9,3,FALSE)</f>
        <v>#N/A</v>
      </c>
      <c r="V10" s="298" t="e">
        <f t="shared" ref="V10:V59" si="3">VLOOKUP($B10,$S$3:$Y$9,4,FALSE)</f>
        <v>#N/A</v>
      </c>
      <c r="W10" s="298" t="e">
        <f t="shared" ref="W10:W59" si="4">VLOOKUP($B10,$S$3:$Y$9,5,FALSE)</f>
        <v>#N/A</v>
      </c>
      <c r="X10" s="298" t="e">
        <f t="shared" ref="X10:X59" si="5">VLOOKUP($B10,$S$3:$Y$9,6,FALSE)</f>
        <v>#N/A</v>
      </c>
      <c r="Y10" s="298" t="e">
        <f t="shared" ref="Y10:Y59" si="6">VLOOKUP($B10,$S$3:$Y$9,7,FALSE)</f>
        <v>#N/A</v>
      </c>
      <c r="Z10" s="298" t="e">
        <f t="shared" ref="Z10:Z59" si="7">VLOOKUP($B10,$S$3:$AA$9,8,FALSE)</f>
        <v>#N/A</v>
      </c>
      <c r="AA10" s="297" t="e">
        <f t="shared" ref="AA10:AA59" si="8">VLOOKUP($B10,$S$3:$AA$9,9,FALSE)</f>
        <v>#N/A</v>
      </c>
    </row>
    <row r="11" spans="2:30" ht="15.75" hidden="1" customHeight="1">
      <c r="B11" s="29"/>
      <c r="C11" s="367"/>
      <c r="D11" s="280"/>
      <c r="E11" s="280"/>
      <c r="F11" s="279"/>
      <c r="G11" s="280"/>
      <c r="H11" s="419"/>
      <c r="I11" s="369"/>
      <c r="J11" s="369"/>
      <c r="K11" s="282"/>
      <c r="L11" s="277"/>
      <c r="M11" s="420"/>
      <c r="N11" s="371"/>
      <c r="O11" s="372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29"/>
      <c r="C12" s="367"/>
      <c r="D12" s="280"/>
      <c r="E12" s="280"/>
      <c r="F12" s="279"/>
      <c r="G12" s="280"/>
      <c r="H12" s="419"/>
      <c r="I12" s="369"/>
      <c r="J12" s="369"/>
      <c r="K12" s="282"/>
      <c r="L12" s="277"/>
      <c r="M12" s="420"/>
      <c r="N12" s="371"/>
      <c r="O12" s="372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29"/>
      <c r="C13" s="367"/>
      <c r="D13" s="280"/>
      <c r="E13" s="280"/>
      <c r="F13" s="279"/>
      <c r="G13" s="280"/>
      <c r="H13" s="368"/>
      <c r="I13" s="369"/>
      <c r="J13" s="369"/>
      <c r="K13" s="282"/>
      <c r="L13" s="277"/>
      <c r="M13" s="420"/>
      <c r="N13" s="371"/>
      <c r="O13" s="372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368"/>
      <c r="I14" s="369"/>
      <c r="J14" s="369"/>
      <c r="K14" s="282"/>
      <c r="L14" s="277"/>
      <c r="M14" s="420"/>
      <c r="N14" s="371"/>
      <c r="O14" s="372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19"/>
      <c r="I15" s="369"/>
      <c r="J15" s="369"/>
      <c r="K15" s="282"/>
      <c r="L15" s="277"/>
      <c r="M15" s="420"/>
      <c r="N15" s="371"/>
      <c r="O15" s="372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0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29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9"/>
      <c r="C20" s="367"/>
      <c r="D20" s="280"/>
      <c r="E20" s="280"/>
      <c r="F20" s="279"/>
      <c r="G20" s="280"/>
      <c r="H20" s="419"/>
      <c r="I20" s="369"/>
      <c r="J20" s="369"/>
      <c r="K20" s="282"/>
      <c r="L20" s="277"/>
      <c r="M20" s="420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29"/>
      <c r="C21" s="367"/>
      <c r="D21" s="280"/>
      <c r="E21" s="280"/>
      <c r="F21" s="279"/>
      <c r="G21" s="280"/>
      <c r="H21" s="419"/>
      <c r="I21" s="369"/>
      <c r="J21" s="369"/>
      <c r="K21" s="282"/>
      <c r="L21" s="277"/>
      <c r="M21" s="420"/>
      <c r="N21" s="371"/>
      <c r="O21" s="372"/>
      <c r="P21" s="376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29"/>
      <c r="C22" s="367"/>
      <c r="D22" s="280"/>
      <c r="E22" s="280"/>
      <c r="F22" s="279"/>
      <c r="G22" s="280"/>
      <c r="H22" s="419"/>
      <c r="I22" s="369"/>
      <c r="J22" s="369"/>
      <c r="K22" s="282"/>
      <c r="L22" s="277"/>
      <c r="M22" s="420"/>
      <c r="N22" s="371"/>
      <c r="O22" s="372"/>
      <c r="P22" s="376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29"/>
      <c r="C23" s="367"/>
      <c r="D23" s="280"/>
      <c r="E23" s="280"/>
      <c r="F23" s="279"/>
      <c r="G23" s="280"/>
      <c r="H23" s="419"/>
      <c r="I23" s="369"/>
      <c r="J23" s="369"/>
      <c r="K23" s="282"/>
      <c r="L23" s="277"/>
      <c r="M23" s="420"/>
      <c r="N23" s="371"/>
      <c r="O23" s="372"/>
      <c r="P23" s="376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29"/>
      <c r="C24" s="367"/>
      <c r="D24" s="280"/>
      <c r="E24" s="280"/>
      <c r="F24" s="279"/>
      <c r="G24" s="280"/>
      <c r="H24" s="419"/>
      <c r="I24" s="369"/>
      <c r="J24" s="369"/>
      <c r="K24" s="282"/>
      <c r="L24" s="277"/>
      <c r="M24" s="420"/>
      <c r="N24" s="371"/>
      <c r="O24" s="372"/>
      <c r="P24" s="376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29"/>
      <c r="C25" s="367"/>
      <c r="D25" s="280"/>
      <c r="E25" s="280"/>
      <c r="F25" s="279"/>
      <c r="G25" s="280"/>
      <c r="H25" s="419"/>
      <c r="I25" s="369"/>
      <c r="J25" s="369"/>
      <c r="K25" s="282"/>
      <c r="L25" s="277"/>
      <c r="M25" s="420"/>
      <c r="N25" s="371"/>
      <c r="O25" s="372"/>
      <c r="P25" s="376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hidden="1" customHeight="1">
      <c r="B26" s="29"/>
      <c r="C26" s="367"/>
      <c r="D26" s="280"/>
      <c r="E26" s="280"/>
      <c r="F26" s="279"/>
      <c r="G26" s="280"/>
      <c r="H26" s="419"/>
      <c r="I26" s="369"/>
      <c r="J26" s="369"/>
      <c r="K26" s="282"/>
      <c r="L26" s="277"/>
      <c r="M26" s="420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5.75" hidden="1" customHeight="1">
      <c r="B27" s="29"/>
      <c r="C27" s="367"/>
      <c r="D27" s="280"/>
      <c r="E27" s="280"/>
      <c r="F27" s="279"/>
      <c r="G27" s="280"/>
      <c r="H27" s="419"/>
      <c r="I27" s="369"/>
      <c r="J27" s="369"/>
      <c r="K27" s="282"/>
      <c r="L27" s="277"/>
      <c r="M27" s="420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5.75" hidden="1" customHeight="1">
      <c r="B28" s="29"/>
      <c r="C28" s="367"/>
      <c r="D28" s="280"/>
      <c r="E28" s="280"/>
      <c r="F28" s="279"/>
      <c r="G28" s="280"/>
      <c r="H28" s="419"/>
      <c r="I28" s="369"/>
      <c r="J28" s="369"/>
      <c r="K28" s="282"/>
      <c r="L28" s="277"/>
      <c r="M28" s="420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29"/>
      <c r="C29" s="367"/>
      <c r="D29" s="280"/>
      <c r="E29" s="280"/>
      <c r="F29" s="279"/>
      <c r="G29" s="280"/>
      <c r="H29" s="419"/>
      <c r="I29" s="369"/>
      <c r="J29" s="369"/>
      <c r="K29" s="282"/>
      <c r="L29" s="277"/>
      <c r="M29" s="420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5.75" hidden="1" customHeight="1">
      <c r="B30" s="29"/>
      <c r="C30" s="367"/>
      <c r="D30" s="280"/>
      <c r="E30" s="280"/>
      <c r="F30" s="279"/>
      <c r="G30" s="280"/>
      <c r="H30" s="419"/>
      <c r="I30" s="512"/>
      <c r="J30" s="512"/>
      <c r="K30" s="422"/>
      <c r="L30" s="277"/>
      <c r="M30" s="375"/>
      <c r="N30" s="371"/>
      <c r="O30" s="513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hidden="1" customHeight="1">
      <c r="B31" s="37"/>
      <c r="C31" s="367"/>
      <c r="D31" s="280"/>
      <c r="E31" s="280"/>
      <c r="F31" s="279"/>
      <c r="G31" s="280"/>
      <c r="H31" s="419"/>
      <c r="I31" s="369"/>
      <c r="J31" s="369"/>
      <c r="K31" s="282"/>
      <c r="L31" s="277"/>
      <c r="M31" s="518"/>
      <c r="N31" s="519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hidden="1" customHeight="1">
      <c r="B32" s="37"/>
      <c r="C32" s="367"/>
      <c r="D32" s="280"/>
      <c r="E32" s="280"/>
      <c r="F32" s="279"/>
      <c r="G32" s="280"/>
      <c r="H32" s="419"/>
      <c r="I32" s="369"/>
      <c r="J32" s="369"/>
      <c r="K32" s="282"/>
      <c r="L32" s="277"/>
      <c r="M32" s="518"/>
      <c r="N32" s="519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5.75" hidden="1" customHeight="1">
      <c r="B33" s="37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518"/>
      <c r="N33" s="519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5.75" hidden="1" customHeight="1">
      <c r="B34" s="37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518"/>
      <c r="N34" s="519"/>
      <c r="O34" s="372"/>
      <c r="P34" s="376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5.75" hidden="1" customHeight="1">
      <c r="B35" s="37"/>
      <c r="C35" s="367"/>
      <c r="D35" s="280"/>
      <c r="E35" s="280"/>
      <c r="F35" s="279"/>
      <c r="G35" s="280"/>
      <c r="H35" s="419"/>
      <c r="I35" s="369"/>
      <c r="J35" s="369"/>
      <c r="K35" s="393"/>
      <c r="L35" s="277"/>
      <c r="M35" s="518"/>
      <c r="N35" s="519"/>
      <c r="O35" s="372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5.75" hidden="1" customHeight="1">
      <c r="B36" s="37"/>
      <c r="C36" s="367"/>
      <c r="D36" s="280"/>
      <c r="E36" s="280"/>
      <c r="F36" s="279"/>
      <c r="G36" s="280"/>
      <c r="H36" s="419"/>
      <c r="I36" s="369"/>
      <c r="J36" s="369"/>
      <c r="K36" s="282"/>
      <c r="L36" s="277"/>
      <c r="M36" s="518"/>
      <c r="N36" s="519"/>
      <c r="O36" s="372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5.75" hidden="1" customHeight="1">
      <c r="B37" s="37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518"/>
      <c r="N37" s="519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5.75" hidden="1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hidden="1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customHeight="1">
      <c r="B42" s="33" t="s">
        <v>9</v>
      </c>
      <c r="C42" s="367" t="str">
        <f>[22]Brewhouse!$A53</f>
        <v>ST039</v>
      </c>
      <c r="D42" s="280">
        <f>[22]Brewhouse!$AD53</f>
        <v>52.6</v>
      </c>
      <c r="E42" s="280">
        <f>[22]Brewhouse!$AG53</f>
        <v>49.2</v>
      </c>
      <c r="F42" s="279">
        <f>[22]Brewhouse!$V53</f>
        <v>57</v>
      </c>
      <c r="G42" s="280">
        <f>[22]Brewhouse!$AE53</f>
        <v>11.9</v>
      </c>
      <c r="H42" s="419">
        <v>11.7</v>
      </c>
      <c r="I42" s="512">
        <f>[22]Brewhouse!$AS53</f>
        <v>95.952410461648014</v>
      </c>
      <c r="J42" s="512">
        <f>[22]Brewhouse!$AT53</f>
        <v>99.283751385991692</v>
      </c>
      <c r="K42" s="422">
        <f>[22]Brewhouse!$Q53</f>
        <v>7.2356215213358039</v>
      </c>
      <c r="L42" s="277">
        <f>[22]Brewhouse!$P53</f>
        <v>60</v>
      </c>
      <c r="M42" s="375">
        <f>[22]Brewhouse!$U53-[22]Brewhouse!$T53</f>
        <v>0.11875000000000002</v>
      </c>
      <c r="N42" s="371">
        <f>[22]Brewhouse!$AW53</f>
        <v>0.26180555555555551</v>
      </c>
      <c r="O42" s="513" t="str">
        <f>[22]Brewhouse!$AV53</f>
        <v>R.Regis</v>
      </c>
      <c r="P42" s="370"/>
      <c r="Q42" s="348"/>
      <c r="S42" s="278" t="str">
        <f t="shared" si="0"/>
        <v>STAG</v>
      </c>
      <c r="T42" s="297">
        <f t="shared" si="1"/>
        <v>11.6</v>
      </c>
      <c r="U42" s="297">
        <f t="shared" si="2"/>
        <v>12</v>
      </c>
      <c r="V42" s="298">
        <f t="shared" si="3"/>
        <v>0</v>
      </c>
      <c r="W42" s="298">
        <f t="shared" si="4"/>
        <v>0.118055555555556</v>
      </c>
      <c r="X42" s="298">
        <f t="shared" si="5"/>
        <v>0.22569444444444445</v>
      </c>
      <c r="Y42" s="298">
        <f t="shared" si="6"/>
        <v>0.2638888888888889</v>
      </c>
      <c r="Z42" s="298">
        <f t="shared" si="7"/>
        <v>0</v>
      </c>
      <c r="AA42" s="297">
        <f t="shared" si="8"/>
        <v>60</v>
      </c>
    </row>
    <row r="43" spans="2:27" ht="15.75" customHeight="1">
      <c r="B43" s="33" t="s">
        <v>9</v>
      </c>
      <c r="C43" s="367" t="str">
        <f>[22]Brewhouse!$A54</f>
        <v>ST040</v>
      </c>
      <c r="D43" s="280">
        <f>[22]Brewhouse!$AD54</f>
        <v>53.3</v>
      </c>
      <c r="E43" s="280">
        <f>[22]Brewhouse!$AG54</f>
        <v>50</v>
      </c>
      <c r="F43" s="279">
        <f>[22]Brewhouse!$V54</f>
        <v>52</v>
      </c>
      <c r="G43" s="280">
        <f>[22]Brewhouse!$AE54</f>
        <v>11.8</v>
      </c>
      <c r="H43" s="419">
        <v>11.8</v>
      </c>
      <c r="I43" s="512">
        <f>[22]Brewhouse!$AS54</f>
        <v>95.30638126018755</v>
      </c>
      <c r="J43" s="512">
        <f>[22]Brewhouse!$AT54</f>
        <v>98.619653847111564</v>
      </c>
      <c r="K43" s="422">
        <f>[22]Brewhouse!$Q54</f>
        <v>6.7518248175182416</v>
      </c>
      <c r="L43" s="277">
        <f>[22]Brewhouse!$P54</f>
        <v>61</v>
      </c>
      <c r="M43" s="375">
        <f>[22]Brewhouse!$U54-[22]Brewhouse!$T54</f>
        <v>0.10763888888888884</v>
      </c>
      <c r="N43" s="371">
        <f>[22]Brewhouse!$AW54</f>
        <v>0.25138888888888888</v>
      </c>
      <c r="O43" s="513" t="str">
        <f>[22]Brewhouse!$AV54</f>
        <v>R.Regis</v>
      </c>
      <c r="P43" s="370"/>
      <c r="Q43" s="348"/>
      <c r="S43" s="278" t="str">
        <f t="shared" si="0"/>
        <v>STAG</v>
      </c>
      <c r="T43" s="297">
        <f t="shared" si="1"/>
        <v>11.6</v>
      </c>
      <c r="U43" s="297">
        <f t="shared" si="2"/>
        <v>12</v>
      </c>
      <c r="V43" s="298">
        <f t="shared" si="3"/>
        <v>0</v>
      </c>
      <c r="W43" s="298">
        <f t="shared" si="4"/>
        <v>0.118055555555556</v>
      </c>
      <c r="X43" s="298">
        <f t="shared" si="5"/>
        <v>0.22569444444444445</v>
      </c>
      <c r="Y43" s="298">
        <f t="shared" si="6"/>
        <v>0.2638888888888889</v>
      </c>
      <c r="Z43" s="298">
        <f t="shared" si="7"/>
        <v>0</v>
      </c>
      <c r="AA43" s="297">
        <f t="shared" si="8"/>
        <v>60</v>
      </c>
    </row>
    <row r="44" spans="2:27" ht="15.75" customHeight="1">
      <c r="B44" s="33" t="s">
        <v>9</v>
      </c>
      <c r="C44" s="367" t="str">
        <f>[22]Brewhouse!$A55</f>
        <v>ST041</v>
      </c>
      <c r="D44" s="280">
        <f>[22]Brewhouse!$AD55</f>
        <v>53.5</v>
      </c>
      <c r="E44" s="280">
        <f>[22]Brewhouse!$AG55</f>
        <v>50.2</v>
      </c>
      <c r="F44" s="279">
        <f>[22]Brewhouse!$V55</f>
        <v>62</v>
      </c>
      <c r="G44" s="280">
        <f>[22]Brewhouse!$AE55</f>
        <v>11.8</v>
      </c>
      <c r="H44" s="419">
        <v>11.8</v>
      </c>
      <c r="I44" s="512">
        <f>[22]Brewhouse!$AS55</f>
        <v>94.732040280520366</v>
      </c>
      <c r="J44" s="512">
        <f>[22]Brewhouse!$AT55</f>
        <v>98.033886812573513</v>
      </c>
      <c r="K44" s="422">
        <f>[22]Brewhouse!$Q55</f>
        <v>6.0773480662983372</v>
      </c>
      <c r="L44" s="277">
        <f>[22]Brewhouse!$P55</f>
        <v>62</v>
      </c>
      <c r="M44" s="375">
        <f>[22]Brewhouse!$U55-[22]Brewhouse!$T55</f>
        <v>0.11041666666666661</v>
      </c>
      <c r="N44" s="371">
        <f>[22]Brewhouse!$AW55</f>
        <v>0.25</v>
      </c>
      <c r="O44" s="513" t="str">
        <f>[22]Brewhouse!$AV55</f>
        <v>R.Regis</v>
      </c>
      <c r="P44" s="370"/>
      <c r="Q44" s="348"/>
      <c r="S44" s="278" t="str">
        <f t="shared" si="0"/>
        <v>STAG</v>
      </c>
      <c r="T44" s="297">
        <f t="shared" si="1"/>
        <v>11.6</v>
      </c>
      <c r="U44" s="297">
        <f t="shared" si="2"/>
        <v>12</v>
      </c>
      <c r="V44" s="298">
        <f t="shared" si="3"/>
        <v>0</v>
      </c>
      <c r="W44" s="298">
        <f t="shared" si="4"/>
        <v>0.118055555555556</v>
      </c>
      <c r="X44" s="298">
        <f t="shared" si="5"/>
        <v>0.22569444444444445</v>
      </c>
      <c r="Y44" s="298">
        <f t="shared" si="6"/>
        <v>0.2638888888888889</v>
      </c>
      <c r="Z44" s="298">
        <f t="shared" si="7"/>
        <v>0</v>
      </c>
      <c r="AA44" s="297">
        <f t="shared" si="8"/>
        <v>60</v>
      </c>
    </row>
    <row r="45" spans="2:27" ht="15.75" customHeight="1">
      <c r="B45" s="33" t="s">
        <v>9</v>
      </c>
      <c r="C45" s="367" t="str">
        <f>[22]Brewhouse!$A56</f>
        <v>ST042</v>
      </c>
      <c r="D45" s="280">
        <f>[22]Brewhouse!$AD56</f>
        <v>52.6</v>
      </c>
      <c r="E45" s="280">
        <f>[22]Brewhouse!$AG56</f>
        <v>49.2</v>
      </c>
      <c r="F45" s="279">
        <f>[22]Brewhouse!$V56</f>
        <v>60</v>
      </c>
      <c r="G45" s="280">
        <f>[22]Brewhouse!$AE56</f>
        <v>11.8</v>
      </c>
      <c r="H45" s="419">
        <v>11.8</v>
      </c>
      <c r="I45" s="512">
        <f>[22]Brewhouse!$AS56</f>
        <v>93.077322691564333</v>
      </c>
      <c r="J45" s="512">
        <f>[22]Brewhouse!$AT56</f>
        <v>96.319412482894435</v>
      </c>
      <c r="K45" s="422">
        <f>[22]Brewhouse!$Q56</f>
        <v>9.7690941385435046</v>
      </c>
      <c r="L45" s="277">
        <f>[22]Brewhouse!$P56</f>
        <v>58</v>
      </c>
      <c r="M45" s="375">
        <f>[22]Brewhouse!$U56-[22]Brewhouse!$T56</f>
        <v>0.10486111111111096</v>
      </c>
      <c r="N45" s="371">
        <f>[22]Brewhouse!$AW56</f>
        <v>0.25486111111111098</v>
      </c>
      <c r="O45" s="513" t="str">
        <f>[22]Brewhouse!$AV56</f>
        <v>R.Sookram</v>
      </c>
      <c r="P45" s="370"/>
      <c r="Q45" s="348"/>
      <c r="S45" s="278" t="str">
        <f t="shared" ref="S45:S48" si="9">B45</f>
        <v>STAG</v>
      </c>
      <c r="T45" s="297">
        <f t="shared" si="1"/>
        <v>11.6</v>
      </c>
      <c r="U45" s="297">
        <f t="shared" si="2"/>
        <v>12</v>
      </c>
      <c r="V45" s="298">
        <f t="shared" si="3"/>
        <v>0</v>
      </c>
      <c r="W45" s="298">
        <f t="shared" si="4"/>
        <v>0.118055555555556</v>
      </c>
      <c r="X45" s="298">
        <f t="shared" si="5"/>
        <v>0.22569444444444445</v>
      </c>
      <c r="Y45" s="298">
        <f t="shared" si="6"/>
        <v>0.2638888888888889</v>
      </c>
      <c r="Z45" s="298">
        <f t="shared" si="7"/>
        <v>0</v>
      </c>
      <c r="AA45" s="297">
        <f t="shared" si="8"/>
        <v>60</v>
      </c>
    </row>
    <row r="46" spans="2:27" ht="15.75" customHeight="1">
      <c r="B46" s="33" t="s">
        <v>9</v>
      </c>
      <c r="C46" s="367" t="str">
        <f>[22]Brewhouse!$A57</f>
        <v>ST043</v>
      </c>
      <c r="D46" s="280">
        <f>[22]Brewhouse!$AD57</f>
        <v>53.5</v>
      </c>
      <c r="E46" s="280">
        <f>[22]Brewhouse!$AG57</f>
        <v>50.4</v>
      </c>
      <c r="F46" s="279">
        <f>[22]Brewhouse!$V57</f>
        <v>60</v>
      </c>
      <c r="G46" s="280">
        <f>[22]Brewhouse!$AE57</f>
        <v>11.6</v>
      </c>
      <c r="H46" s="419">
        <v>11.8</v>
      </c>
      <c r="I46" s="512">
        <f>[22]Brewhouse!$AS57</f>
        <v>94.371821342410584</v>
      </c>
      <c r="J46" s="512">
        <f>[22]Brewhouse!$AT57</f>
        <v>97.660058301095333</v>
      </c>
      <c r="K46" s="422">
        <f>[22]Brewhouse!$Q57</f>
        <v>4.823747680890528</v>
      </c>
      <c r="L46" s="277">
        <f>[22]Brewhouse!$P57</f>
        <v>58</v>
      </c>
      <c r="M46" s="375">
        <f>[22]Brewhouse!$U57-[22]Brewhouse!$T57</f>
        <v>0.11041666666666661</v>
      </c>
      <c r="N46" s="371">
        <f>[22]Brewhouse!$AW57</f>
        <v>0.26249999999999996</v>
      </c>
      <c r="O46" s="513" t="str">
        <f>[22]Brewhouse!$AV57</f>
        <v>R.Sookram</v>
      </c>
      <c r="P46" s="370"/>
      <c r="Q46" s="348"/>
      <c r="S46" s="278" t="str">
        <f t="shared" si="9"/>
        <v>STAG</v>
      </c>
      <c r="T46" s="297">
        <f t="shared" si="1"/>
        <v>11.6</v>
      </c>
      <c r="U46" s="297">
        <f t="shared" si="2"/>
        <v>12</v>
      </c>
      <c r="V46" s="298">
        <f t="shared" si="3"/>
        <v>0</v>
      </c>
      <c r="W46" s="298">
        <f t="shared" si="4"/>
        <v>0.118055555555556</v>
      </c>
      <c r="X46" s="298">
        <f t="shared" si="5"/>
        <v>0.22569444444444445</v>
      </c>
      <c r="Y46" s="298">
        <f t="shared" si="6"/>
        <v>0.2638888888888889</v>
      </c>
      <c r="Z46" s="298">
        <f t="shared" si="7"/>
        <v>0</v>
      </c>
      <c r="AA46" s="297">
        <f t="shared" si="8"/>
        <v>60</v>
      </c>
    </row>
    <row r="47" spans="2:27" ht="15.75" customHeight="1">
      <c r="B47" s="29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Q47" s="348"/>
      <c r="S47" s="278">
        <f t="shared" si="9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customHeight="1">
      <c r="B48" s="29" t="s">
        <v>6</v>
      </c>
      <c r="C48" s="367" t="str">
        <f>[28]Brewhouse!$A148</f>
        <v>CA047</v>
      </c>
      <c r="D48" s="280">
        <f>[28]Brewhouse!$AF148</f>
        <v>52.4</v>
      </c>
      <c r="E48" s="280">
        <f>[28]Brewhouse!$AI148</f>
        <v>49.4</v>
      </c>
      <c r="F48" s="279">
        <f>[28]Brewhouse!$V148</f>
        <v>60</v>
      </c>
      <c r="G48" s="280">
        <f>[28]Brewhouse!$AG148</f>
        <v>11.9</v>
      </c>
      <c r="H48" s="419">
        <v>11.9</v>
      </c>
      <c r="I48" s="369">
        <f>[28]Brewhouse!$AU148</f>
        <v>90.435403081015338</v>
      </c>
      <c r="J48" s="369">
        <f>[28]Brewhouse!$AV148</f>
        <v>94.090403622696073</v>
      </c>
      <c r="K48" s="282">
        <f>[28]Brewhouse!$Q148</f>
        <v>11.693989071038242</v>
      </c>
      <c r="L48" s="277">
        <f>[28]Brewhouse!$P148</f>
        <v>59</v>
      </c>
      <c r="M48" s="420">
        <f>[28]Brewhouse!$U148-[28]Brewhouse!$T148</f>
        <v>0.15208333333333335</v>
      </c>
      <c r="N48" s="371">
        <f>[28]Brewhouse!$Z148</f>
        <v>0.31875000000000009</v>
      </c>
      <c r="O48" s="372" t="str">
        <f>[28]Brewhouse!$AX148</f>
        <v>R.Sookram</v>
      </c>
      <c r="P48" s="370"/>
      <c r="Q48" s="348"/>
      <c r="S48" s="278" t="str">
        <f t="shared" si="9"/>
        <v>CARIB</v>
      </c>
      <c r="T48" s="297">
        <f t="shared" si="1"/>
        <v>11.6</v>
      </c>
      <c r="U48" s="297">
        <f t="shared" si="2"/>
        <v>12</v>
      </c>
      <c r="V48" s="298">
        <f t="shared" si="3"/>
        <v>0</v>
      </c>
      <c r="W48" s="298">
        <f t="shared" si="4"/>
        <v>0.118055555555556</v>
      </c>
      <c r="X48" s="298">
        <f t="shared" si="5"/>
        <v>0.22569444444444445</v>
      </c>
      <c r="Y48" s="298">
        <f t="shared" si="6"/>
        <v>0.2638888888888889</v>
      </c>
      <c r="Z48" s="298">
        <f t="shared" si="7"/>
        <v>0</v>
      </c>
      <c r="AA48" s="297">
        <f t="shared" si="8"/>
        <v>60</v>
      </c>
    </row>
    <row r="49" spans="1:27" ht="15.75" customHeight="1">
      <c r="B49" s="29" t="s">
        <v>6</v>
      </c>
      <c r="C49" s="367" t="str">
        <f>[28]Brewhouse!$A149</f>
        <v>CA048</v>
      </c>
      <c r="D49" s="280">
        <f>[28]Brewhouse!$AF149</f>
        <v>53.3</v>
      </c>
      <c r="E49" s="280">
        <f>[28]Brewhouse!$AI149</f>
        <v>50.1</v>
      </c>
      <c r="F49" s="279">
        <f>[28]Brewhouse!$V149</f>
        <v>58</v>
      </c>
      <c r="G49" s="280">
        <f>[28]Brewhouse!$AG149</f>
        <v>11.9</v>
      </c>
      <c r="H49" s="419">
        <v>11.9</v>
      </c>
      <c r="I49" s="369">
        <f>[28]Brewhouse!$AU149</f>
        <v>91.935604428876957</v>
      </c>
      <c r="J49" s="369">
        <f>[28]Brewhouse!$AV149</f>
        <v>95.650481423504758</v>
      </c>
      <c r="K49" s="282">
        <f>[28]Brewhouse!$Q149</f>
        <v>6.4412811387900435</v>
      </c>
      <c r="L49" s="277">
        <f>[28]Brewhouse!$P149</f>
        <v>57</v>
      </c>
      <c r="M49" s="420">
        <f>[28]Brewhouse!$U149-[28]Brewhouse!$T149</f>
        <v>0.10347222222222224</v>
      </c>
      <c r="N49" s="371">
        <f>[28]Brewhouse!$Z149</f>
        <v>0.2951388888888889</v>
      </c>
      <c r="O49" s="372" t="str">
        <f>[28]Brewhouse!$AX149</f>
        <v>K.Benjamin</v>
      </c>
      <c r="P49" s="370"/>
      <c r="Q49" s="348"/>
      <c r="S49" s="278" t="str">
        <f t="shared" ref="S49:S59" si="10">B49</f>
        <v>CARIB</v>
      </c>
      <c r="T49" s="297">
        <f t="shared" si="1"/>
        <v>11.6</v>
      </c>
      <c r="U49" s="297">
        <f t="shared" si="2"/>
        <v>12</v>
      </c>
      <c r="V49" s="298">
        <f t="shared" si="3"/>
        <v>0</v>
      </c>
      <c r="W49" s="298">
        <f t="shared" si="4"/>
        <v>0.118055555555556</v>
      </c>
      <c r="X49" s="298">
        <f t="shared" si="5"/>
        <v>0.22569444444444445</v>
      </c>
      <c r="Y49" s="298">
        <f t="shared" si="6"/>
        <v>0.2638888888888889</v>
      </c>
      <c r="Z49" s="298">
        <f t="shared" si="7"/>
        <v>0</v>
      </c>
      <c r="AA49" s="297">
        <f t="shared" si="8"/>
        <v>60</v>
      </c>
    </row>
    <row r="50" spans="1:27" ht="15.75" customHeight="1">
      <c r="B50" s="29" t="s">
        <v>6</v>
      </c>
      <c r="C50" s="367" t="str">
        <f>[28]Brewhouse!$A150</f>
        <v>CA049</v>
      </c>
      <c r="D50" s="280">
        <f>[28]Brewhouse!$AF150</f>
        <v>53.5</v>
      </c>
      <c r="E50" s="280">
        <f>[28]Brewhouse!$AI150</f>
        <v>50.1</v>
      </c>
      <c r="F50" s="279">
        <f>[28]Brewhouse!$V150</f>
        <v>63</v>
      </c>
      <c r="G50" s="280">
        <f>[28]Brewhouse!$AG150</f>
        <v>11.7</v>
      </c>
      <c r="H50" s="419">
        <v>11.7</v>
      </c>
      <c r="I50" s="369">
        <f>[28]Brewhouse!$AU150</f>
        <v>90.096176580018806</v>
      </c>
      <c r="J50" s="369">
        <f>[28]Brewhouse!$AV150</f>
        <v>93.737467081132976</v>
      </c>
      <c r="K50" s="282">
        <f>[28]Brewhouse!$Q150</f>
        <v>5.7499999999999982</v>
      </c>
      <c r="L50" s="277">
        <f>[28]Brewhouse!$P150</f>
        <v>58</v>
      </c>
      <c r="M50" s="420">
        <f>[28]Brewhouse!$U150-[28]Brewhouse!$T150</f>
        <v>0.10486111111111113</v>
      </c>
      <c r="N50" s="371">
        <f>[28]Brewhouse!$Z150</f>
        <v>0.26944444444444443</v>
      </c>
      <c r="O50" s="372" t="str">
        <f>[28]Brewhouse!$AX150</f>
        <v>K.Benjamin</v>
      </c>
      <c r="P50" s="370"/>
      <c r="Q50" s="348"/>
      <c r="S50" s="278" t="str">
        <f t="shared" si="10"/>
        <v>CARIB</v>
      </c>
      <c r="T50" s="297">
        <f t="shared" si="1"/>
        <v>11.6</v>
      </c>
      <c r="U50" s="297">
        <f t="shared" si="2"/>
        <v>12</v>
      </c>
      <c r="V50" s="298">
        <f t="shared" si="3"/>
        <v>0</v>
      </c>
      <c r="W50" s="298">
        <f t="shared" si="4"/>
        <v>0.118055555555556</v>
      </c>
      <c r="X50" s="298">
        <f t="shared" si="5"/>
        <v>0.22569444444444445</v>
      </c>
      <c r="Y50" s="298">
        <f t="shared" si="6"/>
        <v>0.2638888888888889</v>
      </c>
      <c r="Z50" s="298">
        <f t="shared" si="7"/>
        <v>0</v>
      </c>
      <c r="AA50" s="297">
        <f t="shared" si="8"/>
        <v>60</v>
      </c>
    </row>
    <row r="51" spans="1:27" ht="15.75" customHeight="1">
      <c r="B51" s="29" t="s">
        <v>6</v>
      </c>
      <c r="C51" s="367" t="str">
        <f>[28]Brewhouse!$A151</f>
        <v>CA050</v>
      </c>
      <c r="D51" s="280">
        <f>[28]Brewhouse!$AF151</f>
        <v>53.7</v>
      </c>
      <c r="E51" s="280">
        <f>[28]Brewhouse!$AI151</f>
        <v>50.3</v>
      </c>
      <c r="F51" s="279">
        <f>[28]Brewhouse!$V151</f>
        <v>69</v>
      </c>
      <c r="G51" s="280">
        <f>[28]Brewhouse!$AG151</f>
        <v>11.8</v>
      </c>
      <c r="H51" s="419">
        <v>12</v>
      </c>
      <c r="I51" s="369">
        <f>[28]Brewhouse!$AU151</f>
        <v>91.160984251356965</v>
      </c>
      <c r="J51" s="369">
        <f>[28]Brewhouse!$AV151</f>
        <v>94.845682613990036</v>
      </c>
      <c r="K51" s="282">
        <f>[28]Brewhouse!$Q151</f>
        <v>6.7730496453900706</v>
      </c>
      <c r="L51" s="277">
        <f>[28]Brewhouse!$P151</f>
        <v>60</v>
      </c>
      <c r="M51" s="420">
        <f>[28]Brewhouse!$U151-[28]Brewhouse!$T151</f>
        <v>0.1118055555555556</v>
      </c>
      <c r="N51" s="371">
        <f>[28]Brewhouse!$Z151</f>
        <v>0.27500000000000002</v>
      </c>
      <c r="O51" s="372" t="str">
        <f>[28]Brewhouse!$AX151</f>
        <v>K.Benjamin</v>
      </c>
      <c r="P51" s="370"/>
      <c r="Q51" s="348"/>
      <c r="S51" s="278" t="str">
        <f t="shared" si="10"/>
        <v>CARIB</v>
      </c>
      <c r="T51" s="297">
        <f t="shared" si="1"/>
        <v>11.6</v>
      </c>
      <c r="U51" s="297">
        <f t="shared" si="2"/>
        <v>12</v>
      </c>
      <c r="V51" s="298">
        <f t="shared" si="3"/>
        <v>0</v>
      </c>
      <c r="W51" s="298">
        <f t="shared" si="4"/>
        <v>0.118055555555556</v>
      </c>
      <c r="X51" s="298">
        <f t="shared" si="5"/>
        <v>0.22569444444444445</v>
      </c>
      <c r="Y51" s="298">
        <f t="shared" si="6"/>
        <v>0.2638888888888889</v>
      </c>
      <c r="Z51" s="298">
        <f t="shared" si="7"/>
        <v>0</v>
      </c>
      <c r="AA51" s="297">
        <f t="shared" si="8"/>
        <v>60</v>
      </c>
    </row>
    <row r="52" spans="1:27" ht="15.75" customHeight="1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420"/>
      <c r="N52" s="371"/>
      <c r="O52" s="372"/>
      <c r="P52" s="370"/>
      <c r="Q52" s="348"/>
      <c r="S52" s="278">
        <f t="shared" si="1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>
      <c r="B53" s="29"/>
      <c r="C53" s="367"/>
      <c r="D53" s="280"/>
      <c r="E53" s="280"/>
      <c r="F53" s="279"/>
      <c r="G53" s="280"/>
      <c r="H53" s="419"/>
      <c r="I53" s="369"/>
      <c r="J53" s="369"/>
      <c r="K53" s="282"/>
      <c r="L53" s="277"/>
      <c r="M53" s="420"/>
      <c r="N53" s="371"/>
      <c r="O53" s="372"/>
      <c r="P53" s="370"/>
      <c r="Q53" s="348"/>
      <c r="S53" s="278">
        <f t="shared" si="10"/>
        <v>0</v>
      </c>
      <c r="T53" s="297" t="e">
        <f t="shared" si="1"/>
        <v>#N/A</v>
      </c>
      <c r="U53" s="297" t="e">
        <f t="shared" si="2"/>
        <v>#N/A</v>
      </c>
      <c r="V53" s="298" t="e">
        <f t="shared" si="3"/>
        <v>#N/A</v>
      </c>
      <c r="W53" s="298" t="e">
        <f t="shared" si="4"/>
        <v>#N/A</v>
      </c>
      <c r="X53" s="298" t="e">
        <f t="shared" si="5"/>
        <v>#N/A</v>
      </c>
      <c r="Y53" s="298" t="e">
        <f t="shared" si="6"/>
        <v>#N/A</v>
      </c>
      <c r="Z53" s="298" t="e">
        <f t="shared" si="7"/>
        <v>#N/A</v>
      </c>
      <c r="AA53" s="297" t="e">
        <f t="shared" si="8"/>
        <v>#N/A</v>
      </c>
    </row>
    <row r="54" spans="1:27" ht="15.75" customHeight="1">
      <c r="B54" s="29"/>
      <c r="C54" s="367"/>
      <c r="D54" s="280"/>
      <c r="E54" s="280"/>
      <c r="F54" s="279"/>
      <c r="G54" s="280"/>
      <c r="H54" s="419"/>
      <c r="I54" s="369"/>
      <c r="J54" s="369"/>
      <c r="K54" s="282"/>
      <c r="L54" s="277"/>
      <c r="M54" s="420"/>
      <c r="N54" s="371"/>
      <c r="O54" s="372"/>
      <c r="P54" s="370"/>
      <c r="Q54" s="348"/>
      <c r="S54" s="278">
        <f t="shared" si="10"/>
        <v>0</v>
      </c>
      <c r="T54" s="297" t="e">
        <f t="shared" si="1"/>
        <v>#N/A</v>
      </c>
      <c r="U54" s="297" t="e">
        <f t="shared" si="2"/>
        <v>#N/A</v>
      </c>
      <c r="V54" s="298" t="e">
        <f t="shared" si="3"/>
        <v>#N/A</v>
      </c>
      <c r="W54" s="298" t="e">
        <f t="shared" si="4"/>
        <v>#N/A</v>
      </c>
      <c r="X54" s="298" t="e">
        <f t="shared" si="5"/>
        <v>#N/A</v>
      </c>
      <c r="Y54" s="298" t="e">
        <f t="shared" si="6"/>
        <v>#N/A</v>
      </c>
      <c r="Z54" s="298" t="e">
        <f t="shared" si="7"/>
        <v>#N/A</v>
      </c>
      <c r="AA54" s="297" t="e">
        <f t="shared" si="8"/>
        <v>#N/A</v>
      </c>
    </row>
    <row r="55" spans="1:27" ht="15.75" customHeight="1">
      <c r="B55" s="29"/>
      <c r="C55" s="367"/>
      <c r="D55" s="280"/>
      <c r="E55" s="280"/>
      <c r="F55" s="279"/>
      <c r="G55" s="280"/>
      <c r="H55" s="419"/>
      <c r="I55" s="369"/>
      <c r="J55" s="369"/>
      <c r="K55" s="282"/>
      <c r="L55" s="277"/>
      <c r="M55" s="420"/>
      <c r="N55" s="371"/>
      <c r="O55" s="372"/>
      <c r="P55" s="370"/>
      <c r="Q55" s="348"/>
      <c r="S55" s="278">
        <f t="shared" si="10"/>
        <v>0</v>
      </c>
      <c r="T55" s="297" t="e">
        <f t="shared" si="1"/>
        <v>#N/A</v>
      </c>
      <c r="U55" s="297" t="e">
        <f t="shared" si="2"/>
        <v>#N/A</v>
      </c>
      <c r="V55" s="298" t="e">
        <f t="shared" si="3"/>
        <v>#N/A</v>
      </c>
      <c r="W55" s="298" t="e">
        <f t="shared" si="4"/>
        <v>#N/A</v>
      </c>
      <c r="X55" s="298" t="e">
        <f t="shared" si="5"/>
        <v>#N/A</v>
      </c>
      <c r="Y55" s="298" t="e">
        <f t="shared" si="6"/>
        <v>#N/A</v>
      </c>
      <c r="Z55" s="298" t="e">
        <f t="shared" si="7"/>
        <v>#N/A</v>
      </c>
      <c r="AA55" s="297" t="e">
        <f t="shared" si="8"/>
        <v>#N/A</v>
      </c>
    </row>
    <row r="56" spans="1:27" ht="15.75" customHeight="1">
      <c r="B56" s="29"/>
      <c r="C56" s="367"/>
      <c r="D56" s="280"/>
      <c r="E56" s="280"/>
      <c r="F56" s="279"/>
      <c r="G56" s="280"/>
      <c r="H56" s="419"/>
      <c r="I56" s="369"/>
      <c r="J56" s="369"/>
      <c r="K56" s="282"/>
      <c r="L56" s="277"/>
      <c r="M56" s="420"/>
      <c r="N56" s="371"/>
      <c r="O56" s="372"/>
      <c r="P56" s="370"/>
      <c r="Q56" s="348"/>
      <c r="S56" s="278">
        <f t="shared" si="10"/>
        <v>0</v>
      </c>
      <c r="T56" s="297" t="e">
        <f t="shared" si="1"/>
        <v>#N/A</v>
      </c>
      <c r="U56" s="297" t="e">
        <f t="shared" si="2"/>
        <v>#N/A</v>
      </c>
      <c r="V56" s="298" t="e">
        <f t="shared" si="3"/>
        <v>#N/A</v>
      </c>
      <c r="W56" s="298" t="e">
        <f t="shared" si="4"/>
        <v>#N/A</v>
      </c>
      <c r="X56" s="298" t="e">
        <f t="shared" si="5"/>
        <v>#N/A</v>
      </c>
      <c r="Y56" s="298" t="e">
        <f t="shared" si="6"/>
        <v>#N/A</v>
      </c>
      <c r="Z56" s="298" t="e">
        <f t="shared" si="7"/>
        <v>#N/A</v>
      </c>
      <c r="AA56" s="297" t="e">
        <f t="shared" si="8"/>
        <v>#N/A</v>
      </c>
    </row>
    <row r="57" spans="1:27" ht="15.75" customHeight="1">
      <c r="B57" s="29"/>
      <c r="C57" s="367"/>
      <c r="D57" s="280"/>
      <c r="E57" s="280"/>
      <c r="F57" s="279"/>
      <c r="G57" s="280"/>
      <c r="H57" s="419"/>
      <c r="I57" s="369"/>
      <c r="J57" s="369"/>
      <c r="K57" s="282"/>
      <c r="L57" s="277"/>
      <c r="M57" s="420"/>
      <c r="N57" s="371"/>
      <c r="O57" s="372"/>
      <c r="P57" s="370"/>
      <c r="Q57" s="348"/>
      <c r="S57" s="278">
        <f t="shared" si="10"/>
        <v>0</v>
      </c>
      <c r="T57" s="297" t="e">
        <f t="shared" si="1"/>
        <v>#N/A</v>
      </c>
      <c r="U57" s="297" t="e">
        <f t="shared" si="2"/>
        <v>#N/A</v>
      </c>
      <c r="V57" s="298" t="e">
        <f t="shared" si="3"/>
        <v>#N/A</v>
      </c>
      <c r="W57" s="298" t="e">
        <f t="shared" si="4"/>
        <v>#N/A</v>
      </c>
      <c r="X57" s="298" t="e">
        <f t="shared" si="5"/>
        <v>#N/A</v>
      </c>
      <c r="Y57" s="298" t="e">
        <f t="shared" si="6"/>
        <v>#N/A</v>
      </c>
      <c r="Z57" s="298" t="e">
        <f t="shared" si="7"/>
        <v>#N/A</v>
      </c>
      <c r="AA57" s="297" t="e">
        <f t="shared" si="8"/>
        <v>#N/A</v>
      </c>
    </row>
    <row r="58" spans="1:27" ht="15.75" customHeight="1">
      <c r="B58" s="29"/>
      <c r="C58" s="367"/>
      <c r="D58" s="280"/>
      <c r="E58" s="280"/>
      <c r="F58" s="279"/>
      <c r="G58" s="280"/>
      <c r="H58" s="419"/>
      <c r="I58" s="369"/>
      <c r="J58" s="369"/>
      <c r="K58" s="282"/>
      <c r="L58" s="277"/>
      <c r="M58" s="420"/>
      <c r="N58" s="371"/>
      <c r="O58" s="372"/>
      <c r="P58" s="370"/>
      <c r="Q58" s="348"/>
      <c r="S58" s="278">
        <f t="shared" si="10"/>
        <v>0</v>
      </c>
      <c r="T58" s="297" t="e">
        <f t="shared" si="1"/>
        <v>#N/A</v>
      </c>
      <c r="U58" s="297" t="e">
        <f t="shared" si="2"/>
        <v>#N/A</v>
      </c>
      <c r="V58" s="298" t="e">
        <f t="shared" si="3"/>
        <v>#N/A</v>
      </c>
      <c r="W58" s="298" t="e">
        <f t="shared" si="4"/>
        <v>#N/A</v>
      </c>
      <c r="X58" s="298" t="e">
        <f t="shared" si="5"/>
        <v>#N/A</v>
      </c>
      <c r="Y58" s="298" t="e">
        <f t="shared" si="6"/>
        <v>#N/A</v>
      </c>
      <c r="Z58" s="298" t="e">
        <f t="shared" si="7"/>
        <v>#N/A</v>
      </c>
      <c r="AA58" s="297" t="e">
        <f t="shared" si="8"/>
        <v>#N/A</v>
      </c>
    </row>
    <row r="59" spans="1:27" ht="14.4">
      <c r="B59" s="29"/>
      <c r="C59" s="367"/>
      <c r="D59" s="280"/>
      <c r="E59" s="280"/>
      <c r="F59" s="279"/>
      <c r="G59" s="280"/>
      <c r="H59" s="419"/>
      <c r="I59" s="369"/>
      <c r="J59" s="369"/>
      <c r="K59" s="282"/>
      <c r="L59" s="277"/>
      <c r="M59" s="375"/>
      <c r="N59" s="371"/>
      <c r="O59" s="372"/>
      <c r="P59" s="370"/>
      <c r="Q59" s="348"/>
      <c r="S59" s="278">
        <f t="shared" si="10"/>
        <v>0</v>
      </c>
      <c r="T59" s="297" t="e">
        <f t="shared" si="1"/>
        <v>#N/A</v>
      </c>
      <c r="U59" s="297" t="e">
        <f t="shared" si="2"/>
        <v>#N/A</v>
      </c>
      <c r="V59" s="298" t="e">
        <f t="shared" si="3"/>
        <v>#N/A</v>
      </c>
      <c r="W59" s="298" t="e">
        <f t="shared" si="4"/>
        <v>#N/A</v>
      </c>
      <c r="X59" s="298" t="e">
        <f t="shared" si="5"/>
        <v>#N/A</v>
      </c>
      <c r="Y59" s="298" t="e">
        <f t="shared" si="6"/>
        <v>#N/A</v>
      </c>
      <c r="Z59" s="298" t="e">
        <f t="shared" si="7"/>
        <v>#N/A</v>
      </c>
      <c r="AA59" s="297" t="e">
        <f t="shared" si="8"/>
        <v>#N/A</v>
      </c>
    </row>
    <row r="60" spans="1:27" ht="15.75" customHeight="1" thickBot="1">
      <c r="B60" s="359"/>
      <c r="C60" s="359"/>
      <c r="D60" s="359"/>
      <c r="E60" s="359"/>
      <c r="F60" s="295"/>
      <c r="G60" s="295"/>
      <c r="H60" s="349"/>
      <c r="I60" s="574" t="s">
        <v>34</v>
      </c>
      <c r="J60" s="574"/>
      <c r="K60" s="574"/>
      <c r="L60" s="574"/>
      <c r="M60" s="574"/>
      <c r="N60" s="574"/>
      <c r="O60" s="1"/>
      <c r="P60" s="12"/>
      <c r="S60" s="278"/>
      <c r="T60" s="297"/>
      <c r="U60" s="297"/>
      <c r="V60" s="298"/>
      <c r="W60" s="298"/>
      <c r="X60" s="298"/>
      <c r="Y60" s="298"/>
      <c r="Z60" s="298"/>
      <c r="AA60" s="297"/>
    </row>
    <row r="61" spans="1:27" ht="15" thickBot="1">
      <c r="B61" s="389" t="s">
        <v>145</v>
      </c>
      <c r="C61" s="389"/>
      <c r="D61" s="552" t="s">
        <v>35</v>
      </c>
      <c r="E61" s="553"/>
      <c r="F61" s="295"/>
      <c r="G61" s="295"/>
      <c r="H61" s="23"/>
      <c r="I61" s="24" t="s">
        <v>17</v>
      </c>
      <c r="J61" s="25" t="s">
        <v>146</v>
      </c>
      <c r="K61" s="26" t="s">
        <v>138</v>
      </c>
      <c r="L61" s="25" t="s">
        <v>37</v>
      </c>
      <c r="M61" s="25" t="s">
        <v>38</v>
      </c>
      <c r="N61" s="27" t="s">
        <v>39</v>
      </c>
      <c r="O61" s="295"/>
      <c r="P61" s="12"/>
      <c r="S61" s="278"/>
      <c r="T61" s="297"/>
      <c r="U61" s="297"/>
      <c r="V61" s="298"/>
      <c r="W61" s="298"/>
      <c r="X61" s="298"/>
      <c r="Y61" s="298"/>
      <c r="Z61" s="298"/>
      <c r="AA61" s="297"/>
    </row>
    <row r="62" spans="1:27" ht="15" customHeight="1">
      <c r="A62" s="28"/>
      <c r="B62" s="659" t="str">
        <f>I62</f>
        <v>CARIB</v>
      </c>
      <c r="C62" s="363">
        <f>[28]Process!D106</f>
        <v>11.8</v>
      </c>
      <c r="D62" s="578">
        <v>11.73</v>
      </c>
      <c r="E62" s="579"/>
      <c r="F62" s="295"/>
      <c r="G62" s="295"/>
      <c r="H62" s="295"/>
      <c r="I62" s="29" t="s">
        <v>6</v>
      </c>
      <c r="J62" s="324">
        <f>AVERAGE(I48:I51)</f>
        <v>90.90704208531703</v>
      </c>
      <c r="K62" s="285">
        <f>COUNTA([28]Brewhouse!$A$102:$A$151)</f>
        <v>50</v>
      </c>
      <c r="L62" s="303">
        <f>AVERAGE([28]Brewhouse!$AU$102:$AU$151)</f>
        <v>94.004350880790341</v>
      </c>
      <c r="M62" s="303">
        <f>AVERAGE([28]Brewhouse!$AU$102:$AU$151)</f>
        <v>94.004350880790341</v>
      </c>
      <c r="N62" s="30">
        <v>98</v>
      </c>
      <c r="O62" s="11"/>
      <c r="P62" s="31"/>
      <c r="S62" s="278"/>
      <c r="T62" s="297"/>
      <c r="U62" s="297"/>
      <c r="V62" s="298"/>
      <c r="W62" s="298"/>
      <c r="X62" s="298"/>
      <c r="Y62" s="298"/>
      <c r="Z62" s="298"/>
      <c r="AA62" s="297"/>
    </row>
    <row r="63" spans="1:27" ht="15" customHeight="1">
      <c r="A63" s="28"/>
      <c r="B63" s="589"/>
      <c r="C63" s="350">
        <f>[28]Process!D107</f>
        <v>11.7</v>
      </c>
      <c r="D63" s="580"/>
      <c r="E63" s="581"/>
      <c r="F63" s="295"/>
      <c r="G63" s="295"/>
      <c r="H63" s="32"/>
      <c r="I63" s="33" t="s">
        <v>9</v>
      </c>
      <c r="J63" s="324">
        <f>AVERAGE(I42:I46)</f>
        <v>94.687995207266184</v>
      </c>
      <c r="K63" s="285">
        <f>COUNTA([22]Brewhouse!$A$15:$A$57)</f>
        <v>43</v>
      </c>
      <c r="L63" s="303">
        <f>AVERAGE([22]Brewhouse!$AS$15:$AS$57)</f>
        <v>96.157601939374771</v>
      </c>
      <c r="M63" s="303">
        <f>AVERAGE([22]Brewhouse!$AS$15:$AS$57)</f>
        <v>96.157601939374771</v>
      </c>
      <c r="N63" s="30">
        <v>98</v>
      </c>
      <c r="O63" s="11"/>
      <c r="P63" s="31"/>
      <c r="S63" s="278"/>
      <c r="T63" s="297"/>
      <c r="U63" s="297"/>
      <c r="V63" s="298"/>
      <c r="W63" s="298"/>
      <c r="X63" s="298"/>
      <c r="Y63" s="298"/>
      <c r="Z63" s="298"/>
      <c r="AA63" s="297"/>
    </row>
    <row r="64" spans="1:27" ht="14.7" customHeight="1">
      <c r="A64" s="28"/>
      <c r="B64" s="589"/>
      <c r="C64" s="350">
        <f>[28]Process!D108</f>
        <v>11.7</v>
      </c>
      <c r="D64" s="578">
        <v>11.66</v>
      </c>
      <c r="E64" s="579"/>
      <c r="F64" s="295"/>
      <c r="G64" s="295"/>
      <c r="H64" s="32"/>
      <c r="I64" s="34" t="s">
        <v>12</v>
      </c>
      <c r="J64" s="281"/>
      <c r="K64" s="285"/>
      <c r="L64" s="303"/>
      <c r="M64" s="303"/>
      <c r="N64" s="30">
        <v>98</v>
      </c>
      <c r="O64" s="11"/>
      <c r="P64" s="31"/>
      <c r="S64" s="23"/>
      <c r="T64" s="1"/>
      <c r="U64" s="1"/>
      <c r="AA64" s="286"/>
    </row>
    <row r="65" spans="1:57" ht="14.7" customHeight="1">
      <c r="A65" s="28"/>
      <c r="B65" s="589"/>
      <c r="C65" s="350">
        <f>[28]Process!D109</f>
        <v>11.9</v>
      </c>
      <c r="D65" s="580"/>
      <c r="E65" s="581"/>
      <c r="F65" s="295"/>
      <c r="G65" s="295"/>
      <c r="H65" s="32"/>
      <c r="I65" s="22" t="s">
        <v>33</v>
      </c>
      <c r="J65" s="281"/>
      <c r="K65" s="285">
        <f>COUNTA([25]Brewhouse!$A$5:$A$8)</f>
        <v>4</v>
      </c>
      <c r="L65" s="303">
        <f>AVERAGE([25]Brewhouse!$AV$5:$AV$8)</f>
        <v>96.702302381453876</v>
      </c>
      <c r="M65" s="303">
        <f>AVERAGE([25]Brewhouse!$AV$5:$AV$8)</f>
        <v>96.702302381453876</v>
      </c>
      <c r="N65" s="30">
        <v>98</v>
      </c>
      <c r="O65" s="11"/>
      <c r="P65" s="31"/>
      <c r="S65" s="23"/>
      <c r="T65" s="1"/>
      <c r="U65" s="1"/>
      <c r="AA65" s="286"/>
    </row>
    <row r="66" spans="1:57" ht="14.7" customHeight="1">
      <c r="A66" s="28"/>
      <c r="B66" s="589"/>
      <c r="C66" s="350">
        <f>[28]Process!D110</f>
        <v>11.8</v>
      </c>
      <c r="D66" s="578">
        <v>11.63</v>
      </c>
      <c r="E66" s="579"/>
      <c r="F66" s="295"/>
      <c r="G66" s="295"/>
      <c r="H66" s="32"/>
      <c r="I66" s="35" t="s">
        <v>29</v>
      </c>
      <c r="J66" s="281"/>
      <c r="K66" s="285"/>
      <c r="L66" s="303"/>
      <c r="M66" s="303"/>
      <c r="N66" s="30">
        <v>98</v>
      </c>
      <c r="O66" s="11"/>
      <c r="P66" s="31"/>
      <c r="S66" s="23"/>
    </row>
    <row r="67" spans="1:57" ht="14.7" customHeight="1">
      <c r="A67" s="28"/>
      <c r="B67" s="589"/>
      <c r="C67" s="350">
        <f>[28]Process!D111</f>
        <v>11.6</v>
      </c>
      <c r="D67" s="580"/>
      <c r="E67" s="581"/>
      <c r="F67" s="295"/>
      <c r="G67" s="295"/>
      <c r="H67" s="32"/>
      <c r="I67" s="36" t="s">
        <v>15</v>
      </c>
      <c r="J67" s="324"/>
      <c r="K67" s="285">
        <f>COUNTA([27]Brewhouse!$A$4:$A$11)</f>
        <v>8</v>
      </c>
      <c r="L67" s="303">
        <f>AVERAGE([27]Brewhouse!$AT$4:$AT$11)</f>
        <v>94.812616598822359</v>
      </c>
      <c r="M67" s="303">
        <f>AVERAGE([27]Brewhouse!$AT$4:$AT$11)</f>
        <v>94.812616598822359</v>
      </c>
      <c r="N67" s="30">
        <v>98</v>
      </c>
      <c r="O67" s="11"/>
      <c r="P67" s="31"/>
      <c r="S67" s="23"/>
    </row>
    <row r="68" spans="1:57" ht="14.7" customHeight="1">
      <c r="A68" s="28"/>
      <c r="B68" s="589"/>
      <c r="C68" s="350"/>
      <c r="D68" s="578"/>
      <c r="E68" s="579"/>
      <c r="F68" s="295"/>
      <c r="G68" s="295"/>
      <c r="H68" s="32"/>
      <c r="I68" s="37" t="s">
        <v>16</v>
      </c>
      <c r="J68" s="324"/>
      <c r="K68" s="285">
        <f>COUNTA(Jan.20th!B31:B34,'Jan 23rd '!B34:B36)</f>
        <v>4</v>
      </c>
      <c r="L68" s="303">
        <f>AVERAGE([29]Brewhouse!$AY$6:$AY$13)</f>
        <v>93.094805585685208</v>
      </c>
      <c r="M68" s="303">
        <f>AVERAGE([29]Brewhouse!$AY$6:$AY$13)</f>
        <v>93.094805585685208</v>
      </c>
      <c r="N68" s="30">
        <v>98</v>
      </c>
      <c r="O68" s="11"/>
      <c r="P68" s="31" t="s">
        <v>41</v>
      </c>
      <c r="S68" s="23"/>
      <c r="X68" s="276" t="s">
        <v>41</v>
      </c>
    </row>
    <row r="69" spans="1:57" ht="14.7" customHeight="1">
      <c r="A69" s="28"/>
      <c r="B69" s="589"/>
      <c r="C69" s="350"/>
      <c r="D69" s="580"/>
      <c r="E69" s="581"/>
      <c r="F69" s="295"/>
      <c r="G69" s="295"/>
      <c r="H69" s="32"/>
      <c r="I69" s="507" t="s">
        <v>174</v>
      </c>
      <c r="J69" s="327"/>
      <c r="K69" s="285">
        <f>COUNTA([26]Brewhouse!$A$5:$A$8)</f>
        <v>4</v>
      </c>
      <c r="L69" s="306">
        <f>AVERAGE([26]Brewhouse!$AU$5:$AU$8)</f>
        <v>91.006888337619571</v>
      </c>
      <c r="M69" s="306">
        <f>AVERAGE([26]Brewhouse!$AU$5:$AU$8)</f>
        <v>91.006888337619571</v>
      </c>
      <c r="N69" s="30">
        <v>98</v>
      </c>
      <c r="O69" s="11"/>
      <c r="P69" s="31"/>
      <c r="S69" s="23"/>
    </row>
    <row r="70" spans="1:57" ht="14.7" customHeight="1">
      <c r="A70" s="28"/>
      <c r="B70" s="589"/>
      <c r="C70" s="350"/>
      <c r="D70" s="578"/>
      <c r="E70" s="579"/>
      <c r="F70" s="295"/>
      <c r="G70" s="295"/>
      <c r="H70" s="32"/>
      <c r="I70" s="506" t="s">
        <v>166</v>
      </c>
      <c r="J70" s="327"/>
      <c r="K70" s="285"/>
      <c r="L70" s="306"/>
      <c r="M70" s="306"/>
      <c r="N70" s="30"/>
      <c r="O70" s="11"/>
      <c r="P70" s="31"/>
      <c r="S70" s="23"/>
    </row>
    <row r="71" spans="1:57" ht="15" customHeight="1" thickBot="1">
      <c r="A71" s="28"/>
      <c r="B71" s="589"/>
      <c r="C71" s="350"/>
      <c r="D71" s="580"/>
      <c r="E71" s="581"/>
      <c r="F71" s="295"/>
      <c r="G71" s="295"/>
      <c r="H71" s="32"/>
      <c r="I71" s="502" t="s">
        <v>165</v>
      </c>
      <c r="J71" s="328"/>
      <c r="K71" s="503"/>
      <c r="L71" s="504"/>
      <c r="M71" s="504"/>
      <c r="N71" s="505">
        <v>98</v>
      </c>
      <c r="O71" s="11"/>
      <c r="P71" s="31"/>
      <c r="S71" s="23"/>
    </row>
    <row r="72" spans="1:57" ht="15" customHeight="1" thickBot="1">
      <c r="A72" s="28"/>
      <c r="B72" s="589"/>
      <c r="C72" s="350"/>
      <c r="D72" s="578"/>
      <c r="E72" s="579"/>
      <c r="F72" s="295"/>
      <c r="G72" s="295"/>
      <c r="H72" s="32"/>
      <c r="I72" s="1"/>
      <c r="J72" s="39"/>
      <c r="K72" s="500">
        <f>SUM(K62:K71)</f>
        <v>113</v>
      </c>
      <c r="L72" s="501">
        <f>((L62*K62)+(L63*K63)+(L64*K64)+(L65*K65)+(L66*K66)+(K69*L69)+(L67*K67)+(L68*K68)+(L71*K71))/(K72)</f>
        <v>94.838153499488911</v>
      </c>
      <c r="M72" s="501">
        <f>L72</f>
        <v>94.838153499488911</v>
      </c>
      <c r="N72" s="40">
        <v>98</v>
      </c>
      <c r="O72" s="11"/>
      <c r="P72" s="31"/>
      <c r="S72" s="23"/>
    </row>
    <row r="73" spans="1:57" ht="15" thickBot="1">
      <c r="B73" s="590"/>
      <c r="C73" s="351"/>
      <c r="D73" s="580"/>
      <c r="E73" s="581"/>
      <c r="F73" s="295"/>
      <c r="G73" s="42"/>
      <c r="H73" s="41"/>
      <c r="I73" s="42"/>
      <c r="J73" s="42"/>
      <c r="K73" s="352"/>
      <c r="L73" s="349"/>
      <c r="M73" s="349"/>
      <c r="N73" s="11"/>
      <c r="O73" s="295"/>
      <c r="P73" s="12"/>
      <c r="S73" s="23"/>
    </row>
    <row r="74" spans="1:57" ht="15" thickBot="1">
      <c r="B74" s="653"/>
      <c r="C74" s="363"/>
      <c r="D74" s="591"/>
      <c r="E74" s="592"/>
      <c r="F74" s="43"/>
      <c r="G74" s="41"/>
      <c r="H74" s="41"/>
      <c r="I74" s="42"/>
      <c r="J74" s="594" t="s">
        <v>129</v>
      </c>
      <c r="K74" s="594"/>
      <c r="L74" s="295"/>
      <c r="M74" s="295"/>
      <c r="N74" s="295"/>
      <c r="O74" s="295"/>
      <c r="P74" s="12"/>
      <c r="S74" s="23" t="s">
        <v>41</v>
      </c>
    </row>
    <row r="75" spans="1:57" ht="13.5" customHeight="1" thickBot="1">
      <c r="B75" s="654"/>
      <c r="C75" s="350"/>
      <c r="D75" s="593"/>
      <c r="E75" s="581"/>
      <c r="F75" s="43"/>
      <c r="G75" s="41"/>
      <c r="H75" s="41"/>
      <c r="I75" s="42"/>
      <c r="J75" s="293" t="s">
        <v>17</v>
      </c>
      <c r="K75" s="294" t="s">
        <v>184</v>
      </c>
      <c r="L75" s="595" t="s">
        <v>136</v>
      </c>
      <c r="M75" s="595"/>
      <c r="N75" s="596"/>
      <c r="O75" s="295"/>
      <c r="P75" s="12"/>
      <c r="S75" s="23"/>
    </row>
    <row r="76" spans="1:57" ht="15" customHeight="1" thickBot="1">
      <c r="B76" s="654"/>
      <c r="C76" s="350"/>
      <c r="D76" s="597"/>
      <c r="E76" s="579"/>
      <c r="F76" s="43"/>
      <c r="G76" s="41"/>
      <c r="H76" s="41"/>
      <c r="I76" s="42"/>
      <c r="J76" s="288" t="s">
        <v>6</v>
      </c>
      <c r="K76" s="325">
        <v>4</v>
      </c>
      <c r="L76" s="344" t="s">
        <v>37</v>
      </c>
      <c r="M76" s="308" t="s">
        <v>38</v>
      </c>
      <c r="N76" s="308" t="s">
        <v>84</v>
      </c>
      <c r="O76" s="295"/>
      <c r="P76" s="12"/>
      <c r="S76" s="23"/>
    </row>
    <row r="77" spans="1:57" ht="15.75" customHeight="1" thickBot="1">
      <c r="B77" s="654"/>
      <c r="C77" s="350"/>
      <c r="D77" s="593"/>
      <c r="E77" s="581"/>
      <c r="F77" s="43"/>
      <c r="G77" s="41"/>
      <c r="H77" s="41"/>
      <c r="I77" s="42"/>
      <c r="J77" s="346" t="s">
        <v>9</v>
      </c>
      <c r="K77" s="325">
        <v>5</v>
      </c>
      <c r="L77" s="345">
        <f>AVERAGE('Jan 2nd'!K69,'Jan 3rd'!K69,'Jan 6th'!K54,'Jan 7th'!K76,'Jan 8th'!K76,'Jan. 10th'!K54,'Jan. 14th '!K54,'Jan.15th '!K55,Jan.16th!K58,'Jan.17th -19th'!K67,Jan.20th!K67,'Jan.21ST '!K70,'Jan 22nd'!K79,'Jan 23rd '!K86)</f>
        <v>6.9285714285714288</v>
      </c>
      <c r="M77" s="326">
        <f>L77</f>
        <v>6.9285714285714288</v>
      </c>
      <c r="N77" s="488"/>
      <c r="O77" s="295"/>
      <c r="P77" s="12"/>
      <c r="S77" s="23"/>
    </row>
    <row r="78" spans="1:57" ht="15" customHeight="1">
      <c r="B78" s="654"/>
      <c r="C78" s="350"/>
      <c r="D78" s="597"/>
      <c r="E78" s="579"/>
      <c r="F78" s="43"/>
      <c r="G78" s="41"/>
      <c r="H78" s="41"/>
      <c r="I78" s="42"/>
      <c r="J78" s="289" t="s">
        <v>40</v>
      </c>
      <c r="K78" s="325"/>
      <c r="L78" s="295"/>
      <c r="M78" s="295"/>
      <c r="N78" s="295"/>
      <c r="O78" s="295"/>
      <c r="P78" s="12"/>
      <c r="S78" s="23"/>
    </row>
    <row r="79" spans="1:57" ht="15" customHeight="1">
      <c r="B79" s="654"/>
      <c r="C79" s="350"/>
      <c r="D79" s="593"/>
      <c r="E79" s="581"/>
      <c r="F79" s="43"/>
      <c r="G79" s="41"/>
      <c r="H79" s="41"/>
      <c r="I79" s="42"/>
      <c r="J79" s="290" t="s">
        <v>33</v>
      </c>
      <c r="K79" s="325"/>
      <c r="L79" s="295"/>
      <c r="M79" s="295"/>
      <c r="N79" s="295"/>
      <c r="O79" s="295"/>
      <c r="P79" s="12"/>
      <c r="S79" s="23"/>
    </row>
    <row r="80" spans="1:57" ht="14.4">
      <c r="B80" s="654"/>
      <c r="C80" s="350"/>
      <c r="D80" s="597"/>
      <c r="E80" s="579"/>
      <c r="F80" s="43"/>
      <c r="G80" s="41"/>
      <c r="H80" s="41"/>
      <c r="I80" s="42"/>
      <c r="J80" s="291" t="s">
        <v>16</v>
      </c>
      <c r="K80" s="325"/>
      <c r="L80" s="295"/>
      <c r="M80" s="295"/>
      <c r="N80" s="295"/>
      <c r="O80" s="295"/>
      <c r="P80" s="12"/>
      <c r="S80" s="23"/>
      <c r="BD80" s="44"/>
      <c r="BE80" s="44"/>
    </row>
    <row r="81" spans="2:58" ht="14.4">
      <c r="B81" s="654"/>
      <c r="C81" s="350"/>
      <c r="D81" s="593"/>
      <c r="E81" s="581"/>
      <c r="F81" s="43"/>
      <c r="G81" s="41"/>
      <c r="H81" s="41"/>
      <c r="I81" s="42"/>
      <c r="J81" s="292" t="s">
        <v>15</v>
      </c>
      <c r="K81" s="325"/>
      <c r="L81" s="295"/>
      <c r="M81" s="295"/>
      <c r="N81" s="295"/>
      <c r="O81" s="295"/>
      <c r="P81" s="12"/>
      <c r="S81" s="23"/>
      <c r="BD81" s="44"/>
      <c r="BE81" s="44"/>
    </row>
    <row r="82" spans="2:58" ht="14.4">
      <c r="B82" s="654"/>
      <c r="C82" s="350"/>
      <c r="D82" s="598"/>
      <c r="E82" s="583"/>
      <c r="F82" s="43"/>
      <c r="G82" s="41"/>
      <c r="H82" s="41"/>
      <c r="I82" s="42"/>
      <c r="J82" s="292" t="s">
        <v>149</v>
      </c>
      <c r="K82" s="325"/>
      <c r="L82" s="295"/>
      <c r="M82" s="295"/>
      <c r="N82" s="295"/>
      <c r="O82" s="295"/>
      <c r="P82" s="12"/>
      <c r="S82" s="23"/>
      <c r="BD82" s="44"/>
      <c r="BE82" s="44"/>
    </row>
    <row r="83" spans="2:58" ht="15" thickBot="1">
      <c r="B83" s="655"/>
      <c r="C83" s="351"/>
      <c r="D83" s="599"/>
      <c r="E83" s="600"/>
      <c r="F83" s="43"/>
      <c r="G83" s="41"/>
      <c r="H83" s="41"/>
      <c r="I83" s="42"/>
      <c r="J83" s="292" t="s">
        <v>148</v>
      </c>
      <c r="K83" s="325"/>
      <c r="L83" s="295"/>
      <c r="M83" s="295"/>
      <c r="N83" s="295"/>
      <c r="O83" s="295"/>
      <c r="P83" s="12"/>
      <c r="S83" s="23"/>
      <c r="BD83" s="44"/>
      <c r="BE83" s="44"/>
    </row>
    <row r="84" spans="2:58" ht="17.7" customHeight="1" thickBot="1">
      <c r="B84" s="313" t="s">
        <v>139</v>
      </c>
      <c r="C84" s="314"/>
      <c r="D84" s="601">
        <f>AVERAGE(D62:E83)</f>
        <v>11.673333333333334</v>
      </c>
      <c r="E84" s="602"/>
      <c r="F84" s="43"/>
      <c r="G84" s="41"/>
      <c r="H84" s="41"/>
      <c r="I84" s="42"/>
      <c r="J84" s="296" t="s">
        <v>134</v>
      </c>
      <c r="K84" s="325"/>
      <c r="L84" s="295"/>
      <c r="M84" s="295"/>
      <c r="N84" s="295"/>
      <c r="O84" s="295"/>
      <c r="P84" s="12"/>
      <c r="S84" s="23"/>
      <c r="BD84" s="44"/>
      <c r="BE84" s="44"/>
    </row>
    <row r="85" spans="2:58" ht="17.7" customHeight="1">
      <c r="B85" s="364"/>
      <c r="C85" s="365"/>
      <c r="D85" s="366"/>
      <c r="E85" s="366"/>
      <c r="F85" s="43"/>
      <c r="G85" s="41"/>
      <c r="H85" s="41"/>
      <c r="I85" s="42"/>
      <c r="J85" s="296" t="s">
        <v>131</v>
      </c>
      <c r="K85" s="325"/>
      <c r="L85" s="295"/>
      <c r="M85" s="295"/>
      <c r="N85" s="295"/>
      <c r="O85" s="295"/>
      <c r="P85" s="12"/>
      <c r="S85" s="23"/>
      <c r="BD85" s="44"/>
      <c r="BE85" s="44"/>
    </row>
    <row r="86" spans="2:58" ht="15.75" customHeight="1">
      <c r="B86" s="45"/>
      <c r="C86" s="11"/>
      <c r="D86" s="11"/>
      <c r="E86" s="46"/>
      <c r="F86" s="23"/>
      <c r="G86" s="11"/>
      <c r="H86" s="41"/>
      <c r="I86" s="42"/>
      <c r="J86" s="347" t="s">
        <v>130</v>
      </c>
      <c r="K86" s="325">
        <f>SUM(K76:K85)</f>
        <v>9</v>
      </c>
      <c r="L86" s="295"/>
      <c r="M86" s="295"/>
      <c r="N86" s="295"/>
      <c r="O86" s="295"/>
      <c r="P86" s="12"/>
    </row>
    <row r="87" spans="2:58" ht="20.25" customHeight="1">
      <c r="B87" s="15" t="s">
        <v>42</v>
      </c>
      <c r="C87" s="1" t="s">
        <v>43</v>
      </c>
      <c r="D87" s="1"/>
      <c r="E87" s="1"/>
      <c r="I87" s="42"/>
      <c r="L87" s="295"/>
      <c r="P87" s="335"/>
    </row>
    <row r="88" spans="2:58" ht="15" customHeight="1" thickBot="1"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8"/>
      <c r="O88" s="48"/>
      <c r="P88" s="49"/>
      <c r="X88" s="276" t="s">
        <v>41</v>
      </c>
    </row>
    <row r="89" spans="2:58" ht="15" customHeight="1" thickBot="1">
      <c r="B89" s="603" t="s">
        <v>17</v>
      </c>
      <c r="C89" s="603" t="s">
        <v>44</v>
      </c>
      <c r="D89" s="605" t="s">
        <v>45</v>
      </c>
      <c r="E89" s="560" t="s">
        <v>46</v>
      </c>
      <c r="F89" s="620" t="s">
        <v>47</v>
      </c>
      <c r="G89" s="614" t="s">
        <v>48</v>
      </c>
      <c r="H89" s="603" t="s">
        <v>49</v>
      </c>
      <c r="I89" s="603" t="s">
        <v>50</v>
      </c>
      <c r="J89" s="608" t="s">
        <v>28</v>
      </c>
      <c r="K89" s="558" t="s">
        <v>51</v>
      </c>
      <c r="L89" s="570" t="s">
        <v>52</v>
      </c>
      <c r="M89" s="608" t="s">
        <v>53</v>
      </c>
      <c r="N89" s="77"/>
      <c r="O89" s="13"/>
      <c r="P89" s="50"/>
    </row>
    <row r="90" spans="2:58" ht="28.5" customHeight="1" thickTop="1" thickBot="1">
      <c r="B90" s="604"/>
      <c r="C90" s="604"/>
      <c r="D90" s="606"/>
      <c r="E90" s="607"/>
      <c r="F90" s="621"/>
      <c r="G90" s="615"/>
      <c r="H90" s="604"/>
      <c r="I90" s="604"/>
      <c r="J90" s="609"/>
      <c r="K90" s="618"/>
      <c r="L90" s="619"/>
      <c r="M90" s="609"/>
      <c r="N90" s="77"/>
      <c r="O90" s="13"/>
      <c r="P90" s="50"/>
      <c r="Q90" s="356"/>
      <c r="R90" s="356"/>
      <c r="S90" s="356"/>
      <c r="T90" s="356"/>
      <c r="U90" s="51">
        <v>43466</v>
      </c>
      <c r="V90" s="51">
        <v>43467</v>
      </c>
      <c r="W90" s="51">
        <v>43468</v>
      </c>
      <c r="X90" s="51">
        <v>43469</v>
      </c>
      <c r="Y90" s="51">
        <v>43470</v>
      </c>
      <c r="Z90" s="51">
        <v>43471</v>
      </c>
      <c r="AA90" s="51">
        <v>43472</v>
      </c>
      <c r="AB90" s="51">
        <v>43473</v>
      </c>
      <c r="AC90" s="51">
        <v>43474</v>
      </c>
      <c r="AD90" s="51">
        <v>43475</v>
      </c>
      <c r="AE90" s="51">
        <v>43476</v>
      </c>
      <c r="AF90" s="51">
        <v>43477</v>
      </c>
      <c r="AG90" s="51">
        <v>43478</v>
      </c>
      <c r="AH90" s="51">
        <v>43479</v>
      </c>
      <c r="AI90" s="51">
        <v>43480</v>
      </c>
      <c r="AJ90" s="51">
        <v>43481</v>
      </c>
      <c r="AK90" s="51">
        <v>43482</v>
      </c>
      <c r="AL90" s="51">
        <v>43483</v>
      </c>
      <c r="AM90" s="51">
        <v>43484</v>
      </c>
      <c r="AN90" s="51">
        <v>43485</v>
      </c>
      <c r="AO90" s="51">
        <v>43486</v>
      </c>
      <c r="AP90" s="51">
        <v>43487</v>
      </c>
      <c r="AQ90" s="51">
        <v>43488</v>
      </c>
      <c r="AR90" s="51">
        <v>43489</v>
      </c>
      <c r="AS90" s="51">
        <v>43490</v>
      </c>
      <c r="AT90" s="51">
        <v>43491</v>
      </c>
      <c r="AU90" s="51">
        <v>43492</v>
      </c>
      <c r="AV90" s="51">
        <v>43493</v>
      </c>
      <c r="AW90" s="51">
        <v>43494</v>
      </c>
      <c r="AX90" s="51">
        <v>43495</v>
      </c>
      <c r="AY90" s="51">
        <v>43496</v>
      </c>
    </row>
    <row r="91" spans="2:58" s="54" customFormat="1" ht="69.75" customHeight="1" thickBot="1">
      <c r="B91" s="388" t="str">
        <f>B101</f>
        <v>CARIB</v>
      </c>
      <c r="C91" s="284">
        <v>45680</v>
      </c>
      <c r="D91" s="378">
        <f>[23]January_2025!$Z$3</f>
        <v>300.60000000000002</v>
      </c>
      <c r="E91" s="379"/>
      <c r="F91" s="380">
        <f>[30]CARIB!$L$106</f>
        <v>291.5</v>
      </c>
      <c r="G91" s="304">
        <f>[23]January_2025!$Z$7</f>
        <v>275.3</v>
      </c>
      <c r="H91" s="446">
        <f>(D91-F91)/D91*100</f>
        <v>3.0272787757817774</v>
      </c>
      <c r="I91" s="446">
        <f>((F91+E91)-G91)/(F91+E91)*100</f>
        <v>5.5574614065180068</v>
      </c>
      <c r="J91" s="391" t="s">
        <v>189</v>
      </c>
      <c r="K91" s="381">
        <f>[24]January_2025!$Z$18</f>
        <v>0.4829824561403509</v>
      </c>
      <c r="L91" s="315">
        <f>(((D91+E91)-G91)/(D91+E91))*100</f>
        <v>8.4165003326680008</v>
      </c>
      <c r="M91" s="358" t="s">
        <v>188</v>
      </c>
      <c r="N91" s="13"/>
      <c r="O91" s="13"/>
      <c r="P91" s="50"/>
      <c r="T91" s="273" t="s">
        <v>54</v>
      </c>
      <c r="U91" s="280"/>
      <c r="V91" s="280"/>
      <c r="W91" s="280"/>
      <c r="X91" s="280"/>
      <c r="Y91" s="280"/>
      <c r="Z91" s="280"/>
      <c r="AA91" s="280"/>
      <c r="AB91" s="280"/>
      <c r="AC91" s="280"/>
      <c r="AD91" s="280"/>
      <c r="AE91" s="280"/>
      <c r="AF91" s="280"/>
      <c r="AG91" s="280"/>
      <c r="AH91" s="280"/>
      <c r="AI91" s="280"/>
      <c r="AJ91" s="280"/>
      <c r="AK91" s="280"/>
      <c r="AL91" s="280"/>
      <c r="AM91" s="280"/>
      <c r="AN91" s="280"/>
      <c r="AO91" s="280"/>
      <c r="AP91" s="280"/>
      <c r="AQ91" s="280"/>
      <c r="AR91" s="280"/>
      <c r="AS91" s="280"/>
      <c r="AT91" s="280"/>
      <c r="AU91" s="280"/>
      <c r="AV91" s="280"/>
      <c r="AW91" s="280"/>
      <c r="AX91" s="280"/>
    </row>
    <row r="92" spans="2:58" s="54" customFormat="1" ht="18.75" hidden="1" customHeight="1" thickBot="1">
      <c r="B92" s="388"/>
      <c r="C92" s="284"/>
      <c r="D92" s="280"/>
      <c r="E92" s="280"/>
      <c r="F92" s="280"/>
      <c r="G92" s="280"/>
      <c r="H92" s="321"/>
      <c r="I92" s="322"/>
      <c r="J92" s="390" t="s">
        <v>41</v>
      </c>
      <c r="K92" s="377"/>
      <c r="L92" s="315"/>
      <c r="M92" s="385"/>
      <c r="N92" s="13"/>
      <c r="O92" s="13"/>
      <c r="P92" s="50"/>
      <c r="T92" s="273" t="s">
        <v>51</v>
      </c>
      <c r="U92" s="57" t="e">
        <f>[20]January_2019!D8</f>
        <v>#DIV/0!</v>
      </c>
      <c r="V92" s="57">
        <f>[20]January_2019!E8</f>
        <v>1.0319298245614037</v>
      </c>
      <c r="W92" s="57">
        <f>[20]January_2019!F8</f>
        <v>1.7789473684210526</v>
      </c>
      <c r="X92" s="57">
        <f>[20]January_2019!G8</f>
        <v>0.51929824561403504</v>
      </c>
      <c r="Y92" s="57" t="e">
        <f>[20]January_2019!H8</f>
        <v>#DIV/0!</v>
      </c>
      <c r="Z92" s="57" t="e">
        <f>[20]January_2019!I8</f>
        <v>#DIV/0!</v>
      </c>
      <c r="AA92" s="57">
        <f>[20]January_2019!J8</f>
        <v>1.365263157894737</v>
      </c>
      <c r="AB92" s="57" t="e">
        <f>[20]January_2019!K8</f>
        <v>#DIV/0!</v>
      </c>
      <c r="AC92" s="57">
        <f>[20]January_2019!L8</f>
        <v>1.0028070175438597</v>
      </c>
      <c r="AD92" s="57">
        <f>[20]January_2019!M8</f>
        <v>1.7828070175438597</v>
      </c>
      <c r="AE92" s="57" t="e">
        <f>[20]January_2019!N8</f>
        <v>#DIV/0!</v>
      </c>
      <c r="AF92" s="57" t="e">
        <f>[20]January_2019!O8</f>
        <v>#DIV/0!</v>
      </c>
      <c r="AG92" s="57">
        <f>[20]January_2019!P8</f>
        <v>0.19222222222222221</v>
      </c>
      <c r="AH92" s="57">
        <f>[20]January_2019!Q8</f>
        <v>0.52219298245614032</v>
      </c>
      <c r="AI92" s="57">
        <f>[20]January_2019!R8</f>
        <v>0.42912280701754385</v>
      </c>
      <c r="AJ92" s="57" t="e">
        <f>[20]January_2019!S8</f>
        <v>#DIV/0!</v>
      </c>
      <c r="AK92" s="57">
        <f>[20]January_2019!T8</f>
        <v>1.0340350877192983</v>
      </c>
      <c r="AL92" s="57">
        <f>[20]January_2019!U8</f>
        <v>0.98421052631578942</v>
      </c>
      <c r="AM92" s="57" t="e">
        <f>[20]January_2019!V8</f>
        <v>#DIV/0!</v>
      </c>
      <c r="AN92" s="57" t="e">
        <f>[20]January_2019!W8</f>
        <v>#DIV/0!</v>
      </c>
      <c r="AO92" s="57">
        <f>[20]January_2019!X8</f>
        <v>0.66052631578947374</v>
      </c>
      <c r="AP92" s="57">
        <f>[20]January_2019!Y8</f>
        <v>1.0375438596491227</v>
      </c>
      <c r="AQ92" s="57">
        <f>[20]January_2019!Z8</f>
        <v>0.90456140350877201</v>
      </c>
      <c r="AR92" s="57">
        <f>[20]January_2019!AA8</f>
        <v>1.0217543859649123</v>
      </c>
      <c r="AS92" s="57">
        <f>[20]January_2019!AB8</f>
        <v>0.65614035087719302</v>
      </c>
      <c r="AT92" s="57" t="e">
        <f>[20]January_2019!AC8</f>
        <v>#DIV/0!</v>
      </c>
      <c r="AU92" s="57" t="e">
        <f>[20]January_2019!AD8</f>
        <v>#DIV/0!</v>
      </c>
      <c r="AV92" s="57">
        <f>[20]January_2019!AE8</f>
        <v>1.7021052631578948</v>
      </c>
      <c r="AW92" s="57">
        <f>[20]January_2019!AF8</f>
        <v>0.60192982456140354</v>
      </c>
      <c r="AX92" s="57">
        <f>[20]January_2019!AG8</f>
        <v>1.4870175438596491</v>
      </c>
      <c r="AY92" s="278" t="e">
        <f>[20]January_2019!AH8</f>
        <v>#DIV/0!</v>
      </c>
      <c r="AZ92" s="278"/>
      <c r="BA92" s="278"/>
      <c r="BB92" s="278"/>
      <c r="BC92" s="278"/>
      <c r="BD92" s="278"/>
      <c r="BE92" s="278"/>
      <c r="BF92" s="278"/>
    </row>
    <row r="93" spans="2:58" s="54" customFormat="1" ht="42" hidden="1" customHeight="1" thickBot="1">
      <c r="B93" s="374"/>
      <c r="C93" s="284"/>
      <c r="D93" s="280"/>
      <c r="E93" s="280"/>
      <c r="F93" s="280"/>
      <c r="G93" s="280"/>
      <c r="H93" s="382"/>
      <c r="I93" s="383"/>
      <c r="J93" s="391" t="s">
        <v>180</v>
      </c>
      <c r="K93" s="373"/>
      <c r="L93" s="315" t="e">
        <f>(((D93+E93)-G93)/(D93+E93))*100</f>
        <v>#DIV/0!</v>
      </c>
      <c r="M93" s="358"/>
      <c r="N93" s="13"/>
      <c r="O93" s="13"/>
      <c r="P93" s="50"/>
      <c r="T93" s="273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278"/>
      <c r="AZ93" s="278"/>
      <c r="BA93" s="278"/>
      <c r="BB93" s="278"/>
      <c r="BC93" s="278"/>
      <c r="BD93" s="278"/>
      <c r="BE93" s="278"/>
      <c r="BF93" s="278"/>
    </row>
    <row r="94" spans="2:58" s="54" customFormat="1" hidden="1">
      <c r="B94" s="362"/>
      <c r="C94" s="284"/>
      <c r="D94" s="305"/>
      <c r="E94" s="280"/>
      <c r="F94" s="280"/>
      <c r="G94" s="280"/>
      <c r="H94" s="382"/>
      <c r="I94" s="383"/>
      <c r="J94" s="390"/>
      <c r="K94" s="377"/>
      <c r="L94" s="315"/>
      <c r="M94" s="355"/>
      <c r="N94" s="13"/>
      <c r="O94" s="13"/>
      <c r="P94" s="50"/>
      <c r="T94" s="273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278"/>
      <c r="AZ94" s="278"/>
      <c r="BA94" s="278"/>
      <c r="BB94" s="278"/>
      <c r="BC94" s="278"/>
      <c r="BD94" s="278"/>
      <c r="BE94" s="278"/>
      <c r="BF94" s="278"/>
    </row>
    <row r="95" spans="2:58" s="54" customFormat="1" ht="45.75" hidden="1" customHeight="1">
      <c r="B95" s="386"/>
      <c r="C95" s="284"/>
      <c r="D95" s="280"/>
      <c r="E95" s="280"/>
      <c r="F95" s="280"/>
      <c r="G95" s="280"/>
      <c r="H95" s="321"/>
      <c r="I95" s="323"/>
      <c r="J95" s="361"/>
      <c r="K95" s="287"/>
      <c r="L95" s="315"/>
      <c r="M95" s="385"/>
      <c r="N95" s="13"/>
      <c r="O95" s="13"/>
      <c r="P95" s="50"/>
      <c r="T95" s="273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278"/>
      <c r="AZ95" s="278"/>
      <c r="BA95" s="278"/>
      <c r="BB95" s="278"/>
      <c r="BC95" s="278"/>
      <c r="BD95" s="278"/>
      <c r="BE95" s="278"/>
      <c r="BF95" s="278"/>
    </row>
    <row r="96" spans="2:58" s="54" customFormat="1" ht="45.75" hidden="1" customHeight="1">
      <c r="B96" s="362"/>
      <c r="C96" s="284"/>
      <c r="D96" s="280"/>
      <c r="E96" s="280"/>
      <c r="F96" s="280"/>
      <c r="G96" s="280"/>
      <c r="H96" s="321"/>
      <c r="I96" s="323"/>
      <c r="J96" s="282"/>
      <c r="K96" s="287"/>
      <c r="L96" s="315"/>
      <c r="M96" s="340"/>
      <c r="N96" s="13"/>
      <c r="O96" s="13"/>
      <c r="P96" s="50"/>
      <c r="T96" s="273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278"/>
      <c r="AZ96" s="278"/>
      <c r="BA96" s="278"/>
      <c r="BB96" s="278"/>
      <c r="BC96" s="278"/>
      <c r="BD96" s="278"/>
      <c r="BE96" s="278"/>
      <c r="BF96" s="278"/>
    </row>
    <row r="97" spans="2:16" ht="14.4" thickBot="1">
      <c r="B97" s="33"/>
      <c r="C97" s="311"/>
      <c r="D97" s="280"/>
      <c r="E97" s="280"/>
      <c r="F97" s="280"/>
      <c r="G97" s="280"/>
      <c r="H97" s="353"/>
      <c r="I97" s="354"/>
      <c r="J97" s="52"/>
      <c r="K97" s="52"/>
      <c r="L97" s="53"/>
      <c r="M97" s="55"/>
      <c r="N97" s="77"/>
      <c r="O97" s="13"/>
      <c r="P97" s="56"/>
    </row>
    <row r="98" spans="2:16" ht="14.4" thickBot="1">
      <c r="B98" s="58"/>
      <c r="C98" s="310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9"/>
      <c r="O98" s="56"/>
      <c r="P98" s="60"/>
    </row>
    <row r="99" spans="2:16" ht="14.4" thickBot="1">
      <c r="B99" s="610" t="s">
        <v>55</v>
      </c>
      <c r="C99" s="611"/>
      <c r="D99" s="611"/>
      <c r="E99" s="611"/>
      <c r="F99" s="612"/>
      <c r="G99" s="610" t="s">
        <v>56</v>
      </c>
      <c r="H99" s="611"/>
      <c r="I99" s="611"/>
      <c r="J99" s="612"/>
      <c r="K99" s="610" t="s">
        <v>51</v>
      </c>
      <c r="L99" s="611"/>
      <c r="M99" s="611"/>
      <c r="N99" s="613"/>
      <c r="O99" s="56"/>
      <c r="P99" s="50"/>
    </row>
    <row r="100" spans="2:16">
      <c r="B100" s="61" t="s">
        <v>17</v>
      </c>
      <c r="C100" s="62" t="s">
        <v>36</v>
      </c>
      <c r="D100" s="62" t="s">
        <v>37</v>
      </c>
      <c r="E100" s="62" t="s">
        <v>38</v>
      </c>
      <c r="F100" s="63" t="s">
        <v>39</v>
      </c>
      <c r="G100" s="62" t="s">
        <v>36</v>
      </c>
      <c r="H100" s="62" t="s">
        <v>37</v>
      </c>
      <c r="I100" s="62" t="s">
        <v>38</v>
      </c>
      <c r="J100" s="63" t="s">
        <v>39</v>
      </c>
      <c r="K100" s="62" t="s">
        <v>36</v>
      </c>
      <c r="L100" s="62" t="s">
        <v>37</v>
      </c>
      <c r="M100" s="62" t="s">
        <v>38</v>
      </c>
      <c r="N100" s="63" t="s">
        <v>39</v>
      </c>
      <c r="O100" s="56"/>
      <c r="P100" s="64"/>
    </row>
    <row r="101" spans="2:16">
      <c r="B101" s="29" t="s">
        <v>6</v>
      </c>
      <c r="C101" s="65">
        <f>L91</f>
        <v>8.4165003326680008</v>
      </c>
      <c r="D101" s="76">
        <v>10.395073628847021</v>
      </c>
      <c r="E101" s="76"/>
      <c r="F101" s="66">
        <v>4.8</v>
      </c>
      <c r="G101" s="65">
        <f>[23]January_2025!$Z$11</f>
        <v>9.0877149067771033</v>
      </c>
      <c r="H101" s="76">
        <v>11.182279788925934</v>
      </c>
      <c r="I101" s="76"/>
      <c r="J101" s="66">
        <v>4.8</v>
      </c>
      <c r="K101" s="67">
        <f>K91</f>
        <v>0.4829824561403509</v>
      </c>
      <c r="L101" s="194">
        <v>0.91795321637426908</v>
      </c>
      <c r="M101" s="194"/>
      <c r="N101" s="68">
        <v>1</v>
      </c>
      <c r="O101" s="56"/>
      <c r="P101" s="69"/>
    </row>
    <row r="102" spans="2:16">
      <c r="B102" s="33" t="s">
        <v>9</v>
      </c>
      <c r="C102" s="65"/>
      <c r="D102" s="76">
        <v>6.7850094667561489</v>
      </c>
      <c r="E102" s="76"/>
      <c r="F102" s="66">
        <v>4.8</v>
      </c>
      <c r="G102" s="65"/>
      <c r="H102" s="76">
        <v>11.587687428344005</v>
      </c>
      <c r="I102" s="76"/>
      <c r="J102" s="66">
        <v>4.8</v>
      </c>
      <c r="K102" s="67"/>
      <c r="L102" s="194">
        <v>1.0883040935672514</v>
      </c>
      <c r="M102" s="194"/>
      <c r="N102" s="68">
        <v>1</v>
      </c>
      <c r="P102" s="69"/>
    </row>
    <row r="103" spans="2:16">
      <c r="B103" s="34" t="s">
        <v>40</v>
      </c>
      <c r="C103" s="65"/>
      <c r="D103" s="76">
        <v>7.5530586766541949</v>
      </c>
      <c r="E103" s="76"/>
      <c r="F103" s="66">
        <v>5.5</v>
      </c>
      <c r="G103" s="65"/>
      <c r="H103" s="76">
        <v>2.6473552031086438</v>
      </c>
      <c r="I103" s="76"/>
      <c r="J103" s="66">
        <v>5.5</v>
      </c>
      <c r="K103" s="67"/>
      <c r="L103" s="194">
        <v>1.0392982456140349</v>
      </c>
      <c r="M103" s="194"/>
      <c r="N103" s="68">
        <v>1</v>
      </c>
      <c r="P103" s="69"/>
    </row>
    <row r="104" spans="2:16">
      <c r="B104" s="22" t="s">
        <v>33</v>
      </c>
      <c r="C104" s="65"/>
      <c r="D104" s="76">
        <v>2.2380467955239092</v>
      </c>
      <c r="E104" s="76"/>
      <c r="F104" s="66">
        <v>3.3</v>
      </c>
      <c r="G104" s="65"/>
      <c r="H104" s="76">
        <v>5.2472220688473969</v>
      </c>
      <c r="I104" s="76"/>
      <c r="J104" s="66">
        <v>3.3</v>
      </c>
      <c r="K104" s="67"/>
      <c r="L104" s="194">
        <v>0.67438596491228064</v>
      </c>
      <c r="M104" s="194"/>
      <c r="N104" s="68">
        <v>1</v>
      </c>
      <c r="P104" s="69"/>
    </row>
    <row r="105" spans="2:16">
      <c r="B105" s="35" t="s">
        <v>29</v>
      </c>
      <c r="C105" s="65"/>
      <c r="D105" s="76"/>
      <c r="E105" s="76"/>
      <c r="F105" s="66">
        <v>3.3</v>
      </c>
      <c r="G105" s="283"/>
      <c r="H105" s="76"/>
      <c r="I105" s="76"/>
      <c r="J105" s="66">
        <v>3</v>
      </c>
      <c r="K105" s="67"/>
      <c r="L105" s="194"/>
      <c r="M105" s="194"/>
      <c r="N105" s="68">
        <v>1</v>
      </c>
      <c r="P105" s="69"/>
    </row>
    <row r="106" spans="2:16">
      <c r="B106" s="36" t="s">
        <v>15</v>
      </c>
      <c r="C106" s="283"/>
      <c r="D106" s="76">
        <v>8.7664670658682695</v>
      </c>
      <c r="E106" s="76"/>
      <c r="F106" s="70">
        <f>[21]May_2022!$M$43</f>
        <v>3.4878406700073312</v>
      </c>
      <c r="G106" s="283"/>
      <c r="H106" s="76">
        <v>10.607235567685406</v>
      </c>
      <c r="I106" s="76"/>
      <c r="J106" s="70">
        <v>5.5</v>
      </c>
      <c r="K106" s="67"/>
      <c r="L106" s="194">
        <v>0.66824561403508764</v>
      </c>
      <c r="M106" s="194"/>
      <c r="N106" s="68">
        <v>1</v>
      </c>
      <c r="P106" s="69"/>
    </row>
    <row r="107" spans="2:16">
      <c r="B107" s="37" t="s">
        <v>16</v>
      </c>
      <c r="C107" s="65"/>
      <c r="D107" s="76">
        <v>1.4603960396039548</v>
      </c>
      <c r="E107" s="76"/>
      <c r="F107" s="70">
        <v>3.3</v>
      </c>
      <c r="G107" s="283"/>
      <c r="H107" s="76">
        <v>4.0624079285034069</v>
      </c>
      <c r="I107" s="76"/>
      <c r="J107" s="70">
        <v>3.3</v>
      </c>
      <c r="K107" s="67"/>
      <c r="L107" s="194">
        <v>0.69842105263157894</v>
      </c>
      <c r="M107" s="194"/>
      <c r="N107" s="71">
        <v>1</v>
      </c>
      <c r="P107" s="69"/>
    </row>
    <row r="108" spans="2:16" ht="14.4" thickBot="1">
      <c r="B108" s="38" t="s">
        <v>127</v>
      </c>
      <c r="C108" s="65"/>
      <c r="D108" s="76"/>
      <c r="E108" s="76"/>
      <c r="F108" s="72">
        <v>7.5</v>
      </c>
      <c r="G108" s="73"/>
      <c r="H108" s="76"/>
      <c r="I108" s="76"/>
      <c r="J108" s="72">
        <v>7.5</v>
      </c>
      <c r="K108" s="67"/>
      <c r="L108" s="194"/>
      <c r="M108" s="194"/>
      <c r="N108" s="71">
        <v>1</v>
      </c>
      <c r="P108" s="69"/>
    </row>
    <row r="109" spans="2:16">
      <c r="C109" s="65"/>
      <c r="D109" s="76">
        <v>7.7010745324205212</v>
      </c>
      <c r="E109" s="76"/>
      <c r="F109" s="342">
        <v>4.5</v>
      </c>
      <c r="G109" s="74"/>
      <c r="H109" s="76">
        <v>6.9593481484924711</v>
      </c>
      <c r="I109" s="76"/>
      <c r="J109" s="343">
        <v>4.5</v>
      </c>
      <c r="K109" s="67"/>
      <c r="L109" s="194">
        <v>0.80685146198830426</v>
      </c>
      <c r="M109" s="194"/>
      <c r="N109" s="387">
        <v>1</v>
      </c>
      <c r="O109" s="74"/>
      <c r="P109" s="75"/>
    </row>
    <row r="114" spans="6:30">
      <c r="F114" s="316"/>
    </row>
    <row r="122" spans="6:30">
      <c r="AD122" s="276" t="s">
        <v>57</v>
      </c>
    </row>
  </sheetData>
  <mergeCells count="52">
    <mergeCell ref="M89:M90"/>
    <mergeCell ref="B99:F99"/>
    <mergeCell ref="G99:J99"/>
    <mergeCell ref="K99:N99"/>
    <mergeCell ref="G89:G90"/>
    <mergeCell ref="H89:H90"/>
    <mergeCell ref="I89:I90"/>
    <mergeCell ref="J89:J90"/>
    <mergeCell ref="K89:K90"/>
    <mergeCell ref="L89:L90"/>
    <mergeCell ref="F89:F90"/>
    <mergeCell ref="D84:E84"/>
    <mergeCell ref="B89:B90"/>
    <mergeCell ref="C89:C90"/>
    <mergeCell ref="D89:D90"/>
    <mergeCell ref="E89:E90"/>
    <mergeCell ref="B74:B83"/>
    <mergeCell ref="D74:E75"/>
    <mergeCell ref="J74:K74"/>
    <mergeCell ref="L75:N75"/>
    <mergeCell ref="D76:E77"/>
    <mergeCell ref="D78:E79"/>
    <mergeCell ref="D80:E81"/>
    <mergeCell ref="D82:E83"/>
    <mergeCell ref="C4:D4"/>
    <mergeCell ref="M4:N4"/>
    <mergeCell ref="I60:N60"/>
    <mergeCell ref="D61:E61"/>
    <mergeCell ref="B62:B73"/>
    <mergeCell ref="D62:E63"/>
    <mergeCell ref="D64:E65"/>
    <mergeCell ref="D66:E67"/>
    <mergeCell ref="D68:E69"/>
    <mergeCell ref="D70:E71"/>
    <mergeCell ref="D72:E73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84:B85">
    <cfRule type="cellIs" dxfId="878" priority="152" operator="notBetween">
      <formula>#REF!</formula>
      <formula>#REF!</formula>
    </cfRule>
  </conditionalFormatting>
  <conditionalFormatting sqref="C88">
    <cfRule type="cellIs" dxfId="877" priority="184" stopIfTrue="1" operator="greaterThan">
      <formula>100</formula>
    </cfRule>
    <cfRule type="cellIs" dxfId="876" priority="183" stopIfTrue="1" operator="lessThan">
      <formula>96</formula>
    </cfRule>
  </conditionalFormatting>
  <conditionalFormatting sqref="C101">
    <cfRule type="cellIs" dxfId="875" priority="72" stopIfTrue="1" operator="greaterThan">
      <formula>$F101</formula>
    </cfRule>
  </conditionalFormatting>
  <conditionalFormatting sqref="C101:C102">
    <cfRule type="cellIs" dxfId="874" priority="73" stopIfTrue="1" operator="lessThanOrEqual">
      <formula>0</formula>
    </cfRule>
  </conditionalFormatting>
  <conditionalFormatting sqref="C102">
    <cfRule type="cellIs" dxfId="873" priority="187" stopIfTrue="1" operator="greaterThan">
      <formula>$F101</formula>
    </cfRule>
  </conditionalFormatting>
  <conditionalFormatting sqref="C103:C105">
    <cfRule type="cellIs" dxfId="872" priority="102" stopIfTrue="1" operator="greaterThan">
      <formula>$F103</formula>
    </cfRule>
  </conditionalFormatting>
  <conditionalFormatting sqref="C103:C106">
    <cfRule type="cellIs" dxfId="871" priority="125" stopIfTrue="1" operator="lessThanOrEqual">
      <formula>0</formula>
    </cfRule>
  </conditionalFormatting>
  <conditionalFormatting sqref="C106">
    <cfRule type="cellIs" dxfId="870" priority="124" stopIfTrue="1" operator="greaterThan">
      <formula>$J106</formula>
    </cfRule>
  </conditionalFormatting>
  <conditionalFormatting sqref="C112:C116">
    <cfRule type="cellIs" dxfId="869" priority="175" stopIfTrue="1" operator="lessThanOrEqual">
      <formula>0</formula>
    </cfRule>
  </conditionalFormatting>
  <conditionalFormatting sqref="C113:C116">
    <cfRule type="cellIs" dxfId="868" priority="174" stopIfTrue="1" operator="greaterThan">
      <formula>$F$112</formula>
    </cfRule>
  </conditionalFormatting>
  <conditionalFormatting sqref="C118">
    <cfRule type="cellIs" dxfId="867" priority="177" stopIfTrue="1" operator="lessThanOrEqual">
      <formula>0</formula>
    </cfRule>
    <cfRule type="cellIs" dxfId="866" priority="176" stopIfTrue="1" operator="greaterThan">
      <formula>$F$112</formula>
    </cfRule>
  </conditionalFormatting>
  <conditionalFormatting sqref="C112:D112 D114:D120">
    <cfRule type="cellIs" dxfId="865" priority="169" stopIfTrue="1" operator="greaterThan">
      <formula>4.5</formula>
    </cfRule>
  </conditionalFormatting>
  <conditionalFormatting sqref="D84:D85">
    <cfRule type="cellIs" dxfId="864" priority="153" operator="notBetween">
      <formula>#REF!</formula>
      <formula>#REF!</formula>
    </cfRule>
  </conditionalFormatting>
  <conditionalFormatting sqref="D101:D108">
    <cfRule type="cellIs" dxfId="863" priority="139" stopIfTrue="1" operator="lessThanOrEqual">
      <formula>0</formula>
    </cfRule>
  </conditionalFormatting>
  <conditionalFormatting sqref="D109">
    <cfRule type="cellIs" dxfId="862" priority="138" stopIfTrue="1" operator="lessThanOrEqual">
      <formula>0</formula>
    </cfRule>
  </conditionalFormatting>
  <conditionalFormatting sqref="D112 D114:D120">
    <cfRule type="cellIs" dxfId="861" priority="170" stopIfTrue="1" operator="lessThanOrEqual">
      <formula>0</formula>
    </cfRule>
  </conditionalFormatting>
  <conditionalFormatting sqref="D113">
    <cfRule type="cellIs" dxfId="860" priority="162" stopIfTrue="1" operator="lessThanOrEqual">
      <formula>0</formula>
    </cfRule>
    <cfRule type="cellIs" dxfId="859" priority="161" stopIfTrue="1" operator="greaterThan">
      <formula>$F$112</formula>
    </cfRule>
  </conditionalFormatting>
  <conditionalFormatting sqref="D101:E109">
    <cfRule type="cellIs" dxfId="858" priority="131" stopIfTrue="1" operator="greaterThan">
      <formula>$F101</formula>
    </cfRule>
  </conditionalFormatting>
  <conditionalFormatting sqref="E10:E59">
    <cfRule type="cellIs" dxfId="857" priority="21" operator="lessThan">
      <formula>48</formula>
    </cfRule>
  </conditionalFormatting>
  <conditionalFormatting sqref="E88">
    <cfRule type="cellIs" dxfId="856" priority="164" stopIfTrue="1" operator="greaterThan">
      <formula>100</formula>
    </cfRule>
    <cfRule type="cellIs" dxfId="855" priority="163" stopIfTrue="1" operator="lessThan">
      <formula>96.8</formula>
    </cfRule>
  </conditionalFormatting>
  <conditionalFormatting sqref="E101:E109">
    <cfRule type="cellIs" dxfId="854" priority="132" stopIfTrue="1" operator="lessThanOrEqual">
      <formula>0</formula>
    </cfRule>
  </conditionalFormatting>
  <conditionalFormatting sqref="E112:E120">
    <cfRule type="cellIs" dxfId="853" priority="156" stopIfTrue="1" operator="lessThanOrEqual">
      <formula>0</formula>
    </cfRule>
    <cfRule type="cellIs" dxfId="852" priority="155" stopIfTrue="1" operator="greaterThan">
      <formula>4.5</formula>
    </cfRule>
  </conditionalFormatting>
  <conditionalFormatting sqref="E87:F88">
    <cfRule type="cellIs" dxfId="851" priority="166" stopIfTrue="1" operator="greaterThan">
      <formula>100</formula>
    </cfRule>
    <cfRule type="cellIs" dxfId="850" priority="165" stopIfTrue="1" operator="lessThan">
      <formula>96.5</formula>
    </cfRule>
  </conditionalFormatting>
  <conditionalFormatting sqref="F10:F37">
    <cfRule type="cellIs" dxfId="849" priority="28" operator="greaterThan">
      <formula>60</formula>
    </cfRule>
  </conditionalFormatting>
  <conditionalFormatting sqref="F38">
    <cfRule type="cellIs" dxfId="848" priority="196" operator="greaterThan">
      <formula>$AA96</formula>
    </cfRule>
    <cfRule type="cellIs" dxfId="847" priority="195" operator="greaterThan">
      <formula>$AA38</formula>
    </cfRule>
  </conditionalFormatting>
  <conditionalFormatting sqref="F39:F58">
    <cfRule type="cellIs" dxfId="846" priority="23" operator="greaterThan">
      <formula>60</formula>
    </cfRule>
  </conditionalFormatting>
  <conditionalFormatting sqref="F59">
    <cfRule type="cellIs" dxfId="845" priority="188" operator="greaterThan">
      <formula>$AA98</formula>
    </cfRule>
    <cfRule type="cellIs" dxfId="844" priority="59" operator="greaterThan">
      <formula>$AA59</formula>
    </cfRule>
  </conditionalFormatting>
  <conditionalFormatting sqref="F88">
    <cfRule type="cellIs" dxfId="843" priority="181" stopIfTrue="1" operator="lessThan">
      <formula>96.8</formula>
    </cfRule>
    <cfRule type="cellIs" dxfId="842" priority="182" stopIfTrue="1" operator="greaterThan">
      <formula>100</formula>
    </cfRule>
  </conditionalFormatting>
  <conditionalFormatting sqref="F109">
    <cfRule type="cellIs" dxfId="841" priority="134" stopIfTrue="1" operator="lessThanOrEqual">
      <formula>0</formula>
    </cfRule>
    <cfRule type="cellIs" dxfId="840" priority="133" stopIfTrue="1" operator="greaterThan">
      <formula>$F109</formula>
    </cfRule>
  </conditionalFormatting>
  <conditionalFormatting sqref="G101:G102 C107:C109">
    <cfRule type="cellIs" dxfId="839" priority="140" stopIfTrue="1" operator="greaterThan">
      <formula>$F101</formula>
    </cfRule>
    <cfRule type="cellIs" dxfId="838" priority="141" stopIfTrue="1" operator="lessThanOrEqual">
      <formula>0</formula>
    </cfRule>
  </conditionalFormatting>
  <conditionalFormatting sqref="G101:G102">
    <cfRule type="cellIs" dxfId="837" priority="80" stopIfTrue="1" operator="greaterThan">
      <formula>$F101</formula>
    </cfRule>
    <cfRule type="cellIs" dxfId="836" priority="81" stopIfTrue="1" operator="lessThanOrEqual">
      <formula>0</formula>
    </cfRule>
  </conditionalFormatting>
  <conditionalFormatting sqref="G103">
    <cfRule type="cellIs" dxfId="835" priority="185" stopIfTrue="1" operator="greaterThan">
      <formula>$F102</formula>
    </cfRule>
    <cfRule type="cellIs" dxfId="834" priority="186" stopIfTrue="1" operator="lessThanOrEqual">
      <formula>0</formula>
    </cfRule>
  </conditionalFormatting>
  <conditionalFormatting sqref="G104">
    <cfRule type="cellIs" dxfId="833" priority="135" stopIfTrue="1" operator="greaterThan">
      <formula>$F104</formula>
    </cfRule>
    <cfRule type="cellIs" dxfId="832" priority="136" stopIfTrue="1" operator="lessThanOrEqual">
      <formula>0</formula>
    </cfRule>
  </conditionalFormatting>
  <conditionalFormatting sqref="G105:G108">
    <cfRule type="cellIs" dxfId="831" priority="144" stopIfTrue="1" operator="lessThanOrEqual">
      <formula>0</formula>
    </cfRule>
    <cfRule type="cellIs" dxfId="830" priority="143" stopIfTrue="1" operator="greaterThan">
      <formula>$J105</formula>
    </cfRule>
  </conditionalFormatting>
  <conditionalFormatting sqref="G109">
    <cfRule type="cellIs" dxfId="829" priority="142" operator="greaterThan">
      <formula>4.5</formula>
    </cfRule>
  </conditionalFormatting>
  <conditionalFormatting sqref="G114:G119 C117 C119">
    <cfRule type="cellIs" dxfId="828" priority="178" stopIfTrue="1" operator="greaterThan">
      <formula>4.5</formula>
    </cfRule>
    <cfRule type="cellIs" dxfId="827" priority="179" stopIfTrue="1" operator="lessThanOrEqual">
      <formula>0</formula>
    </cfRule>
  </conditionalFormatting>
  <conditionalFormatting sqref="G10:H59">
    <cfRule type="expression" dxfId="826" priority="25">
      <formula>IF(+(IF(G10&lt;#REF!,0,IF(G10&gt;#REF!,0,1)))=0,1)</formula>
    </cfRule>
  </conditionalFormatting>
  <conditionalFormatting sqref="G113:H113">
    <cfRule type="cellIs" dxfId="825" priority="159" stopIfTrue="1" operator="greaterThan">
      <formula>$F$112</formula>
    </cfRule>
    <cfRule type="cellIs" dxfId="824" priority="160" stopIfTrue="1" operator="lessThanOrEqual">
      <formula>0</formula>
    </cfRule>
  </conditionalFormatting>
  <conditionalFormatting sqref="H63:H86 G74:G85">
    <cfRule type="cellIs" dxfId="823" priority="157" stopIfTrue="1" operator="greaterThan">
      <formula>0</formula>
    </cfRule>
  </conditionalFormatting>
  <conditionalFormatting sqref="H91">
    <cfRule type="cellIs" dxfId="822" priority="14" stopIfTrue="1" operator="lessThanOrEqual">
      <formula>0</formula>
    </cfRule>
    <cfRule type="cellIs" dxfId="821" priority="13" stopIfTrue="1" operator="greaterThan">
      <formula>$F$77</formula>
    </cfRule>
    <cfRule type="cellIs" dxfId="820" priority="11" stopIfTrue="1" operator="greaterThan">
      <formula>$F$79</formula>
    </cfRule>
    <cfRule type="cellIs" dxfId="819" priority="3" stopIfTrue="1" operator="greaterThan">
      <formula>$F$76</formula>
    </cfRule>
    <cfRule type="cellIs" dxfId="818" priority="2" stopIfTrue="1" operator="lessThanOrEqual">
      <formula>0</formula>
    </cfRule>
    <cfRule type="cellIs" dxfId="817" priority="12" stopIfTrue="1" operator="lessThanOrEqual">
      <formula>0</formula>
    </cfRule>
  </conditionalFormatting>
  <conditionalFormatting sqref="H92">
    <cfRule type="cellIs" dxfId="816" priority="100" stopIfTrue="1" operator="greaterThan">
      <formula>$F$101</formula>
    </cfRule>
    <cfRule type="cellIs" dxfId="815" priority="99" stopIfTrue="1" operator="lessThanOrEqual">
      <formula>0</formula>
    </cfRule>
    <cfRule type="cellIs" dxfId="814" priority="89" stopIfTrue="1" operator="lessThanOrEqual">
      <formula>0</formula>
    </cfRule>
    <cfRule type="cellIs" dxfId="813" priority="101" stopIfTrue="1" operator="lessThanOrEqual">
      <formula>0</formula>
    </cfRule>
    <cfRule type="cellIs" dxfId="812" priority="98" stopIfTrue="1" operator="greaterThan">
      <formula>$F$103</formula>
    </cfRule>
    <cfRule type="cellIs" dxfId="811" priority="90" stopIfTrue="1" operator="greaterThan">
      <formula>$F$100</formula>
    </cfRule>
  </conditionalFormatting>
  <conditionalFormatting sqref="H93">
    <cfRule type="cellIs" dxfId="810" priority="36" stopIfTrue="1" operator="lessThanOrEqual">
      <formula>0</formula>
    </cfRule>
    <cfRule type="cellIs" dxfId="809" priority="45" stopIfTrue="1" operator="greaterThan">
      <formula>#REF!</formula>
    </cfRule>
    <cfRule type="cellIs" dxfId="808" priority="37" stopIfTrue="1" operator="greaterThan">
      <formula>#REF!</formula>
    </cfRule>
  </conditionalFormatting>
  <conditionalFormatting sqref="H93:H94">
    <cfRule type="cellIs" dxfId="807" priority="46" stopIfTrue="1" operator="lessThanOrEqual">
      <formula>0</formula>
    </cfRule>
  </conditionalFormatting>
  <conditionalFormatting sqref="H94">
    <cfRule type="cellIs" dxfId="806" priority="58" stopIfTrue="1" operator="lessThanOrEqual">
      <formula>0</formula>
    </cfRule>
    <cfRule type="cellIs" dxfId="805" priority="57" stopIfTrue="1" operator="greaterThan">
      <formula>#REF!</formula>
    </cfRule>
    <cfRule type="cellIs" dxfId="804" priority="49" stopIfTrue="1" operator="greaterThan">
      <formula>#REF!</formula>
    </cfRule>
  </conditionalFormatting>
  <conditionalFormatting sqref="H95:H96">
    <cfRule type="cellIs" dxfId="803" priority="121" stopIfTrue="1" operator="lessThanOrEqual">
      <formula>0</formula>
    </cfRule>
    <cfRule type="cellIs" dxfId="802" priority="84" stopIfTrue="1" operator="lessThanOrEqual">
      <formula>0</formula>
    </cfRule>
    <cfRule type="cellIs" dxfId="801" priority="119" stopIfTrue="1" operator="lessThanOrEqual">
      <formula>0</formula>
    </cfRule>
    <cfRule type="cellIs" dxfId="800" priority="120" stopIfTrue="1" operator="greaterThan">
      <formula>$F$102</formula>
    </cfRule>
    <cfRule type="cellIs" dxfId="799" priority="118" stopIfTrue="1" operator="greaterThan">
      <formula>$F$104</formula>
    </cfRule>
    <cfRule type="cellIs" dxfId="798" priority="110" stopIfTrue="1" operator="greaterThan">
      <formula>$F$101</formula>
    </cfRule>
  </conditionalFormatting>
  <conditionalFormatting sqref="H97">
    <cfRule type="cellIs" dxfId="797" priority="148" stopIfTrue="1" operator="greaterThan">
      <formula>$F$98</formula>
    </cfRule>
    <cfRule type="cellIs" dxfId="796" priority="149" stopIfTrue="1" operator="lessThanOrEqual">
      <formula>0</formula>
    </cfRule>
    <cfRule type="cellIs" dxfId="795" priority="150" stopIfTrue="1" operator="greaterThan">
      <formula>$F$94</formula>
    </cfRule>
    <cfRule type="cellIs" dxfId="794" priority="151" stopIfTrue="1" operator="lessThanOrEqual">
      <formula>0</formula>
    </cfRule>
  </conditionalFormatting>
  <conditionalFormatting sqref="H101:H108">
    <cfRule type="cellIs" dxfId="793" priority="123" stopIfTrue="1" operator="lessThanOrEqual">
      <formula>0</formula>
    </cfRule>
    <cfRule type="cellIs" dxfId="792" priority="122" stopIfTrue="1" operator="greaterThan">
      <formula>$J101</formula>
    </cfRule>
  </conditionalFormatting>
  <conditionalFormatting sqref="H109">
    <cfRule type="cellIs" dxfId="791" priority="128" operator="greaterThan">
      <formula>5.3</formula>
    </cfRule>
  </conditionalFormatting>
  <conditionalFormatting sqref="H112 H114:H120">
    <cfRule type="cellIs" dxfId="790" priority="171" stopIfTrue="1" operator="greaterThan">
      <formula>4.5</formula>
    </cfRule>
    <cfRule type="cellIs" dxfId="789" priority="172" stopIfTrue="1" operator="lessThanOrEqual">
      <formula>0</formula>
    </cfRule>
  </conditionalFormatting>
  <conditionalFormatting sqref="H91:I91">
    <cfRule type="cellIs" dxfId="788" priority="1" stopIfTrue="1" operator="greaterThan">
      <formula>$F$78</formula>
    </cfRule>
    <cfRule type="cellIs" dxfId="787" priority="4" stopIfTrue="1" operator="lessThanOrEqual">
      <formula>0</formula>
    </cfRule>
  </conditionalFormatting>
  <conditionalFormatting sqref="H92:I92">
    <cfRule type="cellIs" dxfId="786" priority="91" stopIfTrue="1" operator="lessThanOrEqual">
      <formula>0</formula>
    </cfRule>
    <cfRule type="cellIs" dxfId="785" priority="88" stopIfTrue="1" operator="greaterThan">
      <formula>$F$102</formula>
    </cfRule>
  </conditionalFormatting>
  <conditionalFormatting sqref="H93:I93">
    <cfRule type="cellIs" dxfId="784" priority="38" stopIfTrue="1" operator="lessThanOrEqual">
      <formula>0</formula>
    </cfRule>
    <cfRule type="cellIs" dxfId="783" priority="44" stopIfTrue="1" operator="lessThanOrEqual">
      <formula>0</formula>
    </cfRule>
    <cfRule type="cellIs" dxfId="782" priority="35" stopIfTrue="1" operator="greaterThan">
      <formula>#REF!</formula>
    </cfRule>
  </conditionalFormatting>
  <conditionalFormatting sqref="H93:I94">
    <cfRule type="cellIs" dxfId="781" priority="39" stopIfTrue="1" operator="greaterThan">
      <formula>#REF!</formula>
    </cfRule>
  </conditionalFormatting>
  <conditionalFormatting sqref="H94:I94">
    <cfRule type="cellIs" dxfId="780" priority="50" stopIfTrue="1" operator="lessThanOrEqual">
      <formula>0</formula>
    </cfRule>
    <cfRule type="cellIs" dxfId="779" priority="53" stopIfTrue="1" operator="greaterThan">
      <formula>#REF!</formula>
    </cfRule>
    <cfRule type="cellIs" dxfId="778" priority="56" stopIfTrue="1" operator="lessThanOrEqual">
      <formula>0</formula>
    </cfRule>
  </conditionalFormatting>
  <conditionalFormatting sqref="H95:I95">
    <cfRule type="cellIs" dxfId="777" priority="111" stopIfTrue="1" operator="lessThanOrEqual">
      <formula>0</formula>
    </cfRule>
  </conditionalFormatting>
  <conditionalFormatting sqref="H95:I96">
    <cfRule type="cellIs" dxfId="776" priority="82" stopIfTrue="1" operator="greaterThan">
      <formula>$F$103</formula>
    </cfRule>
  </conditionalFormatting>
  <conditionalFormatting sqref="H96:I96">
    <cfRule type="cellIs" dxfId="775" priority="83" stopIfTrue="1" operator="lessThanOrEqual">
      <formula>0</formula>
    </cfRule>
  </conditionalFormatting>
  <conditionalFormatting sqref="I38 I59">
    <cfRule type="cellIs" dxfId="774" priority="74" operator="lessThan">
      <formula>97.8</formula>
    </cfRule>
    <cfRule type="cellIs" dxfId="773" priority="77" operator="lessThan">
      <formula>98</formula>
    </cfRule>
  </conditionalFormatting>
  <conditionalFormatting sqref="I91">
    <cfRule type="cellIs" dxfId="772" priority="10" stopIfTrue="1" operator="lessThanOrEqual">
      <formula>0</formula>
    </cfRule>
    <cfRule type="cellIs" dxfId="771" priority="9" stopIfTrue="1" operator="greaterThan">
      <formula>$F$76</formula>
    </cfRule>
    <cfRule type="cellIs" dxfId="770" priority="8" stopIfTrue="1" operator="lessThanOrEqual">
      <formula>0</formula>
    </cfRule>
    <cfRule type="cellIs" dxfId="769" priority="7" stopIfTrue="1" operator="greaterThan">
      <formula>$F$78</formula>
    </cfRule>
    <cfRule type="cellIs" dxfId="768" priority="5" stopIfTrue="1" operator="greaterThan">
      <formula>$F$76</formula>
    </cfRule>
    <cfRule type="cellIs" dxfId="767" priority="6" stopIfTrue="1" operator="lessThanOrEqual">
      <formula>0</formula>
    </cfRule>
  </conditionalFormatting>
  <conditionalFormatting sqref="I92">
    <cfRule type="cellIs" dxfId="766" priority="93" stopIfTrue="1" operator="lessThanOrEqual">
      <formula>0</formula>
    </cfRule>
    <cfRule type="cellIs" dxfId="765" priority="97" stopIfTrue="1" operator="lessThanOrEqual">
      <formula>0</formula>
    </cfRule>
    <cfRule type="cellIs" dxfId="764" priority="96" stopIfTrue="1" operator="greaterThan">
      <formula>$F$100</formula>
    </cfRule>
    <cfRule type="cellIs" dxfId="763" priority="95" stopIfTrue="1" operator="lessThanOrEqual">
      <formula>0</formula>
    </cfRule>
    <cfRule type="cellIs" dxfId="762" priority="94" stopIfTrue="1" operator="greaterThan">
      <formula>$F$102</formula>
    </cfRule>
    <cfRule type="cellIs" dxfId="761" priority="92" stopIfTrue="1" operator="greaterThan">
      <formula>$F$100</formula>
    </cfRule>
  </conditionalFormatting>
  <conditionalFormatting sqref="I93">
    <cfRule type="cellIs" dxfId="760" priority="40" stopIfTrue="1" operator="lessThanOrEqual">
      <formula>0</formula>
    </cfRule>
    <cfRule type="cellIs" dxfId="759" priority="41" stopIfTrue="1" operator="greaterThan">
      <formula>#REF!</formula>
    </cfRule>
    <cfRule type="cellIs" dxfId="758" priority="43" stopIfTrue="1" operator="greaterThan">
      <formula>#REF!</formula>
    </cfRule>
    <cfRule type="cellIs" dxfId="757" priority="42" stopIfTrue="1" operator="lessThanOrEqual">
      <formula>0</formula>
    </cfRule>
  </conditionalFormatting>
  <conditionalFormatting sqref="I94">
    <cfRule type="cellIs" dxfId="756" priority="52" stopIfTrue="1" operator="lessThanOrEqual">
      <formula>0</formula>
    </cfRule>
    <cfRule type="cellIs" dxfId="755" priority="54" stopIfTrue="1" operator="lessThanOrEqual">
      <formula>0</formula>
    </cfRule>
    <cfRule type="cellIs" dxfId="754" priority="55" stopIfTrue="1" operator="greaterThan">
      <formula>#REF!</formula>
    </cfRule>
    <cfRule type="cellIs" dxfId="753" priority="51" stopIfTrue="1" operator="greaterThan">
      <formula>#REF!</formula>
    </cfRule>
  </conditionalFormatting>
  <conditionalFormatting sqref="I95:I96">
    <cfRule type="cellIs" dxfId="752" priority="116" stopIfTrue="1" operator="greaterThan">
      <formula>$F$101</formula>
    </cfRule>
    <cfRule type="cellIs" dxfId="751" priority="117" stopIfTrue="1" operator="lessThanOrEqual">
      <formula>0</formula>
    </cfRule>
    <cfRule type="cellIs" dxfId="750" priority="114" stopIfTrue="1" operator="greaterThan">
      <formula>$F$103</formula>
    </cfRule>
    <cfRule type="cellIs" dxfId="749" priority="113" stopIfTrue="1" operator="lessThanOrEqual">
      <formula>0</formula>
    </cfRule>
    <cfRule type="cellIs" dxfId="748" priority="112" stopIfTrue="1" operator="greaterThan">
      <formula>$F$101</formula>
    </cfRule>
    <cfRule type="cellIs" dxfId="747" priority="115" stopIfTrue="1" operator="lessThanOrEqual">
      <formula>0</formula>
    </cfRule>
  </conditionalFormatting>
  <conditionalFormatting sqref="I101:I109">
    <cfRule type="cellIs" dxfId="746" priority="130" stopIfTrue="1" operator="lessThanOrEqual">
      <formula>0</formula>
    </cfRule>
    <cfRule type="cellIs" dxfId="745" priority="129" stopIfTrue="1" operator="greaterThan">
      <formula>$J101</formula>
    </cfRule>
  </conditionalFormatting>
  <conditionalFormatting sqref="I112:I120">
    <cfRule type="cellIs" dxfId="744" priority="167" stopIfTrue="1" operator="greaterThan">
      <formula>4.5</formula>
    </cfRule>
    <cfRule type="cellIs" dxfId="743" priority="168" stopIfTrue="1" operator="lessThanOrEqual">
      <formula>0</formula>
    </cfRule>
  </conditionalFormatting>
  <conditionalFormatting sqref="I10:J37">
    <cfRule type="cellIs" dxfId="742" priority="30" operator="lessThan">
      <formula>97.9</formula>
    </cfRule>
  </conditionalFormatting>
  <conditionalFormatting sqref="I39:J58">
    <cfRule type="cellIs" dxfId="741" priority="24" operator="lessThan">
      <formula>97.9</formula>
    </cfRule>
  </conditionalFormatting>
  <conditionalFormatting sqref="J38 J59">
    <cfRule type="cellIs" dxfId="740" priority="76" operator="lessThan">
      <formula>97.4</formula>
    </cfRule>
    <cfRule type="cellIs" dxfId="739" priority="75" operator="notBetween">
      <formula>98</formula>
      <formula>99.9</formula>
    </cfRule>
  </conditionalFormatting>
  <conditionalFormatting sqref="J62:J64">
    <cfRule type="cellIs" dxfId="738" priority="104" stopIfTrue="1" operator="greaterThan">
      <formula>100</formula>
    </cfRule>
    <cfRule type="cellIs" dxfId="737" priority="103" stopIfTrue="1" operator="lessThan">
      <formula>96.8</formula>
    </cfRule>
    <cfRule type="cellIs" dxfId="736" priority="105" operator="lessThan">
      <formula>98</formula>
    </cfRule>
  </conditionalFormatting>
  <conditionalFormatting sqref="J62:J66">
    <cfRule type="cellIs" dxfId="735" priority="79" operator="lessThan">
      <formula>97.4</formula>
    </cfRule>
  </conditionalFormatting>
  <conditionalFormatting sqref="J67">
    <cfRule type="cellIs" dxfId="734" priority="106" operator="lessThan">
      <formula>98</formula>
    </cfRule>
  </conditionalFormatting>
  <conditionalFormatting sqref="J68:J70">
    <cfRule type="cellIs" dxfId="733" priority="107" stopIfTrue="1" operator="lessThan">
      <formula>96.8</formula>
    </cfRule>
    <cfRule type="cellIs" dxfId="732" priority="108" stopIfTrue="1" operator="greaterThan">
      <formula>100</formula>
    </cfRule>
  </conditionalFormatting>
  <conditionalFormatting sqref="J68:J71">
    <cfRule type="cellIs" dxfId="731" priority="109" operator="lessThan">
      <formula>98</formula>
    </cfRule>
  </conditionalFormatting>
  <conditionalFormatting sqref="K10:K59">
    <cfRule type="cellIs" dxfId="730" priority="18" operator="lessThan">
      <formula>4</formula>
    </cfRule>
    <cfRule type="cellIs" dxfId="729" priority="17" operator="greaterThan">
      <formula>6</formula>
    </cfRule>
    <cfRule type="cellIs" dxfId="728" priority="22" operator="greaterThan">
      <formula>6.4</formula>
    </cfRule>
  </conditionalFormatting>
  <conditionalFormatting sqref="K76:K85">
    <cfRule type="cellIs" dxfId="727" priority="137" operator="notEqual">
      <formula>#REF!</formula>
    </cfRule>
  </conditionalFormatting>
  <conditionalFormatting sqref="K91:K96 J97:K97 K101:N109">
    <cfRule type="cellIs" dxfId="726" priority="147" stopIfTrue="1" operator="lessThan">
      <formula>100%</formula>
    </cfRule>
  </conditionalFormatting>
  <conditionalFormatting sqref="K112:K117">
    <cfRule type="cellIs" dxfId="725" priority="173" stopIfTrue="1" operator="lessThan">
      <formula>100%</formula>
    </cfRule>
  </conditionalFormatting>
  <conditionalFormatting sqref="K119:K120">
    <cfRule type="cellIs" dxfId="724" priority="180" stopIfTrue="1" operator="lessThan">
      <formula>100%</formula>
    </cfRule>
  </conditionalFormatting>
  <conditionalFormatting sqref="L10:L59">
    <cfRule type="cellIs" dxfId="723" priority="19" operator="between">
      <formula>61</formula>
      <formula>65</formula>
    </cfRule>
    <cfRule type="cellIs" dxfId="722" priority="20" operator="greaterThan">
      <formula>65</formula>
    </cfRule>
  </conditionalFormatting>
  <conditionalFormatting sqref="L62:M73">
    <cfRule type="cellIs" dxfId="721" priority="34" operator="lessThan">
      <formula>98</formula>
    </cfRule>
  </conditionalFormatting>
  <conditionalFormatting sqref="L77:N77">
    <cfRule type="cellIs" dxfId="720" priority="85" operator="notEqual">
      <formula>#REF!</formula>
    </cfRule>
  </conditionalFormatting>
  <conditionalFormatting sqref="L112:N120">
    <cfRule type="cellIs" dxfId="719" priority="158" stopIfTrue="1" operator="lessThan">
      <formula>100%</formula>
    </cfRule>
  </conditionalFormatting>
  <conditionalFormatting sqref="M10:M59">
    <cfRule type="expression" dxfId="718" priority="15">
      <formula>IF(+(IF(M10&lt;V10,0,IF(M10&gt;W10,0,1)))=0,1)</formula>
    </cfRule>
  </conditionalFormatting>
  <conditionalFormatting sqref="M6:N6">
    <cfRule type="cellIs" dxfId="717" priority="86" operator="greaterThanOrEqual">
      <formula>15</formula>
    </cfRule>
    <cfRule type="cellIs" dxfId="716" priority="87" operator="greaterThanOrEqual">
      <formula>19</formula>
    </cfRule>
  </conditionalFormatting>
  <conditionalFormatting sqref="N10:N59">
    <cfRule type="expression" dxfId="715" priority="16">
      <formula>IF(+(IF(N10&lt;X10,0,IF(N10&gt;Y10,0,1)))=0,1)</formula>
    </cfRule>
  </conditionalFormatting>
  <conditionalFormatting sqref="N27">
    <cfRule type="expression" dxfId="714" priority="191">
      <formula>IF(+(IF(N27&lt;X88,0,IF(N27&gt;Y88,0,1)))=0,1)</formula>
    </cfRule>
    <cfRule type="expression" dxfId="713" priority="192">
      <formula>IF(+(IF(N27&lt;X83,0,IF(N27&gt;Y83,0,1)))=0,1)</formula>
    </cfRule>
  </conditionalFormatting>
  <conditionalFormatting sqref="N28 N37:N38">
    <cfRule type="expression" dxfId="712" priority="189">
      <formula>IF(+(IF(N28&lt;X91,0,IF(N28&gt;Y91,0,1)))=0,1)</formula>
    </cfRule>
    <cfRule type="expression" dxfId="711" priority="190">
      <formula>IF(+(IF(N28&lt;X86,0,IF(N28&gt;Y86,0,1)))=0,1)</formula>
    </cfRule>
  </conditionalFormatting>
  <conditionalFormatting sqref="N59">
    <cfRule type="expression" dxfId="710" priority="193">
      <formula>IF(+(IF(N59&lt;X103,0,IF(N59&gt;Y103,0,1)))=0,1)</formula>
    </cfRule>
    <cfRule type="expression" dxfId="709" priority="194">
      <formula>IF(+(IF(N59&lt;X98,0,IF(N59&gt;Y98,0,1)))=0,1)</formula>
    </cfRule>
  </conditionalFormatting>
  <conditionalFormatting sqref="P6">
    <cfRule type="cellIs" dxfId="708" priority="154" operator="greaterThanOrEqual">
      <formula>19</formula>
    </cfRule>
  </conditionalFormatting>
  <dataValidations count="1">
    <dataValidation type="list" allowBlank="1" showInputMessage="1" showErrorMessage="1" sqref="S8 B59" xr:uid="{A3C3BDC4-4700-4BD9-B0F2-2E60E17CA44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14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34B6-6FFF-42B6-A878-BADD65FFC9DA}">
  <sheetPr>
    <pageSetUpPr fitToPage="1"/>
  </sheetPr>
  <dimension ref="A1:BF115"/>
  <sheetViews>
    <sheetView topLeftCell="A56" zoomScale="60" zoomScaleNormal="60" workbookViewId="0">
      <selection activeCell="B17" sqref="B17:O17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28.664062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45686</v>
      </c>
      <c r="D4" s="545"/>
      <c r="J4" s="489" t="s">
        <v>191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190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customHeight="1">
      <c r="B10" s="33" t="s">
        <v>9</v>
      </c>
      <c r="C10" s="367" t="str">
        <f>[22]Brewhouse!$A58</f>
        <v>ST044</v>
      </c>
      <c r="D10" s="280">
        <f>[22]Brewhouse!$AD58</f>
        <v>53.5</v>
      </c>
      <c r="E10" s="280">
        <f>[22]Brewhouse!$AG58</f>
        <v>51.4</v>
      </c>
      <c r="F10" s="279">
        <f>[22]Brewhouse!$V58</f>
        <v>64</v>
      </c>
      <c r="G10" s="280">
        <f>[22]Brewhouse!$AE58</f>
        <v>11.8</v>
      </c>
      <c r="H10" s="419"/>
      <c r="I10" s="512">
        <f>[22]Brewhouse!$AS58</f>
        <v>98.856173802431272</v>
      </c>
      <c r="J10" s="512">
        <f>[22]Brewhouse!$AT58</f>
        <v>102.29285292482506</v>
      </c>
      <c r="K10" s="422">
        <f>[22]Brewhouse!$Q58</f>
        <v>4.2671614100185478</v>
      </c>
      <c r="L10" s="277">
        <f>[22]Brewhouse!$P58</f>
        <v>57</v>
      </c>
      <c r="M10" s="375">
        <f>[22]Brewhouse!$U58-[22]Brewhouse!$T58</f>
        <v>0.12083333333333335</v>
      </c>
      <c r="N10" s="371">
        <f>[22]Brewhouse!$AW58</f>
        <v>0.27916666666666667</v>
      </c>
      <c r="O10" s="513" t="str">
        <f>[22]Brewhouse!$AV58</f>
        <v>R.Sookram</v>
      </c>
      <c r="P10" s="376" t="s">
        <v>200</v>
      </c>
      <c r="Q10" s="348"/>
      <c r="S10" s="278" t="str">
        <f t="shared" ref="S10:S52" si="0">B10</f>
        <v>STAG</v>
      </c>
      <c r="T10" s="297">
        <f t="shared" ref="T10:T52" si="1">VLOOKUP($B10,$S$3:$Y$9,2,FALSE)</f>
        <v>11.6</v>
      </c>
      <c r="U10" s="297">
        <f t="shared" ref="U10:U52" si="2">VLOOKUP($B10,$S$3:$Y$9,3,FALSE)</f>
        <v>12</v>
      </c>
      <c r="V10" s="298">
        <f t="shared" ref="V10:V52" si="3">VLOOKUP($B10,$S$3:$Y$9,4,FALSE)</f>
        <v>0</v>
      </c>
      <c r="W10" s="298">
        <f t="shared" ref="W10:W52" si="4">VLOOKUP($B10,$S$3:$Y$9,5,FALSE)</f>
        <v>0.118055555555556</v>
      </c>
      <c r="X10" s="298">
        <f t="shared" ref="X10:X52" si="5">VLOOKUP($B10,$S$3:$Y$9,6,FALSE)</f>
        <v>0.22569444444444445</v>
      </c>
      <c r="Y10" s="298">
        <f t="shared" ref="Y10:Y52" si="6">VLOOKUP($B10,$S$3:$Y$9,7,FALSE)</f>
        <v>0.2638888888888889</v>
      </c>
      <c r="Z10" s="298">
        <f t="shared" ref="Z10:Z52" si="7">VLOOKUP($B10,$S$3:$AA$9,8,FALSE)</f>
        <v>0</v>
      </c>
      <c r="AA10" s="297">
        <f t="shared" ref="AA10:AA52" si="8">VLOOKUP($B10,$S$3:$AA$9,9,FALSE)</f>
        <v>60</v>
      </c>
    </row>
    <row r="11" spans="2:30" ht="15.75" customHeight="1">
      <c r="B11" s="33" t="s">
        <v>9</v>
      </c>
      <c r="C11" s="367" t="str">
        <f>[22]Brewhouse!$A59</f>
        <v>ST045</v>
      </c>
      <c r="D11" s="280">
        <f>[22]Brewhouse!$AD59</f>
        <v>53.6</v>
      </c>
      <c r="E11" s="280">
        <f>[22]Brewhouse!$AG59</f>
        <v>50</v>
      </c>
      <c r="F11" s="279">
        <f>[22]Brewhouse!$V59</f>
        <v>65</v>
      </c>
      <c r="G11" s="280">
        <f>[22]Brewhouse!$AE59</f>
        <v>11.7</v>
      </c>
      <c r="H11" s="419"/>
      <c r="I11" s="512">
        <f>[22]Brewhouse!$AS59</f>
        <v>95.30638126018755</v>
      </c>
      <c r="J11" s="512">
        <f>[22]Brewhouse!$AT59</f>
        <v>98.619653847111564</v>
      </c>
      <c r="K11" s="422">
        <f>[22]Brewhouse!$Q59</f>
        <v>4.7186932849364815</v>
      </c>
      <c r="L11" s="277">
        <f>[22]Brewhouse!$P59</f>
        <v>61</v>
      </c>
      <c r="M11" s="375">
        <f>[22]Brewhouse!$U59-[22]Brewhouse!$T59</f>
        <v>0.10902777777777778</v>
      </c>
      <c r="N11" s="371">
        <f>[22]Brewhouse!$AW59</f>
        <v>0.25069444444444444</v>
      </c>
      <c r="O11" s="513" t="str">
        <f>[22]Brewhouse!$AV59</f>
        <v>K.Benjamin</v>
      </c>
      <c r="P11" s="376" t="s">
        <v>200</v>
      </c>
      <c r="Q11" s="348"/>
      <c r="S11" s="278" t="str">
        <f t="shared" si="0"/>
        <v>STAG</v>
      </c>
      <c r="T11" s="297">
        <f t="shared" si="1"/>
        <v>11.6</v>
      </c>
      <c r="U11" s="297">
        <f t="shared" si="2"/>
        <v>12</v>
      </c>
      <c r="V11" s="298">
        <f t="shared" si="3"/>
        <v>0</v>
      </c>
      <c r="W11" s="298">
        <f t="shared" si="4"/>
        <v>0.118055555555556</v>
      </c>
      <c r="X11" s="298">
        <f t="shared" si="5"/>
        <v>0.22569444444444445</v>
      </c>
      <c r="Y11" s="298">
        <f t="shared" si="6"/>
        <v>0.2638888888888889</v>
      </c>
      <c r="Z11" s="298">
        <f t="shared" si="7"/>
        <v>0</v>
      </c>
      <c r="AA11" s="297">
        <f t="shared" si="8"/>
        <v>60</v>
      </c>
    </row>
    <row r="12" spans="2:30" ht="15.75" customHeight="1">
      <c r="B12" s="33" t="s">
        <v>9</v>
      </c>
      <c r="C12" s="367" t="str">
        <f>[22]Brewhouse!$A60</f>
        <v>ST046</v>
      </c>
      <c r="D12" s="280">
        <f>[22]Brewhouse!$AD60</f>
        <v>53.6</v>
      </c>
      <c r="E12" s="280">
        <f>[22]Brewhouse!$AG60</f>
        <v>50.7</v>
      </c>
      <c r="F12" s="279">
        <f>[22]Brewhouse!$V60</f>
        <v>66</v>
      </c>
      <c r="G12" s="280">
        <f>[22]Brewhouse!$AE60</f>
        <v>11.8</v>
      </c>
      <c r="H12" s="419"/>
      <c r="I12" s="512">
        <f>[22]Brewhouse!$AS60</f>
        <v>97.2646053460942</v>
      </c>
      <c r="J12" s="512">
        <f>[22]Brewhouse!$AT60</f>
        <v>100.64816311528068</v>
      </c>
      <c r="K12" s="422">
        <f>[22]Brewhouse!$Q60</f>
        <v>4.7794117647058725</v>
      </c>
      <c r="L12" s="277">
        <f>[22]Brewhouse!$P60</f>
        <v>61</v>
      </c>
      <c r="M12" s="375">
        <f>[22]Brewhouse!$U60-[22]Brewhouse!$T60</f>
        <v>0.1159722222222222</v>
      </c>
      <c r="N12" s="371">
        <f>[22]Brewhouse!$AW60</f>
        <v>0.3034722222222222</v>
      </c>
      <c r="O12" s="513" t="str">
        <f>[22]Brewhouse!$AV60</f>
        <v>K.Benjamin</v>
      </c>
      <c r="P12" s="376" t="s">
        <v>200</v>
      </c>
      <c r="Q12" s="348"/>
      <c r="S12" s="278" t="str">
        <f t="shared" si="0"/>
        <v>STAG</v>
      </c>
      <c r="T12" s="297">
        <f t="shared" si="1"/>
        <v>11.6</v>
      </c>
      <c r="U12" s="297">
        <f t="shared" si="2"/>
        <v>12</v>
      </c>
      <c r="V12" s="298">
        <f t="shared" si="3"/>
        <v>0</v>
      </c>
      <c r="W12" s="298">
        <f t="shared" si="4"/>
        <v>0.118055555555556</v>
      </c>
      <c r="X12" s="298">
        <f t="shared" si="5"/>
        <v>0.22569444444444445</v>
      </c>
      <c r="Y12" s="298">
        <f t="shared" si="6"/>
        <v>0.2638888888888889</v>
      </c>
      <c r="Z12" s="298">
        <f t="shared" si="7"/>
        <v>0</v>
      </c>
      <c r="AA12" s="297">
        <f t="shared" si="8"/>
        <v>60</v>
      </c>
    </row>
    <row r="13" spans="2:30" ht="15.75" customHeight="1">
      <c r="B13" s="33"/>
      <c r="C13" s="367"/>
      <c r="D13" s="280"/>
      <c r="E13" s="280"/>
      <c r="F13" s="279"/>
      <c r="G13" s="280"/>
      <c r="H13" s="419"/>
      <c r="I13" s="512"/>
      <c r="J13" s="512"/>
      <c r="K13" s="422"/>
      <c r="L13" s="277"/>
      <c r="M13" s="375"/>
      <c r="N13" s="371"/>
      <c r="O13" s="513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customHeight="1">
      <c r="B14" s="29" t="s">
        <v>6</v>
      </c>
      <c r="C14" s="367" t="s">
        <v>192</v>
      </c>
      <c r="D14" s="280">
        <v>55.8</v>
      </c>
      <c r="E14" s="280">
        <v>51.8</v>
      </c>
      <c r="F14" s="279">
        <v>62</v>
      </c>
      <c r="G14" s="280">
        <v>11.83</v>
      </c>
      <c r="H14" s="419"/>
      <c r="I14" s="512">
        <v>97.110207612864656</v>
      </c>
      <c r="J14" s="512">
        <v>101.0238773733243</v>
      </c>
      <c r="K14" s="422">
        <v>5.522123893805305</v>
      </c>
      <c r="L14" s="277">
        <v>58</v>
      </c>
      <c r="M14" s="375">
        <v>0.13125000000000003</v>
      </c>
      <c r="N14" s="371">
        <v>0.32430555555555557</v>
      </c>
      <c r="O14" s="513" t="s">
        <v>193</v>
      </c>
      <c r="P14" s="376" t="s">
        <v>200</v>
      </c>
      <c r="Q14" s="348"/>
      <c r="S14" s="278" t="str">
        <f t="shared" si="0"/>
        <v>CARIB</v>
      </c>
      <c r="T14" s="297">
        <f t="shared" si="1"/>
        <v>11.6</v>
      </c>
      <c r="U14" s="297">
        <f t="shared" si="2"/>
        <v>12</v>
      </c>
      <c r="V14" s="298">
        <f t="shared" si="3"/>
        <v>0</v>
      </c>
      <c r="W14" s="298">
        <f t="shared" si="4"/>
        <v>0.118055555555556</v>
      </c>
      <c r="X14" s="298">
        <f t="shared" si="5"/>
        <v>0.22569444444444445</v>
      </c>
      <c r="Y14" s="298">
        <f t="shared" si="6"/>
        <v>0.2638888888888889</v>
      </c>
      <c r="Z14" s="298">
        <f t="shared" si="7"/>
        <v>0</v>
      </c>
      <c r="AA14" s="297">
        <f t="shared" si="8"/>
        <v>60</v>
      </c>
    </row>
    <row r="15" spans="2:30" ht="15.75" customHeight="1">
      <c r="B15" s="29" t="s">
        <v>6</v>
      </c>
      <c r="C15" s="367" t="s">
        <v>194</v>
      </c>
      <c r="D15" s="280">
        <v>53.5</v>
      </c>
      <c r="E15" s="280">
        <v>49.3</v>
      </c>
      <c r="F15" s="279">
        <v>56</v>
      </c>
      <c r="G15" s="280">
        <v>12</v>
      </c>
      <c r="H15" s="419"/>
      <c r="I15" s="512">
        <v>93.955688908867202</v>
      </c>
      <c r="J15" s="512">
        <v>97.742637690920361</v>
      </c>
      <c r="K15" s="422">
        <v>7.410071942446038</v>
      </c>
      <c r="L15" s="277">
        <v>58</v>
      </c>
      <c r="M15" s="375">
        <v>9.722222222222221E-2</v>
      </c>
      <c r="N15" s="371">
        <v>0.29652777777777778</v>
      </c>
      <c r="O15" s="513" t="s">
        <v>193</v>
      </c>
      <c r="P15" s="376" t="s">
        <v>200</v>
      </c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0.22569444444444445</v>
      </c>
      <c r="Y15" s="298">
        <f t="shared" si="6"/>
        <v>0.2638888888888889</v>
      </c>
      <c r="Z15" s="298">
        <f t="shared" si="7"/>
        <v>0</v>
      </c>
      <c r="AA15" s="297">
        <f t="shared" si="8"/>
        <v>60</v>
      </c>
    </row>
    <row r="16" spans="2:30" ht="15.75" customHeight="1">
      <c r="B16" s="29" t="s">
        <v>6</v>
      </c>
      <c r="C16" s="367" t="s">
        <v>195</v>
      </c>
      <c r="D16" s="280">
        <v>51.6</v>
      </c>
      <c r="E16" s="280">
        <v>49.8</v>
      </c>
      <c r="F16" s="279">
        <v>57</v>
      </c>
      <c r="G16" s="280">
        <v>11.7</v>
      </c>
      <c r="H16" s="419"/>
      <c r="I16" s="512">
        <v>93.201117045963912</v>
      </c>
      <c r="J16" s="512">
        <v>97.117107987634085</v>
      </c>
      <c r="K16" s="422">
        <v>9.7872340425531856</v>
      </c>
      <c r="L16" s="277">
        <v>57</v>
      </c>
      <c r="M16" s="375">
        <v>0.10347222222222219</v>
      </c>
      <c r="N16" s="371">
        <v>0.25833333333333336</v>
      </c>
      <c r="O16" s="513" t="s">
        <v>193</v>
      </c>
      <c r="P16" s="376" t="s">
        <v>200</v>
      </c>
      <c r="Q16" s="348"/>
      <c r="S16" s="278" t="str">
        <f t="shared" si="0"/>
        <v>CARIB</v>
      </c>
      <c r="T16" s="297">
        <f t="shared" si="1"/>
        <v>11.6</v>
      </c>
      <c r="U16" s="297">
        <f t="shared" si="2"/>
        <v>12</v>
      </c>
      <c r="V16" s="298">
        <f t="shared" si="3"/>
        <v>0</v>
      </c>
      <c r="W16" s="298">
        <f t="shared" si="4"/>
        <v>0.118055555555556</v>
      </c>
      <c r="X16" s="298">
        <f t="shared" si="5"/>
        <v>0.22569444444444445</v>
      </c>
      <c r="Y16" s="298">
        <f t="shared" si="6"/>
        <v>0.2638888888888889</v>
      </c>
      <c r="Z16" s="298">
        <f t="shared" si="7"/>
        <v>0</v>
      </c>
      <c r="AA16" s="297">
        <f t="shared" si="8"/>
        <v>60</v>
      </c>
    </row>
    <row r="17" spans="2:27" ht="15.75" customHeight="1">
      <c r="B17" s="29" t="s">
        <v>6</v>
      </c>
      <c r="C17" s="367" t="s">
        <v>196</v>
      </c>
      <c r="D17" s="280">
        <v>54.3</v>
      </c>
      <c r="E17" s="280">
        <v>52.6</v>
      </c>
      <c r="F17" s="279">
        <v>66</v>
      </c>
      <c r="G17" s="280">
        <v>11.79</v>
      </c>
      <c r="H17" s="419"/>
      <c r="I17" s="512">
        <v>98.594401379338521</v>
      </c>
      <c r="J17" s="512">
        <v>102.73834528755341</v>
      </c>
      <c r="K17" s="422">
        <v>4.3214285714285747</v>
      </c>
      <c r="L17" s="277">
        <v>42.14</v>
      </c>
      <c r="M17" s="375">
        <v>0.125</v>
      </c>
      <c r="N17" s="371">
        <v>0.28263888888888888</v>
      </c>
      <c r="O17" s="513" t="s">
        <v>197</v>
      </c>
      <c r="P17" s="376" t="s">
        <v>200</v>
      </c>
      <c r="Q17" s="348"/>
      <c r="S17" s="278" t="str">
        <f t="shared" si="0"/>
        <v>CARIB</v>
      </c>
      <c r="T17" s="297">
        <f t="shared" si="1"/>
        <v>11.6</v>
      </c>
      <c r="U17" s="297">
        <f t="shared" si="2"/>
        <v>12</v>
      </c>
      <c r="V17" s="298">
        <f t="shared" si="3"/>
        <v>0</v>
      </c>
      <c r="W17" s="298">
        <f t="shared" si="4"/>
        <v>0.118055555555556</v>
      </c>
      <c r="X17" s="298">
        <f t="shared" si="5"/>
        <v>0.22569444444444445</v>
      </c>
      <c r="Y17" s="298">
        <f t="shared" si="6"/>
        <v>0.2638888888888889</v>
      </c>
      <c r="Z17" s="298">
        <f t="shared" si="7"/>
        <v>0</v>
      </c>
      <c r="AA17" s="297">
        <f t="shared" si="8"/>
        <v>60</v>
      </c>
    </row>
    <row r="18" spans="2:27" ht="15.75" customHeight="1">
      <c r="B18" s="33"/>
      <c r="C18" s="367"/>
      <c r="D18" s="280"/>
      <c r="E18" s="280"/>
      <c r="F18" s="279"/>
      <c r="G18" s="280"/>
      <c r="H18" s="419"/>
      <c r="I18" s="512"/>
      <c r="J18" s="512"/>
      <c r="K18" s="422"/>
      <c r="L18" s="277"/>
      <c r="M18" s="375"/>
      <c r="N18" s="371"/>
      <c r="O18" s="513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customHeight="1">
      <c r="B19" s="33"/>
      <c r="C19" s="367"/>
      <c r="D19" s="280"/>
      <c r="E19" s="280"/>
      <c r="F19" s="279"/>
      <c r="G19" s="280"/>
      <c r="H19" s="419"/>
      <c r="I19" s="512"/>
      <c r="J19" s="512"/>
      <c r="K19" s="422"/>
      <c r="L19" s="277"/>
      <c r="M19" s="375"/>
      <c r="N19" s="371"/>
      <c r="O19" s="513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>
      <c r="B20" s="22" t="s">
        <v>33</v>
      </c>
      <c r="C20" s="367" t="str">
        <f>[25]Brewhouse!A9</f>
        <v>VM005</v>
      </c>
      <c r="D20" s="280">
        <f>[25]Brewhouse!AE9</f>
        <v>53.7</v>
      </c>
      <c r="E20" s="280">
        <f>[25]Brewhouse!AJ9</f>
        <v>48.3</v>
      </c>
      <c r="F20" s="279">
        <f>[25]Brewhouse!X9</f>
        <v>83</v>
      </c>
      <c r="G20" s="280">
        <f>[25]Brewhouse!AH9</f>
        <v>14.15</v>
      </c>
      <c r="H20" s="492"/>
      <c r="I20" s="369">
        <f>[25]Brewhouse!AV9</f>
        <v>96.846940704132052</v>
      </c>
      <c r="J20" s="369">
        <f>[25]Brewhouse!AW9</f>
        <v>97.691100496547605</v>
      </c>
      <c r="K20" s="282">
        <f>[25]Brewhouse!S9</f>
        <v>6.6294227188081978</v>
      </c>
      <c r="L20" s="277">
        <f>[25]Brewhouse!R9</f>
        <v>59</v>
      </c>
      <c r="M20" s="375">
        <f>[25]Brewhouse!$W9-[25]Brewhouse!$V9</f>
        <v>0.13611111111111118</v>
      </c>
      <c r="N20" s="371">
        <f>[25]Brewhouse!AB9</f>
        <v>0.27500000000000002</v>
      </c>
      <c r="O20" s="372" t="str">
        <f>[25]Brewhouse!$AZ9</f>
        <v>K. Benjamin</v>
      </c>
      <c r="P20" s="370" t="s">
        <v>198</v>
      </c>
      <c r="Q20" s="348"/>
      <c r="S20" s="278" t="str">
        <f t="shared" si="0"/>
        <v>VITAMALT</v>
      </c>
      <c r="T20" s="297">
        <f t="shared" si="1"/>
        <v>14.4</v>
      </c>
      <c r="U20" s="297">
        <f t="shared" si="2"/>
        <v>14.6</v>
      </c>
      <c r="V20" s="298">
        <f t="shared" si="3"/>
        <v>0</v>
      </c>
      <c r="W20" s="298">
        <f t="shared" si="4"/>
        <v>0.13905092592592591</v>
      </c>
      <c r="X20" s="298">
        <f t="shared" si="5"/>
        <v>0.26041666666666669</v>
      </c>
      <c r="Y20" s="298">
        <f t="shared" si="6"/>
        <v>0.2951388888888889</v>
      </c>
      <c r="Z20" s="298">
        <f t="shared" si="7"/>
        <v>0</v>
      </c>
      <c r="AA20" s="297">
        <f t="shared" si="8"/>
        <v>75</v>
      </c>
    </row>
    <row r="21" spans="2:27" ht="15.75" customHeight="1">
      <c r="B21" s="22" t="s">
        <v>33</v>
      </c>
      <c r="C21" s="367" t="str">
        <f>[25]Brewhouse!A10</f>
        <v>VM006</v>
      </c>
      <c r="D21" s="280">
        <f>[25]Brewhouse!AE10</f>
        <v>52.6</v>
      </c>
      <c r="E21" s="280">
        <f>[25]Brewhouse!AJ10</f>
        <v>48.1</v>
      </c>
      <c r="F21" s="279">
        <f>[25]Brewhouse!X10</f>
        <v>86</v>
      </c>
      <c r="G21" s="280">
        <f>[25]Brewhouse!AH10</f>
        <v>14.48</v>
      </c>
      <c r="H21" s="492"/>
      <c r="I21" s="369">
        <f>[25]Brewhouse!AV10</f>
        <v>97.357949497729479</v>
      </c>
      <c r="J21" s="369">
        <f>[25]Brewhouse!AW10</f>
        <v>98.227903523398325</v>
      </c>
      <c r="K21" s="282">
        <f>[25]Brewhouse!S10</f>
        <v>5.2471482889733796</v>
      </c>
      <c r="L21" s="277">
        <f>[25]Brewhouse!R10</f>
        <v>61</v>
      </c>
      <c r="M21" s="375">
        <f>[25]Brewhouse!$W10-[25]Brewhouse!$V10</f>
        <v>0.13263888888888886</v>
      </c>
      <c r="N21" s="371">
        <f>[25]Brewhouse!AB10</f>
        <v>0.27500000000000002</v>
      </c>
      <c r="O21" s="372" t="str">
        <f>[25]Brewhouse!$AZ10</f>
        <v>K. Benjamin</v>
      </c>
      <c r="P21" s="370" t="s">
        <v>198</v>
      </c>
      <c r="Q21" s="348"/>
      <c r="S21" s="278" t="str">
        <f t="shared" si="0"/>
        <v>VITAMALT</v>
      </c>
      <c r="T21" s="297">
        <f t="shared" si="1"/>
        <v>14.4</v>
      </c>
      <c r="U21" s="297">
        <f t="shared" si="2"/>
        <v>14.6</v>
      </c>
      <c r="V21" s="298">
        <f t="shared" si="3"/>
        <v>0</v>
      </c>
      <c r="W21" s="298">
        <f t="shared" si="4"/>
        <v>0.13905092592592591</v>
      </c>
      <c r="X21" s="298">
        <f t="shared" si="5"/>
        <v>0.26041666666666669</v>
      </c>
      <c r="Y21" s="298">
        <f t="shared" si="6"/>
        <v>0.2951388888888889</v>
      </c>
      <c r="Z21" s="298">
        <f t="shared" si="7"/>
        <v>0</v>
      </c>
      <c r="AA21" s="297">
        <f t="shared" si="8"/>
        <v>75</v>
      </c>
    </row>
    <row r="22" spans="2:27" ht="15.75" customHeight="1">
      <c r="B22" s="22" t="s">
        <v>33</v>
      </c>
      <c r="C22" s="367" t="str">
        <f>[25]Brewhouse!A11</f>
        <v>VM007</v>
      </c>
      <c r="D22" s="280">
        <f>[25]Brewhouse!AE11</f>
        <v>53.2</v>
      </c>
      <c r="E22" s="280">
        <f>[25]Brewhouse!AJ11</f>
        <v>49.1</v>
      </c>
      <c r="F22" s="279">
        <f>[25]Brewhouse!X11</f>
        <v>86</v>
      </c>
      <c r="G22" s="280">
        <f>[25]Brewhouse!AH11</f>
        <v>14.4</v>
      </c>
      <c r="H22" s="492"/>
      <c r="I22" s="369">
        <f>[25]Brewhouse!AV11</f>
        <v>99.103663669233342</v>
      </c>
      <c r="J22" s="369">
        <f>[25]Brewhouse!AW11</f>
        <v>99.996397570171936</v>
      </c>
      <c r="K22" s="282">
        <f>[25]Brewhouse!S11</f>
        <v>4.6240601503759544</v>
      </c>
      <c r="L22" s="277">
        <f>[25]Brewhouse!R11</f>
        <v>60</v>
      </c>
      <c r="M22" s="375">
        <f>[25]Brewhouse!$W11-[25]Brewhouse!$V11</f>
        <v>0.1381944444444444</v>
      </c>
      <c r="N22" s="371">
        <f>[25]Brewhouse!AB11</f>
        <v>0.26666666666666661</v>
      </c>
      <c r="O22" s="372" t="str">
        <f>[25]Brewhouse!$AZ11</f>
        <v xml:space="preserve">R.Regis </v>
      </c>
      <c r="P22" s="370" t="s">
        <v>198</v>
      </c>
      <c r="Q22" s="348"/>
      <c r="S22" s="278" t="str">
        <f t="shared" si="0"/>
        <v>VITAMALT</v>
      </c>
      <c r="T22" s="297">
        <f t="shared" si="1"/>
        <v>14.4</v>
      </c>
      <c r="U22" s="297">
        <f t="shared" si="2"/>
        <v>14.6</v>
      </c>
      <c r="V22" s="298">
        <f t="shared" si="3"/>
        <v>0</v>
      </c>
      <c r="W22" s="298">
        <f t="shared" si="4"/>
        <v>0.13905092592592591</v>
      </c>
      <c r="X22" s="298">
        <f t="shared" si="5"/>
        <v>0.26041666666666669</v>
      </c>
      <c r="Y22" s="298">
        <f t="shared" si="6"/>
        <v>0.2951388888888889</v>
      </c>
      <c r="Z22" s="298">
        <f t="shared" si="7"/>
        <v>0</v>
      </c>
      <c r="AA22" s="297">
        <f t="shared" si="8"/>
        <v>75</v>
      </c>
    </row>
    <row r="23" spans="2:27" ht="15.75" customHeight="1">
      <c r="B23" s="22" t="s">
        <v>33</v>
      </c>
      <c r="C23" s="367" t="str">
        <f>[25]Brewhouse!A12</f>
        <v>VM008</v>
      </c>
      <c r="D23" s="280">
        <f>[25]Brewhouse!AE12</f>
        <v>53.2</v>
      </c>
      <c r="E23" s="280">
        <f>[25]Brewhouse!AJ12</f>
        <v>49.1</v>
      </c>
      <c r="F23" s="279">
        <f>[25]Brewhouse!X12</f>
        <v>88</v>
      </c>
      <c r="G23" s="280">
        <f>[25]Brewhouse!AH12</f>
        <v>14.29</v>
      </c>
      <c r="H23" s="492"/>
      <c r="I23" s="369">
        <f>[25]Brewhouse!AV12</f>
        <v>100.09297596306546</v>
      </c>
      <c r="J23" s="369">
        <f>[25]Brewhouse!AW12</f>
        <v>100.96542960173397</v>
      </c>
      <c r="K23" s="282">
        <f>[25]Brewhouse!S12</f>
        <v>4.8120300751879741</v>
      </c>
      <c r="L23" s="277">
        <f>[25]Brewhouse!R12</f>
        <v>62</v>
      </c>
      <c r="M23" s="375">
        <f>[25]Brewhouse!$W12-[25]Brewhouse!$V12</f>
        <v>0.14166666666666683</v>
      </c>
      <c r="N23" s="371">
        <f>[25]Brewhouse!AB12</f>
        <v>0.27222222222222237</v>
      </c>
      <c r="O23" s="372" t="str">
        <f>[25]Brewhouse!$AZ12</f>
        <v xml:space="preserve">R.Regis </v>
      </c>
      <c r="P23" s="370" t="s">
        <v>199</v>
      </c>
      <c r="Q23" s="348"/>
      <c r="S23" s="278" t="str">
        <f t="shared" si="0"/>
        <v>VITAMALT</v>
      </c>
      <c r="T23" s="297">
        <f t="shared" si="1"/>
        <v>14.4</v>
      </c>
      <c r="U23" s="297">
        <f t="shared" si="2"/>
        <v>14.6</v>
      </c>
      <c r="V23" s="298">
        <f t="shared" si="3"/>
        <v>0</v>
      </c>
      <c r="W23" s="298">
        <f t="shared" si="4"/>
        <v>0.13905092592592591</v>
      </c>
      <c r="X23" s="298">
        <f t="shared" si="5"/>
        <v>0.26041666666666669</v>
      </c>
      <c r="Y23" s="298">
        <f t="shared" si="6"/>
        <v>0.2951388888888889</v>
      </c>
      <c r="Z23" s="298">
        <f t="shared" si="7"/>
        <v>0</v>
      </c>
      <c r="AA23" s="297">
        <f t="shared" si="8"/>
        <v>75</v>
      </c>
    </row>
    <row r="24" spans="2:27" ht="15.75" customHeight="1">
      <c r="B24" s="22" t="s">
        <v>33</v>
      </c>
      <c r="C24" s="367" t="str">
        <f>[25]Brewhouse!A13</f>
        <v>VM009</v>
      </c>
      <c r="D24" s="280">
        <f>[25]Brewhouse!AE13</f>
        <v>52</v>
      </c>
      <c r="E24" s="280">
        <f>[25]Brewhouse!AJ13</f>
        <v>48</v>
      </c>
      <c r="F24" s="279">
        <f>[25]Brewhouse!X13</f>
        <v>84</v>
      </c>
      <c r="G24" s="280">
        <f>[25]Brewhouse!AH13</f>
        <v>14.5</v>
      </c>
      <c r="H24" s="492"/>
      <c r="I24" s="369">
        <f>[25]Brewhouse!AV13</f>
        <v>97.892294431558113</v>
      </c>
      <c r="J24" s="369">
        <f>[25]Brewhouse!AW13</f>
        <v>98.741963576712152</v>
      </c>
      <c r="K24" s="282">
        <f>[25]Brewhouse!S13</f>
        <v>4.7307692307692193</v>
      </c>
      <c r="L24" s="277">
        <f>[25]Brewhouse!R13</f>
        <v>60</v>
      </c>
      <c r="M24" s="375">
        <f>[25]Brewhouse!$W13-[25]Brewhouse!$V13</f>
        <v>0.11180555555555555</v>
      </c>
      <c r="N24" s="371">
        <f>[25]Brewhouse!AB13</f>
        <v>0.26666666666666666</v>
      </c>
      <c r="O24" s="372" t="str">
        <f>[25]Brewhouse!$AZ13</f>
        <v xml:space="preserve">R.Regis </v>
      </c>
      <c r="P24" s="370" t="s">
        <v>199</v>
      </c>
      <c r="Q24" s="348"/>
      <c r="S24" s="278" t="str">
        <f t="shared" si="0"/>
        <v>VITAMALT</v>
      </c>
      <c r="T24" s="297">
        <f t="shared" si="1"/>
        <v>14.4</v>
      </c>
      <c r="U24" s="297">
        <f t="shared" si="2"/>
        <v>14.6</v>
      </c>
      <c r="V24" s="298">
        <f t="shared" si="3"/>
        <v>0</v>
      </c>
      <c r="W24" s="298">
        <f t="shared" si="4"/>
        <v>0.13905092592592591</v>
      </c>
      <c r="X24" s="298">
        <f t="shared" si="5"/>
        <v>0.26041666666666669</v>
      </c>
      <c r="Y24" s="298">
        <f t="shared" si="6"/>
        <v>0.2951388888888889</v>
      </c>
      <c r="Z24" s="298">
        <f t="shared" si="7"/>
        <v>0</v>
      </c>
      <c r="AA24" s="297">
        <f t="shared" si="8"/>
        <v>75</v>
      </c>
    </row>
    <row r="25" spans="2:27" ht="15.75" customHeight="1">
      <c r="B25" s="22" t="s">
        <v>33</v>
      </c>
      <c r="C25" s="367" t="str">
        <f>[25]Brewhouse!A14</f>
        <v>VM010</v>
      </c>
      <c r="D25" s="280">
        <f>[25]Brewhouse!AE14</f>
        <v>51.3</v>
      </c>
      <c r="E25" s="280">
        <f>[25]Brewhouse!AJ14</f>
        <v>48.6</v>
      </c>
      <c r="F25" s="279">
        <f>[25]Brewhouse!X14</f>
        <v>85</v>
      </c>
      <c r="G25" s="280">
        <f>[25]Brewhouse!AH14</f>
        <v>14.3</v>
      </c>
      <c r="H25" s="492"/>
      <c r="I25" s="369">
        <f>[25]Brewhouse!AV14</f>
        <v>99.07369922209736</v>
      </c>
      <c r="J25" s="369">
        <f>[25]Brewhouse!AW14</f>
        <v>99.937268404160321</v>
      </c>
      <c r="K25" s="282">
        <f>[25]Brewhouse!S14</f>
        <v>1.871345029239754</v>
      </c>
      <c r="L25" s="277">
        <f>[25]Brewhouse!R14</f>
        <v>59</v>
      </c>
      <c r="M25" s="375">
        <f>[25]Brewhouse!$W14-[25]Brewhouse!$V14</f>
        <v>0.11944444444444446</v>
      </c>
      <c r="N25" s="371">
        <f>[25]Brewhouse!AB14</f>
        <v>0.27500000000000002</v>
      </c>
      <c r="O25" s="372" t="str">
        <f>[25]Brewhouse!$AZ14</f>
        <v>R.Sookram</v>
      </c>
      <c r="P25" s="370" t="s">
        <v>199</v>
      </c>
      <c r="Q25" s="348"/>
      <c r="S25" s="278" t="str">
        <f t="shared" si="0"/>
        <v>VITAMALT</v>
      </c>
      <c r="T25" s="297">
        <f t="shared" si="1"/>
        <v>14.4</v>
      </c>
      <c r="U25" s="297">
        <f t="shared" si="2"/>
        <v>14.6</v>
      </c>
      <c r="V25" s="298">
        <f t="shared" si="3"/>
        <v>0</v>
      </c>
      <c r="W25" s="298">
        <f t="shared" si="4"/>
        <v>0.13905092592592591</v>
      </c>
      <c r="X25" s="298">
        <f t="shared" si="5"/>
        <v>0.26041666666666669</v>
      </c>
      <c r="Y25" s="298">
        <f t="shared" si="6"/>
        <v>0.2951388888888889</v>
      </c>
      <c r="Z25" s="298">
        <f t="shared" si="7"/>
        <v>0</v>
      </c>
      <c r="AA25" s="297">
        <f t="shared" si="8"/>
        <v>75</v>
      </c>
    </row>
    <row r="26" spans="2:27" ht="15.75" customHeight="1">
      <c r="B26" s="22"/>
      <c r="C26" s="367"/>
      <c r="D26" s="280"/>
      <c r="E26" s="280"/>
      <c r="F26" s="279"/>
      <c r="G26" s="280"/>
      <c r="H26" s="492"/>
      <c r="I26" s="369"/>
      <c r="J26" s="369"/>
      <c r="K26" s="282"/>
      <c r="L26" s="277"/>
      <c r="M26" s="375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5.75" customHeight="1">
      <c r="B27" s="22"/>
      <c r="C27" s="367"/>
      <c r="D27" s="280"/>
      <c r="E27" s="280"/>
      <c r="F27" s="279"/>
      <c r="G27" s="280"/>
      <c r="H27" s="492"/>
      <c r="I27" s="369"/>
      <c r="J27" s="369"/>
      <c r="K27" s="282"/>
      <c r="L27" s="277"/>
      <c r="M27" s="375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30" customHeight="1">
      <c r="B28" s="34" t="s">
        <v>12</v>
      </c>
      <c r="C28" s="367" t="str">
        <f>[31]Brewhouse!$A4</f>
        <v>GU001</v>
      </c>
      <c r="D28" s="280">
        <f>[31]Brewhouse!AD4</f>
        <v>57.6</v>
      </c>
      <c r="E28" s="280">
        <f>[31]Brewhouse!AI4</f>
        <v>51.8</v>
      </c>
      <c r="F28" s="279">
        <f>[32]Brewhouse!V115</f>
        <v>68</v>
      </c>
      <c r="G28" s="280">
        <f>[32]Brewhouse!AG115</f>
        <v>17.100000000000001</v>
      </c>
      <c r="H28" s="419"/>
      <c r="I28" s="369">
        <f>[31]Brewhouse!$AU4</f>
        <v>95.064652661521251</v>
      </c>
      <c r="J28" s="369">
        <f>[31]Brewhouse!$AV4</f>
        <v>97.159060167326288</v>
      </c>
      <c r="K28" s="422">
        <f>[31]Brewhouse!R4</f>
        <v>4.1319444444444482</v>
      </c>
      <c r="L28" s="277">
        <f>[31]Brewhouse!O4</f>
        <v>60</v>
      </c>
      <c r="M28" s="423">
        <f>[31]Brewhouse!$U4-[31]Brewhouse!$T4</f>
        <v>0.12916666666666665</v>
      </c>
      <c r="N28" s="371">
        <f>[31]Brewhouse!Z4</f>
        <v>0.57222222222222219</v>
      </c>
      <c r="O28" s="372" t="str">
        <f>[31]Brewhouse!AW4</f>
        <v>K. Benjamin</v>
      </c>
      <c r="P28" s="370" t="s">
        <v>203</v>
      </c>
      <c r="Q28" s="348"/>
      <c r="S28" s="278" t="str">
        <f t="shared" si="0"/>
        <v>GUINNESS</v>
      </c>
      <c r="T28" s="297">
        <f t="shared" si="1"/>
        <v>17</v>
      </c>
      <c r="U28" s="297">
        <f t="shared" si="2"/>
        <v>17.5</v>
      </c>
      <c r="V28" s="298">
        <f t="shared" si="3"/>
        <v>0</v>
      </c>
      <c r="W28" s="298">
        <f t="shared" si="4"/>
        <v>0.1076388888888889</v>
      </c>
      <c r="X28" s="298">
        <f t="shared" si="5"/>
        <v>0.24652777777777779</v>
      </c>
      <c r="Y28" s="298">
        <f t="shared" si="6"/>
        <v>0.28472222222222221</v>
      </c>
      <c r="Z28" s="298">
        <f t="shared" si="7"/>
        <v>0</v>
      </c>
      <c r="AA28" s="297">
        <f t="shared" si="8"/>
        <v>60</v>
      </c>
    </row>
    <row r="29" spans="2:27" ht="14.4">
      <c r="B29" s="34" t="s">
        <v>12</v>
      </c>
      <c r="C29" s="367" t="str">
        <f>[31]Brewhouse!$A5</f>
        <v>GU002</v>
      </c>
      <c r="D29" s="280">
        <f>[31]Brewhouse!AD5</f>
        <v>57.6</v>
      </c>
      <c r="E29" s="280">
        <f>[31]Brewhouse!AI5</f>
        <v>53.7</v>
      </c>
      <c r="F29" s="279">
        <f>[32]Brewhouse!V116</f>
        <v>64</v>
      </c>
      <c r="G29" s="280">
        <f>[32]Brewhouse!AG116</f>
        <v>17.2</v>
      </c>
      <c r="H29" s="419"/>
      <c r="I29" s="369">
        <f>[31]Brewhouse!$AU5</f>
        <v>96.761647531636157</v>
      </c>
      <c r="J29" s="369">
        <f>[31]Brewhouse!$AV5</f>
        <v>98.893442212314014</v>
      </c>
      <c r="K29" s="422">
        <f>[31]Brewhouse!R5</f>
        <v>4.8263888888888902</v>
      </c>
      <c r="L29" s="277">
        <f>[31]Brewhouse!O5</f>
        <v>58</v>
      </c>
      <c r="M29" s="423">
        <f>[31]Brewhouse!$U5-[31]Brewhouse!$T5</f>
        <v>0.1152777777777777</v>
      </c>
      <c r="N29" s="371">
        <f>[31]Brewhouse!Z5</f>
        <v>0.26597222222222217</v>
      </c>
      <c r="O29" s="372" t="str">
        <f>[31]Brewhouse!AW5</f>
        <v>R. Regis</v>
      </c>
      <c r="P29" s="370" t="s">
        <v>199</v>
      </c>
      <c r="Q29" s="348"/>
      <c r="S29" s="278" t="str">
        <f t="shared" si="0"/>
        <v>GUINNESS</v>
      </c>
      <c r="T29" s="297">
        <f t="shared" si="1"/>
        <v>17</v>
      </c>
      <c r="U29" s="297">
        <f t="shared" si="2"/>
        <v>17.5</v>
      </c>
      <c r="V29" s="298">
        <f t="shared" si="3"/>
        <v>0</v>
      </c>
      <c r="W29" s="298">
        <f t="shared" si="4"/>
        <v>0.1076388888888889</v>
      </c>
      <c r="X29" s="298">
        <f t="shared" si="5"/>
        <v>0.24652777777777779</v>
      </c>
      <c r="Y29" s="298">
        <f t="shared" si="6"/>
        <v>0.28472222222222221</v>
      </c>
      <c r="Z29" s="298">
        <f t="shared" si="7"/>
        <v>0</v>
      </c>
      <c r="AA29" s="297">
        <f t="shared" si="8"/>
        <v>60</v>
      </c>
    </row>
    <row r="30" spans="2:27" ht="15.75" customHeight="1">
      <c r="B30" s="34" t="s">
        <v>12</v>
      </c>
      <c r="C30" s="367" t="str">
        <f>[31]Brewhouse!$A6</f>
        <v>GU003</v>
      </c>
      <c r="D30" s="280">
        <f>[31]Brewhouse!AD6</f>
        <v>57.6</v>
      </c>
      <c r="E30" s="280">
        <f>[31]Brewhouse!AI6</f>
        <v>52.9</v>
      </c>
      <c r="F30" s="279">
        <f>[32]Brewhouse!V117</f>
        <v>68</v>
      </c>
      <c r="G30" s="280">
        <f>[32]Brewhouse!AG117</f>
        <v>17</v>
      </c>
      <c r="H30" s="419"/>
      <c r="I30" s="369">
        <f>[31]Brewhouse!$AU6</f>
        <v>98.540988907028222</v>
      </c>
      <c r="J30" s="369">
        <f>[31]Brewhouse!$AV6</f>
        <v>100.76964020676596</v>
      </c>
      <c r="K30" s="422">
        <f>[31]Brewhouse!R6</f>
        <v>3.7847222222222219</v>
      </c>
      <c r="L30" s="277">
        <f>[31]Brewhouse!O6</f>
        <v>58</v>
      </c>
      <c r="M30" s="423">
        <f>[31]Brewhouse!$U6-[31]Brewhouse!$T6</f>
        <v>0.12013888888888902</v>
      </c>
      <c r="N30" s="371">
        <f>[31]Brewhouse!Z6</f>
        <v>0.26875000000000004</v>
      </c>
      <c r="O30" s="372" t="str">
        <f>[31]Brewhouse!AW6</f>
        <v>R. Regis</v>
      </c>
      <c r="P30" s="376" t="s">
        <v>199</v>
      </c>
      <c r="Q30" s="348"/>
      <c r="S30" s="278" t="str">
        <f t="shared" si="0"/>
        <v>GUINNESS</v>
      </c>
      <c r="T30" s="297">
        <f t="shared" si="1"/>
        <v>17</v>
      </c>
      <c r="U30" s="297">
        <f t="shared" si="2"/>
        <v>17.5</v>
      </c>
      <c r="V30" s="298">
        <f t="shared" si="3"/>
        <v>0</v>
      </c>
      <c r="W30" s="298">
        <f t="shared" si="4"/>
        <v>0.1076388888888889</v>
      </c>
      <c r="X30" s="298">
        <f t="shared" si="5"/>
        <v>0.24652777777777779</v>
      </c>
      <c r="Y30" s="298">
        <f t="shared" si="6"/>
        <v>0.28472222222222221</v>
      </c>
      <c r="Z30" s="298">
        <f t="shared" si="7"/>
        <v>0</v>
      </c>
      <c r="AA30" s="297">
        <f t="shared" si="8"/>
        <v>60</v>
      </c>
    </row>
    <row r="31" spans="2:27" ht="15.75" customHeight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423"/>
      <c r="N31" s="371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customHeight="1">
      <c r="B32" s="34"/>
      <c r="C32" s="367"/>
      <c r="D32" s="280"/>
      <c r="E32" s="280"/>
      <c r="F32" s="279"/>
      <c r="G32" s="280"/>
      <c r="H32" s="419"/>
      <c r="I32" s="369"/>
      <c r="J32" s="369"/>
      <c r="K32" s="422"/>
      <c r="L32" s="277"/>
      <c r="M32" s="423"/>
      <c r="N32" s="371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5.75" customHeight="1">
      <c r="B33" s="34"/>
      <c r="C33" s="367"/>
      <c r="D33" s="280"/>
      <c r="E33" s="280"/>
      <c r="F33" s="279"/>
      <c r="G33" s="280"/>
      <c r="H33" s="419"/>
      <c r="I33" s="369"/>
      <c r="J33" s="369"/>
      <c r="K33" s="422"/>
      <c r="L33" s="277"/>
      <c r="M33" s="423"/>
      <c r="N33" s="371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5.75" hidden="1" customHeight="1">
      <c r="B34" s="34"/>
      <c r="C34" s="367"/>
      <c r="D34" s="280"/>
      <c r="E34" s="280"/>
      <c r="F34" s="279"/>
      <c r="G34" s="280"/>
      <c r="H34" s="419"/>
      <c r="I34" s="369"/>
      <c r="J34" s="369"/>
      <c r="K34" s="422"/>
      <c r="L34" s="277"/>
      <c r="M34" s="423"/>
      <c r="N34" s="371"/>
      <c r="O34" s="372"/>
      <c r="P34" s="376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5.75" hidden="1" customHeight="1">
      <c r="B35" s="34"/>
      <c r="C35" s="367"/>
      <c r="D35" s="280"/>
      <c r="E35" s="280"/>
      <c r="F35" s="279"/>
      <c r="G35" s="280"/>
      <c r="H35" s="419"/>
      <c r="I35" s="369"/>
      <c r="J35" s="369"/>
      <c r="K35" s="422"/>
      <c r="L35" s="277"/>
      <c r="M35" s="423"/>
      <c r="N35" s="371"/>
      <c r="O35" s="372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5.75" hidden="1" customHeight="1">
      <c r="B36" s="34"/>
      <c r="C36" s="367"/>
      <c r="D36" s="280"/>
      <c r="E36" s="280"/>
      <c r="F36" s="279"/>
      <c r="G36" s="280"/>
      <c r="H36" s="419"/>
      <c r="I36" s="369"/>
      <c r="J36" s="369"/>
      <c r="K36" s="422"/>
      <c r="L36" s="277"/>
      <c r="M36" s="423"/>
      <c r="N36" s="371"/>
      <c r="O36" s="372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5.75" hidden="1" customHeight="1">
      <c r="B37" s="37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518"/>
      <c r="N37" s="519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5.75" hidden="1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hidden="1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hidden="1" customHeight="1">
      <c r="B42" s="33"/>
      <c r="C42" s="367"/>
      <c r="D42" s="280"/>
      <c r="E42" s="280"/>
      <c r="F42" s="279"/>
      <c r="G42" s="280"/>
      <c r="H42" s="419"/>
      <c r="I42" s="512"/>
      <c r="J42" s="512"/>
      <c r="K42" s="422"/>
      <c r="L42" s="277"/>
      <c r="M42" s="375"/>
      <c r="N42" s="371"/>
      <c r="O42" s="513"/>
      <c r="P42" s="370"/>
      <c r="Q42" s="348"/>
      <c r="S42" s="278">
        <f t="shared" si="0"/>
        <v>0</v>
      </c>
      <c r="T42" s="297" t="e">
        <f t="shared" si="1"/>
        <v>#N/A</v>
      </c>
      <c r="U42" s="297" t="e">
        <f t="shared" si="2"/>
        <v>#N/A</v>
      </c>
      <c r="V42" s="298" t="e">
        <f t="shared" si="3"/>
        <v>#N/A</v>
      </c>
      <c r="W42" s="298" t="e">
        <f t="shared" si="4"/>
        <v>#N/A</v>
      </c>
      <c r="X42" s="298" t="e">
        <f t="shared" si="5"/>
        <v>#N/A</v>
      </c>
      <c r="Y42" s="298" t="e">
        <f t="shared" si="6"/>
        <v>#N/A</v>
      </c>
      <c r="Z42" s="298" t="e">
        <f t="shared" si="7"/>
        <v>#N/A</v>
      </c>
      <c r="AA42" s="297" t="e">
        <f t="shared" si="8"/>
        <v>#N/A</v>
      </c>
    </row>
    <row r="43" spans="2:27" ht="15.75" hidden="1" customHeight="1">
      <c r="B43" s="33"/>
      <c r="C43" s="367"/>
      <c r="D43" s="280"/>
      <c r="E43" s="280"/>
      <c r="F43" s="279"/>
      <c r="G43" s="280"/>
      <c r="H43" s="419"/>
      <c r="I43" s="512"/>
      <c r="J43" s="512"/>
      <c r="K43" s="422"/>
      <c r="L43" s="277"/>
      <c r="M43" s="375"/>
      <c r="N43" s="371"/>
      <c r="O43" s="513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2:27" ht="15.75" hidden="1" customHeight="1">
      <c r="B44" s="33"/>
      <c r="C44" s="367"/>
      <c r="D44" s="280"/>
      <c r="E44" s="280"/>
      <c r="F44" s="279"/>
      <c r="G44" s="280"/>
      <c r="H44" s="419"/>
      <c r="I44" s="512"/>
      <c r="J44" s="512"/>
      <c r="K44" s="422"/>
      <c r="L44" s="277"/>
      <c r="M44" s="375"/>
      <c r="N44" s="371"/>
      <c r="O44" s="513"/>
      <c r="P44" s="370"/>
      <c r="Q44" s="348"/>
      <c r="S44" s="278">
        <f t="shared" si="0"/>
        <v>0</v>
      </c>
      <c r="T44" s="297" t="e">
        <f t="shared" si="1"/>
        <v>#N/A</v>
      </c>
      <c r="U44" s="297" t="e">
        <f t="shared" si="2"/>
        <v>#N/A</v>
      </c>
      <c r="V44" s="298" t="e">
        <f t="shared" si="3"/>
        <v>#N/A</v>
      </c>
      <c r="W44" s="298" t="e">
        <f t="shared" si="4"/>
        <v>#N/A</v>
      </c>
      <c r="X44" s="298" t="e">
        <f t="shared" si="5"/>
        <v>#N/A</v>
      </c>
      <c r="Y44" s="298" t="e">
        <f t="shared" si="6"/>
        <v>#N/A</v>
      </c>
      <c r="Z44" s="298" t="e">
        <f t="shared" si="7"/>
        <v>#N/A</v>
      </c>
      <c r="AA44" s="297" t="e">
        <f t="shared" si="8"/>
        <v>#N/A</v>
      </c>
    </row>
    <row r="45" spans="2:27" ht="15.75" hidden="1" customHeight="1">
      <c r="B45" s="33"/>
      <c r="C45" s="367"/>
      <c r="D45" s="280"/>
      <c r="E45" s="280"/>
      <c r="F45" s="279"/>
      <c r="G45" s="280"/>
      <c r="H45" s="419"/>
      <c r="I45" s="512"/>
      <c r="J45" s="512"/>
      <c r="K45" s="422"/>
      <c r="L45" s="277"/>
      <c r="M45" s="375"/>
      <c r="N45" s="371"/>
      <c r="O45" s="513"/>
      <c r="P45" s="370"/>
      <c r="Q45" s="348"/>
      <c r="S45" s="278">
        <f t="shared" si="0"/>
        <v>0</v>
      </c>
      <c r="T45" s="297" t="e">
        <f t="shared" si="1"/>
        <v>#N/A</v>
      </c>
      <c r="U45" s="297" t="e">
        <f t="shared" si="2"/>
        <v>#N/A</v>
      </c>
      <c r="V45" s="298" t="e">
        <f t="shared" si="3"/>
        <v>#N/A</v>
      </c>
      <c r="W45" s="298" t="e">
        <f t="shared" si="4"/>
        <v>#N/A</v>
      </c>
      <c r="X45" s="298" t="e">
        <f t="shared" si="5"/>
        <v>#N/A</v>
      </c>
      <c r="Y45" s="298" t="e">
        <f t="shared" si="6"/>
        <v>#N/A</v>
      </c>
      <c r="Z45" s="298" t="e">
        <f t="shared" si="7"/>
        <v>#N/A</v>
      </c>
      <c r="AA45" s="297" t="e">
        <f t="shared" si="8"/>
        <v>#N/A</v>
      </c>
    </row>
    <row r="46" spans="2:27" ht="15.75" hidden="1" customHeight="1">
      <c r="B46" s="33"/>
      <c r="C46" s="367"/>
      <c r="D46" s="280"/>
      <c r="E46" s="280"/>
      <c r="F46" s="279"/>
      <c r="G46" s="280"/>
      <c r="H46" s="419"/>
      <c r="I46" s="512"/>
      <c r="J46" s="512"/>
      <c r="K46" s="422"/>
      <c r="L46" s="277"/>
      <c r="M46" s="375"/>
      <c r="N46" s="371"/>
      <c r="O46" s="513"/>
      <c r="P46" s="370"/>
      <c r="Q46" s="348"/>
      <c r="S46" s="278">
        <f t="shared" si="0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5.75" hidden="1" customHeight="1">
      <c r="B47" s="29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Q47" s="348"/>
      <c r="S47" s="278">
        <f t="shared" si="0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hidden="1" customHeigh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Q48" s="348"/>
      <c r="S48" s="278">
        <f t="shared" si="0"/>
        <v>0</v>
      </c>
      <c r="T48" s="297" t="e">
        <f t="shared" si="1"/>
        <v>#N/A</v>
      </c>
      <c r="U48" s="297" t="e">
        <f t="shared" si="2"/>
        <v>#N/A</v>
      </c>
      <c r="V48" s="298" t="e">
        <f t="shared" si="3"/>
        <v>#N/A</v>
      </c>
      <c r="W48" s="298" t="e">
        <f t="shared" si="4"/>
        <v>#N/A</v>
      </c>
      <c r="X48" s="298" t="e">
        <f t="shared" si="5"/>
        <v>#N/A</v>
      </c>
      <c r="Y48" s="298" t="e">
        <f t="shared" si="6"/>
        <v>#N/A</v>
      </c>
      <c r="Z48" s="298" t="e">
        <f t="shared" si="7"/>
        <v>#N/A</v>
      </c>
      <c r="AA48" s="297" t="e">
        <f t="shared" si="8"/>
        <v>#N/A</v>
      </c>
    </row>
    <row r="49" spans="1:27" ht="15.75" hidden="1" customHeight="1">
      <c r="B49" s="29"/>
      <c r="C49" s="367"/>
      <c r="D49" s="280"/>
      <c r="E49" s="280"/>
      <c r="F49" s="279"/>
      <c r="G49" s="280"/>
      <c r="H49" s="419"/>
      <c r="I49" s="369"/>
      <c r="J49" s="369"/>
      <c r="K49" s="282"/>
      <c r="L49" s="277"/>
      <c r="M49" s="420"/>
      <c r="N49" s="371"/>
      <c r="O49" s="372"/>
      <c r="P49" s="370"/>
      <c r="Q49" s="348"/>
      <c r="S49" s="278">
        <f t="shared" si="0"/>
        <v>0</v>
      </c>
      <c r="T49" s="297" t="e">
        <f t="shared" si="1"/>
        <v>#N/A</v>
      </c>
      <c r="U49" s="297" t="e">
        <f t="shared" si="2"/>
        <v>#N/A</v>
      </c>
      <c r="V49" s="298" t="e">
        <f t="shared" si="3"/>
        <v>#N/A</v>
      </c>
      <c r="W49" s="298" t="e">
        <f t="shared" si="4"/>
        <v>#N/A</v>
      </c>
      <c r="X49" s="298" t="e">
        <f t="shared" si="5"/>
        <v>#N/A</v>
      </c>
      <c r="Y49" s="298" t="e">
        <f t="shared" si="6"/>
        <v>#N/A</v>
      </c>
      <c r="Z49" s="298" t="e">
        <f t="shared" si="7"/>
        <v>#N/A</v>
      </c>
      <c r="AA49" s="297" t="e">
        <f t="shared" si="8"/>
        <v>#N/A</v>
      </c>
    </row>
    <row r="50" spans="1:27" ht="15.75" hidden="1" customHeight="1">
      <c r="B50" s="29"/>
      <c r="C50" s="367"/>
      <c r="D50" s="280"/>
      <c r="E50" s="280"/>
      <c r="F50" s="279"/>
      <c r="G50" s="280"/>
      <c r="H50" s="419"/>
      <c r="I50" s="369"/>
      <c r="J50" s="369"/>
      <c r="K50" s="282"/>
      <c r="L50" s="277"/>
      <c r="M50" s="420"/>
      <c r="N50" s="371"/>
      <c r="O50" s="372"/>
      <c r="P50" s="370"/>
      <c r="Q50" s="348"/>
      <c r="S50" s="278">
        <f t="shared" si="0"/>
        <v>0</v>
      </c>
      <c r="T50" s="297" t="e">
        <f t="shared" si="1"/>
        <v>#N/A</v>
      </c>
      <c r="U50" s="297" t="e">
        <f t="shared" si="2"/>
        <v>#N/A</v>
      </c>
      <c r="V50" s="298" t="e">
        <f t="shared" si="3"/>
        <v>#N/A</v>
      </c>
      <c r="W50" s="298" t="e">
        <f t="shared" si="4"/>
        <v>#N/A</v>
      </c>
      <c r="X50" s="298" t="e">
        <f t="shared" si="5"/>
        <v>#N/A</v>
      </c>
      <c r="Y50" s="298" t="e">
        <f t="shared" si="6"/>
        <v>#N/A</v>
      </c>
      <c r="Z50" s="298" t="e">
        <f t="shared" si="7"/>
        <v>#N/A</v>
      </c>
      <c r="AA50" s="297" t="e">
        <f t="shared" si="8"/>
        <v>#N/A</v>
      </c>
    </row>
    <row r="51" spans="1:27" ht="15.75" hidden="1" customHeight="1">
      <c r="B51" s="29"/>
      <c r="C51" s="367"/>
      <c r="D51" s="280"/>
      <c r="E51" s="280"/>
      <c r="F51" s="279"/>
      <c r="G51" s="280"/>
      <c r="H51" s="419"/>
      <c r="I51" s="369"/>
      <c r="J51" s="369"/>
      <c r="K51" s="282"/>
      <c r="L51" s="277"/>
      <c r="M51" s="420"/>
      <c r="N51" s="371"/>
      <c r="O51" s="372"/>
      <c r="P51" s="370"/>
      <c r="Q51" s="348"/>
      <c r="S51" s="278">
        <f t="shared" si="0"/>
        <v>0</v>
      </c>
      <c r="T51" s="297" t="e">
        <f t="shared" si="1"/>
        <v>#N/A</v>
      </c>
      <c r="U51" s="297" t="e">
        <f t="shared" si="2"/>
        <v>#N/A</v>
      </c>
      <c r="V51" s="298" t="e">
        <f t="shared" si="3"/>
        <v>#N/A</v>
      </c>
      <c r="W51" s="298" t="e">
        <f t="shared" si="4"/>
        <v>#N/A</v>
      </c>
      <c r="X51" s="298" t="e">
        <f t="shared" si="5"/>
        <v>#N/A</v>
      </c>
      <c r="Y51" s="298" t="e">
        <f t="shared" si="6"/>
        <v>#N/A</v>
      </c>
      <c r="Z51" s="298" t="e">
        <f t="shared" si="7"/>
        <v>#N/A</v>
      </c>
      <c r="AA51" s="297" t="e">
        <f t="shared" si="8"/>
        <v>#N/A</v>
      </c>
    </row>
    <row r="52" spans="1:27" ht="14.4" hidden="1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375"/>
      <c r="N52" s="371"/>
      <c r="O52" s="372"/>
      <c r="P52" s="370"/>
      <c r="Q52" s="348"/>
      <c r="S52" s="278">
        <f t="shared" si="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 thickBot="1">
      <c r="B53" s="359"/>
      <c r="C53" s="359"/>
      <c r="D53" s="359"/>
      <c r="E53" s="359"/>
      <c r="F53" s="295"/>
      <c r="G53" s="295"/>
      <c r="H53" s="349"/>
      <c r="I53" s="574" t="s">
        <v>34</v>
      </c>
      <c r="J53" s="574"/>
      <c r="K53" s="574"/>
      <c r="L53" s="574"/>
      <c r="M53" s="574"/>
      <c r="N53" s="574"/>
      <c r="O53" s="1"/>
      <c r="P53" s="12"/>
      <c r="S53" s="278"/>
      <c r="T53" s="297"/>
      <c r="U53" s="297"/>
      <c r="V53" s="298"/>
      <c r="W53" s="298"/>
      <c r="X53" s="298"/>
      <c r="Y53" s="298"/>
      <c r="Z53" s="298"/>
      <c r="AA53" s="297"/>
    </row>
    <row r="54" spans="1:27" ht="15" thickBot="1">
      <c r="B54" s="389" t="s">
        <v>145</v>
      </c>
      <c r="C54" s="389"/>
      <c r="D54" s="552" t="s">
        <v>35</v>
      </c>
      <c r="E54" s="553"/>
      <c r="F54" s="295"/>
      <c r="G54" s="295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5"/>
      <c r="P54" s="12"/>
      <c r="S54" s="278"/>
      <c r="T54" s="297"/>
      <c r="U54" s="297"/>
      <c r="V54" s="298"/>
      <c r="W54" s="298"/>
      <c r="X54" s="298"/>
      <c r="Y54" s="298"/>
      <c r="Z54" s="298"/>
      <c r="AA54" s="297"/>
    </row>
    <row r="55" spans="1:27" ht="15" customHeight="1">
      <c r="A55" s="28"/>
      <c r="B55" s="660" t="str">
        <f>I56</f>
        <v>STAG</v>
      </c>
      <c r="C55" s="363"/>
      <c r="D55" s="578">
        <v>11.8</v>
      </c>
      <c r="E55" s="579"/>
      <c r="F55" s="295"/>
      <c r="G55" s="295"/>
      <c r="H55" s="295"/>
      <c r="I55" s="29" t="s">
        <v>6</v>
      </c>
      <c r="J55" s="324">
        <f>AVERAGE(I14:I17)</f>
        <v>95.715353736758587</v>
      </c>
      <c r="K55" s="285">
        <f>COUNTA([28]Brewhouse!$A$102:$A$151)</f>
        <v>50</v>
      </c>
      <c r="L55" s="303">
        <f>AVERAGE([28]Brewhouse!$AU$102:$AU$151)</f>
        <v>94.004350880790341</v>
      </c>
      <c r="M55" s="303">
        <f>AVERAGE([28]Brewhouse!$AU$102:$AU$151)</f>
        <v>94.004350880790341</v>
      </c>
      <c r="N55" s="30">
        <v>98</v>
      </c>
      <c r="O55" s="11"/>
      <c r="P55" s="31"/>
      <c r="S55" s="278"/>
      <c r="T55" s="297"/>
      <c r="U55" s="297"/>
      <c r="V55" s="298"/>
      <c r="W55" s="298"/>
      <c r="X55" s="298"/>
      <c r="Y55" s="298"/>
      <c r="Z55" s="298"/>
      <c r="AA55" s="297"/>
    </row>
    <row r="56" spans="1:27" ht="15" customHeight="1">
      <c r="A56" s="28"/>
      <c r="B56" s="661"/>
      <c r="C56" s="350"/>
      <c r="D56" s="580"/>
      <c r="E56" s="581"/>
      <c r="F56" s="295"/>
      <c r="G56" s="295"/>
      <c r="H56" s="32"/>
      <c r="I56" s="33" t="s">
        <v>9</v>
      </c>
      <c r="J56" s="324">
        <f>AVERAGE(I10:I12)</f>
        <v>97.14238680290434</v>
      </c>
      <c r="K56" s="285">
        <f>COUNTA([22]Brewhouse!$A$15:$A$60)</f>
        <v>46</v>
      </c>
      <c r="L56" s="303">
        <f>AVERAGE([22]Brewhouse!$AS$15:$AS$60)</f>
        <v>96.221827039170165</v>
      </c>
      <c r="M56" s="303">
        <f>AVERAGE([22]Brewhouse!$AS$15:$AS$60)</f>
        <v>96.221827039170165</v>
      </c>
      <c r="N56" s="30">
        <v>98</v>
      </c>
      <c r="O56" s="11"/>
      <c r="P56" s="31"/>
      <c r="S56" s="278"/>
      <c r="T56" s="297"/>
      <c r="U56" s="297"/>
      <c r="V56" s="298"/>
      <c r="W56" s="298"/>
      <c r="X56" s="298"/>
      <c r="Y56" s="298"/>
      <c r="Z56" s="298"/>
      <c r="AA56" s="297"/>
    </row>
    <row r="57" spans="1:27" ht="14.7" customHeight="1">
      <c r="A57" s="28"/>
      <c r="B57" s="661"/>
      <c r="C57" s="350"/>
      <c r="D57" s="578">
        <v>11.8</v>
      </c>
      <c r="E57" s="579"/>
      <c r="F57" s="295"/>
      <c r="G57" s="295"/>
      <c r="H57" s="32"/>
      <c r="I57" s="34" t="s">
        <v>12</v>
      </c>
      <c r="J57" s="281">
        <f>AVERAGE(I28:I30)</f>
        <v>96.789096366728543</v>
      </c>
      <c r="K57" s="285">
        <f>COUNTA([31]Brewhouse!$A$4:$A$6)</f>
        <v>3</v>
      </c>
      <c r="L57" s="303">
        <f>AVERAGE([31]Brewhouse!$AU$4:$AU$6)</f>
        <v>96.789096366728543</v>
      </c>
      <c r="M57" s="303">
        <f>AVERAGE([31]Brewhouse!$AU$4:$AU$6)</f>
        <v>96.789096366728543</v>
      </c>
      <c r="N57" s="30">
        <v>98</v>
      </c>
      <c r="O57" s="11"/>
      <c r="P57" s="31"/>
      <c r="S57" s="23"/>
      <c r="T57" s="1"/>
      <c r="U57" s="1"/>
      <c r="AA57" s="286"/>
    </row>
    <row r="58" spans="1:27" ht="14.7" customHeight="1">
      <c r="A58" s="28"/>
      <c r="B58" s="661"/>
      <c r="C58" s="350"/>
      <c r="D58" s="580"/>
      <c r="E58" s="581"/>
      <c r="F58" s="295"/>
      <c r="G58" s="295"/>
      <c r="H58" s="32"/>
      <c r="I58" s="22" t="s">
        <v>33</v>
      </c>
      <c r="J58" s="281">
        <f>AVERAGE(I20:I25)</f>
        <v>98.394587247969298</v>
      </c>
      <c r="K58" s="285">
        <f>COUNTA([25]Brewhouse!$A$5:$A$14)</f>
        <v>10</v>
      </c>
      <c r="L58" s="303">
        <f>AVERAGE([25]Brewhouse!$AV$5:$AV$14)</f>
        <v>97.717673301363135</v>
      </c>
      <c r="M58" s="303">
        <f>AVERAGE([25]Brewhouse!$AV$5:$AV$14)</f>
        <v>97.717673301363135</v>
      </c>
      <c r="N58" s="30">
        <v>98</v>
      </c>
      <c r="O58" s="11"/>
      <c r="P58" s="31"/>
      <c r="S58" s="23"/>
      <c r="T58" s="1"/>
      <c r="U58" s="1"/>
      <c r="AA58" s="286"/>
    </row>
    <row r="59" spans="1:27" ht="14.7" customHeight="1">
      <c r="A59" s="28"/>
      <c r="B59" s="661"/>
      <c r="C59" s="350"/>
      <c r="D59" s="578"/>
      <c r="E59" s="579"/>
      <c r="F59" s="295"/>
      <c r="G59" s="295"/>
      <c r="H59" s="32"/>
      <c r="I59" s="35" t="s">
        <v>29</v>
      </c>
      <c r="J59" s="281"/>
      <c r="K59" s="285"/>
      <c r="L59" s="303"/>
      <c r="M59" s="303"/>
      <c r="N59" s="30">
        <v>98</v>
      </c>
      <c r="O59" s="11"/>
      <c r="P59" s="31"/>
      <c r="S59" s="23"/>
    </row>
    <row r="60" spans="1:27" ht="14.7" customHeight="1">
      <c r="A60" s="28"/>
      <c r="B60" s="661"/>
      <c r="C60" s="350"/>
      <c r="D60" s="580"/>
      <c r="E60" s="581"/>
      <c r="F60" s="295"/>
      <c r="G60" s="295"/>
      <c r="H60" s="32"/>
      <c r="I60" s="36" t="s">
        <v>15</v>
      </c>
      <c r="J60" s="324"/>
      <c r="K60" s="285">
        <f>COUNTA([27]Brewhouse!$A$4:$A$11)</f>
        <v>8</v>
      </c>
      <c r="L60" s="303">
        <f>AVERAGE([27]Brewhouse!$AT$4:$AT$11)</f>
        <v>94.812616598822359</v>
      </c>
      <c r="M60" s="303">
        <f>AVERAGE([27]Brewhouse!$AT$4:$AT$11)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661"/>
      <c r="C61" s="350"/>
      <c r="D61" s="578"/>
      <c r="E61" s="579"/>
      <c r="F61" s="295"/>
      <c r="G61" s="295"/>
      <c r="H61" s="32"/>
      <c r="I61" s="37" t="s">
        <v>16</v>
      </c>
      <c r="J61" s="324"/>
      <c r="K61" s="285">
        <f>COUNTA(Jan.20th!B31:B34,'Jan 24th, 27th, 28th'!B34:B36)</f>
        <v>4</v>
      </c>
      <c r="L61" s="303">
        <f>AVERAGE([29]Brewhouse!$AY$6:$AY$13)</f>
        <v>93.094805585685208</v>
      </c>
      <c r="M61" s="303">
        <f>AVERAGE([29]Brewhouse!$AY$6:$AY$13)</f>
        <v>93.094805585685208</v>
      </c>
      <c r="N61" s="30">
        <v>98</v>
      </c>
      <c r="O61" s="11"/>
      <c r="P61" s="31" t="s">
        <v>41</v>
      </c>
      <c r="S61" s="23"/>
      <c r="X61" s="276" t="s">
        <v>41</v>
      </c>
    </row>
    <row r="62" spans="1:27" ht="14.7" customHeight="1">
      <c r="A62" s="28"/>
      <c r="B62" s="661"/>
      <c r="C62" s="350"/>
      <c r="D62" s="580"/>
      <c r="E62" s="581"/>
      <c r="F62" s="295"/>
      <c r="G62" s="295"/>
      <c r="H62" s="32"/>
      <c r="I62" s="507" t="s">
        <v>174</v>
      </c>
      <c r="J62" s="327"/>
      <c r="K62" s="285">
        <f>COUNTA([26]Brewhouse!$A$5:$A$8)</f>
        <v>4</v>
      </c>
      <c r="L62" s="306">
        <f>AVERAGE([26]Brewhouse!$AU$5:$AU$8)</f>
        <v>91.006888337619571</v>
      </c>
      <c r="M62" s="306">
        <f>AVERAGE([26]Brewhouse!$AU$5:$AU$8)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661"/>
      <c r="C63" s="350"/>
      <c r="D63" s="578"/>
      <c r="E63" s="579"/>
      <c r="F63" s="295"/>
      <c r="G63" s="295"/>
      <c r="H63" s="32"/>
      <c r="I63" s="506" t="s">
        <v>166</v>
      </c>
      <c r="J63" s="327"/>
      <c r="K63" s="285"/>
      <c r="L63" s="306"/>
      <c r="M63" s="306"/>
      <c r="N63" s="30"/>
      <c r="O63" s="11"/>
      <c r="P63" s="31"/>
      <c r="S63" s="23"/>
    </row>
    <row r="64" spans="1:27" ht="15" customHeight="1" thickBot="1">
      <c r="A64" s="28"/>
      <c r="B64" s="661"/>
      <c r="C64" s="350"/>
      <c r="D64" s="580"/>
      <c r="E64" s="581"/>
      <c r="F64" s="295"/>
      <c r="G64" s="295"/>
      <c r="H64" s="32"/>
      <c r="I64" s="502" t="s">
        <v>165</v>
      </c>
      <c r="J64" s="328"/>
      <c r="K64" s="503"/>
      <c r="L64" s="504"/>
      <c r="M64" s="504"/>
      <c r="N64" s="505">
        <v>98</v>
      </c>
      <c r="O64" s="11"/>
      <c r="P64" s="31"/>
      <c r="S64" s="23"/>
    </row>
    <row r="65" spans="1:57" ht="15" customHeight="1" thickBot="1">
      <c r="A65" s="28"/>
      <c r="B65" s="661"/>
      <c r="C65" s="350"/>
      <c r="D65" s="578"/>
      <c r="E65" s="579"/>
      <c r="F65" s="295"/>
      <c r="G65" s="295"/>
      <c r="H65" s="32"/>
      <c r="I65" s="1"/>
      <c r="J65" s="39"/>
      <c r="K65" s="500">
        <f>SUM(K55:K64)</f>
        <v>125</v>
      </c>
      <c r="L65" s="501">
        <f>((L55*K55)+(L56*K56)+(L57*K57)+(L58*K58)+(L59*K59)+(K62*L62)+(L60*K60)+(L61*K61)+(L64*K64))/(K65)</f>
        <v>95.1109865475117</v>
      </c>
      <c r="M65" s="501">
        <f>L65</f>
        <v>95.1109865475117</v>
      </c>
      <c r="N65" s="40">
        <v>98</v>
      </c>
      <c r="O65" s="11"/>
      <c r="P65" s="31"/>
      <c r="S65" s="23"/>
    </row>
    <row r="66" spans="1:57" ht="15" thickBot="1">
      <c r="B66" s="662"/>
      <c r="C66" s="351"/>
      <c r="D66" s="580"/>
      <c r="E66" s="581"/>
      <c r="F66" s="295"/>
      <c r="G66" s="42"/>
      <c r="H66" s="41"/>
      <c r="I66" s="42"/>
      <c r="J66" s="42"/>
      <c r="K66" s="352"/>
      <c r="L66" s="349"/>
      <c r="M66" s="349"/>
      <c r="N66" s="11"/>
      <c r="O66" s="295"/>
      <c r="P66" s="12"/>
      <c r="S66" s="23"/>
    </row>
    <row r="67" spans="1:57" ht="15" thickBot="1">
      <c r="B67" s="653" t="str">
        <f>I55</f>
        <v>CARIB</v>
      </c>
      <c r="C67" s="363"/>
      <c r="D67" s="591">
        <v>11.8</v>
      </c>
      <c r="E67" s="592"/>
      <c r="F67" s="43"/>
      <c r="G67" s="41"/>
      <c r="H67" s="41"/>
      <c r="I67" s="42"/>
      <c r="J67" s="594" t="s">
        <v>129</v>
      </c>
      <c r="K67" s="594"/>
      <c r="L67" s="295"/>
      <c r="M67" s="295"/>
      <c r="N67" s="295"/>
      <c r="O67" s="295"/>
      <c r="P67" s="12"/>
      <c r="S67" s="23" t="s">
        <v>41</v>
      </c>
    </row>
    <row r="68" spans="1:57" ht="13.5" customHeight="1" thickBot="1">
      <c r="B68" s="654"/>
      <c r="C68" s="350"/>
      <c r="D68" s="593"/>
      <c r="E68" s="581"/>
      <c r="F68" s="43"/>
      <c r="G68" s="41"/>
      <c r="H68" s="538" t="s">
        <v>199</v>
      </c>
      <c r="I68" s="539" t="s">
        <v>198</v>
      </c>
      <c r="J68" s="526" t="s">
        <v>17</v>
      </c>
      <c r="K68" s="294" t="s">
        <v>201</v>
      </c>
      <c r="L68" s="595" t="s">
        <v>136</v>
      </c>
      <c r="M68" s="595"/>
      <c r="N68" s="596"/>
      <c r="O68" s="295"/>
      <c r="P68" s="12"/>
      <c r="S68" s="23"/>
    </row>
    <row r="69" spans="1:57" ht="15" customHeight="1" thickBot="1">
      <c r="B69" s="654"/>
      <c r="C69" s="350"/>
      <c r="D69" s="597">
        <v>11.8</v>
      </c>
      <c r="E69" s="579"/>
      <c r="F69" s="43"/>
      <c r="G69" s="41"/>
      <c r="H69" s="535"/>
      <c r="I69" s="536"/>
      <c r="J69" s="527" t="s">
        <v>6</v>
      </c>
      <c r="K69" s="325">
        <v>4</v>
      </c>
      <c r="L69" s="344" t="s">
        <v>37</v>
      </c>
      <c r="M69" s="308" t="s">
        <v>38</v>
      </c>
      <c r="N69" s="308" t="s">
        <v>84</v>
      </c>
      <c r="O69" s="295"/>
      <c r="P69" s="12"/>
      <c r="S69" s="23"/>
    </row>
    <row r="70" spans="1:57" ht="15.75" customHeight="1" thickBot="1">
      <c r="B70" s="654"/>
      <c r="C70" s="350"/>
      <c r="D70" s="593"/>
      <c r="E70" s="581"/>
      <c r="F70" s="43"/>
      <c r="G70" s="41"/>
      <c r="H70" s="541"/>
      <c r="I70" s="536"/>
      <c r="J70" s="528" t="s">
        <v>9</v>
      </c>
      <c r="K70" s="325">
        <v>3</v>
      </c>
      <c r="L70" s="345">
        <f>AVERAGE('Jan 2nd'!K69,'Jan 3rd'!K69,'Jan 6th'!K54,'Jan 7th'!K76,'Jan 8th'!K76,'Jan. 10th'!K54,'Jan. 14th '!K54,'Jan.15th '!K55,Jan.16th!K58,'Jan.17th -19th'!K67,Jan.20th!K67,'Jan.21ST '!K70,'Jan 22nd'!K79,'Jan 24th, 27th, 28th'!K79,,I79,H79,'Jan 23rd '!K86)</f>
        <v>6.2777777777777777</v>
      </c>
      <c r="M70" s="326">
        <f>L70</f>
        <v>6.2777777777777777</v>
      </c>
      <c r="N70" s="488"/>
      <c r="O70" s="295"/>
      <c r="P70" s="12"/>
      <c r="S70" s="23"/>
    </row>
    <row r="71" spans="1:57" ht="15" customHeight="1">
      <c r="B71" s="654"/>
      <c r="C71" s="350"/>
      <c r="D71" s="597"/>
      <c r="E71" s="579"/>
      <c r="F71" s="43"/>
      <c r="G71" s="41"/>
      <c r="H71" s="542">
        <v>3</v>
      </c>
      <c r="I71" s="536"/>
      <c r="J71" s="529" t="s">
        <v>40</v>
      </c>
      <c r="K71" s="325"/>
      <c r="L71" s="295"/>
      <c r="M71" s="295"/>
      <c r="N71" s="295"/>
      <c r="O71" s="295"/>
      <c r="P71" s="12"/>
      <c r="S71" s="23"/>
    </row>
    <row r="72" spans="1:57" ht="15" customHeight="1">
      <c r="B72" s="654"/>
      <c r="C72" s="350"/>
      <c r="D72" s="593"/>
      <c r="E72" s="581"/>
      <c r="F72" s="43"/>
      <c r="G72" s="41"/>
      <c r="H72" s="542">
        <v>3</v>
      </c>
      <c r="I72" s="543">
        <v>3</v>
      </c>
      <c r="J72" s="530" t="s">
        <v>33</v>
      </c>
      <c r="K72" s="325"/>
      <c r="L72" s="295"/>
      <c r="M72" s="295"/>
      <c r="N72" s="295"/>
      <c r="O72" s="295"/>
      <c r="P72" s="12"/>
      <c r="S72" s="23"/>
    </row>
    <row r="73" spans="1:57" ht="14.4">
      <c r="B73" s="654"/>
      <c r="C73" s="350"/>
      <c r="D73" s="597"/>
      <c r="E73" s="579"/>
      <c r="F73" s="43"/>
      <c r="G73" s="41"/>
      <c r="H73" s="542"/>
      <c r="I73" s="536"/>
      <c r="J73" s="531" t="s">
        <v>16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1:57" ht="14.4">
      <c r="B74" s="654"/>
      <c r="C74" s="350"/>
      <c r="D74" s="593"/>
      <c r="E74" s="581"/>
      <c r="F74" s="43"/>
      <c r="G74" s="41"/>
      <c r="H74" s="535"/>
      <c r="I74" s="536"/>
      <c r="J74" s="532" t="s">
        <v>15</v>
      </c>
      <c r="K74" s="325"/>
      <c r="L74" s="295"/>
      <c r="M74" s="295"/>
      <c r="N74" s="295"/>
      <c r="O74" s="295"/>
      <c r="P74" s="12"/>
      <c r="S74" s="23"/>
      <c r="BD74" s="44"/>
      <c r="BE74" s="44"/>
    </row>
    <row r="75" spans="1:57" ht="14.4">
      <c r="B75" s="654"/>
      <c r="C75" s="350"/>
      <c r="D75" s="598"/>
      <c r="E75" s="583"/>
      <c r="F75" s="43"/>
      <c r="G75" s="41"/>
      <c r="H75" s="535"/>
      <c r="I75" s="536"/>
      <c r="J75" s="532" t="s">
        <v>149</v>
      </c>
      <c r="K75" s="325"/>
      <c r="L75" s="295"/>
      <c r="M75" s="295"/>
      <c r="N75" s="295"/>
      <c r="O75" s="295"/>
      <c r="P75" s="12"/>
      <c r="S75" s="23"/>
      <c r="BD75" s="44"/>
      <c r="BE75" s="44"/>
    </row>
    <row r="76" spans="1:57" ht="15" thickBot="1">
      <c r="B76" s="655"/>
      <c r="C76" s="351"/>
      <c r="D76" s="599"/>
      <c r="E76" s="600"/>
      <c r="F76" s="43"/>
      <c r="G76" s="41"/>
      <c r="H76" s="535"/>
      <c r="I76" s="536"/>
      <c r="J76" s="532" t="s">
        <v>148</v>
      </c>
      <c r="K76" s="325"/>
      <c r="L76" s="295"/>
      <c r="M76" s="295"/>
      <c r="N76" s="295"/>
      <c r="O76" s="295"/>
      <c r="P76" s="12"/>
      <c r="S76" s="23"/>
      <c r="BD76" s="44"/>
      <c r="BE76" s="44"/>
    </row>
    <row r="77" spans="1:57" ht="17.7" customHeight="1" thickBot="1">
      <c r="B77" s="313" t="s">
        <v>139</v>
      </c>
      <c r="C77" s="314"/>
      <c r="D77" s="601">
        <f>AVERAGE(D55:E76)</f>
        <v>11.8</v>
      </c>
      <c r="E77" s="602"/>
      <c r="F77" s="43"/>
      <c r="G77" s="41"/>
      <c r="H77" s="535"/>
      <c r="I77" s="536"/>
      <c r="J77" s="533" t="s">
        <v>134</v>
      </c>
      <c r="K77" s="325"/>
      <c r="L77" s="295"/>
      <c r="M77" s="295"/>
      <c r="N77" s="295"/>
      <c r="O77" s="295"/>
      <c r="P77" s="12"/>
      <c r="S77" s="23"/>
      <c r="BD77" s="44"/>
      <c r="BE77" s="44"/>
    </row>
    <row r="78" spans="1:57" ht="17.7" customHeight="1">
      <c r="B78" s="364"/>
      <c r="C78" s="365"/>
      <c r="D78" s="366"/>
      <c r="E78" s="366"/>
      <c r="F78" s="43"/>
      <c r="G78" s="41"/>
      <c r="H78" s="535"/>
      <c r="I78" s="536"/>
      <c r="J78" s="533" t="s">
        <v>131</v>
      </c>
      <c r="K78" s="325"/>
      <c r="L78" s="295"/>
      <c r="M78" s="295"/>
      <c r="N78" s="295"/>
      <c r="O78" s="295"/>
      <c r="P78" s="12"/>
      <c r="S78" s="23"/>
      <c r="BD78" s="44"/>
      <c r="BE78" s="44"/>
    </row>
    <row r="79" spans="1:57" ht="15.75" customHeight="1" thickBot="1">
      <c r="B79" s="45"/>
      <c r="C79" s="11"/>
      <c r="D79" s="11"/>
      <c r="E79" s="46"/>
      <c r="F79" s="23"/>
      <c r="G79" s="11"/>
      <c r="H79" s="514">
        <f t="shared" ref="H79:I79" si="9">SUM(H69:H78)</f>
        <v>6</v>
      </c>
      <c r="I79" s="537">
        <f t="shared" si="9"/>
        <v>3</v>
      </c>
      <c r="J79" s="534" t="s">
        <v>130</v>
      </c>
      <c r="K79" s="325">
        <f>SUM(K69:K78)</f>
        <v>7</v>
      </c>
      <c r="L79" s="295"/>
      <c r="M79" s="295"/>
      <c r="N79" s="295"/>
      <c r="O79" s="295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5"/>
      <c r="P80" s="335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6" t="s">
        <v>41</v>
      </c>
    </row>
    <row r="82" spans="2:58" ht="15" customHeight="1" thickBot="1">
      <c r="B82" s="603" t="s">
        <v>17</v>
      </c>
      <c r="C82" s="603" t="s">
        <v>44</v>
      </c>
      <c r="D82" s="605" t="s">
        <v>45</v>
      </c>
      <c r="E82" s="560" t="s">
        <v>46</v>
      </c>
      <c r="F82" s="620" t="s">
        <v>47</v>
      </c>
      <c r="G82" s="614" t="s">
        <v>48</v>
      </c>
      <c r="H82" s="603" t="s">
        <v>49</v>
      </c>
      <c r="I82" s="603" t="s">
        <v>50</v>
      </c>
      <c r="J82" s="608" t="s">
        <v>28</v>
      </c>
      <c r="K82" s="558" t="s">
        <v>51</v>
      </c>
      <c r="L82" s="570" t="s">
        <v>52</v>
      </c>
      <c r="M82" s="608" t="s">
        <v>53</v>
      </c>
      <c r="N82" s="77"/>
      <c r="O82" s="13"/>
      <c r="P82" s="50"/>
    </row>
    <row r="83" spans="2:58" ht="28.5" customHeight="1" thickTop="1" thickBot="1">
      <c r="B83" s="604"/>
      <c r="C83" s="604"/>
      <c r="D83" s="606"/>
      <c r="E83" s="607"/>
      <c r="F83" s="621"/>
      <c r="G83" s="615"/>
      <c r="H83" s="604"/>
      <c r="I83" s="604"/>
      <c r="J83" s="609"/>
      <c r="K83" s="618"/>
      <c r="L83" s="619"/>
      <c r="M83" s="609"/>
      <c r="N83" s="77"/>
      <c r="O83" s="13"/>
      <c r="P83" s="50"/>
      <c r="Q83" s="356"/>
      <c r="R83" s="356"/>
      <c r="S83" s="356"/>
      <c r="T83" s="356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69.75" customHeight="1" thickBot="1">
      <c r="B84" s="441" t="str">
        <f>B95</f>
        <v>STAG</v>
      </c>
      <c r="C84" s="284">
        <v>45681</v>
      </c>
      <c r="D84" s="378">
        <f>[23]January_2025!$AA$13</f>
        <v>190.10000000000002</v>
      </c>
      <c r="E84" s="379"/>
      <c r="F84" s="380">
        <f>[30]STAG!$L$27+[30]STAG!$L$29</f>
        <v>186.6</v>
      </c>
      <c r="G84" s="304">
        <f>[23]January_2025!$AA$17</f>
        <v>176.8</v>
      </c>
      <c r="H84" s="446">
        <f>(D84-F84)/D84*100</f>
        <v>1.8411362440820769</v>
      </c>
      <c r="I84" s="446">
        <f>((F84+E84)-G84)/(F84+E84)*100</f>
        <v>5.2518756698820921</v>
      </c>
      <c r="J84" s="391" t="s">
        <v>202</v>
      </c>
      <c r="K84" s="381">
        <f>[24]January_2025!$AA$25</f>
        <v>0.62035087719298254</v>
      </c>
      <c r="L84" s="315">
        <f>(((D84+E84)-G84)/(D84+E84))*100</f>
        <v>6.9963177275118413</v>
      </c>
      <c r="M84" s="358" t="s">
        <v>188</v>
      </c>
      <c r="N84" s="13"/>
      <c r="O84" s="13"/>
      <c r="P84" s="50"/>
      <c r="T84" s="273" t="s">
        <v>54</v>
      </c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</row>
    <row r="85" spans="2:58" s="54" customFormat="1" ht="18.75" customHeight="1" thickBot="1">
      <c r="B85" s="388"/>
      <c r="C85" s="284"/>
      <c r="D85" s="280"/>
      <c r="E85" s="280"/>
      <c r="F85" s="280"/>
      <c r="G85" s="280"/>
      <c r="H85" s="321"/>
      <c r="I85" s="322"/>
      <c r="J85" s="390" t="s">
        <v>41</v>
      </c>
      <c r="K85" s="377"/>
      <c r="L85" s="315"/>
      <c r="M85" s="385"/>
      <c r="N85" s="13"/>
      <c r="O85" s="13"/>
      <c r="P85" s="50"/>
      <c r="T85" s="273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8" t="e">
        <f>[20]January_2019!AH8</f>
        <v>#DIV/0!</v>
      </c>
      <c r="AZ85" s="278"/>
      <c r="BA85" s="278"/>
      <c r="BB85" s="278"/>
      <c r="BC85" s="278"/>
      <c r="BD85" s="278"/>
      <c r="BE85" s="278"/>
      <c r="BF85" s="278"/>
    </row>
    <row r="86" spans="2:58" s="54" customFormat="1" ht="42" customHeight="1" thickBot="1">
      <c r="B86" s="540" t="str">
        <f>B94</f>
        <v>CARIB</v>
      </c>
      <c r="C86" s="284">
        <v>45684</v>
      </c>
      <c r="D86" s="280">
        <f>[23]January_2025!$AD$3</f>
        <v>198.5</v>
      </c>
      <c r="E86" s="280"/>
      <c r="F86" s="280">
        <f>[30]CARIB!$L$102+[30]CARIB!$L$104</f>
        <v>198.7</v>
      </c>
      <c r="G86" s="280">
        <f>[23]January_2025!$AD$7</f>
        <v>185.3</v>
      </c>
      <c r="H86" s="446">
        <f>(D86-F86)/D86*100</f>
        <v>-0.1007556675062915</v>
      </c>
      <c r="I86" s="446">
        <f>((F86+E86)-G86)/(F86+E86)*100</f>
        <v>6.7438349270256559</v>
      </c>
      <c r="J86" s="391" t="s">
        <v>202</v>
      </c>
      <c r="K86" s="373">
        <f>[24]January_2025!$AD$18</f>
        <v>0.6501754385964913</v>
      </c>
      <c r="L86" s="315">
        <f>(((D86+E86)-G86)/(D86+E86))*100</f>
        <v>6.6498740554156113</v>
      </c>
      <c r="M86" s="358" t="s">
        <v>204</v>
      </c>
      <c r="N86" s="13"/>
      <c r="O86" s="13"/>
      <c r="P86" s="50"/>
      <c r="T86" s="273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8"/>
      <c r="AZ86" s="278"/>
      <c r="BA86" s="278"/>
      <c r="BB86" s="278"/>
      <c r="BC86" s="278"/>
      <c r="BD86" s="278"/>
      <c r="BE86" s="278"/>
      <c r="BF86" s="278"/>
    </row>
    <row r="87" spans="2:58" s="54" customFormat="1" ht="14.4" thickBot="1">
      <c r="B87" s="362"/>
      <c r="C87" s="284"/>
      <c r="D87" s="305"/>
      <c r="E87" s="280"/>
      <c r="F87" s="280"/>
      <c r="G87" s="280"/>
      <c r="H87" s="382"/>
      <c r="I87" s="383"/>
      <c r="J87" s="390"/>
      <c r="K87" s="377"/>
      <c r="L87" s="315"/>
      <c r="M87" s="355"/>
      <c r="N87" s="13"/>
      <c r="O87" s="13"/>
      <c r="P87" s="50"/>
      <c r="T87" s="273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8"/>
      <c r="AZ87" s="278"/>
      <c r="BA87" s="278"/>
      <c r="BB87" s="278"/>
      <c r="BC87" s="278"/>
      <c r="BD87" s="278"/>
      <c r="BE87" s="278"/>
      <c r="BF87" s="278"/>
    </row>
    <row r="88" spans="2:58" s="54" customFormat="1" ht="45.75" customHeight="1" thickBot="1">
      <c r="B88" s="544" t="str">
        <f>J78</f>
        <v>CARIBE</v>
      </c>
      <c r="C88" s="284">
        <v>45685</v>
      </c>
      <c r="D88" s="280"/>
      <c r="E88" s="280"/>
      <c r="F88" s="280"/>
      <c r="G88" s="280"/>
      <c r="H88" s="321"/>
      <c r="I88" s="323"/>
      <c r="J88" s="391" t="s">
        <v>202</v>
      </c>
      <c r="K88" s="287"/>
      <c r="L88" s="315"/>
      <c r="M88" s="385"/>
      <c r="N88" s="13"/>
      <c r="O88" s="13"/>
      <c r="P88" s="50"/>
      <c r="T88" s="273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8"/>
      <c r="AZ88" s="278"/>
      <c r="BA88" s="278"/>
      <c r="BB88" s="278"/>
      <c r="BC88" s="278"/>
      <c r="BD88" s="278"/>
      <c r="BE88" s="278"/>
      <c r="BF88" s="278"/>
    </row>
    <row r="89" spans="2:58" s="54" customFormat="1" ht="45.75" customHeight="1">
      <c r="B89" s="388" t="s">
        <v>205</v>
      </c>
      <c r="C89" s="284">
        <v>45685</v>
      </c>
      <c r="D89" s="280"/>
      <c r="E89" s="280"/>
      <c r="F89" s="280"/>
      <c r="G89" s="280"/>
      <c r="H89" s="321"/>
      <c r="I89" s="323"/>
      <c r="J89" s="282"/>
      <c r="K89" s="287"/>
      <c r="L89" s="315"/>
      <c r="M89" s="340"/>
      <c r="N89" s="13"/>
      <c r="O89" s="13"/>
      <c r="P89" s="50"/>
      <c r="T89" s="273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8"/>
      <c r="AZ89" s="278"/>
      <c r="BA89" s="278"/>
      <c r="BB89" s="278"/>
      <c r="BC89" s="278"/>
      <c r="BD89" s="278"/>
      <c r="BE89" s="278"/>
      <c r="BF89" s="278"/>
    </row>
    <row r="90" spans="2:58" ht="14.4" thickBot="1">
      <c r="B90" s="33"/>
      <c r="C90" s="311"/>
      <c r="D90" s="280"/>
      <c r="E90" s="280"/>
      <c r="F90" s="280"/>
      <c r="G90" s="280"/>
      <c r="H90" s="353"/>
      <c r="I90" s="354"/>
      <c r="J90" s="52"/>
      <c r="K90" s="52"/>
      <c r="L90" s="53"/>
      <c r="M90" s="55"/>
      <c r="N90" s="77"/>
      <c r="O90" s="13"/>
      <c r="P90" s="56"/>
    </row>
    <row r="91" spans="2:58" ht="14.4" thickBot="1">
      <c r="B91" s="58"/>
      <c r="C91" s="31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610" t="s">
        <v>55</v>
      </c>
      <c r="C92" s="611"/>
      <c r="D92" s="611"/>
      <c r="E92" s="611"/>
      <c r="F92" s="612"/>
      <c r="G92" s="610" t="s">
        <v>56</v>
      </c>
      <c r="H92" s="611"/>
      <c r="I92" s="611"/>
      <c r="J92" s="612"/>
      <c r="K92" s="610" t="s">
        <v>51</v>
      </c>
      <c r="L92" s="611"/>
      <c r="M92" s="611"/>
      <c r="N92" s="613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>
        <f>L86</f>
        <v>6.6498740554156113</v>
      </c>
      <c r="D94" s="76">
        <v>9.6710325921413354</v>
      </c>
      <c r="E94" s="76">
        <f>D94</f>
        <v>9.6710325921413354</v>
      </c>
      <c r="F94" s="66">
        <v>4.8</v>
      </c>
      <c r="G94" s="65">
        <f>[23]January_2025!$AD$11</f>
        <v>7.6970709810760134</v>
      </c>
      <c r="H94" s="76">
        <v>9.6103352899363141</v>
      </c>
      <c r="I94" s="76">
        <f>H94</f>
        <v>9.6103352899363141</v>
      </c>
      <c r="J94" s="66">
        <v>4.8</v>
      </c>
      <c r="K94" s="67">
        <f>K86</f>
        <v>0.6501754385964913</v>
      </c>
      <c r="L94" s="194">
        <v>0.92012280701754401</v>
      </c>
      <c r="M94" s="194">
        <f>L94</f>
        <v>0.92012280701754401</v>
      </c>
      <c r="N94" s="68">
        <v>1</v>
      </c>
      <c r="O94" s="56"/>
      <c r="P94" s="69"/>
    </row>
    <row r="95" spans="2:58">
      <c r="B95" s="33" t="s">
        <v>9</v>
      </c>
      <c r="C95" s="65">
        <f>AVERAGE(L84)</f>
        <v>6.9963177275118413</v>
      </c>
      <c r="D95" s="76">
        <v>6.8188129559970694</v>
      </c>
      <c r="E95" s="76">
        <f t="shared" ref="E95:E102" si="10">D95</f>
        <v>6.8188129559970694</v>
      </c>
      <c r="F95" s="66">
        <v>4.8</v>
      </c>
      <c r="G95" s="65">
        <f>[23]January_2025!$AA$21</f>
        <v>6.8453377238227375</v>
      </c>
      <c r="H95" s="76">
        <v>10.863101163921975</v>
      </c>
      <c r="I95" s="76">
        <f t="shared" ref="I95:I102" si="11">H95</f>
        <v>10.863101163921975</v>
      </c>
      <c r="J95" s="66">
        <v>4.8</v>
      </c>
      <c r="K95" s="67">
        <f>K84</f>
        <v>0.62035087719298254</v>
      </c>
      <c r="L95" s="194">
        <v>0.97131578947368413</v>
      </c>
      <c r="M95" s="194">
        <f t="shared" ref="M95:M102" si="12">L95</f>
        <v>0.97131578947368413</v>
      </c>
      <c r="N95" s="68">
        <v>1</v>
      </c>
      <c r="P95" s="69"/>
    </row>
    <row r="96" spans="2:58">
      <c r="B96" s="34" t="s">
        <v>40</v>
      </c>
      <c r="C96" s="65"/>
      <c r="D96" s="76">
        <v>7.5530586766541949</v>
      </c>
      <c r="E96" s="76">
        <f t="shared" si="10"/>
        <v>7.5530586766541949</v>
      </c>
      <c r="F96" s="66">
        <v>5.5</v>
      </c>
      <c r="G96" s="65"/>
      <c r="H96" s="76">
        <v>2.6473552031086438</v>
      </c>
      <c r="I96" s="76">
        <f t="shared" si="11"/>
        <v>2.6473552031086438</v>
      </c>
      <c r="J96" s="66">
        <v>5.5</v>
      </c>
      <c r="K96" s="67"/>
      <c r="L96" s="194">
        <v>1.0392982456140349</v>
      </c>
      <c r="M96" s="194">
        <f t="shared" si="12"/>
        <v>1.0392982456140349</v>
      </c>
      <c r="N96" s="68">
        <v>1</v>
      </c>
      <c r="P96" s="69"/>
    </row>
    <row r="97" spans="2:16">
      <c r="B97" s="22" t="s">
        <v>33</v>
      </c>
      <c r="C97" s="65"/>
      <c r="D97" s="76">
        <v>2.2380467955239092</v>
      </c>
      <c r="E97" s="76">
        <f t="shared" si="10"/>
        <v>2.2380467955239092</v>
      </c>
      <c r="F97" s="66">
        <v>3.3</v>
      </c>
      <c r="G97" s="65"/>
      <c r="H97" s="76">
        <v>5.2472220688473969</v>
      </c>
      <c r="I97" s="76">
        <f t="shared" si="11"/>
        <v>5.2472220688473969</v>
      </c>
      <c r="J97" s="66">
        <v>3.3</v>
      </c>
      <c r="K97" s="67"/>
      <c r="L97" s="194">
        <v>0.67438596491228064</v>
      </c>
      <c r="M97" s="194">
        <f t="shared" si="12"/>
        <v>0.67438596491228064</v>
      </c>
      <c r="N97" s="68">
        <v>1</v>
      </c>
      <c r="P97" s="69"/>
    </row>
    <row r="98" spans="2:16">
      <c r="B98" s="35" t="s">
        <v>29</v>
      </c>
      <c r="C98" s="65"/>
      <c r="D98" s="76"/>
      <c r="E98" s="76"/>
      <c r="F98" s="66">
        <v>3.3</v>
      </c>
      <c r="G98" s="283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3"/>
      <c r="D99" s="76">
        <v>8.7664670658682695</v>
      </c>
      <c r="E99" s="76">
        <f t="shared" si="10"/>
        <v>8.7664670658682695</v>
      </c>
      <c r="F99" s="70">
        <f>[21]May_2022!$M$43</f>
        <v>3.4878406700073312</v>
      </c>
      <c r="G99" s="283"/>
      <c r="H99" s="76">
        <v>10.607235567685406</v>
      </c>
      <c r="I99" s="76">
        <f t="shared" si="11"/>
        <v>10.607235567685406</v>
      </c>
      <c r="J99" s="70">
        <v>5.5</v>
      </c>
      <c r="K99" s="67"/>
      <c r="L99" s="194">
        <v>0.66824561403508764</v>
      </c>
      <c r="M99" s="194">
        <f t="shared" si="12"/>
        <v>0.66824561403508764</v>
      </c>
      <c r="N99" s="68">
        <v>1</v>
      </c>
      <c r="P99" s="69"/>
    </row>
    <row r="100" spans="2:16">
      <c r="B100" s="37" t="s">
        <v>16</v>
      </c>
      <c r="C100" s="65"/>
      <c r="D100" s="76">
        <v>1.4603960396039548</v>
      </c>
      <c r="E100" s="76">
        <f t="shared" si="10"/>
        <v>1.4603960396039548</v>
      </c>
      <c r="F100" s="70">
        <v>3.3</v>
      </c>
      <c r="G100" s="283"/>
      <c r="H100" s="76">
        <v>4.0624079285034069</v>
      </c>
      <c r="I100" s="76">
        <f t="shared" si="11"/>
        <v>4.0624079285034069</v>
      </c>
      <c r="J100" s="70">
        <v>3.3</v>
      </c>
      <c r="K100" s="67"/>
      <c r="L100" s="194">
        <v>0.69842105263157894</v>
      </c>
      <c r="M100" s="194">
        <f t="shared" si="12"/>
        <v>0.69842105263157894</v>
      </c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/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7.8810765287014197</v>
      </c>
      <c r="E102" s="76">
        <f t="shared" si="10"/>
        <v>7.8810765287014197</v>
      </c>
      <c r="F102" s="342">
        <v>4.5</v>
      </c>
      <c r="G102" s="74"/>
      <c r="H102" s="76">
        <v>6.9593481484924711</v>
      </c>
      <c r="I102" s="76">
        <f t="shared" si="11"/>
        <v>6.9593481484924711</v>
      </c>
      <c r="J102" s="343">
        <v>4.5</v>
      </c>
      <c r="K102" s="67"/>
      <c r="L102" s="194">
        <v>0.80685146198830426</v>
      </c>
      <c r="M102" s="194">
        <f t="shared" si="12"/>
        <v>0.80685146198830426</v>
      </c>
      <c r="N102" s="387">
        <v>1</v>
      </c>
      <c r="O102" s="74"/>
      <c r="P102" s="75"/>
    </row>
    <row r="107" spans="2:16">
      <c r="F107" s="316"/>
    </row>
    <row r="115" spans="30:30">
      <c r="AD115" s="276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B67:B76"/>
    <mergeCell ref="D67:E68"/>
    <mergeCell ref="J67:K67"/>
    <mergeCell ref="L68:N68"/>
    <mergeCell ref="D69:E70"/>
    <mergeCell ref="D71:E72"/>
    <mergeCell ref="D73:E74"/>
    <mergeCell ref="D75:E76"/>
    <mergeCell ref="D77:E77"/>
    <mergeCell ref="B82:B83"/>
    <mergeCell ref="C82:C83"/>
    <mergeCell ref="D82:D83"/>
    <mergeCell ref="E82:E83"/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</mergeCells>
  <phoneticPr fontId="88" type="noConversion"/>
  <conditionalFormatting sqref="B77:B78">
    <cfRule type="cellIs" dxfId="707" priority="202" operator="notBetween">
      <formula>#REF!</formula>
      <formula>#REF!</formula>
    </cfRule>
  </conditionalFormatting>
  <conditionalFormatting sqref="C81">
    <cfRule type="cellIs" dxfId="706" priority="234" stopIfTrue="1" operator="greaterThan">
      <formula>100</formula>
    </cfRule>
    <cfRule type="cellIs" dxfId="705" priority="233" stopIfTrue="1" operator="lessThan">
      <formula>96</formula>
    </cfRule>
  </conditionalFormatting>
  <conditionalFormatting sqref="C94">
    <cfRule type="cellIs" dxfId="704" priority="122" stopIfTrue="1" operator="greaterThan">
      <formula>$F94</formula>
    </cfRule>
  </conditionalFormatting>
  <conditionalFormatting sqref="C94:C95">
    <cfRule type="cellIs" dxfId="703" priority="123" stopIfTrue="1" operator="lessThanOrEqual">
      <formula>0</formula>
    </cfRule>
  </conditionalFormatting>
  <conditionalFormatting sqref="C95">
    <cfRule type="cellIs" dxfId="702" priority="237" stopIfTrue="1" operator="greaterThan">
      <formula>$F94</formula>
    </cfRule>
  </conditionalFormatting>
  <conditionalFormatting sqref="C96:C98">
    <cfRule type="cellIs" dxfId="701" priority="152" stopIfTrue="1" operator="greaterThan">
      <formula>$F96</formula>
    </cfRule>
  </conditionalFormatting>
  <conditionalFormatting sqref="C96:C99">
    <cfRule type="cellIs" dxfId="700" priority="175" stopIfTrue="1" operator="lessThanOrEqual">
      <formula>0</formula>
    </cfRule>
  </conditionalFormatting>
  <conditionalFormatting sqref="C99">
    <cfRule type="cellIs" dxfId="699" priority="174" stopIfTrue="1" operator="greaterThan">
      <formula>$J99</formula>
    </cfRule>
  </conditionalFormatting>
  <conditionalFormatting sqref="C105:C109">
    <cfRule type="cellIs" dxfId="698" priority="225" stopIfTrue="1" operator="lessThanOrEqual">
      <formula>0</formula>
    </cfRule>
  </conditionalFormatting>
  <conditionalFormatting sqref="C106:C109">
    <cfRule type="cellIs" dxfId="697" priority="224" stopIfTrue="1" operator="greaterThan">
      <formula>$F$105</formula>
    </cfRule>
  </conditionalFormatting>
  <conditionalFormatting sqref="C111">
    <cfRule type="cellIs" dxfId="696" priority="226" stopIfTrue="1" operator="greaterThan">
      <formula>$F$105</formula>
    </cfRule>
    <cfRule type="cellIs" dxfId="695" priority="227" stopIfTrue="1" operator="lessThanOrEqual">
      <formula>0</formula>
    </cfRule>
  </conditionalFormatting>
  <conditionalFormatting sqref="C105:D105 D107:D113">
    <cfRule type="cellIs" dxfId="694" priority="219" stopIfTrue="1" operator="greaterThan">
      <formula>4.5</formula>
    </cfRule>
  </conditionalFormatting>
  <conditionalFormatting sqref="D77:D78">
    <cfRule type="cellIs" dxfId="693" priority="203" operator="notBetween">
      <formula>#REF!</formula>
      <formula>#REF!</formula>
    </cfRule>
  </conditionalFormatting>
  <conditionalFormatting sqref="D94:D101">
    <cfRule type="cellIs" dxfId="692" priority="189" stopIfTrue="1" operator="lessThanOrEqual">
      <formula>0</formula>
    </cfRule>
  </conditionalFormatting>
  <conditionalFormatting sqref="D102">
    <cfRule type="cellIs" dxfId="691" priority="188" stopIfTrue="1" operator="lessThanOrEqual">
      <formula>0</formula>
    </cfRule>
  </conditionalFormatting>
  <conditionalFormatting sqref="D105 D107:D113">
    <cfRule type="cellIs" dxfId="690" priority="220" stopIfTrue="1" operator="lessThanOrEqual">
      <formula>0</formula>
    </cfRule>
  </conditionalFormatting>
  <conditionalFormatting sqref="D106">
    <cfRule type="cellIs" dxfId="689" priority="212" stopIfTrue="1" operator="lessThanOrEqual">
      <formula>0</formula>
    </cfRule>
    <cfRule type="cellIs" dxfId="688" priority="211" stopIfTrue="1" operator="greaterThan">
      <formula>$F$105</formula>
    </cfRule>
  </conditionalFormatting>
  <conditionalFormatting sqref="D94:E102">
    <cfRule type="cellIs" dxfId="687" priority="181" stopIfTrue="1" operator="greaterThan">
      <formula>$F94</formula>
    </cfRule>
  </conditionalFormatting>
  <conditionalFormatting sqref="E10:E52">
    <cfRule type="cellIs" dxfId="686" priority="19" operator="lessThan">
      <formula>48</formula>
    </cfRule>
  </conditionalFormatting>
  <conditionalFormatting sqref="E81">
    <cfRule type="cellIs" dxfId="685" priority="214" stopIfTrue="1" operator="greaterThan">
      <formula>100</formula>
    </cfRule>
    <cfRule type="cellIs" dxfId="684" priority="213" stopIfTrue="1" operator="lessThan">
      <formula>96.8</formula>
    </cfRule>
  </conditionalFormatting>
  <conditionalFormatting sqref="E94:E102">
    <cfRule type="cellIs" dxfId="683" priority="182" stopIfTrue="1" operator="lessThanOrEqual">
      <formula>0</formula>
    </cfRule>
  </conditionalFormatting>
  <conditionalFormatting sqref="E105:E113">
    <cfRule type="cellIs" dxfId="682" priority="205" stopIfTrue="1" operator="greaterThan">
      <formula>4.5</formula>
    </cfRule>
    <cfRule type="cellIs" dxfId="681" priority="206" stopIfTrue="1" operator="lessThanOrEqual">
      <formula>0</formula>
    </cfRule>
  </conditionalFormatting>
  <conditionalFormatting sqref="E80:F81">
    <cfRule type="cellIs" dxfId="680" priority="216" stopIfTrue="1" operator="greaterThan">
      <formula>100</formula>
    </cfRule>
    <cfRule type="cellIs" dxfId="679" priority="215" stopIfTrue="1" operator="lessThan">
      <formula>96.5</formula>
    </cfRule>
  </conditionalFormatting>
  <conditionalFormatting sqref="F10:F37">
    <cfRule type="cellIs" dxfId="678" priority="21" operator="greaterThan">
      <formula>60</formula>
    </cfRule>
  </conditionalFormatting>
  <conditionalFormatting sqref="F38">
    <cfRule type="cellIs" dxfId="677" priority="245" operator="greaterThan">
      <formula>$AA38</formula>
    </cfRule>
    <cfRule type="cellIs" dxfId="676" priority="246" operator="greaterThan">
      <formula>$AA89</formula>
    </cfRule>
  </conditionalFormatting>
  <conditionalFormatting sqref="F39:F51">
    <cfRule type="cellIs" dxfId="675" priority="85" operator="greaterThan">
      <formula>60</formula>
    </cfRule>
  </conditionalFormatting>
  <conditionalFormatting sqref="F52">
    <cfRule type="cellIs" dxfId="674" priority="238" operator="greaterThan">
      <formula>$AA91</formula>
    </cfRule>
    <cfRule type="cellIs" dxfId="673" priority="121" operator="greaterThan">
      <formula>$AA52</formula>
    </cfRule>
  </conditionalFormatting>
  <conditionalFormatting sqref="F81">
    <cfRule type="cellIs" dxfId="672" priority="232" stopIfTrue="1" operator="greaterThan">
      <formula>100</formula>
    </cfRule>
    <cfRule type="cellIs" dxfId="671" priority="231" stopIfTrue="1" operator="lessThan">
      <formula>96.8</formula>
    </cfRule>
  </conditionalFormatting>
  <conditionalFormatting sqref="F102">
    <cfRule type="cellIs" dxfId="670" priority="183" stopIfTrue="1" operator="greaterThan">
      <formula>$F102</formula>
    </cfRule>
    <cfRule type="cellIs" dxfId="669" priority="184" stopIfTrue="1" operator="lessThanOrEqual">
      <formula>0</formula>
    </cfRule>
  </conditionalFormatting>
  <conditionalFormatting sqref="G94:G95 C100:C102">
    <cfRule type="cellIs" dxfId="668" priority="191" stopIfTrue="1" operator="lessThanOrEqual">
      <formula>0</formula>
    </cfRule>
    <cfRule type="cellIs" dxfId="667" priority="190" stopIfTrue="1" operator="greaterThan">
      <formula>$F94</formula>
    </cfRule>
  </conditionalFormatting>
  <conditionalFormatting sqref="G94:G95">
    <cfRule type="cellIs" dxfId="666" priority="130" stopIfTrue="1" operator="greaterThan">
      <formula>$F94</formula>
    </cfRule>
    <cfRule type="cellIs" dxfId="665" priority="131" stopIfTrue="1" operator="lessThanOrEqual">
      <formula>0</formula>
    </cfRule>
  </conditionalFormatting>
  <conditionalFormatting sqref="G96">
    <cfRule type="cellIs" dxfId="664" priority="235" stopIfTrue="1" operator="greaterThan">
      <formula>$F95</formula>
    </cfRule>
    <cfRule type="cellIs" dxfId="663" priority="236" stopIfTrue="1" operator="lessThanOrEqual">
      <formula>0</formula>
    </cfRule>
  </conditionalFormatting>
  <conditionalFormatting sqref="G97">
    <cfRule type="cellIs" dxfId="662" priority="185" stopIfTrue="1" operator="greaterThan">
      <formula>$F97</formula>
    </cfRule>
    <cfRule type="cellIs" dxfId="661" priority="186" stopIfTrue="1" operator="lessThanOrEqual">
      <formula>0</formula>
    </cfRule>
  </conditionalFormatting>
  <conditionalFormatting sqref="G98:G101">
    <cfRule type="cellIs" dxfId="660" priority="194" stopIfTrue="1" operator="lessThanOrEqual">
      <formula>0</formula>
    </cfRule>
    <cfRule type="cellIs" dxfId="659" priority="193" stopIfTrue="1" operator="greaterThan">
      <formula>$J98</formula>
    </cfRule>
  </conditionalFormatting>
  <conditionalFormatting sqref="G102">
    <cfRule type="cellIs" dxfId="658" priority="192" operator="greaterThan">
      <formula>4.5</formula>
    </cfRule>
  </conditionalFormatting>
  <conditionalFormatting sqref="G107:G112 C110 C112">
    <cfRule type="cellIs" dxfId="657" priority="228" stopIfTrue="1" operator="greaterThan">
      <formula>4.5</formula>
    </cfRule>
    <cfRule type="cellIs" dxfId="656" priority="229" stopIfTrue="1" operator="lessThanOrEqual">
      <formula>0</formula>
    </cfRule>
  </conditionalFormatting>
  <conditionalFormatting sqref="G10:H52">
    <cfRule type="expression" dxfId="655" priority="25">
      <formula>IF(+(IF(G10&lt;#REF!,0,IF(G10&gt;#REF!,0,1)))=0,1)</formula>
    </cfRule>
  </conditionalFormatting>
  <conditionalFormatting sqref="G106:H106">
    <cfRule type="cellIs" dxfId="654" priority="210" stopIfTrue="1" operator="lessThanOrEqual">
      <formula>0</formula>
    </cfRule>
    <cfRule type="cellIs" dxfId="653" priority="209" stopIfTrue="1" operator="greaterThan">
      <formula>$F$105</formula>
    </cfRule>
  </conditionalFormatting>
  <conditionalFormatting sqref="H56:H67 G67:G78 H69:H70 H74:H78">
    <cfRule type="cellIs" dxfId="652" priority="207" stopIfTrue="1" operator="greaterThan">
      <formula>0</formula>
    </cfRule>
  </conditionalFormatting>
  <conditionalFormatting sqref="H84">
    <cfRule type="cellIs" dxfId="651" priority="76" stopIfTrue="1" operator="lessThanOrEqual">
      <formula>0</formula>
    </cfRule>
    <cfRule type="cellIs" dxfId="650" priority="73" stopIfTrue="1" operator="greaterThan">
      <formula>$F$72</formula>
    </cfRule>
    <cfRule type="cellIs" dxfId="649" priority="75" stopIfTrue="1" operator="greaterThan">
      <formula>$F$70</formula>
    </cfRule>
    <cfRule type="cellIs" dxfId="648" priority="74" stopIfTrue="1" operator="lessThanOrEqual">
      <formula>0</formula>
    </cfRule>
    <cfRule type="cellIs" dxfId="647" priority="65" stopIfTrue="1" operator="greaterThan">
      <formula>$F$69</formula>
    </cfRule>
    <cfRule type="cellIs" dxfId="646" priority="64" stopIfTrue="1" operator="lessThanOrEqual">
      <formula>0</formula>
    </cfRule>
  </conditionalFormatting>
  <conditionalFormatting sqref="H85">
    <cfRule type="cellIs" dxfId="645" priority="149" stopIfTrue="1" operator="lessThanOrEqual">
      <formula>0</formula>
    </cfRule>
    <cfRule type="cellIs" dxfId="644" priority="151" stopIfTrue="1" operator="lessThanOrEqual">
      <formula>0</formula>
    </cfRule>
    <cfRule type="cellIs" dxfId="643" priority="139" stopIfTrue="1" operator="lessThanOrEqual">
      <formula>0</formula>
    </cfRule>
    <cfRule type="cellIs" dxfId="642" priority="140" stopIfTrue="1" operator="greaterThan">
      <formula>$F$93</formula>
    </cfRule>
    <cfRule type="cellIs" dxfId="641" priority="150" stopIfTrue="1" operator="greaterThan">
      <formula>$F$94</formula>
    </cfRule>
    <cfRule type="cellIs" dxfId="640" priority="148" stopIfTrue="1" operator="greaterThan">
      <formula>$F$96</formula>
    </cfRule>
  </conditionalFormatting>
  <conditionalFormatting sqref="H86">
    <cfRule type="cellIs" dxfId="639" priority="3" stopIfTrue="1" operator="greaterThan">
      <formula>$F$69</formula>
    </cfRule>
    <cfRule type="cellIs" dxfId="638" priority="11" stopIfTrue="1" operator="greaterThan">
      <formula>$F$72</formula>
    </cfRule>
    <cfRule type="cellIs" dxfId="637" priority="14" stopIfTrue="1" operator="lessThanOrEqual">
      <formula>0</formula>
    </cfRule>
    <cfRule type="cellIs" dxfId="636" priority="13" stopIfTrue="1" operator="greaterThan">
      <formula>$F$70</formula>
    </cfRule>
    <cfRule type="cellIs" dxfId="635" priority="2" stopIfTrue="1" operator="lessThanOrEqual">
      <formula>0</formula>
    </cfRule>
    <cfRule type="cellIs" dxfId="634" priority="12" stopIfTrue="1" operator="lessThanOrEqual">
      <formula>0</formula>
    </cfRule>
  </conditionalFormatting>
  <conditionalFormatting sqref="H87">
    <cfRule type="cellIs" dxfId="633" priority="119" stopIfTrue="1" operator="greaterThan">
      <formula>#REF!</formula>
    </cfRule>
    <cfRule type="cellIs" dxfId="632" priority="120" stopIfTrue="1" operator="lessThanOrEqual">
      <formula>0</formula>
    </cfRule>
    <cfRule type="cellIs" dxfId="631" priority="111" stopIfTrue="1" operator="greaterThan">
      <formula>#REF!</formula>
    </cfRule>
    <cfRule type="cellIs" dxfId="630" priority="110" stopIfTrue="1" operator="lessThanOrEqual">
      <formula>0</formula>
    </cfRule>
  </conditionalFormatting>
  <conditionalFormatting sqref="H88:H89">
    <cfRule type="cellIs" dxfId="629" priority="134" stopIfTrue="1" operator="lessThanOrEqual">
      <formula>0</formula>
    </cfRule>
    <cfRule type="cellIs" dxfId="628" priority="171" stopIfTrue="1" operator="lessThanOrEqual">
      <formula>0</formula>
    </cfRule>
    <cfRule type="cellIs" dxfId="627" priority="170" stopIfTrue="1" operator="greaterThan">
      <formula>$F$95</formula>
    </cfRule>
    <cfRule type="cellIs" dxfId="626" priority="169" stopIfTrue="1" operator="lessThanOrEqual">
      <formula>0</formula>
    </cfRule>
    <cfRule type="cellIs" dxfId="625" priority="168" stopIfTrue="1" operator="greaterThan">
      <formula>$F$97</formula>
    </cfRule>
    <cfRule type="cellIs" dxfId="624" priority="160" stopIfTrue="1" operator="greaterThan">
      <formula>$F$94</formula>
    </cfRule>
  </conditionalFormatting>
  <conditionalFormatting sqref="H90">
    <cfRule type="cellIs" dxfId="623" priority="200" stopIfTrue="1" operator="greaterThan">
      <formula>$F$87</formula>
    </cfRule>
    <cfRule type="cellIs" dxfId="622" priority="198" stopIfTrue="1" operator="greaterThan">
      <formula>$F$91</formula>
    </cfRule>
    <cfRule type="cellIs" dxfId="621" priority="199" stopIfTrue="1" operator="lessThanOrEqual">
      <formula>0</formula>
    </cfRule>
    <cfRule type="cellIs" dxfId="620" priority="201" stopIfTrue="1" operator="lessThanOrEqual">
      <formula>0</formula>
    </cfRule>
  </conditionalFormatting>
  <conditionalFormatting sqref="H94:H101">
    <cfRule type="cellIs" dxfId="619" priority="172" stopIfTrue="1" operator="greaterThan">
      <formula>$J94</formula>
    </cfRule>
    <cfRule type="cellIs" dxfId="618" priority="173" stopIfTrue="1" operator="lessThanOrEqual">
      <formula>0</formula>
    </cfRule>
  </conditionalFormatting>
  <conditionalFormatting sqref="H102">
    <cfRule type="cellIs" dxfId="617" priority="178" operator="greaterThan">
      <formula>5.3</formula>
    </cfRule>
  </conditionalFormatting>
  <conditionalFormatting sqref="H105 H107:H113">
    <cfRule type="cellIs" dxfId="616" priority="221" stopIfTrue="1" operator="greaterThan">
      <formula>4.5</formula>
    </cfRule>
    <cfRule type="cellIs" dxfId="615" priority="222" stopIfTrue="1" operator="lessThanOrEqual">
      <formula>0</formula>
    </cfRule>
  </conditionalFormatting>
  <conditionalFormatting sqref="H84:I84">
    <cfRule type="cellIs" dxfId="614" priority="66" stopIfTrue="1" operator="lessThanOrEqual">
      <formula>0</formula>
    </cfRule>
    <cfRule type="cellIs" dxfId="613" priority="63" stopIfTrue="1" operator="greaterThan">
      <formula>$F$71</formula>
    </cfRule>
  </conditionalFormatting>
  <conditionalFormatting sqref="H85:I85">
    <cfRule type="cellIs" dxfId="612" priority="138" stopIfTrue="1" operator="greaterThan">
      <formula>$F$95</formula>
    </cfRule>
    <cfRule type="cellIs" dxfId="611" priority="141" stopIfTrue="1" operator="lessThanOrEqual">
      <formula>0</formula>
    </cfRule>
  </conditionalFormatting>
  <conditionalFormatting sqref="H86:I86">
    <cfRule type="cellIs" dxfId="610" priority="1" stopIfTrue="1" operator="greaterThan">
      <formula>$F$71</formula>
    </cfRule>
    <cfRule type="cellIs" dxfId="609" priority="4" stopIfTrue="1" operator="lessThanOrEqual">
      <formula>0</formula>
    </cfRule>
  </conditionalFormatting>
  <conditionalFormatting sqref="H87:I87">
    <cfRule type="cellIs" dxfId="608" priority="109" stopIfTrue="1" operator="greaterThan">
      <formula>#REF!</formula>
    </cfRule>
    <cfRule type="cellIs" dxfId="607" priority="112" stopIfTrue="1" operator="lessThanOrEqual">
      <formula>0</formula>
    </cfRule>
    <cfRule type="cellIs" dxfId="606" priority="118" stopIfTrue="1" operator="lessThanOrEqual">
      <formula>0</formula>
    </cfRule>
    <cfRule type="cellIs" dxfId="605" priority="115" stopIfTrue="1" operator="greaterThan">
      <formula>#REF!</formula>
    </cfRule>
  </conditionalFormatting>
  <conditionalFormatting sqref="H88:I88">
    <cfRule type="cellIs" dxfId="604" priority="161" stopIfTrue="1" operator="lessThanOrEqual">
      <formula>0</formula>
    </cfRule>
  </conditionalFormatting>
  <conditionalFormatting sqref="H88:I89">
    <cfRule type="cellIs" dxfId="603" priority="132" stopIfTrue="1" operator="greaterThan">
      <formula>$F$96</formula>
    </cfRule>
  </conditionalFormatting>
  <conditionalFormatting sqref="H89:I89">
    <cfRule type="cellIs" dxfId="602" priority="133" stopIfTrue="1" operator="lessThanOrEqual">
      <formula>0</formula>
    </cfRule>
  </conditionalFormatting>
  <conditionalFormatting sqref="I38 I52">
    <cfRule type="cellIs" dxfId="601" priority="127" operator="lessThan">
      <formula>98</formula>
    </cfRule>
    <cfRule type="cellIs" dxfId="600" priority="124" operator="lessThan">
      <formula>97.8</formula>
    </cfRule>
  </conditionalFormatting>
  <conditionalFormatting sqref="I84">
    <cfRule type="cellIs" dxfId="599" priority="67" stopIfTrue="1" operator="greaterThan">
      <formula>$F$69</formula>
    </cfRule>
    <cfRule type="cellIs" dxfId="598" priority="68" stopIfTrue="1" operator="lessThanOrEqual">
      <formula>0</formula>
    </cfRule>
    <cfRule type="cellIs" dxfId="597" priority="72" stopIfTrue="1" operator="lessThanOrEqual">
      <formula>0</formula>
    </cfRule>
    <cfRule type="cellIs" dxfId="596" priority="71" stopIfTrue="1" operator="greaterThan">
      <formula>$F$69</formula>
    </cfRule>
    <cfRule type="cellIs" dxfId="595" priority="70" stopIfTrue="1" operator="lessThanOrEqual">
      <formula>0</formula>
    </cfRule>
    <cfRule type="cellIs" dxfId="594" priority="69" stopIfTrue="1" operator="greaterThan">
      <formula>$F$71</formula>
    </cfRule>
  </conditionalFormatting>
  <conditionalFormatting sqref="I85">
    <cfRule type="cellIs" dxfId="593" priority="147" stopIfTrue="1" operator="lessThanOrEqual">
      <formula>0</formula>
    </cfRule>
    <cfRule type="cellIs" dxfId="592" priority="142" stopIfTrue="1" operator="greaterThan">
      <formula>$F$93</formula>
    </cfRule>
    <cfRule type="cellIs" dxfId="591" priority="146" stopIfTrue="1" operator="greaterThan">
      <formula>$F$93</formula>
    </cfRule>
    <cfRule type="cellIs" dxfId="590" priority="145" stopIfTrue="1" operator="lessThanOrEqual">
      <formula>0</formula>
    </cfRule>
    <cfRule type="cellIs" dxfId="589" priority="144" stopIfTrue="1" operator="greaterThan">
      <formula>$F$95</formula>
    </cfRule>
    <cfRule type="cellIs" dxfId="588" priority="143" stopIfTrue="1" operator="lessThanOrEqual">
      <formula>0</formula>
    </cfRule>
  </conditionalFormatting>
  <conditionalFormatting sqref="I86">
    <cfRule type="cellIs" dxfId="587" priority="7" stopIfTrue="1" operator="greaterThan">
      <formula>$F$71</formula>
    </cfRule>
    <cfRule type="cellIs" dxfId="586" priority="5" stopIfTrue="1" operator="greaterThan">
      <formula>$F$69</formula>
    </cfRule>
    <cfRule type="cellIs" dxfId="585" priority="6" stopIfTrue="1" operator="lessThanOrEqual">
      <formula>0</formula>
    </cfRule>
    <cfRule type="cellIs" dxfId="584" priority="10" stopIfTrue="1" operator="lessThanOrEqual">
      <formula>0</formula>
    </cfRule>
    <cfRule type="cellIs" dxfId="583" priority="9" stopIfTrue="1" operator="greaterThan">
      <formula>$F$69</formula>
    </cfRule>
    <cfRule type="cellIs" dxfId="582" priority="8" stopIfTrue="1" operator="lessThanOrEqual">
      <formula>0</formula>
    </cfRule>
  </conditionalFormatting>
  <conditionalFormatting sqref="I87">
    <cfRule type="cellIs" dxfId="581" priority="113" stopIfTrue="1" operator="greaterThan">
      <formula>#REF!</formula>
    </cfRule>
    <cfRule type="cellIs" dxfId="580" priority="114" stopIfTrue="1" operator="lessThanOrEqual">
      <formula>0</formula>
    </cfRule>
    <cfRule type="cellIs" dxfId="579" priority="116" stopIfTrue="1" operator="lessThanOrEqual">
      <formula>0</formula>
    </cfRule>
    <cfRule type="cellIs" dxfId="578" priority="117" stopIfTrue="1" operator="greaterThan">
      <formula>#REF!</formula>
    </cfRule>
  </conditionalFormatting>
  <conditionalFormatting sqref="I88:I89">
    <cfRule type="cellIs" dxfId="577" priority="163" stopIfTrue="1" operator="lessThanOrEqual">
      <formula>0</formula>
    </cfRule>
    <cfRule type="cellIs" dxfId="576" priority="167" stopIfTrue="1" operator="lessThanOrEqual">
      <formula>0</formula>
    </cfRule>
    <cfRule type="cellIs" dxfId="575" priority="166" stopIfTrue="1" operator="greaterThan">
      <formula>$F$94</formula>
    </cfRule>
    <cfRule type="cellIs" dxfId="574" priority="165" stopIfTrue="1" operator="lessThanOrEqual">
      <formula>0</formula>
    </cfRule>
    <cfRule type="cellIs" dxfId="573" priority="164" stopIfTrue="1" operator="greaterThan">
      <formula>$F$96</formula>
    </cfRule>
    <cfRule type="cellIs" dxfId="572" priority="162" stopIfTrue="1" operator="greaterThan">
      <formula>$F$94</formula>
    </cfRule>
  </conditionalFormatting>
  <conditionalFormatting sqref="I94:I102">
    <cfRule type="cellIs" dxfId="571" priority="180" stopIfTrue="1" operator="lessThanOrEqual">
      <formula>0</formula>
    </cfRule>
    <cfRule type="cellIs" dxfId="570" priority="179" stopIfTrue="1" operator="greaterThan">
      <formula>$J94</formula>
    </cfRule>
  </conditionalFormatting>
  <conditionalFormatting sqref="I105:I113">
    <cfRule type="cellIs" dxfId="569" priority="218" stopIfTrue="1" operator="lessThanOrEqual">
      <formula>0</formula>
    </cfRule>
    <cfRule type="cellIs" dxfId="568" priority="217" stopIfTrue="1" operator="greaterThan">
      <formula>4.5</formula>
    </cfRule>
  </conditionalFormatting>
  <conditionalFormatting sqref="I10:J37">
    <cfRule type="cellIs" dxfId="567" priority="22" operator="lessThan">
      <formula>97.9</formula>
    </cfRule>
  </conditionalFormatting>
  <conditionalFormatting sqref="I39:J51">
    <cfRule type="cellIs" dxfId="566" priority="86" operator="lessThan">
      <formula>97.9</formula>
    </cfRule>
  </conditionalFormatting>
  <conditionalFormatting sqref="J38 J52">
    <cfRule type="cellIs" dxfId="565" priority="125" operator="notBetween">
      <formula>98</formula>
      <formula>99.9</formula>
    </cfRule>
    <cfRule type="cellIs" dxfId="564" priority="126" operator="lessThan">
      <formula>97.4</formula>
    </cfRule>
  </conditionalFormatting>
  <conditionalFormatting sqref="J55:J57">
    <cfRule type="cellIs" dxfId="563" priority="155" operator="lessThan">
      <formula>98</formula>
    </cfRule>
    <cfRule type="cellIs" dxfId="562" priority="154" stopIfTrue="1" operator="greaterThan">
      <formula>100</formula>
    </cfRule>
    <cfRule type="cellIs" dxfId="561" priority="153" stopIfTrue="1" operator="lessThan">
      <formula>96.8</formula>
    </cfRule>
  </conditionalFormatting>
  <conditionalFormatting sqref="J55:J59">
    <cfRule type="cellIs" dxfId="560" priority="129" operator="lessThan">
      <formula>97.4</formula>
    </cfRule>
  </conditionalFormatting>
  <conditionalFormatting sqref="J60">
    <cfRule type="cellIs" dxfId="559" priority="156" operator="lessThan">
      <formula>98</formula>
    </cfRule>
  </conditionalFormatting>
  <conditionalFormatting sqref="J61:J63">
    <cfRule type="cellIs" dxfId="558" priority="158" stopIfTrue="1" operator="greaterThan">
      <formula>100</formula>
    </cfRule>
    <cfRule type="cellIs" dxfId="557" priority="157" stopIfTrue="1" operator="lessThan">
      <formula>96.8</formula>
    </cfRule>
  </conditionalFormatting>
  <conditionalFormatting sqref="J61:J64">
    <cfRule type="cellIs" dxfId="556" priority="159" operator="lessThan">
      <formula>98</formula>
    </cfRule>
  </conditionalFormatting>
  <conditionalFormatting sqref="K10:K52">
    <cfRule type="cellIs" dxfId="555" priority="16" operator="lessThan">
      <formula>4</formula>
    </cfRule>
    <cfRule type="cellIs" dxfId="554" priority="20" operator="greaterThan">
      <formula>6.4</formula>
    </cfRule>
    <cfRule type="cellIs" dxfId="553" priority="15" operator="greaterThan">
      <formula>6</formula>
    </cfRule>
  </conditionalFormatting>
  <conditionalFormatting sqref="K69:K78">
    <cfRule type="cellIs" dxfId="552" priority="187" operator="notEqual">
      <formula>#REF!</formula>
    </cfRule>
  </conditionalFormatting>
  <conditionalFormatting sqref="K84:K89 J90:K90 K94:N102">
    <cfRule type="cellIs" dxfId="551" priority="197" stopIfTrue="1" operator="lessThan">
      <formula>100%</formula>
    </cfRule>
  </conditionalFormatting>
  <conditionalFormatting sqref="K105:K110">
    <cfRule type="cellIs" dxfId="550" priority="223" stopIfTrue="1" operator="lessThan">
      <formula>100%</formula>
    </cfRule>
  </conditionalFormatting>
  <conditionalFormatting sqref="K112:K113">
    <cfRule type="cellIs" dxfId="549" priority="230" stopIfTrue="1" operator="lessThan">
      <formula>100%</formula>
    </cfRule>
  </conditionalFormatting>
  <conditionalFormatting sqref="L10:L52">
    <cfRule type="cellIs" dxfId="548" priority="17" operator="between">
      <formula>61</formula>
      <formula>65</formula>
    </cfRule>
    <cfRule type="cellIs" dxfId="547" priority="18" operator="greaterThan">
      <formula>65</formula>
    </cfRule>
  </conditionalFormatting>
  <conditionalFormatting sqref="L55:M66">
    <cfRule type="cellIs" dxfId="546" priority="96" operator="lessThan">
      <formula>98</formula>
    </cfRule>
  </conditionalFormatting>
  <conditionalFormatting sqref="L70:N70">
    <cfRule type="cellIs" dxfId="545" priority="135" operator="notEqual">
      <formula>#REF!</formula>
    </cfRule>
  </conditionalFormatting>
  <conditionalFormatting sqref="L105:N113">
    <cfRule type="cellIs" dxfId="544" priority="208" stopIfTrue="1" operator="lessThan">
      <formula>100%</formula>
    </cfRule>
  </conditionalFormatting>
  <conditionalFormatting sqref="M10:M19">
    <cfRule type="expression" dxfId="543" priority="39">
      <formula>IF(+(IF(M10&lt;V10,0,IF(M10&gt;W10,0,1)))=0,1)</formula>
    </cfRule>
  </conditionalFormatting>
  <conditionalFormatting sqref="M20:M36">
    <cfRule type="expression" dxfId="542" priority="23">
      <formula>IF(+(IF(M20&lt;U20,0,IF(M20&gt;V20,0,1)))=0,1)</formula>
    </cfRule>
  </conditionalFormatting>
  <conditionalFormatting sqref="M37:M52">
    <cfRule type="expression" dxfId="541" priority="77">
      <formula>IF(+(IF(M37&lt;V37,0,IF(M37&gt;W37,0,1)))=0,1)</formula>
    </cfRule>
  </conditionalFormatting>
  <conditionalFormatting sqref="M6:N6">
    <cfRule type="cellIs" dxfId="540" priority="137" operator="greaterThanOrEqual">
      <formula>19</formula>
    </cfRule>
    <cfRule type="cellIs" dxfId="539" priority="136" operator="greaterThanOrEqual">
      <formula>15</formula>
    </cfRule>
  </conditionalFormatting>
  <conditionalFormatting sqref="N10:N19">
    <cfRule type="expression" dxfId="538" priority="40">
      <formula>IF(+(IF(N10&lt;X10,0,IF(N10&gt;Y10,0,1)))=0,1)</formula>
    </cfRule>
  </conditionalFormatting>
  <conditionalFormatting sqref="N20:N36">
    <cfRule type="expression" dxfId="537" priority="24">
      <formula>IF(+(IF(N20&lt;W20,0,IF(N20&gt;X20,0,1)))=0,1)</formula>
    </cfRule>
  </conditionalFormatting>
  <conditionalFormatting sqref="N37:N38">
    <cfRule type="expression" dxfId="536" priority="239">
      <formula>IF(+(IF(N37&lt;X93,0,IF(N37&gt;Y93,0,1)))=0,1)</formula>
    </cfRule>
    <cfRule type="expression" dxfId="535" priority="240">
      <formula>IF(+(IF(N37&lt;X88,0,IF(N37&gt;Y88,0,1)))=0,1)</formula>
    </cfRule>
  </conditionalFormatting>
  <conditionalFormatting sqref="N37:N52">
    <cfRule type="expression" dxfId="534" priority="78">
      <formula>IF(+(IF(N37&lt;X37,0,IF(N37&gt;Y37,0,1)))=0,1)</formula>
    </cfRule>
  </conditionalFormatting>
  <conditionalFormatting sqref="N52">
    <cfRule type="expression" dxfId="533" priority="243">
      <formula>IF(+(IF(N52&lt;X96,0,IF(N52&gt;Y96,0,1)))=0,1)</formula>
    </cfRule>
    <cfRule type="expression" dxfId="532" priority="244">
      <formula>IF(+(IF(N52&lt;X91,0,IF(N52&gt;Y91,0,1)))=0,1)</formula>
    </cfRule>
  </conditionalFormatting>
  <conditionalFormatting sqref="P6">
    <cfRule type="cellIs" dxfId="531" priority="204" operator="greaterThanOrEqual">
      <formula>19</formula>
    </cfRule>
  </conditionalFormatting>
  <dataValidations count="1">
    <dataValidation type="list" allowBlank="1" showInputMessage="1" showErrorMessage="1" sqref="S8 B52" xr:uid="{AE30D6B1-E57A-49C7-8357-2E993C39F417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DE5E-9782-4F46-BC4B-AB9579627221}">
  <sheetPr>
    <pageSetUpPr fitToPage="1"/>
  </sheetPr>
  <dimension ref="A1:BF115"/>
  <sheetViews>
    <sheetView topLeftCell="A53" zoomScale="80" zoomScaleNormal="80" workbookViewId="0">
      <selection activeCell="G66" sqref="G66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31.8867187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45687</v>
      </c>
      <c r="D4" s="545"/>
      <c r="J4" s="489" t="s">
        <v>191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190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5.75" hidden="1" customHeight="1">
      <c r="B10" s="33"/>
      <c r="C10" s="367"/>
      <c r="D10" s="280"/>
      <c r="E10" s="280"/>
      <c r="F10" s="279"/>
      <c r="G10" s="280"/>
      <c r="H10" s="419"/>
      <c r="I10" s="512"/>
      <c r="J10" s="512"/>
      <c r="K10" s="422"/>
      <c r="L10" s="277"/>
      <c r="M10" s="375"/>
      <c r="N10" s="371"/>
      <c r="O10" s="513"/>
      <c r="P10" s="376"/>
      <c r="Q10" s="348"/>
      <c r="S10" s="278">
        <f t="shared" ref="S10:S52" si="0">B10</f>
        <v>0</v>
      </c>
      <c r="T10" s="297" t="e">
        <f t="shared" ref="T10:T52" si="1">VLOOKUP($B10,$S$3:$Y$9,2,FALSE)</f>
        <v>#N/A</v>
      </c>
      <c r="U10" s="297" t="e">
        <f t="shared" ref="U10:U52" si="2">VLOOKUP($B10,$S$3:$Y$9,3,FALSE)</f>
        <v>#N/A</v>
      </c>
      <c r="V10" s="298" t="e">
        <f t="shared" ref="V10:V52" si="3">VLOOKUP($B10,$S$3:$Y$9,4,FALSE)</f>
        <v>#N/A</v>
      </c>
      <c r="W10" s="298" t="e">
        <f t="shared" ref="W10:W52" si="4">VLOOKUP($B10,$S$3:$Y$9,5,FALSE)</f>
        <v>#N/A</v>
      </c>
      <c r="X10" s="298" t="e">
        <f t="shared" ref="X10:X52" si="5">VLOOKUP($B10,$S$3:$Y$9,6,FALSE)</f>
        <v>#N/A</v>
      </c>
      <c r="Y10" s="298" t="e">
        <f t="shared" ref="Y10:Y52" si="6">VLOOKUP($B10,$S$3:$Y$9,7,FALSE)</f>
        <v>#N/A</v>
      </c>
      <c r="Z10" s="298" t="e">
        <f t="shared" ref="Z10:Z52" si="7">VLOOKUP($B10,$S$3:$AA$9,8,FALSE)</f>
        <v>#N/A</v>
      </c>
      <c r="AA10" s="297" t="e">
        <f t="shared" ref="AA10:AA52" si="8">VLOOKUP($B10,$S$3:$AA$9,9,FALSE)</f>
        <v>#N/A</v>
      </c>
    </row>
    <row r="11" spans="2:30" ht="15.75" hidden="1" customHeight="1">
      <c r="B11" s="33"/>
      <c r="C11" s="367"/>
      <c r="D11" s="280"/>
      <c r="E11" s="280"/>
      <c r="F11" s="279"/>
      <c r="G11" s="280"/>
      <c r="H11" s="419"/>
      <c r="I11" s="512"/>
      <c r="J11" s="512"/>
      <c r="K11" s="422"/>
      <c r="L11" s="277"/>
      <c r="M11" s="375"/>
      <c r="N11" s="371"/>
      <c r="O11" s="513"/>
      <c r="P11" s="376"/>
      <c r="Q11" s="348"/>
      <c r="S11" s="278">
        <f t="shared" si="0"/>
        <v>0</v>
      </c>
      <c r="T11" s="297" t="e">
        <f t="shared" si="1"/>
        <v>#N/A</v>
      </c>
      <c r="U11" s="297" t="e">
        <f t="shared" si="2"/>
        <v>#N/A</v>
      </c>
      <c r="V11" s="298" t="e">
        <f t="shared" si="3"/>
        <v>#N/A</v>
      </c>
      <c r="W11" s="298" t="e">
        <f t="shared" si="4"/>
        <v>#N/A</v>
      </c>
      <c r="X11" s="298" t="e">
        <f t="shared" si="5"/>
        <v>#N/A</v>
      </c>
      <c r="Y11" s="298" t="e">
        <f t="shared" si="6"/>
        <v>#N/A</v>
      </c>
      <c r="Z11" s="298" t="e">
        <f t="shared" si="7"/>
        <v>#N/A</v>
      </c>
      <c r="AA11" s="297" t="e">
        <f t="shared" si="8"/>
        <v>#N/A</v>
      </c>
    </row>
    <row r="12" spans="2:30" ht="15.75" hidden="1" customHeight="1">
      <c r="B12" s="33"/>
      <c r="C12" s="367"/>
      <c r="D12" s="280"/>
      <c r="E12" s="280"/>
      <c r="F12" s="279"/>
      <c r="G12" s="280"/>
      <c r="H12" s="419"/>
      <c r="I12" s="512"/>
      <c r="J12" s="512"/>
      <c r="K12" s="422"/>
      <c r="L12" s="277"/>
      <c r="M12" s="375"/>
      <c r="N12" s="371"/>
      <c r="O12" s="513"/>
      <c r="P12" s="376"/>
      <c r="Q12" s="348"/>
      <c r="S12" s="278">
        <f t="shared" si="0"/>
        <v>0</v>
      </c>
      <c r="T12" s="297" t="e">
        <f t="shared" si="1"/>
        <v>#N/A</v>
      </c>
      <c r="U12" s="297" t="e">
        <f t="shared" si="2"/>
        <v>#N/A</v>
      </c>
      <c r="V12" s="298" t="e">
        <f t="shared" si="3"/>
        <v>#N/A</v>
      </c>
      <c r="W12" s="298" t="e">
        <f t="shared" si="4"/>
        <v>#N/A</v>
      </c>
      <c r="X12" s="298" t="e">
        <f t="shared" si="5"/>
        <v>#N/A</v>
      </c>
      <c r="Y12" s="298" t="e">
        <f t="shared" si="6"/>
        <v>#N/A</v>
      </c>
      <c r="Z12" s="298" t="e">
        <f t="shared" si="7"/>
        <v>#N/A</v>
      </c>
      <c r="AA12" s="297" t="e">
        <f t="shared" si="8"/>
        <v>#N/A</v>
      </c>
    </row>
    <row r="13" spans="2:30" ht="15.75" hidden="1" customHeight="1">
      <c r="B13" s="33"/>
      <c r="C13" s="367"/>
      <c r="D13" s="280"/>
      <c r="E13" s="280"/>
      <c r="F13" s="279"/>
      <c r="G13" s="280"/>
      <c r="H13" s="419"/>
      <c r="I13" s="512"/>
      <c r="J13" s="512"/>
      <c r="K13" s="422"/>
      <c r="L13" s="277"/>
      <c r="M13" s="375"/>
      <c r="N13" s="371"/>
      <c r="O13" s="513"/>
      <c r="P13" s="376"/>
      <c r="Q13" s="348"/>
      <c r="S13" s="278">
        <f t="shared" si="0"/>
        <v>0</v>
      </c>
      <c r="T13" s="297" t="e">
        <f t="shared" si="1"/>
        <v>#N/A</v>
      </c>
      <c r="U13" s="297" t="e">
        <f t="shared" si="2"/>
        <v>#N/A</v>
      </c>
      <c r="V13" s="298" t="e">
        <f t="shared" si="3"/>
        <v>#N/A</v>
      </c>
      <c r="W13" s="298" t="e">
        <f t="shared" si="4"/>
        <v>#N/A</v>
      </c>
      <c r="X13" s="298" t="e">
        <f t="shared" si="5"/>
        <v>#N/A</v>
      </c>
      <c r="Y13" s="298" t="e">
        <f t="shared" si="6"/>
        <v>#N/A</v>
      </c>
      <c r="Z13" s="298" t="e">
        <f t="shared" si="7"/>
        <v>#N/A</v>
      </c>
      <c r="AA13" s="297" t="e">
        <f t="shared" si="8"/>
        <v>#N/A</v>
      </c>
    </row>
    <row r="14" spans="2:30" ht="15.75" hidden="1" customHeight="1">
      <c r="B14" s="29"/>
      <c r="C14" s="367"/>
      <c r="D14" s="280"/>
      <c r="E14" s="280"/>
      <c r="F14" s="279"/>
      <c r="G14" s="280"/>
      <c r="H14" s="419"/>
      <c r="I14" s="512"/>
      <c r="J14" s="512"/>
      <c r="K14" s="422"/>
      <c r="L14" s="277"/>
      <c r="M14" s="375"/>
      <c r="N14" s="371"/>
      <c r="O14" s="513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5.75" hidden="1" customHeight="1">
      <c r="B15" s="29"/>
      <c r="C15" s="367"/>
      <c r="D15" s="280"/>
      <c r="E15" s="280"/>
      <c r="F15" s="279"/>
      <c r="G15" s="280"/>
      <c r="H15" s="419"/>
      <c r="I15" s="512"/>
      <c r="J15" s="512"/>
      <c r="K15" s="422"/>
      <c r="L15" s="277"/>
      <c r="M15" s="375"/>
      <c r="N15" s="371"/>
      <c r="O15" s="513"/>
      <c r="P15" s="376"/>
      <c r="Q15" s="348"/>
      <c r="S15" s="278">
        <f t="shared" si="0"/>
        <v>0</v>
      </c>
      <c r="T15" s="297" t="e">
        <f t="shared" si="1"/>
        <v>#N/A</v>
      </c>
      <c r="U15" s="297" t="e">
        <f t="shared" si="2"/>
        <v>#N/A</v>
      </c>
      <c r="V15" s="298" t="e">
        <f t="shared" si="3"/>
        <v>#N/A</v>
      </c>
      <c r="W15" s="298" t="e">
        <f t="shared" si="4"/>
        <v>#N/A</v>
      </c>
      <c r="X15" s="298" t="e">
        <f t="shared" si="5"/>
        <v>#N/A</v>
      </c>
      <c r="Y15" s="298" t="e">
        <f t="shared" si="6"/>
        <v>#N/A</v>
      </c>
      <c r="Z15" s="298" t="e">
        <f t="shared" si="7"/>
        <v>#N/A</v>
      </c>
      <c r="AA15" s="297" t="e">
        <f t="shared" si="8"/>
        <v>#N/A</v>
      </c>
    </row>
    <row r="16" spans="2:30" ht="15.75" hidden="1" customHeight="1">
      <c r="B16" s="29"/>
      <c r="C16" s="367"/>
      <c r="D16" s="280"/>
      <c r="E16" s="280"/>
      <c r="F16" s="279"/>
      <c r="G16" s="280"/>
      <c r="H16" s="419"/>
      <c r="I16" s="512"/>
      <c r="J16" s="512"/>
      <c r="K16" s="422"/>
      <c r="L16" s="277"/>
      <c r="M16" s="375"/>
      <c r="N16" s="371"/>
      <c r="O16" s="513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5.75" hidden="1" customHeight="1">
      <c r="B17" s="29"/>
      <c r="C17" s="367"/>
      <c r="D17" s="280"/>
      <c r="E17" s="280"/>
      <c r="F17" s="279"/>
      <c r="G17" s="280"/>
      <c r="H17" s="419"/>
      <c r="I17" s="512"/>
      <c r="J17" s="512"/>
      <c r="K17" s="422"/>
      <c r="L17" s="277"/>
      <c r="M17" s="375"/>
      <c r="N17" s="371"/>
      <c r="O17" s="513"/>
      <c r="P17" s="376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5.75" hidden="1" customHeight="1">
      <c r="B18" s="33"/>
      <c r="C18" s="367"/>
      <c r="D18" s="280"/>
      <c r="E18" s="280"/>
      <c r="F18" s="279"/>
      <c r="G18" s="280"/>
      <c r="H18" s="419"/>
      <c r="I18" s="512"/>
      <c r="J18" s="512"/>
      <c r="K18" s="422"/>
      <c r="L18" s="277"/>
      <c r="M18" s="375"/>
      <c r="N18" s="371"/>
      <c r="O18" s="513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5.75" hidden="1" customHeight="1">
      <c r="B19" s="33"/>
      <c r="C19" s="367"/>
      <c r="D19" s="280"/>
      <c r="E19" s="280"/>
      <c r="F19" s="279"/>
      <c r="G19" s="280"/>
      <c r="H19" s="419"/>
      <c r="I19" s="512"/>
      <c r="J19" s="512"/>
      <c r="K19" s="422"/>
      <c r="L19" s="277"/>
      <c r="M19" s="375"/>
      <c r="N19" s="371"/>
      <c r="O19" s="513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2"/>
      <c r="C20" s="367"/>
      <c r="D20" s="280"/>
      <c r="E20" s="280"/>
      <c r="F20" s="279"/>
      <c r="G20" s="280"/>
      <c r="H20" s="492"/>
      <c r="I20" s="369"/>
      <c r="J20" s="369"/>
      <c r="K20" s="282"/>
      <c r="L20" s="277"/>
      <c r="M20" s="375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5.75" hidden="1" customHeight="1">
      <c r="B21" s="22"/>
      <c r="C21" s="367"/>
      <c r="D21" s="280"/>
      <c r="E21" s="280"/>
      <c r="F21" s="279"/>
      <c r="G21" s="280"/>
      <c r="H21" s="492"/>
      <c r="I21" s="369"/>
      <c r="J21" s="369"/>
      <c r="K21" s="282"/>
      <c r="L21" s="277"/>
      <c r="M21" s="375"/>
      <c r="N21" s="371"/>
      <c r="O21" s="372"/>
      <c r="P21" s="370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5.75" hidden="1" customHeight="1">
      <c r="B22" s="22"/>
      <c r="C22" s="367"/>
      <c r="D22" s="280"/>
      <c r="E22" s="280"/>
      <c r="F22" s="279"/>
      <c r="G22" s="280"/>
      <c r="H22" s="492"/>
      <c r="I22" s="369"/>
      <c r="J22" s="369"/>
      <c r="K22" s="282"/>
      <c r="L22" s="277"/>
      <c r="M22" s="375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5.75" hidden="1" customHeight="1">
      <c r="B23" s="22"/>
      <c r="C23" s="367"/>
      <c r="D23" s="280"/>
      <c r="E23" s="280"/>
      <c r="F23" s="279"/>
      <c r="G23" s="280"/>
      <c r="H23" s="492"/>
      <c r="I23" s="369"/>
      <c r="J23" s="369"/>
      <c r="K23" s="282"/>
      <c r="L23" s="277"/>
      <c r="M23" s="375"/>
      <c r="N23" s="371"/>
      <c r="O23" s="372"/>
      <c r="P23" s="370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5.75" hidden="1" customHeight="1">
      <c r="B24" s="22"/>
      <c r="C24" s="367"/>
      <c r="D24" s="280"/>
      <c r="E24" s="280"/>
      <c r="F24" s="279"/>
      <c r="G24" s="280"/>
      <c r="H24" s="492"/>
      <c r="I24" s="369"/>
      <c r="J24" s="369"/>
      <c r="K24" s="282"/>
      <c r="L24" s="277"/>
      <c r="M24" s="375"/>
      <c r="N24" s="371"/>
      <c r="O24" s="372"/>
      <c r="P24" s="370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5.75" hidden="1" customHeight="1">
      <c r="B25" s="22"/>
      <c r="C25" s="367"/>
      <c r="D25" s="280"/>
      <c r="E25" s="280"/>
      <c r="F25" s="279"/>
      <c r="G25" s="280"/>
      <c r="H25" s="492"/>
      <c r="I25" s="369"/>
      <c r="J25" s="369"/>
      <c r="K25" s="282"/>
      <c r="L25" s="277"/>
      <c r="M25" s="375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5.75" hidden="1" customHeight="1">
      <c r="B26" s="22"/>
      <c r="C26" s="367"/>
      <c r="D26" s="280"/>
      <c r="E26" s="280"/>
      <c r="F26" s="279"/>
      <c r="G26" s="280"/>
      <c r="H26" s="492"/>
      <c r="I26" s="369"/>
      <c r="J26" s="369"/>
      <c r="K26" s="282"/>
      <c r="L26" s="277"/>
      <c r="M26" s="375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5.75" hidden="1" customHeight="1">
      <c r="B27" s="22"/>
      <c r="C27" s="367"/>
      <c r="D27" s="280"/>
      <c r="E27" s="280"/>
      <c r="F27" s="279"/>
      <c r="G27" s="280"/>
      <c r="H27" s="492"/>
      <c r="I27" s="369"/>
      <c r="J27" s="369"/>
      <c r="K27" s="282"/>
      <c r="L27" s="277"/>
      <c r="M27" s="375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30" hidden="1" customHeight="1">
      <c r="B28" s="34"/>
      <c r="C28" s="367"/>
      <c r="D28" s="280"/>
      <c r="E28" s="280"/>
      <c r="F28" s="279"/>
      <c r="G28" s="280"/>
      <c r="H28" s="419"/>
      <c r="I28" s="369"/>
      <c r="J28" s="369"/>
      <c r="K28" s="422"/>
      <c r="L28" s="277"/>
      <c r="M28" s="423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34"/>
      <c r="C29" s="367"/>
      <c r="D29" s="280"/>
      <c r="E29" s="280"/>
      <c r="F29" s="279"/>
      <c r="G29" s="280"/>
      <c r="H29" s="419"/>
      <c r="I29" s="369"/>
      <c r="J29" s="369"/>
      <c r="K29" s="422"/>
      <c r="L29" s="277"/>
      <c r="M29" s="423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5.75" customHeight="1">
      <c r="B30" s="34" t="s">
        <v>12</v>
      </c>
      <c r="C30" s="367" t="str">
        <f>[31]Brewhouse!$A7</f>
        <v>GU004</v>
      </c>
      <c r="D30" s="280">
        <f>[31]Brewhouse!AD7</f>
        <v>58</v>
      </c>
      <c r="E30" s="280">
        <f>[31]Brewhouse!AI7</f>
        <v>53</v>
      </c>
      <c r="F30" s="279">
        <f>[32]Brewhouse!V117</f>
        <v>68</v>
      </c>
      <c r="G30" s="280">
        <f>[32]Brewhouse!AG117</f>
        <v>17</v>
      </c>
      <c r="H30" s="419"/>
      <c r="I30" s="369">
        <f>[31]Brewhouse!$AU7</f>
        <v>98.040462342043114</v>
      </c>
      <c r="J30" s="369">
        <f>[31]Brewhouse!$AV7</f>
        <v>100.2585590189065</v>
      </c>
      <c r="K30" s="422">
        <f>[31]Brewhouse!R7</f>
        <v>3.2413793103448199</v>
      </c>
      <c r="L30" s="277">
        <f>[31]Brewhouse!O7</f>
        <v>59</v>
      </c>
      <c r="M30" s="423">
        <f>[31]Brewhouse!$U7-[31]Brewhouse!$T7</f>
        <v>0.11874999999999999</v>
      </c>
      <c r="N30" s="371">
        <f>[31]Brewhouse!Z7</f>
        <v>0.27430555555555558</v>
      </c>
      <c r="O30" s="372" t="str">
        <f>[31]Brewhouse!AW7</f>
        <v>R. Regis</v>
      </c>
      <c r="P30" s="376"/>
      <c r="Q30" s="348"/>
      <c r="S30" s="278" t="str">
        <f t="shared" si="0"/>
        <v>GUINNESS</v>
      </c>
      <c r="T30" s="297">
        <f t="shared" si="1"/>
        <v>17</v>
      </c>
      <c r="U30" s="297">
        <f t="shared" si="2"/>
        <v>17.5</v>
      </c>
      <c r="V30" s="298">
        <f t="shared" si="3"/>
        <v>0</v>
      </c>
      <c r="W30" s="298">
        <f t="shared" si="4"/>
        <v>0.1076388888888889</v>
      </c>
      <c r="X30" s="298">
        <f t="shared" si="5"/>
        <v>0.24652777777777779</v>
      </c>
      <c r="Y30" s="298">
        <f t="shared" si="6"/>
        <v>0.28472222222222221</v>
      </c>
      <c r="Z30" s="298">
        <f t="shared" si="7"/>
        <v>0</v>
      </c>
      <c r="AA30" s="297">
        <f t="shared" si="8"/>
        <v>60</v>
      </c>
    </row>
    <row r="31" spans="2:27" ht="15.75" customHeight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423"/>
      <c r="N31" s="371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customHeight="1">
      <c r="B32" s="29" t="s">
        <v>6</v>
      </c>
      <c r="C32" s="367" t="str">
        <f>[28]Brewhouse!$A156</f>
        <v>CA055</v>
      </c>
      <c r="D32" s="280">
        <f>[28]Brewhouse!$AF156</f>
        <v>53.1</v>
      </c>
      <c r="E32" s="280">
        <f>[28]Brewhouse!$AI156</f>
        <v>49</v>
      </c>
      <c r="F32" s="279">
        <f>[28]Brewhouse!$V156</f>
        <v>64</v>
      </c>
      <c r="G32" s="280">
        <f>[28]Brewhouse!$AG156</f>
        <v>11.9</v>
      </c>
      <c r="H32" s="419">
        <v>11.9</v>
      </c>
      <c r="I32" s="369">
        <f>[28]Brewhouse!$AU156</f>
        <v>92.001421037013401</v>
      </c>
      <c r="J32" s="369">
        <f>[28]Brewhouse!$AV156</f>
        <v>95.711595860617564</v>
      </c>
      <c r="K32" s="282">
        <f>[28]Brewhouse!$Q156</f>
        <v>4.5901639344262222</v>
      </c>
      <c r="L32" s="277">
        <f>[28]Brewhouse!$P156</f>
        <v>57</v>
      </c>
      <c r="M32" s="420">
        <f>[28]Brewhouse!$U156-[28]Brewhouse!$T156</f>
        <v>0.12222222222222223</v>
      </c>
      <c r="N32" s="371">
        <f>[28]Brewhouse!$Z156</f>
        <v>0.28541666666666665</v>
      </c>
      <c r="O32" s="372" t="str">
        <f>[28]Brewhouse!$AX156</f>
        <v>R.Sookram</v>
      </c>
      <c r="P32" s="376"/>
      <c r="Q32" s="348"/>
      <c r="S32" s="278" t="str">
        <f t="shared" si="0"/>
        <v>CARIB</v>
      </c>
      <c r="T32" s="297">
        <f t="shared" si="1"/>
        <v>11.6</v>
      </c>
      <c r="U32" s="297">
        <f t="shared" si="2"/>
        <v>12</v>
      </c>
      <c r="V32" s="298">
        <f t="shared" si="3"/>
        <v>0</v>
      </c>
      <c r="W32" s="298">
        <f t="shared" si="4"/>
        <v>0.118055555555556</v>
      </c>
      <c r="X32" s="298">
        <f t="shared" si="5"/>
        <v>0.22569444444444445</v>
      </c>
      <c r="Y32" s="298">
        <f t="shared" si="6"/>
        <v>0.2638888888888889</v>
      </c>
      <c r="Z32" s="298">
        <f t="shared" si="7"/>
        <v>0</v>
      </c>
      <c r="AA32" s="297">
        <f t="shared" si="8"/>
        <v>60</v>
      </c>
    </row>
    <row r="33" spans="2:27" ht="15.75" customHeight="1">
      <c r="B33" s="29" t="s">
        <v>6</v>
      </c>
      <c r="C33" s="367" t="str">
        <f>[28]Brewhouse!$A157</f>
        <v>CA056</v>
      </c>
      <c r="D33" s="280">
        <f>[28]Brewhouse!$AF157</f>
        <v>55.4</v>
      </c>
      <c r="E33" s="280">
        <f>[28]Brewhouse!$AI157</f>
        <v>51.9</v>
      </c>
      <c r="F33" s="279">
        <f>[28]Brewhouse!$V157</f>
        <v>63</v>
      </c>
      <c r="G33" s="280">
        <f>[28]Brewhouse!$AG157</f>
        <v>11.96</v>
      </c>
      <c r="H33" s="419">
        <v>11.8</v>
      </c>
      <c r="I33" s="369">
        <f>[28]Brewhouse!$AU157</f>
        <v>98.547841921632482</v>
      </c>
      <c r="J33" s="369">
        <f>[28]Brewhouse!$AV157</f>
        <v>102.52116534945408</v>
      </c>
      <c r="K33" s="282">
        <f>[28]Brewhouse!$Q157</f>
        <v>0.40072859744990685</v>
      </c>
      <c r="L33" s="277">
        <f>[28]Brewhouse!$P157</f>
        <v>58</v>
      </c>
      <c r="M33" s="420">
        <f>[28]Brewhouse!$U157-[28]Brewhouse!$T157</f>
        <v>0.12638888888888888</v>
      </c>
      <c r="N33" s="371">
        <f>[28]Brewhouse!$Z157</f>
        <v>0.32361111111111107</v>
      </c>
      <c r="O33" s="372" t="str">
        <f>[28]Brewhouse!$AX157</f>
        <v>R.Sookram</v>
      </c>
      <c r="P33" s="376"/>
      <c r="Q33" s="348"/>
      <c r="S33" s="278" t="str">
        <f t="shared" si="0"/>
        <v>CARIB</v>
      </c>
      <c r="T33" s="297">
        <f t="shared" si="1"/>
        <v>11.6</v>
      </c>
      <c r="U33" s="297">
        <f t="shared" si="2"/>
        <v>12</v>
      </c>
      <c r="V33" s="298">
        <f t="shared" si="3"/>
        <v>0</v>
      </c>
      <c r="W33" s="298">
        <f t="shared" si="4"/>
        <v>0.118055555555556</v>
      </c>
      <c r="X33" s="298">
        <f t="shared" si="5"/>
        <v>0.22569444444444445</v>
      </c>
      <c r="Y33" s="298">
        <f t="shared" si="6"/>
        <v>0.2638888888888889</v>
      </c>
      <c r="Z33" s="298">
        <f t="shared" si="7"/>
        <v>0</v>
      </c>
      <c r="AA33" s="297">
        <f t="shared" si="8"/>
        <v>60</v>
      </c>
    </row>
    <row r="34" spans="2:27" ht="15.75" customHeight="1">
      <c r="B34" s="29" t="s">
        <v>6</v>
      </c>
      <c r="C34" s="367" t="str">
        <f>[28]Brewhouse!$A158</f>
        <v>CA057</v>
      </c>
      <c r="D34" s="280">
        <f>[28]Brewhouse!$AF158</f>
        <v>54.3</v>
      </c>
      <c r="E34" s="280">
        <f>[28]Brewhouse!$AI158</f>
        <v>50.7</v>
      </c>
      <c r="F34" s="279">
        <f>[28]Brewhouse!$V158</f>
        <v>62</v>
      </c>
      <c r="G34" s="280">
        <f>[28]Brewhouse!$AG158</f>
        <v>11.89</v>
      </c>
      <c r="H34" s="419">
        <v>11.8</v>
      </c>
      <c r="I34" s="369">
        <f>[28]Brewhouse!$AU158</f>
        <v>95.30958953671977</v>
      </c>
      <c r="J34" s="369">
        <f>[28]Brewhouse!$AV158</f>
        <v>99.152762916561613</v>
      </c>
      <c r="K34" s="282">
        <f>[28]Brewhouse!$Q158</f>
        <v>5.7193605683836575</v>
      </c>
      <c r="L34" s="277">
        <f>[28]Brewhouse!$P158</f>
        <v>60</v>
      </c>
      <c r="M34" s="420">
        <f>[28]Brewhouse!$U158-[28]Brewhouse!$T158</f>
        <v>0.10972222222222217</v>
      </c>
      <c r="N34" s="371">
        <f>[28]Brewhouse!$Z158</f>
        <v>0.29305555555555551</v>
      </c>
      <c r="O34" s="372" t="str">
        <f>[28]Brewhouse!$AX158</f>
        <v>K.Benjamin</v>
      </c>
      <c r="P34" s="376"/>
      <c r="Q34" s="348"/>
      <c r="S34" s="278" t="str">
        <f t="shared" si="0"/>
        <v>CARIB</v>
      </c>
      <c r="T34" s="297">
        <f t="shared" si="1"/>
        <v>11.6</v>
      </c>
      <c r="U34" s="297">
        <f t="shared" si="2"/>
        <v>12</v>
      </c>
      <c r="V34" s="298">
        <f t="shared" si="3"/>
        <v>0</v>
      </c>
      <c r="W34" s="298">
        <f t="shared" si="4"/>
        <v>0.118055555555556</v>
      </c>
      <c r="X34" s="298">
        <f t="shared" si="5"/>
        <v>0.22569444444444445</v>
      </c>
      <c r="Y34" s="298">
        <f t="shared" si="6"/>
        <v>0.2638888888888889</v>
      </c>
      <c r="Z34" s="298">
        <f t="shared" si="7"/>
        <v>0</v>
      </c>
      <c r="AA34" s="297">
        <f t="shared" si="8"/>
        <v>60</v>
      </c>
    </row>
    <row r="35" spans="2:27" ht="15.75" customHeight="1">
      <c r="B35" s="29" t="s">
        <v>6</v>
      </c>
      <c r="C35" s="367" t="str">
        <f>[28]Brewhouse!$A159</f>
        <v>CA058</v>
      </c>
      <c r="D35" s="280">
        <f>[28]Brewhouse!$AF159</f>
        <v>54.1</v>
      </c>
      <c r="E35" s="280">
        <f>[28]Brewhouse!$AI159</f>
        <v>50.7</v>
      </c>
      <c r="F35" s="279">
        <f>[28]Brewhouse!$V159</f>
        <v>59</v>
      </c>
      <c r="G35" s="280">
        <f>[28]Brewhouse!$AG159</f>
        <v>11.84</v>
      </c>
      <c r="H35" s="419">
        <v>12.1</v>
      </c>
      <c r="I35" s="369">
        <f>[28]Brewhouse!$AU159</f>
        <v>94.916368405240789</v>
      </c>
      <c r="J35" s="369">
        <f>[28]Brewhouse!$AV159</f>
        <v>98.90593785697483</v>
      </c>
      <c r="K35" s="282">
        <f>[28]Brewhouse!$Q159</f>
        <v>5.9074733096085419</v>
      </c>
      <c r="L35" s="277">
        <f>[28]Brewhouse!$P159</f>
        <v>61</v>
      </c>
      <c r="M35" s="420">
        <f>[28]Brewhouse!$U159-[28]Brewhouse!$T159</f>
        <v>0.10624999999999996</v>
      </c>
      <c r="N35" s="371">
        <f>[28]Brewhouse!$Z159</f>
        <v>0.27500000000000002</v>
      </c>
      <c r="O35" s="372" t="str">
        <f>[28]Brewhouse!$AX159</f>
        <v>K.Benjamin</v>
      </c>
      <c r="P35" s="376"/>
      <c r="Q35" s="348"/>
      <c r="S35" s="278" t="str">
        <f t="shared" si="0"/>
        <v>CARIB</v>
      </c>
      <c r="T35" s="297">
        <f t="shared" si="1"/>
        <v>11.6</v>
      </c>
      <c r="U35" s="297">
        <f t="shared" si="2"/>
        <v>12</v>
      </c>
      <c r="V35" s="298">
        <f t="shared" si="3"/>
        <v>0</v>
      </c>
      <c r="W35" s="298">
        <f t="shared" si="4"/>
        <v>0.118055555555556</v>
      </c>
      <c r="X35" s="298">
        <f t="shared" si="5"/>
        <v>0.22569444444444445</v>
      </c>
      <c r="Y35" s="298">
        <f t="shared" si="6"/>
        <v>0.2638888888888889</v>
      </c>
      <c r="Z35" s="298">
        <f t="shared" si="7"/>
        <v>0</v>
      </c>
      <c r="AA35" s="297">
        <f t="shared" si="8"/>
        <v>60</v>
      </c>
    </row>
    <row r="36" spans="2:27" ht="15.75" customHeight="1">
      <c r="B36" s="29" t="s">
        <v>6</v>
      </c>
      <c r="C36" s="367" t="str">
        <f>[28]Brewhouse!$A160</f>
        <v>CA059</v>
      </c>
      <c r="D36" s="280">
        <f>[28]Brewhouse!$AF160</f>
        <v>53.6</v>
      </c>
      <c r="E36" s="280">
        <f>[28]Brewhouse!$AI160</f>
        <v>50</v>
      </c>
      <c r="F36" s="279">
        <f>[28]Brewhouse!$V160</f>
        <v>64</v>
      </c>
      <c r="G36" s="280">
        <f>[28]Brewhouse!$AG160</f>
        <v>11.89</v>
      </c>
      <c r="H36" s="419">
        <v>11.9</v>
      </c>
      <c r="I36" s="369">
        <f>[28]Brewhouse!$AU160</f>
        <v>94.672690305430109</v>
      </c>
      <c r="J36" s="369">
        <f>[28]Brewhouse!$AV160</f>
        <v>98.651589817358172</v>
      </c>
      <c r="K36" s="282">
        <f>[28]Brewhouse!$Q160</f>
        <v>5.2707581227436728</v>
      </c>
      <c r="L36" s="277">
        <f>[28]Brewhouse!$P160</f>
        <v>62</v>
      </c>
      <c r="M36" s="420">
        <f>[28]Brewhouse!$U160-[28]Brewhouse!$T160</f>
        <v>0.11111111111111105</v>
      </c>
      <c r="N36" s="371">
        <f>[28]Brewhouse!$Z160</f>
        <v>0.27013888888888893</v>
      </c>
      <c r="O36" s="372" t="str">
        <f>[28]Brewhouse!$AX160</f>
        <v>K.Benjamin</v>
      </c>
      <c r="P36" s="376"/>
      <c r="Q36" s="348"/>
      <c r="S36" s="278" t="str">
        <f t="shared" si="0"/>
        <v>CARIB</v>
      </c>
      <c r="T36" s="297">
        <f t="shared" si="1"/>
        <v>11.6</v>
      </c>
      <c r="U36" s="297">
        <f t="shared" si="2"/>
        <v>12</v>
      </c>
      <c r="V36" s="298">
        <f t="shared" si="3"/>
        <v>0</v>
      </c>
      <c r="W36" s="298">
        <f t="shared" si="4"/>
        <v>0.118055555555556</v>
      </c>
      <c r="X36" s="298">
        <f t="shared" si="5"/>
        <v>0.22569444444444445</v>
      </c>
      <c r="Y36" s="298">
        <f t="shared" si="6"/>
        <v>0.2638888888888889</v>
      </c>
      <c r="Z36" s="298">
        <f t="shared" si="7"/>
        <v>0</v>
      </c>
      <c r="AA36" s="297">
        <f t="shared" si="8"/>
        <v>60</v>
      </c>
    </row>
    <row r="37" spans="2:27" ht="15.75" customHeight="1">
      <c r="B37" s="29" t="s">
        <v>6</v>
      </c>
      <c r="C37" s="367" t="str">
        <f>[28]Brewhouse!$A161</f>
        <v>CA060</v>
      </c>
      <c r="D37" s="280">
        <f>[28]Brewhouse!$AF161</f>
        <v>53.4</v>
      </c>
      <c r="E37" s="280">
        <f>[28]Brewhouse!$AI161</f>
        <v>50.3</v>
      </c>
      <c r="F37" s="279">
        <f>[28]Brewhouse!$V161</f>
        <v>62</v>
      </c>
      <c r="G37" s="280">
        <f>[28]Brewhouse!$AG161</f>
        <v>12.04</v>
      </c>
      <c r="H37" s="419">
        <v>11.9</v>
      </c>
      <c r="I37" s="369">
        <f>[28]Brewhouse!$AU161</f>
        <v>95.964139881158587</v>
      </c>
      <c r="J37" s="369">
        <f>[28]Brewhouse!$AV161</f>
        <v>99.997533332553317</v>
      </c>
      <c r="K37" s="282">
        <f>[28]Brewhouse!$Q161</f>
        <v>6.1621621621621649</v>
      </c>
      <c r="L37" s="277">
        <f>[28]Brewhouse!$P161</f>
        <v>59</v>
      </c>
      <c r="M37" s="420">
        <f>[28]Brewhouse!$U161-[28]Brewhouse!$T161</f>
        <v>0.10902777777777772</v>
      </c>
      <c r="N37" s="371">
        <f>[28]Brewhouse!$Z161</f>
        <v>0.26041666666666663</v>
      </c>
      <c r="O37" s="372" t="str">
        <f>[28]Brewhouse!$AX161</f>
        <v>R.Regis</v>
      </c>
      <c r="P37" s="370"/>
      <c r="Q37" s="348"/>
      <c r="S37" s="278" t="str">
        <f t="shared" si="0"/>
        <v>CARIB</v>
      </c>
      <c r="T37" s="297">
        <f t="shared" si="1"/>
        <v>11.6</v>
      </c>
      <c r="U37" s="297">
        <f t="shared" si="2"/>
        <v>12</v>
      </c>
      <c r="V37" s="298">
        <f t="shared" si="3"/>
        <v>0</v>
      </c>
      <c r="W37" s="298">
        <f t="shared" si="4"/>
        <v>0.118055555555556</v>
      </c>
      <c r="X37" s="298">
        <f t="shared" si="5"/>
        <v>0.22569444444444445</v>
      </c>
      <c r="Y37" s="298">
        <f t="shared" si="6"/>
        <v>0.2638888888888889</v>
      </c>
      <c r="Z37" s="298">
        <f t="shared" si="7"/>
        <v>0</v>
      </c>
      <c r="AA37" s="297">
        <f t="shared" si="8"/>
        <v>60</v>
      </c>
    </row>
    <row r="38" spans="2:27" ht="15.75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hidden="1" customHeight="1">
      <c r="B42" s="33"/>
      <c r="C42" s="367"/>
      <c r="D42" s="280"/>
      <c r="E42" s="280"/>
      <c r="F42" s="279"/>
      <c r="G42" s="280"/>
      <c r="H42" s="419"/>
      <c r="I42" s="512"/>
      <c r="J42" s="512"/>
      <c r="K42" s="422"/>
      <c r="L42" s="277"/>
      <c r="M42" s="375"/>
      <c r="N42" s="371"/>
      <c r="O42" s="513"/>
      <c r="P42" s="370"/>
      <c r="Q42" s="348"/>
      <c r="S42" s="278">
        <f t="shared" si="0"/>
        <v>0</v>
      </c>
      <c r="T42" s="297" t="e">
        <f t="shared" si="1"/>
        <v>#N/A</v>
      </c>
      <c r="U42" s="297" t="e">
        <f t="shared" si="2"/>
        <v>#N/A</v>
      </c>
      <c r="V42" s="298" t="e">
        <f t="shared" si="3"/>
        <v>#N/A</v>
      </c>
      <c r="W42" s="298" t="e">
        <f t="shared" si="4"/>
        <v>#N/A</v>
      </c>
      <c r="X42" s="298" t="e">
        <f t="shared" si="5"/>
        <v>#N/A</v>
      </c>
      <c r="Y42" s="298" t="e">
        <f t="shared" si="6"/>
        <v>#N/A</v>
      </c>
      <c r="Z42" s="298" t="e">
        <f t="shared" si="7"/>
        <v>#N/A</v>
      </c>
      <c r="AA42" s="297" t="e">
        <f t="shared" si="8"/>
        <v>#N/A</v>
      </c>
    </row>
    <row r="43" spans="2:27" ht="15.75" hidden="1" customHeight="1">
      <c r="B43" s="33"/>
      <c r="C43" s="367"/>
      <c r="D43" s="280"/>
      <c r="E43" s="280"/>
      <c r="F43" s="279"/>
      <c r="G43" s="280"/>
      <c r="H43" s="419"/>
      <c r="I43" s="512"/>
      <c r="J43" s="512"/>
      <c r="K43" s="422"/>
      <c r="L43" s="277"/>
      <c r="M43" s="375"/>
      <c r="N43" s="371"/>
      <c r="O43" s="513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2:27" ht="15.75" hidden="1" customHeight="1">
      <c r="B44" s="33"/>
      <c r="C44" s="367"/>
      <c r="D44" s="280"/>
      <c r="E44" s="280"/>
      <c r="F44" s="279"/>
      <c r="G44" s="280"/>
      <c r="H44" s="419"/>
      <c r="I44" s="512"/>
      <c r="J44" s="512"/>
      <c r="K44" s="422"/>
      <c r="L44" s="277"/>
      <c r="M44" s="375"/>
      <c r="N44" s="371"/>
      <c r="O44" s="513"/>
      <c r="P44" s="370"/>
      <c r="Q44" s="348"/>
      <c r="S44" s="278">
        <f t="shared" si="0"/>
        <v>0</v>
      </c>
      <c r="T44" s="297" t="e">
        <f t="shared" si="1"/>
        <v>#N/A</v>
      </c>
      <c r="U44" s="297" t="e">
        <f t="shared" si="2"/>
        <v>#N/A</v>
      </c>
      <c r="V44" s="298" t="e">
        <f t="shared" si="3"/>
        <v>#N/A</v>
      </c>
      <c r="W44" s="298" t="e">
        <f t="shared" si="4"/>
        <v>#N/A</v>
      </c>
      <c r="X44" s="298" t="e">
        <f t="shared" si="5"/>
        <v>#N/A</v>
      </c>
      <c r="Y44" s="298" t="e">
        <f t="shared" si="6"/>
        <v>#N/A</v>
      </c>
      <c r="Z44" s="298" t="e">
        <f t="shared" si="7"/>
        <v>#N/A</v>
      </c>
      <c r="AA44" s="297" t="e">
        <f t="shared" si="8"/>
        <v>#N/A</v>
      </c>
    </row>
    <row r="45" spans="2:27" ht="15.75" hidden="1" customHeight="1">
      <c r="B45" s="33"/>
      <c r="C45" s="367"/>
      <c r="D45" s="280"/>
      <c r="E45" s="280"/>
      <c r="F45" s="279"/>
      <c r="G45" s="280"/>
      <c r="H45" s="419"/>
      <c r="I45" s="512"/>
      <c r="J45" s="512"/>
      <c r="K45" s="422"/>
      <c r="L45" s="277"/>
      <c r="M45" s="375"/>
      <c r="N45" s="371"/>
      <c r="O45" s="513"/>
      <c r="P45" s="370"/>
      <c r="Q45" s="348"/>
      <c r="S45" s="278">
        <f t="shared" si="0"/>
        <v>0</v>
      </c>
      <c r="T45" s="297" t="e">
        <f t="shared" si="1"/>
        <v>#N/A</v>
      </c>
      <c r="U45" s="297" t="e">
        <f t="shared" si="2"/>
        <v>#N/A</v>
      </c>
      <c r="V45" s="298" t="e">
        <f t="shared" si="3"/>
        <v>#N/A</v>
      </c>
      <c r="W45" s="298" t="e">
        <f t="shared" si="4"/>
        <v>#N/A</v>
      </c>
      <c r="X45" s="298" t="e">
        <f t="shared" si="5"/>
        <v>#N/A</v>
      </c>
      <c r="Y45" s="298" t="e">
        <f t="shared" si="6"/>
        <v>#N/A</v>
      </c>
      <c r="Z45" s="298" t="e">
        <f t="shared" si="7"/>
        <v>#N/A</v>
      </c>
      <c r="AA45" s="297" t="e">
        <f t="shared" si="8"/>
        <v>#N/A</v>
      </c>
    </row>
    <row r="46" spans="2:27" ht="15.75" hidden="1" customHeight="1">
      <c r="B46" s="33"/>
      <c r="C46" s="367"/>
      <c r="D46" s="280"/>
      <c r="E46" s="280"/>
      <c r="F46" s="279"/>
      <c r="G46" s="280"/>
      <c r="H46" s="419"/>
      <c r="I46" s="512"/>
      <c r="J46" s="512"/>
      <c r="K46" s="422"/>
      <c r="L46" s="277"/>
      <c r="M46" s="375"/>
      <c r="N46" s="371"/>
      <c r="O46" s="513"/>
      <c r="P46" s="370"/>
      <c r="Q46" s="348"/>
      <c r="S46" s="278">
        <f t="shared" si="0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5.75" hidden="1" customHeight="1">
      <c r="B47" s="29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Q47" s="348"/>
      <c r="S47" s="278">
        <f t="shared" si="0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hidden="1" customHeigh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Q48" s="348"/>
      <c r="S48" s="278">
        <f t="shared" si="0"/>
        <v>0</v>
      </c>
      <c r="T48" s="297" t="e">
        <f t="shared" si="1"/>
        <v>#N/A</v>
      </c>
      <c r="U48" s="297" t="e">
        <f t="shared" si="2"/>
        <v>#N/A</v>
      </c>
      <c r="V48" s="298" t="e">
        <f t="shared" si="3"/>
        <v>#N/A</v>
      </c>
      <c r="W48" s="298" t="e">
        <f t="shared" si="4"/>
        <v>#N/A</v>
      </c>
      <c r="X48" s="298" t="e">
        <f t="shared" si="5"/>
        <v>#N/A</v>
      </c>
      <c r="Y48" s="298" t="e">
        <f t="shared" si="6"/>
        <v>#N/A</v>
      </c>
      <c r="Z48" s="298" t="e">
        <f t="shared" si="7"/>
        <v>#N/A</v>
      </c>
      <c r="AA48" s="297" t="e">
        <f t="shared" si="8"/>
        <v>#N/A</v>
      </c>
    </row>
    <row r="49" spans="1:27" ht="15.75" hidden="1" customHeight="1">
      <c r="B49" s="29"/>
      <c r="C49" s="367"/>
      <c r="D49" s="280"/>
      <c r="E49" s="280"/>
      <c r="F49" s="279"/>
      <c r="G49" s="280"/>
      <c r="H49" s="419"/>
      <c r="I49" s="369"/>
      <c r="J49" s="369"/>
      <c r="K49" s="282"/>
      <c r="L49" s="277"/>
      <c r="M49" s="420"/>
      <c r="N49" s="371"/>
      <c r="O49" s="372"/>
      <c r="P49" s="370"/>
      <c r="Q49" s="348"/>
      <c r="S49" s="278">
        <f t="shared" si="0"/>
        <v>0</v>
      </c>
      <c r="T49" s="297" t="e">
        <f t="shared" si="1"/>
        <v>#N/A</v>
      </c>
      <c r="U49" s="297" t="e">
        <f t="shared" si="2"/>
        <v>#N/A</v>
      </c>
      <c r="V49" s="298" t="e">
        <f t="shared" si="3"/>
        <v>#N/A</v>
      </c>
      <c r="W49" s="298" t="e">
        <f t="shared" si="4"/>
        <v>#N/A</v>
      </c>
      <c r="X49" s="298" t="e">
        <f t="shared" si="5"/>
        <v>#N/A</v>
      </c>
      <c r="Y49" s="298" t="e">
        <f t="shared" si="6"/>
        <v>#N/A</v>
      </c>
      <c r="Z49" s="298" t="e">
        <f t="shared" si="7"/>
        <v>#N/A</v>
      </c>
      <c r="AA49" s="297" t="e">
        <f t="shared" si="8"/>
        <v>#N/A</v>
      </c>
    </row>
    <row r="50" spans="1:27" ht="15.75" hidden="1" customHeight="1">
      <c r="B50" s="29"/>
      <c r="C50" s="367"/>
      <c r="D50" s="280"/>
      <c r="E50" s="280"/>
      <c r="F50" s="279"/>
      <c r="G50" s="280"/>
      <c r="H50" s="419"/>
      <c r="I50" s="369"/>
      <c r="J50" s="369"/>
      <c r="K50" s="282"/>
      <c r="L50" s="277"/>
      <c r="M50" s="420"/>
      <c r="N50" s="371"/>
      <c r="O50" s="372"/>
      <c r="P50" s="370"/>
      <c r="Q50" s="348"/>
      <c r="S50" s="278">
        <f t="shared" si="0"/>
        <v>0</v>
      </c>
      <c r="T50" s="297" t="e">
        <f t="shared" si="1"/>
        <v>#N/A</v>
      </c>
      <c r="U50" s="297" t="e">
        <f t="shared" si="2"/>
        <v>#N/A</v>
      </c>
      <c r="V50" s="298" t="e">
        <f t="shared" si="3"/>
        <v>#N/A</v>
      </c>
      <c r="W50" s="298" t="e">
        <f t="shared" si="4"/>
        <v>#N/A</v>
      </c>
      <c r="X50" s="298" t="e">
        <f t="shared" si="5"/>
        <v>#N/A</v>
      </c>
      <c r="Y50" s="298" t="e">
        <f t="shared" si="6"/>
        <v>#N/A</v>
      </c>
      <c r="Z50" s="298" t="e">
        <f t="shared" si="7"/>
        <v>#N/A</v>
      </c>
      <c r="AA50" s="297" t="e">
        <f t="shared" si="8"/>
        <v>#N/A</v>
      </c>
    </row>
    <row r="51" spans="1:27" ht="15.75" hidden="1" customHeight="1">
      <c r="B51" s="29"/>
      <c r="C51" s="367"/>
      <c r="D51" s="280"/>
      <c r="E51" s="280"/>
      <c r="F51" s="279"/>
      <c r="G51" s="280"/>
      <c r="H51" s="419"/>
      <c r="I51" s="369"/>
      <c r="J51" s="369"/>
      <c r="K51" s="282"/>
      <c r="L51" s="277"/>
      <c r="M51" s="420"/>
      <c r="N51" s="371"/>
      <c r="O51" s="372"/>
      <c r="P51" s="370"/>
      <c r="Q51" s="348"/>
      <c r="S51" s="278">
        <f t="shared" si="0"/>
        <v>0</v>
      </c>
      <c r="T51" s="297" t="e">
        <f t="shared" si="1"/>
        <v>#N/A</v>
      </c>
      <c r="U51" s="297" t="e">
        <f t="shared" si="2"/>
        <v>#N/A</v>
      </c>
      <c r="V51" s="298" t="e">
        <f t="shared" si="3"/>
        <v>#N/A</v>
      </c>
      <c r="W51" s="298" t="e">
        <f t="shared" si="4"/>
        <v>#N/A</v>
      </c>
      <c r="X51" s="298" t="e">
        <f t="shared" si="5"/>
        <v>#N/A</v>
      </c>
      <c r="Y51" s="298" t="e">
        <f t="shared" si="6"/>
        <v>#N/A</v>
      </c>
      <c r="Z51" s="298" t="e">
        <f t="shared" si="7"/>
        <v>#N/A</v>
      </c>
      <c r="AA51" s="297" t="e">
        <f t="shared" si="8"/>
        <v>#N/A</v>
      </c>
    </row>
    <row r="52" spans="1:27" ht="14.4" hidden="1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375"/>
      <c r="N52" s="371"/>
      <c r="O52" s="372"/>
      <c r="P52" s="370"/>
      <c r="Q52" s="348"/>
      <c r="S52" s="278">
        <f t="shared" si="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 thickBot="1">
      <c r="B53" s="359"/>
      <c r="C53" s="359"/>
      <c r="D53" s="359"/>
      <c r="E53" s="359"/>
      <c r="F53" s="295"/>
      <c r="G53" s="295"/>
      <c r="H53" s="349"/>
      <c r="I53" s="574" t="s">
        <v>34</v>
      </c>
      <c r="J53" s="574"/>
      <c r="K53" s="574"/>
      <c r="L53" s="574"/>
      <c r="M53" s="574"/>
      <c r="N53" s="574"/>
      <c r="O53" s="1"/>
      <c r="P53" s="12"/>
      <c r="S53" s="278"/>
      <c r="T53" s="297"/>
      <c r="U53" s="297"/>
      <c r="V53" s="298"/>
      <c r="W53" s="298"/>
      <c r="X53" s="298"/>
      <c r="Y53" s="298"/>
      <c r="Z53" s="298"/>
      <c r="AA53" s="297"/>
    </row>
    <row r="54" spans="1:27" ht="15" thickBot="1">
      <c r="B54" s="389" t="s">
        <v>145</v>
      </c>
      <c r="C54" s="389"/>
      <c r="D54" s="552" t="s">
        <v>35</v>
      </c>
      <c r="E54" s="553"/>
      <c r="F54" s="295"/>
      <c r="G54" s="295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5"/>
      <c r="P54" s="12"/>
      <c r="S54" s="278"/>
      <c r="T54" s="297"/>
      <c r="U54" s="297"/>
      <c r="V54" s="298"/>
      <c r="W54" s="298"/>
      <c r="X54" s="298"/>
      <c r="Y54" s="298"/>
      <c r="Z54" s="298"/>
      <c r="AA54" s="297"/>
    </row>
    <row r="55" spans="1:27" ht="15" customHeight="1">
      <c r="A55" s="28"/>
      <c r="B55" s="660"/>
      <c r="C55" s="363"/>
      <c r="D55" s="578"/>
      <c r="E55" s="579"/>
      <c r="F55" s="295"/>
      <c r="G55" s="295"/>
      <c r="H55" s="295"/>
      <c r="I55" s="29" t="s">
        <v>6</v>
      </c>
      <c r="J55" s="324">
        <f>AVERAGE(I32:I37)</f>
        <v>95.235341847865854</v>
      </c>
      <c r="K55" s="285">
        <f>COUNTA([28]Brewhouse!$A$102:$A$161)</f>
        <v>60</v>
      </c>
      <c r="L55" s="303">
        <f>AVERAGE([28]Brewhouse!$AU$102:$AU$161)</f>
        <v>94.241516834562432</v>
      </c>
      <c r="M55" s="303">
        <f>AVERAGE([28]Brewhouse!$AU$102:$AU$161)</f>
        <v>94.241516834562432</v>
      </c>
      <c r="N55" s="30">
        <v>98</v>
      </c>
      <c r="O55" s="11"/>
      <c r="P55" s="31"/>
      <c r="S55" s="278"/>
      <c r="T55" s="297"/>
      <c r="U55" s="297"/>
      <c r="V55" s="298"/>
      <c r="W55" s="298"/>
      <c r="X55" s="298"/>
      <c r="Y55" s="298"/>
      <c r="Z55" s="298"/>
      <c r="AA55" s="297"/>
    </row>
    <row r="56" spans="1:27" ht="15" customHeight="1">
      <c r="A56" s="28"/>
      <c r="B56" s="661"/>
      <c r="C56" s="350"/>
      <c r="D56" s="580"/>
      <c r="E56" s="581"/>
      <c r="F56" s="295"/>
      <c r="G56" s="295"/>
      <c r="H56" s="32"/>
      <c r="I56" s="33" t="s">
        <v>9</v>
      </c>
      <c r="J56" s="324"/>
      <c r="K56" s="285">
        <f>COUNTA([22]Brewhouse!$A$15:$A$60)</f>
        <v>46</v>
      </c>
      <c r="L56" s="303">
        <f>AVERAGE([22]Brewhouse!$AS$15:$AS$60)</f>
        <v>96.221827039170165</v>
      </c>
      <c r="M56" s="303">
        <f>AVERAGE([22]Brewhouse!$AS$15:$AS$60)</f>
        <v>96.221827039170165</v>
      </c>
      <c r="N56" s="30">
        <v>98</v>
      </c>
      <c r="O56" s="11"/>
      <c r="P56" s="31"/>
      <c r="S56" s="278"/>
      <c r="T56" s="297"/>
      <c r="U56" s="297"/>
      <c r="V56" s="298"/>
      <c r="W56" s="298"/>
      <c r="X56" s="298"/>
      <c r="Y56" s="298"/>
      <c r="Z56" s="298"/>
      <c r="AA56" s="297"/>
    </row>
    <row r="57" spans="1:27" ht="14.7" customHeight="1">
      <c r="A57" s="28"/>
      <c r="B57" s="661"/>
      <c r="C57" s="350"/>
      <c r="D57" s="578"/>
      <c r="E57" s="579"/>
      <c r="F57" s="295"/>
      <c r="G57" s="295"/>
      <c r="H57" s="32"/>
      <c r="I57" s="34" t="s">
        <v>12</v>
      </c>
      <c r="J57" s="281">
        <f>AVERAGE(I30)</f>
        <v>98.040462342043114</v>
      </c>
      <c r="K57" s="285">
        <f>COUNTA([31]Brewhouse!$A$4:$A$7)</f>
        <v>4</v>
      </c>
      <c r="L57" s="303">
        <f>AVERAGE([31]Brewhouse!$AU$4:$AU$7)</f>
        <v>97.101937860557186</v>
      </c>
      <c r="M57" s="303">
        <f>AVERAGE([31]Brewhouse!$AU$4:$AU$7)</f>
        <v>97.101937860557186</v>
      </c>
      <c r="N57" s="30">
        <v>98</v>
      </c>
      <c r="O57" s="11"/>
      <c r="P57" s="31"/>
      <c r="S57" s="23"/>
      <c r="T57" s="1"/>
      <c r="U57" s="1"/>
      <c r="AA57" s="286"/>
    </row>
    <row r="58" spans="1:27" ht="14.7" customHeight="1">
      <c r="A58" s="28"/>
      <c r="B58" s="661"/>
      <c r="C58" s="350"/>
      <c r="D58" s="580"/>
      <c r="E58" s="581"/>
      <c r="F58" s="295"/>
      <c r="G58" s="295"/>
      <c r="H58" s="32"/>
      <c r="I58" s="22" t="s">
        <v>33</v>
      </c>
      <c r="J58" s="281"/>
      <c r="K58" s="285">
        <f>COUNTA([25]Brewhouse!$A$5:$A$14)</f>
        <v>10</v>
      </c>
      <c r="L58" s="303">
        <f>AVERAGE([25]Brewhouse!$AV$5:$AV$14)</f>
        <v>97.717673301363135</v>
      </c>
      <c r="M58" s="303">
        <f>AVERAGE([25]Brewhouse!$AV$5:$AV$14)</f>
        <v>97.717673301363135</v>
      </c>
      <c r="N58" s="30">
        <v>98</v>
      </c>
      <c r="O58" s="11"/>
      <c r="P58" s="31"/>
      <c r="S58" s="23"/>
      <c r="T58" s="1"/>
      <c r="U58" s="1"/>
      <c r="AA58" s="286"/>
    </row>
    <row r="59" spans="1:27" ht="14.7" customHeight="1">
      <c r="A59" s="28"/>
      <c r="B59" s="661"/>
      <c r="C59" s="350"/>
      <c r="D59" s="578"/>
      <c r="E59" s="579"/>
      <c r="F59" s="295"/>
      <c r="G59" s="295"/>
      <c r="H59" s="32"/>
      <c r="I59" s="35" t="s">
        <v>29</v>
      </c>
      <c r="J59" s="281"/>
      <c r="K59" s="285"/>
      <c r="L59" s="303"/>
      <c r="M59" s="303"/>
      <c r="N59" s="30">
        <v>98</v>
      </c>
      <c r="O59" s="11"/>
      <c r="P59" s="31"/>
      <c r="S59" s="23"/>
    </row>
    <row r="60" spans="1:27" ht="14.7" customHeight="1">
      <c r="A60" s="28"/>
      <c r="B60" s="661"/>
      <c r="C60" s="350"/>
      <c r="D60" s="580"/>
      <c r="E60" s="581"/>
      <c r="F60" s="295"/>
      <c r="G60" s="295"/>
      <c r="H60" s="32"/>
      <c r="I60" s="36" t="s">
        <v>15</v>
      </c>
      <c r="J60" s="324"/>
      <c r="K60" s="285">
        <f>COUNTA([27]Brewhouse!$A$4:$A$11)</f>
        <v>8</v>
      </c>
      <c r="L60" s="303">
        <f>AVERAGE([27]Brewhouse!$AT$4:$AT$11)</f>
        <v>94.812616598822359</v>
      </c>
      <c r="M60" s="303">
        <f>AVERAGE([27]Brewhouse!$AT$4:$AT$11)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661"/>
      <c r="C61" s="350"/>
      <c r="D61" s="578"/>
      <c r="E61" s="579"/>
      <c r="F61" s="295"/>
      <c r="G61" s="295"/>
      <c r="H61" s="32"/>
      <c r="I61" s="37" t="s">
        <v>16</v>
      </c>
      <c r="J61" s="324"/>
      <c r="K61" s="285">
        <f>COUNTA(Jan.20th!B31:B34,'Jan 29th '!B34:B36)</f>
        <v>7</v>
      </c>
      <c r="L61" s="303">
        <f>AVERAGE([29]Brewhouse!$AY$6:$AY$13)</f>
        <v>93.094805585685208</v>
      </c>
      <c r="M61" s="303">
        <f>AVERAGE([29]Brewhouse!$AY$6:$AY$13)</f>
        <v>93.094805585685208</v>
      </c>
      <c r="N61" s="30">
        <v>98</v>
      </c>
      <c r="O61" s="11"/>
      <c r="P61" s="31" t="s">
        <v>41</v>
      </c>
      <c r="S61" s="23"/>
      <c r="X61" s="276" t="s">
        <v>41</v>
      </c>
    </row>
    <row r="62" spans="1:27" ht="14.7" customHeight="1">
      <c r="A62" s="28"/>
      <c r="B62" s="661"/>
      <c r="C62" s="350"/>
      <c r="D62" s="580"/>
      <c r="E62" s="581"/>
      <c r="F62" s="295"/>
      <c r="G62" s="295"/>
      <c r="H62" s="32"/>
      <c r="I62" s="507" t="s">
        <v>174</v>
      </c>
      <c r="J62" s="327"/>
      <c r="K62" s="285">
        <f>COUNTA([26]Brewhouse!$A$5:$A$8)</f>
        <v>4</v>
      </c>
      <c r="L62" s="306">
        <f>AVERAGE([26]Brewhouse!$AU$5:$AU$8)</f>
        <v>91.006888337619571</v>
      </c>
      <c r="M62" s="306">
        <f>AVERAGE([26]Brewhouse!$AU$5:$AU$8)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661"/>
      <c r="C63" s="350"/>
      <c r="D63" s="578"/>
      <c r="E63" s="579"/>
      <c r="F63" s="295"/>
      <c r="G63" s="295"/>
      <c r="H63" s="32"/>
      <c r="I63" s="506" t="s">
        <v>166</v>
      </c>
      <c r="J63" s="327"/>
      <c r="K63" s="285"/>
      <c r="L63" s="306"/>
      <c r="M63" s="306"/>
      <c r="N63" s="30"/>
      <c r="O63" s="11"/>
      <c r="P63" s="31"/>
      <c r="S63" s="23"/>
    </row>
    <row r="64" spans="1:27" ht="15" customHeight="1" thickBot="1">
      <c r="A64" s="28"/>
      <c r="B64" s="661"/>
      <c r="C64" s="350"/>
      <c r="D64" s="580"/>
      <c r="E64" s="581"/>
      <c r="F64" s="295"/>
      <c r="G64" s="295"/>
      <c r="H64" s="32"/>
      <c r="I64" s="502" t="s">
        <v>165</v>
      </c>
      <c r="J64" s="328"/>
      <c r="K64" s="503"/>
      <c r="L64" s="504"/>
      <c r="M64" s="504"/>
      <c r="N64" s="505">
        <v>98</v>
      </c>
      <c r="O64" s="11"/>
      <c r="P64" s="31"/>
      <c r="S64" s="23"/>
    </row>
    <row r="65" spans="1:57" ht="15" customHeight="1" thickBot="1">
      <c r="A65" s="28"/>
      <c r="B65" s="661"/>
      <c r="C65" s="350"/>
      <c r="D65" s="578"/>
      <c r="E65" s="579"/>
      <c r="F65" s="295"/>
      <c r="G65" s="295"/>
      <c r="H65" s="32"/>
      <c r="I65" s="1"/>
      <c r="J65" s="39"/>
      <c r="K65" s="500">
        <f>SUM(K55:K64)</f>
        <v>139</v>
      </c>
      <c r="L65" s="501">
        <f>((L55*K55)+(L56*K56)+(L57*K57)+(L58*K58)+(L59*K59)+(K62*L62)+(L60*K60)+(L61*K61)+(L64*K64))/(K65)</f>
        <v>95.111306932174728</v>
      </c>
      <c r="M65" s="501">
        <f>L65</f>
        <v>95.111306932174728</v>
      </c>
      <c r="N65" s="40">
        <v>98</v>
      </c>
      <c r="O65" s="11"/>
      <c r="P65" s="31"/>
      <c r="S65" s="23"/>
    </row>
    <row r="66" spans="1:57" ht="15" thickBot="1">
      <c r="B66" s="662"/>
      <c r="C66" s="351"/>
      <c r="D66" s="580"/>
      <c r="E66" s="581"/>
      <c r="F66" s="295"/>
      <c r="G66" s="42"/>
      <c r="H66" s="41"/>
      <c r="I66" s="42"/>
      <c r="J66" s="42"/>
      <c r="K66" s="352"/>
      <c r="L66" s="349"/>
      <c r="M66" s="349"/>
      <c r="N66" s="11"/>
      <c r="O66" s="295"/>
      <c r="P66" s="12"/>
      <c r="S66" s="23"/>
    </row>
    <row r="67" spans="1:57" ht="15" thickBot="1">
      <c r="B67" s="653"/>
      <c r="C67" s="363"/>
      <c r="D67" s="591"/>
      <c r="E67" s="592"/>
      <c r="F67" s="43"/>
      <c r="G67" s="41"/>
      <c r="H67" s="41"/>
      <c r="I67" s="42"/>
      <c r="J67" s="594" t="s">
        <v>129</v>
      </c>
      <c r="K67" s="594"/>
      <c r="L67" s="295"/>
      <c r="M67" s="295"/>
      <c r="N67" s="295"/>
      <c r="O67" s="295"/>
      <c r="P67" s="12"/>
      <c r="S67" s="23" t="s">
        <v>41</v>
      </c>
    </row>
    <row r="68" spans="1:57" ht="13.5" customHeight="1" thickBot="1">
      <c r="B68" s="654"/>
      <c r="C68" s="350"/>
      <c r="D68" s="593"/>
      <c r="E68" s="581"/>
      <c r="F68" s="43"/>
      <c r="G68" s="41"/>
      <c r="H68" s="41"/>
      <c r="I68" s="42"/>
      <c r="J68" s="526" t="s">
        <v>17</v>
      </c>
      <c r="K68" s="294" t="s">
        <v>201</v>
      </c>
      <c r="L68" s="595" t="s">
        <v>136</v>
      </c>
      <c r="M68" s="595"/>
      <c r="N68" s="596"/>
      <c r="O68" s="295"/>
      <c r="P68" s="12"/>
      <c r="S68" s="23"/>
    </row>
    <row r="69" spans="1:57" ht="15" customHeight="1" thickBot="1">
      <c r="B69" s="654"/>
      <c r="C69" s="350"/>
      <c r="D69" s="597"/>
      <c r="E69" s="579"/>
      <c r="F69" s="43"/>
      <c r="G69" s="41"/>
      <c r="H69" s="41"/>
      <c r="I69" s="42"/>
      <c r="J69" s="527" t="s">
        <v>6</v>
      </c>
      <c r="K69" s="325">
        <v>6</v>
      </c>
      <c r="L69" s="344" t="s">
        <v>37</v>
      </c>
      <c r="M69" s="308" t="s">
        <v>38</v>
      </c>
      <c r="N69" s="308" t="s">
        <v>84</v>
      </c>
      <c r="O69" s="295"/>
      <c r="P69" s="12"/>
      <c r="S69" s="23"/>
    </row>
    <row r="70" spans="1:57" ht="15.75" customHeight="1" thickBot="1">
      <c r="B70" s="654"/>
      <c r="C70" s="350"/>
      <c r="D70" s="593"/>
      <c r="E70" s="581"/>
      <c r="F70" s="43"/>
      <c r="G70" s="41"/>
      <c r="H70" s="41"/>
      <c r="I70" s="42"/>
      <c r="J70" s="528" t="s">
        <v>9</v>
      </c>
      <c r="K70" s="325"/>
      <c r="L70" s="345">
        <f>AVERAGE('Jan 2nd'!K69,'Jan 3rd'!K69,'Jan 6th'!K54,'Jan 7th'!K76,'Jan 8th'!K76,'Jan. 10th'!K54,'Jan. 14th '!K54,'Jan.15th '!K55,Jan.16th!K58,'Jan.17th -19th'!K67,Jan.20th!K67,'Jan.21ST '!K70,'Jan 22nd'!K79,'Jan 29th '!K79,,I79,H79,'Jan 23rd '!K86)</f>
        <v>6.5</v>
      </c>
      <c r="M70" s="326">
        <f>L70</f>
        <v>6.5</v>
      </c>
      <c r="N70" s="488"/>
      <c r="O70" s="295"/>
      <c r="P70" s="12"/>
      <c r="S70" s="23"/>
    </row>
    <row r="71" spans="1:57" ht="15" customHeight="1">
      <c r="B71" s="654"/>
      <c r="C71" s="350"/>
      <c r="D71" s="597"/>
      <c r="E71" s="579"/>
      <c r="F71" s="43"/>
      <c r="G71" s="41"/>
      <c r="H71" s="41"/>
      <c r="I71" s="42"/>
      <c r="J71" s="529" t="s">
        <v>40</v>
      </c>
      <c r="K71" s="325">
        <v>1</v>
      </c>
      <c r="L71" s="295"/>
      <c r="M71" s="295"/>
      <c r="N71" s="295"/>
      <c r="O71" s="295"/>
      <c r="P71" s="12"/>
      <c r="S71" s="23"/>
    </row>
    <row r="72" spans="1:57" ht="15" customHeight="1">
      <c r="B72" s="654"/>
      <c r="C72" s="350"/>
      <c r="D72" s="593"/>
      <c r="E72" s="581"/>
      <c r="F72" s="43"/>
      <c r="G72" s="41"/>
      <c r="H72" s="41"/>
      <c r="I72" s="42"/>
      <c r="J72" s="530" t="s">
        <v>33</v>
      </c>
      <c r="K72" s="325"/>
      <c r="L72" s="295"/>
      <c r="M72" s="295"/>
      <c r="N72" s="295"/>
      <c r="O72" s="295"/>
      <c r="P72" s="12"/>
      <c r="S72" s="23"/>
    </row>
    <row r="73" spans="1:57" ht="14.4">
      <c r="B73" s="654"/>
      <c r="C73" s="350"/>
      <c r="D73" s="597"/>
      <c r="E73" s="579"/>
      <c r="F73" s="43"/>
      <c r="G73" s="41"/>
      <c r="H73" s="41"/>
      <c r="I73" s="42"/>
      <c r="J73" s="531" t="s">
        <v>16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1:57" ht="14.4">
      <c r="B74" s="654"/>
      <c r="C74" s="350"/>
      <c r="D74" s="593"/>
      <c r="E74" s="581"/>
      <c r="F74" s="43"/>
      <c r="G74" s="41"/>
      <c r="H74" s="41"/>
      <c r="I74" s="42"/>
      <c r="J74" s="532" t="s">
        <v>15</v>
      </c>
      <c r="K74" s="325"/>
      <c r="L74" s="295"/>
      <c r="M74" s="295"/>
      <c r="N74" s="295"/>
      <c r="O74" s="295"/>
      <c r="P74" s="12"/>
      <c r="S74" s="23"/>
      <c r="BD74" s="44"/>
      <c r="BE74" s="44"/>
    </row>
    <row r="75" spans="1:57" ht="14.4">
      <c r="B75" s="654"/>
      <c r="C75" s="350"/>
      <c r="D75" s="598"/>
      <c r="E75" s="583"/>
      <c r="F75" s="43"/>
      <c r="G75" s="41"/>
      <c r="H75" s="41"/>
      <c r="I75" s="42"/>
      <c r="J75" s="532" t="s">
        <v>149</v>
      </c>
      <c r="K75" s="325"/>
      <c r="L75" s="295"/>
      <c r="M75" s="295"/>
      <c r="N75" s="295"/>
      <c r="O75" s="295"/>
      <c r="P75" s="12"/>
      <c r="S75" s="23"/>
      <c r="BD75" s="44"/>
      <c r="BE75" s="44"/>
    </row>
    <row r="76" spans="1:57" ht="15" thickBot="1">
      <c r="B76" s="655"/>
      <c r="C76" s="351"/>
      <c r="D76" s="599"/>
      <c r="E76" s="600"/>
      <c r="F76" s="43"/>
      <c r="G76" s="41"/>
      <c r="H76" s="41"/>
      <c r="I76" s="42"/>
      <c r="J76" s="532" t="s">
        <v>148</v>
      </c>
      <c r="K76" s="325"/>
      <c r="L76" s="295"/>
      <c r="M76" s="295"/>
      <c r="N76" s="295"/>
      <c r="O76" s="295"/>
      <c r="P76" s="12"/>
      <c r="S76" s="23"/>
      <c r="BD76" s="44"/>
      <c r="BE76" s="44"/>
    </row>
    <row r="77" spans="1:57" ht="17.7" customHeight="1" thickBot="1">
      <c r="B77" s="313" t="s">
        <v>139</v>
      </c>
      <c r="C77" s="314"/>
      <c r="D77" s="601" t="e">
        <f>AVERAGE(D55:E76)</f>
        <v>#DIV/0!</v>
      </c>
      <c r="E77" s="602"/>
      <c r="F77" s="43"/>
      <c r="G77" s="41"/>
      <c r="H77" s="41"/>
      <c r="I77" s="42"/>
      <c r="J77" s="533" t="s">
        <v>134</v>
      </c>
      <c r="K77" s="325"/>
      <c r="L77" s="295"/>
      <c r="M77" s="295"/>
      <c r="N77" s="295"/>
      <c r="O77" s="295"/>
      <c r="P77" s="12"/>
      <c r="S77" s="23"/>
      <c r="BD77" s="44"/>
      <c r="BE77" s="44"/>
    </row>
    <row r="78" spans="1:57" ht="17.7" customHeight="1">
      <c r="B78" s="364"/>
      <c r="C78" s="365"/>
      <c r="D78" s="366"/>
      <c r="E78" s="366"/>
      <c r="F78" s="43"/>
      <c r="G78" s="41"/>
      <c r="H78" s="41"/>
      <c r="I78" s="42"/>
      <c r="J78" s="533" t="s">
        <v>131</v>
      </c>
      <c r="K78" s="325"/>
      <c r="L78" s="295"/>
      <c r="M78" s="295"/>
      <c r="N78" s="295"/>
      <c r="O78" s="295"/>
      <c r="P78" s="12"/>
      <c r="S78" s="23"/>
      <c r="BD78" s="44"/>
      <c r="BE78" s="44"/>
    </row>
    <row r="79" spans="1:57" ht="15.75" customHeight="1">
      <c r="B79" s="45"/>
      <c r="C79" s="11"/>
      <c r="D79" s="11"/>
      <c r="E79" s="46"/>
      <c r="F79" s="23"/>
      <c r="G79" s="11"/>
      <c r="H79" s="41"/>
      <c r="I79" s="42"/>
      <c r="J79" s="534" t="s">
        <v>130</v>
      </c>
      <c r="K79" s="325">
        <f>SUM(K69:K78)</f>
        <v>7</v>
      </c>
      <c r="L79" s="295"/>
      <c r="M79" s="295"/>
      <c r="N79" s="295"/>
      <c r="O79" s="295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5"/>
      <c r="P80" s="335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6" t="s">
        <v>41</v>
      </c>
    </row>
    <row r="82" spans="2:58" ht="15" customHeight="1" thickBot="1">
      <c r="B82" s="603" t="s">
        <v>17</v>
      </c>
      <c r="C82" s="603" t="s">
        <v>44</v>
      </c>
      <c r="D82" s="605" t="s">
        <v>45</v>
      </c>
      <c r="E82" s="560" t="s">
        <v>46</v>
      </c>
      <c r="F82" s="620" t="s">
        <v>47</v>
      </c>
      <c r="G82" s="614" t="s">
        <v>48</v>
      </c>
      <c r="H82" s="603" t="s">
        <v>49</v>
      </c>
      <c r="I82" s="603" t="s">
        <v>50</v>
      </c>
      <c r="J82" s="608" t="s">
        <v>28</v>
      </c>
      <c r="K82" s="558" t="s">
        <v>51</v>
      </c>
      <c r="L82" s="570" t="s">
        <v>52</v>
      </c>
      <c r="M82" s="608" t="s">
        <v>53</v>
      </c>
      <c r="N82" s="77"/>
      <c r="O82" s="13"/>
      <c r="P82" s="50"/>
    </row>
    <row r="83" spans="2:58" ht="28.5" customHeight="1" thickTop="1" thickBot="1">
      <c r="B83" s="604"/>
      <c r="C83" s="604"/>
      <c r="D83" s="606"/>
      <c r="E83" s="607"/>
      <c r="F83" s="621"/>
      <c r="G83" s="615"/>
      <c r="H83" s="604"/>
      <c r="I83" s="604"/>
      <c r="J83" s="609"/>
      <c r="K83" s="618"/>
      <c r="L83" s="619"/>
      <c r="M83" s="609"/>
      <c r="N83" s="77"/>
      <c r="O83" s="13"/>
      <c r="P83" s="50"/>
      <c r="Q83" s="356"/>
      <c r="R83" s="356"/>
      <c r="S83" s="356"/>
      <c r="T83" s="356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69.75" customHeight="1" thickBot="1">
      <c r="B84" s="441" t="s">
        <v>206</v>
      </c>
      <c r="C84" s="284">
        <v>45686</v>
      </c>
      <c r="D84" s="378"/>
      <c r="E84" s="379"/>
      <c r="F84" s="380"/>
      <c r="G84" s="304"/>
      <c r="H84" s="446" t="e">
        <f>(D84-F84)/D84*100</f>
        <v>#DIV/0!</v>
      </c>
      <c r="I84" s="446" t="e">
        <f>((F84+E84)-G84)/(F84+E84)*100</f>
        <v>#DIV/0!</v>
      </c>
      <c r="J84" s="391" t="s">
        <v>202</v>
      </c>
      <c r="K84" s="381"/>
      <c r="L84" s="315" t="e">
        <f>(((D84+E84)-G84)/(D84+E84))*100</f>
        <v>#DIV/0!</v>
      </c>
      <c r="M84" s="358"/>
      <c r="N84" s="13"/>
      <c r="O84" s="13"/>
      <c r="P84" s="50"/>
      <c r="T84" s="273" t="s">
        <v>54</v>
      </c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</row>
    <row r="85" spans="2:58" s="54" customFormat="1" ht="18.75" customHeight="1">
      <c r="B85" s="388"/>
      <c r="C85" s="284"/>
      <c r="D85" s="280"/>
      <c r="E85" s="280"/>
      <c r="F85" s="280"/>
      <c r="G85" s="280"/>
      <c r="H85" s="321"/>
      <c r="I85" s="322"/>
      <c r="J85" s="390" t="s">
        <v>41</v>
      </c>
      <c r="K85" s="377"/>
      <c r="L85" s="315"/>
      <c r="M85" s="385"/>
      <c r="N85" s="13"/>
      <c r="O85" s="13"/>
      <c r="P85" s="50"/>
      <c r="T85" s="273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8" t="e">
        <f>[20]January_2019!AH8</f>
        <v>#DIV/0!</v>
      </c>
      <c r="AZ85" s="278"/>
      <c r="BA85" s="278"/>
      <c r="BB85" s="278"/>
      <c r="BC85" s="278"/>
      <c r="BD85" s="278"/>
      <c r="BE85" s="278"/>
      <c r="BF85" s="278"/>
    </row>
    <row r="86" spans="2:58" s="54" customFormat="1" ht="42" hidden="1" customHeight="1" thickBot="1">
      <c r="B86" s="540"/>
      <c r="C86" s="284"/>
      <c r="D86" s="280"/>
      <c r="E86" s="280"/>
      <c r="F86" s="280"/>
      <c r="G86" s="280"/>
      <c r="H86" s="446" t="e">
        <f>(D86-F86)/D86*100</f>
        <v>#DIV/0!</v>
      </c>
      <c r="I86" s="446" t="e">
        <f>((F86+E86)-G86)/(F86+E86)*100</f>
        <v>#DIV/0!</v>
      </c>
      <c r="J86" s="391" t="s">
        <v>202</v>
      </c>
      <c r="K86" s="373"/>
      <c r="L86" s="315" t="e">
        <f>(((D86+E86)-G86)/(D86+E86))*100</f>
        <v>#DIV/0!</v>
      </c>
      <c r="M86" s="358"/>
      <c r="N86" s="13"/>
      <c r="O86" s="13"/>
      <c r="P86" s="50"/>
      <c r="T86" s="273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8"/>
      <c r="AZ86" s="278"/>
      <c r="BA86" s="278"/>
      <c r="BB86" s="278"/>
      <c r="BC86" s="278"/>
      <c r="BD86" s="278"/>
      <c r="BE86" s="278"/>
      <c r="BF86" s="278"/>
    </row>
    <row r="87" spans="2:58" s="54" customFormat="1" ht="14.4" hidden="1" thickBot="1">
      <c r="B87" s="362"/>
      <c r="C87" s="284"/>
      <c r="D87" s="305"/>
      <c r="E87" s="280"/>
      <c r="F87" s="280"/>
      <c r="G87" s="280"/>
      <c r="H87" s="382"/>
      <c r="I87" s="383"/>
      <c r="J87" s="390"/>
      <c r="K87" s="377"/>
      <c r="L87" s="315"/>
      <c r="M87" s="355"/>
      <c r="N87" s="13"/>
      <c r="O87" s="13"/>
      <c r="P87" s="50"/>
      <c r="T87" s="273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8"/>
      <c r="AZ87" s="278"/>
      <c r="BA87" s="278"/>
      <c r="BB87" s="278"/>
      <c r="BC87" s="278"/>
      <c r="BD87" s="278"/>
      <c r="BE87" s="278"/>
      <c r="BF87" s="278"/>
    </row>
    <row r="88" spans="2:58" s="54" customFormat="1" ht="45.75" hidden="1" customHeight="1" thickBot="1">
      <c r="B88" s="544"/>
      <c r="C88" s="284"/>
      <c r="D88" s="280"/>
      <c r="E88" s="280"/>
      <c r="F88" s="280"/>
      <c r="G88" s="280"/>
      <c r="H88" s="321"/>
      <c r="I88" s="323"/>
      <c r="J88" s="391" t="s">
        <v>202</v>
      </c>
      <c r="K88" s="287"/>
      <c r="L88" s="315"/>
      <c r="M88" s="385"/>
      <c r="N88" s="13"/>
      <c r="O88" s="13"/>
      <c r="P88" s="50"/>
      <c r="T88" s="273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8"/>
      <c r="AZ88" s="278"/>
      <c r="BA88" s="278"/>
      <c r="BB88" s="278"/>
      <c r="BC88" s="278"/>
      <c r="BD88" s="278"/>
      <c r="BE88" s="278"/>
      <c r="BF88" s="278"/>
    </row>
    <row r="89" spans="2:58" s="54" customFormat="1" ht="45.75" hidden="1" customHeight="1">
      <c r="B89" s="388"/>
      <c r="C89" s="284"/>
      <c r="D89" s="280"/>
      <c r="E89" s="280"/>
      <c r="F89" s="280"/>
      <c r="G89" s="280"/>
      <c r="H89" s="321"/>
      <c r="I89" s="323"/>
      <c r="J89" s="282"/>
      <c r="K89" s="287"/>
      <c r="L89" s="315"/>
      <c r="M89" s="340"/>
      <c r="N89" s="13"/>
      <c r="O89" s="13"/>
      <c r="P89" s="50"/>
      <c r="T89" s="273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8"/>
      <c r="AZ89" s="278"/>
      <c r="BA89" s="278"/>
      <c r="BB89" s="278"/>
      <c r="BC89" s="278"/>
      <c r="BD89" s="278"/>
      <c r="BE89" s="278"/>
      <c r="BF89" s="278"/>
    </row>
    <row r="90" spans="2:58" ht="14.4" thickBot="1">
      <c r="B90" s="33"/>
      <c r="C90" s="311"/>
      <c r="D90" s="280"/>
      <c r="E90" s="280"/>
      <c r="F90" s="280"/>
      <c r="G90" s="280"/>
      <c r="H90" s="353"/>
      <c r="I90" s="354"/>
      <c r="J90" s="52"/>
      <c r="K90" s="52"/>
      <c r="L90" s="53"/>
      <c r="M90" s="55"/>
      <c r="N90" s="77"/>
      <c r="O90" s="13"/>
      <c r="P90" s="56"/>
    </row>
    <row r="91" spans="2:58" ht="14.4" thickBot="1">
      <c r="B91" s="58"/>
      <c r="C91" s="31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610" t="s">
        <v>55</v>
      </c>
      <c r="C92" s="611"/>
      <c r="D92" s="611"/>
      <c r="E92" s="611"/>
      <c r="F92" s="612"/>
      <c r="G92" s="610" t="s">
        <v>56</v>
      </c>
      <c r="H92" s="611"/>
      <c r="I92" s="611"/>
      <c r="J92" s="612"/>
      <c r="K92" s="610" t="s">
        <v>51</v>
      </c>
      <c r="L92" s="611"/>
      <c r="M92" s="611"/>
      <c r="N92" s="613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/>
      <c r="D94" s="76">
        <v>9.6710325921413354</v>
      </c>
      <c r="E94" s="76">
        <f>D94</f>
        <v>9.6710325921413354</v>
      </c>
      <c r="F94" s="66">
        <v>4.8</v>
      </c>
      <c r="G94" s="65"/>
      <c r="H94" s="76">
        <v>9.6103352899363141</v>
      </c>
      <c r="I94" s="76">
        <f>H94</f>
        <v>9.6103352899363141</v>
      </c>
      <c r="J94" s="66">
        <v>4.8</v>
      </c>
      <c r="K94" s="67"/>
      <c r="L94" s="194">
        <v>0.92012280701754401</v>
      </c>
      <c r="M94" s="194">
        <f>L94</f>
        <v>0.92012280701754401</v>
      </c>
      <c r="N94" s="68">
        <v>1</v>
      </c>
      <c r="O94" s="56"/>
      <c r="P94" s="69"/>
    </row>
    <row r="95" spans="2:58">
      <c r="B95" s="33" t="s">
        <v>9</v>
      </c>
      <c r="C95" s="65"/>
      <c r="D95" s="76">
        <v>6.8188129559970694</v>
      </c>
      <c r="E95" s="76">
        <f t="shared" ref="E95:E102" si="9">D95</f>
        <v>6.8188129559970694</v>
      </c>
      <c r="F95" s="66">
        <v>4.8</v>
      </c>
      <c r="G95" s="65"/>
      <c r="H95" s="76">
        <v>10.863101163921975</v>
      </c>
      <c r="I95" s="76">
        <f t="shared" ref="I95:I102" si="10">H95</f>
        <v>10.863101163921975</v>
      </c>
      <c r="J95" s="66">
        <v>4.8</v>
      </c>
      <c r="K95" s="67"/>
      <c r="L95" s="194">
        <v>0.97131578947368413</v>
      </c>
      <c r="M95" s="194">
        <f t="shared" ref="M95:M102" si="11">L95</f>
        <v>0.97131578947368413</v>
      </c>
      <c r="N95" s="68">
        <v>1</v>
      </c>
      <c r="P95" s="69"/>
    </row>
    <row r="96" spans="2:58">
      <c r="B96" s="34" t="s">
        <v>40</v>
      </c>
      <c r="C96" s="65"/>
      <c r="D96" s="76">
        <v>7.5530586766541949</v>
      </c>
      <c r="E96" s="76">
        <f t="shared" si="9"/>
        <v>7.5530586766541949</v>
      </c>
      <c r="F96" s="66">
        <v>5.5</v>
      </c>
      <c r="G96" s="65"/>
      <c r="H96" s="76">
        <v>2.6473552031086438</v>
      </c>
      <c r="I96" s="76">
        <f t="shared" si="10"/>
        <v>2.6473552031086438</v>
      </c>
      <c r="J96" s="66">
        <v>5.5</v>
      </c>
      <c r="K96" s="67"/>
      <c r="L96" s="194">
        <v>1.0392982456140349</v>
      </c>
      <c r="M96" s="194">
        <f t="shared" si="11"/>
        <v>1.0392982456140349</v>
      </c>
      <c r="N96" s="68">
        <v>1</v>
      </c>
      <c r="P96" s="69"/>
    </row>
    <row r="97" spans="2:16">
      <c r="B97" s="22" t="s">
        <v>33</v>
      </c>
      <c r="C97" s="65"/>
      <c r="D97" s="76">
        <v>2.2380467955239092</v>
      </c>
      <c r="E97" s="76">
        <f t="shared" si="9"/>
        <v>2.2380467955239092</v>
      </c>
      <c r="F97" s="66">
        <v>3.3</v>
      </c>
      <c r="G97" s="65"/>
      <c r="H97" s="76">
        <v>5.2472220688473969</v>
      </c>
      <c r="I97" s="76">
        <f t="shared" si="10"/>
        <v>5.2472220688473969</v>
      </c>
      <c r="J97" s="66">
        <v>3.3</v>
      </c>
      <c r="K97" s="67"/>
      <c r="L97" s="194">
        <v>0.67438596491228064</v>
      </c>
      <c r="M97" s="194">
        <f t="shared" si="11"/>
        <v>0.67438596491228064</v>
      </c>
      <c r="N97" s="68">
        <v>1</v>
      </c>
      <c r="P97" s="69"/>
    </row>
    <row r="98" spans="2:16">
      <c r="B98" s="35" t="s">
        <v>29</v>
      </c>
      <c r="C98" s="65"/>
      <c r="D98" s="76"/>
      <c r="E98" s="76"/>
      <c r="F98" s="66">
        <v>3.3</v>
      </c>
      <c r="G98" s="283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3"/>
      <c r="D99" s="76">
        <v>8.7664670658682695</v>
      </c>
      <c r="E99" s="76">
        <f t="shared" si="9"/>
        <v>8.7664670658682695</v>
      </c>
      <c r="F99" s="70">
        <f>[21]May_2022!$M$43</f>
        <v>3.4878406700073312</v>
      </c>
      <c r="G99" s="283"/>
      <c r="H99" s="76">
        <v>10.607235567685406</v>
      </c>
      <c r="I99" s="76">
        <f t="shared" si="10"/>
        <v>10.607235567685406</v>
      </c>
      <c r="J99" s="70">
        <v>5.5</v>
      </c>
      <c r="K99" s="67"/>
      <c r="L99" s="194">
        <v>0.66824561403508764</v>
      </c>
      <c r="M99" s="194">
        <f t="shared" si="11"/>
        <v>0.66824561403508764</v>
      </c>
      <c r="N99" s="68">
        <v>1</v>
      </c>
      <c r="P99" s="69"/>
    </row>
    <row r="100" spans="2:16">
      <c r="B100" s="37" t="s">
        <v>16</v>
      </c>
      <c r="C100" s="65"/>
      <c r="D100" s="76">
        <v>1.4603960396039548</v>
      </c>
      <c r="E100" s="76">
        <f t="shared" si="9"/>
        <v>1.4603960396039548</v>
      </c>
      <c r="F100" s="70">
        <v>3.3</v>
      </c>
      <c r="G100" s="283"/>
      <c r="H100" s="76">
        <v>4.0624079285034069</v>
      </c>
      <c r="I100" s="76">
        <f t="shared" si="10"/>
        <v>4.0624079285034069</v>
      </c>
      <c r="J100" s="70">
        <v>3.3</v>
      </c>
      <c r="K100" s="67"/>
      <c r="L100" s="194">
        <v>0.69842105263157894</v>
      </c>
      <c r="M100" s="194">
        <f t="shared" si="11"/>
        <v>0.69842105263157894</v>
      </c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/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7.8810765287014197</v>
      </c>
      <c r="E102" s="76">
        <f t="shared" si="9"/>
        <v>7.8810765287014197</v>
      </c>
      <c r="F102" s="342">
        <v>4.5</v>
      </c>
      <c r="G102" s="74"/>
      <c r="H102" s="76">
        <v>6.9593481484924711</v>
      </c>
      <c r="I102" s="76">
        <f t="shared" si="10"/>
        <v>6.9593481484924711</v>
      </c>
      <c r="J102" s="343">
        <v>4.5</v>
      </c>
      <c r="K102" s="67"/>
      <c r="L102" s="194">
        <v>0.80685146198830426</v>
      </c>
      <c r="M102" s="194">
        <f t="shared" si="11"/>
        <v>0.80685146198830426</v>
      </c>
      <c r="N102" s="387">
        <v>1</v>
      </c>
      <c r="O102" s="74"/>
      <c r="P102" s="75"/>
    </row>
    <row r="107" spans="2:16">
      <c r="F107" s="316"/>
    </row>
    <row r="115" spans="30:30">
      <c r="AD115" s="276" t="s">
        <v>57</v>
      </c>
    </row>
  </sheetData>
  <mergeCells count="52"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  <mergeCell ref="D77:E77"/>
    <mergeCell ref="B82:B83"/>
    <mergeCell ref="C82:C83"/>
    <mergeCell ref="D82:D83"/>
    <mergeCell ref="E82:E83"/>
    <mergeCell ref="B67:B76"/>
    <mergeCell ref="D67:E68"/>
    <mergeCell ref="J67:K67"/>
    <mergeCell ref="L68:N68"/>
    <mergeCell ref="D69:E70"/>
    <mergeCell ref="D71:E72"/>
    <mergeCell ref="D73:E74"/>
    <mergeCell ref="D75:E76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7:B78">
    <cfRule type="cellIs" dxfId="530" priority="173" operator="notBetween">
      <formula>#REF!</formula>
      <formula>#REF!</formula>
    </cfRule>
  </conditionalFormatting>
  <conditionalFormatting sqref="C81">
    <cfRule type="cellIs" dxfId="529" priority="205" stopIfTrue="1" operator="greaterThan">
      <formula>100</formula>
    </cfRule>
    <cfRule type="cellIs" dxfId="528" priority="204" stopIfTrue="1" operator="lessThan">
      <formula>96</formula>
    </cfRule>
  </conditionalFormatting>
  <conditionalFormatting sqref="C94">
    <cfRule type="cellIs" dxfId="527" priority="93" stopIfTrue="1" operator="greaterThan">
      <formula>$F94</formula>
    </cfRule>
  </conditionalFormatting>
  <conditionalFormatting sqref="C94:C95">
    <cfRule type="cellIs" dxfId="526" priority="94" stopIfTrue="1" operator="lessThanOrEqual">
      <formula>0</formula>
    </cfRule>
  </conditionalFormatting>
  <conditionalFormatting sqref="C95">
    <cfRule type="cellIs" dxfId="525" priority="208" stopIfTrue="1" operator="greaterThan">
      <formula>$F94</formula>
    </cfRule>
  </conditionalFormatting>
  <conditionalFormatting sqref="C96:C98">
    <cfRule type="cellIs" dxfId="524" priority="123" stopIfTrue="1" operator="greaterThan">
      <formula>$F96</formula>
    </cfRule>
  </conditionalFormatting>
  <conditionalFormatting sqref="C96:C99">
    <cfRule type="cellIs" dxfId="523" priority="146" stopIfTrue="1" operator="lessThanOrEqual">
      <formula>0</formula>
    </cfRule>
  </conditionalFormatting>
  <conditionalFormatting sqref="C99">
    <cfRule type="cellIs" dxfId="522" priority="145" stopIfTrue="1" operator="greaterThan">
      <formula>$J99</formula>
    </cfRule>
  </conditionalFormatting>
  <conditionalFormatting sqref="C105:C109">
    <cfRule type="cellIs" dxfId="521" priority="196" stopIfTrue="1" operator="lessThanOrEqual">
      <formula>0</formula>
    </cfRule>
  </conditionalFormatting>
  <conditionalFormatting sqref="C106:C109">
    <cfRule type="cellIs" dxfId="520" priority="195" stopIfTrue="1" operator="greaterThan">
      <formula>$F$105</formula>
    </cfRule>
  </conditionalFormatting>
  <conditionalFormatting sqref="C111">
    <cfRule type="cellIs" dxfId="519" priority="198" stopIfTrue="1" operator="lessThanOrEqual">
      <formula>0</formula>
    </cfRule>
    <cfRule type="cellIs" dxfId="518" priority="197" stopIfTrue="1" operator="greaterThan">
      <formula>$F$105</formula>
    </cfRule>
  </conditionalFormatting>
  <conditionalFormatting sqref="C105:D105 D107:D113">
    <cfRule type="cellIs" dxfId="517" priority="190" stopIfTrue="1" operator="greaterThan">
      <formula>4.5</formula>
    </cfRule>
  </conditionalFormatting>
  <conditionalFormatting sqref="D77:D78">
    <cfRule type="cellIs" dxfId="516" priority="174" operator="notBetween">
      <formula>#REF!</formula>
      <formula>#REF!</formula>
    </cfRule>
  </conditionalFormatting>
  <conditionalFormatting sqref="D94:D101">
    <cfRule type="cellIs" dxfId="515" priority="160" stopIfTrue="1" operator="lessThanOrEqual">
      <formula>0</formula>
    </cfRule>
  </conditionalFormatting>
  <conditionalFormatting sqref="D102">
    <cfRule type="cellIs" dxfId="514" priority="159" stopIfTrue="1" operator="lessThanOrEqual">
      <formula>0</formula>
    </cfRule>
  </conditionalFormatting>
  <conditionalFormatting sqref="D105 D107:D113">
    <cfRule type="cellIs" dxfId="513" priority="191" stopIfTrue="1" operator="lessThanOrEqual">
      <formula>0</formula>
    </cfRule>
  </conditionalFormatting>
  <conditionalFormatting sqref="D106">
    <cfRule type="cellIs" dxfId="512" priority="183" stopIfTrue="1" operator="lessThanOrEqual">
      <formula>0</formula>
    </cfRule>
    <cfRule type="cellIs" dxfId="511" priority="182" stopIfTrue="1" operator="greaterThan">
      <formula>$F$105</formula>
    </cfRule>
  </conditionalFormatting>
  <conditionalFormatting sqref="D94:E102">
    <cfRule type="cellIs" dxfId="510" priority="152" stopIfTrue="1" operator="greaterThan">
      <formula>$F94</formula>
    </cfRule>
  </conditionalFormatting>
  <conditionalFormatting sqref="E10:E52">
    <cfRule type="cellIs" dxfId="509" priority="7" operator="lessThan">
      <formula>48</formula>
    </cfRule>
  </conditionalFormatting>
  <conditionalFormatting sqref="E81">
    <cfRule type="cellIs" dxfId="508" priority="185" stopIfTrue="1" operator="greaterThan">
      <formula>100</formula>
    </cfRule>
    <cfRule type="cellIs" dxfId="507" priority="184" stopIfTrue="1" operator="lessThan">
      <formula>96.8</formula>
    </cfRule>
  </conditionalFormatting>
  <conditionalFormatting sqref="E94:E102">
    <cfRule type="cellIs" dxfId="506" priority="153" stopIfTrue="1" operator="lessThanOrEqual">
      <formula>0</formula>
    </cfRule>
  </conditionalFormatting>
  <conditionalFormatting sqref="E105:E113">
    <cfRule type="cellIs" dxfId="505" priority="176" stopIfTrue="1" operator="greaterThan">
      <formula>4.5</formula>
    </cfRule>
    <cfRule type="cellIs" dxfId="504" priority="177" stopIfTrue="1" operator="lessThanOrEqual">
      <formula>0</formula>
    </cfRule>
  </conditionalFormatting>
  <conditionalFormatting sqref="E80:F81">
    <cfRule type="cellIs" dxfId="503" priority="187" stopIfTrue="1" operator="greaterThan">
      <formula>100</formula>
    </cfRule>
    <cfRule type="cellIs" dxfId="502" priority="186" stopIfTrue="1" operator="lessThan">
      <formula>96.5</formula>
    </cfRule>
  </conditionalFormatting>
  <conditionalFormatting sqref="F10:F37">
    <cfRule type="cellIs" dxfId="501" priority="9" operator="greaterThan">
      <formula>60</formula>
    </cfRule>
  </conditionalFormatting>
  <conditionalFormatting sqref="F38">
    <cfRule type="cellIs" dxfId="500" priority="215" operator="greaterThan">
      <formula>$AA89</formula>
    </cfRule>
    <cfRule type="cellIs" dxfId="499" priority="214" operator="greaterThan">
      <formula>$AA38</formula>
    </cfRule>
  </conditionalFormatting>
  <conditionalFormatting sqref="F39:F51">
    <cfRule type="cellIs" dxfId="498" priority="73" operator="greaterThan">
      <formula>60</formula>
    </cfRule>
  </conditionalFormatting>
  <conditionalFormatting sqref="F52">
    <cfRule type="cellIs" dxfId="497" priority="92" operator="greaterThan">
      <formula>$AA52</formula>
    </cfRule>
    <cfRule type="cellIs" dxfId="496" priority="209" operator="greaterThan">
      <formula>$AA91</formula>
    </cfRule>
  </conditionalFormatting>
  <conditionalFormatting sqref="F81">
    <cfRule type="cellIs" dxfId="495" priority="202" stopIfTrue="1" operator="lessThan">
      <formula>96.8</formula>
    </cfRule>
    <cfRule type="cellIs" dxfId="494" priority="203" stopIfTrue="1" operator="greaterThan">
      <formula>100</formula>
    </cfRule>
  </conditionalFormatting>
  <conditionalFormatting sqref="F102">
    <cfRule type="cellIs" dxfId="493" priority="155" stopIfTrue="1" operator="lessThanOrEqual">
      <formula>0</formula>
    </cfRule>
    <cfRule type="cellIs" dxfId="492" priority="154" stopIfTrue="1" operator="greaterThan">
      <formula>$F102</formula>
    </cfRule>
  </conditionalFormatting>
  <conditionalFormatting sqref="G94:G95 C100:C102">
    <cfRule type="cellIs" dxfId="491" priority="162" stopIfTrue="1" operator="lessThanOrEqual">
      <formula>0</formula>
    </cfRule>
    <cfRule type="cellIs" dxfId="490" priority="161" stopIfTrue="1" operator="greaterThan">
      <formula>$F94</formula>
    </cfRule>
  </conditionalFormatting>
  <conditionalFormatting sqref="G94:G95">
    <cfRule type="cellIs" dxfId="489" priority="102" stopIfTrue="1" operator="lessThanOrEqual">
      <formula>0</formula>
    </cfRule>
    <cfRule type="cellIs" dxfId="488" priority="101" stopIfTrue="1" operator="greaterThan">
      <formula>$F94</formula>
    </cfRule>
  </conditionalFormatting>
  <conditionalFormatting sqref="G96">
    <cfRule type="cellIs" dxfId="487" priority="207" stopIfTrue="1" operator="lessThanOrEqual">
      <formula>0</formula>
    </cfRule>
    <cfRule type="cellIs" dxfId="486" priority="206" stopIfTrue="1" operator="greaterThan">
      <formula>$F95</formula>
    </cfRule>
  </conditionalFormatting>
  <conditionalFormatting sqref="G97">
    <cfRule type="cellIs" dxfId="485" priority="156" stopIfTrue="1" operator="greaterThan">
      <formula>$F97</formula>
    </cfRule>
    <cfRule type="cellIs" dxfId="484" priority="157" stopIfTrue="1" operator="lessThanOrEqual">
      <formula>0</formula>
    </cfRule>
  </conditionalFormatting>
  <conditionalFormatting sqref="G98:G101">
    <cfRule type="cellIs" dxfId="483" priority="165" stopIfTrue="1" operator="lessThanOrEqual">
      <formula>0</formula>
    </cfRule>
    <cfRule type="cellIs" dxfId="482" priority="164" stopIfTrue="1" operator="greaterThan">
      <formula>$J98</formula>
    </cfRule>
  </conditionalFormatting>
  <conditionalFormatting sqref="G102">
    <cfRule type="cellIs" dxfId="481" priority="163" operator="greaterThan">
      <formula>4.5</formula>
    </cfRule>
  </conditionalFormatting>
  <conditionalFormatting sqref="G107:G112 C110 C112">
    <cfRule type="cellIs" dxfId="480" priority="200" stopIfTrue="1" operator="lessThanOrEqual">
      <formula>0</formula>
    </cfRule>
    <cfRule type="cellIs" dxfId="479" priority="199" stopIfTrue="1" operator="greaterThan">
      <formula>4.5</formula>
    </cfRule>
  </conditionalFormatting>
  <conditionalFormatting sqref="G10:H52">
    <cfRule type="expression" dxfId="478" priority="11">
      <formula>IF(+(IF(G10&lt;#REF!,0,IF(G10&gt;#REF!,0,1)))=0,1)</formula>
    </cfRule>
  </conditionalFormatting>
  <conditionalFormatting sqref="G106:H106">
    <cfRule type="cellIs" dxfId="477" priority="181" stopIfTrue="1" operator="lessThanOrEqual">
      <formula>0</formula>
    </cfRule>
    <cfRule type="cellIs" dxfId="476" priority="180" stopIfTrue="1" operator="greaterThan">
      <formula>$F$105</formula>
    </cfRule>
  </conditionalFormatting>
  <conditionalFormatting sqref="H56:H79 G67:G78">
    <cfRule type="cellIs" dxfId="475" priority="178" stopIfTrue="1" operator="greaterThan">
      <formula>0</formula>
    </cfRule>
  </conditionalFormatting>
  <conditionalFormatting sqref="H84">
    <cfRule type="cellIs" dxfId="474" priority="59" stopIfTrue="1" operator="greaterThan">
      <formula>$F$69</formula>
    </cfRule>
    <cfRule type="cellIs" dxfId="473" priority="69" stopIfTrue="1" operator="greaterThan">
      <formula>$F$70</formula>
    </cfRule>
    <cfRule type="cellIs" dxfId="472" priority="68" stopIfTrue="1" operator="lessThanOrEqual">
      <formula>0</formula>
    </cfRule>
    <cfRule type="cellIs" dxfId="471" priority="67" stopIfTrue="1" operator="greaterThan">
      <formula>$F$72</formula>
    </cfRule>
    <cfRule type="cellIs" dxfId="470" priority="70" stopIfTrue="1" operator="lessThanOrEqual">
      <formula>0</formula>
    </cfRule>
    <cfRule type="cellIs" dxfId="469" priority="58" stopIfTrue="1" operator="lessThanOrEqual">
      <formula>0</formula>
    </cfRule>
  </conditionalFormatting>
  <conditionalFormatting sqref="H85">
    <cfRule type="cellIs" dxfId="468" priority="121" stopIfTrue="1" operator="greaterThan">
      <formula>$F$94</formula>
    </cfRule>
    <cfRule type="cellIs" dxfId="467" priority="122" stopIfTrue="1" operator="lessThanOrEqual">
      <formula>0</formula>
    </cfRule>
    <cfRule type="cellIs" dxfId="466" priority="119" stopIfTrue="1" operator="greaterThan">
      <formula>$F$96</formula>
    </cfRule>
    <cfRule type="cellIs" dxfId="465" priority="120" stopIfTrue="1" operator="lessThanOrEqual">
      <formula>0</formula>
    </cfRule>
    <cfRule type="cellIs" dxfId="464" priority="110" stopIfTrue="1" operator="lessThanOrEqual">
      <formula>0</formula>
    </cfRule>
    <cfRule type="cellIs" dxfId="463" priority="111" stopIfTrue="1" operator="greaterThan">
      <formula>$F$93</formula>
    </cfRule>
  </conditionalFormatting>
  <conditionalFormatting sqref="H86">
    <cfRule type="cellIs" dxfId="462" priority="36" stopIfTrue="1" operator="lessThanOrEqual">
      <formula>0</formula>
    </cfRule>
    <cfRule type="cellIs" dxfId="461" priority="37" stopIfTrue="1" operator="greaterThan">
      <formula>$F$70</formula>
    </cfRule>
    <cfRule type="cellIs" dxfId="460" priority="38" stopIfTrue="1" operator="lessThanOrEqual">
      <formula>0</formula>
    </cfRule>
    <cfRule type="cellIs" dxfId="459" priority="27" stopIfTrue="1" operator="greaterThan">
      <formula>$F$69</formula>
    </cfRule>
    <cfRule type="cellIs" dxfId="458" priority="26" stopIfTrue="1" operator="lessThanOrEqual">
      <formula>0</formula>
    </cfRule>
    <cfRule type="cellIs" dxfId="457" priority="35" stopIfTrue="1" operator="greaterThan">
      <formula>$F$72</formula>
    </cfRule>
  </conditionalFormatting>
  <conditionalFormatting sqref="H87">
    <cfRule type="cellIs" dxfId="456" priority="91" stopIfTrue="1" operator="lessThanOrEqual">
      <formula>0</formula>
    </cfRule>
    <cfRule type="cellIs" dxfId="455" priority="90" stopIfTrue="1" operator="greaterThan">
      <formula>#REF!</formula>
    </cfRule>
    <cfRule type="cellIs" dxfId="454" priority="82" stopIfTrue="1" operator="greaterThan">
      <formula>#REF!</formula>
    </cfRule>
    <cfRule type="cellIs" dxfId="453" priority="81" stopIfTrue="1" operator="lessThanOrEqual">
      <formula>0</formula>
    </cfRule>
  </conditionalFormatting>
  <conditionalFormatting sqref="H88:H89">
    <cfRule type="cellIs" dxfId="452" priority="105" stopIfTrue="1" operator="lessThanOrEqual">
      <formula>0</formula>
    </cfRule>
    <cfRule type="cellIs" dxfId="451" priority="142" stopIfTrue="1" operator="lessThanOrEqual">
      <formula>0</formula>
    </cfRule>
    <cfRule type="cellIs" dxfId="450" priority="141" stopIfTrue="1" operator="greaterThan">
      <formula>$F$95</formula>
    </cfRule>
    <cfRule type="cellIs" dxfId="449" priority="140" stopIfTrue="1" operator="lessThanOrEqual">
      <formula>0</formula>
    </cfRule>
    <cfRule type="cellIs" dxfId="448" priority="139" stopIfTrue="1" operator="greaterThan">
      <formula>$F$97</formula>
    </cfRule>
    <cfRule type="cellIs" dxfId="447" priority="131" stopIfTrue="1" operator="greaterThan">
      <formula>$F$94</formula>
    </cfRule>
  </conditionalFormatting>
  <conditionalFormatting sqref="H90">
    <cfRule type="cellIs" dxfId="446" priority="171" stopIfTrue="1" operator="greaterThan">
      <formula>$F$87</formula>
    </cfRule>
    <cfRule type="cellIs" dxfId="445" priority="169" stopIfTrue="1" operator="greaterThan">
      <formula>$F$91</formula>
    </cfRule>
    <cfRule type="cellIs" dxfId="444" priority="170" stopIfTrue="1" operator="lessThanOrEqual">
      <formula>0</formula>
    </cfRule>
    <cfRule type="cellIs" dxfId="443" priority="172" stopIfTrue="1" operator="lessThanOrEqual">
      <formula>0</formula>
    </cfRule>
  </conditionalFormatting>
  <conditionalFormatting sqref="H94:H101">
    <cfRule type="cellIs" dxfId="442" priority="143" stopIfTrue="1" operator="greaterThan">
      <formula>$J94</formula>
    </cfRule>
    <cfRule type="cellIs" dxfId="441" priority="144" stopIfTrue="1" operator="lessThanOrEqual">
      <formula>0</formula>
    </cfRule>
  </conditionalFormatting>
  <conditionalFormatting sqref="H102">
    <cfRule type="cellIs" dxfId="440" priority="149" operator="greaterThan">
      <formula>5.3</formula>
    </cfRule>
  </conditionalFormatting>
  <conditionalFormatting sqref="H105 H107:H113">
    <cfRule type="cellIs" dxfId="439" priority="193" stopIfTrue="1" operator="lessThanOrEqual">
      <formula>0</formula>
    </cfRule>
    <cfRule type="cellIs" dxfId="438" priority="192" stopIfTrue="1" operator="greaterThan">
      <formula>4.5</formula>
    </cfRule>
  </conditionalFormatting>
  <conditionalFormatting sqref="H84:I84">
    <cfRule type="cellIs" dxfId="437" priority="57" stopIfTrue="1" operator="greaterThan">
      <formula>$F$71</formula>
    </cfRule>
    <cfRule type="cellIs" dxfId="436" priority="60" stopIfTrue="1" operator="lessThanOrEqual">
      <formula>0</formula>
    </cfRule>
  </conditionalFormatting>
  <conditionalFormatting sqref="H85:I85">
    <cfRule type="cellIs" dxfId="435" priority="112" stopIfTrue="1" operator="lessThanOrEqual">
      <formula>0</formula>
    </cfRule>
    <cfRule type="cellIs" dxfId="434" priority="109" stopIfTrue="1" operator="greaterThan">
      <formula>$F$95</formula>
    </cfRule>
  </conditionalFormatting>
  <conditionalFormatting sqref="H86:I86">
    <cfRule type="cellIs" dxfId="433" priority="25" stopIfTrue="1" operator="greaterThan">
      <formula>$F$71</formula>
    </cfRule>
    <cfRule type="cellIs" dxfId="432" priority="28" stopIfTrue="1" operator="lessThanOrEqual">
      <formula>0</formula>
    </cfRule>
  </conditionalFormatting>
  <conditionalFormatting sqref="H87:I87">
    <cfRule type="cellIs" dxfId="431" priority="89" stopIfTrue="1" operator="lessThanOrEqual">
      <formula>0</formula>
    </cfRule>
    <cfRule type="cellIs" dxfId="430" priority="80" stopIfTrue="1" operator="greaterThan">
      <formula>#REF!</formula>
    </cfRule>
    <cfRule type="cellIs" dxfId="429" priority="83" stopIfTrue="1" operator="lessThanOrEqual">
      <formula>0</formula>
    </cfRule>
    <cfRule type="cellIs" dxfId="428" priority="86" stopIfTrue="1" operator="greaterThan">
      <formula>#REF!</formula>
    </cfRule>
  </conditionalFormatting>
  <conditionalFormatting sqref="H88:I88">
    <cfRule type="cellIs" dxfId="427" priority="132" stopIfTrue="1" operator="lessThanOrEqual">
      <formula>0</formula>
    </cfRule>
  </conditionalFormatting>
  <conditionalFormatting sqref="H88:I89">
    <cfRule type="cellIs" dxfId="426" priority="103" stopIfTrue="1" operator="greaterThan">
      <formula>$F$96</formula>
    </cfRule>
  </conditionalFormatting>
  <conditionalFormatting sqref="H89:I89">
    <cfRule type="cellIs" dxfId="425" priority="104" stopIfTrue="1" operator="lessThanOrEqual">
      <formula>0</formula>
    </cfRule>
  </conditionalFormatting>
  <conditionalFormatting sqref="I38 I52">
    <cfRule type="cellIs" dxfId="424" priority="98" operator="lessThan">
      <formula>98</formula>
    </cfRule>
    <cfRule type="cellIs" dxfId="423" priority="95" operator="lessThan">
      <formula>97.8</formula>
    </cfRule>
  </conditionalFormatting>
  <conditionalFormatting sqref="I84">
    <cfRule type="cellIs" dxfId="422" priority="66" stopIfTrue="1" operator="lessThanOrEqual">
      <formula>0</formula>
    </cfRule>
    <cfRule type="cellIs" dxfId="421" priority="62" stopIfTrue="1" operator="lessThanOrEqual">
      <formula>0</formula>
    </cfRule>
    <cfRule type="cellIs" dxfId="420" priority="63" stopIfTrue="1" operator="greaterThan">
      <formula>$F$71</formula>
    </cfRule>
    <cfRule type="cellIs" dxfId="419" priority="64" stopIfTrue="1" operator="lessThanOrEqual">
      <formula>0</formula>
    </cfRule>
    <cfRule type="cellIs" dxfId="418" priority="65" stopIfTrue="1" operator="greaterThan">
      <formula>$F$69</formula>
    </cfRule>
    <cfRule type="cellIs" dxfId="417" priority="61" stopIfTrue="1" operator="greaterThan">
      <formula>$F$69</formula>
    </cfRule>
  </conditionalFormatting>
  <conditionalFormatting sqref="I85">
    <cfRule type="cellIs" dxfId="416" priority="113" stopIfTrue="1" operator="greaterThan">
      <formula>$F$93</formula>
    </cfRule>
    <cfRule type="cellIs" dxfId="415" priority="118" stopIfTrue="1" operator="lessThanOrEqual">
      <formula>0</formula>
    </cfRule>
    <cfRule type="cellIs" dxfId="414" priority="117" stopIfTrue="1" operator="greaterThan">
      <formula>$F$93</formula>
    </cfRule>
    <cfRule type="cellIs" dxfId="413" priority="116" stopIfTrue="1" operator="lessThanOrEqual">
      <formula>0</formula>
    </cfRule>
    <cfRule type="cellIs" dxfId="412" priority="115" stopIfTrue="1" operator="greaterThan">
      <formula>$F$95</formula>
    </cfRule>
    <cfRule type="cellIs" dxfId="411" priority="114" stopIfTrue="1" operator="lessThanOrEqual">
      <formula>0</formula>
    </cfRule>
  </conditionalFormatting>
  <conditionalFormatting sqref="I86">
    <cfRule type="cellIs" dxfId="410" priority="34" stopIfTrue="1" operator="lessThanOrEqual">
      <formula>0</formula>
    </cfRule>
    <cfRule type="cellIs" dxfId="409" priority="33" stopIfTrue="1" operator="greaterThan">
      <formula>$F$69</formula>
    </cfRule>
    <cfRule type="cellIs" dxfId="408" priority="32" stopIfTrue="1" operator="lessThanOrEqual">
      <formula>0</formula>
    </cfRule>
    <cfRule type="cellIs" dxfId="407" priority="31" stopIfTrue="1" operator="greaterThan">
      <formula>$F$71</formula>
    </cfRule>
    <cfRule type="cellIs" dxfId="406" priority="30" stopIfTrue="1" operator="lessThanOrEqual">
      <formula>0</formula>
    </cfRule>
    <cfRule type="cellIs" dxfId="405" priority="29" stopIfTrue="1" operator="greaterThan">
      <formula>$F$69</formula>
    </cfRule>
  </conditionalFormatting>
  <conditionalFormatting sqref="I87">
    <cfRule type="cellIs" dxfId="404" priority="87" stopIfTrue="1" operator="lessThanOrEqual">
      <formula>0</formula>
    </cfRule>
    <cfRule type="cellIs" dxfId="403" priority="84" stopIfTrue="1" operator="greaterThan">
      <formula>#REF!</formula>
    </cfRule>
    <cfRule type="cellIs" dxfId="402" priority="85" stopIfTrue="1" operator="lessThanOrEqual">
      <formula>0</formula>
    </cfRule>
    <cfRule type="cellIs" dxfId="401" priority="88" stopIfTrue="1" operator="greaterThan">
      <formula>#REF!</formula>
    </cfRule>
  </conditionalFormatting>
  <conditionalFormatting sqref="I88:I89">
    <cfRule type="cellIs" dxfId="400" priority="133" stopIfTrue="1" operator="greaterThan">
      <formula>$F$94</formula>
    </cfRule>
    <cfRule type="cellIs" dxfId="399" priority="135" stopIfTrue="1" operator="greaterThan">
      <formula>$F$96</formula>
    </cfRule>
    <cfRule type="cellIs" dxfId="398" priority="136" stopIfTrue="1" operator="lessThanOrEqual">
      <formula>0</formula>
    </cfRule>
    <cfRule type="cellIs" dxfId="397" priority="137" stopIfTrue="1" operator="greaterThan">
      <formula>$F$94</formula>
    </cfRule>
    <cfRule type="cellIs" dxfId="396" priority="138" stopIfTrue="1" operator="lessThanOrEqual">
      <formula>0</formula>
    </cfRule>
    <cfRule type="cellIs" dxfId="395" priority="134" stopIfTrue="1" operator="lessThanOrEqual">
      <formula>0</formula>
    </cfRule>
  </conditionalFormatting>
  <conditionalFormatting sqref="I94:I102">
    <cfRule type="cellIs" dxfId="394" priority="150" stopIfTrue="1" operator="greaterThan">
      <formula>$J94</formula>
    </cfRule>
    <cfRule type="cellIs" dxfId="393" priority="151" stopIfTrue="1" operator="lessThanOrEqual">
      <formula>0</formula>
    </cfRule>
  </conditionalFormatting>
  <conditionalFormatting sqref="I105:I113">
    <cfRule type="cellIs" dxfId="392" priority="188" stopIfTrue="1" operator="greaterThan">
      <formula>4.5</formula>
    </cfRule>
    <cfRule type="cellIs" dxfId="391" priority="189" stopIfTrue="1" operator="lessThanOrEqual">
      <formula>0</formula>
    </cfRule>
  </conditionalFormatting>
  <conditionalFormatting sqref="I10:J37">
    <cfRule type="cellIs" dxfId="390" priority="10" operator="lessThan">
      <formula>97.9</formula>
    </cfRule>
  </conditionalFormatting>
  <conditionalFormatting sqref="I39:J51">
    <cfRule type="cellIs" dxfId="389" priority="74" operator="lessThan">
      <formula>97.9</formula>
    </cfRule>
  </conditionalFormatting>
  <conditionalFormatting sqref="J38 J52">
    <cfRule type="cellIs" dxfId="388" priority="96" operator="notBetween">
      <formula>98</formula>
      <formula>99.9</formula>
    </cfRule>
    <cfRule type="cellIs" dxfId="387" priority="97" operator="lessThan">
      <formula>97.4</formula>
    </cfRule>
  </conditionalFormatting>
  <conditionalFormatting sqref="J55:J57">
    <cfRule type="cellIs" dxfId="386" priority="124" stopIfTrue="1" operator="lessThan">
      <formula>96.8</formula>
    </cfRule>
    <cfRule type="cellIs" dxfId="385" priority="125" stopIfTrue="1" operator="greaterThan">
      <formula>100</formula>
    </cfRule>
    <cfRule type="cellIs" dxfId="384" priority="126" operator="lessThan">
      <formula>98</formula>
    </cfRule>
  </conditionalFormatting>
  <conditionalFormatting sqref="J55:J59">
    <cfRule type="cellIs" dxfId="383" priority="100" operator="lessThan">
      <formula>97.4</formula>
    </cfRule>
  </conditionalFormatting>
  <conditionalFormatting sqref="J60">
    <cfRule type="cellIs" dxfId="382" priority="127" operator="lessThan">
      <formula>98</formula>
    </cfRule>
  </conditionalFormatting>
  <conditionalFormatting sqref="J61:J63">
    <cfRule type="cellIs" dxfId="381" priority="128" stopIfTrue="1" operator="lessThan">
      <formula>96.8</formula>
    </cfRule>
    <cfRule type="cellIs" dxfId="380" priority="129" stopIfTrue="1" operator="greaterThan">
      <formula>100</formula>
    </cfRule>
  </conditionalFormatting>
  <conditionalFormatting sqref="J61:J64">
    <cfRule type="cellIs" dxfId="379" priority="130" operator="lessThan">
      <formula>98</formula>
    </cfRule>
  </conditionalFormatting>
  <conditionalFormatting sqref="K10:K52">
    <cfRule type="cellIs" dxfId="378" priority="4" operator="lessThan">
      <formula>4</formula>
    </cfRule>
    <cfRule type="cellIs" dxfId="377" priority="3" operator="greaterThan">
      <formula>6</formula>
    </cfRule>
    <cfRule type="cellIs" dxfId="376" priority="8" operator="greaterThan">
      <formula>6.4</formula>
    </cfRule>
  </conditionalFormatting>
  <conditionalFormatting sqref="K69:K78">
    <cfRule type="cellIs" dxfId="375" priority="158" operator="notEqual">
      <formula>#REF!</formula>
    </cfRule>
  </conditionalFormatting>
  <conditionalFormatting sqref="K84:K89 J90:K90 K94:N102">
    <cfRule type="cellIs" dxfId="374" priority="168" stopIfTrue="1" operator="lessThan">
      <formula>100%</formula>
    </cfRule>
  </conditionalFormatting>
  <conditionalFormatting sqref="K105:K110">
    <cfRule type="cellIs" dxfId="373" priority="194" stopIfTrue="1" operator="lessThan">
      <formula>100%</formula>
    </cfRule>
  </conditionalFormatting>
  <conditionalFormatting sqref="K112:K113">
    <cfRule type="cellIs" dxfId="372" priority="201" stopIfTrue="1" operator="lessThan">
      <formula>100%</formula>
    </cfRule>
  </conditionalFormatting>
  <conditionalFormatting sqref="L10:L52">
    <cfRule type="cellIs" dxfId="371" priority="5" operator="between">
      <formula>61</formula>
      <formula>65</formula>
    </cfRule>
    <cfRule type="cellIs" dxfId="370" priority="6" operator="greaterThan">
      <formula>65</formula>
    </cfRule>
  </conditionalFormatting>
  <conditionalFormatting sqref="L55:M66">
    <cfRule type="cellIs" dxfId="369" priority="79" operator="lessThan">
      <formula>98</formula>
    </cfRule>
  </conditionalFormatting>
  <conditionalFormatting sqref="L70:N70">
    <cfRule type="cellIs" dxfId="368" priority="106" operator="notEqual">
      <formula>#REF!</formula>
    </cfRule>
  </conditionalFormatting>
  <conditionalFormatting sqref="L105:N113">
    <cfRule type="cellIs" dxfId="367" priority="179" stopIfTrue="1" operator="lessThan">
      <formula>100%</formula>
    </cfRule>
  </conditionalFormatting>
  <conditionalFormatting sqref="M10:M19">
    <cfRule type="expression" dxfId="366" priority="53">
      <formula>IF(+(IF(M10&lt;V10,0,IF(M10&gt;W10,0,1)))=0,1)</formula>
    </cfRule>
  </conditionalFormatting>
  <conditionalFormatting sqref="M20:M31">
    <cfRule type="expression" dxfId="365" priority="21">
      <formula>IF(+(IF(M20&lt;U20,0,IF(M20&gt;V20,0,1)))=0,1)</formula>
    </cfRule>
  </conditionalFormatting>
  <conditionalFormatting sqref="M32:M52">
    <cfRule type="expression" dxfId="364" priority="1">
      <formula>IF(+(IF(M32&lt;V32,0,IF(M32&gt;W32,0,1)))=0,1)</formula>
    </cfRule>
  </conditionalFormatting>
  <conditionalFormatting sqref="M6:N6">
    <cfRule type="cellIs" dxfId="363" priority="108" operator="greaterThanOrEqual">
      <formula>19</formula>
    </cfRule>
    <cfRule type="cellIs" dxfId="362" priority="107" operator="greaterThanOrEqual">
      <formula>15</formula>
    </cfRule>
  </conditionalFormatting>
  <conditionalFormatting sqref="N10:N19">
    <cfRule type="expression" dxfId="361" priority="54">
      <formula>IF(+(IF(N10&lt;X10,0,IF(N10&gt;Y10,0,1)))=0,1)</formula>
    </cfRule>
  </conditionalFormatting>
  <conditionalFormatting sqref="N20:N31">
    <cfRule type="expression" dxfId="360" priority="22">
      <formula>IF(+(IF(N20&lt;W20,0,IF(N20&gt;X20,0,1)))=0,1)</formula>
    </cfRule>
  </conditionalFormatting>
  <conditionalFormatting sqref="N32:N52">
    <cfRule type="expression" dxfId="359" priority="2">
      <formula>IF(+(IF(N32&lt;X32,0,IF(N32&gt;Y32,0,1)))=0,1)</formula>
    </cfRule>
  </conditionalFormatting>
  <conditionalFormatting sqref="N38">
    <cfRule type="expression" dxfId="358" priority="210">
      <formula>IF(+(IF(N38&lt;X94,0,IF(N38&gt;Y94,0,1)))=0,1)</formula>
    </cfRule>
    <cfRule type="expression" dxfId="357" priority="211">
      <formula>IF(+(IF(N38&lt;X89,0,IF(N38&gt;Y89,0,1)))=0,1)</formula>
    </cfRule>
  </conditionalFormatting>
  <conditionalFormatting sqref="N52">
    <cfRule type="expression" dxfId="356" priority="212">
      <formula>IF(+(IF(N52&lt;X96,0,IF(N52&gt;Y96,0,1)))=0,1)</formula>
    </cfRule>
    <cfRule type="expression" dxfId="355" priority="213">
      <formula>IF(+(IF(N52&lt;X91,0,IF(N52&gt;Y91,0,1)))=0,1)</formula>
    </cfRule>
  </conditionalFormatting>
  <conditionalFormatting sqref="P6">
    <cfRule type="cellIs" dxfId="354" priority="175" operator="greaterThanOrEqual">
      <formula>19</formula>
    </cfRule>
  </conditionalFormatting>
  <dataValidations disablePrompts="1" count="1">
    <dataValidation type="list" allowBlank="1" showInputMessage="1" showErrorMessage="1" sqref="S8 B52" xr:uid="{0AD4DB27-E9EB-4C65-823A-9C47624802F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5A6C-6B14-4A22-9636-4653B11881D3}">
  <sheetPr>
    <pageSetUpPr fitToPage="1"/>
  </sheetPr>
  <dimension ref="A1:BF115"/>
  <sheetViews>
    <sheetView topLeftCell="A53" zoomScale="80" zoomScaleNormal="80" workbookViewId="0">
      <selection activeCell="L70" sqref="L70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31.8867187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45688</v>
      </c>
      <c r="D4" s="545"/>
      <c r="J4" s="489" t="s">
        <v>191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190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4.4">
      <c r="B10" s="33" t="s">
        <v>9</v>
      </c>
      <c r="C10" s="367" t="str">
        <f>[22]Brewhouse!$A61</f>
        <v>ST047</v>
      </c>
      <c r="D10" s="280">
        <f>[22]Brewhouse!$AD61</f>
        <v>53</v>
      </c>
      <c r="E10" s="280">
        <f>[22]Brewhouse!$AG61</f>
        <v>49.9</v>
      </c>
      <c r="F10" s="279">
        <f>[22]Brewhouse!$V61</f>
        <v>59</v>
      </c>
      <c r="G10" s="280">
        <f>[22]Brewhouse!$AE61</f>
        <v>11.6</v>
      </c>
      <c r="H10" s="419">
        <v>11.6</v>
      </c>
      <c r="I10" s="512">
        <f>[22]Brewhouse!$AS61</f>
        <v>93.552519520813476</v>
      </c>
      <c r="J10" s="512">
        <f>[22]Brewhouse!$AT61</f>
        <v>96.811161472696</v>
      </c>
      <c r="K10" s="422">
        <f>[22]Brewhouse!$Q61</f>
        <v>1.3257575757575679</v>
      </c>
      <c r="L10" s="277">
        <f>[22]Brewhouse!$P61</f>
        <v>59</v>
      </c>
      <c r="M10" s="375">
        <f>[22]Brewhouse!$U61-[22]Brewhouse!$T61</f>
        <v>0.11805555555555558</v>
      </c>
      <c r="N10" s="371">
        <f>[22]Brewhouse!$AW61</f>
        <v>0.26736111111111116</v>
      </c>
      <c r="O10" s="513" t="str">
        <f>[22]Brewhouse!$AV61</f>
        <v>R.Sookram</v>
      </c>
      <c r="P10" s="376"/>
      <c r="Q10" s="348"/>
      <c r="S10" s="278" t="str">
        <f t="shared" ref="S10:S52" si="0">B10</f>
        <v>STAG</v>
      </c>
      <c r="T10" s="297">
        <f t="shared" ref="T10:T52" si="1">VLOOKUP($B10,$S$3:$Y$9,2,FALSE)</f>
        <v>11.6</v>
      </c>
      <c r="U10" s="297">
        <f t="shared" ref="U10:U52" si="2">VLOOKUP($B10,$S$3:$Y$9,3,FALSE)</f>
        <v>12</v>
      </c>
      <c r="V10" s="298">
        <f t="shared" ref="V10:V52" si="3">VLOOKUP($B10,$S$3:$Y$9,4,FALSE)</f>
        <v>0</v>
      </c>
      <c r="W10" s="298">
        <f t="shared" ref="W10:W52" si="4">VLOOKUP($B10,$S$3:$Y$9,5,FALSE)</f>
        <v>0.118055555555556</v>
      </c>
      <c r="X10" s="298">
        <f t="shared" ref="X10:X52" si="5">VLOOKUP($B10,$S$3:$Y$9,6,FALSE)</f>
        <v>0.22569444444444445</v>
      </c>
      <c r="Y10" s="298">
        <f t="shared" ref="Y10:Y52" si="6">VLOOKUP($B10,$S$3:$Y$9,7,FALSE)</f>
        <v>0.2638888888888889</v>
      </c>
      <c r="Z10" s="298">
        <f t="shared" ref="Z10:Z52" si="7">VLOOKUP($B10,$S$3:$AA$9,8,FALSE)</f>
        <v>0</v>
      </c>
      <c r="AA10" s="297">
        <f t="shared" ref="AA10:AA52" si="8">VLOOKUP($B10,$S$3:$AA$9,9,FALSE)</f>
        <v>60</v>
      </c>
    </row>
    <row r="11" spans="2:30" ht="14.4">
      <c r="B11" s="33" t="s">
        <v>9</v>
      </c>
      <c r="C11" s="367" t="str">
        <f>[22]Brewhouse!$A62</f>
        <v>ST048</v>
      </c>
      <c r="D11" s="280">
        <f>[22]Brewhouse!$AD62</f>
        <v>52.8</v>
      </c>
      <c r="E11" s="280">
        <f>[22]Brewhouse!$AG62</f>
        <v>49.3</v>
      </c>
      <c r="F11" s="279">
        <f>[22]Brewhouse!$V62</f>
        <v>56</v>
      </c>
      <c r="G11" s="280">
        <f>[22]Brewhouse!$AE62</f>
        <v>11.88</v>
      </c>
      <c r="H11" s="419">
        <v>11.9</v>
      </c>
      <c r="I11" s="512">
        <f>[22]Brewhouse!$AS62</f>
        <v>94.825567674202887</v>
      </c>
      <c r="J11" s="512">
        <f>[22]Brewhouse!$AT62</f>
        <v>98.129614706666473</v>
      </c>
      <c r="K11" s="422">
        <f>[22]Brewhouse!$Q62</f>
        <v>5.6776556776556806</v>
      </c>
      <c r="L11" s="277">
        <f>[22]Brewhouse!$P62</f>
        <v>60</v>
      </c>
      <c r="M11" s="375">
        <f>[22]Brewhouse!$U62-[22]Brewhouse!$T62</f>
        <v>0.10694444444444451</v>
      </c>
      <c r="N11" s="371">
        <f>[22]Brewhouse!$AW62</f>
        <v>0.27777777777777779</v>
      </c>
      <c r="O11" s="513" t="str">
        <f>[22]Brewhouse!$AV62</f>
        <v>R.Sookram</v>
      </c>
      <c r="P11" s="376"/>
      <c r="Q11" s="348"/>
      <c r="S11" s="278" t="str">
        <f t="shared" si="0"/>
        <v>STAG</v>
      </c>
      <c r="T11" s="297">
        <f t="shared" si="1"/>
        <v>11.6</v>
      </c>
      <c r="U11" s="297">
        <f t="shared" si="2"/>
        <v>12</v>
      </c>
      <c r="V11" s="298">
        <f t="shared" si="3"/>
        <v>0</v>
      </c>
      <c r="W11" s="298">
        <f t="shared" si="4"/>
        <v>0.118055555555556</v>
      </c>
      <c r="X11" s="298">
        <f t="shared" si="5"/>
        <v>0.22569444444444445</v>
      </c>
      <c r="Y11" s="298">
        <f t="shared" si="6"/>
        <v>0.2638888888888889</v>
      </c>
      <c r="Z11" s="298">
        <f t="shared" si="7"/>
        <v>0</v>
      </c>
      <c r="AA11" s="297">
        <f t="shared" si="8"/>
        <v>60</v>
      </c>
    </row>
    <row r="12" spans="2:30" ht="14.4">
      <c r="B12" s="33" t="s">
        <v>9</v>
      </c>
      <c r="C12" s="367" t="str">
        <f>[22]Brewhouse!$A63</f>
        <v>ST049</v>
      </c>
      <c r="D12" s="280">
        <f>[22]Brewhouse!$AD63</f>
        <v>52.2</v>
      </c>
      <c r="E12" s="280">
        <f>[22]Brewhouse!$AG63</f>
        <v>49.1</v>
      </c>
      <c r="F12" s="279">
        <f>[22]Brewhouse!$V63</f>
        <v>65</v>
      </c>
      <c r="G12" s="280">
        <f>[22]Brewhouse!$AE63</f>
        <v>11.74</v>
      </c>
      <c r="H12" s="419">
        <v>11.6</v>
      </c>
      <c r="I12" s="512">
        <f>[22]Brewhouse!$AS63</f>
        <v>92.656238601066747</v>
      </c>
      <c r="J12" s="512">
        <f>[22]Brewhouse!$AT63</f>
        <v>95.885733914290029</v>
      </c>
      <c r="K12" s="422">
        <f>[22]Brewhouse!$Q63</f>
        <v>6.2157221206581328</v>
      </c>
      <c r="L12" s="277">
        <f>[22]Brewhouse!$P63</f>
        <v>61</v>
      </c>
      <c r="M12" s="375">
        <f>[22]Brewhouse!$U63-[22]Brewhouse!$T63</f>
        <v>0.11666666666666659</v>
      </c>
      <c r="N12" s="371">
        <f>[22]Brewhouse!$AW63</f>
        <v>0.26944444444444438</v>
      </c>
      <c r="O12" s="513" t="str">
        <f>[22]Brewhouse!$AV63</f>
        <v>R.Sookram</v>
      </c>
      <c r="P12" s="376"/>
      <c r="Q12" s="348"/>
      <c r="S12" s="278" t="str">
        <f t="shared" si="0"/>
        <v>STAG</v>
      </c>
      <c r="T12" s="297">
        <f t="shared" si="1"/>
        <v>11.6</v>
      </c>
      <c r="U12" s="297">
        <f t="shared" si="2"/>
        <v>12</v>
      </c>
      <c r="V12" s="298">
        <f t="shared" si="3"/>
        <v>0</v>
      </c>
      <c r="W12" s="298">
        <f t="shared" si="4"/>
        <v>0.118055555555556</v>
      </c>
      <c r="X12" s="298">
        <f t="shared" si="5"/>
        <v>0.22569444444444445</v>
      </c>
      <c r="Y12" s="298">
        <f t="shared" si="6"/>
        <v>0.2638888888888889</v>
      </c>
      <c r="Z12" s="298">
        <f t="shared" si="7"/>
        <v>0</v>
      </c>
      <c r="AA12" s="297">
        <f t="shared" si="8"/>
        <v>60</v>
      </c>
    </row>
    <row r="13" spans="2:30" ht="14.4">
      <c r="B13" s="33" t="s">
        <v>9</v>
      </c>
      <c r="C13" s="367" t="str">
        <f>[22]Brewhouse!$A64</f>
        <v>ST050</v>
      </c>
      <c r="D13" s="280">
        <f>[22]Brewhouse!$AD64</f>
        <v>53.3</v>
      </c>
      <c r="E13" s="280">
        <f>[22]Brewhouse!$AG64</f>
        <v>50.3</v>
      </c>
      <c r="F13" s="279">
        <f>[22]Brewhouse!$V64</f>
        <v>59</v>
      </c>
      <c r="G13" s="280">
        <f>[22]Brewhouse!$AE64</f>
        <v>11.93</v>
      </c>
      <c r="H13" s="419">
        <v>11.9</v>
      </c>
      <c r="I13" s="512">
        <f>[22]Brewhouse!$AS64</f>
        <v>96.628236432962609</v>
      </c>
      <c r="J13" s="512">
        <f>[22]Brewhouse!$AT64</f>
        <v>99.996174106634712</v>
      </c>
      <c r="K13" s="422">
        <f>[22]Brewhouse!$Q64</f>
        <v>4.7619047619047645</v>
      </c>
      <c r="L13" s="277">
        <f>[22]Brewhouse!$P64</f>
        <v>61</v>
      </c>
      <c r="M13" s="375">
        <f>[22]Brewhouse!$U64-[22]Brewhouse!$T64</f>
        <v>0.11805555555555558</v>
      </c>
      <c r="N13" s="371">
        <f>[22]Brewhouse!$AW64</f>
        <v>0.26250000000000007</v>
      </c>
      <c r="O13" s="513" t="str">
        <f>[22]Brewhouse!$AV64</f>
        <v>K.Benjamin</v>
      </c>
      <c r="P13" s="376"/>
      <c r="Q13" s="348"/>
      <c r="S13" s="278" t="str">
        <f t="shared" si="0"/>
        <v>STAG</v>
      </c>
      <c r="T13" s="297">
        <f t="shared" si="1"/>
        <v>11.6</v>
      </c>
      <c r="U13" s="297">
        <f t="shared" si="2"/>
        <v>12</v>
      </c>
      <c r="V13" s="298">
        <f t="shared" si="3"/>
        <v>0</v>
      </c>
      <c r="W13" s="298">
        <f t="shared" si="4"/>
        <v>0.118055555555556</v>
      </c>
      <c r="X13" s="298">
        <f t="shared" si="5"/>
        <v>0.22569444444444445</v>
      </c>
      <c r="Y13" s="298">
        <f t="shared" si="6"/>
        <v>0.2638888888888889</v>
      </c>
      <c r="Z13" s="298">
        <f t="shared" si="7"/>
        <v>0</v>
      </c>
      <c r="AA13" s="297">
        <f t="shared" si="8"/>
        <v>60</v>
      </c>
    </row>
    <row r="14" spans="2:30" ht="14.4">
      <c r="B14" s="29"/>
      <c r="C14" s="367"/>
      <c r="D14" s="280"/>
      <c r="E14" s="280"/>
      <c r="F14" s="279"/>
      <c r="G14" s="280"/>
      <c r="H14" s="419"/>
      <c r="I14" s="512"/>
      <c r="J14" s="512"/>
      <c r="K14" s="422"/>
      <c r="L14" s="277"/>
      <c r="M14" s="375"/>
      <c r="N14" s="371"/>
      <c r="O14" s="513"/>
      <c r="P14" s="376"/>
      <c r="Q14" s="348"/>
      <c r="S14" s="278">
        <f t="shared" si="0"/>
        <v>0</v>
      </c>
      <c r="T14" s="297" t="e">
        <f t="shared" si="1"/>
        <v>#N/A</v>
      </c>
      <c r="U14" s="297" t="e">
        <f t="shared" si="2"/>
        <v>#N/A</v>
      </c>
      <c r="V14" s="298" t="e">
        <f t="shared" si="3"/>
        <v>#N/A</v>
      </c>
      <c r="W14" s="298" t="e">
        <f t="shared" si="4"/>
        <v>#N/A</v>
      </c>
      <c r="X14" s="298" t="e">
        <f t="shared" si="5"/>
        <v>#N/A</v>
      </c>
      <c r="Y14" s="298" t="e">
        <f t="shared" si="6"/>
        <v>#N/A</v>
      </c>
      <c r="Z14" s="298" t="e">
        <f t="shared" si="7"/>
        <v>#N/A</v>
      </c>
      <c r="AA14" s="297" t="e">
        <f t="shared" si="8"/>
        <v>#N/A</v>
      </c>
    </row>
    <row r="15" spans="2:30" ht="14.4">
      <c r="B15" s="29" t="s">
        <v>6</v>
      </c>
      <c r="C15" s="367" t="str">
        <f>[28]Brewhouse!$A162</f>
        <v>CA061</v>
      </c>
      <c r="D15" s="280">
        <f>[28]Brewhouse!$AF162</f>
        <v>56.4</v>
      </c>
      <c r="E15" s="280">
        <f>[28]Brewhouse!$AI162</f>
        <v>51.7</v>
      </c>
      <c r="F15" s="279">
        <f>[28]Brewhouse!$V162</f>
        <v>67</v>
      </c>
      <c r="G15" s="280">
        <f>[28]Brewhouse!$AG162</f>
        <v>11.8</v>
      </c>
      <c r="H15" s="419"/>
      <c r="I15" s="369">
        <f>[28]Brewhouse!$AU162</f>
        <v>96.907424929882168</v>
      </c>
      <c r="J15" s="369">
        <f>[28]Brewhouse!$AV162</f>
        <v>100.98046485487664</v>
      </c>
      <c r="K15" s="282">
        <f>[28]Brewhouse!$Q162</f>
        <v>6.0638297872340337</v>
      </c>
      <c r="L15" s="277">
        <f>[28]Brewhouse!$P162</f>
        <v>60</v>
      </c>
      <c r="M15" s="420">
        <f>[28]Brewhouse!$U162-[28]Brewhouse!$T162</f>
        <v>0.13541666666666669</v>
      </c>
      <c r="N15" s="371">
        <f>[28]Brewhouse!$Z162</f>
        <v>0.29930555555555555</v>
      </c>
      <c r="O15" s="372" t="str">
        <f>[28]Brewhouse!$AX162</f>
        <v>R.Regis</v>
      </c>
      <c r="P15" s="376"/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0.22569444444444445</v>
      </c>
      <c r="Y15" s="298">
        <f t="shared" si="6"/>
        <v>0.2638888888888889</v>
      </c>
      <c r="Z15" s="298">
        <f t="shared" si="7"/>
        <v>0</v>
      </c>
      <c r="AA15" s="297">
        <f t="shared" si="8"/>
        <v>60</v>
      </c>
    </row>
    <row r="16" spans="2:30" ht="14.4">
      <c r="B16" s="29" t="s">
        <v>6</v>
      </c>
      <c r="C16" s="367" t="str">
        <f>[28]Brewhouse!$A163</f>
        <v>CA062</v>
      </c>
      <c r="D16" s="280">
        <f>[28]Brewhouse!$AF163</f>
        <v>53.4</v>
      </c>
      <c r="E16" s="280">
        <f>[28]Brewhouse!$AI163</f>
        <v>50.3</v>
      </c>
      <c r="F16" s="279">
        <f>[28]Brewhouse!$V163</f>
        <v>70</v>
      </c>
      <c r="G16" s="280">
        <f>[28]Brewhouse!$AG163</f>
        <v>11.83</v>
      </c>
      <c r="H16" s="419"/>
      <c r="I16" s="369">
        <f>[28]Brewhouse!$AU163</f>
        <v>94.283239341838936</v>
      </c>
      <c r="J16" s="369">
        <f>[28]Brewhouse!$AV163</f>
        <v>98.245984181823871</v>
      </c>
      <c r="K16" s="282">
        <f>[28]Brewhouse!$Q163</f>
        <v>1.5355805243445697</v>
      </c>
      <c r="L16" s="277">
        <f>[28]Brewhouse!$P163</f>
        <v>57</v>
      </c>
      <c r="M16" s="420">
        <f>[28]Brewhouse!$U163-[28]Brewhouse!$T163</f>
        <v>0.10972222222222222</v>
      </c>
      <c r="N16" s="371">
        <f>[28]Brewhouse!$Z163</f>
        <v>0.27222222222222225</v>
      </c>
      <c r="O16" s="372" t="str">
        <f>[28]Brewhouse!$AX163</f>
        <v>R.Sookram</v>
      </c>
      <c r="P16" s="376"/>
      <c r="Q16" s="348"/>
      <c r="S16" s="278" t="str">
        <f t="shared" si="0"/>
        <v>CARIB</v>
      </c>
      <c r="T16" s="297">
        <f t="shared" si="1"/>
        <v>11.6</v>
      </c>
      <c r="U16" s="297">
        <f t="shared" si="2"/>
        <v>12</v>
      </c>
      <c r="V16" s="298">
        <f t="shared" si="3"/>
        <v>0</v>
      </c>
      <c r="W16" s="298">
        <f t="shared" si="4"/>
        <v>0.118055555555556</v>
      </c>
      <c r="X16" s="298">
        <f t="shared" si="5"/>
        <v>0.22569444444444445</v>
      </c>
      <c r="Y16" s="298">
        <f t="shared" si="6"/>
        <v>0.2638888888888889</v>
      </c>
      <c r="Z16" s="298">
        <f t="shared" si="7"/>
        <v>0</v>
      </c>
      <c r="AA16" s="297">
        <f t="shared" si="8"/>
        <v>60</v>
      </c>
    </row>
    <row r="17" spans="2:27" ht="14.4">
      <c r="B17" s="29" t="s">
        <v>6</v>
      </c>
      <c r="C17" s="367" t="str">
        <f>[28]Brewhouse!$A164</f>
        <v>CA063</v>
      </c>
      <c r="D17" s="280">
        <f>[28]Brewhouse!$AF164</f>
        <v>49.6</v>
      </c>
      <c r="E17" s="280">
        <f>[28]Brewhouse!$AI164</f>
        <v>47.5</v>
      </c>
      <c r="F17" s="279">
        <f>[28]Brewhouse!$V164</f>
        <v>55</v>
      </c>
      <c r="G17" s="280">
        <f>[28]Brewhouse!$AG164</f>
        <v>11.94</v>
      </c>
      <c r="H17" s="419"/>
      <c r="I17" s="369">
        <f>[28]Brewhouse!$AU164</f>
        <v>89.622426366714592</v>
      </c>
      <c r="J17" s="369">
        <f>[28]Brewhouse!$AV164</f>
        <v>93.235110432875373</v>
      </c>
      <c r="K17" s="282">
        <f>[28]Brewhouse!$Q164</f>
        <v>5.8870967741935516</v>
      </c>
      <c r="L17" s="277">
        <f>[28]Brewhouse!$P164</f>
        <v>60</v>
      </c>
      <c r="M17" s="420">
        <f>[28]Brewhouse!$U164-[28]Brewhouse!$T164</f>
        <v>0.14027777777777783</v>
      </c>
      <c r="N17" s="371">
        <f>[28]Brewhouse!$Z164</f>
        <v>0.27916666666666679</v>
      </c>
      <c r="O17" s="372" t="str">
        <f>[28]Brewhouse!$AX164</f>
        <v>R.Regis</v>
      </c>
      <c r="P17" s="376"/>
      <c r="Q17" s="348"/>
      <c r="S17" s="278" t="str">
        <f t="shared" si="0"/>
        <v>CARIB</v>
      </c>
      <c r="T17" s="297">
        <f t="shared" si="1"/>
        <v>11.6</v>
      </c>
      <c r="U17" s="297">
        <f t="shared" si="2"/>
        <v>12</v>
      </c>
      <c r="V17" s="298">
        <f t="shared" si="3"/>
        <v>0</v>
      </c>
      <c r="W17" s="298">
        <f t="shared" si="4"/>
        <v>0.118055555555556</v>
      </c>
      <c r="X17" s="298">
        <f t="shared" si="5"/>
        <v>0.22569444444444445</v>
      </c>
      <c r="Y17" s="298">
        <f t="shared" si="6"/>
        <v>0.2638888888888889</v>
      </c>
      <c r="Z17" s="298">
        <f t="shared" si="7"/>
        <v>0</v>
      </c>
      <c r="AA17" s="297">
        <f t="shared" si="8"/>
        <v>60</v>
      </c>
    </row>
    <row r="18" spans="2:27" ht="14.4">
      <c r="B18" s="29" t="s">
        <v>6</v>
      </c>
      <c r="C18" s="367" t="str">
        <f>[28]Brewhouse!$A165</f>
        <v>CA064</v>
      </c>
      <c r="D18" s="280">
        <f>[28]Brewhouse!$AF165</f>
        <v>56.5</v>
      </c>
      <c r="E18" s="280">
        <f>[28]Brewhouse!$AI165</f>
        <v>51.3</v>
      </c>
      <c r="F18" s="279">
        <f>[28]Brewhouse!$V165</f>
        <v>63</v>
      </c>
      <c r="G18" s="280">
        <f>[28]Brewhouse!$AG165</f>
        <v>11.75</v>
      </c>
      <c r="H18" s="419"/>
      <c r="I18" s="369">
        <f>[28]Brewhouse!$AU165</f>
        <v>95.468836285735648</v>
      </c>
      <c r="J18" s="369">
        <f>[28]Brewhouse!$AV165</f>
        <v>99.318842827304422</v>
      </c>
      <c r="K18" s="282">
        <f>[28]Brewhouse!$Q165</f>
        <v>4.4601769911504361</v>
      </c>
      <c r="L18" s="277">
        <f>[28]Brewhouse!$P165</f>
        <v>60</v>
      </c>
      <c r="M18" s="420">
        <f>[28]Brewhouse!$U165-[28]Brewhouse!$T165</f>
        <v>0.11388888888888893</v>
      </c>
      <c r="N18" s="371">
        <f>[28]Brewhouse!$Z165</f>
        <v>0.27013888888888882</v>
      </c>
      <c r="O18" s="372" t="str">
        <f>[28]Brewhouse!$AX165</f>
        <v>R.Regis</v>
      </c>
      <c r="P18" s="370"/>
      <c r="Q18" s="348"/>
      <c r="S18" s="278" t="str">
        <f t="shared" si="0"/>
        <v>CARIB</v>
      </c>
      <c r="T18" s="297">
        <f t="shared" si="1"/>
        <v>11.6</v>
      </c>
      <c r="U18" s="297">
        <f t="shared" si="2"/>
        <v>12</v>
      </c>
      <c r="V18" s="298">
        <f t="shared" si="3"/>
        <v>0</v>
      </c>
      <c r="W18" s="298">
        <f t="shared" si="4"/>
        <v>0.118055555555556</v>
      </c>
      <c r="X18" s="298">
        <f t="shared" si="5"/>
        <v>0.22569444444444445</v>
      </c>
      <c r="Y18" s="298">
        <f t="shared" si="6"/>
        <v>0.2638888888888889</v>
      </c>
      <c r="Z18" s="298">
        <f t="shared" si="7"/>
        <v>0</v>
      </c>
      <c r="AA18" s="297">
        <f t="shared" si="8"/>
        <v>60</v>
      </c>
    </row>
    <row r="19" spans="2:27" ht="14.4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2"/>
      <c r="C20" s="367"/>
      <c r="D20" s="280"/>
      <c r="E20" s="280"/>
      <c r="F20" s="279"/>
      <c r="G20" s="280"/>
      <c r="H20" s="492"/>
      <c r="I20" s="369"/>
      <c r="J20" s="369"/>
      <c r="K20" s="282"/>
      <c r="L20" s="277"/>
      <c r="M20" s="375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4.4" hidden="1">
      <c r="B21" s="22"/>
      <c r="C21" s="367"/>
      <c r="D21" s="280"/>
      <c r="E21" s="280"/>
      <c r="F21" s="279"/>
      <c r="G21" s="280"/>
      <c r="H21" s="492"/>
      <c r="I21" s="369"/>
      <c r="J21" s="369"/>
      <c r="K21" s="282"/>
      <c r="L21" s="277"/>
      <c r="M21" s="375"/>
      <c r="N21" s="371"/>
      <c r="O21" s="372"/>
      <c r="P21" s="370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4.4" hidden="1">
      <c r="B22" s="22"/>
      <c r="C22" s="367"/>
      <c r="D22" s="280"/>
      <c r="E22" s="280"/>
      <c r="F22" s="279"/>
      <c r="G22" s="280"/>
      <c r="H22" s="492"/>
      <c r="I22" s="369"/>
      <c r="J22" s="369"/>
      <c r="K22" s="282"/>
      <c r="L22" s="277"/>
      <c r="M22" s="375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4.4" hidden="1">
      <c r="B23" s="22"/>
      <c r="C23" s="367"/>
      <c r="D23" s="280"/>
      <c r="E23" s="280"/>
      <c r="F23" s="279"/>
      <c r="G23" s="280"/>
      <c r="H23" s="492"/>
      <c r="I23" s="369"/>
      <c r="J23" s="369"/>
      <c r="K23" s="282"/>
      <c r="L23" s="277"/>
      <c r="M23" s="375"/>
      <c r="N23" s="371"/>
      <c r="O23" s="372"/>
      <c r="P23" s="370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4.4" hidden="1">
      <c r="B24" s="22"/>
      <c r="C24" s="367"/>
      <c r="D24" s="280"/>
      <c r="E24" s="280"/>
      <c r="F24" s="279"/>
      <c r="G24" s="280"/>
      <c r="H24" s="492"/>
      <c r="I24" s="369"/>
      <c r="J24" s="369"/>
      <c r="K24" s="282"/>
      <c r="L24" s="277"/>
      <c r="M24" s="375"/>
      <c r="N24" s="371"/>
      <c r="O24" s="372"/>
      <c r="P24" s="370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4.4" hidden="1">
      <c r="B25" s="22"/>
      <c r="C25" s="367"/>
      <c r="D25" s="280"/>
      <c r="E25" s="280"/>
      <c r="F25" s="279"/>
      <c r="G25" s="280"/>
      <c r="H25" s="492"/>
      <c r="I25" s="369"/>
      <c r="J25" s="369"/>
      <c r="K25" s="282"/>
      <c r="L25" s="277"/>
      <c r="M25" s="375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4.4" hidden="1">
      <c r="B26" s="22"/>
      <c r="C26" s="367"/>
      <c r="D26" s="280"/>
      <c r="E26" s="280"/>
      <c r="F26" s="279"/>
      <c r="G26" s="280"/>
      <c r="H26" s="492"/>
      <c r="I26" s="369"/>
      <c r="J26" s="369"/>
      <c r="K26" s="282"/>
      <c r="L26" s="277"/>
      <c r="M26" s="375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4.4" hidden="1">
      <c r="B27" s="22"/>
      <c r="C27" s="367"/>
      <c r="D27" s="280"/>
      <c r="E27" s="280"/>
      <c r="F27" s="279"/>
      <c r="G27" s="280"/>
      <c r="H27" s="492"/>
      <c r="I27" s="369"/>
      <c r="J27" s="369"/>
      <c r="K27" s="282"/>
      <c r="L27" s="277"/>
      <c r="M27" s="375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4.4" hidden="1">
      <c r="B28" s="34"/>
      <c r="C28" s="367"/>
      <c r="D28" s="280"/>
      <c r="E28" s="280"/>
      <c r="F28" s="279"/>
      <c r="G28" s="280"/>
      <c r="H28" s="419"/>
      <c r="I28" s="369"/>
      <c r="J28" s="369"/>
      <c r="K28" s="422"/>
      <c r="L28" s="277"/>
      <c r="M28" s="423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34"/>
      <c r="C29" s="367"/>
      <c r="D29" s="280"/>
      <c r="E29" s="280"/>
      <c r="F29" s="279"/>
      <c r="G29" s="280"/>
      <c r="H29" s="419"/>
      <c r="I29" s="369"/>
      <c r="J29" s="369"/>
      <c r="K29" s="422"/>
      <c r="L29" s="277"/>
      <c r="M29" s="423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4.4" hidden="1">
      <c r="B30" s="34"/>
      <c r="C30" s="367"/>
      <c r="D30" s="280"/>
      <c r="E30" s="280"/>
      <c r="F30" s="279"/>
      <c r="G30" s="280"/>
      <c r="H30" s="419"/>
      <c r="I30" s="369"/>
      <c r="J30" s="369"/>
      <c r="K30" s="422"/>
      <c r="L30" s="277"/>
      <c r="M30" s="423"/>
      <c r="N30" s="371"/>
      <c r="O30" s="372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hidden="1" customHeight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423"/>
      <c r="N31" s="371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hidden="1" customHeight="1">
      <c r="B32" s="29"/>
      <c r="C32" s="367"/>
      <c r="D32" s="280"/>
      <c r="E32" s="280"/>
      <c r="F32" s="279"/>
      <c r="G32" s="280"/>
      <c r="H32" s="419"/>
      <c r="I32" s="369"/>
      <c r="J32" s="369"/>
      <c r="K32" s="282"/>
      <c r="L32" s="277"/>
      <c r="M32" s="420"/>
      <c r="N32" s="371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5.75" hidden="1" customHeight="1">
      <c r="B33" s="29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420"/>
      <c r="N33" s="371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5.75" hidden="1" customHeight="1">
      <c r="B34" s="29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420"/>
      <c r="N34" s="371"/>
      <c r="O34" s="372"/>
      <c r="P34" s="376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5.75" hidden="1" customHeight="1">
      <c r="B35" s="29"/>
      <c r="C35" s="367"/>
      <c r="D35" s="280"/>
      <c r="E35" s="280"/>
      <c r="F35" s="279"/>
      <c r="G35" s="280"/>
      <c r="H35" s="419"/>
      <c r="I35" s="369"/>
      <c r="J35" s="369"/>
      <c r="K35" s="282"/>
      <c r="L35" s="277"/>
      <c r="M35" s="420"/>
      <c r="N35" s="371"/>
      <c r="O35" s="372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5.75" hidden="1" customHeight="1">
      <c r="B36" s="29"/>
      <c r="C36" s="367"/>
      <c r="D36" s="280"/>
      <c r="E36" s="280"/>
      <c r="F36" s="279"/>
      <c r="G36" s="280"/>
      <c r="H36" s="419"/>
      <c r="I36" s="369"/>
      <c r="J36" s="369"/>
      <c r="K36" s="282"/>
      <c r="L36" s="277"/>
      <c r="M36" s="420"/>
      <c r="N36" s="371"/>
      <c r="O36" s="372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5.75" hidden="1" customHeight="1">
      <c r="B37" s="29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420"/>
      <c r="N37" s="371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5.75" hidden="1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hidden="1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hidden="1" customHeight="1">
      <c r="B42" s="33"/>
      <c r="C42" s="367"/>
      <c r="D42" s="280"/>
      <c r="E42" s="280"/>
      <c r="F42" s="279"/>
      <c r="G42" s="280"/>
      <c r="H42" s="419"/>
      <c r="I42" s="512"/>
      <c r="J42" s="512"/>
      <c r="K42" s="422"/>
      <c r="L42" s="277"/>
      <c r="M42" s="375"/>
      <c r="N42" s="371"/>
      <c r="O42" s="513"/>
      <c r="P42" s="370"/>
      <c r="Q42" s="348"/>
      <c r="S42" s="278">
        <f t="shared" si="0"/>
        <v>0</v>
      </c>
      <c r="T42" s="297" t="e">
        <f t="shared" si="1"/>
        <v>#N/A</v>
      </c>
      <c r="U42" s="297" t="e">
        <f t="shared" si="2"/>
        <v>#N/A</v>
      </c>
      <c r="V42" s="298" t="e">
        <f t="shared" si="3"/>
        <v>#N/A</v>
      </c>
      <c r="W42" s="298" t="e">
        <f t="shared" si="4"/>
        <v>#N/A</v>
      </c>
      <c r="X42" s="298" t="e">
        <f t="shared" si="5"/>
        <v>#N/A</v>
      </c>
      <c r="Y42" s="298" t="e">
        <f t="shared" si="6"/>
        <v>#N/A</v>
      </c>
      <c r="Z42" s="298" t="e">
        <f t="shared" si="7"/>
        <v>#N/A</v>
      </c>
      <c r="AA42" s="297" t="e">
        <f t="shared" si="8"/>
        <v>#N/A</v>
      </c>
    </row>
    <row r="43" spans="2:27" ht="15.75" hidden="1" customHeight="1">
      <c r="B43" s="33"/>
      <c r="C43" s="367"/>
      <c r="D43" s="280"/>
      <c r="E43" s="280"/>
      <c r="F43" s="279"/>
      <c r="G43" s="280"/>
      <c r="H43" s="419"/>
      <c r="I43" s="512"/>
      <c r="J43" s="512"/>
      <c r="K43" s="422"/>
      <c r="L43" s="277"/>
      <c r="M43" s="375"/>
      <c r="N43" s="371"/>
      <c r="O43" s="513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2:27" ht="15.75" hidden="1" customHeight="1">
      <c r="B44" s="33"/>
      <c r="C44" s="367"/>
      <c r="D44" s="280"/>
      <c r="E44" s="280"/>
      <c r="F44" s="279"/>
      <c r="G44" s="280"/>
      <c r="H44" s="419"/>
      <c r="I44" s="512"/>
      <c r="J44" s="512"/>
      <c r="K44" s="422"/>
      <c r="L44" s="277"/>
      <c r="M44" s="375"/>
      <c r="N44" s="371"/>
      <c r="O44" s="513"/>
      <c r="P44" s="370"/>
      <c r="Q44" s="348"/>
      <c r="S44" s="278">
        <f t="shared" si="0"/>
        <v>0</v>
      </c>
      <c r="T44" s="297" t="e">
        <f t="shared" si="1"/>
        <v>#N/A</v>
      </c>
      <c r="U44" s="297" t="e">
        <f t="shared" si="2"/>
        <v>#N/A</v>
      </c>
      <c r="V44" s="298" t="e">
        <f t="shared" si="3"/>
        <v>#N/A</v>
      </c>
      <c r="W44" s="298" t="e">
        <f t="shared" si="4"/>
        <v>#N/A</v>
      </c>
      <c r="X44" s="298" t="e">
        <f t="shared" si="5"/>
        <v>#N/A</v>
      </c>
      <c r="Y44" s="298" t="e">
        <f t="shared" si="6"/>
        <v>#N/A</v>
      </c>
      <c r="Z44" s="298" t="e">
        <f t="shared" si="7"/>
        <v>#N/A</v>
      </c>
      <c r="AA44" s="297" t="e">
        <f t="shared" si="8"/>
        <v>#N/A</v>
      </c>
    </row>
    <row r="45" spans="2:27" ht="15.75" hidden="1" customHeight="1">
      <c r="B45" s="33"/>
      <c r="C45" s="367"/>
      <c r="D45" s="280"/>
      <c r="E45" s="280"/>
      <c r="F45" s="279"/>
      <c r="G45" s="280"/>
      <c r="H45" s="419"/>
      <c r="I45" s="512"/>
      <c r="J45" s="512"/>
      <c r="K45" s="422"/>
      <c r="L45" s="277"/>
      <c r="M45" s="375"/>
      <c r="N45" s="371"/>
      <c r="O45" s="513"/>
      <c r="P45" s="370"/>
      <c r="Q45" s="348"/>
      <c r="S45" s="278">
        <f t="shared" si="0"/>
        <v>0</v>
      </c>
      <c r="T45" s="297" t="e">
        <f t="shared" si="1"/>
        <v>#N/A</v>
      </c>
      <c r="U45" s="297" t="e">
        <f t="shared" si="2"/>
        <v>#N/A</v>
      </c>
      <c r="V45" s="298" t="e">
        <f t="shared" si="3"/>
        <v>#N/A</v>
      </c>
      <c r="W45" s="298" t="e">
        <f t="shared" si="4"/>
        <v>#N/A</v>
      </c>
      <c r="X45" s="298" t="e">
        <f t="shared" si="5"/>
        <v>#N/A</v>
      </c>
      <c r="Y45" s="298" t="e">
        <f t="shared" si="6"/>
        <v>#N/A</v>
      </c>
      <c r="Z45" s="298" t="e">
        <f t="shared" si="7"/>
        <v>#N/A</v>
      </c>
      <c r="AA45" s="297" t="e">
        <f t="shared" si="8"/>
        <v>#N/A</v>
      </c>
    </row>
    <row r="46" spans="2:27" ht="15.75" hidden="1" customHeight="1">
      <c r="B46" s="33"/>
      <c r="C46" s="367"/>
      <c r="D46" s="280"/>
      <c r="E46" s="280"/>
      <c r="F46" s="279"/>
      <c r="G46" s="280"/>
      <c r="H46" s="419"/>
      <c r="I46" s="512"/>
      <c r="J46" s="512"/>
      <c r="K46" s="422"/>
      <c r="L46" s="277"/>
      <c r="M46" s="375"/>
      <c r="N46" s="371"/>
      <c r="O46" s="513"/>
      <c r="P46" s="370"/>
      <c r="Q46" s="348"/>
      <c r="S46" s="278">
        <f t="shared" si="0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5.75" hidden="1" customHeight="1">
      <c r="B47" s="29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Q47" s="348"/>
      <c r="S47" s="278">
        <f t="shared" si="0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hidden="1" customHeigh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Q48" s="348"/>
      <c r="S48" s="278">
        <f t="shared" si="0"/>
        <v>0</v>
      </c>
      <c r="T48" s="297" t="e">
        <f t="shared" si="1"/>
        <v>#N/A</v>
      </c>
      <c r="U48" s="297" t="e">
        <f t="shared" si="2"/>
        <v>#N/A</v>
      </c>
      <c r="V48" s="298" t="e">
        <f t="shared" si="3"/>
        <v>#N/A</v>
      </c>
      <c r="W48" s="298" t="e">
        <f t="shared" si="4"/>
        <v>#N/A</v>
      </c>
      <c r="X48" s="298" t="e">
        <f t="shared" si="5"/>
        <v>#N/A</v>
      </c>
      <c r="Y48" s="298" t="e">
        <f t="shared" si="6"/>
        <v>#N/A</v>
      </c>
      <c r="Z48" s="298" t="e">
        <f t="shared" si="7"/>
        <v>#N/A</v>
      </c>
      <c r="AA48" s="297" t="e">
        <f t="shared" si="8"/>
        <v>#N/A</v>
      </c>
    </row>
    <row r="49" spans="1:27" ht="15.75" hidden="1" customHeight="1">
      <c r="B49" s="29"/>
      <c r="C49" s="367"/>
      <c r="D49" s="280"/>
      <c r="E49" s="280"/>
      <c r="F49" s="279"/>
      <c r="G49" s="280"/>
      <c r="H49" s="419"/>
      <c r="I49" s="369"/>
      <c r="J49" s="369"/>
      <c r="K49" s="282"/>
      <c r="L49" s="277"/>
      <c r="M49" s="420"/>
      <c r="N49" s="371"/>
      <c r="O49" s="372"/>
      <c r="P49" s="370"/>
      <c r="Q49" s="348"/>
      <c r="S49" s="278">
        <f t="shared" si="0"/>
        <v>0</v>
      </c>
      <c r="T49" s="297" t="e">
        <f t="shared" si="1"/>
        <v>#N/A</v>
      </c>
      <c r="U49" s="297" t="e">
        <f t="shared" si="2"/>
        <v>#N/A</v>
      </c>
      <c r="V49" s="298" t="e">
        <f t="shared" si="3"/>
        <v>#N/A</v>
      </c>
      <c r="W49" s="298" t="e">
        <f t="shared" si="4"/>
        <v>#N/A</v>
      </c>
      <c r="X49" s="298" t="e">
        <f t="shared" si="5"/>
        <v>#N/A</v>
      </c>
      <c r="Y49" s="298" t="e">
        <f t="shared" si="6"/>
        <v>#N/A</v>
      </c>
      <c r="Z49" s="298" t="e">
        <f t="shared" si="7"/>
        <v>#N/A</v>
      </c>
      <c r="AA49" s="297" t="e">
        <f t="shared" si="8"/>
        <v>#N/A</v>
      </c>
    </row>
    <row r="50" spans="1:27" ht="15.75" hidden="1" customHeight="1">
      <c r="B50" s="29"/>
      <c r="C50" s="367"/>
      <c r="D50" s="280"/>
      <c r="E50" s="280"/>
      <c r="F50" s="279"/>
      <c r="G50" s="280"/>
      <c r="H50" s="419"/>
      <c r="I50" s="369"/>
      <c r="J50" s="369"/>
      <c r="K50" s="282"/>
      <c r="L50" s="277"/>
      <c r="M50" s="420"/>
      <c r="N50" s="371"/>
      <c r="O50" s="372"/>
      <c r="P50" s="370"/>
      <c r="Q50" s="348"/>
      <c r="S50" s="278">
        <f t="shared" si="0"/>
        <v>0</v>
      </c>
      <c r="T50" s="297" t="e">
        <f t="shared" si="1"/>
        <v>#N/A</v>
      </c>
      <c r="U50" s="297" t="e">
        <f t="shared" si="2"/>
        <v>#N/A</v>
      </c>
      <c r="V50" s="298" t="e">
        <f t="shared" si="3"/>
        <v>#N/A</v>
      </c>
      <c r="W50" s="298" t="e">
        <f t="shared" si="4"/>
        <v>#N/A</v>
      </c>
      <c r="X50" s="298" t="e">
        <f t="shared" si="5"/>
        <v>#N/A</v>
      </c>
      <c r="Y50" s="298" t="e">
        <f t="shared" si="6"/>
        <v>#N/A</v>
      </c>
      <c r="Z50" s="298" t="e">
        <f t="shared" si="7"/>
        <v>#N/A</v>
      </c>
      <c r="AA50" s="297" t="e">
        <f t="shared" si="8"/>
        <v>#N/A</v>
      </c>
    </row>
    <row r="51" spans="1:27" ht="15.75" hidden="1" customHeight="1">
      <c r="B51" s="29"/>
      <c r="C51" s="367"/>
      <c r="D51" s="280"/>
      <c r="E51" s="280"/>
      <c r="F51" s="279"/>
      <c r="G51" s="280"/>
      <c r="H51" s="419"/>
      <c r="I51" s="369"/>
      <c r="J51" s="369"/>
      <c r="K51" s="282"/>
      <c r="L51" s="277"/>
      <c r="M51" s="420"/>
      <c r="N51" s="371"/>
      <c r="O51" s="372"/>
      <c r="P51" s="370"/>
      <c r="Q51" s="348"/>
      <c r="S51" s="278">
        <f t="shared" si="0"/>
        <v>0</v>
      </c>
      <c r="T51" s="297" t="e">
        <f t="shared" si="1"/>
        <v>#N/A</v>
      </c>
      <c r="U51" s="297" t="e">
        <f t="shared" si="2"/>
        <v>#N/A</v>
      </c>
      <c r="V51" s="298" t="e">
        <f t="shared" si="3"/>
        <v>#N/A</v>
      </c>
      <c r="W51" s="298" t="e">
        <f t="shared" si="4"/>
        <v>#N/A</v>
      </c>
      <c r="X51" s="298" t="e">
        <f t="shared" si="5"/>
        <v>#N/A</v>
      </c>
      <c r="Y51" s="298" t="e">
        <f t="shared" si="6"/>
        <v>#N/A</v>
      </c>
      <c r="Z51" s="298" t="e">
        <f t="shared" si="7"/>
        <v>#N/A</v>
      </c>
      <c r="AA51" s="297" t="e">
        <f t="shared" si="8"/>
        <v>#N/A</v>
      </c>
    </row>
    <row r="52" spans="1:27" ht="14.4" hidden="1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375"/>
      <c r="N52" s="371"/>
      <c r="O52" s="372"/>
      <c r="P52" s="370"/>
      <c r="Q52" s="348"/>
      <c r="S52" s="278">
        <f t="shared" si="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 thickBot="1">
      <c r="B53" s="359"/>
      <c r="C53" s="359"/>
      <c r="D53" s="359"/>
      <c r="E53" s="359"/>
      <c r="F53" s="295"/>
      <c r="G53" s="295"/>
      <c r="H53" s="349"/>
      <c r="I53" s="574" t="s">
        <v>34</v>
      </c>
      <c r="J53" s="574"/>
      <c r="K53" s="574"/>
      <c r="L53" s="574"/>
      <c r="M53" s="574"/>
      <c r="N53" s="574"/>
      <c r="O53" s="1"/>
      <c r="P53" s="12"/>
      <c r="S53" s="278"/>
      <c r="T53" s="297"/>
      <c r="U53" s="297"/>
      <c r="V53" s="298"/>
      <c r="W53" s="298"/>
      <c r="X53" s="298"/>
      <c r="Y53" s="298"/>
      <c r="Z53" s="298"/>
      <c r="AA53" s="297"/>
    </row>
    <row r="54" spans="1:27" ht="15" thickBot="1">
      <c r="B54" s="389" t="s">
        <v>145</v>
      </c>
      <c r="C54" s="389"/>
      <c r="D54" s="552" t="s">
        <v>35</v>
      </c>
      <c r="E54" s="553"/>
      <c r="F54" s="295"/>
      <c r="G54" s="295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5"/>
      <c r="P54" s="12"/>
      <c r="S54" s="278"/>
      <c r="T54" s="297"/>
      <c r="U54" s="297"/>
      <c r="V54" s="298"/>
      <c r="W54" s="298"/>
      <c r="X54" s="298"/>
      <c r="Y54" s="298"/>
      <c r="Z54" s="298"/>
      <c r="AA54" s="297"/>
    </row>
    <row r="55" spans="1:27" ht="15" customHeight="1">
      <c r="A55" s="28"/>
      <c r="B55" s="660" t="str">
        <f>I55</f>
        <v>CARIB</v>
      </c>
      <c r="C55" s="363">
        <v>11.8</v>
      </c>
      <c r="D55" s="578">
        <v>11.68</v>
      </c>
      <c r="E55" s="579"/>
      <c r="F55" s="295"/>
      <c r="G55" s="295"/>
      <c r="H55" s="295"/>
      <c r="I55" s="29" t="s">
        <v>6</v>
      </c>
      <c r="J55" s="324">
        <f>AVERAGE(I15:I18)</f>
        <v>94.070481731042833</v>
      </c>
      <c r="K55" s="285">
        <f>COUNTA([28]Brewhouse!$A$102:$A$165)</f>
        <v>64</v>
      </c>
      <c r="L55" s="303">
        <f>AVERAGE([28]Brewhouse!$AU$102:$AU$165)</f>
        <v>94.230827140592467</v>
      </c>
      <c r="M55" s="303">
        <f>AVERAGE([28]Brewhouse!$AU$102:$AU$165)</f>
        <v>94.230827140592467</v>
      </c>
      <c r="N55" s="30">
        <v>98</v>
      </c>
      <c r="O55" s="11"/>
      <c r="P55" s="31"/>
      <c r="S55" s="278"/>
      <c r="T55" s="297"/>
      <c r="U55" s="297"/>
      <c r="V55" s="298"/>
      <c r="W55" s="298"/>
      <c r="X55" s="298"/>
      <c r="Y55" s="298"/>
      <c r="Z55" s="298"/>
      <c r="AA55" s="297"/>
    </row>
    <row r="56" spans="1:27" ht="15" customHeight="1">
      <c r="A56" s="28"/>
      <c r="B56" s="661"/>
      <c r="C56" s="350">
        <v>11.6</v>
      </c>
      <c r="D56" s="580"/>
      <c r="E56" s="581"/>
      <c r="F56" s="295"/>
      <c r="G56" s="295"/>
      <c r="H56" s="32"/>
      <c r="I56" s="33" t="s">
        <v>9</v>
      </c>
      <c r="J56" s="324">
        <f>AVERAGE(I10:I13)</f>
        <v>94.415640557261412</v>
      </c>
      <c r="K56" s="285">
        <f>COUNTA([22]Brewhouse!$A$15:$A$64)</f>
        <v>50</v>
      </c>
      <c r="L56" s="303">
        <f>AVERAGE([22]Brewhouse!$AS$15:$AS$64)</f>
        <v>96.07733212061747</v>
      </c>
      <c r="M56" s="303">
        <f>AVERAGE([22]Brewhouse!$AS$15:$AS$64)</f>
        <v>96.07733212061747</v>
      </c>
      <c r="N56" s="30">
        <v>98</v>
      </c>
      <c r="O56" s="11"/>
      <c r="P56" s="31"/>
      <c r="S56" s="278"/>
      <c r="T56" s="297"/>
      <c r="U56" s="297"/>
      <c r="V56" s="298"/>
      <c r="W56" s="298"/>
      <c r="X56" s="298"/>
      <c r="Y56" s="298"/>
      <c r="Z56" s="298"/>
      <c r="AA56" s="297"/>
    </row>
    <row r="57" spans="1:27" ht="14.7" customHeight="1">
      <c r="A57" s="28"/>
      <c r="B57" s="661"/>
      <c r="C57" s="350">
        <v>11.7</v>
      </c>
      <c r="D57" s="578">
        <v>11.67</v>
      </c>
      <c r="E57" s="579"/>
      <c r="F57" s="295"/>
      <c r="G57" s="295"/>
      <c r="H57" s="32"/>
      <c r="I57" s="34" t="s">
        <v>12</v>
      </c>
      <c r="J57" s="281"/>
      <c r="K57" s="285">
        <f>COUNTA([31]Brewhouse!$A$4:$A$7)</f>
        <v>4</v>
      </c>
      <c r="L57" s="303">
        <f>AVERAGE([31]Brewhouse!$AU$4:$AU$7)</f>
        <v>97.101937860557186</v>
      </c>
      <c r="M57" s="303">
        <f>AVERAGE([31]Brewhouse!$AU$4:$AU$7)</f>
        <v>97.101937860557186</v>
      </c>
      <c r="N57" s="30">
        <v>98</v>
      </c>
      <c r="O57" s="11"/>
      <c r="P57" s="31"/>
      <c r="S57" s="23"/>
      <c r="T57" s="1"/>
      <c r="U57" s="1"/>
      <c r="AA57" s="286"/>
    </row>
    <row r="58" spans="1:27" ht="14.7" customHeight="1">
      <c r="A58" s="28"/>
      <c r="B58" s="661"/>
      <c r="C58" s="350">
        <v>11.7</v>
      </c>
      <c r="D58" s="580"/>
      <c r="E58" s="581"/>
      <c r="F58" s="295"/>
      <c r="G58" s="295"/>
      <c r="H58" s="32"/>
      <c r="I58" s="22" t="s">
        <v>33</v>
      </c>
      <c r="J58" s="281"/>
      <c r="K58" s="285">
        <f>COUNTA([25]Brewhouse!$A$5:$A$14)</f>
        <v>10</v>
      </c>
      <c r="L58" s="303">
        <f>AVERAGE([25]Brewhouse!$AV$5:$AV$14)</f>
        <v>97.717673301363135</v>
      </c>
      <c r="M58" s="303">
        <f>AVERAGE([25]Brewhouse!$AV$5:$AV$14)</f>
        <v>97.717673301363135</v>
      </c>
      <c r="N58" s="30">
        <v>98</v>
      </c>
      <c r="O58" s="11"/>
      <c r="P58" s="31"/>
      <c r="S58" s="23"/>
      <c r="T58" s="1"/>
      <c r="U58" s="1"/>
      <c r="AA58" s="286"/>
    </row>
    <row r="59" spans="1:27" ht="14.7" customHeight="1">
      <c r="A59" s="28"/>
      <c r="B59" s="661"/>
      <c r="C59" s="350">
        <v>12</v>
      </c>
      <c r="D59" s="578">
        <v>11.76</v>
      </c>
      <c r="E59" s="579"/>
      <c r="F59" s="295"/>
      <c r="G59" s="295"/>
      <c r="H59" s="32"/>
      <c r="I59" s="35" t="s">
        <v>29</v>
      </c>
      <c r="J59" s="281"/>
      <c r="K59" s="285"/>
      <c r="L59" s="303"/>
      <c r="M59" s="303"/>
      <c r="N59" s="30">
        <v>98</v>
      </c>
      <c r="O59" s="11"/>
      <c r="P59" s="31"/>
      <c r="S59" s="23"/>
    </row>
    <row r="60" spans="1:27" ht="14.7" customHeight="1">
      <c r="A60" s="28"/>
      <c r="B60" s="661"/>
      <c r="C60" s="350">
        <v>11.7</v>
      </c>
      <c r="D60" s="580"/>
      <c r="E60" s="581"/>
      <c r="F60" s="295"/>
      <c r="G60" s="295"/>
      <c r="H60" s="32"/>
      <c r="I60" s="36" t="s">
        <v>15</v>
      </c>
      <c r="J60" s="324"/>
      <c r="K60" s="285">
        <f>COUNTA([27]Brewhouse!$A$4:$A$11)</f>
        <v>8</v>
      </c>
      <c r="L60" s="303">
        <f>AVERAGE([27]Brewhouse!$AT$4:$AT$11)</f>
        <v>94.812616598822359</v>
      </c>
      <c r="M60" s="303">
        <f>AVERAGE([27]Brewhouse!$AT$4:$AT$11)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661"/>
      <c r="C61" s="350">
        <v>11.9</v>
      </c>
      <c r="D61" s="578">
        <v>11.71</v>
      </c>
      <c r="E61" s="579"/>
      <c r="F61" s="295"/>
      <c r="G61" s="295"/>
      <c r="H61" s="32"/>
      <c r="I61" s="37" t="s">
        <v>16</v>
      </c>
      <c r="J61" s="324"/>
      <c r="K61" s="285">
        <f>COUNTA(Jan.20th!B31:B34,'Jan 30th'!B34:B36)</f>
        <v>4</v>
      </c>
      <c r="L61" s="303">
        <f>AVERAGE([29]Brewhouse!$AY$6:$AY$13)</f>
        <v>93.094805585685208</v>
      </c>
      <c r="M61" s="303">
        <f>AVERAGE([29]Brewhouse!$AY$6:$AY$13)</f>
        <v>93.094805585685208</v>
      </c>
      <c r="N61" s="30">
        <v>98</v>
      </c>
      <c r="O61" s="11"/>
      <c r="P61" s="31" t="s">
        <v>41</v>
      </c>
      <c r="S61" s="23"/>
      <c r="X61" s="276" t="s">
        <v>41</v>
      </c>
    </row>
    <row r="62" spans="1:27" ht="14.7" customHeight="1">
      <c r="A62" s="28"/>
      <c r="B62" s="661"/>
      <c r="C62" s="350">
        <v>11.8</v>
      </c>
      <c r="D62" s="580"/>
      <c r="E62" s="581"/>
      <c r="F62" s="295"/>
      <c r="G62" s="295"/>
      <c r="H62" s="32"/>
      <c r="I62" s="507" t="s">
        <v>174</v>
      </c>
      <c r="J62" s="327"/>
      <c r="K62" s="285">
        <f>COUNTA([26]Brewhouse!$A$5:$A$8)</f>
        <v>4</v>
      </c>
      <c r="L62" s="306">
        <f>AVERAGE([26]Brewhouse!$AU$5:$AU$8)</f>
        <v>91.006888337619571</v>
      </c>
      <c r="M62" s="306">
        <f>AVERAGE([26]Brewhouse!$AU$5:$AU$8)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661"/>
      <c r="C63" s="350">
        <v>11.58</v>
      </c>
      <c r="D63" s="578">
        <v>11.74</v>
      </c>
      <c r="E63" s="579"/>
      <c r="F63" s="295"/>
      <c r="G63" s="295"/>
      <c r="H63" s="32"/>
      <c r="I63" s="506" t="s">
        <v>166</v>
      </c>
      <c r="J63" s="327"/>
      <c r="K63" s="285"/>
      <c r="L63" s="306"/>
      <c r="M63" s="306"/>
      <c r="N63" s="30"/>
      <c r="O63" s="11"/>
      <c r="P63" s="31"/>
      <c r="S63" s="23"/>
    </row>
    <row r="64" spans="1:27" ht="15" customHeight="1" thickBot="1">
      <c r="A64" s="28"/>
      <c r="B64" s="661"/>
      <c r="C64" s="350">
        <v>11.81</v>
      </c>
      <c r="D64" s="580"/>
      <c r="E64" s="581"/>
      <c r="F64" s="295"/>
      <c r="G64" s="295"/>
      <c r="H64" s="32"/>
      <c r="I64" s="502" t="s">
        <v>165</v>
      </c>
      <c r="J64" s="328"/>
      <c r="K64" s="503"/>
      <c r="L64" s="504"/>
      <c r="M64" s="504"/>
      <c r="N64" s="505">
        <v>98</v>
      </c>
      <c r="O64" s="11"/>
      <c r="P64" s="31"/>
      <c r="S64" s="23"/>
    </row>
    <row r="65" spans="1:57" ht="15" customHeight="1" thickBot="1">
      <c r="A65" s="28"/>
      <c r="B65" s="661"/>
      <c r="C65" s="350"/>
      <c r="D65" s="578"/>
      <c r="E65" s="579"/>
      <c r="F65" s="295"/>
      <c r="G65" s="295"/>
      <c r="H65" s="32"/>
      <c r="I65" s="1"/>
      <c r="J65" s="39"/>
      <c r="K65" s="500">
        <f>SUM(K55:K64)</f>
        <v>144</v>
      </c>
      <c r="L65" s="501">
        <f>((L55*K55)+(L56*K56)+(L57*K57)+(L58*K58)+(L59*K59)+(K62*L62)+(L60*K60)+(L61*K61)+(L64*K64))/(K65)</f>
        <v>95.105081499780908</v>
      </c>
      <c r="M65" s="501">
        <f>L65</f>
        <v>95.105081499780908</v>
      </c>
      <c r="N65" s="40">
        <v>98</v>
      </c>
      <c r="O65" s="11"/>
      <c r="P65" s="31"/>
      <c r="S65" s="23"/>
    </row>
    <row r="66" spans="1:57" ht="15" thickBot="1">
      <c r="B66" s="662"/>
      <c r="C66" s="351"/>
      <c r="D66" s="580"/>
      <c r="E66" s="581"/>
      <c r="F66" s="295"/>
      <c r="G66" s="42"/>
      <c r="H66" s="41"/>
      <c r="I66" s="42"/>
      <c r="J66" s="42"/>
      <c r="K66" s="352"/>
      <c r="L66" s="349"/>
      <c r="M66" s="349"/>
      <c r="N66" s="11"/>
      <c r="O66" s="295"/>
      <c r="P66" s="12"/>
      <c r="S66" s="23"/>
    </row>
    <row r="67" spans="1:57" ht="15" thickBot="1">
      <c r="B67" s="653"/>
      <c r="C67" s="363"/>
      <c r="D67" s="591"/>
      <c r="E67" s="592"/>
      <c r="F67" s="43"/>
      <c r="G67" s="41"/>
      <c r="H67" s="41"/>
      <c r="I67" s="42"/>
      <c r="J67" s="594" t="s">
        <v>129</v>
      </c>
      <c r="K67" s="594"/>
      <c r="L67" s="295"/>
      <c r="M67" s="295"/>
      <c r="N67" s="295"/>
      <c r="O67" s="295"/>
      <c r="P67" s="12"/>
      <c r="S67" s="23" t="s">
        <v>41</v>
      </c>
    </row>
    <row r="68" spans="1:57" ht="13.5" customHeight="1" thickBot="1">
      <c r="B68" s="654"/>
      <c r="C68" s="350"/>
      <c r="D68" s="593"/>
      <c r="E68" s="581"/>
      <c r="F68" s="43"/>
      <c r="G68" s="41"/>
      <c r="H68" s="41"/>
      <c r="I68" s="42"/>
      <c r="J68" s="526" t="s">
        <v>17</v>
      </c>
      <c r="K68" s="294" t="s">
        <v>201</v>
      </c>
      <c r="L68" s="595" t="s">
        <v>136</v>
      </c>
      <c r="M68" s="595"/>
      <c r="N68" s="596"/>
      <c r="O68" s="295"/>
      <c r="P68" s="12"/>
      <c r="S68" s="23"/>
    </row>
    <row r="69" spans="1:57" ht="15" customHeight="1" thickBot="1">
      <c r="B69" s="654"/>
      <c r="C69" s="350"/>
      <c r="D69" s="597"/>
      <c r="E69" s="579"/>
      <c r="F69" s="43"/>
      <c r="G69" s="41"/>
      <c r="H69" s="41"/>
      <c r="I69" s="42"/>
      <c r="J69" s="527" t="s">
        <v>6</v>
      </c>
      <c r="K69" s="325">
        <v>4</v>
      </c>
      <c r="L69" s="344" t="s">
        <v>37</v>
      </c>
      <c r="M69" s="308" t="s">
        <v>38</v>
      </c>
      <c r="N69" s="308" t="s">
        <v>84</v>
      </c>
      <c r="O69" s="295"/>
      <c r="P69" s="12"/>
      <c r="S69" s="23"/>
    </row>
    <row r="70" spans="1:57" ht="15.75" customHeight="1" thickBot="1">
      <c r="B70" s="654"/>
      <c r="C70" s="350"/>
      <c r="D70" s="593"/>
      <c r="E70" s="581"/>
      <c r="F70" s="43"/>
      <c r="G70" s="41"/>
      <c r="H70" s="41"/>
      <c r="I70" s="42"/>
      <c r="J70" s="528" t="s">
        <v>9</v>
      </c>
      <c r="K70" s="325">
        <v>4</v>
      </c>
      <c r="L70" s="345">
        <f>AVERAGE('Jan 2nd'!K69,'Jan 3rd'!K69,'Jan 6th'!K54,'Jan 7th'!K76,'Jan 8th'!K76,'Jan. 10th'!K54,'Jan. 14th '!K54,'Jan.15th '!K55,Jan.16th!K58,'Jan.17th -19th'!K67,Jan.20th!K67,'Jan.21ST '!K70,'Jan 22nd'!K79,'Jan 30th'!K79,'Jan 24th, 27th, 28th'!K79,'Jan 24th, 27th, 28th'!I79,'Jan 24th, 27th, 28th'!H79,'Jan 29th '!K79,I79,H79,'Jan 23rd '!K86)</f>
        <v>6.7368421052631575</v>
      </c>
      <c r="M70" s="326">
        <f>L70</f>
        <v>6.7368421052631575</v>
      </c>
      <c r="N70" s="488"/>
      <c r="O70" s="295"/>
      <c r="P70" s="12"/>
      <c r="S70" s="23"/>
    </row>
    <row r="71" spans="1:57" ht="15" customHeight="1">
      <c r="B71" s="654"/>
      <c r="C71" s="350"/>
      <c r="D71" s="597"/>
      <c r="E71" s="579"/>
      <c r="F71" s="43"/>
      <c r="G71" s="41"/>
      <c r="H71" s="41"/>
      <c r="I71" s="42"/>
      <c r="J71" s="529" t="s">
        <v>40</v>
      </c>
      <c r="K71" s="325"/>
      <c r="L71" s="295"/>
      <c r="M71" s="295"/>
      <c r="N71" s="295"/>
      <c r="O71" s="295"/>
      <c r="P71" s="12"/>
      <c r="S71" s="23"/>
    </row>
    <row r="72" spans="1:57" ht="15" customHeight="1">
      <c r="B72" s="654"/>
      <c r="C72" s="350"/>
      <c r="D72" s="593"/>
      <c r="E72" s="581"/>
      <c r="F72" s="43"/>
      <c r="G72" s="41"/>
      <c r="H72" s="41"/>
      <c r="I72" s="42"/>
      <c r="J72" s="530" t="s">
        <v>33</v>
      </c>
      <c r="K72" s="325"/>
      <c r="L72" s="295"/>
      <c r="M72" s="295"/>
      <c r="N72" s="295"/>
      <c r="O72" s="295"/>
      <c r="P72" s="12"/>
      <c r="S72" s="23"/>
    </row>
    <row r="73" spans="1:57" ht="14.4">
      <c r="B73" s="654"/>
      <c r="C73" s="350"/>
      <c r="D73" s="597"/>
      <c r="E73" s="579"/>
      <c r="F73" s="43"/>
      <c r="G73" s="41"/>
      <c r="H73" s="41"/>
      <c r="I73" s="42"/>
      <c r="J73" s="531" t="s">
        <v>16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1:57" ht="14.4">
      <c r="B74" s="654"/>
      <c r="C74" s="350"/>
      <c r="D74" s="593"/>
      <c r="E74" s="581"/>
      <c r="F74" s="43"/>
      <c r="G74" s="41"/>
      <c r="H74" s="41"/>
      <c r="I74" s="42"/>
      <c r="J74" s="532" t="s">
        <v>15</v>
      </c>
      <c r="K74" s="325"/>
      <c r="L74" s="295"/>
      <c r="M74" s="295"/>
      <c r="N74" s="295"/>
      <c r="O74" s="295"/>
      <c r="P74" s="12"/>
      <c r="S74" s="23"/>
      <c r="BD74" s="44"/>
      <c r="BE74" s="44"/>
    </row>
    <row r="75" spans="1:57" ht="14.4">
      <c r="B75" s="654"/>
      <c r="C75" s="350"/>
      <c r="D75" s="598"/>
      <c r="E75" s="583"/>
      <c r="F75" s="43"/>
      <c r="G75" s="41"/>
      <c r="H75" s="41"/>
      <c r="I75" s="42"/>
      <c r="J75" s="532" t="s">
        <v>149</v>
      </c>
      <c r="K75" s="325"/>
      <c r="L75" s="295"/>
      <c r="M75" s="295"/>
      <c r="N75" s="295"/>
      <c r="O75" s="295"/>
      <c r="P75" s="12"/>
      <c r="S75" s="23"/>
      <c r="BD75" s="44"/>
      <c r="BE75" s="44"/>
    </row>
    <row r="76" spans="1:57" ht="15" thickBot="1">
      <c r="B76" s="655"/>
      <c r="C76" s="351"/>
      <c r="D76" s="599"/>
      <c r="E76" s="600"/>
      <c r="F76" s="43"/>
      <c r="G76" s="41"/>
      <c r="H76" s="41"/>
      <c r="I76" s="42"/>
      <c r="J76" s="532" t="s">
        <v>148</v>
      </c>
      <c r="K76" s="325"/>
      <c r="L76" s="295"/>
      <c r="M76" s="295"/>
      <c r="N76" s="295"/>
      <c r="O76" s="295"/>
      <c r="P76" s="12"/>
      <c r="S76" s="23"/>
      <c r="BD76" s="44"/>
      <c r="BE76" s="44"/>
    </row>
    <row r="77" spans="1:57" ht="17.7" customHeight="1" thickBot="1">
      <c r="B77" s="313" t="s">
        <v>139</v>
      </c>
      <c r="C77" s="314"/>
      <c r="D77" s="601">
        <f>AVERAGE(D55:E76)</f>
        <v>11.712</v>
      </c>
      <c r="E77" s="602"/>
      <c r="F77" s="43"/>
      <c r="G77" s="41"/>
      <c r="H77" s="41"/>
      <c r="I77" s="42"/>
      <c r="J77" s="533" t="s">
        <v>134</v>
      </c>
      <c r="K77" s="325"/>
      <c r="L77" s="295"/>
      <c r="M77" s="295"/>
      <c r="N77" s="295"/>
      <c r="O77" s="295"/>
      <c r="P77" s="12"/>
      <c r="S77" s="23"/>
      <c r="BD77" s="44"/>
      <c r="BE77" s="44"/>
    </row>
    <row r="78" spans="1:57" ht="17.7" customHeight="1">
      <c r="B78" s="364"/>
      <c r="C78" s="365"/>
      <c r="D78" s="366"/>
      <c r="E78" s="366"/>
      <c r="F78" s="43"/>
      <c r="G78" s="41"/>
      <c r="H78" s="41"/>
      <c r="I78" s="42"/>
      <c r="J78" s="533" t="s">
        <v>131</v>
      </c>
      <c r="K78" s="325"/>
      <c r="L78" s="295"/>
      <c r="M78" s="295"/>
      <c r="N78" s="295"/>
      <c r="O78" s="295"/>
      <c r="P78" s="12"/>
      <c r="S78" s="23"/>
      <c r="BD78" s="44"/>
      <c r="BE78" s="44"/>
    </row>
    <row r="79" spans="1:57" ht="15.75" customHeight="1">
      <c r="B79" s="45"/>
      <c r="C79" s="11"/>
      <c r="D79" s="11"/>
      <c r="E79" s="46"/>
      <c r="F79" s="23"/>
      <c r="G79" s="11"/>
      <c r="H79" s="41"/>
      <c r="I79" s="42"/>
      <c r="J79" s="534" t="s">
        <v>130</v>
      </c>
      <c r="K79" s="325">
        <f>SUM(K69:K78)</f>
        <v>8</v>
      </c>
      <c r="L79" s="295"/>
      <c r="M79" s="295"/>
      <c r="N79" s="295"/>
      <c r="O79" s="295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5"/>
      <c r="P80" s="335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6" t="s">
        <v>41</v>
      </c>
    </row>
    <row r="82" spans="2:58" ht="15" customHeight="1" thickBot="1">
      <c r="B82" s="603" t="s">
        <v>17</v>
      </c>
      <c r="C82" s="603" t="s">
        <v>44</v>
      </c>
      <c r="D82" s="605" t="s">
        <v>45</v>
      </c>
      <c r="E82" s="560" t="s">
        <v>46</v>
      </c>
      <c r="F82" s="620" t="s">
        <v>47</v>
      </c>
      <c r="G82" s="614" t="s">
        <v>48</v>
      </c>
      <c r="H82" s="603" t="s">
        <v>49</v>
      </c>
      <c r="I82" s="603" t="s">
        <v>50</v>
      </c>
      <c r="J82" s="608" t="s">
        <v>28</v>
      </c>
      <c r="K82" s="558" t="s">
        <v>51</v>
      </c>
      <c r="L82" s="570" t="s">
        <v>52</v>
      </c>
      <c r="M82" s="608" t="s">
        <v>53</v>
      </c>
      <c r="N82" s="77"/>
      <c r="O82" s="13"/>
      <c r="P82" s="50"/>
    </row>
    <row r="83" spans="2:58" ht="28.5" customHeight="1" thickTop="1" thickBot="1">
      <c r="B83" s="604"/>
      <c r="C83" s="604"/>
      <c r="D83" s="606"/>
      <c r="E83" s="607"/>
      <c r="F83" s="621"/>
      <c r="G83" s="615"/>
      <c r="H83" s="604"/>
      <c r="I83" s="604"/>
      <c r="J83" s="609"/>
      <c r="K83" s="618"/>
      <c r="L83" s="619"/>
      <c r="M83" s="609"/>
      <c r="N83" s="77"/>
      <c r="O83" s="13"/>
      <c r="P83" s="50"/>
      <c r="Q83" s="356"/>
      <c r="R83" s="356"/>
      <c r="S83" s="356"/>
      <c r="T83" s="356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69.75" customHeight="1" thickBot="1">
      <c r="B84" s="441" t="str">
        <f>J69</f>
        <v>CARIB</v>
      </c>
      <c r="C84" s="284">
        <v>45687</v>
      </c>
      <c r="D84" s="378">
        <f>[23]January_2025!$AG$3</f>
        <v>497.20000000000005</v>
      </c>
      <c r="E84" s="379"/>
      <c r="F84" s="380">
        <f>SUM([30]CARIB!$L$112+[30]CARIB!$L$114+[30]CARIB!$L$116+[30]CARIB!$L$128)</f>
        <v>486.59999999999997</v>
      </c>
      <c r="G84" s="304">
        <f>[23]January_2025!$AG$7</f>
        <v>464.3</v>
      </c>
      <c r="H84" s="446">
        <f>(D84-F84)/D84*100</f>
        <v>2.1319388576025902</v>
      </c>
      <c r="I84" s="446">
        <f>((F84+E84)-G84)/(F84+E84)*100</f>
        <v>4.5828195643238709</v>
      </c>
      <c r="J84" s="391" t="s">
        <v>202</v>
      </c>
      <c r="K84" s="381">
        <f>[24]January_2025!$AG$18</f>
        <v>1.6291228070175439</v>
      </c>
      <c r="L84" s="315">
        <f>(((D84+E84)-G84)/(D84+E84))*100</f>
        <v>6.6170555108608271</v>
      </c>
      <c r="M84" s="358" t="s">
        <v>178</v>
      </c>
      <c r="N84" s="13"/>
      <c r="O84" s="13"/>
      <c r="P84" s="50"/>
      <c r="T84" s="273" t="s">
        <v>54</v>
      </c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</row>
    <row r="85" spans="2:58" s="54" customFormat="1" ht="18.75" customHeight="1">
      <c r="B85" s="388"/>
      <c r="C85" s="284"/>
      <c r="D85" s="280"/>
      <c r="E85" s="280"/>
      <c r="F85" s="280"/>
      <c r="G85" s="280"/>
      <c r="H85" s="321"/>
      <c r="I85" s="322"/>
      <c r="J85" s="390" t="s">
        <v>41</v>
      </c>
      <c r="K85" s="377"/>
      <c r="L85" s="315"/>
      <c r="M85" s="385"/>
      <c r="N85" s="13"/>
      <c r="O85" s="13"/>
      <c r="P85" s="50"/>
      <c r="T85" s="273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8" t="e">
        <f>[20]January_2019!AH8</f>
        <v>#DIV/0!</v>
      </c>
      <c r="AZ85" s="278"/>
      <c r="BA85" s="278"/>
      <c r="BB85" s="278"/>
      <c r="BC85" s="278"/>
      <c r="BD85" s="278"/>
      <c r="BE85" s="278"/>
      <c r="BF85" s="278"/>
    </row>
    <row r="86" spans="2:58" s="54" customFormat="1" ht="42" hidden="1" customHeight="1" thickBot="1">
      <c r="B86" s="540"/>
      <c r="C86" s="284"/>
      <c r="D86" s="280"/>
      <c r="E86" s="280"/>
      <c r="F86" s="280"/>
      <c r="G86" s="280"/>
      <c r="H86" s="446" t="e">
        <f>(D86-F86)/D86*100</f>
        <v>#DIV/0!</v>
      </c>
      <c r="I86" s="446" t="e">
        <f>((F86+E86)-G86)/(F86+E86)*100</f>
        <v>#DIV/0!</v>
      </c>
      <c r="J86" s="391" t="s">
        <v>202</v>
      </c>
      <c r="K86" s="373"/>
      <c r="L86" s="315" t="e">
        <f>(((D86+E86)-G86)/(D86+E86))*100</f>
        <v>#DIV/0!</v>
      </c>
      <c r="M86" s="358"/>
      <c r="N86" s="13"/>
      <c r="O86" s="13"/>
      <c r="P86" s="50"/>
      <c r="T86" s="273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8"/>
      <c r="AZ86" s="278"/>
      <c r="BA86" s="278"/>
      <c r="BB86" s="278"/>
      <c r="BC86" s="278"/>
      <c r="BD86" s="278"/>
      <c r="BE86" s="278"/>
      <c r="BF86" s="278"/>
    </row>
    <row r="87" spans="2:58" s="54" customFormat="1" hidden="1">
      <c r="B87" s="362"/>
      <c r="C87" s="284"/>
      <c r="D87" s="305"/>
      <c r="E87" s="280"/>
      <c r="F87" s="280"/>
      <c r="G87" s="280"/>
      <c r="H87" s="382"/>
      <c r="I87" s="383"/>
      <c r="J87" s="390"/>
      <c r="K87" s="377"/>
      <c r="L87" s="315"/>
      <c r="M87" s="355"/>
      <c r="N87" s="13"/>
      <c r="O87" s="13"/>
      <c r="P87" s="50"/>
      <c r="T87" s="273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8"/>
      <c r="AZ87" s="278"/>
      <c r="BA87" s="278"/>
      <c r="BB87" s="278"/>
      <c r="BC87" s="278"/>
      <c r="BD87" s="278"/>
      <c r="BE87" s="278"/>
      <c r="BF87" s="278"/>
    </row>
    <row r="88" spans="2:58" s="54" customFormat="1" ht="45.75" hidden="1" customHeight="1" thickBot="1">
      <c r="B88" s="544"/>
      <c r="C88" s="284"/>
      <c r="D88" s="280"/>
      <c r="E88" s="280"/>
      <c r="F88" s="280"/>
      <c r="G88" s="280"/>
      <c r="H88" s="321"/>
      <c r="I88" s="323"/>
      <c r="J88" s="391" t="s">
        <v>202</v>
      </c>
      <c r="K88" s="287"/>
      <c r="L88" s="315"/>
      <c r="M88" s="385"/>
      <c r="N88" s="13"/>
      <c r="O88" s="13"/>
      <c r="P88" s="50"/>
      <c r="T88" s="273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8"/>
      <c r="AZ88" s="278"/>
      <c r="BA88" s="278"/>
      <c r="BB88" s="278"/>
      <c r="BC88" s="278"/>
      <c r="BD88" s="278"/>
      <c r="BE88" s="278"/>
      <c r="BF88" s="278"/>
    </row>
    <row r="89" spans="2:58" s="54" customFormat="1" ht="45.75" hidden="1" customHeight="1">
      <c r="B89" s="388"/>
      <c r="C89" s="284"/>
      <c r="D89" s="280"/>
      <c r="E89" s="280"/>
      <c r="F89" s="280"/>
      <c r="G89" s="280"/>
      <c r="H89" s="321"/>
      <c r="I89" s="323"/>
      <c r="J89" s="282"/>
      <c r="K89" s="287"/>
      <c r="L89" s="315"/>
      <c r="M89" s="340"/>
      <c r="N89" s="13"/>
      <c r="O89" s="13"/>
      <c r="P89" s="50"/>
      <c r="T89" s="273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8"/>
      <c r="AZ89" s="278"/>
      <c r="BA89" s="278"/>
      <c r="BB89" s="278"/>
      <c r="BC89" s="278"/>
      <c r="BD89" s="278"/>
      <c r="BE89" s="278"/>
      <c r="BF89" s="278"/>
    </row>
    <row r="90" spans="2:58" ht="14.4" thickBot="1">
      <c r="B90" s="33"/>
      <c r="C90" s="311"/>
      <c r="D90" s="280"/>
      <c r="E90" s="280"/>
      <c r="F90" s="280"/>
      <c r="G90" s="280"/>
      <c r="H90" s="353"/>
      <c r="I90" s="354"/>
      <c r="J90" s="52"/>
      <c r="K90" s="52"/>
      <c r="L90" s="53"/>
      <c r="M90" s="55"/>
      <c r="N90" s="77"/>
      <c r="O90" s="13"/>
      <c r="P90" s="56"/>
    </row>
    <row r="91" spans="2:58" ht="14.4" thickBot="1">
      <c r="B91" s="58"/>
      <c r="C91" s="31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610" t="s">
        <v>55</v>
      </c>
      <c r="C92" s="611"/>
      <c r="D92" s="611"/>
      <c r="E92" s="611"/>
      <c r="F92" s="612"/>
      <c r="G92" s="610" t="s">
        <v>56</v>
      </c>
      <c r="H92" s="611"/>
      <c r="I92" s="611"/>
      <c r="J92" s="612"/>
      <c r="K92" s="610" t="s">
        <v>51</v>
      </c>
      <c r="L92" s="611"/>
      <c r="M92" s="611"/>
      <c r="N92" s="613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>
        <f>L84</f>
        <v>6.6170555108608271</v>
      </c>
      <c r="D94" s="76">
        <v>9.1849148418491389</v>
      </c>
      <c r="E94" s="76">
        <f>D94</f>
        <v>9.1849148418491389</v>
      </c>
      <c r="F94" s="66">
        <v>4.8</v>
      </c>
      <c r="G94" s="65">
        <f>[23]January_2025!$AG$11</f>
        <v>7.5273685359377414</v>
      </c>
      <c r="H94" s="76">
        <v>9.2783449314619784</v>
      </c>
      <c r="I94" s="76">
        <f>H94</f>
        <v>9.2783449314619784</v>
      </c>
      <c r="J94" s="66">
        <v>4.8</v>
      </c>
      <c r="K94" s="67">
        <f>K84</f>
        <v>1.6291228070175439</v>
      </c>
      <c r="L94" s="194">
        <v>0.98457735247208944</v>
      </c>
      <c r="M94" s="194">
        <f>L94</f>
        <v>0.98457735247208944</v>
      </c>
      <c r="N94" s="68">
        <v>1</v>
      </c>
      <c r="O94" s="56"/>
      <c r="P94" s="69"/>
    </row>
    <row r="95" spans="2:58">
      <c r="B95" s="33" t="s">
        <v>9</v>
      </c>
      <c r="C95" s="65"/>
      <c r="D95" s="76">
        <v>6.8188129559970694</v>
      </c>
      <c r="E95" s="76">
        <f t="shared" ref="E95:E102" si="9">D95</f>
        <v>6.8188129559970694</v>
      </c>
      <c r="F95" s="66">
        <v>4.8</v>
      </c>
      <c r="G95" s="65"/>
      <c r="H95" s="76">
        <v>10.863101163921975</v>
      </c>
      <c r="I95" s="76">
        <f t="shared" ref="I95:I102" si="10">H95</f>
        <v>10.863101163921975</v>
      </c>
      <c r="J95" s="66">
        <v>4.8</v>
      </c>
      <c r="K95" s="67"/>
      <c r="L95" s="194">
        <v>0.97131578947368413</v>
      </c>
      <c r="M95" s="194">
        <f t="shared" ref="M95:M102" si="11">L95</f>
        <v>0.97131578947368413</v>
      </c>
      <c r="N95" s="68">
        <v>1</v>
      </c>
      <c r="P95" s="69"/>
    </row>
    <row r="96" spans="2:58">
      <c r="B96" s="34" t="s">
        <v>40</v>
      </c>
      <c r="C96" s="65"/>
      <c r="D96" s="76">
        <v>7.5530586766541949</v>
      </c>
      <c r="E96" s="76">
        <f t="shared" si="9"/>
        <v>7.5530586766541949</v>
      </c>
      <c r="F96" s="66">
        <v>5.5</v>
      </c>
      <c r="G96" s="65"/>
      <c r="H96" s="76">
        <v>2.6473552031086438</v>
      </c>
      <c r="I96" s="76">
        <f t="shared" si="10"/>
        <v>2.6473552031086438</v>
      </c>
      <c r="J96" s="66">
        <v>5.5</v>
      </c>
      <c r="K96" s="67"/>
      <c r="L96" s="194">
        <v>1.0392982456140349</v>
      </c>
      <c r="M96" s="194">
        <f t="shared" si="11"/>
        <v>1.0392982456140349</v>
      </c>
      <c r="N96" s="68">
        <v>1</v>
      </c>
      <c r="P96" s="69"/>
    </row>
    <row r="97" spans="2:16">
      <c r="B97" s="22" t="s">
        <v>33</v>
      </c>
      <c r="C97" s="65"/>
      <c r="D97" s="76">
        <v>2.2380467955239092</v>
      </c>
      <c r="E97" s="76">
        <f t="shared" si="9"/>
        <v>2.2380467955239092</v>
      </c>
      <c r="F97" s="66">
        <v>3.3</v>
      </c>
      <c r="G97" s="65"/>
      <c r="H97" s="76">
        <v>5.2472220688473969</v>
      </c>
      <c r="I97" s="76">
        <f t="shared" si="10"/>
        <v>5.2472220688473969</v>
      </c>
      <c r="J97" s="66">
        <v>3.3</v>
      </c>
      <c r="K97" s="67"/>
      <c r="L97" s="194">
        <v>0.67438596491228064</v>
      </c>
      <c r="M97" s="194">
        <f t="shared" si="11"/>
        <v>0.67438596491228064</v>
      </c>
      <c r="N97" s="68">
        <v>1</v>
      </c>
      <c r="P97" s="69"/>
    </row>
    <row r="98" spans="2:16">
      <c r="B98" s="35" t="s">
        <v>29</v>
      </c>
      <c r="C98" s="65"/>
      <c r="D98" s="76"/>
      <c r="E98" s="76"/>
      <c r="F98" s="66">
        <v>3.3</v>
      </c>
      <c r="G98" s="283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3"/>
      <c r="D99" s="76">
        <v>8.7664670658682695</v>
      </c>
      <c r="E99" s="76">
        <f t="shared" si="9"/>
        <v>8.7664670658682695</v>
      </c>
      <c r="F99" s="70">
        <f>[21]May_2022!$M$43</f>
        <v>3.4878406700073312</v>
      </c>
      <c r="G99" s="283"/>
      <c r="H99" s="76">
        <v>10.607235567685406</v>
      </c>
      <c r="I99" s="76">
        <f t="shared" si="10"/>
        <v>10.607235567685406</v>
      </c>
      <c r="J99" s="70">
        <v>5.5</v>
      </c>
      <c r="K99" s="67"/>
      <c r="L99" s="194">
        <v>0.66824561403508764</v>
      </c>
      <c r="M99" s="194">
        <f t="shared" si="11"/>
        <v>0.66824561403508764</v>
      </c>
      <c r="N99" s="68">
        <v>1</v>
      </c>
      <c r="P99" s="69"/>
    </row>
    <row r="100" spans="2:16">
      <c r="B100" s="37" t="s">
        <v>16</v>
      </c>
      <c r="C100" s="65"/>
      <c r="D100" s="76">
        <v>1.4603960396039548</v>
      </c>
      <c r="E100" s="76">
        <f t="shared" si="9"/>
        <v>1.4603960396039548</v>
      </c>
      <c r="F100" s="70">
        <v>3.3</v>
      </c>
      <c r="G100" s="283"/>
      <c r="H100" s="76">
        <v>4.0624079285034069</v>
      </c>
      <c r="I100" s="76">
        <f t="shared" si="10"/>
        <v>4.0624079285034069</v>
      </c>
      <c r="J100" s="70">
        <v>3.3</v>
      </c>
      <c r="K100" s="67"/>
      <c r="L100" s="194">
        <v>0.69842105263157894</v>
      </c>
      <c r="M100" s="194">
        <f t="shared" si="11"/>
        <v>0.69842105263157894</v>
      </c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/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7.7698511440722182</v>
      </c>
      <c r="E102" s="76">
        <f t="shared" si="9"/>
        <v>7.7698511440722182</v>
      </c>
      <c r="F102" s="342">
        <v>4.5</v>
      </c>
      <c r="G102" s="74"/>
      <c r="H102" s="76">
        <v>6.9593481484924711</v>
      </c>
      <c r="I102" s="76">
        <f t="shared" si="10"/>
        <v>6.9593481484924711</v>
      </c>
      <c r="J102" s="343">
        <v>4.5</v>
      </c>
      <c r="K102" s="67"/>
      <c r="L102" s="194">
        <v>0.80685146198830426</v>
      </c>
      <c r="M102" s="194">
        <f t="shared" si="11"/>
        <v>0.80685146198830426</v>
      </c>
      <c r="N102" s="387">
        <v>1</v>
      </c>
      <c r="O102" s="74"/>
      <c r="P102" s="75"/>
    </row>
    <row r="107" spans="2:16">
      <c r="F107" s="316"/>
    </row>
    <row r="115" spans="30:30">
      <c r="AD115" s="276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B67:B76"/>
    <mergeCell ref="D67:E68"/>
    <mergeCell ref="J67:K67"/>
    <mergeCell ref="L68:N68"/>
    <mergeCell ref="D69:E70"/>
    <mergeCell ref="D71:E72"/>
    <mergeCell ref="D73:E74"/>
    <mergeCell ref="D75:E76"/>
    <mergeCell ref="D77:E77"/>
    <mergeCell ref="B82:B83"/>
    <mergeCell ref="C82:C83"/>
    <mergeCell ref="D82:D83"/>
    <mergeCell ref="E82:E83"/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</mergeCells>
  <conditionalFormatting sqref="B77:B78">
    <cfRule type="cellIs" dxfId="353" priority="185" operator="notBetween">
      <formula>#REF!</formula>
      <formula>#REF!</formula>
    </cfRule>
  </conditionalFormatting>
  <conditionalFormatting sqref="C81">
    <cfRule type="cellIs" dxfId="352" priority="217" stopIfTrue="1" operator="greaterThan">
      <formula>100</formula>
    </cfRule>
    <cfRule type="cellIs" dxfId="351" priority="216" stopIfTrue="1" operator="lessThan">
      <formula>96</formula>
    </cfRule>
  </conditionalFormatting>
  <conditionalFormatting sqref="C94">
    <cfRule type="cellIs" dxfId="350" priority="105" stopIfTrue="1" operator="greaterThan">
      <formula>$F94</formula>
    </cfRule>
  </conditionalFormatting>
  <conditionalFormatting sqref="C94:C95">
    <cfRule type="cellIs" dxfId="349" priority="106" stopIfTrue="1" operator="lessThanOrEqual">
      <formula>0</formula>
    </cfRule>
  </conditionalFormatting>
  <conditionalFormatting sqref="C95">
    <cfRule type="cellIs" dxfId="348" priority="220" stopIfTrue="1" operator="greaterThan">
      <formula>$F94</formula>
    </cfRule>
  </conditionalFormatting>
  <conditionalFormatting sqref="C96:C98">
    <cfRule type="cellIs" dxfId="347" priority="135" stopIfTrue="1" operator="greaterThan">
      <formula>$F96</formula>
    </cfRule>
  </conditionalFormatting>
  <conditionalFormatting sqref="C96:C99">
    <cfRule type="cellIs" dxfId="346" priority="158" stopIfTrue="1" operator="lessThanOrEqual">
      <formula>0</formula>
    </cfRule>
  </conditionalFormatting>
  <conditionalFormatting sqref="C99">
    <cfRule type="cellIs" dxfId="345" priority="157" stopIfTrue="1" operator="greaterThan">
      <formula>$J99</formula>
    </cfRule>
  </conditionalFormatting>
  <conditionalFormatting sqref="C105:C109">
    <cfRule type="cellIs" dxfId="344" priority="208" stopIfTrue="1" operator="lessThanOrEqual">
      <formula>0</formula>
    </cfRule>
  </conditionalFormatting>
  <conditionalFormatting sqref="C106:C109">
    <cfRule type="cellIs" dxfId="343" priority="207" stopIfTrue="1" operator="greaterThan">
      <formula>$F$105</formula>
    </cfRule>
  </conditionalFormatting>
  <conditionalFormatting sqref="C111">
    <cfRule type="cellIs" dxfId="342" priority="210" stopIfTrue="1" operator="lessThanOrEqual">
      <formula>0</formula>
    </cfRule>
    <cfRule type="cellIs" dxfId="341" priority="209" stopIfTrue="1" operator="greaterThan">
      <formula>$F$105</formula>
    </cfRule>
  </conditionalFormatting>
  <conditionalFormatting sqref="C105:D105 D107:D113">
    <cfRule type="cellIs" dxfId="340" priority="202" stopIfTrue="1" operator="greaterThan">
      <formula>4.5</formula>
    </cfRule>
  </conditionalFormatting>
  <conditionalFormatting sqref="D77:D78">
    <cfRule type="cellIs" dxfId="339" priority="186" operator="notBetween">
      <formula>#REF!</formula>
      <formula>#REF!</formula>
    </cfRule>
  </conditionalFormatting>
  <conditionalFormatting sqref="D94:D101">
    <cfRule type="cellIs" dxfId="338" priority="172" stopIfTrue="1" operator="lessThanOrEqual">
      <formula>0</formula>
    </cfRule>
  </conditionalFormatting>
  <conditionalFormatting sqref="D102">
    <cfRule type="cellIs" dxfId="337" priority="171" stopIfTrue="1" operator="lessThanOrEqual">
      <formula>0</formula>
    </cfRule>
  </conditionalFormatting>
  <conditionalFormatting sqref="D105 D107:D113">
    <cfRule type="cellIs" dxfId="336" priority="203" stopIfTrue="1" operator="lessThanOrEqual">
      <formula>0</formula>
    </cfRule>
  </conditionalFormatting>
  <conditionalFormatting sqref="D106">
    <cfRule type="cellIs" dxfId="335" priority="195" stopIfTrue="1" operator="lessThanOrEqual">
      <formula>0</formula>
    </cfRule>
    <cfRule type="cellIs" dxfId="334" priority="194" stopIfTrue="1" operator="greaterThan">
      <formula>$F$105</formula>
    </cfRule>
  </conditionalFormatting>
  <conditionalFormatting sqref="D94:E102">
    <cfRule type="cellIs" dxfId="333" priority="164" stopIfTrue="1" operator="greaterThan">
      <formula>$F94</formula>
    </cfRule>
  </conditionalFormatting>
  <conditionalFormatting sqref="E10:E52">
    <cfRule type="cellIs" dxfId="332" priority="7" operator="lessThan">
      <formula>48</formula>
    </cfRule>
  </conditionalFormatting>
  <conditionalFormatting sqref="E81">
    <cfRule type="cellIs" dxfId="331" priority="197" stopIfTrue="1" operator="greaterThan">
      <formula>100</formula>
    </cfRule>
    <cfRule type="cellIs" dxfId="330" priority="196" stopIfTrue="1" operator="lessThan">
      <formula>96.8</formula>
    </cfRule>
  </conditionalFormatting>
  <conditionalFormatting sqref="E94:E102">
    <cfRule type="cellIs" dxfId="329" priority="165" stopIfTrue="1" operator="lessThanOrEqual">
      <formula>0</formula>
    </cfRule>
  </conditionalFormatting>
  <conditionalFormatting sqref="E105:E113">
    <cfRule type="cellIs" dxfId="328" priority="188" stopIfTrue="1" operator="greaterThan">
      <formula>4.5</formula>
    </cfRule>
    <cfRule type="cellIs" dxfId="327" priority="189" stopIfTrue="1" operator="lessThanOrEqual">
      <formula>0</formula>
    </cfRule>
  </conditionalFormatting>
  <conditionalFormatting sqref="E80:F81">
    <cfRule type="cellIs" dxfId="326" priority="199" stopIfTrue="1" operator="greaterThan">
      <formula>100</formula>
    </cfRule>
    <cfRule type="cellIs" dxfId="325" priority="198" stopIfTrue="1" operator="lessThan">
      <formula>96.5</formula>
    </cfRule>
  </conditionalFormatting>
  <conditionalFormatting sqref="F10:F37">
    <cfRule type="cellIs" dxfId="324" priority="9" operator="greaterThan">
      <formula>60</formula>
    </cfRule>
  </conditionalFormatting>
  <conditionalFormatting sqref="F38">
    <cfRule type="cellIs" dxfId="323" priority="227" operator="greaterThan">
      <formula>$AA89</formula>
    </cfRule>
    <cfRule type="cellIs" dxfId="322" priority="226" operator="greaterThan">
      <formula>$AA38</formula>
    </cfRule>
  </conditionalFormatting>
  <conditionalFormatting sqref="F39:F51">
    <cfRule type="cellIs" dxfId="321" priority="87" operator="greaterThan">
      <formula>60</formula>
    </cfRule>
  </conditionalFormatting>
  <conditionalFormatting sqref="F52">
    <cfRule type="cellIs" dxfId="320" priority="104" operator="greaterThan">
      <formula>$AA52</formula>
    </cfRule>
    <cfRule type="cellIs" dxfId="319" priority="221" operator="greaterThan">
      <formula>$AA91</formula>
    </cfRule>
  </conditionalFormatting>
  <conditionalFormatting sqref="F81">
    <cfRule type="cellIs" dxfId="318" priority="214" stopIfTrue="1" operator="lessThan">
      <formula>96.8</formula>
    </cfRule>
    <cfRule type="cellIs" dxfId="317" priority="215" stopIfTrue="1" operator="greaterThan">
      <formula>100</formula>
    </cfRule>
  </conditionalFormatting>
  <conditionalFormatting sqref="F102">
    <cfRule type="cellIs" dxfId="316" priority="167" stopIfTrue="1" operator="lessThanOrEqual">
      <formula>0</formula>
    </cfRule>
    <cfRule type="cellIs" dxfId="315" priority="166" stopIfTrue="1" operator="greaterThan">
      <formula>$F102</formula>
    </cfRule>
  </conditionalFormatting>
  <conditionalFormatting sqref="G94:G95 C100:C102">
    <cfRule type="cellIs" dxfId="314" priority="174" stopIfTrue="1" operator="lessThanOrEqual">
      <formula>0</formula>
    </cfRule>
    <cfRule type="cellIs" dxfId="313" priority="173" stopIfTrue="1" operator="greaterThan">
      <formula>$F94</formula>
    </cfRule>
  </conditionalFormatting>
  <conditionalFormatting sqref="G94:G95">
    <cfRule type="cellIs" dxfId="312" priority="114" stopIfTrue="1" operator="lessThanOrEqual">
      <formula>0</formula>
    </cfRule>
    <cfRule type="cellIs" dxfId="311" priority="113" stopIfTrue="1" operator="greaterThan">
      <formula>$F94</formula>
    </cfRule>
  </conditionalFormatting>
  <conditionalFormatting sqref="G96">
    <cfRule type="cellIs" dxfId="310" priority="219" stopIfTrue="1" operator="lessThanOrEqual">
      <formula>0</formula>
    </cfRule>
    <cfRule type="cellIs" dxfId="309" priority="218" stopIfTrue="1" operator="greaterThan">
      <formula>$F95</formula>
    </cfRule>
  </conditionalFormatting>
  <conditionalFormatting sqref="G97">
    <cfRule type="cellIs" dxfId="308" priority="168" stopIfTrue="1" operator="greaterThan">
      <formula>$F97</formula>
    </cfRule>
    <cfRule type="cellIs" dxfId="307" priority="169" stopIfTrue="1" operator="lessThanOrEqual">
      <formula>0</formula>
    </cfRule>
  </conditionalFormatting>
  <conditionalFormatting sqref="G98:G101">
    <cfRule type="cellIs" dxfId="306" priority="177" stopIfTrue="1" operator="lessThanOrEqual">
      <formula>0</formula>
    </cfRule>
    <cfRule type="cellIs" dxfId="305" priority="176" stopIfTrue="1" operator="greaterThan">
      <formula>$J98</formula>
    </cfRule>
  </conditionalFormatting>
  <conditionalFormatting sqref="G102">
    <cfRule type="cellIs" dxfId="304" priority="175" operator="greaterThan">
      <formula>4.5</formula>
    </cfRule>
  </conditionalFormatting>
  <conditionalFormatting sqref="G107:G112 C110 C112">
    <cfRule type="cellIs" dxfId="303" priority="212" stopIfTrue="1" operator="lessThanOrEqual">
      <formula>0</formula>
    </cfRule>
    <cfRule type="cellIs" dxfId="302" priority="211" stopIfTrue="1" operator="greaterThan">
      <formula>4.5</formula>
    </cfRule>
  </conditionalFormatting>
  <conditionalFormatting sqref="G10:H52">
    <cfRule type="expression" dxfId="301" priority="11">
      <formula>IF(+(IF(G10&lt;#REF!,0,IF(G10&gt;#REF!,0,1)))=0,1)</formula>
    </cfRule>
  </conditionalFormatting>
  <conditionalFormatting sqref="G106:H106">
    <cfRule type="cellIs" dxfId="300" priority="193" stopIfTrue="1" operator="lessThanOrEqual">
      <formula>0</formula>
    </cfRule>
    <cfRule type="cellIs" dxfId="299" priority="192" stopIfTrue="1" operator="greaterThan">
      <formula>$F$105</formula>
    </cfRule>
  </conditionalFormatting>
  <conditionalFormatting sqref="H56:H79 G67:G78">
    <cfRule type="cellIs" dxfId="298" priority="190" stopIfTrue="1" operator="greaterThan">
      <formula>0</formula>
    </cfRule>
  </conditionalFormatting>
  <conditionalFormatting sqref="H84">
    <cfRule type="cellIs" dxfId="297" priority="75" stopIfTrue="1" operator="greaterThan">
      <formula>$F$69</formula>
    </cfRule>
    <cfRule type="cellIs" dxfId="296" priority="85" stopIfTrue="1" operator="greaterThan">
      <formula>$F$70</formula>
    </cfRule>
    <cfRule type="cellIs" dxfId="295" priority="84" stopIfTrue="1" operator="lessThanOrEqual">
      <formula>0</formula>
    </cfRule>
    <cfRule type="cellIs" dxfId="294" priority="83" stopIfTrue="1" operator="greaterThan">
      <formula>$F$72</formula>
    </cfRule>
    <cfRule type="cellIs" dxfId="293" priority="86" stopIfTrue="1" operator="lessThanOrEqual">
      <formula>0</formula>
    </cfRule>
    <cfRule type="cellIs" dxfId="292" priority="74" stopIfTrue="1" operator="lessThanOrEqual">
      <formula>0</formula>
    </cfRule>
  </conditionalFormatting>
  <conditionalFormatting sqref="H85">
    <cfRule type="cellIs" dxfId="291" priority="133" stopIfTrue="1" operator="greaterThan">
      <formula>$F$94</formula>
    </cfRule>
    <cfRule type="cellIs" dxfId="290" priority="134" stopIfTrue="1" operator="lessThanOrEqual">
      <formula>0</formula>
    </cfRule>
    <cfRule type="cellIs" dxfId="289" priority="131" stopIfTrue="1" operator="greaterThan">
      <formula>$F$96</formula>
    </cfRule>
    <cfRule type="cellIs" dxfId="288" priority="132" stopIfTrue="1" operator="lessThanOrEqual">
      <formula>0</formula>
    </cfRule>
    <cfRule type="cellIs" dxfId="287" priority="122" stopIfTrue="1" operator="lessThanOrEqual">
      <formula>0</formula>
    </cfRule>
    <cfRule type="cellIs" dxfId="286" priority="123" stopIfTrue="1" operator="greaterThan">
      <formula>$F$93</formula>
    </cfRule>
  </conditionalFormatting>
  <conditionalFormatting sqref="H86">
    <cfRule type="cellIs" dxfId="285" priority="64" stopIfTrue="1" operator="lessThanOrEqual">
      <formula>0</formula>
    </cfRule>
    <cfRule type="cellIs" dxfId="284" priority="65" stopIfTrue="1" operator="greaterThan">
      <formula>$F$70</formula>
    </cfRule>
    <cfRule type="cellIs" dxfId="283" priority="66" stopIfTrue="1" operator="lessThanOrEqual">
      <formula>0</formula>
    </cfRule>
    <cfRule type="cellIs" dxfId="282" priority="55" stopIfTrue="1" operator="greaterThan">
      <formula>$F$69</formula>
    </cfRule>
    <cfRule type="cellIs" dxfId="281" priority="54" stopIfTrue="1" operator="lessThanOrEqual">
      <formula>0</formula>
    </cfRule>
    <cfRule type="cellIs" dxfId="280" priority="63" stopIfTrue="1" operator="greaterThan">
      <formula>$F$72</formula>
    </cfRule>
  </conditionalFormatting>
  <conditionalFormatting sqref="H87">
    <cfRule type="cellIs" dxfId="279" priority="103" stopIfTrue="1" operator="lessThanOrEqual">
      <formula>0</formula>
    </cfRule>
    <cfRule type="cellIs" dxfId="278" priority="102" stopIfTrue="1" operator="greaterThan">
      <formula>#REF!</formula>
    </cfRule>
    <cfRule type="cellIs" dxfId="277" priority="94" stopIfTrue="1" operator="greaterThan">
      <formula>#REF!</formula>
    </cfRule>
    <cfRule type="cellIs" dxfId="276" priority="93" stopIfTrue="1" operator="lessThanOrEqual">
      <formula>0</formula>
    </cfRule>
  </conditionalFormatting>
  <conditionalFormatting sqref="H88:H89">
    <cfRule type="cellIs" dxfId="275" priority="117" stopIfTrue="1" operator="lessThanOrEqual">
      <formula>0</formula>
    </cfRule>
    <cfRule type="cellIs" dxfId="274" priority="154" stopIfTrue="1" operator="lessThanOrEqual">
      <formula>0</formula>
    </cfRule>
    <cfRule type="cellIs" dxfId="273" priority="153" stopIfTrue="1" operator="greaterThan">
      <formula>$F$95</formula>
    </cfRule>
    <cfRule type="cellIs" dxfId="272" priority="152" stopIfTrue="1" operator="lessThanOrEqual">
      <formula>0</formula>
    </cfRule>
    <cfRule type="cellIs" dxfId="271" priority="151" stopIfTrue="1" operator="greaterThan">
      <formula>$F$97</formula>
    </cfRule>
    <cfRule type="cellIs" dxfId="270" priority="143" stopIfTrue="1" operator="greaterThan">
      <formula>$F$94</formula>
    </cfRule>
  </conditionalFormatting>
  <conditionalFormatting sqref="H90">
    <cfRule type="cellIs" dxfId="269" priority="183" stopIfTrue="1" operator="greaterThan">
      <formula>$F$87</formula>
    </cfRule>
    <cfRule type="cellIs" dxfId="268" priority="181" stopIfTrue="1" operator="greaterThan">
      <formula>$F$91</formula>
    </cfRule>
    <cfRule type="cellIs" dxfId="267" priority="182" stopIfTrue="1" operator="lessThanOrEqual">
      <formula>0</formula>
    </cfRule>
    <cfRule type="cellIs" dxfId="266" priority="184" stopIfTrue="1" operator="lessThanOrEqual">
      <formula>0</formula>
    </cfRule>
  </conditionalFormatting>
  <conditionalFormatting sqref="H94:H101">
    <cfRule type="cellIs" dxfId="265" priority="155" stopIfTrue="1" operator="greaterThan">
      <formula>$J94</formula>
    </cfRule>
    <cfRule type="cellIs" dxfId="264" priority="156" stopIfTrue="1" operator="lessThanOrEqual">
      <formula>0</formula>
    </cfRule>
  </conditionalFormatting>
  <conditionalFormatting sqref="H102">
    <cfRule type="cellIs" dxfId="263" priority="161" operator="greaterThan">
      <formula>5.3</formula>
    </cfRule>
  </conditionalFormatting>
  <conditionalFormatting sqref="H105 H107:H113">
    <cfRule type="cellIs" dxfId="262" priority="204" stopIfTrue="1" operator="greaterThan">
      <formula>4.5</formula>
    </cfRule>
    <cfRule type="cellIs" dxfId="261" priority="205" stopIfTrue="1" operator="lessThanOrEqual">
      <formula>0</formula>
    </cfRule>
  </conditionalFormatting>
  <conditionalFormatting sqref="H84:I84">
    <cfRule type="cellIs" dxfId="260" priority="73" stopIfTrue="1" operator="greaterThan">
      <formula>$F$71</formula>
    </cfRule>
    <cfRule type="cellIs" dxfId="259" priority="76" stopIfTrue="1" operator="lessThanOrEqual">
      <formula>0</formula>
    </cfRule>
  </conditionalFormatting>
  <conditionalFormatting sqref="H85:I85">
    <cfRule type="cellIs" dxfId="258" priority="124" stopIfTrue="1" operator="lessThanOrEqual">
      <formula>0</formula>
    </cfRule>
    <cfRule type="cellIs" dxfId="257" priority="121" stopIfTrue="1" operator="greaterThan">
      <formula>$F$95</formula>
    </cfRule>
  </conditionalFormatting>
  <conditionalFormatting sqref="H86:I86">
    <cfRule type="cellIs" dxfId="256" priority="53" stopIfTrue="1" operator="greaterThan">
      <formula>$F$71</formula>
    </cfRule>
    <cfRule type="cellIs" dxfId="255" priority="56" stopIfTrue="1" operator="lessThanOrEqual">
      <formula>0</formula>
    </cfRule>
  </conditionalFormatting>
  <conditionalFormatting sqref="H87:I87">
    <cfRule type="cellIs" dxfId="254" priority="101" stopIfTrue="1" operator="lessThanOrEqual">
      <formula>0</formula>
    </cfRule>
    <cfRule type="cellIs" dxfId="253" priority="98" stopIfTrue="1" operator="greaterThan">
      <formula>#REF!</formula>
    </cfRule>
    <cfRule type="cellIs" dxfId="252" priority="92" stopIfTrue="1" operator="greaterThan">
      <formula>#REF!</formula>
    </cfRule>
    <cfRule type="cellIs" dxfId="251" priority="95" stopIfTrue="1" operator="lessThanOrEqual">
      <formula>0</formula>
    </cfRule>
  </conditionalFormatting>
  <conditionalFormatting sqref="H88:I88">
    <cfRule type="cellIs" dxfId="250" priority="144" stopIfTrue="1" operator="lessThanOrEqual">
      <formula>0</formula>
    </cfRule>
  </conditionalFormatting>
  <conditionalFormatting sqref="H88:I89">
    <cfRule type="cellIs" dxfId="249" priority="115" stopIfTrue="1" operator="greaterThan">
      <formula>$F$96</formula>
    </cfRule>
  </conditionalFormatting>
  <conditionalFormatting sqref="H89:I89">
    <cfRule type="cellIs" dxfId="248" priority="116" stopIfTrue="1" operator="lessThanOrEqual">
      <formula>0</formula>
    </cfRule>
  </conditionalFormatting>
  <conditionalFormatting sqref="I38 I52">
    <cfRule type="cellIs" dxfId="247" priority="107" operator="lessThan">
      <formula>97.8</formula>
    </cfRule>
    <cfRule type="cellIs" dxfId="246" priority="110" operator="lessThan">
      <formula>98</formula>
    </cfRule>
  </conditionalFormatting>
  <conditionalFormatting sqref="I84">
    <cfRule type="cellIs" dxfId="245" priority="81" stopIfTrue="1" operator="greaterThan">
      <formula>$F$69</formula>
    </cfRule>
    <cfRule type="cellIs" dxfId="244" priority="77" stopIfTrue="1" operator="greaterThan">
      <formula>$F$69</formula>
    </cfRule>
    <cfRule type="cellIs" dxfId="243" priority="78" stopIfTrue="1" operator="lessThanOrEqual">
      <formula>0</formula>
    </cfRule>
    <cfRule type="cellIs" dxfId="242" priority="82" stopIfTrue="1" operator="lessThanOrEqual">
      <formula>0</formula>
    </cfRule>
    <cfRule type="cellIs" dxfId="241" priority="79" stopIfTrue="1" operator="greaterThan">
      <formula>$F$71</formula>
    </cfRule>
    <cfRule type="cellIs" dxfId="240" priority="80" stopIfTrue="1" operator="lessThanOrEqual">
      <formula>0</formula>
    </cfRule>
  </conditionalFormatting>
  <conditionalFormatting sqref="I85">
    <cfRule type="cellIs" dxfId="239" priority="129" stopIfTrue="1" operator="greaterThan">
      <formula>$F$93</formula>
    </cfRule>
    <cfRule type="cellIs" dxfId="238" priority="128" stopIfTrue="1" operator="lessThanOrEqual">
      <formula>0</formula>
    </cfRule>
    <cfRule type="cellIs" dxfId="237" priority="127" stopIfTrue="1" operator="greaterThan">
      <formula>$F$95</formula>
    </cfRule>
    <cfRule type="cellIs" dxfId="236" priority="125" stopIfTrue="1" operator="greaterThan">
      <formula>$F$93</formula>
    </cfRule>
    <cfRule type="cellIs" dxfId="235" priority="130" stopIfTrue="1" operator="lessThanOrEqual">
      <formula>0</formula>
    </cfRule>
    <cfRule type="cellIs" dxfId="234" priority="126" stopIfTrue="1" operator="lessThanOrEqual">
      <formula>0</formula>
    </cfRule>
  </conditionalFormatting>
  <conditionalFormatting sqref="I86">
    <cfRule type="cellIs" dxfId="233" priority="62" stopIfTrue="1" operator="lessThanOrEqual">
      <formula>0</formula>
    </cfRule>
    <cfRule type="cellIs" dxfId="232" priority="61" stopIfTrue="1" operator="greaterThan">
      <formula>$F$69</formula>
    </cfRule>
    <cfRule type="cellIs" dxfId="231" priority="59" stopIfTrue="1" operator="greaterThan">
      <formula>$F$71</formula>
    </cfRule>
    <cfRule type="cellIs" dxfId="230" priority="58" stopIfTrue="1" operator="lessThanOrEqual">
      <formula>0</formula>
    </cfRule>
    <cfRule type="cellIs" dxfId="229" priority="60" stopIfTrue="1" operator="lessThanOrEqual">
      <formula>0</formula>
    </cfRule>
    <cfRule type="cellIs" dxfId="228" priority="57" stopIfTrue="1" operator="greaterThan">
      <formula>$F$69</formula>
    </cfRule>
  </conditionalFormatting>
  <conditionalFormatting sqref="I87">
    <cfRule type="cellIs" dxfId="227" priority="96" stopIfTrue="1" operator="greaterThan">
      <formula>#REF!</formula>
    </cfRule>
    <cfRule type="cellIs" dxfId="226" priority="100" stopIfTrue="1" operator="greaterThan">
      <formula>#REF!</formula>
    </cfRule>
    <cfRule type="cellIs" dxfId="225" priority="99" stopIfTrue="1" operator="lessThanOrEqual">
      <formula>0</formula>
    </cfRule>
    <cfRule type="cellIs" dxfId="224" priority="97" stopIfTrue="1" operator="lessThanOrEqual">
      <formula>0</formula>
    </cfRule>
  </conditionalFormatting>
  <conditionalFormatting sqref="I88:I89">
    <cfRule type="cellIs" dxfId="223" priority="145" stopIfTrue="1" operator="greaterThan">
      <formula>$F$94</formula>
    </cfRule>
    <cfRule type="cellIs" dxfId="222" priority="147" stopIfTrue="1" operator="greaterThan">
      <formula>$F$96</formula>
    </cfRule>
    <cfRule type="cellIs" dxfId="221" priority="149" stopIfTrue="1" operator="greaterThan">
      <formula>$F$94</formula>
    </cfRule>
    <cfRule type="cellIs" dxfId="220" priority="146" stopIfTrue="1" operator="lessThanOrEqual">
      <formula>0</formula>
    </cfRule>
    <cfRule type="cellIs" dxfId="219" priority="150" stopIfTrue="1" operator="lessThanOrEqual">
      <formula>0</formula>
    </cfRule>
    <cfRule type="cellIs" dxfId="218" priority="148" stopIfTrue="1" operator="lessThanOrEqual">
      <formula>0</formula>
    </cfRule>
  </conditionalFormatting>
  <conditionalFormatting sqref="I94:I102">
    <cfRule type="cellIs" dxfId="217" priority="163" stopIfTrue="1" operator="lessThanOrEqual">
      <formula>0</formula>
    </cfRule>
    <cfRule type="cellIs" dxfId="216" priority="162" stopIfTrue="1" operator="greaterThan">
      <formula>$J94</formula>
    </cfRule>
  </conditionalFormatting>
  <conditionalFormatting sqref="I105:I113">
    <cfRule type="cellIs" dxfId="215" priority="201" stopIfTrue="1" operator="lessThanOrEqual">
      <formula>0</formula>
    </cfRule>
    <cfRule type="cellIs" dxfId="214" priority="200" stopIfTrue="1" operator="greaterThan">
      <formula>4.5</formula>
    </cfRule>
  </conditionalFormatting>
  <conditionalFormatting sqref="I10:J37">
    <cfRule type="cellIs" dxfId="213" priority="10" operator="lessThan">
      <formula>97.9</formula>
    </cfRule>
  </conditionalFormatting>
  <conditionalFormatting sqref="I39:J51">
    <cfRule type="cellIs" dxfId="212" priority="88" operator="lessThan">
      <formula>97.9</formula>
    </cfRule>
  </conditionalFormatting>
  <conditionalFormatting sqref="J38 J52">
    <cfRule type="cellIs" dxfId="211" priority="108" operator="notBetween">
      <formula>98</formula>
      <formula>99.9</formula>
    </cfRule>
    <cfRule type="cellIs" dxfId="210" priority="109" operator="lessThan">
      <formula>97.4</formula>
    </cfRule>
  </conditionalFormatting>
  <conditionalFormatting sqref="J55:J57">
    <cfRule type="cellIs" dxfId="209" priority="138" operator="lessThan">
      <formula>98</formula>
    </cfRule>
    <cfRule type="cellIs" dxfId="208" priority="137" stopIfTrue="1" operator="greaterThan">
      <formula>100</formula>
    </cfRule>
    <cfRule type="cellIs" dxfId="207" priority="136" stopIfTrue="1" operator="lessThan">
      <formula>96.8</formula>
    </cfRule>
  </conditionalFormatting>
  <conditionalFormatting sqref="J55:J59">
    <cfRule type="cellIs" dxfId="206" priority="112" operator="lessThan">
      <formula>97.4</formula>
    </cfRule>
  </conditionalFormatting>
  <conditionalFormatting sqref="J60">
    <cfRule type="cellIs" dxfId="205" priority="139" operator="lessThan">
      <formula>98</formula>
    </cfRule>
  </conditionalFormatting>
  <conditionalFormatting sqref="J61:J63">
    <cfRule type="cellIs" dxfId="204" priority="140" stopIfTrue="1" operator="lessThan">
      <formula>96.8</formula>
    </cfRule>
    <cfRule type="cellIs" dxfId="203" priority="141" stopIfTrue="1" operator="greaterThan">
      <formula>100</formula>
    </cfRule>
  </conditionalFormatting>
  <conditionalFormatting sqref="J61:J64">
    <cfRule type="cellIs" dxfId="202" priority="142" operator="lessThan">
      <formula>98</formula>
    </cfRule>
  </conditionalFormatting>
  <conditionalFormatting sqref="K10:K52">
    <cfRule type="cellIs" dxfId="201" priority="4" operator="lessThan">
      <formula>4</formula>
    </cfRule>
    <cfRule type="cellIs" dxfId="200" priority="3" operator="greaterThan">
      <formula>6</formula>
    </cfRule>
    <cfRule type="cellIs" dxfId="199" priority="8" operator="greaterThan">
      <formula>6.4</formula>
    </cfRule>
  </conditionalFormatting>
  <conditionalFormatting sqref="K69:K78">
    <cfRule type="cellIs" dxfId="198" priority="170" operator="notEqual">
      <formula>#REF!</formula>
    </cfRule>
  </conditionalFormatting>
  <conditionalFormatting sqref="K84:K89 J90:K90 K94:N102">
    <cfRule type="cellIs" dxfId="197" priority="180" stopIfTrue="1" operator="lessThan">
      <formula>100%</formula>
    </cfRule>
  </conditionalFormatting>
  <conditionalFormatting sqref="K105:K110">
    <cfRule type="cellIs" dxfId="196" priority="206" stopIfTrue="1" operator="lessThan">
      <formula>100%</formula>
    </cfRule>
  </conditionalFormatting>
  <conditionalFormatting sqref="K112:K113">
    <cfRule type="cellIs" dxfId="195" priority="213" stopIfTrue="1" operator="lessThan">
      <formula>100%</formula>
    </cfRule>
  </conditionalFormatting>
  <conditionalFormatting sqref="L10:L52">
    <cfRule type="cellIs" dxfId="194" priority="6" operator="greaterThan">
      <formula>65</formula>
    </cfRule>
    <cfRule type="cellIs" dxfId="193" priority="5" operator="between">
      <formula>61</formula>
      <formula>65</formula>
    </cfRule>
  </conditionalFormatting>
  <conditionalFormatting sqref="L55:M66">
    <cfRule type="cellIs" dxfId="192" priority="91" operator="lessThan">
      <formula>98</formula>
    </cfRule>
  </conditionalFormatting>
  <conditionalFormatting sqref="L70:N70">
    <cfRule type="cellIs" dxfId="191" priority="118" operator="notEqual">
      <formula>#REF!</formula>
    </cfRule>
  </conditionalFormatting>
  <conditionalFormatting sqref="L105:N113">
    <cfRule type="cellIs" dxfId="190" priority="191" stopIfTrue="1" operator="lessThan">
      <formula>100%</formula>
    </cfRule>
  </conditionalFormatting>
  <conditionalFormatting sqref="M10:M19">
    <cfRule type="expression" dxfId="189" priority="1">
      <formula>IF(+(IF(M10&lt;V10,0,IF(M10&gt;W10,0,1)))=0,1)</formula>
    </cfRule>
  </conditionalFormatting>
  <conditionalFormatting sqref="M20:M31">
    <cfRule type="expression" dxfId="188" priority="49">
      <formula>IF(+(IF(M20&lt;U20,0,IF(M20&gt;V20,0,1)))=0,1)</formula>
    </cfRule>
  </conditionalFormatting>
  <conditionalFormatting sqref="M32:M52">
    <cfRule type="expression" dxfId="187" priority="37">
      <formula>IF(+(IF(M32&lt;V32,0,IF(M32&gt;W32,0,1)))=0,1)</formula>
    </cfRule>
  </conditionalFormatting>
  <conditionalFormatting sqref="M6:N6">
    <cfRule type="cellIs" dxfId="186" priority="120" operator="greaterThanOrEqual">
      <formula>19</formula>
    </cfRule>
    <cfRule type="cellIs" dxfId="185" priority="119" operator="greaterThanOrEqual">
      <formula>15</formula>
    </cfRule>
  </conditionalFormatting>
  <conditionalFormatting sqref="N10:N19">
    <cfRule type="expression" dxfId="184" priority="2">
      <formula>IF(+(IF(N10&lt;X10,0,IF(N10&gt;Y10,0,1)))=0,1)</formula>
    </cfRule>
  </conditionalFormatting>
  <conditionalFormatting sqref="N20:N31">
    <cfRule type="expression" dxfId="183" priority="50">
      <formula>IF(+(IF(N20&lt;W20,0,IF(N20&gt;X20,0,1)))=0,1)</formula>
    </cfRule>
  </conditionalFormatting>
  <conditionalFormatting sqref="N32:N52">
    <cfRule type="expression" dxfId="182" priority="38">
      <formula>IF(+(IF(N32&lt;X32,0,IF(N32&gt;Y32,0,1)))=0,1)</formula>
    </cfRule>
  </conditionalFormatting>
  <conditionalFormatting sqref="N38">
    <cfRule type="expression" dxfId="181" priority="223">
      <formula>IF(+(IF(N38&lt;X89,0,IF(N38&gt;Y89,0,1)))=0,1)</formula>
    </cfRule>
    <cfRule type="expression" dxfId="180" priority="222">
      <formula>IF(+(IF(N38&lt;X94,0,IF(N38&gt;Y94,0,1)))=0,1)</formula>
    </cfRule>
  </conditionalFormatting>
  <conditionalFormatting sqref="N52">
    <cfRule type="expression" dxfId="179" priority="224">
      <formula>IF(+(IF(N52&lt;X96,0,IF(N52&gt;Y96,0,1)))=0,1)</formula>
    </cfRule>
    <cfRule type="expression" dxfId="178" priority="225">
      <formula>IF(+(IF(N52&lt;X91,0,IF(N52&gt;Y91,0,1)))=0,1)</formula>
    </cfRule>
  </conditionalFormatting>
  <conditionalFormatting sqref="P6">
    <cfRule type="cellIs" dxfId="177" priority="187" operator="greaterThanOrEqual">
      <formula>19</formula>
    </cfRule>
  </conditionalFormatting>
  <dataValidations disablePrompts="1" count="1">
    <dataValidation type="list" allowBlank="1" showInputMessage="1" showErrorMessage="1" sqref="S8 B52" xr:uid="{0E261B59-5E0E-4709-A0C8-E16AF8C64CF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7D5E-AEF0-42B5-917B-2E3224B59445}">
  <sheetPr>
    <pageSetUpPr fitToPage="1"/>
  </sheetPr>
  <dimension ref="A1:BF115"/>
  <sheetViews>
    <sheetView tabSelected="1" topLeftCell="A11" zoomScale="80" zoomScaleNormal="80" workbookViewId="0">
      <selection activeCell="M72" sqref="M72"/>
    </sheetView>
  </sheetViews>
  <sheetFormatPr defaultColWidth="9.44140625" defaultRowHeight="13.8"/>
  <cols>
    <col min="1" max="1" width="3.44140625" style="276" customWidth="1"/>
    <col min="2" max="2" width="20.6640625" style="276" customWidth="1"/>
    <col min="3" max="3" width="13.44140625" style="276" customWidth="1"/>
    <col min="4" max="4" width="11.5546875" style="276" customWidth="1"/>
    <col min="5" max="5" width="12.44140625" style="276" customWidth="1"/>
    <col min="6" max="6" width="11.44140625" style="276" customWidth="1"/>
    <col min="7" max="7" width="13.44140625" style="276" customWidth="1"/>
    <col min="8" max="8" width="12.44140625" style="276" customWidth="1"/>
    <col min="9" max="9" width="17.5546875" style="276" customWidth="1"/>
    <col min="10" max="10" width="31.88671875" style="276" customWidth="1"/>
    <col min="11" max="11" width="27.6640625" style="276" customWidth="1"/>
    <col min="12" max="12" width="15.6640625" style="276" customWidth="1"/>
    <col min="13" max="13" width="27.5546875" style="276" customWidth="1"/>
    <col min="14" max="14" width="13.33203125" style="276" customWidth="1"/>
    <col min="15" max="15" width="19.44140625" style="276" customWidth="1"/>
    <col min="16" max="16" width="36.5546875" style="6" customWidth="1"/>
    <col min="17" max="17" width="14" style="276" hidden="1" customWidth="1"/>
    <col min="18" max="18" width="16.5546875" style="276" customWidth="1"/>
    <col min="19" max="19" width="15.6640625" style="276" bestFit="1" customWidth="1"/>
    <col min="20" max="20" width="12.44140625" style="276" customWidth="1"/>
    <col min="21" max="21" width="15" style="276" customWidth="1"/>
    <col min="22" max="22" width="12" style="276" customWidth="1"/>
    <col min="23" max="23" width="10.44140625" style="276" customWidth="1"/>
    <col min="24" max="24" width="11.44140625" style="276" customWidth="1"/>
    <col min="25" max="25" width="10.44140625" style="276" customWidth="1"/>
    <col min="26" max="26" width="8.44140625" style="276" customWidth="1"/>
    <col min="27" max="27" width="9.5546875" style="276" customWidth="1"/>
    <col min="28" max="28" width="8.44140625" style="276" customWidth="1"/>
    <col min="29" max="30" width="7.5546875" style="276" customWidth="1"/>
    <col min="31" max="52" width="9.44140625" style="276"/>
    <col min="53" max="53" width="1.5546875" style="276" customWidth="1"/>
    <col min="54" max="55" width="9.44140625" style="276"/>
    <col min="56" max="57" width="15.44140625" style="276" customWidth="1"/>
    <col min="58" max="16384" width="9.44140625" style="276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0" t="s">
        <v>0</v>
      </c>
      <c r="U1" s="550"/>
      <c r="V1" s="550" t="s">
        <v>1</v>
      </c>
      <c r="W1" s="550"/>
      <c r="X1" s="550" t="s">
        <v>2</v>
      </c>
      <c r="Y1" s="550"/>
      <c r="Z1" s="550" t="s">
        <v>124</v>
      </c>
      <c r="AA1" s="550"/>
    </row>
    <row r="2" spans="2:30" ht="14.4">
      <c r="B2" s="551" t="s">
        <v>3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4">
        <v>0</v>
      </c>
      <c r="AA3" s="7">
        <v>60</v>
      </c>
      <c r="AC3" s="276" t="s">
        <v>135</v>
      </c>
    </row>
    <row r="4" spans="2:30" ht="30.75" customHeight="1">
      <c r="B4" s="302" t="s">
        <v>133</v>
      </c>
      <c r="C4" s="545">
        <v>45688</v>
      </c>
      <c r="D4" s="545"/>
      <c r="J4" s="489" t="s">
        <v>191</v>
      </c>
      <c r="K4" s="489"/>
      <c r="L4" s="11"/>
      <c r="M4" s="548" t="s">
        <v>8</v>
      </c>
      <c r="N4" s="54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4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99"/>
      <c r="K5" s="499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4">
        <v>0</v>
      </c>
      <c r="AA5" s="275">
        <v>60</v>
      </c>
      <c r="AB5" s="13"/>
      <c r="AC5" s="13"/>
      <c r="AD5" s="13"/>
    </row>
    <row r="6" spans="2:30" ht="14.25" customHeight="1">
      <c r="B6" s="15"/>
      <c r="C6" s="1"/>
      <c r="D6" s="1"/>
      <c r="J6" s="495" t="s">
        <v>190</v>
      </c>
      <c r="K6" s="496"/>
      <c r="L6" s="312" t="s">
        <v>14</v>
      </c>
      <c r="M6" s="341"/>
      <c r="N6" s="341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4">
        <v>0</v>
      </c>
      <c r="AA6" s="275"/>
      <c r="AB6" s="13"/>
      <c r="AC6" s="13"/>
      <c r="AD6" s="13"/>
    </row>
    <row r="7" spans="2:30" ht="13.35" customHeight="1" thickBot="1">
      <c r="J7" s="497"/>
      <c r="K7" s="49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4">
        <v>0</v>
      </c>
      <c r="AA7" s="275">
        <v>60</v>
      </c>
      <c r="AB7" s="13"/>
      <c r="AC7" s="13"/>
      <c r="AD7" s="13"/>
    </row>
    <row r="8" spans="2:30" ht="25.5" customHeight="1">
      <c r="B8" s="558" t="s">
        <v>17</v>
      </c>
      <c r="C8" s="560" t="s">
        <v>18</v>
      </c>
      <c r="D8" s="560" t="s">
        <v>19</v>
      </c>
      <c r="E8" s="357" t="s">
        <v>20</v>
      </c>
      <c r="F8" s="357" t="s">
        <v>21</v>
      </c>
      <c r="G8" s="560" t="s">
        <v>22</v>
      </c>
      <c r="H8" s="562" t="s">
        <v>144</v>
      </c>
      <c r="I8" s="560" t="s">
        <v>176</v>
      </c>
      <c r="J8" s="564" t="s">
        <v>23</v>
      </c>
      <c r="K8" s="566" t="s">
        <v>142</v>
      </c>
      <c r="L8" s="568" t="s">
        <v>24</v>
      </c>
      <c r="M8" s="360" t="s">
        <v>25</v>
      </c>
      <c r="N8" s="17" t="s">
        <v>26</v>
      </c>
      <c r="O8" s="560" t="s">
        <v>155</v>
      </c>
      <c r="P8" s="570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4">
        <v>0</v>
      </c>
      <c r="AA8" s="275"/>
      <c r="AB8" s="19"/>
    </row>
    <row r="9" spans="2:30" ht="27.6">
      <c r="B9" s="559"/>
      <c r="C9" s="561"/>
      <c r="D9" s="561"/>
      <c r="E9" s="358" t="s">
        <v>30</v>
      </c>
      <c r="F9" s="358" t="s">
        <v>31</v>
      </c>
      <c r="G9" s="561"/>
      <c r="H9" s="563"/>
      <c r="I9" s="561"/>
      <c r="J9" s="565"/>
      <c r="K9" s="567"/>
      <c r="L9" s="569"/>
      <c r="M9" s="20" t="s">
        <v>32</v>
      </c>
      <c r="N9" s="21" t="s">
        <v>41</v>
      </c>
      <c r="O9" s="561"/>
      <c r="P9" s="571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4">
        <v>0</v>
      </c>
      <c r="AA9" s="275">
        <v>75</v>
      </c>
      <c r="AB9" s="19"/>
    </row>
    <row r="10" spans="2:30" ht="14.4">
      <c r="B10" s="29" t="s">
        <v>6</v>
      </c>
      <c r="C10" s="367" t="str">
        <f>[28]Brewhouse!$A166</f>
        <v>CA065</v>
      </c>
      <c r="D10" s="280">
        <f>[28]Brewhouse!$AF166</f>
        <v>54.6</v>
      </c>
      <c r="E10" s="280">
        <f>[28]Brewhouse!$AI166</f>
        <v>51.3</v>
      </c>
      <c r="F10" s="279">
        <f>[28]Brewhouse!$V166</f>
        <v>68</v>
      </c>
      <c r="G10" s="280">
        <f>[28]Brewhouse!$AG166</f>
        <v>11.75</v>
      </c>
      <c r="H10" s="419">
        <v>11.9</v>
      </c>
      <c r="I10" s="369">
        <f>[28]Brewhouse!$AU166</f>
        <v>95.468836285735648</v>
      </c>
      <c r="J10" s="369">
        <f>[28]Brewhouse!$AV166</f>
        <v>99.318842827304422</v>
      </c>
      <c r="K10" s="282">
        <f>[28]Brewhouse!$Q166</f>
        <v>4.8056537102473476</v>
      </c>
      <c r="L10" s="277">
        <f>[28]Brewhouse!$P166</f>
        <v>60</v>
      </c>
      <c r="M10" s="420">
        <f>[28]Brewhouse!$U166-[28]Brewhouse!$T166</f>
        <v>0.11249999999999999</v>
      </c>
      <c r="N10" s="371">
        <f>[28]Brewhouse!$Z166</f>
        <v>0.26666666666666666</v>
      </c>
      <c r="O10" s="372" t="str">
        <f>[28]Brewhouse!$AX166</f>
        <v>R.Regis</v>
      </c>
      <c r="P10" s="376"/>
      <c r="Q10" s="348"/>
      <c r="S10" s="278" t="str">
        <f t="shared" ref="S10:S52" si="0">B10</f>
        <v>CARIB</v>
      </c>
      <c r="T10" s="297">
        <f t="shared" ref="T10:T52" si="1">VLOOKUP($B10,$S$3:$Y$9,2,FALSE)</f>
        <v>11.6</v>
      </c>
      <c r="U10" s="297">
        <f t="shared" ref="U10:U52" si="2">VLOOKUP($B10,$S$3:$Y$9,3,FALSE)</f>
        <v>12</v>
      </c>
      <c r="V10" s="298">
        <f t="shared" ref="V10:V52" si="3">VLOOKUP($B10,$S$3:$Y$9,4,FALSE)</f>
        <v>0</v>
      </c>
      <c r="W10" s="298">
        <f t="shared" ref="W10:W52" si="4">VLOOKUP($B10,$S$3:$Y$9,5,FALSE)</f>
        <v>0.118055555555556</v>
      </c>
      <c r="X10" s="298">
        <f t="shared" ref="X10:X52" si="5">VLOOKUP($B10,$S$3:$Y$9,6,FALSE)</f>
        <v>0.22569444444444445</v>
      </c>
      <c r="Y10" s="298">
        <f t="shared" ref="Y10:Y52" si="6">VLOOKUP($B10,$S$3:$Y$9,7,FALSE)</f>
        <v>0.2638888888888889</v>
      </c>
      <c r="Z10" s="298">
        <f t="shared" ref="Z10:Z52" si="7">VLOOKUP($B10,$S$3:$AA$9,8,FALSE)</f>
        <v>0</v>
      </c>
      <c r="AA10" s="297">
        <f t="shared" ref="AA10:AA52" si="8">VLOOKUP($B10,$S$3:$AA$9,9,FALSE)</f>
        <v>60</v>
      </c>
    </row>
    <row r="11" spans="2:30" ht="14.4">
      <c r="B11" s="29" t="s">
        <v>6</v>
      </c>
      <c r="C11" s="367" t="str">
        <f>[28]Brewhouse!$A167</f>
        <v>CA066</v>
      </c>
      <c r="D11" s="280">
        <f>[28]Brewhouse!$AF167</f>
        <v>54.1</v>
      </c>
      <c r="E11" s="280">
        <f>[28]Brewhouse!$AI167</f>
        <v>50.7</v>
      </c>
      <c r="F11" s="279">
        <f>[28]Brewhouse!$V167</f>
        <v>62</v>
      </c>
      <c r="G11" s="280">
        <f>[28]Brewhouse!$AG167</f>
        <v>11.9</v>
      </c>
      <c r="H11" s="419">
        <v>11.8</v>
      </c>
      <c r="I11" s="369">
        <f>[28]Brewhouse!$AU167</f>
        <v>95.411155352297129</v>
      </c>
      <c r="J11" s="369">
        <f>[28]Brewhouse!$AV167</f>
        <v>99.422164300282176</v>
      </c>
      <c r="K11" s="282">
        <f>[28]Brewhouse!$Q167</f>
        <v>5.2707581227436728</v>
      </c>
      <c r="L11" s="277">
        <f>[28]Brewhouse!$P167</f>
        <v>57</v>
      </c>
      <c r="M11" s="420">
        <f>[28]Brewhouse!$U167-[28]Brewhouse!$T167</f>
        <v>0.1118055555555556</v>
      </c>
      <c r="N11" s="371">
        <f>[28]Brewhouse!$Z167</f>
        <v>0.27152777777777781</v>
      </c>
      <c r="O11" s="372" t="str">
        <f>[28]Brewhouse!$AX167</f>
        <v>R. Sookram</v>
      </c>
      <c r="P11" s="376"/>
      <c r="Q11" s="348"/>
      <c r="S11" s="278" t="str">
        <f t="shared" si="0"/>
        <v>CARIB</v>
      </c>
      <c r="T11" s="297">
        <f t="shared" si="1"/>
        <v>11.6</v>
      </c>
      <c r="U11" s="297">
        <f t="shared" si="2"/>
        <v>12</v>
      </c>
      <c r="V11" s="298">
        <f t="shared" si="3"/>
        <v>0</v>
      </c>
      <c r="W11" s="298">
        <f t="shared" si="4"/>
        <v>0.118055555555556</v>
      </c>
      <c r="X11" s="298">
        <f t="shared" si="5"/>
        <v>0.22569444444444445</v>
      </c>
      <c r="Y11" s="298">
        <f t="shared" si="6"/>
        <v>0.2638888888888889</v>
      </c>
      <c r="Z11" s="298">
        <f t="shared" si="7"/>
        <v>0</v>
      </c>
      <c r="AA11" s="297">
        <f t="shared" si="8"/>
        <v>60</v>
      </c>
    </row>
    <row r="12" spans="2:30" ht="14.4">
      <c r="B12" s="29" t="s">
        <v>6</v>
      </c>
      <c r="C12" s="367" t="str">
        <f>[28]Brewhouse!$A168</f>
        <v>CA067</v>
      </c>
      <c r="D12" s="280">
        <f>[28]Brewhouse!$AF168</f>
        <v>55.3</v>
      </c>
      <c r="E12" s="280">
        <f>[28]Brewhouse!$AI168</f>
        <v>51.8</v>
      </c>
      <c r="F12" s="279">
        <f>[28]Brewhouse!$V168</f>
        <v>68</v>
      </c>
      <c r="G12" s="280">
        <f>[28]Brewhouse!$AG168</f>
        <v>11.8</v>
      </c>
      <c r="H12" s="419"/>
      <c r="I12" s="369">
        <f>[28]Brewhouse!$AU168</f>
        <v>97.574485486208175</v>
      </c>
      <c r="J12" s="369">
        <f>[28]Brewhouse!$AV168</f>
        <v>101.67467646172864</v>
      </c>
      <c r="K12" s="282">
        <f>[28]Brewhouse!$Q168</f>
        <v>-1.0161836657884817</v>
      </c>
      <c r="L12" s="277">
        <f>[28]Brewhouse!$P168</f>
        <v>58</v>
      </c>
      <c r="M12" s="420">
        <f>[28]Brewhouse!$U168-[28]Brewhouse!$T168</f>
        <v>0.13680555555555557</v>
      </c>
      <c r="N12" s="371">
        <f>[28]Brewhouse!$Z168</f>
        <v>0.29375000000000001</v>
      </c>
      <c r="O12" s="372" t="str">
        <f>[28]Brewhouse!$AX168</f>
        <v>R. Sookram</v>
      </c>
      <c r="P12" s="376"/>
      <c r="Q12" s="348"/>
      <c r="S12" s="278" t="str">
        <f t="shared" si="0"/>
        <v>CARIB</v>
      </c>
      <c r="T12" s="297">
        <f t="shared" si="1"/>
        <v>11.6</v>
      </c>
      <c r="U12" s="297">
        <f t="shared" si="2"/>
        <v>12</v>
      </c>
      <c r="V12" s="298">
        <f t="shared" si="3"/>
        <v>0</v>
      </c>
      <c r="W12" s="298">
        <f t="shared" si="4"/>
        <v>0.118055555555556</v>
      </c>
      <c r="X12" s="298">
        <f t="shared" si="5"/>
        <v>0.22569444444444445</v>
      </c>
      <c r="Y12" s="298">
        <f t="shared" si="6"/>
        <v>0.2638888888888889</v>
      </c>
      <c r="Z12" s="298">
        <f t="shared" si="7"/>
        <v>0</v>
      </c>
      <c r="AA12" s="297">
        <f t="shared" si="8"/>
        <v>60</v>
      </c>
    </row>
    <row r="13" spans="2:30" ht="14.4">
      <c r="B13" s="29" t="s">
        <v>6</v>
      </c>
      <c r="C13" s="367" t="str">
        <f>[28]Brewhouse!$A169</f>
        <v>CA068</v>
      </c>
      <c r="D13" s="280">
        <f>[28]Brewhouse!$AF169</f>
        <v>56.3</v>
      </c>
      <c r="E13" s="280">
        <f>[28]Brewhouse!$AI169</f>
        <v>52.8</v>
      </c>
      <c r="F13" s="279">
        <f>[28]Brewhouse!$V169</f>
        <v>80</v>
      </c>
      <c r="G13" s="280">
        <f>[28]Brewhouse!$AG169</f>
        <v>11.95</v>
      </c>
      <c r="H13" s="419">
        <v>11.9</v>
      </c>
      <c r="I13" s="369">
        <f>[28]Brewhouse!$AU169</f>
        <v>101.10646423110623</v>
      </c>
      <c r="J13" s="369">
        <f>[28]Brewhouse!$AV169</f>
        <v>105.35530324899023</v>
      </c>
      <c r="K13" s="282">
        <f>[28]Brewhouse!$Q169</f>
        <v>3.9642857142857126</v>
      </c>
      <c r="L13" s="277">
        <f>[28]Brewhouse!$P169</f>
        <v>58</v>
      </c>
      <c r="M13" s="420">
        <f>[28]Brewhouse!$U169-[28]Brewhouse!$T169</f>
        <v>0.15000000000000002</v>
      </c>
      <c r="N13" s="371">
        <f>[28]Brewhouse!$Z169</f>
        <v>0.32500000000000001</v>
      </c>
      <c r="O13" s="372" t="str">
        <f>[28]Brewhouse!$AX169</f>
        <v>R. Sookram</v>
      </c>
      <c r="P13" s="376"/>
      <c r="Q13" s="348"/>
      <c r="S13" s="278" t="str">
        <f t="shared" si="0"/>
        <v>CARIB</v>
      </c>
      <c r="T13" s="297">
        <f t="shared" si="1"/>
        <v>11.6</v>
      </c>
      <c r="U13" s="297">
        <f t="shared" si="2"/>
        <v>12</v>
      </c>
      <c r="V13" s="298">
        <f t="shared" si="3"/>
        <v>0</v>
      </c>
      <c r="W13" s="298">
        <f t="shared" si="4"/>
        <v>0.118055555555556</v>
      </c>
      <c r="X13" s="298">
        <f t="shared" si="5"/>
        <v>0.22569444444444445</v>
      </c>
      <c r="Y13" s="298">
        <f t="shared" si="6"/>
        <v>0.2638888888888889</v>
      </c>
      <c r="Z13" s="298">
        <f t="shared" si="7"/>
        <v>0</v>
      </c>
      <c r="AA13" s="297">
        <f t="shared" si="8"/>
        <v>60</v>
      </c>
    </row>
    <row r="14" spans="2:30" ht="14.4">
      <c r="B14" s="29" t="s">
        <v>6</v>
      </c>
      <c r="C14" s="367" t="str">
        <f>[28]Brewhouse!$A170</f>
        <v>CA069</v>
      </c>
      <c r="D14" s="280">
        <f>[28]Brewhouse!$AF170</f>
        <v>55</v>
      </c>
      <c r="E14" s="280">
        <f>[28]Brewhouse!$AI170</f>
        <v>51.5</v>
      </c>
      <c r="F14" s="279">
        <f>[28]Brewhouse!$V170</f>
        <v>82</v>
      </c>
      <c r="G14" s="280">
        <f>[28]Brewhouse!$AG170</f>
        <v>11.97</v>
      </c>
      <c r="H14" s="419">
        <v>11.8</v>
      </c>
      <c r="I14" s="369">
        <f>[28]Brewhouse!$AU170</f>
        <v>98.374430517533199</v>
      </c>
      <c r="J14" s="369">
        <f>[28]Brewhouse!$AV170</f>
        <v>102.50890659832925</v>
      </c>
      <c r="K14" s="282">
        <f>[28]Brewhouse!$Q170</f>
        <v>3.7588652482269462</v>
      </c>
      <c r="L14" s="277">
        <f>[28]Brewhouse!$P170</f>
        <v>61</v>
      </c>
      <c r="M14" s="420">
        <f>[28]Brewhouse!$U170-[28]Brewhouse!$T170</f>
        <v>0.12430555555555556</v>
      </c>
      <c r="N14" s="371">
        <f>[28]Brewhouse!$Z170</f>
        <v>0.32916666666666661</v>
      </c>
      <c r="O14" s="372" t="str">
        <f>[28]Brewhouse!$AX170</f>
        <v>K.Benjamin</v>
      </c>
      <c r="P14" s="376"/>
      <c r="Q14" s="348"/>
      <c r="S14" s="278" t="str">
        <f t="shared" si="0"/>
        <v>CARIB</v>
      </c>
      <c r="T14" s="297">
        <f t="shared" si="1"/>
        <v>11.6</v>
      </c>
      <c r="U14" s="297">
        <f t="shared" si="2"/>
        <v>12</v>
      </c>
      <c r="V14" s="298">
        <f t="shared" si="3"/>
        <v>0</v>
      </c>
      <c r="W14" s="298">
        <f t="shared" si="4"/>
        <v>0.118055555555556</v>
      </c>
      <c r="X14" s="298">
        <f t="shared" si="5"/>
        <v>0.22569444444444445</v>
      </c>
      <c r="Y14" s="298">
        <f t="shared" si="6"/>
        <v>0.2638888888888889</v>
      </c>
      <c r="Z14" s="298">
        <f t="shared" si="7"/>
        <v>0</v>
      </c>
      <c r="AA14" s="297">
        <f t="shared" si="8"/>
        <v>60</v>
      </c>
    </row>
    <row r="15" spans="2:30" ht="14.4">
      <c r="B15" s="29" t="s">
        <v>6</v>
      </c>
      <c r="C15" s="367" t="str">
        <f>[28]Brewhouse!$A171</f>
        <v>CA070</v>
      </c>
      <c r="D15" s="280">
        <f>[28]Brewhouse!$AF171</f>
        <v>56.5</v>
      </c>
      <c r="E15" s="280">
        <f>[28]Brewhouse!$AI171</f>
        <v>53</v>
      </c>
      <c r="F15" s="279">
        <f>[28]Brewhouse!$V171</f>
        <v>80</v>
      </c>
      <c r="G15" s="280">
        <f>[28]Brewhouse!$AG171</f>
        <v>12</v>
      </c>
      <c r="H15" s="419">
        <v>12</v>
      </c>
      <c r="I15" s="369">
        <f>[28]Brewhouse!$AU171</f>
        <v>101.61477490794771</v>
      </c>
      <c r="J15" s="369">
        <f>[28]Brewhouse!$AV171</f>
        <v>105.88474344512231</v>
      </c>
      <c r="K15" s="282">
        <f>[28]Brewhouse!$Q171</f>
        <v>3.4042553191489264</v>
      </c>
      <c r="L15" s="277">
        <f>[28]Brewhouse!$P171</f>
        <v>63</v>
      </c>
      <c r="M15" s="420">
        <f>[28]Brewhouse!$U171-[28]Brewhouse!$T171</f>
        <v>0.13819444444444451</v>
      </c>
      <c r="N15" s="371">
        <f>[28]Brewhouse!$Z171</f>
        <v>0.35347222222222219</v>
      </c>
      <c r="O15" s="372" t="str">
        <f>[28]Brewhouse!$AX171</f>
        <v>K.Benjamin</v>
      </c>
      <c r="P15" s="376"/>
      <c r="Q15" s="348"/>
      <c r="S15" s="278" t="str">
        <f t="shared" si="0"/>
        <v>CARIB</v>
      </c>
      <c r="T15" s="297">
        <f t="shared" si="1"/>
        <v>11.6</v>
      </c>
      <c r="U15" s="297">
        <f t="shared" si="2"/>
        <v>12</v>
      </c>
      <c r="V15" s="298">
        <f t="shared" si="3"/>
        <v>0</v>
      </c>
      <c r="W15" s="298">
        <f t="shared" si="4"/>
        <v>0.118055555555556</v>
      </c>
      <c r="X15" s="298">
        <f t="shared" si="5"/>
        <v>0.22569444444444445</v>
      </c>
      <c r="Y15" s="298">
        <f t="shared" si="6"/>
        <v>0.2638888888888889</v>
      </c>
      <c r="Z15" s="298">
        <f t="shared" si="7"/>
        <v>0</v>
      </c>
      <c r="AA15" s="297">
        <f t="shared" si="8"/>
        <v>60</v>
      </c>
    </row>
    <row r="16" spans="2:30" ht="14.4">
      <c r="B16" s="29"/>
      <c r="C16" s="367"/>
      <c r="D16" s="280"/>
      <c r="E16" s="280"/>
      <c r="F16" s="279"/>
      <c r="G16" s="280"/>
      <c r="H16" s="419"/>
      <c r="I16" s="369"/>
      <c r="J16" s="369"/>
      <c r="K16" s="282"/>
      <c r="L16" s="277"/>
      <c r="M16" s="420"/>
      <c r="N16" s="371"/>
      <c r="O16" s="372"/>
      <c r="P16" s="376"/>
      <c r="Q16" s="348"/>
      <c r="S16" s="278">
        <f t="shared" si="0"/>
        <v>0</v>
      </c>
      <c r="T16" s="297" t="e">
        <f t="shared" si="1"/>
        <v>#N/A</v>
      </c>
      <c r="U16" s="297" t="e">
        <f t="shared" si="2"/>
        <v>#N/A</v>
      </c>
      <c r="V16" s="298" t="e">
        <f t="shared" si="3"/>
        <v>#N/A</v>
      </c>
      <c r="W16" s="298" t="e">
        <f t="shared" si="4"/>
        <v>#N/A</v>
      </c>
      <c r="X16" s="298" t="e">
        <f t="shared" si="5"/>
        <v>#N/A</v>
      </c>
      <c r="Y16" s="298" t="e">
        <f t="shared" si="6"/>
        <v>#N/A</v>
      </c>
      <c r="Z16" s="298" t="e">
        <f t="shared" si="7"/>
        <v>#N/A</v>
      </c>
      <c r="AA16" s="297" t="e">
        <f t="shared" si="8"/>
        <v>#N/A</v>
      </c>
    </row>
    <row r="17" spans="2:27" ht="14.4">
      <c r="B17" s="29"/>
      <c r="C17" s="367"/>
      <c r="D17" s="280"/>
      <c r="E17" s="280"/>
      <c r="F17" s="279"/>
      <c r="G17" s="280"/>
      <c r="H17" s="419"/>
      <c r="I17" s="369"/>
      <c r="J17" s="369"/>
      <c r="K17" s="282"/>
      <c r="L17" s="277"/>
      <c r="M17" s="420"/>
      <c r="N17" s="371"/>
      <c r="O17" s="372"/>
      <c r="P17" s="376"/>
      <c r="Q17" s="348"/>
      <c r="S17" s="278">
        <f t="shared" si="0"/>
        <v>0</v>
      </c>
      <c r="T17" s="297" t="e">
        <f t="shared" si="1"/>
        <v>#N/A</v>
      </c>
      <c r="U17" s="297" t="e">
        <f t="shared" si="2"/>
        <v>#N/A</v>
      </c>
      <c r="V17" s="298" t="e">
        <f t="shared" si="3"/>
        <v>#N/A</v>
      </c>
      <c r="W17" s="298" t="e">
        <f t="shared" si="4"/>
        <v>#N/A</v>
      </c>
      <c r="X17" s="298" t="e">
        <f t="shared" si="5"/>
        <v>#N/A</v>
      </c>
      <c r="Y17" s="298" t="e">
        <f t="shared" si="6"/>
        <v>#N/A</v>
      </c>
      <c r="Z17" s="298" t="e">
        <f t="shared" si="7"/>
        <v>#N/A</v>
      </c>
      <c r="AA17" s="297" t="e">
        <f t="shared" si="8"/>
        <v>#N/A</v>
      </c>
    </row>
    <row r="18" spans="2:27" ht="14.4">
      <c r="B18" s="29"/>
      <c r="C18" s="367"/>
      <c r="D18" s="280"/>
      <c r="E18" s="280"/>
      <c r="F18" s="279"/>
      <c r="G18" s="280"/>
      <c r="H18" s="419"/>
      <c r="I18" s="369"/>
      <c r="J18" s="369"/>
      <c r="K18" s="282"/>
      <c r="L18" s="277"/>
      <c r="M18" s="420"/>
      <c r="N18" s="371"/>
      <c r="O18" s="372"/>
      <c r="P18" s="370"/>
      <c r="Q18" s="348"/>
      <c r="S18" s="278">
        <f t="shared" si="0"/>
        <v>0</v>
      </c>
      <c r="T18" s="297" t="e">
        <f t="shared" si="1"/>
        <v>#N/A</v>
      </c>
      <c r="U18" s="297" t="e">
        <f t="shared" si="2"/>
        <v>#N/A</v>
      </c>
      <c r="V18" s="298" t="e">
        <f t="shared" si="3"/>
        <v>#N/A</v>
      </c>
      <c r="W18" s="298" t="e">
        <f t="shared" si="4"/>
        <v>#N/A</v>
      </c>
      <c r="X18" s="298" t="e">
        <f t="shared" si="5"/>
        <v>#N/A</v>
      </c>
      <c r="Y18" s="298" t="e">
        <f t="shared" si="6"/>
        <v>#N/A</v>
      </c>
      <c r="Z18" s="298" t="e">
        <f t="shared" si="7"/>
        <v>#N/A</v>
      </c>
      <c r="AA18" s="297" t="e">
        <f t="shared" si="8"/>
        <v>#N/A</v>
      </c>
    </row>
    <row r="19" spans="2:27" ht="14.4">
      <c r="B19" s="29"/>
      <c r="C19" s="367"/>
      <c r="D19" s="280"/>
      <c r="E19" s="280"/>
      <c r="F19" s="279"/>
      <c r="G19" s="280"/>
      <c r="H19" s="419"/>
      <c r="I19" s="369"/>
      <c r="J19" s="369"/>
      <c r="K19" s="282"/>
      <c r="L19" s="277"/>
      <c r="M19" s="420"/>
      <c r="N19" s="371"/>
      <c r="O19" s="372"/>
      <c r="P19" s="370"/>
      <c r="Q19" s="348"/>
      <c r="S19" s="278">
        <f t="shared" si="0"/>
        <v>0</v>
      </c>
      <c r="T19" s="297" t="e">
        <f t="shared" si="1"/>
        <v>#N/A</v>
      </c>
      <c r="U19" s="297" t="e">
        <f t="shared" si="2"/>
        <v>#N/A</v>
      </c>
      <c r="V19" s="298" t="e">
        <f t="shared" si="3"/>
        <v>#N/A</v>
      </c>
      <c r="W19" s="298" t="e">
        <f t="shared" si="4"/>
        <v>#N/A</v>
      </c>
      <c r="X19" s="298" t="e">
        <f t="shared" si="5"/>
        <v>#N/A</v>
      </c>
      <c r="Y19" s="298" t="e">
        <f t="shared" si="6"/>
        <v>#N/A</v>
      </c>
      <c r="Z19" s="298" t="e">
        <f t="shared" si="7"/>
        <v>#N/A</v>
      </c>
      <c r="AA19" s="297" t="e">
        <f t="shared" si="8"/>
        <v>#N/A</v>
      </c>
    </row>
    <row r="20" spans="2:27" ht="14.4" hidden="1">
      <c r="B20" s="22"/>
      <c r="C20" s="367"/>
      <c r="D20" s="280"/>
      <c r="E20" s="280"/>
      <c r="F20" s="279"/>
      <c r="G20" s="280"/>
      <c r="H20" s="492"/>
      <c r="I20" s="369"/>
      <c r="J20" s="369"/>
      <c r="K20" s="282"/>
      <c r="L20" s="277"/>
      <c r="M20" s="375"/>
      <c r="N20" s="371"/>
      <c r="O20" s="372"/>
      <c r="P20" s="370"/>
      <c r="Q20" s="348"/>
      <c r="S20" s="278">
        <f t="shared" si="0"/>
        <v>0</v>
      </c>
      <c r="T20" s="297" t="e">
        <f t="shared" si="1"/>
        <v>#N/A</v>
      </c>
      <c r="U20" s="297" t="e">
        <f t="shared" si="2"/>
        <v>#N/A</v>
      </c>
      <c r="V20" s="298" t="e">
        <f t="shared" si="3"/>
        <v>#N/A</v>
      </c>
      <c r="W20" s="298" t="e">
        <f t="shared" si="4"/>
        <v>#N/A</v>
      </c>
      <c r="X20" s="298" t="e">
        <f t="shared" si="5"/>
        <v>#N/A</v>
      </c>
      <c r="Y20" s="298" t="e">
        <f t="shared" si="6"/>
        <v>#N/A</v>
      </c>
      <c r="Z20" s="298" t="e">
        <f t="shared" si="7"/>
        <v>#N/A</v>
      </c>
      <c r="AA20" s="297" t="e">
        <f t="shared" si="8"/>
        <v>#N/A</v>
      </c>
    </row>
    <row r="21" spans="2:27" ht="14.4" hidden="1">
      <c r="B21" s="22"/>
      <c r="C21" s="367"/>
      <c r="D21" s="280"/>
      <c r="E21" s="280"/>
      <c r="F21" s="279"/>
      <c r="G21" s="280"/>
      <c r="H21" s="492"/>
      <c r="I21" s="369"/>
      <c r="J21" s="369"/>
      <c r="K21" s="282"/>
      <c r="L21" s="277"/>
      <c r="M21" s="375"/>
      <c r="N21" s="371"/>
      <c r="O21" s="372"/>
      <c r="P21" s="370"/>
      <c r="Q21" s="348"/>
      <c r="S21" s="278">
        <f t="shared" si="0"/>
        <v>0</v>
      </c>
      <c r="T21" s="297" t="e">
        <f t="shared" si="1"/>
        <v>#N/A</v>
      </c>
      <c r="U21" s="297" t="e">
        <f t="shared" si="2"/>
        <v>#N/A</v>
      </c>
      <c r="V21" s="298" t="e">
        <f t="shared" si="3"/>
        <v>#N/A</v>
      </c>
      <c r="W21" s="298" t="e">
        <f t="shared" si="4"/>
        <v>#N/A</v>
      </c>
      <c r="X21" s="298" t="e">
        <f t="shared" si="5"/>
        <v>#N/A</v>
      </c>
      <c r="Y21" s="298" t="e">
        <f t="shared" si="6"/>
        <v>#N/A</v>
      </c>
      <c r="Z21" s="298" t="e">
        <f t="shared" si="7"/>
        <v>#N/A</v>
      </c>
      <c r="AA21" s="297" t="e">
        <f t="shared" si="8"/>
        <v>#N/A</v>
      </c>
    </row>
    <row r="22" spans="2:27" ht="14.4" hidden="1">
      <c r="B22" s="22"/>
      <c r="C22" s="367"/>
      <c r="D22" s="280"/>
      <c r="E22" s="280"/>
      <c r="F22" s="279"/>
      <c r="G22" s="280"/>
      <c r="H22" s="492"/>
      <c r="I22" s="369"/>
      <c r="J22" s="369"/>
      <c r="K22" s="282"/>
      <c r="L22" s="277"/>
      <c r="M22" s="375"/>
      <c r="N22" s="371"/>
      <c r="O22" s="372"/>
      <c r="P22" s="370"/>
      <c r="Q22" s="348"/>
      <c r="S22" s="278">
        <f t="shared" si="0"/>
        <v>0</v>
      </c>
      <c r="T22" s="297" t="e">
        <f t="shared" si="1"/>
        <v>#N/A</v>
      </c>
      <c r="U22" s="297" t="e">
        <f t="shared" si="2"/>
        <v>#N/A</v>
      </c>
      <c r="V22" s="298" t="e">
        <f t="shared" si="3"/>
        <v>#N/A</v>
      </c>
      <c r="W22" s="298" t="e">
        <f t="shared" si="4"/>
        <v>#N/A</v>
      </c>
      <c r="X22" s="298" t="e">
        <f t="shared" si="5"/>
        <v>#N/A</v>
      </c>
      <c r="Y22" s="298" t="e">
        <f t="shared" si="6"/>
        <v>#N/A</v>
      </c>
      <c r="Z22" s="298" t="e">
        <f t="shared" si="7"/>
        <v>#N/A</v>
      </c>
      <c r="AA22" s="297" t="e">
        <f t="shared" si="8"/>
        <v>#N/A</v>
      </c>
    </row>
    <row r="23" spans="2:27" ht="14.4" hidden="1">
      <c r="B23" s="22"/>
      <c r="C23" s="367"/>
      <c r="D23" s="280"/>
      <c r="E23" s="280"/>
      <c r="F23" s="279"/>
      <c r="G23" s="280"/>
      <c r="H23" s="492"/>
      <c r="I23" s="369"/>
      <c r="J23" s="369"/>
      <c r="K23" s="282"/>
      <c r="L23" s="277"/>
      <c r="M23" s="375"/>
      <c r="N23" s="371"/>
      <c r="O23" s="372"/>
      <c r="P23" s="370"/>
      <c r="Q23" s="348"/>
      <c r="S23" s="278">
        <f t="shared" si="0"/>
        <v>0</v>
      </c>
      <c r="T23" s="297" t="e">
        <f t="shared" si="1"/>
        <v>#N/A</v>
      </c>
      <c r="U23" s="297" t="e">
        <f t="shared" si="2"/>
        <v>#N/A</v>
      </c>
      <c r="V23" s="298" t="e">
        <f t="shared" si="3"/>
        <v>#N/A</v>
      </c>
      <c r="W23" s="298" t="e">
        <f t="shared" si="4"/>
        <v>#N/A</v>
      </c>
      <c r="X23" s="298" t="e">
        <f t="shared" si="5"/>
        <v>#N/A</v>
      </c>
      <c r="Y23" s="298" t="e">
        <f t="shared" si="6"/>
        <v>#N/A</v>
      </c>
      <c r="Z23" s="298" t="e">
        <f t="shared" si="7"/>
        <v>#N/A</v>
      </c>
      <c r="AA23" s="297" t="e">
        <f t="shared" si="8"/>
        <v>#N/A</v>
      </c>
    </row>
    <row r="24" spans="2:27" ht="14.4" hidden="1">
      <c r="B24" s="22"/>
      <c r="C24" s="367"/>
      <c r="D24" s="280"/>
      <c r="E24" s="280"/>
      <c r="F24" s="279"/>
      <c r="G24" s="280"/>
      <c r="H24" s="492"/>
      <c r="I24" s="369"/>
      <c r="J24" s="369"/>
      <c r="K24" s="282"/>
      <c r="L24" s="277"/>
      <c r="M24" s="375"/>
      <c r="N24" s="371"/>
      <c r="O24" s="372"/>
      <c r="P24" s="370"/>
      <c r="Q24" s="348"/>
      <c r="S24" s="278">
        <f t="shared" si="0"/>
        <v>0</v>
      </c>
      <c r="T24" s="297" t="e">
        <f t="shared" si="1"/>
        <v>#N/A</v>
      </c>
      <c r="U24" s="297" t="e">
        <f t="shared" si="2"/>
        <v>#N/A</v>
      </c>
      <c r="V24" s="298" t="e">
        <f t="shared" si="3"/>
        <v>#N/A</v>
      </c>
      <c r="W24" s="298" t="e">
        <f t="shared" si="4"/>
        <v>#N/A</v>
      </c>
      <c r="X24" s="298" t="e">
        <f t="shared" si="5"/>
        <v>#N/A</v>
      </c>
      <c r="Y24" s="298" t="e">
        <f t="shared" si="6"/>
        <v>#N/A</v>
      </c>
      <c r="Z24" s="298" t="e">
        <f t="shared" si="7"/>
        <v>#N/A</v>
      </c>
      <c r="AA24" s="297" t="e">
        <f t="shared" si="8"/>
        <v>#N/A</v>
      </c>
    </row>
    <row r="25" spans="2:27" ht="14.4" hidden="1">
      <c r="B25" s="22"/>
      <c r="C25" s="367"/>
      <c r="D25" s="280"/>
      <c r="E25" s="280"/>
      <c r="F25" s="279"/>
      <c r="G25" s="280"/>
      <c r="H25" s="492"/>
      <c r="I25" s="369"/>
      <c r="J25" s="369"/>
      <c r="K25" s="282"/>
      <c r="L25" s="277"/>
      <c r="M25" s="375"/>
      <c r="N25" s="371"/>
      <c r="O25" s="372"/>
      <c r="P25" s="370"/>
      <c r="Q25" s="348"/>
      <c r="S25" s="278">
        <f t="shared" si="0"/>
        <v>0</v>
      </c>
      <c r="T25" s="297" t="e">
        <f t="shared" si="1"/>
        <v>#N/A</v>
      </c>
      <c r="U25" s="297" t="e">
        <f t="shared" si="2"/>
        <v>#N/A</v>
      </c>
      <c r="V25" s="298" t="e">
        <f t="shared" si="3"/>
        <v>#N/A</v>
      </c>
      <c r="W25" s="298" t="e">
        <f t="shared" si="4"/>
        <v>#N/A</v>
      </c>
      <c r="X25" s="298" t="e">
        <f t="shared" si="5"/>
        <v>#N/A</v>
      </c>
      <c r="Y25" s="298" t="e">
        <f t="shared" si="6"/>
        <v>#N/A</v>
      </c>
      <c r="Z25" s="298" t="e">
        <f t="shared" si="7"/>
        <v>#N/A</v>
      </c>
      <c r="AA25" s="297" t="e">
        <f t="shared" si="8"/>
        <v>#N/A</v>
      </c>
    </row>
    <row r="26" spans="2:27" ht="14.4" hidden="1">
      <c r="B26" s="22"/>
      <c r="C26" s="367"/>
      <c r="D26" s="280"/>
      <c r="E26" s="280"/>
      <c r="F26" s="279"/>
      <c r="G26" s="280"/>
      <c r="H26" s="492"/>
      <c r="I26" s="369"/>
      <c r="J26" s="369"/>
      <c r="K26" s="282"/>
      <c r="L26" s="277"/>
      <c r="M26" s="375"/>
      <c r="N26" s="371"/>
      <c r="O26" s="372"/>
      <c r="P26" s="376"/>
      <c r="Q26" s="348"/>
      <c r="S26" s="278">
        <f t="shared" si="0"/>
        <v>0</v>
      </c>
      <c r="T26" s="297" t="e">
        <f t="shared" si="1"/>
        <v>#N/A</v>
      </c>
      <c r="U26" s="297" t="e">
        <f t="shared" si="2"/>
        <v>#N/A</v>
      </c>
      <c r="V26" s="298" t="e">
        <f t="shared" si="3"/>
        <v>#N/A</v>
      </c>
      <c r="W26" s="298" t="e">
        <f t="shared" si="4"/>
        <v>#N/A</v>
      </c>
      <c r="X26" s="298" t="e">
        <f t="shared" si="5"/>
        <v>#N/A</v>
      </c>
      <c r="Y26" s="298" t="e">
        <f t="shared" si="6"/>
        <v>#N/A</v>
      </c>
      <c r="Z26" s="298" t="e">
        <f t="shared" si="7"/>
        <v>#N/A</v>
      </c>
      <c r="AA26" s="297" t="e">
        <f t="shared" si="8"/>
        <v>#N/A</v>
      </c>
    </row>
    <row r="27" spans="2:27" ht="14.4" hidden="1">
      <c r="B27" s="22"/>
      <c r="C27" s="367"/>
      <c r="D27" s="280"/>
      <c r="E27" s="280"/>
      <c r="F27" s="279"/>
      <c r="G27" s="280"/>
      <c r="H27" s="492"/>
      <c r="I27" s="369"/>
      <c r="J27" s="369"/>
      <c r="K27" s="282"/>
      <c r="L27" s="277"/>
      <c r="M27" s="375"/>
      <c r="N27" s="371"/>
      <c r="O27" s="372"/>
      <c r="P27" s="376"/>
      <c r="Q27" s="348"/>
      <c r="S27" s="278">
        <f t="shared" si="0"/>
        <v>0</v>
      </c>
      <c r="T27" s="297" t="e">
        <f t="shared" si="1"/>
        <v>#N/A</v>
      </c>
      <c r="U27" s="297" t="e">
        <f t="shared" si="2"/>
        <v>#N/A</v>
      </c>
      <c r="V27" s="298" t="e">
        <f t="shared" si="3"/>
        <v>#N/A</v>
      </c>
      <c r="W27" s="298" t="e">
        <f t="shared" si="4"/>
        <v>#N/A</v>
      </c>
      <c r="X27" s="298" t="e">
        <f t="shared" si="5"/>
        <v>#N/A</v>
      </c>
      <c r="Y27" s="298" t="e">
        <f t="shared" si="6"/>
        <v>#N/A</v>
      </c>
      <c r="Z27" s="298" t="e">
        <f t="shared" si="7"/>
        <v>#N/A</v>
      </c>
      <c r="AA27" s="297" t="e">
        <f t="shared" si="8"/>
        <v>#N/A</v>
      </c>
    </row>
    <row r="28" spans="2:27" ht="14.4" hidden="1">
      <c r="B28" s="34"/>
      <c r="C28" s="367"/>
      <c r="D28" s="280"/>
      <c r="E28" s="280"/>
      <c r="F28" s="279"/>
      <c r="G28" s="280"/>
      <c r="H28" s="419"/>
      <c r="I28" s="369"/>
      <c r="J28" s="369"/>
      <c r="K28" s="422"/>
      <c r="L28" s="277"/>
      <c r="M28" s="423"/>
      <c r="N28" s="371"/>
      <c r="O28" s="372"/>
      <c r="P28" s="370"/>
      <c r="Q28" s="348"/>
      <c r="S28" s="278">
        <f t="shared" si="0"/>
        <v>0</v>
      </c>
      <c r="T28" s="297" t="e">
        <f t="shared" si="1"/>
        <v>#N/A</v>
      </c>
      <c r="U28" s="297" t="e">
        <f t="shared" si="2"/>
        <v>#N/A</v>
      </c>
      <c r="V28" s="298" t="e">
        <f t="shared" si="3"/>
        <v>#N/A</v>
      </c>
      <c r="W28" s="298" t="e">
        <f t="shared" si="4"/>
        <v>#N/A</v>
      </c>
      <c r="X28" s="298" t="e">
        <f t="shared" si="5"/>
        <v>#N/A</v>
      </c>
      <c r="Y28" s="298" t="e">
        <f t="shared" si="6"/>
        <v>#N/A</v>
      </c>
      <c r="Z28" s="298" t="e">
        <f t="shared" si="7"/>
        <v>#N/A</v>
      </c>
      <c r="AA28" s="297" t="e">
        <f t="shared" si="8"/>
        <v>#N/A</v>
      </c>
    </row>
    <row r="29" spans="2:27" ht="14.4" hidden="1">
      <c r="B29" s="34"/>
      <c r="C29" s="367"/>
      <c r="D29" s="280"/>
      <c r="E29" s="280"/>
      <c r="F29" s="279"/>
      <c r="G29" s="280"/>
      <c r="H29" s="419"/>
      <c r="I29" s="369"/>
      <c r="J29" s="369"/>
      <c r="K29" s="422"/>
      <c r="L29" s="277"/>
      <c r="M29" s="423"/>
      <c r="N29" s="371"/>
      <c r="O29" s="372"/>
      <c r="P29" s="370"/>
      <c r="Q29" s="348"/>
      <c r="S29" s="278">
        <f t="shared" si="0"/>
        <v>0</v>
      </c>
      <c r="T29" s="297" t="e">
        <f t="shared" si="1"/>
        <v>#N/A</v>
      </c>
      <c r="U29" s="297" t="e">
        <f t="shared" si="2"/>
        <v>#N/A</v>
      </c>
      <c r="V29" s="298" t="e">
        <f t="shared" si="3"/>
        <v>#N/A</v>
      </c>
      <c r="W29" s="298" t="e">
        <f t="shared" si="4"/>
        <v>#N/A</v>
      </c>
      <c r="X29" s="298" t="e">
        <f t="shared" si="5"/>
        <v>#N/A</v>
      </c>
      <c r="Y29" s="298" t="e">
        <f t="shared" si="6"/>
        <v>#N/A</v>
      </c>
      <c r="Z29" s="298" t="e">
        <f t="shared" si="7"/>
        <v>#N/A</v>
      </c>
      <c r="AA29" s="297" t="e">
        <f t="shared" si="8"/>
        <v>#N/A</v>
      </c>
    </row>
    <row r="30" spans="2:27" ht="14.4" hidden="1">
      <c r="B30" s="34"/>
      <c r="C30" s="367"/>
      <c r="D30" s="280"/>
      <c r="E30" s="280"/>
      <c r="F30" s="279"/>
      <c r="G30" s="280"/>
      <c r="H30" s="419"/>
      <c r="I30" s="369"/>
      <c r="J30" s="369"/>
      <c r="K30" s="422"/>
      <c r="L30" s="277"/>
      <c r="M30" s="423"/>
      <c r="N30" s="371"/>
      <c r="O30" s="372"/>
      <c r="P30" s="376"/>
      <c r="Q30" s="348"/>
      <c r="S30" s="278">
        <f t="shared" si="0"/>
        <v>0</v>
      </c>
      <c r="T30" s="297" t="e">
        <f t="shared" si="1"/>
        <v>#N/A</v>
      </c>
      <c r="U30" s="297" t="e">
        <f t="shared" si="2"/>
        <v>#N/A</v>
      </c>
      <c r="V30" s="298" t="e">
        <f t="shared" si="3"/>
        <v>#N/A</v>
      </c>
      <c r="W30" s="298" t="e">
        <f t="shared" si="4"/>
        <v>#N/A</v>
      </c>
      <c r="X30" s="298" t="e">
        <f t="shared" si="5"/>
        <v>#N/A</v>
      </c>
      <c r="Y30" s="298" t="e">
        <f t="shared" si="6"/>
        <v>#N/A</v>
      </c>
      <c r="Z30" s="298" t="e">
        <f t="shared" si="7"/>
        <v>#N/A</v>
      </c>
      <c r="AA30" s="297" t="e">
        <f t="shared" si="8"/>
        <v>#N/A</v>
      </c>
    </row>
    <row r="31" spans="2:27" ht="15.75" hidden="1" customHeight="1">
      <c r="B31" s="34"/>
      <c r="C31" s="367"/>
      <c r="D31" s="280"/>
      <c r="E31" s="280"/>
      <c r="F31" s="279"/>
      <c r="G31" s="280"/>
      <c r="H31" s="419"/>
      <c r="I31" s="369"/>
      <c r="J31" s="369"/>
      <c r="K31" s="422"/>
      <c r="L31" s="277"/>
      <c r="M31" s="423"/>
      <c r="N31" s="371"/>
      <c r="O31" s="372"/>
      <c r="P31" s="376"/>
      <c r="Q31" s="348"/>
      <c r="S31" s="278">
        <f t="shared" si="0"/>
        <v>0</v>
      </c>
      <c r="T31" s="297" t="e">
        <f t="shared" si="1"/>
        <v>#N/A</v>
      </c>
      <c r="U31" s="297" t="e">
        <f t="shared" si="2"/>
        <v>#N/A</v>
      </c>
      <c r="V31" s="298" t="e">
        <f t="shared" si="3"/>
        <v>#N/A</v>
      </c>
      <c r="W31" s="298" t="e">
        <f t="shared" si="4"/>
        <v>#N/A</v>
      </c>
      <c r="X31" s="298" t="e">
        <f t="shared" si="5"/>
        <v>#N/A</v>
      </c>
      <c r="Y31" s="298" t="e">
        <f t="shared" si="6"/>
        <v>#N/A</v>
      </c>
      <c r="Z31" s="298" t="e">
        <f t="shared" si="7"/>
        <v>#N/A</v>
      </c>
      <c r="AA31" s="297" t="e">
        <f t="shared" si="8"/>
        <v>#N/A</v>
      </c>
    </row>
    <row r="32" spans="2:27" ht="15.75" hidden="1" customHeight="1">
      <c r="B32" s="29"/>
      <c r="C32" s="367"/>
      <c r="D32" s="280"/>
      <c r="E32" s="280"/>
      <c r="F32" s="279"/>
      <c r="G32" s="280"/>
      <c r="H32" s="419"/>
      <c r="I32" s="369"/>
      <c r="J32" s="369"/>
      <c r="K32" s="282"/>
      <c r="L32" s="277"/>
      <c r="M32" s="420"/>
      <c r="N32" s="371"/>
      <c r="O32" s="372"/>
      <c r="P32" s="376"/>
      <c r="Q32" s="348"/>
      <c r="S32" s="278">
        <f t="shared" si="0"/>
        <v>0</v>
      </c>
      <c r="T32" s="297" t="e">
        <f t="shared" si="1"/>
        <v>#N/A</v>
      </c>
      <c r="U32" s="297" t="e">
        <f t="shared" si="2"/>
        <v>#N/A</v>
      </c>
      <c r="V32" s="298" t="e">
        <f t="shared" si="3"/>
        <v>#N/A</v>
      </c>
      <c r="W32" s="298" t="e">
        <f t="shared" si="4"/>
        <v>#N/A</v>
      </c>
      <c r="X32" s="298" t="e">
        <f t="shared" si="5"/>
        <v>#N/A</v>
      </c>
      <c r="Y32" s="298" t="e">
        <f t="shared" si="6"/>
        <v>#N/A</v>
      </c>
      <c r="Z32" s="298" t="e">
        <f t="shared" si="7"/>
        <v>#N/A</v>
      </c>
      <c r="AA32" s="297" t="e">
        <f t="shared" si="8"/>
        <v>#N/A</v>
      </c>
    </row>
    <row r="33" spans="2:27" ht="15.75" hidden="1" customHeight="1">
      <c r="B33" s="29"/>
      <c r="C33" s="367"/>
      <c r="D33" s="280"/>
      <c r="E33" s="280"/>
      <c r="F33" s="279"/>
      <c r="G33" s="280"/>
      <c r="H33" s="419"/>
      <c r="I33" s="369"/>
      <c r="J33" s="369"/>
      <c r="K33" s="282"/>
      <c r="L33" s="277"/>
      <c r="M33" s="420"/>
      <c r="N33" s="371"/>
      <c r="O33" s="372"/>
      <c r="P33" s="376"/>
      <c r="Q33" s="348"/>
      <c r="S33" s="278">
        <f t="shared" si="0"/>
        <v>0</v>
      </c>
      <c r="T33" s="297" t="e">
        <f t="shared" si="1"/>
        <v>#N/A</v>
      </c>
      <c r="U33" s="297" t="e">
        <f t="shared" si="2"/>
        <v>#N/A</v>
      </c>
      <c r="V33" s="298" t="e">
        <f t="shared" si="3"/>
        <v>#N/A</v>
      </c>
      <c r="W33" s="298" t="e">
        <f t="shared" si="4"/>
        <v>#N/A</v>
      </c>
      <c r="X33" s="298" t="e">
        <f t="shared" si="5"/>
        <v>#N/A</v>
      </c>
      <c r="Y33" s="298" t="e">
        <f t="shared" si="6"/>
        <v>#N/A</v>
      </c>
      <c r="Z33" s="298" t="e">
        <f t="shared" si="7"/>
        <v>#N/A</v>
      </c>
      <c r="AA33" s="297" t="e">
        <f t="shared" si="8"/>
        <v>#N/A</v>
      </c>
    </row>
    <row r="34" spans="2:27" ht="15.75" hidden="1" customHeight="1">
      <c r="B34" s="29"/>
      <c r="C34" s="367"/>
      <c r="D34" s="280"/>
      <c r="E34" s="280"/>
      <c r="F34" s="279"/>
      <c r="G34" s="280"/>
      <c r="H34" s="419"/>
      <c r="I34" s="369"/>
      <c r="J34" s="369"/>
      <c r="K34" s="282"/>
      <c r="L34" s="277"/>
      <c r="M34" s="420"/>
      <c r="N34" s="371"/>
      <c r="O34" s="372"/>
      <c r="P34" s="376"/>
      <c r="Q34" s="348"/>
      <c r="S34" s="278">
        <f t="shared" si="0"/>
        <v>0</v>
      </c>
      <c r="T34" s="297" t="e">
        <f t="shared" si="1"/>
        <v>#N/A</v>
      </c>
      <c r="U34" s="297" t="e">
        <f t="shared" si="2"/>
        <v>#N/A</v>
      </c>
      <c r="V34" s="298" t="e">
        <f t="shared" si="3"/>
        <v>#N/A</v>
      </c>
      <c r="W34" s="298" t="e">
        <f t="shared" si="4"/>
        <v>#N/A</v>
      </c>
      <c r="X34" s="298" t="e">
        <f t="shared" si="5"/>
        <v>#N/A</v>
      </c>
      <c r="Y34" s="298" t="e">
        <f t="shared" si="6"/>
        <v>#N/A</v>
      </c>
      <c r="Z34" s="298" t="e">
        <f t="shared" si="7"/>
        <v>#N/A</v>
      </c>
      <c r="AA34" s="297" t="e">
        <f t="shared" si="8"/>
        <v>#N/A</v>
      </c>
    </row>
    <row r="35" spans="2:27" ht="15.75" hidden="1" customHeight="1">
      <c r="B35" s="29"/>
      <c r="C35" s="367"/>
      <c r="D35" s="280"/>
      <c r="E35" s="280"/>
      <c r="F35" s="279"/>
      <c r="G35" s="280"/>
      <c r="H35" s="419"/>
      <c r="I35" s="369"/>
      <c r="J35" s="369"/>
      <c r="K35" s="282"/>
      <c r="L35" s="277"/>
      <c r="M35" s="420"/>
      <c r="N35" s="371"/>
      <c r="O35" s="372"/>
      <c r="P35" s="376"/>
      <c r="Q35" s="348"/>
      <c r="S35" s="278">
        <f t="shared" si="0"/>
        <v>0</v>
      </c>
      <c r="T35" s="297" t="e">
        <f t="shared" si="1"/>
        <v>#N/A</v>
      </c>
      <c r="U35" s="297" t="e">
        <f t="shared" si="2"/>
        <v>#N/A</v>
      </c>
      <c r="V35" s="298" t="e">
        <f t="shared" si="3"/>
        <v>#N/A</v>
      </c>
      <c r="W35" s="298" t="e">
        <f t="shared" si="4"/>
        <v>#N/A</v>
      </c>
      <c r="X35" s="298" t="e">
        <f t="shared" si="5"/>
        <v>#N/A</v>
      </c>
      <c r="Y35" s="298" t="e">
        <f t="shared" si="6"/>
        <v>#N/A</v>
      </c>
      <c r="Z35" s="298" t="e">
        <f t="shared" si="7"/>
        <v>#N/A</v>
      </c>
      <c r="AA35" s="297" t="e">
        <f t="shared" si="8"/>
        <v>#N/A</v>
      </c>
    </row>
    <row r="36" spans="2:27" ht="15.75" hidden="1" customHeight="1">
      <c r="B36" s="29"/>
      <c r="C36" s="367"/>
      <c r="D36" s="280"/>
      <c r="E36" s="280"/>
      <c r="F36" s="279"/>
      <c r="G36" s="280"/>
      <c r="H36" s="419"/>
      <c r="I36" s="369"/>
      <c r="J36" s="369"/>
      <c r="K36" s="282"/>
      <c r="L36" s="277"/>
      <c r="M36" s="420"/>
      <c r="N36" s="371"/>
      <c r="O36" s="372"/>
      <c r="P36" s="376"/>
      <c r="Q36" s="348"/>
      <c r="S36" s="278">
        <f t="shared" si="0"/>
        <v>0</v>
      </c>
      <c r="T36" s="297" t="e">
        <f t="shared" si="1"/>
        <v>#N/A</v>
      </c>
      <c r="U36" s="297" t="e">
        <f t="shared" si="2"/>
        <v>#N/A</v>
      </c>
      <c r="V36" s="298" t="e">
        <f t="shared" si="3"/>
        <v>#N/A</v>
      </c>
      <c r="W36" s="298" t="e">
        <f t="shared" si="4"/>
        <v>#N/A</v>
      </c>
      <c r="X36" s="298" t="e">
        <f t="shared" si="5"/>
        <v>#N/A</v>
      </c>
      <c r="Y36" s="298" t="e">
        <f t="shared" si="6"/>
        <v>#N/A</v>
      </c>
      <c r="Z36" s="298" t="e">
        <f t="shared" si="7"/>
        <v>#N/A</v>
      </c>
      <c r="AA36" s="297" t="e">
        <f t="shared" si="8"/>
        <v>#N/A</v>
      </c>
    </row>
    <row r="37" spans="2:27" ht="15.75" hidden="1" customHeight="1">
      <c r="B37" s="29"/>
      <c r="C37" s="367"/>
      <c r="D37" s="280"/>
      <c r="E37" s="280"/>
      <c r="F37" s="279"/>
      <c r="G37" s="280"/>
      <c r="H37" s="419"/>
      <c r="I37" s="369"/>
      <c r="J37" s="369"/>
      <c r="K37" s="282"/>
      <c r="L37" s="277"/>
      <c r="M37" s="420"/>
      <c r="N37" s="371"/>
      <c r="O37" s="372"/>
      <c r="P37" s="370"/>
      <c r="Q37" s="348"/>
      <c r="S37" s="278">
        <f t="shared" si="0"/>
        <v>0</v>
      </c>
      <c r="T37" s="297" t="e">
        <f t="shared" si="1"/>
        <v>#N/A</v>
      </c>
      <c r="U37" s="297" t="e">
        <f t="shared" si="2"/>
        <v>#N/A</v>
      </c>
      <c r="V37" s="298" t="e">
        <f t="shared" si="3"/>
        <v>#N/A</v>
      </c>
      <c r="W37" s="298" t="e">
        <f t="shared" si="4"/>
        <v>#N/A</v>
      </c>
      <c r="X37" s="298" t="e">
        <f t="shared" si="5"/>
        <v>#N/A</v>
      </c>
      <c r="Y37" s="298" t="e">
        <f t="shared" si="6"/>
        <v>#N/A</v>
      </c>
      <c r="Z37" s="298" t="e">
        <f t="shared" si="7"/>
        <v>#N/A</v>
      </c>
      <c r="AA37" s="297" t="e">
        <f t="shared" si="8"/>
        <v>#N/A</v>
      </c>
    </row>
    <row r="38" spans="2:27" ht="15.75" hidden="1" customHeight="1">
      <c r="B38" s="29"/>
      <c r="C38" s="367"/>
      <c r="D38" s="280"/>
      <c r="E38" s="280"/>
      <c r="F38" s="279"/>
      <c r="G38" s="280"/>
      <c r="H38" s="419"/>
      <c r="I38" s="369"/>
      <c r="J38" s="369"/>
      <c r="K38" s="282"/>
      <c r="L38" s="277"/>
      <c r="M38" s="375"/>
      <c r="N38" s="371"/>
      <c r="O38" s="372"/>
      <c r="P38" s="370"/>
      <c r="Q38" s="348"/>
      <c r="S38" s="278">
        <f t="shared" si="0"/>
        <v>0</v>
      </c>
      <c r="T38" s="297" t="e">
        <f t="shared" si="1"/>
        <v>#N/A</v>
      </c>
      <c r="U38" s="297" t="e">
        <f t="shared" si="2"/>
        <v>#N/A</v>
      </c>
      <c r="V38" s="298" t="e">
        <f t="shared" si="3"/>
        <v>#N/A</v>
      </c>
      <c r="W38" s="298" t="e">
        <f t="shared" si="4"/>
        <v>#N/A</v>
      </c>
      <c r="X38" s="298" t="e">
        <f t="shared" si="5"/>
        <v>#N/A</v>
      </c>
      <c r="Y38" s="298" t="e">
        <f t="shared" si="6"/>
        <v>#N/A</v>
      </c>
      <c r="Z38" s="298" t="e">
        <f t="shared" si="7"/>
        <v>#N/A</v>
      </c>
      <c r="AA38" s="297" t="e">
        <f t="shared" si="8"/>
        <v>#N/A</v>
      </c>
    </row>
    <row r="39" spans="2:27" ht="15.75" hidden="1" customHeight="1">
      <c r="B39" s="33"/>
      <c r="C39" s="367"/>
      <c r="D39" s="280"/>
      <c r="E39" s="280"/>
      <c r="F39" s="279"/>
      <c r="G39" s="280"/>
      <c r="H39" s="419"/>
      <c r="I39" s="512"/>
      <c r="J39" s="512"/>
      <c r="K39" s="422"/>
      <c r="L39" s="277"/>
      <c r="M39" s="375"/>
      <c r="N39" s="371"/>
      <c r="O39" s="513"/>
      <c r="P39" s="370"/>
      <c r="Q39" s="348"/>
      <c r="S39" s="278">
        <f t="shared" si="0"/>
        <v>0</v>
      </c>
      <c r="T39" s="297" t="e">
        <f t="shared" si="1"/>
        <v>#N/A</v>
      </c>
      <c r="U39" s="297" t="e">
        <f t="shared" si="2"/>
        <v>#N/A</v>
      </c>
      <c r="V39" s="298" t="e">
        <f t="shared" si="3"/>
        <v>#N/A</v>
      </c>
      <c r="W39" s="298" t="e">
        <f t="shared" si="4"/>
        <v>#N/A</v>
      </c>
      <c r="X39" s="298" t="e">
        <f t="shared" si="5"/>
        <v>#N/A</v>
      </c>
      <c r="Y39" s="298" t="e">
        <f t="shared" si="6"/>
        <v>#N/A</v>
      </c>
      <c r="Z39" s="298" t="e">
        <f t="shared" si="7"/>
        <v>#N/A</v>
      </c>
      <c r="AA39" s="297" t="e">
        <f t="shared" si="8"/>
        <v>#N/A</v>
      </c>
    </row>
    <row r="40" spans="2:27" ht="15.75" hidden="1" customHeight="1">
      <c r="B40" s="33"/>
      <c r="C40" s="367"/>
      <c r="D40" s="280"/>
      <c r="E40" s="280"/>
      <c r="F40" s="279"/>
      <c r="G40" s="280"/>
      <c r="H40" s="419"/>
      <c r="I40" s="512"/>
      <c r="J40" s="512"/>
      <c r="K40" s="422"/>
      <c r="L40" s="277"/>
      <c r="M40" s="375"/>
      <c r="N40" s="371"/>
      <c r="O40" s="513"/>
      <c r="P40" s="370"/>
      <c r="Q40" s="348"/>
      <c r="S40" s="278">
        <f t="shared" si="0"/>
        <v>0</v>
      </c>
      <c r="T40" s="297" t="e">
        <f t="shared" si="1"/>
        <v>#N/A</v>
      </c>
      <c r="U40" s="297" t="e">
        <f t="shared" si="2"/>
        <v>#N/A</v>
      </c>
      <c r="V40" s="298" t="e">
        <f t="shared" si="3"/>
        <v>#N/A</v>
      </c>
      <c r="W40" s="298" t="e">
        <f t="shared" si="4"/>
        <v>#N/A</v>
      </c>
      <c r="X40" s="298" t="e">
        <f t="shared" si="5"/>
        <v>#N/A</v>
      </c>
      <c r="Y40" s="298" t="e">
        <f t="shared" si="6"/>
        <v>#N/A</v>
      </c>
      <c r="Z40" s="298" t="e">
        <f t="shared" si="7"/>
        <v>#N/A</v>
      </c>
      <c r="AA40" s="297" t="e">
        <f t="shared" si="8"/>
        <v>#N/A</v>
      </c>
    </row>
    <row r="41" spans="2:27" ht="15.75" hidden="1" customHeight="1">
      <c r="B41" s="33"/>
      <c r="C41" s="367"/>
      <c r="D41" s="280"/>
      <c r="E41" s="280"/>
      <c r="F41" s="279"/>
      <c r="G41" s="280"/>
      <c r="H41" s="419"/>
      <c r="I41" s="512"/>
      <c r="J41" s="512"/>
      <c r="K41" s="422"/>
      <c r="L41" s="277"/>
      <c r="M41" s="375"/>
      <c r="N41" s="371"/>
      <c r="O41" s="513"/>
      <c r="P41" s="370"/>
      <c r="Q41" s="348"/>
      <c r="S41" s="278">
        <f t="shared" si="0"/>
        <v>0</v>
      </c>
      <c r="T41" s="297" t="e">
        <f t="shared" si="1"/>
        <v>#N/A</v>
      </c>
      <c r="U41" s="297" t="e">
        <f t="shared" si="2"/>
        <v>#N/A</v>
      </c>
      <c r="V41" s="298" t="e">
        <f t="shared" si="3"/>
        <v>#N/A</v>
      </c>
      <c r="W41" s="298" t="e">
        <f t="shared" si="4"/>
        <v>#N/A</v>
      </c>
      <c r="X41" s="298" t="e">
        <f t="shared" si="5"/>
        <v>#N/A</v>
      </c>
      <c r="Y41" s="298" t="e">
        <f t="shared" si="6"/>
        <v>#N/A</v>
      </c>
      <c r="Z41" s="298" t="e">
        <f t="shared" si="7"/>
        <v>#N/A</v>
      </c>
      <c r="AA41" s="297" t="e">
        <f t="shared" si="8"/>
        <v>#N/A</v>
      </c>
    </row>
    <row r="42" spans="2:27" ht="15.75" hidden="1" customHeight="1">
      <c r="B42" s="33"/>
      <c r="C42" s="367"/>
      <c r="D42" s="280"/>
      <c r="E42" s="280"/>
      <c r="F42" s="279"/>
      <c r="G42" s="280"/>
      <c r="H42" s="419"/>
      <c r="I42" s="512"/>
      <c r="J42" s="512"/>
      <c r="K42" s="422"/>
      <c r="L42" s="277"/>
      <c r="M42" s="375"/>
      <c r="N42" s="371"/>
      <c r="O42" s="513"/>
      <c r="P42" s="370"/>
      <c r="Q42" s="348"/>
      <c r="S42" s="278">
        <f t="shared" si="0"/>
        <v>0</v>
      </c>
      <c r="T42" s="297" t="e">
        <f t="shared" si="1"/>
        <v>#N/A</v>
      </c>
      <c r="U42" s="297" t="e">
        <f t="shared" si="2"/>
        <v>#N/A</v>
      </c>
      <c r="V42" s="298" t="e">
        <f t="shared" si="3"/>
        <v>#N/A</v>
      </c>
      <c r="W42" s="298" t="e">
        <f t="shared" si="4"/>
        <v>#N/A</v>
      </c>
      <c r="X42" s="298" t="e">
        <f t="shared" si="5"/>
        <v>#N/A</v>
      </c>
      <c r="Y42" s="298" t="e">
        <f t="shared" si="6"/>
        <v>#N/A</v>
      </c>
      <c r="Z42" s="298" t="e">
        <f t="shared" si="7"/>
        <v>#N/A</v>
      </c>
      <c r="AA42" s="297" t="e">
        <f t="shared" si="8"/>
        <v>#N/A</v>
      </c>
    </row>
    <row r="43" spans="2:27" ht="15.75" hidden="1" customHeight="1">
      <c r="B43" s="33"/>
      <c r="C43" s="367"/>
      <c r="D43" s="280"/>
      <c r="E43" s="280"/>
      <c r="F43" s="279"/>
      <c r="G43" s="280"/>
      <c r="H43" s="419"/>
      <c r="I43" s="512"/>
      <c r="J43" s="512"/>
      <c r="K43" s="422"/>
      <c r="L43" s="277"/>
      <c r="M43" s="375"/>
      <c r="N43" s="371"/>
      <c r="O43" s="513"/>
      <c r="P43" s="370"/>
      <c r="Q43" s="348"/>
      <c r="S43" s="278">
        <f t="shared" si="0"/>
        <v>0</v>
      </c>
      <c r="T43" s="297" t="e">
        <f t="shared" si="1"/>
        <v>#N/A</v>
      </c>
      <c r="U43" s="297" t="e">
        <f t="shared" si="2"/>
        <v>#N/A</v>
      </c>
      <c r="V43" s="298" t="e">
        <f t="shared" si="3"/>
        <v>#N/A</v>
      </c>
      <c r="W43" s="298" t="e">
        <f t="shared" si="4"/>
        <v>#N/A</v>
      </c>
      <c r="X43" s="298" t="e">
        <f t="shared" si="5"/>
        <v>#N/A</v>
      </c>
      <c r="Y43" s="298" t="e">
        <f t="shared" si="6"/>
        <v>#N/A</v>
      </c>
      <c r="Z43" s="298" t="e">
        <f t="shared" si="7"/>
        <v>#N/A</v>
      </c>
      <c r="AA43" s="297" t="e">
        <f t="shared" si="8"/>
        <v>#N/A</v>
      </c>
    </row>
    <row r="44" spans="2:27" ht="15.75" hidden="1" customHeight="1">
      <c r="B44" s="33"/>
      <c r="C44" s="367"/>
      <c r="D44" s="280"/>
      <c r="E44" s="280"/>
      <c r="F44" s="279"/>
      <c r="G44" s="280"/>
      <c r="H44" s="419"/>
      <c r="I44" s="512"/>
      <c r="J44" s="512"/>
      <c r="K44" s="422"/>
      <c r="L44" s="277"/>
      <c r="M44" s="375"/>
      <c r="N44" s="371"/>
      <c r="O44" s="513"/>
      <c r="P44" s="370"/>
      <c r="Q44" s="348"/>
      <c r="S44" s="278">
        <f t="shared" si="0"/>
        <v>0</v>
      </c>
      <c r="T44" s="297" t="e">
        <f t="shared" si="1"/>
        <v>#N/A</v>
      </c>
      <c r="U44" s="297" t="e">
        <f t="shared" si="2"/>
        <v>#N/A</v>
      </c>
      <c r="V44" s="298" t="e">
        <f t="shared" si="3"/>
        <v>#N/A</v>
      </c>
      <c r="W44" s="298" t="e">
        <f t="shared" si="4"/>
        <v>#N/A</v>
      </c>
      <c r="X44" s="298" t="e">
        <f t="shared" si="5"/>
        <v>#N/A</v>
      </c>
      <c r="Y44" s="298" t="e">
        <f t="shared" si="6"/>
        <v>#N/A</v>
      </c>
      <c r="Z44" s="298" t="e">
        <f t="shared" si="7"/>
        <v>#N/A</v>
      </c>
      <c r="AA44" s="297" t="e">
        <f t="shared" si="8"/>
        <v>#N/A</v>
      </c>
    </row>
    <row r="45" spans="2:27" ht="15.75" hidden="1" customHeight="1">
      <c r="B45" s="33"/>
      <c r="C45" s="367"/>
      <c r="D45" s="280"/>
      <c r="E45" s="280"/>
      <c r="F45" s="279"/>
      <c r="G45" s="280"/>
      <c r="H45" s="419"/>
      <c r="I45" s="512"/>
      <c r="J45" s="512"/>
      <c r="K45" s="422"/>
      <c r="L45" s="277"/>
      <c r="M45" s="375"/>
      <c r="N45" s="371"/>
      <c r="O45" s="513"/>
      <c r="P45" s="370"/>
      <c r="Q45" s="348"/>
      <c r="S45" s="278">
        <f t="shared" si="0"/>
        <v>0</v>
      </c>
      <c r="T45" s="297" t="e">
        <f t="shared" si="1"/>
        <v>#N/A</v>
      </c>
      <c r="U45" s="297" t="e">
        <f t="shared" si="2"/>
        <v>#N/A</v>
      </c>
      <c r="V45" s="298" t="e">
        <f t="shared" si="3"/>
        <v>#N/A</v>
      </c>
      <c r="W45" s="298" t="e">
        <f t="shared" si="4"/>
        <v>#N/A</v>
      </c>
      <c r="X45" s="298" t="e">
        <f t="shared" si="5"/>
        <v>#N/A</v>
      </c>
      <c r="Y45" s="298" t="e">
        <f t="shared" si="6"/>
        <v>#N/A</v>
      </c>
      <c r="Z45" s="298" t="e">
        <f t="shared" si="7"/>
        <v>#N/A</v>
      </c>
      <c r="AA45" s="297" t="e">
        <f t="shared" si="8"/>
        <v>#N/A</v>
      </c>
    </row>
    <row r="46" spans="2:27" ht="15.75" hidden="1" customHeight="1">
      <c r="B46" s="33"/>
      <c r="C46" s="367"/>
      <c r="D46" s="280"/>
      <c r="E46" s="280"/>
      <c r="F46" s="279"/>
      <c r="G46" s="280"/>
      <c r="H46" s="419"/>
      <c r="I46" s="512"/>
      <c r="J46" s="512"/>
      <c r="K46" s="422"/>
      <c r="L46" s="277"/>
      <c r="M46" s="375"/>
      <c r="N46" s="371"/>
      <c r="O46" s="513"/>
      <c r="P46" s="370"/>
      <c r="Q46" s="348"/>
      <c r="S46" s="278">
        <f t="shared" si="0"/>
        <v>0</v>
      </c>
      <c r="T46" s="297" t="e">
        <f t="shared" si="1"/>
        <v>#N/A</v>
      </c>
      <c r="U46" s="297" t="e">
        <f t="shared" si="2"/>
        <v>#N/A</v>
      </c>
      <c r="V46" s="298" t="e">
        <f t="shared" si="3"/>
        <v>#N/A</v>
      </c>
      <c r="W46" s="298" t="e">
        <f t="shared" si="4"/>
        <v>#N/A</v>
      </c>
      <c r="X46" s="298" t="e">
        <f t="shared" si="5"/>
        <v>#N/A</v>
      </c>
      <c r="Y46" s="298" t="e">
        <f t="shared" si="6"/>
        <v>#N/A</v>
      </c>
      <c r="Z46" s="298" t="e">
        <f t="shared" si="7"/>
        <v>#N/A</v>
      </c>
      <c r="AA46" s="297" t="e">
        <f t="shared" si="8"/>
        <v>#N/A</v>
      </c>
    </row>
    <row r="47" spans="2:27" ht="15.75" hidden="1" customHeight="1">
      <c r="B47" s="29"/>
      <c r="C47" s="367"/>
      <c r="D47" s="280"/>
      <c r="E47" s="280"/>
      <c r="F47" s="279"/>
      <c r="G47" s="280"/>
      <c r="H47" s="419"/>
      <c r="I47" s="369"/>
      <c r="J47" s="369"/>
      <c r="K47" s="282"/>
      <c r="L47" s="277"/>
      <c r="M47" s="420"/>
      <c r="N47" s="371"/>
      <c r="O47" s="372"/>
      <c r="P47" s="370"/>
      <c r="Q47" s="348"/>
      <c r="S47" s="278">
        <f t="shared" si="0"/>
        <v>0</v>
      </c>
      <c r="T47" s="297" t="e">
        <f t="shared" si="1"/>
        <v>#N/A</v>
      </c>
      <c r="U47" s="297" t="e">
        <f t="shared" si="2"/>
        <v>#N/A</v>
      </c>
      <c r="V47" s="298" t="e">
        <f t="shared" si="3"/>
        <v>#N/A</v>
      </c>
      <c r="W47" s="298" t="e">
        <f t="shared" si="4"/>
        <v>#N/A</v>
      </c>
      <c r="X47" s="298" t="e">
        <f t="shared" si="5"/>
        <v>#N/A</v>
      </c>
      <c r="Y47" s="298" t="e">
        <f t="shared" si="6"/>
        <v>#N/A</v>
      </c>
      <c r="Z47" s="298" t="e">
        <f t="shared" si="7"/>
        <v>#N/A</v>
      </c>
      <c r="AA47" s="297" t="e">
        <f t="shared" si="8"/>
        <v>#N/A</v>
      </c>
    </row>
    <row r="48" spans="2:27" ht="15.75" hidden="1" customHeight="1">
      <c r="B48" s="29"/>
      <c r="C48" s="367"/>
      <c r="D48" s="280"/>
      <c r="E48" s="280"/>
      <c r="F48" s="279"/>
      <c r="G48" s="280"/>
      <c r="H48" s="419"/>
      <c r="I48" s="369"/>
      <c r="J48" s="369"/>
      <c r="K48" s="282"/>
      <c r="L48" s="277"/>
      <c r="M48" s="420"/>
      <c r="N48" s="371"/>
      <c r="O48" s="372"/>
      <c r="P48" s="370"/>
      <c r="Q48" s="348"/>
      <c r="S48" s="278">
        <f t="shared" si="0"/>
        <v>0</v>
      </c>
      <c r="T48" s="297" t="e">
        <f t="shared" si="1"/>
        <v>#N/A</v>
      </c>
      <c r="U48" s="297" t="e">
        <f t="shared" si="2"/>
        <v>#N/A</v>
      </c>
      <c r="V48" s="298" t="e">
        <f t="shared" si="3"/>
        <v>#N/A</v>
      </c>
      <c r="W48" s="298" t="e">
        <f t="shared" si="4"/>
        <v>#N/A</v>
      </c>
      <c r="X48" s="298" t="e">
        <f t="shared" si="5"/>
        <v>#N/A</v>
      </c>
      <c r="Y48" s="298" t="e">
        <f t="shared" si="6"/>
        <v>#N/A</v>
      </c>
      <c r="Z48" s="298" t="e">
        <f t="shared" si="7"/>
        <v>#N/A</v>
      </c>
      <c r="AA48" s="297" t="e">
        <f t="shared" si="8"/>
        <v>#N/A</v>
      </c>
    </row>
    <row r="49" spans="1:27" ht="15.75" hidden="1" customHeight="1">
      <c r="B49" s="29"/>
      <c r="C49" s="367"/>
      <c r="D49" s="280"/>
      <c r="E49" s="280"/>
      <c r="F49" s="279"/>
      <c r="G49" s="280"/>
      <c r="H49" s="419"/>
      <c r="I49" s="369"/>
      <c r="J49" s="369"/>
      <c r="K49" s="282"/>
      <c r="L49" s="277"/>
      <c r="M49" s="420"/>
      <c r="N49" s="371"/>
      <c r="O49" s="372"/>
      <c r="P49" s="370"/>
      <c r="Q49" s="348"/>
      <c r="S49" s="278">
        <f t="shared" si="0"/>
        <v>0</v>
      </c>
      <c r="T49" s="297" t="e">
        <f t="shared" si="1"/>
        <v>#N/A</v>
      </c>
      <c r="U49" s="297" t="e">
        <f t="shared" si="2"/>
        <v>#N/A</v>
      </c>
      <c r="V49" s="298" t="e">
        <f t="shared" si="3"/>
        <v>#N/A</v>
      </c>
      <c r="W49" s="298" t="e">
        <f t="shared" si="4"/>
        <v>#N/A</v>
      </c>
      <c r="X49" s="298" t="e">
        <f t="shared" si="5"/>
        <v>#N/A</v>
      </c>
      <c r="Y49" s="298" t="e">
        <f t="shared" si="6"/>
        <v>#N/A</v>
      </c>
      <c r="Z49" s="298" t="e">
        <f t="shared" si="7"/>
        <v>#N/A</v>
      </c>
      <c r="AA49" s="297" t="e">
        <f t="shared" si="8"/>
        <v>#N/A</v>
      </c>
    </row>
    <row r="50" spans="1:27" ht="15.75" hidden="1" customHeight="1">
      <c r="B50" s="29"/>
      <c r="C50" s="367"/>
      <c r="D50" s="280"/>
      <c r="E50" s="280"/>
      <c r="F50" s="279"/>
      <c r="G50" s="280"/>
      <c r="H50" s="419"/>
      <c r="I50" s="369"/>
      <c r="J50" s="369"/>
      <c r="K50" s="282"/>
      <c r="L50" s="277"/>
      <c r="M50" s="420"/>
      <c r="N50" s="371"/>
      <c r="O50" s="372"/>
      <c r="P50" s="370"/>
      <c r="Q50" s="348"/>
      <c r="S50" s="278">
        <f t="shared" si="0"/>
        <v>0</v>
      </c>
      <c r="T50" s="297" t="e">
        <f t="shared" si="1"/>
        <v>#N/A</v>
      </c>
      <c r="U50" s="297" t="e">
        <f t="shared" si="2"/>
        <v>#N/A</v>
      </c>
      <c r="V50" s="298" t="e">
        <f t="shared" si="3"/>
        <v>#N/A</v>
      </c>
      <c r="W50" s="298" t="e">
        <f t="shared" si="4"/>
        <v>#N/A</v>
      </c>
      <c r="X50" s="298" t="e">
        <f t="shared" si="5"/>
        <v>#N/A</v>
      </c>
      <c r="Y50" s="298" t="e">
        <f t="shared" si="6"/>
        <v>#N/A</v>
      </c>
      <c r="Z50" s="298" t="e">
        <f t="shared" si="7"/>
        <v>#N/A</v>
      </c>
      <c r="AA50" s="297" t="e">
        <f t="shared" si="8"/>
        <v>#N/A</v>
      </c>
    </row>
    <row r="51" spans="1:27" ht="15.75" hidden="1" customHeight="1">
      <c r="B51" s="29"/>
      <c r="C51" s="367"/>
      <c r="D51" s="280"/>
      <c r="E51" s="280"/>
      <c r="F51" s="279"/>
      <c r="G51" s="280"/>
      <c r="H51" s="419"/>
      <c r="I51" s="369"/>
      <c r="J51" s="369"/>
      <c r="K51" s="282"/>
      <c r="L51" s="277"/>
      <c r="M51" s="420"/>
      <c r="N51" s="371"/>
      <c r="O51" s="372"/>
      <c r="P51" s="370"/>
      <c r="Q51" s="348"/>
      <c r="S51" s="278">
        <f t="shared" si="0"/>
        <v>0</v>
      </c>
      <c r="T51" s="297" t="e">
        <f t="shared" si="1"/>
        <v>#N/A</v>
      </c>
      <c r="U51" s="297" t="e">
        <f t="shared" si="2"/>
        <v>#N/A</v>
      </c>
      <c r="V51" s="298" t="e">
        <f t="shared" si="3"/>
        <v>#N/A</v>
      </c>
      <c r="W51" s="298" t="e">
        <f t="shared" si="4"/>
        <v>#N/A</v>
      </c>
      <c r="X51" s="298" t="e">
        <f t="shared" si="5"/>
        <v>#N/A</v>
      </c>
      <c r="Y51" s="298" t="e">
        <f t="shared" si="6"/>
        <v>#N/A</v>
      </c>
      <c r="Z51" s="298" t="e">
        <f t="shared" si="7"/>
        <v>#N/A</v>
      </c>
      <c r="AA51" s="297" t="e">
        <f t="shared" si="8"/>
        <v>#N/A</v>
      </c>
    </row>
    <row r="52" spans="1:27" ht="14.4" hidden="1">
      <c r="B52" s="29"/>
      <c r="C52" s="367"/>
      <c r="D52" s="280"/>
      <c r="E52" s="280"/>
      <c r="F52" s="279"/>
      <c r="G52" s="280"/>
      <c r="H52" s="419"/>
      <c r="I52" s="369"/>
      <c r="J52" s="369"/>
      <c r="K52" s="282"/>
      <c r="L52" s="277"/>
      <c r="M52" s="375"/>
      <c r="N52" s="371"/>
      <c r="O52" s="372"/>
      <c r="P52" s="370"/>
      <c r="Q52" s="348"/>
      <c r="S52" s="278">
        <f t="shared" si="0"/>
        <v>0</v>
      </c>
      <c r="T52" s="297" t="e">
        <f t="shared" si="1"/>
        <v>#N/A</v>
      </c>
      <c r="U52" s="297" t="e">
        <f t="shared" si="2"/>
        <v>#N/A</v>
      </c>
      <c r="V52" s="298" t="e">
        <f t="shared" si="3"/>
        <v>#N/A</v>
      </c>
      <c r="W52" s="298" t="e">
        <f t="shared" si="4"/>
        <v>#N/A</v>
      </c>
      <c r="X52" s="298" t="e">
        <f t="shared" si="5"/>
        <v>#N/A</v>
      </c>
      <c r="Y52" s="298" t="e">
        <f t="shared" si="6"/>
        <v>#N/A</v>
      </c>
      <c r="Z52" s="298" t="e">
        <f t="shared" si="7"/>
        <v>#N/A</v>
      </c>
      <c r="AA52" s="297" t="e">
        <f t="shared" si="8"/>
        <v>#N/A</v>
      </c>
    </row>
    <row r="53" spans="1:27" ht="15.75" customHeight="1" thickBot="1">
      <c r="B53" s="359"/>
      <c r="C53" s="359"/>
      <c r="D53" s="359"/>
      <c r="E53" s="359"/>
      <c r="F53" s="295"/>
      <c r="G53" s="295"/>
      <c r="H53" s="349"/>
      <c r="I53" s="574" t="s">
        <v>34</v>
      </c>
      <c r="J53" s="574"/>
      <c r="K53" s="574"/>
      <c r="L53" s="574"/>
      <c r="M53" s="574"/>
      <c r="N53" s="574"/>
      <c r="O53" s="1"/>
      <c r="P53" s="12"/>
      <c r="S53" s="278"/>
      <c r="T53" s="297"/>
      <c r="U53" s="297"/>
      <c r="V53" s="298"/>
      <c r="W53" s="298"/>
      <c r="X53" s="298"/>
      <c r="Y53" s="298"/>
      <c r="Z53" s="298"/>
      <c r="AA53" s="297"/>
    </row>
    <row r="54" spans="1:27" ht="15" thickBot="1">
      <c r="B54" s="389" t="s">
        <v>145</v>
      </c>
      <c r="C54" s="389"/>
      <c r="D54" s="552" t="s">
        <v>35</v>
      </c>
      <c r="E54" s="553"/>
      <c r="F54" s="295"/>
      <c r="G54" s="295"/>
      <c r="H54" s="23"/>
      <c r="I54" s="24" t="s">
        <v>17</v>
      </c>
      <c r="J54" s="25" t="s">
        <v>146</v>
      </c>
      <c r="K54" s="26" t="s">
        <v>138</v>
      </c>
      <c r="L54" s="25" t="s">
        <v>37</v>
      </c>
      <c r="M54" s="25" t="s">
        <v>38</v>
      </c>
      <c r="N54" s="27" t="s">
        <v>39</v>
      </c>
      <c r="O54" s="295"/>
      <c r="P54" s="12"/>
      <c r="S54" s="278"/>
      <c r="T54" s="297"/>
      <c r="U54" s="297"/>
      <c r="V54" s="298"/>
      <c r="W54" s="298"/>
      <c r="X54" s="298"/>
      <c r="Y54" s="298"/>
      <c r="Z54" s="298"/>
      <c r="AA54" s="297"/>
    </row>
    <row r="55" spans="1:27" ht="15" customHeight="1">
      <c r="A55" s="28"/>
      <c r="B55" s="660" t="str">
        <f>I58</f>
        <v>VITAMALT</v>
      </c>
      <c r="C55" s="363" cm="1">
        <f t="array" ref="C55:C60">[25]Process!$D$9:$D$14</f>
        <v>14.15</v>
      </c>
      <c r="D55" s="578">
        <v>16.27</v>
      </c>
      <c r="E55" s="579"/>
      <c r="F55" s="295"/>
      <c r="G55" s="295"/>
      <c r="H55" s="295"/>
      <c r="I55" s="29" t="s">
        <v>6</v>
      </c>
      <c r="J55" s="324">
        <f>AVERAGE(I10:I15)</f>
        <v>98.258357796804674</v>
      </c>
      <c r="K55" s="285">
        <f>COUNTA([28]Brewhouse!$A$102:$A$171)</f>
        <v>70</v>
      </c>
      <c r="L55" s="303">
        <f>AVERAGE([28]Brewhouse!$AU$102:$AU$171)</f>
        <v>94.576044053982088</v>
      </c>
      <c r="M55" s="303">
        <f>AVERAGE([28]Brewhouse!$AU$102:$AU$171)</f>
        <v>94.576044053982088</v>
      </c>
      <c r="N55" s="30">
        <v>98</v>
      </c>
      <c r="O55" s="11"/>
      <c r="P55" s="31"/>
      <c r="S55" s="278"/>
      <c r="T55" s="297"/>
      <c r="U55" s="297"/>
      <c r="V55" s="298"/>
      <c r="W55" s="298"/>
      <c r="X55" s="298"/>
      <c r="Y55" s="298"/>
      <c r="Z55" s="298"/>
      <c r="AA55" s="297"/>
    </row>
    <row r="56" spans="1:27" ht="15" customHeight="1">
      <c r="A56" s="28"/>
      <c r="B56" s="661"/>
      <c r="C56" s="350">
        <v>14.48</v>
      </c>
      <c r="D56" s="580"/>
      <c r="E56" s="581"/>
      <c r="F56" s="295"/>
      <c r="G56" s="295"/>
      <c r="H56" s="32"/>
      <c r="I56" s="33" t="s">
        <v>9</v>
      </c>
      <c r="J56" s="324"/>
      <c r="K56" s="285">
        <f>COUNTA([22]Brewhouse!$A$15:$A$64)</f>
        <v>50</v>
      </c>
      <c r="L56" s="303">
        <f>AVERAGE([22]Brewhouse!$AS$15:$AS$64)</f>
        <v>96.07733212061747</v>
      </c>
      <c r="M56" s="303">
        <f>AVERAGE([22]Brewhouse!$AS$15:$AS$64)</f>
        <v>96.07733212061747</v>
      </c>
      <c r="N56" s="30">
        <v>98</v>
      </c>
      <c r="O56" s="11"/>
      <c r="P56" s="31"/>
      <c r="S56" s="278"/>
      <c r="T56" s="297"/>
      <c r="U56" s="297"/>
      <c r="V56" s="298"/>
      <c r="W56" s="298"/>
      <c r="X56" s="298"/>
      <c r="Y56" s="298"/>
      <c r="Z56" s="298"/>
      <c r="AA56" s="297"/>
    </row>
    <row r="57" spans="1:27" ht="14.7" customHeight="1">
      <c r="A57" s="28"/>
      <c r="B57" s="661"/>
      <c r="C57" s="350">
        <v>14.4</v>
      </c>
      <c r="D57" s="578">
        <v>16.239999999999998</v>
      </c>
      <c r="E57" s="579"/>
      <c r="F57" s="295"/>
      <c r="G57" s="295"/>
      <c r="H57" s="32"/>
      <c r="I57" s="34" t="s">
        <v>12</v>
      </c>
      <c r="J57" s="281"/>
      <c r="K57" s="285">
        <f>COUNTA([31]Brewhouse!$A$4:$A$7)</f>
        <v>4</v>
      </c>
      <c r="L57" s="303">
        <f>AVERAGE([31]Brewhouse!$AU$4:$AU$7)</f>
        <v>97.101937860557186</v>
      </c>
      <c r="M57" s="303">
        <f>AVERAGE([31]Brewhouse!$AU$4:$AU$7)</f>
        <v>97.101937860557186</v>
      </c>
      <c r="N57" s="30">
        <v>98</v>
      </c>
      <c r="O57" s="11"/>
      <c r="P57" s="31"/>
      <c r="S57" s="23"/>
      <c r="T57" s="1"/>
      <c r="U57" s="1"/>
      <c r="AA57" s="286"/>
    </row>
    <row r="58" spans="1:27" ht="14.7" customHeight="1">
      <c r="A58" s="28"/>
      <c r="B58" s="661"/>
      <c r="C58" s="350">
        <v>14.29</v>
      </c>
      <c r="D58" s="580"/>
      <c r="E58" s="581"/>
      <c r="F58" s="295"/>
      <c r="G58" s="295"/>
      <c r="H58" s="32"/>
      <c r="I58" s="22" t="s">
        <v>33</v>
      </c>
      <c r="J58" s="281"/>
      <c r="K58" s="285">
        <f>COUNTA([25]Brewhouse!$A$5:$A$14)</f>
        <v>10</v>
      </c>
      <c r="L58" s="303">
        <f>AVERAGE([25]Brewhouse!$AV$5:$AV$14)</f>
        <v>97.717673301363135</v>
      </c>
      <c r="M58" s="303">
        <f>AVERAGE([25]Brewhouse!$AV$5:$AV$14)</f>
        <v>97.717673301363135</v>
      </c>
      <c r="N58" s="30">
        <v>98</v>
      </c>
      <c r="O58" s="11"/>
      <c r="P58" s="31"/>
      <c r="S58" s="23"/>
      <c r="T58" s="1"/>
      <c r="U58" s="1"/>
      <c r="AA58" s="286"/>
    </row>
    <row r="59" spans="1:27" ht="14.7" customHeight="1">
      <c r="A59" s="28"/>
      <c r="B59" s="661"/>
      <c r="C59" s="350">
        <v>14.5</v>
      </c>
      <c r="D59" s="578">
        <v>16.239999999999998</v>
      </c>
      <c r="E59" s="579"/>
      <c r="F59" s="295"/>
      <c r="G59" s="295"/>
      <c r="H59" s="32"/>
      <c r="I59" s="35" t="s">
        <v>29</v>
      </c>
      <c r="J59" s="281"/>
      <c r="K59" s="285"/>
      <c r="L59" s="303"/>
      <c r="M59" s="303"/>
      <c r="N59" s="30">
        <v>98</v>
      </c>
      <c r="O59" s="11"/>
      <c r="P59" s="31"/>
      <c r="S59" s="23"/>
    </row>
    <row r="60" spans="1:27" ht="14.7" customHeight="1">
      <c r="A60" s="28"/>
      <c r="B60" s="661"/>
      <c r="C60" s="350">
        <v>14.3</v>
      </c>
      <c r="D60" s="580"/>
      <c r="E60" s="581"/>
      <c r="F60" s="295"/>
      <c r="G60" s="295"/>
      <c r="H60" s="32"/>
      <c r="I60" s="36" t="s">
        <v>15</v>
      </c>
      <c r="J60" s="324"/>
      <c r="K60" s="285">
        <f>COUNTA([27]Brewhouse!$A$4:$A$11)</f>
        <v>8</v>
      </c>
      <c r="L60" s="303">
        <f>AVERAGE([27]Brewhouse!$AT$4:$AT$11)</f>
        <v>94.812616598822359</v>
      </c>
      <c r="M60" s="303">
        <f>AVERAGE([27]Brewhouse!$AT$4:$AT$11)</f>
        <v>94.812616598822359</v>
      </c>
      <c r="N60" s="30">
        <v>98</v>
      </c>
      <c r="O60" s="11"/>
      <c r="P60" s="31"/>
      <c r="S60" s="23"/>
    </row>
    <row r="61" spans="1:27" ht="14.7" customHeight="1">
      <c r="A61" s="28"/>
      <c r="B61" s="661"/>
      <c r="C61" s="350"/>
      <c r="D61" s="578">
        <v>16.46</v>
      </c>
      <c r="E61" s="579"/>
      <c r="F61" s="295"/>
      <c r="G61" s="295"/>
      <c r="H61" s="32"/>
      <c r="I61" s="37" t="s">
        <v>16</v>
      </c>
      <c r="J61" s="324"/>
      <c r="K61" s="285">
        <f>COUNTA([29]Brewhouse!$A$6:$A$13)</f>
        <v>8</v>
      </c>
      <c r="L61" s="303">
        <f>AVERAGE([29]Brewhouse!$AY$6:$AY$13)</f>
        <v>93.094805585685208</v>
      </c>
      <c r="M61" s="303">
        <f>AVERAGE([29]Brewhouse!$AY$6:$AY$13)</f>
        <v>93.094805585685208</v>
      </c>
      <c r="N61" s="30">
        <v>98</v>
      </c>
      <c r="O61" s="11"/>
      <c r="P61" s="31" t="s">
        <v>41</v>
      </c>
      <c r="S61" s="23"/>
      <c r="X61" s="276" t="s">
        <v>41</v>
      </c>
    </row>
    <row r="62" spans="1:27" ht="14.7" customHeight="1">
      <c r="A62" s="28"/>
      <c r="B62" s="661"/>
      <c r="C62" s="350"/>
      <c r="D62" s="580"/>
      <c r="E62" s="581"/>
      <c r="F62" s="295"/>
      <c r="G62" s="295"/>
      <c r="H62" s="32"/>
      <c r="I62" s="507" t="s">
        <v>174</v>
      </c>
      <c r="J62" s="327"/>
      <c r="K62" s="285">
        <f>COUNTA([26]Brewhouse!$A$5:$A$8)</f>
        <v>4</v>
      </c>
      <c r="L62" s="306">
        <f>AVERAGE([26]Brewhouse!$AU$5:$AU$8)</f>
        <v>91.006888337619571</v>
      </c>
      <c r="M62" s="306">
        <f>AVERAGE([26]Brewhouse!$AU$5:$AU$8)</f>
        <v>91.006888337619571</v>
      </c>
      <c r="N62" s="30">
        <v>98</v>
      </c>
      <c r="O62" s="11"/>
      <c r="P62" s="31"/>
      <c r="S62" s="23"/>
    </row>
    <row r="63" spans="1:27" ht="14.7" customHeight="1">
      <c r="A63" s="28"/>
      <c r="B63" s="661"/>
      <c r="C63" s="350"/>
      <c r="D63" s="578"/>
      <c r="E63" s="579"/>
      <c r="F63" s="295"/>
      <c r="G63" s="295"/>
      <c r="H63" s="32"/>
      <c r="I63" s="506" t="s">
        <v>166</v>
      </c>
      <c r="J63" s="327"/>
      <c r="K63" s="285"/>
      <c r="L63" s="306"/>
      <c r="M63" s="306"/>
      <c r="N63" s="30"/>
      <c r="O63" s="11"/>
      <c r="P63" s="31"/>
      <c r="S63" s="23"/>
    </row>
    <row r="64" spans="1:27" ht="15" customHeight="1" thickBot="1">
      <c r="A64" s="28"/>
      <c r="B64" s="661"/>
      <c r="C64" s="350"/>
      <c r="D64" s="580"/>
      <c r="E64" s="581"/>
      <c r="F64" s="295"/>
      <c r="G64" s="295"/>
      <c r="H64" s="32"/>
      <c r="I64" s="502" t="s">
        <v>165</v>
      </c>
      <c r="J64" s="328"/>
      <c r="K64" s="503"/>
      <c r="L64" s="504"/>
      <c r="M64" s="504"/>
      <c r="N64" s="505">
        <v>98</v>
      </c>
      <c r="O64" s="11"/>
      <c r="P64" s="31"/>
      <c r="S64" s="23"/>
    </row>
    <row r="65" spans="1:57" ht="15" customHeight="1" thickBot="1">
      <c r="A65" s="28"/>
      <c r="B65" s="661"/>
      <c r="C65" s="350"/>
      <c r="D65" s="578"/>
      <c r="E65" s="579"/>
      <c r="F65" s="295"/>
      <c r="G65" s="295"/>
      <c r="H65" s="32"/>
      <c r="I65" s="1"/>
      <c r="J65" s="39"/>
      <c r="K65" s="500">
        <f>SUM(K55:K64)</f>
        <v>154</v>
      </c>
      <c r="L65" s="501">
        <f>((L55*K55)+(L56*K56)+(L57*K57)+(L58*K58)+(L59*K59)+(K62*L62)+(L60*K60)+(L61*K61)+(L64*K64))/(K65)</f>
        <v>95.175721461636485</v>
      </c>
      <c r="M65" s="501">
        <f>L65</f>
        <v>95.175721461636485</v>
      </c>
      <c r="N65" s="40">
        <v>98</v>
      </c>
      <c r="O65" s="11"/>
      <c r="P65" s="31"/>
      <c r="S65" s="23"/>
    </row>
    <row r="66" spans="1:57" ht="15" thickBot="1">
      <c r="B66" s="662"/>
      <c r="C66" s="351"/>
      <c r="D66" s="580"/>
      <c r="E66" s="581"/>
      <c r="F66" s="295"/>
      <c r="G66" s="42"/>
      <c r="H66" s="41"/>
      <c r="I66" s="42"/>
      <c r="J66" s="42"/>
      <c r="K66" s="352"/>
      <c r="L66" s="349"/>
      <c r="M66" s="349"/>
      <c r="N66" s="11"/>
      <c r="O66" s="295"/>
      <c r="P66" s="12"/>
      <c r="S66" s="23"/>
    </row>
    <row r="67" spans="1:57" ht="15" thickBot="1">
      <c r="B67" s="653"/>
      <c r="C67" s="363"/>
      <c r="D67" s="591"/>
      <c r="E67" s="592"/>
      <c r="F67" s="43"/>
      <c r="G67" s="41"/>
      <c r="H67" s="41"/>
      <c r="I67" s="42"/>
      <c r="J67" s="594" t="s">
        <v>129</v>
      </c>
      <c r="K67" s="594"/>
      <c r="L67" s="295"/>
      <c r="M67" s="295"/>
      <c r="N67" s="295"/>
      <c r="O67" s="295"/>
      <c r="P67" s="12"/>
      <c r="S67" s="23" t="s">
        <v>41</v>
      </c>
    </row>
    <row r="68" spans="1:57" ht="13.5" customHeight="1" thickBot="1">
      <c r="B68" s="654"/>
      <c r="C68" s="350"/>
      <c r="D68" s="593"/>
      <c r="E68" s="581"/>
      <c r="F68" s="43"/>
      <c r="G68" s="41"/>
      <c r="H68" s="41"/>
      <c r="I68" s="42"/>
      <c r="J68" s="526" t="s">
        <v>17</v>
      </c>
      <c r="K68" s="294" t="s">
        <v>201</v>
      </c>
      <c r="L68" s="595" t="s">
        <v>136</v>
      </c>
      <c r="M68" s="595"/>
      <c r="N68" s="596"/>
      <c r="O68" s="295"/>
      <c r="P68" s="12"/>
      <c r="S68" s="23"/>
    </row>
    <row r="69" spans="1:57" ht="15" customHeight="1" thickBot="1">
      <c r="B69" s="654"/>
      <c r="C69" s="350"/>
      <c r="D69" s="597"/>
      <c r="E69" s="579"/>
      <c r="F69" s="43"/>
      <c r="G69" s="41"/>
      <c r="H69" s="41"/>
      <c r="I69" s="42"/>
      <c r="J69" s="527" t="s">
        <v>6</v>
      </c>
      <c r="K69" s="325">
        <v>6</v>
      </c>
      <c r="L69" s="344" t="s">
        <v>37</v>
      </c>
      <c r="M69" s="308" t="s">
        <v>38</v>
      </c>
      <c r="N69" s="308" t="s">
        <v>84</v>
      </c>
      <c r="O69" s="295"/>
      <c r="P69" s="12"/>
      <c r="S69" s="23"/>
    </row>
    <row r="70" spans="1:57" ht="15.75" customHeight="1" thickBot="1">
      <c r="B70" s="654"/>
      <c r="C70" s="350"/>
      <c r="D70" s="593"/>
      <c r="E70" s="581"/>
      <c r="F70" s="43"/>
      <c r="G70" s="41"/>
      <c r="H70" s="41"/>
      <c r="I70" s="42"/>
      <c r="J70" s="528" t="s">
        <v>9</v>
      </c>
      <c r="K70" s="325"/>
      <c r="L70" s="345">
        <f>AVERAGE('Jan 2nd'!K69,'Jan 3rd'!K69,'Jan 6th'!K54,'Jan 7th'!K76,'Jan 8th'!K76,'Jan. 10th'!K54,'Jan. 14th '!K54,'Jan.15th '!K55,Jan.16th!K58,'Jan.17th -19th'!K67,'Jan.17th -19th'!H67,'Jan.17th -19th'!I67,Jan.20th!K67,'Jan.21ST '!K70,'Jan 22nd'!K79,'Jan 23rd '!K86,'Jan 24th, 27th, 28th'!K79,'Jan 24th, 27th, 28th'!I79,'Jan 24th, 27th, 28th'!H79,'Jan 29th '!K79,'Jan 30th'!K79,'Jan 31st'!K79)</f>
        <v>6.8636363636363633</v>
      </c>
      <c r="M70" s="326">
        <f>L70</f>
        <v>6.8636363636363633</v>
      </c>
      <c r="N70" s="488"/>
      <c r="O70" s="295"/>
      <c r="P70" s="12"/>
      <c r="S70" s="23"/>
    </row>
    <row r="71" spans="1:57" ht="15" customHeight="1">
      <c r="B71" s="654"/>
      <c r="C71" s="350"/>
      <c r="D71" s="597"/>
      <c r="E71" s="579"/>
      <c r="F71" s="43"/>
      <c r="G71" s="41"/>
      <c r="H71" s="41"/>
      <c r="I71" s="42"/>
      <c r="J71" s="529" t="s">
        <v>40</v>
      </c>
      <c r="K71" s="325"/>
      <c r="L71" s="295"/>
      <c r="M71" s="295"/>
      <c r="N71" s="295"/>
      <c r="O71" s="295"/>
      <c r="P71" s="12"/>
      <c r="S71" s="23"/>
    </row>
    <row r="72" spans="1:57" ht="15" customHeight="1">
      <c r="B72" s="654"/>
      <c r="C72" s="350"/>
      <c r="D72" s="593"/>
      <c r="E72" s="581"/>
      <c r="F72" s="43"/>
      <c r="G72" s="41"/>
      <c r="H72" s="41"/>
      <c r="I72" s="42"/>
      <c r="J72" s="530" t="s">
        <v>33</v>
      </c>
      <c r="K72" s="325"/>
      <c r="L72" s="295"/>
      <c r="M72" s="295"/>
      <c r="N72" s="295"/>
      <c r="O72" s="295"/>
      <c r="P72" s="12"/>
      <c r="S72" s="23"/>
    </row>
    <row r="73" spans="1:57" ht="14.4">
      <c r="B73" s="654"/>
      <c r="C73" s="350"/>
      <c r="D73" s="597"/>
      <c r="E73" s="579"/>
      <c r="F73" s="43"/>
      <c r="G73" s="41"/>
      <c r="H73" s="41"/>
      <c r="I73" s="42"/>
      <c r="J73" s="531" t="s">
        <v>16</v>
      </c>
      <c r="K73" s="325"/>
      <c r="L73" s="295"/>
      <c r="M73" s="295"/>
      <c r="N73" s="295"/>
      <c r="O73" s="295"/>
      <c r="P73" s="12"/>
      <c r="S73" s="23"/>
      <c r="BD73" s="44"/>
      <c r="BE73" s="44"/>
    </row>
    <row r="74" spans="1:57" ht="14.4">
      <c r="B74" s="654"/>
      <c r="C74" s="350"/>
      <c r="D74" s="593"/>
      <c r="E74" s="581"/>
      <c r="F74" s="43"/>
      <c r="G74" s="41"/>
      <c r="H74" s="41"/>
      <c r="I74" s="42"/>
      <c r="J74" s="532" t="s">
        <v>15</v>
      </c>
      <c r="K74" s="325"/>
      <c r="L74" s="295"/>
      <c r="M74" s="295"/>
      <c r="N74" s="295"/>
      <c r="O74" s="295"/>
      <c r="P74" s="12"/>
      <c r="S74" s="23"/>
      <c r="BD74" s="44"/>
      <c r="BE74" s="44"/>
    </row>
    <row r="75" spans="1:57" ht="14.4">
      <c r="B75" s="654"/>
      <c r="C75" s="350"/>
      <c r="D75" s="598"/>
      <c r="E75" s="583"/>
      <c r="F75" s="43"/>
      <c r="G75" s="41"/>
      <c r="H75" s="41"/>
      <c r="I75" s="42"/>
      <c r="J75" s="532" t="s">
        <v>149</v>
      </c>
      <c r="K75" s="325"/>
      <c r="L75" s="295"/>
      <c r="M75" s="295"/>
      <c r="N75" s="295"/>
      <c r="O75" s="295"/>
      <c r="P75" s="12"/>
      <c r="S75" s="23"/>
      <c r="BD75" s="44"/>
      <c r="BE75" s="44"/>
    </row>
    <row r="76" spans="1:57" ht="15" thickBot="1">
      <c r="B76" s="655"/>
      <c r="C76" s="351"/>
      <c r="D76" s="599"/>
      <c r="E76" s="600"/>
      <c r="F76" s="43"/>
      <c r="G76" s="41"/>
      <c r="H76" s="41"/>
      <c r="I76" s="42"/>
      <c r="J76" s="532" t="s">
        <v>148</v>
      </c>
      <c r="K76" s="325"/>
      <c r="L76" s="295"/>
      <c r="M76" s="295"/>
      <c r="N76" s="295"/>
      <c r="O76" s="295"/>
      <c r="P76" s="12"/>
      <c r="S76" s="23"/>
      <c r="BD76" s="44"/>
      <c r="BE76" s="44"/>
    </row>
    <row r="77" spans="1:57" ht="17.7" customHeight="1" thickBot="1">
      <c r="B77" s="313" t="s">
        <v>139</v>
      </c>
      <c r="C77" s="314"/>
      <c r="D77" s="601">
        <f>AVERAGE(D55:E76)</f>
        <v>16.302500000000002</v>
      </c>
      <c r="E77" s="602"/>
      <c r="F77" s="43"/>
      <c r="G77" s="41"/>
      <c r="H77" s="41"/>
      <c r="I77" s="42"/>
      <c r="J77" s="533" t="s">
        <v>134</v>
      </c>
      <c r="K77" s="325"/>
      <c r="L77" s="295"/>
      <c r="M77" s="295"/>
      <c r="N77" s="295"/>
      <c r="O77" s="295"/>
      <c r="P77" s="12"/>
      <c r="S77" s="23"/>
      <c r="BD77" s="44"/>
      <c r="BE77" s="44"/>
    </row>
    <row r="78" spans="1:57" ht="17.7" customHeight="1">
      <c r="B78" s="364"/>
      <c r="C78" s="365"/>
      <c r="D78" s="366"/>
      <c r="E78" s="366"/>
      <c r="F78" s="43"/>
      <c r="G78" s="41"/>
      <c r="H78" s="41"/>
      <c r="I78" s="42"/>
      <c r="J78" s="533" t="s">
        <v>131</v>
      </c>
      <c r="K78" s="325"/>
      <c r="L78" s="295"/>
      <c r="M78" s="295"/>
      <c r="N78" s="295"/>
      <c r="O78" s="295"/>
      <c r="P78" s="12"/>
      <c r="S78" s="23"/>
      <c r="BD78" s="44"/>
      <c r="BE78" s="44"/>
    </row>
    <row r="79" spans="1:57" ht="15.75" customHeight="1">
      <c r="B79" s="45"/>
      <c r="C79" s="11"/>
      <c r="D79" s="11"/>
      <c r="E79" s="46"/>
      <c r="F79" s="23"/>
      <c r="G79" s="11"/>
      <c r="H79" s="41"/>
      <c r="I79" s="42"/>
      <c r="J79" s="534" t="s">
        <v>130</v>
      </c>
      <c r="K79" s="325">
        <f>SUM(K69:K78)</f>
        <v>6</v>
      </c>
      <c r="L79" s="295"/>
      <c r="M79" s="295"/>
      <c r="N79" s="295"/>
      <c r="O79" s="295"/>
      <c r="P79" s="12"/>
    </row>
    <row r="80" spans="1:57" ht="20.25" customHeight="1">
      <c r="B80" s="15" t="s">
        <v>42</v>
      </c>
      <c r="C80" s="1" t="s">
        <v>43</v>
      </c>
      <c r="D80" s="1"/>
      <c r="E80" s="1"/>
      <c r="I80" s="42"/>
      <c r="L80" s="295"/>
      <c r="P80" s="335"/>
    </row>
    <row r="81" spans="2:58" ht="15" customHeight="1" thickBo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/>
      <c r="O81" s="48"/>
      <c r="P81" s="49"/>
      <c r="X81" s="276" t="s">
        <v>41</v>
      </c>
    </row>
    <row r="82" spans="2:58" ht="15" customHeight="1" thickBot="1">
      <c r="B82" s="603" t="s">
        <v>17</v>
      </c>
      <c r="C82" s="603" t="s">
        <v>44</v>
      </c>
      <c r="D82" s="605" t="s">
        <v>45</v>
      </c>
      <c r="E82" s="560" t="s">
        <v>46</v>
      </c>
      <c r="F82" s="620" t="s">
        <v>47</v>
      </c>
      <c r="G82" s="614" t="s">
        <v>48</v>
      </c>
      <c r="H82" s="603" t="s">
        <v>49</v>
      </c>
      <c r="I82" s="603" t="s">
        <v>50</v>
      </c>
      <c r="J82" s="608" t="s">
        <v>28</v>
      </c>
      <c r="K82" s="558" t="s">
        <v>51</v>
      </c>
      <c r="L82" s="570" t="s">
        <v>52</v>
      </c>
      <c r="M82" s="608" t="s">
        <v>53</v>
      </c>
      <c r="N82" s="77"/>
      <c r="O82" s="13"/>
      <c r="P82" s="50"/>
    </row>
    <row r="83" spans="2:58" ht="28.5" customHeight="1" thickTop="1" thickBot="1">
      <c r="B83" s="604"/>
      <c r="C83" s="604"/>
      <c r="D83" s="606"/>
      <c r="E83" s="607"/>
      <c r="F83" s="621"/>
      <c r="G83" s="615"/>
      <c r="H83" s="604"/>
      <c r="I83" s="604"/>
      <c r="J83" s="609"/>
      <c r="K83" s="618"/>
      <c r="L83" s="619"/>
      <c r="M83" s="609"/>
      <c r="N83" s="77"/>
      <c r="O83" s="13"/>
      <c r="P83" s="50"/>
      <c r="Q83" s="356"/>
      <c r="R83" s="356"/>
      <c r="S83" s="356"/>
      <c r="T83" s="356"/>
      <c r="U83" s="51">
        <v>43466</v>
      </c>
      <c r="V83" s="51">
        <v>43467</v>
      </c>
      <c r="W83" s="51">
        <v>43468</v>
      </c>
      <c r="X83" s="51">
        <v>43469</v>
      </c>
      <c r="Y83" s="51">
        <v>43470</v>
      </c>
      <c r="Z83" s="51">
        <v>43471</v>
      </c>
      <c r="AA83" s="51">
        <v>43472</v>
      </c>
      <c r="AB83" s="51">
        <v>43473</v>
      </c>
      <c r="AC83" s="51">
        <v>43474</v>
      </c>
      <c r="AD83" s="51">
        <v>43475</v>
      </c>
      <c r="AE83" s="51">
        <v>43476</v>
      </c>
      <c r="AF83" s="51">
        <v>43477</v>
      </c>
      <c r="AG83" s="51">
        <v>43478</v>
      </c>
      <c r="AH83" s="51">
        <v>43479</v>
      </c>
      <c r="AI83" s="51">
        <v>43480</v>
      </c>
      <c r="AJ83" s="51">
        <v>43481</v>
      </c>
      <c r="AK83" s="51">
        <v>43482</v>
      </c>
      <c r="AL83" s="51">
        <v>43483</v>
      </c>
      <c r="AM83" s="51">
        <v>43484</v>
      </c>
      <c r="AN83" s="51">
        <v>43485</v>
      </c>
      <c r="AO83" s="51">
        <v>43486</v>
      </c>
      <c r="AP83" s="51">
        <v>43487</v>
      </c>
      <c r="AQ83" s="51">
        <v>43488</v>
      </c>
      <c r="AR83" s="51">
        <v>43489</v>
      </c>
      <c r="AS83" s="51">
        <v>43490</v>
      </c>
      <c r="AT83" s="51">
        <v>43491</v>
      </c>
      <c r="AU83" s="51">
        <v>43492</v>
      </c>
      <c r="AV83" s="51">
        <v>43493</v>
      </c>
      <c r="AW83" s="51">
        <v>43494</v>
      </c>
      <c r="AX83" s="51">
        <v>43495</v>
      </c>
      <c r="AY83" s="51">
        <v>43496</v>
      </c>
    </row>
    <row r="84" spans="2:58" s="54" customFormat="1" ht="69.75" customHeight="1" thickBot="1">
      <c r="B84" s="441" t="str">
        <f>J72</f>
        <v>VITAMALT</v>
      </c>
      <c r="C84" s="284">
        <v>45688</v>
      </c>
      <c r="D84" s="378">
        <f>[23]January_2025!$AH$65</f>
        <v>291.2</v>
      </c>
      <c r="E84" s="379"/>
      <c r="F84" s="380"/>
      <c r="G84" s="304">
        <f>[23]January_2025!$AH$70</f>
        <v>282.89999999999998</v>
      </c>
      <c r="H84" s="446"/>
      <c r="I84" s="446"/>
      <c r="J84" s="391" t="s">
        <v>202</v>
      </c>
      <c r="K84" s="381">
        <f>[24]January_2025!$AH$60</f>
        <v>0.99263157894736831</v>
      </c>
      <c r="L84" s="315">
        <f>(((D84+E84)-G84)/(D84+E84))*100</f>
        <v>2.8502747252747294</v>
      </c>
      <c r="M84" s="358" t="s">
        <v>178</v>
      </c>
      <c r="N84" s="13"/>
      <c r="O84" s="13"/>
      <c r="P84" s="50"/>
      <c r="T84" s="273" t="s">
        <v>54</v>
      </c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</row>
    <row r="85" spans="2:58" s="54" customFormat="1" ht="18.75" customHeight="1">
      <c r="B85" s="388"/>
      <c r="C85" s="284"/>
      <c r="D85" s="280"/>
      <c r="E85" s="280"/>
      <c r="F85" s="280"/>
      <c r="G85" s="280"/>
      <c r="H85" s="321"/>
      <c r="I85" s="322"/>
      <c r="J85" s="390" t="s">
        <v>41</v>
      </c>
      <c r="K85" s="377"/>
      <c r="L85" s="315"/>
      <c r="M85" s="385"/>
      <c r="N85" s="13"/>
      <c r="O85" s="13"/>
      <c r="P85" s="50"/>
      <c r="T85" s="273" t="s">
        <v>51</v>
      </c>
      <c r="U85" s="57" t="e">
        <f>[20]January_2019!D8</f>
        <v>#DIV/0!</v>
      </c>
      <c r="V85" s="57">
        <f>[20]January_2019!E8</f>
        <v>1.0319298245614037</v>
      </c>
      <c r="W85" s="57">
        <f>[20]January_2019!F8</f>
        <v>1.7789473684210526</v>
      </c>
      <c r="X85" s="57">
        <f>[20]January_2019!G8</f>
        <v>0.51929824561403504</v>
      </c>
      <c r="Y85" s="57" t="e">
        <f>[20]January_2019!H8</f>
        <v>#DIV/0!</v>
      </c>
      <c r="Z85" s="57" t="e">
        <f>[20]January_2019!I8</f>
        <v>#DIV/0!</v>
      </c>
      <c r="AA85" s="57">
        <f>[20]January_2019!J8</f>
        <v>1.365263157894737</v>
      </c>
      <c r="AB85" s="57" t="e">
        <f>[20]January_2019!K8</f>
        <v>#DIV/0!</v>
      </c>
      <c r="AC85" s="57">
        <f>[20]January_2019!L8</f>
        <v>1.0028070175438597</v>
      </c>
      <c r="AD85" s="57">
        <f>[20]January_2019!M8</f>
        <v>1.7828070175438597</v>
      </c>
      <c r="AE85" s="57" t="e">
        <f>[20]January_2019!N8</f>
        <v>#DIV/0!</v>
      </c>
      <c r="AF85" s="57" t="e">
        <f>[20]January_2019!O8</f>
        <v>#DIV/0!</v>
      </c>
      <c r="AG85" s="57">
        <f>[20]January_2019!P8</f>
        <v>0.19222222222222221</v>
      </c>
      <c r="AH85" s="57">
        <f>[20]January_2019!Q8</f>
        <v>0.52219298245614032</v>
      </c>
      <c r="AI85" s="57">
        <f>[20]January_2019!R8</f>
        <v>0.42912280701754385</v>
      </c>
      <c r="AJ85" s="57" t="e">
        <f>[20]January_2019!S8</f>
        <v>#DIV/0!</v>
      </c>
      <c r="AK85" s="57">
        <f>[20]January_2019!T8</f>
        <v>1.0340350877192983</v>
      </c>
      <c r="AL85" s="57">
        <f>[20]January_2019!U8</f>
        <v>0.98421052631578942</v>
      </c>
      <c r="AM85" s="57" t="e">
        <f>[20]January_2019!V8</f>
        <v>#DIV/0!</v>
      </c>
      <c r="AN85" s="57" t="e">
        <f>[20]January_2019!W8</f>
        <v>#DIV/0!</v>
      </c>
      <c r="AO85" s="57">
        <f>[20]January_2019!X8</f>
        <v>0.66052631578947374</v>
      </c>
      <c r="AP85" s="57">
        <f>[20]January_2019!Y8</f>
        <v>1.0375438596491227</v>
      </c>
      <c r="AQ85" s="57">
        <f>[20]January_2019!Z8</f>
        <v>0.90456140350877201</v>
      </c>
      <c r="AR85" s="57">
        <f>[20]January_2019!AA8</f>
        <v>1.0217543859649123</v>
      </c>
      <c r="AS85" s="57">
        <f>[20]January_2019!AB8</f>
        <v>0.65614035087719302</v>
      </c>
      <c r="AT85" s="57" t="e">
        <f>[20]January_2019!AC8</f>
        <v>#DIV/0!</v>
      </c>
      <c r="AU85" s="57" t="e">
        <f>[20]January_2019!AD8</f>
        <v>#DIV/0!</v>
      </c>
      <c r="AV85" s="57">
        <f>[20]January_2019!AE8</f>
        <v>1.7021052631578948</v>
      </c>
      <c r="AW85" s="57">
        <f>[20]January_2019!AF8</f>
        <v>0.60192982456140354</v>
      </c>
      <c r="AX85" s="57">
        <f>[20]January_2019!AG8</f>
        <v>1.4870175438596491</v>
      </c>
      <c r="AY85" s="278" t="e">
        <f>[20]January_2019!AH8</f>
        <v>#DIV/0!</v>
      </c>
      <c r="AZ85" s="278"/>
      <c r="BA85" s="278"/>
      <c r="BB85" s="278"/>
      <c r="BC85" s="278"/>
      <c r="BD85" s="278"/>
      <c r="BE85" s="278"/>
      <c r="BF85" s="278"/>
    </row>
    <row r="86" spans="2:58" s="54" customFormat="1" ht="42" hidden="1" customHeight="1" thickBot="1">
      <c r="B86" s="540"/>
      <c r="C86" s="284"/>
      <c r="D86" s="280"/>
      <c r="E86" s="280"/>
      <c r="F86" s="280"/>
      <c r="G86" s="280"/>
      <c r="H86" s="446" t="e">
        <f>(D86-F86)/D86*100</f>
        <v>#DIV/0!</v>
      </c>
      <c r="I86" s="446" t="e">
        <f>((F86+E86)-G86)/(F86+E86)*100</f>
        <v>#DIV/0!</v>
      </c>
      <c r="J86" s="391" t="s">
        <v>202</v>
      </c>
      <c r="K86" s="373"/>
      <c r="L86" s="315" t="e">
        <f>(((D86+E86)-G86)/(D86+E86))*100</f>
        <v>#DIV/0!</v>
      </c>
      <c r="M86" s="358"/>
      <c r="N86" s="13"/>
      <c r="O86" s="13"/>
      <c r="P86" s="50"/>
      <c r="T86" s="273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278"/>
      <c r="AZ86" s="278"/>
      <c r="BA86" s="278"/>
      <c r="BB86" s="278"/>
      <c r="BC86" s="278"/>
      <c r="BD86" s="278"/>
      <c r="BE86" s="278"/>
      <c r="BF86" s="278"/>
    </row>
    <row r="87" spans="2:58" s="54" customFormat="1" hidden="1">
      <c r="B87" s="362"/>
      <c r="C87" s="284"/>
      <c r="D87" s="305"/>
      <c r="E87" s="280"/>
      <c r="F87" s="280"/>
      <c r="G87" s="280"/>
      <c r="H87" s="382"/>
      <c r="I87" s="383"/>
      <c r="J87" s="390"/>
      <c r="K87" s="377"/>
      <c r="L87" s="315"/>
      <c r="M87" s="355"/>
      <c r="N87" s="13"/>
      <c r="O87" s="13"/>
      <c r="P87" s="50"/>
      <c r="T87" s="273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8"/>
      <c r="AZ87" s="278"/>
      <c r="BA87" s="278"/>
      <c r="BB87" s="278"/>
      <c r="BC87" s="278"/>
      <c r="BD87" s="278"/>
      <c r="BE87" s="278"/>
      <c r="BF87" s="278"/>
    </row>
    <row r="88" spans="2:58" s="54" customFormat="1" ht="45.75" hidden="1" customHeight="1" thickBot="1">
      <c r="B88" s="544"/>
      <c r="C88" s="284"/>
      <c r="D88" s="280"/>
      <c r="E88" s="280"/>
      <c r="F88" s="280"/>
      <c r="G88" s="280"/>
      <c r="H88" s="321"/>
      <c r="I88" s="323"/>
      <c r="J88" s="391" t="s">
        <v>202</v>
      </c>
      <c r="K88" s="287"/>
      <c r="L88" s="315"/>
      <c r="M88" s="385"/>
      <c r="N88" s="13"/>
      <c r="O88" s="13"/>
      <c r="P88" s="50"/>
      <c r="T88" s="273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8"/>
      <c r="AZ88" s="278"/>
      <c r="BA88" s="278"/>
      <c r="BB88" s="278"/>
      <c r="BC88" s="278"/>
      <c r="BD88" s="278"/>
      <c r="BE88" s="278"/>
      <c r="BF88" s="278"/>
    </row>
    <row r="89" spans="2:58" s="54" customFormat="1" ht="45.75" hidden="1" customHeight="1">
      <c r="B89" s="388"/>
      <c r="C89" s="284"/>
      <c r="D89" s="280"/>
      <c r="E89" s="280"/>
      <c r="F89" s="280"/>
      <c r="G89" s="280"/>
      <c r="H89" s="321"/>
      <c r="I89" s="323"/>
      <c r="J89" s="282"/>
      <c r="K89" s="287"/>
      <c r="L89" s="315"/>
      <c r="M89" s="340"/>
      <c r="N89" s="13"/>
      <c r="O89" s="13"/>
      <c r="P89" s="50"/>
      <c r="T89" s="273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8"/>
      <c r="AZ89" s="278"/>
      <c r="BA89" s="278"/>
      <c r="BB89" s="278"/>
      <c r="BC89" s="278"/>
      <c r="BD89" s="278"/>
      <c r="BE89" s="278"/>
      <c r="BF89" s="278"/>
    </row>
    <row r="90" spans="2:58" ht="14.4" thickBot="1">
      <c r="B90" s="33"/>
      <c r="C90" s="311"/>
      <c r="D90" s="280"/>
      <c r="E90" s="280"/>
      <c r="F90" s="280"/>
      <c r="G90" s="280"/>
      <c r="H90" s="353"/>
      <c r="I90" s="354"/>
      <c r="J90" s="52"/>
      <c r="K90" s="52"/>
      <c r="L90" s="53"/>
      <c r="M90" s="55"/>
      <c r="N90" s="77"/>
      <c r="O90" s="13"/>
      <c r="P90" s="56"/>
    </row>
    <row r="91" spans="2:58" ht="14.4" thickBot="1">
      <c r="B91" s="58"/>
      <c r="C91" s="31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9"/>
      <c r="O91" s="56"/>
      <c r="P91" s="60"/>
    </row>
    <row r="92" spans="2:58" ht="14.4" thickBot="1">
      <c r="B92" s="610" t="s">
        <v>55</v>
      </c>
      <c r="C92" s="611"/>
      <c r="D92" s="611"/>
      <c r="E92" s="611"/>
      <c r="F92" s="612"/>
      <c r="G92" s="610" t="s">
        <v>56</v>
      </c>
      <c r="H92" s="611"/>
      <c r="I92" s="611"/>
      <c r="J92" s="612"/>
      <c r="K92" s="610" t="s">
        <v>51</v>
      </c>
      <c r="L92" s="611"/>
      <c r="M92" s="611"/>
      <c r="N92" s="613"/>
      <c r="O92" s="56"/>
      <c r="P92" s="50"/>
    </row>
    <row r="93" spans="2:58">
      <c r="B93" s="61" t="s">
        <v>17</v>
      </c>
      <c r="C93" s="62" t="s">
        <v>36</v>
      </c>
      <c r="D93" s="62" t="s">
        <v>37</v>
      </c>
      <c r="E93" s="62" t="s">
        <v>38</v>
      </c>
      <c r="F93" s="63" t="s">
        <v>39</v>
      </c>
      <c r="G93" s="62" t="s">
        <v>36</v>
      </c>
      <c r="H93" s="62" t="s">
        <v>37</v>
      </c>
      <c r="I93" s="62" t="s">
        <v>38</v>
      </c>
      <c r="J93" s="63" t="s">
        <v>39</v>
      </c>
      <c r="K93" s="62" t="s">
        <v>36</v>
      </c>
      <c r="L93" s="62" t="s">
        <v>37</v>
      </c>
      <c r="M93" s="62" t="s">
        <v>38</v>
      </c>
      <c r="N93" s="63" t="s">
        <v>39</v>
      </c>
      <c r="O93" s="56"/>
      <c r="P93" s="64"/>
    </row>
    <row r="94" spans="2:58">
      <c r="B94" s="29" t="s">
        <v>6</v>
      </c>
      <c r="C94" s="65"/>
      <c r="D94" s="76">
        <v>15.277244205404017</v>
      </c>
      <c r="E94" s="76">
        <v>6.1124107731989872</v>
      </c>
      <c r="F94" s="66">
        <v>4.8</v>
      </c>
      <c r="G94" s="65"/>
      <c r="H94" s="76">
        <v>9.2783449314619784</v>
      </c>
      <c r="I94" s="76">
        <v>6.1650601546049799</v>
      </c>
      <c r="J94" s="66">
        <v>4.8</v>
      </c>
      <c r="K94" s="67"/>
      <c r="L94" s="194">
        <v>0.98457735247208944</v>
      </c>
      <c r="M94" s="194">
        <v>0.81770630279402223</v>
      </c>
      <c r="N94" s="68">
        <v>1</v>
      </c>
      <c r="O94" s="56"/>
      <c r="P94" s="69"/>
    </row>
    <row r="95" spans="2:58">
      <c r="B95" s="33" t="s">
        <v>9</v>
      </c>
      <c r="C95" s="65"/>
      <c r="D95" s="76">
        <v>6.8188129559970694</v>
      </c>
      <c r="E95" s="76">
        <v>6.1269668278727476</v>
      </c>
      <c r="F95" s="66">
        <v>4.8</v>
      </c>
      <c r="G95" s="65"/>
      <c r="H95" s="76">
        <v>10.863101163921975</v>
      </c>
      <c r="I95" s="76">
        <v>5.8620841331806197</v>
      </c>
      <c r="J95" s="66">
        <v>4.8</v>
      </c>
      <c r="K95" s="67"/>
      <c r="L95" s="194">
        <v>0.97131578947368413</v>
      </c>
      <c r="M95" s="194">
        <v>0.83091617933723205</v>
      </c>
      <c r="N95" s="68">
        <v>1</v>
      </c>
      <c r="P95" s="69"/>
    </row>
    <row r="96" spans="2:58">
      <c r="B96" s="34" t="s">
        <v>40</v>
      </c>
      <c r="C96" s="65"/>
      <c r="D96" s="76">
        <v>7.5530586766541949</v>
      </c>
      <c r="E96" s="76">
        <v>9.3571758902420274</v>
      </c>
      <c r="F96" s="66">
        <v>5.5</v>
      </c>
      <c r="G96" s="65"/>
      <c r="H96" s="76">
        <v>2.6473552031086438</v>
      </c>
      <c r="I96" s="76">
        <v>10.172010309337692</v>
      </c>
      <c r="J96" s="66">
        <v>5.5</v>
      </c>
      <c r="K96" s="67"/>
      <c r="L96" s="194">
        <v>1.0392982456140349</v>
      </c>
      <c r="M96" s="194">
        <v>0.51578947368421058</v>
      </c>
      <c r="N96" s="68">
        <v>1</v>
      </c>
      <c r="P96" s="69"/>
    </row>
    <row r="97" spans="2:16">
      <c r="B97" s="22" t="s">
        <v>33</v>
      </c>
      <c r="C97" s="65">
        <f>L84</f>
        <v>2.8502747252747294</v>
      </c>
      <c r="D97" s="76">
        <v>4.9990001999600295</v>
      </c>
      <c r="E97" s="76">
        <v>3.7992628296002202</v>
      </c>
      <c r="F97" s="66">
        <v>3.3</v>
      </c>
      <c r="G97" s="65">
        <f>[23]January_2025!$AH$74</f>
        <v>7.5761961201583459</v>
      </c>
      <c r="H97" s="76">
        <v>6.6434583413343296</v>
      </c>
      <c r="I97" s="76">
        <v>3.3397417351661711</v>
      </c>
      <c r="J97" s="66">
        <v>3.3</v>
      </c>
      <c r="K97" s="67">
        <f>K84</f>
        <v>0.99263157894736831</v>
      </c>
      <c r="L97" s="194">
        <v>0.83350877192982453</v>
      </c>
      <c r="M97" s="194">
        <v>0.84833333333333338</v>
      </c>
      <c r="N97" s="68">
        <v>1</v>
      </c>
      <c r="P97" s="69"/>
    </row>
    <row r="98" spans="2:16">
      <c r="B98" s="35" t="s">
        <v>29</v>
      </c>
      <c r="C98" s="65"/>
      <c r="D98" s="76"/>
      <c r="E98" s="76"/>
      <c r="F98" s="66">
        <v>3.3</v>
      </c>
      <c r="G98" s="283"/>
      <c r="H98" s="76"/>
      <c r="I98" s="76"/>
      <c r="J98" s="66">
        <v>3</v>
      </c>
      <c r="K98" s="67"/>
      <c r="L98" s="194"/>
      <c r="M98" s="194"/>
      <c r="N98" s="68">
        <v>1</v>
      </c>
      <c r="P98" s="69"/>
    </row>
    <row r="99" spans="2:16">
      <c r="B99" s="36" t="s">
        <v>15</v>
      </c>
      <c r="C99" s="283"/>
      <c r="D99" s="76">
        <v>8.7664670658682695</v>
      </c>
      <c r="E99" s="76">
        <v>10.951468710089404</v>
      </c>
      <c r="F99" s="70">
        <f>[21]May_2022!$M$43</f>
        <v>3.4878406700073312</v>
      </c>
      <c r="G99" s="283"/>
      <c r="H99" s="76">
        <v>10.607235567685406</v>
      </c>
      <c r="I99" s="76">
        <v>11.031267801265715</v>
      </c>
      <c r="J99" s="70">
        <v>5.5</v>
      </c>
      <c r="K99" s="67"/>
      <c r="L99" s="194">
        <v>0.66824561403508764</v>
      </c>
      <c r="M99" s="194">
        <v>0.49035087719298248</v>
      </c>
      <c r="N99" s="68">
        <v>1</v>
      </c>
      <c r="P99" s="69"/>
    </row>
    <row r="100" spans="2:16">
      <c r="B100" s="37" t="s">
        <v>16</v>
      </c>
      <c r="C100" s="65"/>
      <c r="D100" s="76">
        <v>1.4603960396039548</v>
      </c>
      <c r="E100" s="76">
        <v>10.523798134417603</v>
      </c>
      <c r="F100" s="70">
        <v>3.3</v>
      </c>
      <c r="G100" s="283"/>
      <c r="H100" s="76">
        <v>4.0624079285034069</v>
      </c>
      <c r="I100" s="76">
        <v>12.055170619683556</v>
      </c>
      <c r="J100" s="70">
        <v>3.3</v>
      </c>
      <c r="K100" s="67"/>
      <c r="L100" s="194">
        <v>0.69842105263157894</v>
      </c>
      <c r="M100" s="194">
        <v>0.87695906432748549</v>
      </c>
      <c r="N100" s="71">
        <v>1</v>
      </c>
      <c r="P100" s="69"/>
    </row>
    <row r="101" spans="2:16" ht="14.4" thickBot="1">
      <c r="B101" s="38" t="s">
        <v>127</v>
      </c>
      <c r="C101" s="65"/>
      <c r="D101" s="76"/>
      <c r="E101" s="76"/>
      <c r="F101" s="72">
        <v>7.5</v>
      </c>
      <c r="G101" s="73"/>
      <c r="H101" s="76"/>
      <c r="I101" s="76"/>
      <c r="J101" s="72">
        <v>7.5</v>
      </c>
      <c r="K101" s="67"/>
      <c r="L101" s="194"/>
      <c r="M101" s="194"/>
      <c r="N101" s="71">
        <v>1</v>
      </c>
      <c r="P101" s="69"/>
    </row>
    <row r="102" spans="2:16">
      <c r="C102" s="65"/>
      <c r="D102" s="76">
        <v>10.91598322452564</v>
      </c>
      <c r="E102" s="76">
        <v>6.6648519743655044</v>
      </c>
      <c r="F102" s="342">
        <v>4.5</v>
      </c>
      <c r="G102" s="74"/>
      <c r="H102" s="76">
        <v>6.9593481484924711</v>
      </c>
      <c r="I102" s="76">
        <v>6.9593481484924711</v>
      </c>
      <c r="J102" s="343">
        <v>4.5</v>
      </c>
      <c r="K102" s="67"/>
      <c r="L102" s="194">
        <v>0.80685146198830426</v>
      </c>
      <c r="M102" s="194">
        <v>0.80685146198830426</v>
      </c>
      <c r="N102" s="387">
        <v>1</v>
      </c>
      <c r="O102" s="74"/>
      <c r="P102" s="75"/>
    </row>
    <row r="107" spans="2:16">
      <c r="F107" s="316"/>
    </row>
    <row r="115" spans="30:30">
      <c r="AD115" s="276" t="s">
        <v>57</v>
      </c>
    </row>
  </sheetData>
  <mergeCells count="52">
    <mergeCell ref="M82:M83"/>
    <mergeCell ref="B92:F92"/>
    <mergeCell ref="G92:J92"/>
    <mergeCell ref="K92:N92"/>
    <mergeCell ref="G82:G83"/>
    <mergeCell ref="H82:H83"/>
    <mergeCell ref="I82:I83"/>
    <mergeCell ref="J82:J83"/>
    <mergeCell ref="K82:K83"/>
    <mergeCell ref="L82:L83"/>
    <mergeCell ref="F82:F83"/>
    <mergeCell ref="D77:E77"/>
    <mergeCell ref="B82:B83"/>
    <mergeCell ref="C82:C83"/>
    <mergeCell ref="D82:D83"/>
    <mergeCell ref="E82:E83"/>
    <mergeCell ref="B67:B76"/>
    <mergeCell ref="D67:E68"/>
    <mergeCell ref="J67:K67"/>
    <mergeCell ref="L68:N68"/>
    <mergeCell ref="D69:E70"/>
    <mergeCell ref="D71:E72"/>
    <mergeCell ref="D73:E74"/>
    <mergeCell ref="D75:E76"/>
    <mergeCell ref="C4:D4"/>
    <mergeCell ref="M4:N4"/>
    <mergeCell ref="I53:N53"/>
    <mergeCell ref="D54:E54"/>
    <mergeCell ref="B55:B66"/>
    <mergeCell ref="D55:E56"/>
    <mergeCell ref="D57:E58"/>
    <mergeCell ref="D59:E60"/>
    <mergeCell ref="D61:E62"/>
    <mergeCell ref="D63:E64"/>
    <mergeCell ref="D65:E66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7:B78">
    <cfRule type="cellIs" dxfId="176" priority="153" operator="notBetween">
      <formula>#REF!</formula>
      <formula>#REF!</formula>
    </cfRule>
  </conditionalFormatting>
  <conditionalFormatting sqref="C81">
    <cfRule type="cellIs" dxfId="175" priority="185" stopIfTrue="1" operator="greaterThan">
      <formula>100</formula>
    </cfRule>
    <cfRule type="cellIs" dxfId="174" priority="184" stopIfTrue="1" operator="lessThan">
      <formula>96</formula>
    </cfRule>
  </conditionalFormatting>
  <conditionalFormatting sqref="C94">
    <cfRule type="cellIs" dxfId="173" priority="73" stopIfTrue="1" operator="greaterThan">
      <formula>$F94</formula>
    </cfRule>
  </conditionalFormatting>
  <conditionalFormatting sqref="C94:C95">
    <cfRule type="cellIs" dxfId="172" priority="74" stopIfTrue="1" operator="lessThanOrEqual">
      <formula>0</formula>
    </cfRule>
  </conditionalFormatting>
  <conditionalFormatting sqref="C95">
    <cfRule type="cellIs" dxfId="171" priority="188" stopIfTrue="1" operator="greaterThan">
      <formula>$F94</formula>
    </cfRule>
  </conditionalFormatting>
  <conditionalFormatting sqref="C96:C98">
    <cfRule type="cellIs" dxfId="170" priority="103" stopIfTrue="1" operator="greaterThan">
      <formula>$F96</formula>
    </cfRule>
  </conditionalFormatting>
  <conditionalFormatting sqref="C96:C99">
    <cfRule type="cellIs" dxfId="169" priority="126" stopIfTrue="1" operator="lessThanOrEqual">
      <formula>0</formula>
    </cfRule>
  </conditionalFormatting>
  <conditionalFormatting sqref="C99">
    <cfRule type="cellIs" dxfId="168" priority="125" stopIfTrue="1" operator="greaterThan">
      <formula>$J99</formula>
    </cfRule>
  </conditionalFormatting>
  <conditionalFormatting sqref="C105:C109">
    <cfRule type="cellIs" dxfId="167" priority="176" stopIfTrue="1" operator="lessThanOrEqual">
      <formula>0</formula>
    </cfRule>
  </conditionalFormatting>
  <conditionalFormatting sqref="C106:C109">
    <cfRule type="cellIs" dxfId="166" priority="175" stopIfTrue="1" operator="greaterThan">
      <formula>$F$105</formula>
    </cfRule>
  </conditionalFormatting>
  <conditionalFormatting sqref="C111">
    <cfRule type="cellIs" dxfId="165" priority="178" stopIfTrue="1" operator="lessThanOrEqual">
      <formula>0</formula>
    </cfRule>
    <cfRule type="cellIs" dxfId="164" priority="177" stopIfTrue="1" operator="greaterThan">
      <formula>$F$105</formula>
    </cfRule>
  </conditionalFormatting>
  <conditionalFormatting sqref="C105:D105 D107:D113">
    <cfRule type="cellIs" dxfId="163" priority="170" stopIfTrue="1" operator="greaterThan">
      <formula>4.5</formula>
    </cfRule>
  </conditionalFormatting>
  <conditionalFormatting sqref="D77:D78">
    <cfRule type="cellIs" dxfId="162" priority="154" operator="notBetween">
      <formula>#REF!</formula>
      <formula>#REF!</formula>
    </cfRule>
  </conditionalFormatting>
  <conditionalFormatting sqref="D94:D101">
    <cfRule type="cellIs" dxfId="161" priority="140" stopIfTrue="1" operator="lessThanOrEqual">
      <formula>0</formula>
    </cfRule>
  </conditionalFormatting>
  <conditionalFormatting sqref="D102">
    <cfRule type="cellIs" dxfId="160" priority="139" stopIfTrue="1" operator="lessThanOrEqual">
      <formula>0</formula>
    </cfRule>
  </conditionalFormatting>
  <conditionalFormatting sqref="D105 D107:D113">
    <cfRule type="cellIs" dxfId="159" priority="171" stopIfTrue="1" operator="lessThanOrEqual">
      <formula>0</formula>
    </cfRule>
  </conditionalFormatting>
  <conditionalFormatting sqref="D106">
    <cfRule type="cellIs" dxfId="158" priority="163" stopIfTrue="1" operator="lessThanOrEqual">
      <formula>0</formula>
    </cfRule>
    <cfRule type="cellIs" dxfId="157" priority="162" stopIfTrue="1" operator="greaterThan">
      <formula>$F$105</formula>
    </cfRule>
  </conditionalFormatting>
  <conditionalFormatting sqref="D94:E102">
    <cfRule type="cellIs" dxfId="156" priority="132" stopIfTrue="1" operator="greaterThan">
      <formula>$F94</formula>
    </cfRule>
  </conditionalFormatting>
  <conditionalFormatting sqref="E10:E52">
    <cfRule type="cellIs" dxfId="155" priority="9" operator="lessThan">
      <formula>48</formula>
    </cfRule>
  </conditionalFormatting>
  <conditionalFormatting sqref="E81">
    <cfRule type="cellIs" dxfId="154" priority="165" stopIfTrue="1" operator="greaterThan">
      <formula>100</formula>
    </cfRule>
    <cfRule type="cellIs" dxfId="153" priority="164" stopIfTrue="1" operator="lessThan">
      <formula>96.8</formula>
    </cfRule>
  </conditionalFormatting>
  <conditionalFormatting sqref="E94:E102">
    <cfRule type="cellIs" dxfId="152" priority="133" stopIfTrue="1" operator="lessThanOrEqual">
      <formula>0</formula>
    </cfRule>
  </conditionalFormatting>
  <conditionalFormatting sqref="E105:E113">
    <cfRule type="cellIs" dxfId="151" priority="156" stopIfTrue="1" operator="greaterThan">
      <formula>4.5</formula>
    </cfRule>
    <cfRule type="cellIs" dxfId="150" priority="157" stopIfTrue="1" operator="lessThanOrEqual">
      <formula>0</formula>
    </cfRule>
  </conditionalFormatting>
  <conditionalFormatting sqref="E80:F81">
    <cfRule type="cellIs" dxfId="149" priority="167" stopIfTrue="1" operator="greaterThan">
      <formula>100</formula>
    </cfRule>
    <cfRule type="cellIs" dxfId="148" priority="166" stopIfTrue="1" operator="lessThan">
      <formula>96.5</formula>
    </cfRule>
  </conditionalFormatting>
  <conditionalFormatting sqref="F10:F37">
    <cfRule type="cellIs" dxfId="147" priority="11" operator="greaterThan">
      <formula>60</formula>
    </cfRule>
  </conditionalFormatting>
  <conditionalFormatting sqref="F38">
    <cfRule type="cellIs" dxfId="146" priority="195" operator="greaterThan">
      <formula>$AA89</formula>
    </cfRule>
    <cfRule type="cellIs" dxfId="145" priority="194" operator="greaterThan">
      <formula>$AA38</formula>
    </cfRule>
  </conditionalFormatting>
  <conditionalFormatting sqref="F39:F51">
    <cfRule type="cellIs" dxfId="144" priority="56" operator="greaterThan">
      <formula>60</formula>
    </cfRule>
  </conditionalFormatting>
  <conditionalFormatting sqref="F52">
    <cfRule type="cellIs" dxfId="143" priority="72" operator="greaterThan">
      <formula>$AA52</formula>
    </cfRule>
    <cfRule type="cellIs" dxfId="142" priority="189" operator="greaterThan">
      <formula>$AA91</formula>
    </cfRule>
  </conditionalFormatting>
  <conditionalFormatting sqref="F81">
    <cfRule type="cellIs" dxfId="141" priority="182" stopIfTrue="1" operator="lessThan">
      <formula>96.8</formula>
    </cfRule>
    <cfRule type="cellIs" dxfId="140" priority="183" stopIfTrue="1" operator="greaterThan">
      <formula>100</formula>
    </cfRule>
  </conditionalFormatting>
  <conditionalFormatting sqref="F102">
    <cfRule type="cellIs" dxfId="139" priority="135" stopIfTrue="1" operator="lessThanOrEqual">
      <formula>0</formula>
    </cfRule>
    <cfRule type="cellIs" dxfId="138" priority="134" stopIfTrue="1" operator="greaterThan">
      <formula>$F102</formula>
    </cfRule>
  </conditionalFormatting>
  <conditionalFormatting sqref="G94:G95 C100:C102">
    <cfRule type="cellIs" dxfId="137" priority="142" stopIfTrue="1" operator="lessThanOrEqual">
      <formula>0</formula>
    </cfRule>
    <cfRule type="cellIs" dxfId="136" priority="141" stopIfTrue="1" operator="greaterThan">
      <formula>$F94</formula>
    </cfRule>
  </conditionalFormatting>
  <conditionalFormatting sqref="G94:G95">
    <cfRule type="cellIs" dxfId="135" priority="82" stopIfTrue="1" operator="lessThanOrEqual">
      <formula>0</formula>
    </cfRule>
    <cfRule type="cellIs" dxfId="134" priority="81" stopIfTrue="1" operator="greaterThan">
      <formula>$F94</formula>
    </cfRule>
  </conditionalFormatting>
  <conditionalFormatting sqref="G96">
    <cfRule type="cellIs" dxfId="133" priority="187" stopIfTrue="1" operator="lessThanOrEqual">
      <formula>0</formula>
    </cfRule>
    <cfRule type="cellIs" dxfId="132" priority="186" stopIfTrue="1" operator="greaterThan">
      <formula>$F95</formula>
    </cfRule>
  </conditionalFormatting>
  <conditionalFormatting sqref="G97">
    <cfRule type="cellIs" dxfId="131" priority="137" stopIfTrue="1" operator="lessThanOrEqual">
      <formula>0</formula>
    </cfRule>
    <cfRule type="cellIs" dxfId="130" priority="136" stopIfTrue="1" operator="greaterThan">
      <formula>$F97</formula>
    </cfRule>
  </conditionalFormatting>
  <conditionalFormatting sqref="G98:G101">
    <cfRule type="cellIs" dxfId="129" priority="145" stopIfTrue="1" operator="lessThanOrEqual">
      <formula>0</formula>
    </cfRule>
    <cfRule type="cellIs" dxfId="128" priority="144" stopIfTrue="1" operator="greaterThan">
      <formula>$J98</formula>
    </cfRule>
  </conditionalFormatting>
  <conditionalFormatting sqref="G102">
    <cfRule type="cellIs" dxfId="127" priority="143" operator="greaterThan">
      <formula>4.5</formula>
    </cfRule>
  </conditionalFormatting>
  <conditionalFormatting sqref="G107:G112 C110 C112">
    <cfRule type="cellIs" dxfId="126" priority="180" stopIfTrue="1" operator="lessThanOrEqual">
      <formula>0</formula>
    </cfRule>
    <cfRule type="cellIs" dxfId="125" priority="179" stopIfTrue="1" operator="greaterThan">
      <formula>4.5</formula>
    </cfRule>
  </conditionalFormatting>
  <conditionalFormatting sqref="G10:H52">
    <cfRule type="expression" dxfId="124" priority="1">
      <formula>IF(+(IF(G10&lt;#REF!,0,IF(G10&gt;#REF!,0,1)))=0,1)</formula>
    </cfRule>
  </conditionalFormatting>
  <conditionalFormatting sqref="G106:H106">
    <cfRule type="cellIs" dxfId="123" priority="161" stopIfTrue="1" operator="lessThanOrEqual">
      <formula>0</formula>
    </cfRule>
    <cfRule type="cellIs" dxfId="122" priority="160" stopIfTrue="1" operator="greaterThan">
      <formula>$F$105</formula>
    </cfRule>
  </conditionalFormatting>
  <conditionalFormatting sqref="H56:H79 G67:G78">
    <cfRule type="cellIs" dxfId="121" priority="158" stopIfTrue="1" operator="greaterThan">
      <formula>0</formula>
    </cfRule>
  </conditionalFormatting>
  <conditionalFormatting sqref="H84">
    <cfRule type="cellIs" dxfId="120" priority="44" stopIfTrue="1" operator="greaterThan">
      <formula>$F$69</formula>
    </cfRule>
    <cfRule type="cellIs" dxfId="119" priority="54" stopIfTrue="1" operator="greaterThan">
      <formula>$F$70</formula>
    </cfRule>
    <cfRule type="cellIs" dxfId="118" priority="53" stopIfTrue="1" operator="lessThanOrEqual">
      <formula>0</formula>
    </cfRule>
    <cfRule type="cellIs" dxfId="117" priority="52" stopIfTrue="1" operator="greaterThan">
      <formula>$F$72</formula>
    </cfRule>
    <cfRule type="cellIs" dxfId="116" priority="55" stopIfTrue="1" operator="lessThanOrEqual">
      <formula>0</formula>
    </cfRule>
    <cfRule type="cellIs" dxfId="115" priority="43" stopIfTrue="1" operator="lessThanOrEqual">
      <formula>0</formula>
    </cfRule>
  </conditionalFormatting>
  <conditionalFormatting sqref="H85">
    <cfRule type="cellIs" dxfId="114" priority="100" stopIfTrue="1" operator="lessThanOrEqual">
      <formula>0</formula>
    </cfRule>
    <cfRule type="cellIs" dxfId="113" priority="101" stopIfTrue="1" operator="greaterThan">
      <formula>$F$94</formula>
    </cfRule>
    <cfRule type="cellIs" dxfId="112" priority="99" stopIfTrue="1" operator="greaterThan">
      <formula>$F$96</formula>
    </cfRule>
    <cfRule type="cellIs" dxfId="111" priority="90" stopIfTrue="1" operator="lessThanOrEqual">
      <formula>0</formula>
    </cfRule>
    <cfRule type="cellIs" dxfId="110" priority="91" stopIfTrue="1" operator="greaterThan">
      <formula>$F$93</formula>
    </cfRule>
    <cfRule type="cellIs" dxfId="109" priority="102" stopIfTrue="1" operator="lessThanOrEqual">
      <formula>0</formula>
    </cfRule>
  </conditionalFormatting>
  <conditionalFormatting sqref="H86">
    <cfRule type="cellIs" dxfId="108" priority="35" stopIfTrue="1" operator="lessThanOrEqual">
      <formula>0</formula>
    </cfRule>
    <cfRule type="cellIs" dxfId="107" priority="36" stopIfTrue="1" operator="greaterThan">
      <formula>$F$70</formula>
    </cfRule>
    <cfRule type="cellIs" dxfId="106" priority="37" stopIfTrue="1" operator="lessThanOrEqual">
      <formula>0</formula>
    </cfRule>
    <cfRule type="cellIs" dxfId="105" priority="26" stopIfTrue="1" operator="greaterThan">
      <formula>$F$69</formula>
    </cfRule>
    <cfRule type="cellIs" dxfId="104" priority="25" stopIfTrue="1" operator="lessThanOrEqual">
      <formula>0</formula>
    </cfRule>
    <cfRule type="cellIs" dxfId="103" priority="34" stopIfTrue="1" operator="greaterThan">
      <formula>$F$72</formula>
    </cfRule>
  </conditionalFormatting>
  <conditionalFormatting sqref="H87">
    <cfRule type="cellIs" dxfId="102" priority="71" stopIfTrue="1" operator="lessThanOrEqual">
      <formula>0</formula>
    </cfRule>
    <cfRule type="cellIs" dxfId="101" priority="70" stopIfTrue="1" operator="greaterThan">
      <formula>#REF!</formula>
    </cfRule>
    <cfRule type="cellIs" dxfId="100" priority="62" stopIfTrue="1" operator="greaterThan">
      <formula>#REF!</formula>
    </cfRule>
    <cfRule type="cellIs" dxfId="99" priority="61" stopIfTrue="1" operator="lessThanOrEqual">
      <formula>0</formula>
    </cfRule>
  </conditionalFormatting>
  <conditionalFormatting sqref="H88:H89">
    <cfRule type="cellIs" dxfId="98" priority="85" stopIfTrue="1" operator="lessThanOrEqual">
      <formula>0</formula>
    </cfRule>
    <cfRule type="cellIs" dxfId="97" priority="122" stopIfTrue="1" operator="lessThanOrEqual">
      <formula>0</formula>
    </cfRule>
    <cfRule type="cellIs" dxfId="96" priority="121" stopIfTrue="1" operator="greaterThan">
      <formula>$F$95</formula>
    </cfRule>
    <cfRule type="cellIs" dxfId="95" priority="120" stopIfTrue="1" operator="lessThanOrEqual">
      <formula>0</formula>
    </cfRule>
    <cfRule type="cellIs" dxfId="94" priority="119" stopIfTrue="1" operator="greaterThan">
      <formula>$F$97</formula>
    </cfRule>
    <cfRule type="cellIs" dxfId="93" priority="111" stopIfTrue="1" operator="greaterThan">
      <formula>$F$94</formula>
    </cfRule>
  </conditionalFormatting>
  <conditionalFormatting sqref="H90">
    <cfRule type="cellIs" dxfId="92" priority="151" stopIfTrue="1" operator="greaterThan">
      <formula>$F$87</formula>
    </cfRule>
    <cfRule type="cellIs" dxfId="91" priority="149" stopIfTrue="1" operator="greaterThan">
      <formula>$F$91</formula>
    </cfRule>
    <cfRule type="cellIs" dxfId="90" priority="150" stopIfTrue="1" operator="lessThanOrEqual">
      <formula>0</formula>
    </cfRule>
    <cfRule type="cellIs" dxfId="89" priority="152" stopIfTrue="1" operator="lessThanOrEqual">
      <formula>0</formula>
    </cfRule>
  </conditionalFormatting>
  <conditionalFormatting sqref="H94:H101">
    <cfRule type="cellIs" dxfId="88" priority="123" stopIfTrue="1" operator="greaterThan">
      <formula>$J94</formula>
    </cfRule>
    <cfRule type="cellIs" dxfId="87" priority="124" stopIfTrue="1" operator="lessThanOrEqual">
      <formula>0</formula>
    </cfRule>
  </conditionalFormatting>
  <conditionalFormatting sqref="H102">
    <cfRule type="cellIs" dxfId="86" priority="129" operator="greaterThan">
      <formula>5.3</formula>
    </cfRule>
  </conditionalFormatting>
  <conditionalFormatting sqref="H105 H107:H113">
    <cfRule type="cellIs" dxfId="85" priority="172" stopIfTrue="1" operator="greaterThan">
      <formula>4.5</formula>
    </cfRule>
    <cfRule type="cellIs" dxfId="84" priority="173" stopIfTrue="1" operator="lessThanOrEqual">
      <formula>0</formula>
    </cfRule>
  </conditionalFormatting>
  <conditionalFormatting sqref="H84:I84">
    <cfRule type="cellIs" dxfId="83" priority="42" stopIfTrue="1" operator="greaterThan">
      <formula>$F$71</formula>
    </cfRule>
    <cfRule type="cellIs" dxfId="82" priority="45" stopIfTrue="1" operator="lessThanOrEqual">
      <formula>0</formula>
    </cfRule>
  </conditionalFormatting>
  <conditionalFormatting sqref="H85:I85">
    <cfRule type="cellIs" dxfId="81" priority="92" stopIfTrue="1" operator="lessThanOrEqual">
      <formula>0</formula>
    </cfRule>
    <cfRule type="cellIs" dxfId="80" priority="89" stopIfTrue="1" operator="greaterThan">
      <formula>$F$95</formula>
    </cfRule>
  </conditionalFormatting>
  <conditionalFormatting sqref="H86:I86">
    <cfRule type="cellIs" dxfId="79" priority="24" stopIfTrue="1" operator="greaterThan">
      <formula>$F$71</formula>
    </cfRule>
    <cfRule type="cellIs" dxfId="78" priority="27" stopIfTrue="1" operator="lessThanOrEqual">
      <formula>0</formula>
    </cfRule>
  </conditionalFormatting>
  <conditionalFormatting sqref="H87:I87">
    <cfRule type="cellIs" dxfId="77" priority="69" stopIfTrue="1" operator="lessThanOrEqual">
      <formula>0</formula>
    </cfRule>
    <cfRule type="cellIs" dxfId="76" priority="66" stopIfTrue="1" operator="greaterThan">
      <formula>#REF!</formula>
    </cfRule>
    <cfRule type="cellIs" dxfId="75" priority="60" stopIfTrue="1" operator="greaterThan">
      <formula>#REF!</formula>
    </cfRule>
    <cfRule type="cellIs" dxfId="74" priority="63" stopIfTrue="1" operator="lessThanOrEqual">
      <formula>0</formula>
    </cfRule>
  </conditionalFormatting>
  <conditionalFormatting sqref="H88:I88">
    <cfRule type="cellIs" dxfId="73" priority="112" stopIfTrue="1" operator="lessThanOrEqual">
      <formula>0</formula>
    </cfRule>
  </conditionalFormatting>
  <conditionalFormatting sqref="H88:I89">
    <cfRule type="cellIs" dxfId="72" priority="83" stopIfTrue="1" operator="greaterThan">
      <formula>$F$96</formula>
    </cfRule>
  </conditionalFormatting>
  <conditionalFormatting sqref="H89:I89">
    <cfRule type="cellIs" dxfId="71" priority="84" stopIfTrue="1" operator="lessThanOrEqual">
      <formula>0</formula>
    </cfRule>
  </conditionalFormatting>
  <conditionalFormatting sqref="I38 I52">
    <cfRule type="cellIs" dxfId="70" priority="75" operator="lessThan">
      <formula>97.8</formula>
    </cfRule>
    <cfRule type="cellIs" dxfId="69" priority="78" operator="lessThan">
      <formula>98</formula>
    </cfRule>
  </conditionalFormatting>
  <conditionalFormatting sqref="I84">
    <cfRule type="cellIs" dxfId="68" priority="50" stopIfTrue="1" operator="greaterThan">
      <formula>$F$69</formula>
    </cfRule>
    <cfRule type="cellIs" dxfId="67" priority="46" stopIfTrue="1" operator="greaterThan">
      <formula>$F$69</formula>
    </cfRule>
    <cfRule type="cellIs" dxfId="66" priority="47" stopIfTrue="1" operator="lessThanOrEqual">
      <formula>0</formula>
    </cfRule>
    <cfRule type="cellIs" dxfId="65" priority="51" stopIfTrue="1" operator="lessThanOrEqual">
      <formula>0</formula>
    </cfRule>
    <cfRule type="cellIs" dxfId="64" priority="48" stopIfTrue="1" operator="greaterThan">
      <formula>$F$71</formula>
    </cfRule>
    <cfRule type="cellIs" dxfId="63" priority="49" stopIfTrue="1" operator="lessThanOrEqual">
      <formula>0</formula>
    </cfRule>
  </conditionalFormatting>
  <conditionalFormatting sqref="I85">
    <cfRule type="cellIs" dxfId="62" priority="97" stopIfTrue="1" operator="greaterThan">
      <formula>$F$93</formula>
    </cfRule>
    <cfRule type="cellIs" dxfId="61" priority="96" stopIfTrue="1" operator="lessThanOrEqual">
      <formula>0</formula>
    </cfRule>
    <cfRule type="cellIs" dxfId="60" priority="95" stopIfTrue="1" operator="greaterThan">
      <formula>$F$95</formula>
    </cfRule>
    <cfRule type="cellIs" dxfId="59" priority="93" stopIfTrue="1" operator="greaterThan">
      <formula>$F$93</formula>
    </cfRule>
    <cfRule type="cellIs" dxfId="58" priority="98" stopIfTrue="1" operator="lessThanOrEqual">
      <formula>0</formula>
    </cfRule>
    <cfRule type="cellIs" dxfId="57" priority="94" stopIfTrue="1" operator="lessThanOrEqual">
      <formula>0</formula>
    </cfRule>
  </conditionalFormatting>
  <conditionalFormatting sqref="I86">
    <cfRule type="cellIs" dxfId="56" priority="33" stopIfTrue="1" operator="lessThanOrEqual">
      <formula>0</formula>
    </cfRule>
    <cfRule type="cellIs" dxfId="55" priority="32" stopIfTrue="1" operator="greaterThan">
      <formula>$F$69</formula>
    </cfRule>
    <cfRule type="cellIs" dxfId="54" priority="30" stopIfTrue="1" operator="greaterThan">
      <formula>$F$71</formula>
    </cfRule>
    <cfRule type="cellIs" dxfId="53" priority="29" stopIfTrue="1" operator="lessThanOrEqual">
      <formula>0</formula>
    </cfRule>
    <cfRule type="cellIs" dxfId="52" priority="31" stopIfTrue="1" operator="lessThanOrEqual">
      <formula>0</formula>
    </cfRule>
    <cfRule type="cellIs" dxfId="51" priority="28" stopIfTrue="1" operator="greaterThan">
      <formula>$F$69</formula>
    </cfRule>
  </conditionalFormatting>
  <conditionalFormatting sqref="I87">
    <cfRule type="cellIs" dxfId="50" priority="64" stopIfTrue="1" operator="greaterThan">
      <formula>#REF!</formula>
    </cfRule>
    <cfRule type="cellIs" dxfId="49" priority="68" stopIfTrue="1" operator="greaterThan">
      <formula>#REF!</formula>
    </cfRule>
    <cfRule type="cellIs" dxfId="48" priority="67" stopIfTrue="1" operator="lessThanOrEqual">
      <formula>0</formula>
    </cfRule>
    <cfRule type="cellIs" dxfId="47" priority="65" stopIfTrue="1" operator="lessThanOrEqual">
      <formula>0</formula>
    </cfRule>
  </conditionalFormatting>
  <conditionalFormatting sqref="I88:I89">
    <cfRule type="cellIs" dxfId="46" priority="114" stopIfTrue="1" operator="lessThanOrEqual">
      <formula>0</formula>
    </cfRule>
    <cfRule type="cellIs" dxfId="45" priority="113" stopIfTrue="1" operator="greaterThan">
      <formula>$F$94</formula>
    </cfRule>
    <cfRule type="cellIs" dxfId="44" priority="115" stopIfTrue="1" operator="greaterThan">
      <formula>$F$96</formula>
    </cfRule>
    <cfRule type="cellIs" dxfId="43" priority="117" stopIfTrue="1" operator="greaterThan">
      <formula>$F$94</formula>
    </cfRule>
    <cfRule type="cellIs" dxfId="42" priority="118" stopIfTrue="1" operator="lessThanOrEqual">
      <formula>0</formula>
    </cfRule>
    <cfRule type="cellIs" dxfId="41" priority="116" stopIfTrue="1" operator="lessThanOrEqual">
      <formula>0</formula>
    </cfRule>
  </conditionalFormatting>
  <conditionalFormatting sqref="I94:I102">
    <cfRule type="cellIs" dxfId="40" priority="131" stopIfTrue="1" operator="lessThanOrEqual">
      <formula>0</formula>
    </cfRule>
    <cfRule type="cellIs" dxfId="39" priority="130" stopIfTrue="1" operator="greaterThan">
      <formula>$J94</formula>
    </cfRule>
  </conditionalFormatting>
  <conditionalFormatting sqref="I105:I113">
    <cfRule type="cellIs" dxfId="38" priority="169" stopIfTrue="1" operator="lessThanOrEqual">
      <formula>0</formula>
    </cfRule>
    <cfRule type="cellIs" dxfId="37" priority="168" stopIfTrue="1" operator="greaterThan">
      <formula>4.5</formula>
    </cfRule>
  </conditionalFormatting>
  <conditionalFormatting sqref="I10:J37">
    <cfRule type="cellIs" dxfId="36" priority="12" operator="lessThan">
      <formula>97.9</formula>
    </cfRule>
  </conditionalFormatting>
  <conditionalFormatting sqref="I39:J51">
    <cfRule type="cellIs" dxfId="35" priority="57" operator="lessThan">
      <formula>97.9</formula>
    </cfRule>
  </conditionalFormatting>
  <conditionalFormatting sqref="J38 J52">
    <cfRule type="cellIs" dxfId="34" priority="76" operator="notBetween">
      <formula>98</formula>
      <formula>99.9</formula>
    </cfRule>
    <cfRule type="cellIs" dxfId="33" priority="77" operator="lessThan">
      <formula>97.4</formula>
    </cfRule>
  </conditionalFormatting>
  <conditionalFormatting sqref="J55:J57">
    <cfRule type="cellIs" dxfId="32" priority="106" operator="lessThan">
      <formula>98</formula>
    </cfRule>
    <cfRule type="cellIs" dxfId="31" priority="105" stopIfTrue="1" operator="greaterThan">
      <formula>100</formula>
    </cfRule>
    <cfRule type="cellIs" dxfId="30" priority="104" stopIfTrue="1" operator="lessThan">
      <formula>96.8</formula>
    </cfRule>
  </conditionalFormatting>
  <conditionalFormatting sqref="J55:J59">
    <cfRule type="cellIs" dxfId="29" priority="80" operator="lessThan">
      <formula>97.4</formula>
    </cfRule>
  </conditionalFormatting>
  <conditionalFormatting sqref="J60">
    <cfRule type="cellIs" dxfId="28" priority="107" operator="lessThan">
      <formula>98</formula>
    </cfRule>
  </conditionalFormatting>
  <conditionalFormatting sqref="J61:J63">
    <cfRule type="cellIs" dxfId="27" priority="108" stopIfTrue="1" operator="lessThan">
      <formula>96.8</formula>
    </cfRule>
    <cfRule type="cellIs" dxfId="26" priority="109" stopIfTrue="1" operator="greaterThan">
      <formula>100</formula>
    </cfRule>
  </conditionalFormatting>
  <conditionalFormatting sqref="J61:J64">
    <cfRule type="cellIs" dxfId="25" priority="110" operator="lessThan">
      <formula>98</formula>
    </cfRule>
  </conditionalFormatting>
  <conditionalFormatting sqref="K10:K52">
    <cfRule type="cellIs" dxfId="24" priority="6" operator="lessThan">
      <formula>4</formula>
    </cfRule>
    <cfRule type="cellIs" dxfId="23" priority="5" operator="greaterThan">
      <formula>6</formula>
    </cfRule>
    <cfRule type="cellIs" dxfId="22" priority="10" operator="greaterThan">
      <formula>6.4</formula>
    </cfRule>
  </conditionalFormatting>
  <conditionalFormatting sqref="K69:K78">
    <cfRule type="cellIs" dxfId="21" priority="138" operator="notEqual">
      <formula>#REF!</formula>
    </cfRule>
  </conditionalFormatting>
  <conditionalFormatting sqref="K84:K89 J90:K90 K94:N102">
    <cfRule type="cellIs" dxfId="20" priority="148" stopIfTrue="1" operator="lessThan">
      <formula>100%</formula>
    </cfRule>
  </conditionalFormatting>
  <conditionalFormatting sqref="K105:K110">
    <cfRule type="cellIs" dxfId="19" priority="174" stopIfTrue="1" operator="lessThan">
      <formula>100%</formula>
    </cfRule>
  </conditionalFormatting>
  <conditionalFormatting sqref="K112:K113">
    <cfRule type="cellIs" dxfId="18" priority="181" stopIfTrue="1" operator="lessThan">
      <formula>100%</formula>
    </cfRule>
  </conditionalFormatting>
  <conditionalFormatting sqref="L10:L52">
    <cfRule type="cellIs" dxfId="17" priority="8" operator="greaterThan">
      <formula>65</formula>
    </cfRule>
    <cfRule type="cellIs" dxfId="16" priority="7" operator="between">
      <formula>61</formula>
      <formula>65</formula>
    </cfRule>
  </conditionalFormatting>
  <conditionalFormatting sqref="L55:M66">
    <cfRule type="cellIs" dxfId="15" priority="59" operator="lessThan">
      <formula>98</formula>
    </cfRule>
  </conditionalFormatting>
  <conditionalFormatting sqref="L70:N70">
    <cfRule type="cellIs" dxfId="14" priority="86" operator="notEqual">
      <formula>#REF!</formula>
    </cfRule>
  </conditionalFormatting>
  <conditionalFormatting sqref="L105:N113">
    <cfRule type="cellIs" dxfId="13" priority="159" stopIfTrue="1" operator="lessThan">
      <formula>100%</formula>
    </cfRule>
  </conditionalFormatting>
  <conditionalFormatting sqref="M10:M19">
    <cfRule type="expression" dxfId="12" priority="3">
      <formula>IF(+(IF(M10&lt;V10,0,IF(M10&gt;W10,0,1)))=0,1)</formula>
    </cfRule>
  </conditionalFormatting>
  <conditionalFormatting sqref="M20:M31">
    <cfRule type="expression" dxfId="11" priority="21">
      <formula>IF(+(IF(M20&lt;U20,0,IF(M20&gt;V20,0,1)))=0,1)</formula>
    </cfRule>
  </conditionalFormatting>
  <conditionalFormatting sqref="M32:M52">
    <cfRule type="expression" dxfId="10" priority="17">
      <formula>IF(+(IF(M32&lt;V32,0,IF(M32&gt;W32,0,1)))=0,1)</formula>
    </cfRule>
  </conditionalFormatting>
  <conditionalFormatting sqref="M6:N6">
    <cfRule type="cellIs" dxfId="9" priority="88" operator="greaterThanOrEqual">
      <formula>19</formula>
    </cfRule>
    <cfRule type="cellIs" dxfId="8" priority="87" operator="greaterThanOrEqual">
      <formula>15</formula>
    </cfRule>
  </conditionalFormatting>
  <conditionalFormatting sqref="N10:N19">
    <cfRule type="expression" dxfId="7" priority="4">
      <formula>IF(+(IF(N10&lt;X10,0,IF(N10&gt;Y10,0,1)))=0,1)</formula>
    </cfRule>
  </conditionalFormatting>
  <conditionalFormatting sqref="N20:N31">
    <cfRule type="expression" dxfId="6" priority="22">
      <formula>IF(+(IF(N20&lt;W20,0,IF(N20&gt;X20,0,1)))=0,1)</formula>
    </cfRule>
  </conditionalFormatting>
  <conditionalFormatting sqref="N32:N52">
    <cfRule type="expression" dxfId="5" priority="18">
      <formula>IF(+(IF(N32&lt;X32,0,IF(N32&gt;Y32,0,1)))=0,1)</formula>
    </cfRule>
  </conditionalFormatting>
  <conditionalFormatting sqref="N38">
    <cfRule type="expression" dxfId="4" priority="191">
      <formula>IF(+(IF(N38&lt;X89,0,IF(N38&gt;Y89,0,1)))=0,1)</formula>
    </cfRule>
    <cfRule type="expression" dxfId="3" priority="190">
      <formula>IF(+(IF(N38&lt;X94,0,IF(N38&gt;Y94,0,1)))=0,1)</formula>
    </cfRule>
  </conditionalFormatting>
  <conditionalFormatting sqref="N52">
    <cfRule type="expression" dxfId="2" priority="192">
      <formula>IF(+(IF(N52&lt;X96,0,IF(N52&gt;Y96,0,1)))=0,1)</formula>
    </cfRule>
    <cfRule type="expression" dxfId="1" priority="193">
      <formula>IF(+(IF(N52&lt;X91,0,IF(N52&gt;Y91,0,1)))=0,1)</formula>
    </cfRule>
  </conditionalFormatting>
  <conditionalFormatting sqref="P6">
    <cfRule type="cellIs" dxfId="0" priority="155" operator="greaterThanOrEqual">
      <formula>19</formula>
    </cfRule>
  </conditionalFormatting>
  <dataValidations disablePrompts="1" count="1">
    <dataValidation type="list" allowBlank="1" showInputMessage="1" showErrorMessage="1" sqref="S8 B52" xr:uid="{9819A4D4-2A39-434E-B082-B3CC990AFF9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7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2"/>
  <sheetViews>
    <sheetView showZeros="0" topLeftCell="A53" workbookViewId="0">
      <selection activeCell="J56" sqref="J56:J64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63" t="s">
        <v>58</v>
      </c>
      <c r="C2" s="663"/>
      <c r="D2" s="663"/>
      <c r="E2" s="663"/>
      <c r="F2" s="663"/>
      <c r="G2" s="663"/>
      <c r="H2" s="663"/>
      <c r="I2" s="663"/>
      <c r="J2" s="663"/>
      <c r="K2" s="663"/>
    </row>
    <row r="3" spans="2:14" ht="15.6" hidden="1" thickBot="1">
      <c r="B3" s="79"/>
    </row>
    <row r="4" spans="2:14" ht="13.8" hidden="1" thickBot="1">
      <c r="B4" s="78" t="s">
        <v>7</v>
      </c>
      <c r="C4" s="664">
        <v>41431</v>
      </c>
      <c r="D4" s="66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65" t="s">
        <v>17</v>
      </c>
      <c r="C8" s="667" t="s">
        <v>18</v>
      </c>
      <c r="D8" s="667" t="s">
        <v>59</v>
      </c>
      <c r="E8" s="80" t="s">
        <v>20</v>
      </c>
      <c r="F8" s="81" t="s">
        <v>21</v>
      </c>
      <c r="G8" s="667" t="s">
        <v>60</v>
      </c>
      <c r="H8" s="667" t="s">
        <v>61</v>
      </c>
      <c r="I8" s="669" t="s">
        <v>62</v>
      </c>
      <c r="J8" s="82" t="s">
        <v>25</v>
      </c>
      <c r="K8" s="671" t="s">
        <v>28</v>
      </c>
    </row>
    <row r="9" spans="2:14" ht="27" hidden="1" thickBot="1">
      <c r="B9" s="666"/>
      <c r="C9" s="668"/>
      <c r="D9" s="668"/>
      <c r="E9" s="83" t="s">
        <v>30</v>
      </c>
      <c r="F9" s="84" t="s">
        <v>63</v>
      </c>
      <c r="G9" s="668"/>
      <c r="H9" s="668"/>
      <c r="I9" s="670"/>
      <c r="J9" s="85" t="s">
        <v>32</v>
      </c>
      <c r="K9" s="672"/>
      <c r="L9" s="86"/>
      <c r="M9" s="86"/>
      <c r="N9" s="86"/>
    </row>
    <row r="10" spans="2:14" ht="13.8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8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8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73" t="s">
        <v>69</v>
      </c>
      <c r="G21" s="674"/>
      <c r="H21" s="338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9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7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6"/>
    </row>
    <row r="42" spans="2:15" ht="13.8" hidden="1" thickBot="1"/>
    <row r="43" spans="2:15" ht="12.75" hidden="1" customHeight="1" thickBot="1">
      <c r="B43" s="665" t="s">
        <v>17</v>
      </c>
      <c r="C43" s="667" t="s">
        <v>18</v>
      </c>
      <c r="D43" s="667" t="s">
        <v>44</v>
      </c>
      <c r="E43" s="667" t="s">
        <v>79</v>
      </c>
      <c r="F43" s="667" t="s">
        <v>51</v>
      </c>
      <c r="G43" s="667" t="s">
        <v>48</v>
      </c>
      <c r="H43" s="682" t="s">
        <v>28</v>
      </c>
      <c r="I43" s="683"/>
      <c r="J43" s="683"/>
      <c r="K43" s="671" t="s">
        <v>27</v>
      </c>
    </row>
    <row r="44" spans="2:15" ht="15.75" hidden="1" customHeight="1" thickBot="1">
      <c r="B44" s="678"/>
      <c r="C44" s="679"/>
      <c r="D44" s="679"/>
      <c r="E44" s="679"/>
      <c r="F44" s="679"/>
      <c r="G44" s="679"/>
      <c r="H44" s="684"/>
      <c r="I44" s="685"/>
      <c r="J44" s="685"/>
      <c r="K44" s="67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76"/>
      <c r="I45" s="677"/>
      <c r="J45" s="67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86"/>
      <c r="I46" s="687"/>
      <c r="J46" s="687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86"/>
      <c r="I47" s="687"/>
      <c r="J47" s="687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86"/>
      <c r="I48" s="687"/>
      <c r="J48" s="687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80"/>
      <c r="I49" s="681"/>
      <c r="J49" s="681"/>
      <c r="K49" s="172"/>
    </row>
    <row r="50" spans="2:11" ht="13.8" hidden="1" thickBot="1">
      <c r="B50" s="173"/>
      <c r="C50" s="160"/>
      <c r="E50" s="168"/>
      <c r="F50" s="168"/>
      <c r="G50" s="145"/>
      <c r="H50" s="680"/>
      <c r="I50" s="681"/>
      <c r="J50" s="681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80"/>
      <c r="I51" s="681"/>
      <c r="J51" s="681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88"/>
      <c r="I52" s="689"/>
      <c r="J52" s="689"/>
      <c r="K52" s="183"/>
    </row>
    <row r="53" spans="2:11" ht="13.8" thickBot="1">
      <c r="B53" s="184"/>
      <c r="C53" s="117"/>
      <c r="D53" s="690" t="s">
        <v>80</v>
      </c>
      <c r="E53" s="690"/>
      <c r="F53" s="690"/>
      <c r="G53" s="690"/>
      <c r="H53" s="690"/>
      <c r="I53" s="690"/>
      <c r="J53" s="690"/>
      <c r="K53" s="185"/>
    </row>
    <row r="54" spans="2:11" ht="13.8" thickBot="1">
      <c r="B54" s="691" t="s">
        <v>55</v>
      </c>
      <c r="C54" s="692"/>
      <c r="D54" s="692"/>
      <c r="E54" s="693"/>
      <c r="F54" s="691" t="s">
        <v>56</v>
      </c>
      <c r="G54" s="692"/>
      <c r="H54" s="693"/>
      <c r="I54" s="694" t="s">
        <v>81</v>
      </c>
      <c r="J54" s="695"/>
      <c r="K54" s="69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[30]MTD!E5</f>
        <v>7.8958313337812376</v>
      </c>
      <c r="E56" s="192">
        <v>5</v>
      </c>
      <c r="F56" s="191"/>
      <c r="G56" s="76">
        <f>[23]January_2025!AN3</f>
        <v>9.2783449314619784</v>
      </c>
      <c r="H56" s="192">
        <v>5</v>
      </c>
      <c r="I56" s="193"/>
      <c r="J56" s="194">
        <f>[24]January_2025!AN13</f>
        <v>0.98457735247208944</v>
      </c>
      <c r="K56" s="195">
        <v>1</v>
      </c>
    </row>
    <row r="57" spans="2:11" ht="13.8">
      <c r="B57" s="33" t="s">
        <v>72</v>
      </c>
      <c r="C57" s="191"/>
      <c r="D57" s="76">
        <f>[30]MTD!E6</f>
        <v>6.8188129559970694</v>
      </c>
      <c r="E57" s="192">
        <v>5</v>
      </c>
      <c r="F57" s="191"/>
      <c r="G57" s="76">
        <f>[23]January_2025!AN4</f>
        <v>10.863101163921975</v>
      </c>
      <c r="H57" s="192">
        <v>5</v>
      </c>
      <c r="I57" s="196"/>
      <c r="J57" s="194">
        <f>[24]January_2025!AN14</f>
        <v>0.97131578947368413</v>
      </c>
      <c r="K57" s="195">
        <v>1</v>
      </c>
    </row>
    <row r="58" spans="2:11" ht="13.8">
      <c r="B58" s="34" t="s">
        <v>73</v>
      </c>
      <c r="C58" s="191"/>
      <c r="D58" s="76">
        <f>[30]MTD!E7</f>
        <v>7.5530586766541949</v>
      </c>
      <c r="E58" s="192">
        <v>5</v>
      </c>
      <c r="F58" s="191"/>
      <c r="G58" s="76">
        <f>[23]January_2025!AN5</f>
        <v>2.6473552031086438</v>
      </c>
      <c r="H58" s="192">
        <v>5</v>
      </c>
      <c r="I58" s="196"/>
      <c r="J58" s="194">
        <f>[24]January_2025!AN15</f>
        <v>1.0392982456140349</v>
      </c>
      <c r="K58" s="195">
        <v>1</v>
      </c>
    </row>
    <row r="59" spans="2:11" ht="13.8">
      <c r="B59" s="197" t="s">
        <v>74</v>
      </c>
      <c r="C59" s="191"/>
      <c r="D59" s="76">
        <f>[30]MTD!E8</f>
        <v>3.499300139972028</v>
      </c>
      <c r="E59" s="192">
        <v>3.5</v>
      </c>
      <c r="F59" s="191"/>
      <c r="G59" s="76">
        <f>[23]January_2025!AN6</f>
        <v>6.6434583413343296</v>
      </c>
      <c r="H59" s="192">
        <v>3.5</v>
      </c>
      <c r="I59" s="196"/>
      <c r="J59" s="194">
        <f>[24]January_2025!AN16</f>
        <v>0.83350877192982453</v>
      </c>
      <c r="K59" s="195">
        <v>1</v>
      </c>
    </row>
    <row r="60" spans="2:11" ht="13.8">
      <c r="B60" s="198" t="s">
        <v>75</v>
      </c>
      <c r="C60" s="191"/>
      <c r="D60" s="76" t="e">
        <f>[30]MTD!E9</f>
        <v>#DIV/0!</v>
      </c>
      <c r="E60" s="192">
        <v>3.5</v>
      </c>
      <c r="F60" s="199"/>
      <c r="G60" s="76" t="e">
        <f>[23]January_2025!AN7</f>
        <v>#DIV/0!</v>
      </c>
      <c r="H60" s="192">
        <v>3.5</v>
      </c>
      <c r="I60" s="196"/>
      <c r="J60" s="194" t="e">
        <f>[24]January_2025!AN17</f>
        <v>#DIV/0!</v>
      </c>
      <c r="K60" s="195">
        <v>1</v>
      </c>
    </row>
    <row r="61" spans="2:11" ht="13.8">
      <c r="B61" s="200" t="s">
        <v>76</v>
      </c>
      <c r="C61" s="191"/>
      <c r="D61" s="76">
        <f>[30]MTD!E10</f>
        <v>8.7664670658682695</v>
      </c>
      <c r="E61" s="201">
        <v>5</v>
      </c>
      <c r="F61" s="191"/>
      <c r="G61" s="76">
        <f>[23]January_2025!AN8</f>
        <v>10.607235567685406</v>
      </c>
      <c r="H61" s="201">
        <v>5</v>
      </c>
      <c r="I61" s="196"/>
      <c r="J61" s="194">
        <f>[24]January_2025!AN18</f>
        <v>0.66824561403508764</v>
      </c>
      <c r="K61" s="195">
        <v>1</v>
      </c>
    </row>
    <row r="62" spans="2:11" ht="13.8">
      <c r="B62" s="202" t="s">
        <v>82</v>
      </c>
      <c r="C62" s="203"/>
      <c r="D62" s="76">
        <f>[30]MTD!E11</f>
        <v>1.4603960396039548</v>
      </c>
      <c r="E62" s="201">
        <v>3.3</v>
      </c>
      <c r="F62" s="203"/>
      <c r="G62" s="76">
        <f>[23]January_2025!AN9</f>
        <v>4.0624079285034069</v>
      </c>
      <c r="H62" s="201">
        <v>3.3</v>
      </c>
      <c r="I62" s="204"/>
      <c r="J62" s="194">
        <f>[24]January_2025!AN19</f>
        <v>0.69842105263157894</v>
      </c>
      <c r="K62" s="205">
        <v>1</v>
      </c>
    </row>
    <row r="63" spans="2:11" ht="14.4" thickBot="1">
      <c r="B63" s="38" t="s">
        <v>128</v>
      </c>
      <c r="C63" s="206"/>
      <c r="D63" s="76" t="e">
        <f>[30]MTD!E12</f>
        <v>#DIV/0!</v>
      </c>
      <c r="E63" s="207">
        <v>3.5</v>
      </c>
      <c r="F63" s="206"/>
      <c r="G63" s="76" t="e">
        <f>[23]January_2025!AN10</f>
        <v>#DIV/0!</v>
      </c>
      <c r="H63" s="207">
        <v>3.5</v>
      </c>
      <c r="I63" s="208"/>
      <c r="J63" s="194" t="e">
        <f>[24]January_2025!AN20</f>
        <v>#DIV/0!</v>
      </c>
      <c r="K63" s="209">
        <v>1</v>
      </c>
    </row>
    <row r="64" spans="2:11">
      <c r="B64" s="210"/>
      <c r="C64" s="211"/>
      <c r="D64" s="76">
        <f>[30]MTD!E13</f>
        <v>6.9178630732216027</v>
      </c>
      <c r="E64" s="211"/>
      <c r="F64" s="211"/>
      <c r="G64" s="76">
        <f>[37]January_2024!AN11</f>
        <v>6.9593481484924711</v>
      </c>
      <c r="H64" s="212"/>
      <c r="I64" s="213"/>
      <c r="J64" s="194">
        <f>[38]January_2024!AN21</f>
        <v>0.80685146198830426</v>
      </c>
      <c r="K64" s="214"/>
    </row>
    <row r="65" spans="3:6">
      <c r="C65" s="215"/>
      <c r="F65" s="95"/>
    </row>
    <row r="66" spans="3:6">
      <c r="C66" s="215"/>
    </row>
    <row r="72" spans="3:6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2"/>
  <sheetViews>
    <sheetView showZeros="0" topLeftCell="A53" zoomScale="115" zoomScaleNormal="115" workbookViewId="0">
      <selection activeCell="J56" sqref="J56:J64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63" t="s">
        <v>58</v>
      </c>
      <c r="C2" s="663"/>
      <c r="D2" s="663"/>
      <c r="E2" s="663"/>
      <c r="F2" s="663"/>
      <c r="G2" s="663"/>
      <c r="H2" s="663"/>
      <c r="I2" s="663"/>
      <c r="J2" s="663"/>
      <c r="K2" s="663"/>
    </row>
    <row r="3" spans="2:14" ht="15.6" hidden="1" thickBot="1">
      <c r="B3" s="79"/>
    </row>
    <row r="4" spans="2:14" ht="13.8" hidden="1" thickBot="1">
      <c r="B4" s="78" t="s">
        <v>7</v>
      </c>
      <c r="C4" s="664">
        <v>41431</v>
      </c>
      <c r="D4" s="66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65" t="s">
        <v>17</v>
      </c>
      <c r="C8" s="667" t="s">
        <v>18</v>
      </c>
      <c r="D8" s="667" t="s">
        <v>59</v>
      </c>
      <c r="E8" s="80" t="s">
        <v>20</v>
      </c>
      <c r="F8" s="81" t="s">
        <v>21</v>
      </c>
      <c r="G8" s="667" t="s">
        <v>60</v>
      </c>
      <c r="H8" s="667" t="s">
        <v>61</v>
      </c>
      <c r="I8" s="669" t="s">
        <v>62</v>
      </c>
      <c r="J8" s="82" t="s">
        <v>25</v>
      </c>
      <c r="K8" s="671" t="s">
        <v>28</v>
      </c>
    </row>
    <row r="9" spans="2:14" ht="27" hidden="1" thickBot="1">
      <c r="B9" s="666"/>
      <c r="C9" s="668"/>
      <c r="D9" s="668"/>
      <c r="E9" s="83" t="s">
        <v>30</v>
      </c>
      <c r="F9" s="84" t="s">
        <v>63</v>
      </c>
      <c r="G9" s="668"/>
      <c r="H9" s="668"/>
      <c r="I9" s="670"/>
      <c r="J9" s="85" t="s">
        <v>32</v>
      </c>
      <c r="K9" s="672"/>
      <c r="L9" s="86"/>
      <c r="M9" s="86"/>
      <c r="N9" s="86"/>
    </row>
    <row r="10" spans="2:14" ht="13.8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8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8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73" t="s">
        <v>69</v>
      </c>
      <c r="G21" s="674"/>
      <c r="H21" s="338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9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7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6"/>
    </row>
    <row r="42" spans="2:15" ht="13.8" hidden="1" thickBot="1"/>
    <row r="43" spans="2:15" ht="12.75" hidden="1" customHeight="1" thickBot="1">
      <c r="B43" s="665" t="s">
        <v>17</v>
      </c>
      <c r="C43" s="667" t="s">
        <v>18</v>
      </c>
      <c r="D43" s="667" t="s">
        <v>44</v>
      </c>
      <c r="E43" s="667" t="s">
        <v>79</v>
      </c>
      <c r="F43" s="667" t="s">
        <v>51</v>
      </c>
      <c r="G43" s="667" t="s">
        <v>48</v>
      </c>
      <c r="H43" s="682" t="s">
        <v>28</v>
      </c>
      <c r="I43" s="683"/>
      <c r="J43" s="683"/>
      <c r="K43" s="671" t="s">
        <v>27</v>
      </c>
    </row>
    <row r="44" spans="2:15" ht="15.75" hidden="1" customHeight="1" thickBot="1">
      <c r="B44" s="678"/>
      <c r="C44" s="679"/>
      <c r="D44" s="679"/>
      <c r="E44" s="679"/>
      <c r="F44" s="679"/>
      <c r="G44" s="679"/>
      <c r="H44" s="684"/>
      <c r="I44" s="685"/>
      <c r="J44" s="685"/>
      <c r="K44" s="67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76"/>
      <c r="I45" s="677"/>
      <c r="J45" s="67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86"/>
      <c r="I46" s="687"/>
      <c r="J46" s="687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86"/>
      <c r="I47" s="687"/>
      <c r="J47" s="687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86"/>
      <c r="I48" s="687"/>
      <c r="J48" s="687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80"/>
      <c r="I49" s="681"/>
      <c r="J49" s="681"/>
      <c r="K49" s="172"/>
    </row>
    <row r="50" spans="2:11" ht="13.8" hidden="1" thickBot="1">
      <c r="B50" s="173"/>
      <c r="C50" s="160"/>
      <c r="E50" s="168"/>
      <c r="F50" s="168"/>
      <c r="G50" s="145"/>
      <c r="H50" s="680"/>
      <c r="I50" s="681"/>
      <c r="J50" s="681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80"/>
      <c r="I51" s="681"/>
      <c r="J51" s="681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88"/>
      <c r="I52" s="689"/>
      <c r="J52" s="689"/>
      <c r="K52" s="183"/>
    </row>
    <row r="53" spans="2:11" ht="13.8" thickBot="1">
      <c r="B53" s="184"/>
      <c r="C53" s="117"/>
      <c r="D53" s="690" t="s">
        <v>80</v>
      </c>
      <c r="E53" s="690"/>
      <c r="F53" s="690"/>
      <c r="G53" s="690"/>
      <c r="H53" s="690"/>
      <c r="I53" s="690"/>
      <c r="J53" s="690"/>
      <c r="K53" s="185"/>
    </row>
    <row r="54" spans="2:11" ht="13.8" thickBot="1">
      <c r="B54" s="691" t="s">
        <v>55</v>
      </c>
      <c r="C54" s="692"/>
      <c r="D54" s="692"/>
      <c r="E54" s="693"/>
      <c r="F54" s="691" t="s">
        <v>56</v>
      </c>
      <c r="G54" s="692"/>
      <c r="H54" s="693"/>
      <c r="I54" s="694" t="s">
        <v>81</v>
      </c>
      <c r="J54" s="695"/>
      <c r="K54" s="69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'[39]YTD 2024'!E5</f>
        <v>6.1124107731989872</v>
      </c>
      <c r="E56" s="192">
        <v>5</v>
      </c>
      <c r="F56" s="191"/>
      <c r="G56" s="76">
        <f>[37]January_2024!AQ3</f>
        <v>6.1650601546049799</v>
      </c>
      <c r="H56" s="192">
        <v>5</v>
      </c>
      <c r="I56" s="193"/>
      <c r="J56" s="194">
        <f>[38]January_2024!AQ13</f>
        <v>0.81770630279402223</v>
      </c>
      <c r="K56" s="195">
        <v>1</v>
      </c>
    </row>
    <row r="57" spans="2:11" ht="13.8">
      <c r="B57" s="33" t="s">
        <v>72</v>
      </c>
      <c r="C57" s="191"/>
      <c r="D57" s="76">
        <f>'[39]YTD 2024'!E6</f>
        <v>6.1269668278727476</v>
      </c>
      <c r="E57" s="192">
        <v>5</v>
      </c>
      <c r="F57" s="191"/>
      <c r="G57" s="76">
        <f>[37]January_2024!AQ4</f>
        <v>5.8620841331806197</v>
      </c>
      <c r="H57" s="192">
        <v>5</v>
      </c>
      <c r="I57" s="196"/>
      <c r="J57" s="194">
        <f>[38]January_2024!AQ14</f>
        <v>0.83091617933723205</v>
      </c>
      <c r="K57" s="195">
        <v>1</v>
      </c>
    </row>
    <row r="58" spans="2:11" ht="13.8">
      <c r="B58" s="34" t="s">
        <v>73</v>
      </c>
      <c r="C58" s="191"/>
      <c r="D58" s="76">
        <f>'[39]YTD 2024'!E7</f>
        <v>9.3571758902420274</v>
      </c>
      <c r="E58" s="192">
        <v>5</v>
      </c>
      <c r="F58" s="191"/>
      <c r="G58" s="76">
        <f>[37]January_2024!AQ5</f>
        <v>10.172010309337692</v>
      </c>
      <c r="H58" s="192">
        <v>5</v>
      </c>
      <c r="I58" s="196"/>
      <c r="J58" s="194">
        <f>[38]January_2024!AQ15</f>
        <v>0.51578947368421058</v>
      </c>
      <c r="K58" s="195">
        <v>1</v>
      </c>
    </row>
    <row r="59" spans="2:11" ht="13.8">
      <c r="B59" s="197" t="s">
        <v>74</v>
      </c>
      <c r="C59" s="191"/>
      <c r="D59" s="76">
        <f>'[39]YTD 2024'!E8</f>
        <v>3.7992628296002202</v>
      </c>
      <c r="E59" s="192">
        <v>3.5</v>
      </c>
      <c r="F59" s="191"/>
      <c r="G59" s="76">
        <f>[37]January_2024!AQ6</f>
        <v>3.3397417351661711</v>
      </c>
      <c r="H59" s="192">
        <v>3.5</v>
      </c>
      <c r="I59" s="196"/>
      <c r="J59" s="194">
        <f>[38]January_2024!AQ16</f>
        <v>0.84833333333333338</v>
      </c>
      <c r="K59" s="195">
        <v>1</v>
      </c>
    </row>
    <row r="60" spans="2:11" ht="13.8">
      <c r="B60" s="198" t="s">
        <v>75</v>
      </c>
      <c r="C60" s="191"/>
      <c r="D60" s="76">
        <f>'[39]YTD 2024'!E9</f>
        <v>0</v>
      </c>
      <c r="E60" s="192">
        <v>3.5</v>
      </c>
      <c r="F60" s="199"/>
      <c r="G60" s="76" t="e">
        <f>[37]January_2024!AQ7</f>
        <v>#DIV/0!</v>
      </c>
      <c r="H60" s="192">
        <v>3.5</v>
      </c>
      <c r="I60" s="196"/>
      <c r="J60" s="194" t="e">
        <f>[38]January_2024!AQ17</f>
        <v>#DIV/0!</v>
      </c>
      <c r="K60" s="195">
        <v>1</v>
      </c>
    </row>
    <row r="61" spans="2:11" ht="13.8">
      <c r="B61" s="200" t="s">
        <v>76</v>
      </c>
      <c r="C61" s="191"/>
      <c r="D61" s="76">
        <f>'[39]YTD 2024'!E10</f>
        <v>10.951468710089404</v>
      </c>
      <c r="E61" s="201">
        <v>5</v>
      </c>
      <c r="F61" s="191"/>
      <c r="G61" s="76">
        <f>[37]January_2024!AQ8</f>
        <v>11.031267801265715</v>
      </c>
      <c r="H61" s="201">
        <v>5</v>
      </c>
      <c r="I61" s="196"/>
      <c r="J61" s="194">
        <f>[38]January_2024!AQ18</f>
        <v>0.49035087719298248</v>
      </c>
      <c r="K61" s="195">
        <v>1</v>
      </c>
    </row>
    <row r="62" spans="2:11" ht="13.8">
      <c r="B62" s="202" t="s">
        <v>82</v>
      </c>
      <c r="C62" s="203"/>
      <c r="D62" s="76">
        <f>'[39]YTD 2024'!E11</f>
        <v>10.523798134417603</v>
      </c>
      <c r="E62" s="201">
        <v>3.3</v>
      </c>
      <c r="F62" s="203"/>
      <c r="G62" s="76">
        <f>[37]January_2024!AQ9</f>
        <v>12.055170619683556</v>
      </c>
      <c r="H62" s="201">
        <v>3.3</v>
      </c>
      <c r="I62" s="204"/>
      <c r="J62" s="194">
        <f>[38]January_2024!AQ19</f>
        <v>0.87695906432748549</v>
      </c>
      <c r="K62" s="205">
        <v>1</v>
      </c>
    </row>
    <row r="63" spans="2:11" ht="14.4" thickBot="1">
      <c r="B63" s="38" t="s">
        <v>128</v>
      </c>
      <c r="C63" s="206"/>
      <c r="D63" s="76" t="e">
        <f>'[39]YTD 2024'!E12</f>
        <v>#DIV/0!</v>
      </c>
      <c r="E63" s="207">
        <v>3.5</v>
      </c>
      <c r="F63" s="206"/>
      <c r="G63" s="76" t="e">
        <f>[37]January_2024!AQ10</f>
        <v>#DIV/0!</v>
      </c>
      <c r="H63" s="207">
        <v>3.5</v>
      </c>
      <c r="I63" s="208"/>
      <c r="J63" s="194" t="e">
        <f>[38]January_2024!AQ20</f>
        <v>#DIV/0!</v>
      </c>
      <c r="K63" s="209">
        <v>1</v>
      </c>
    </row>
    <row r="64" spans="2:11">
      <c r="B64" s="210"/>
      <c r="C64" s="211"/>
      <c r="D64" s="76">
        <f>'[39]YTD 2024'!E13</f>
        <v>6.6648519743655044</v>
      </c>
      <c r="E64" s="211"/>
      <c r="F64" s="211"/>
      <c r="G64" s="76">
        <f>[37]January_2024!AQ11</f>
        <v>6.9593481484924711</v>
      </c>
      <c r="H64" s="212"/>
      <c r="I64" s="213"/>
      <c r="J64" s="194">
        <f>[38]January_2024!AQ21</f>
        <v>0.80685146198830426</v>
      </c>
      <c r="K64" s="214"/>
    </row>
    <row r="65" spans="3:6">
      <c r="C65" s="215"/>
      <c r="D65" s="78">
        <f>MTD_Links!D65</f>
        <v>0</v>
      </c>
      <c r="F65" s="95"/>
    </row>
    <row r="66" spans="3:6">
      <c r="C66" s="215"/>
    </row>
    <row r="72" spans="3:6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</row>
    <row r="2" spans="1:13" ht="15.6">
      <c r="A2" s="216"/>
      <c r="B2" s="697" t="s">
        <v>34</v>
      </c>
      <c r="C2" s="697"/>
      <c r="D2" s="697"/>
      <c r="E2" s="216"/>
      <c r="F2" s="216"/>
      <c r="G2" s="216"/>
      <c r="H2" s="216"/>
      <c r="I2" s="216"/>
      <c r="J2" s="216"/>
      <c r="K2" s="216"/>
    </row>
    <row r="3" spans="1:13" s="220" customFormat="1" ht="15.6">
      <c r="A3" s="217"/>
      <c r="B3" s="218" t="s">
        <v>84</v>
      </c>
      <c r="C3" s="219" t="s">
        <v>85</v>
      </c>
      <c r="D3" s="219" t="s">
        <v>86</v>
      </c>
      <c r="E3" s="219" t="s">
        <v>87</v>
      </c>
      <c r="F3" s="219" t="s">
        <v>88</v>
      </c>
      <c r="G3" s="219" t="s">
        <v>89</v>
      </c>
      <c r="H3" s="219" t="s">
        <v>90</v>
      </c>
      <c r="I3" s="219" t="s">
        <v>91</v>
      </c>
      <c r="J3" s="219" t="s">
        <v>92</v>
      </c>
      <c r="K3" s="219" t="s">
        <v>93</v>
      </c>
      <c r="L3" s="219" t="s">
        <v>94</v>
      </c>
      <c r="M3" s="219" t="s">
        <v>95</v>
      </c>
    </row>
    <row r="4" spans="1:13" ht="15">
      <c r="A4" s="216"/>
      <c r="B4" s="221">
        <v>98</v>
      </c>
      <c r="C4" s="222" t="s">
        <v>64</v>
      </c>
      <c r="D4" s="223"/>
      <c r="E4" s="224"/>
      <c r="F4" s="224"/>
      <c r="G4" s="224"/>
      <c r="H4" s="224"/>
      <c r="I4" s="224"/>
      <c r="J4" s="224"/>
      <c r="K4" s="224"/>
      <c r="L4" s="224"/>
    </row>
    <row r="5" spans="1:13" ht="15">
      <c r="A5" s="216"/>
      <c r="B5" s="221">
        <v>98</v>
      </c>
      <c r="C5" s="225" t="s">
        <v>72</v>
      </c>
      <c r="D5" s="224"/>
      <c r="E5" s="224"/>
      <c r="F5" s="224"/>
      <c r="G5" s="224"/>
      <c r="H5" s="224"/>
      <c r="I5" s="224"/>
      <c r="J5" s="224"/>
      <c r="K5" s="224"/>
      <c r="L5" s="224"/>
    </row>
    <row r="6" spans="1:13" ht="15">
      <c r="A6" s="216"/>
      <c r="B6" s="221">
        <v>98</v>
      </c>
      <c r="C6" s="226" t="s">
        <v>96</v>
      </c>
      <c r="D6" s="223"/>
      <c r="E6" s="224"/>
      <c r="F6" s="224"/>
      <c r="G6" s="224"/>
      <c r="H6" s="224"/>
      <c r="I6" s="224"/>
      <c r="J6" s="224"/>
      <c r="K6" s="224"/>
      <c r="L6" s="224"/>
    </row>
    <row r="7" spans="1:13" ht="15">
      <c r="A7" s="216"/>
      <c r="B7" s="221">
        <v>98</v>
      </c>
      <c r="C7" s="227" t="s">
        <v>76</v>
      </c>
      <c r="D7" s="224"/>
      <c r="E7" s="224"/>
      <c r="F7" s="224"/>
      <c r="G7" s="224"/>
      <c r="H7" s="224"/>
      <c r="I7" s="224"/>
      <c r="J7" s="224"/>
      <c r="K7" s="224"/>
      <c r="L7" s="224"/>
    </row>
    <row r="8" spans="1:13" ht="15">
      <c r="A8" s="216"/>
      <c r="B8" s="221">
        <v>98</v>
      </c>
      <c r="C8" s="228" t="s">
        <v>83</v>
      </c>
      <c r="D8" s="223"/>
      <c r="E8" s="224"/>
      <c r="F8" s="224"/>
      <c r="G8" s="224"/>
      <c r="H8" s="224"/>
      <c r="I8" s="224"/>
      <c r="J8" s="224"/>
      <c r="K8" s="224"/>
      <c r="L8" s="224"/>
    </row>
    <row r="9" spans="1:13" ht="15">
      <c r="A9" s="216"/>
      <c r="B9" s="221">
        <v>98</v>
      </c>
      <c r="C9" s="229" t="s">
        <v>97</v>
      </c>
      <c r="D9" s="224"/>
      <c r="E9" s="224"/>
      <c r="F9" s="224"/>
      <c r="G9" s="224"/>
      <c r="H9" s="224"/>
      <c r="I9" s="224"/>
      <c r="J9" s="224"/>
      <c r="K9" s="224"/>
      <c r="L9" s="224"/>
    </row>
    <row r="10" spans="1:13" ht="15">
      <c r="A10" s="216"/>
      <c r="B10" s="221">
        <v>98</v>
      </c>
      <c r="C10" s="230" t="s">
        <v>98</v>
      </c>
      <c r="D10" s="223"/>
      <c r="E10" s="224"/>
      <c r="F10" s="224"/>
      <c r="G10" s="224"/>
      <c r="H10" s="224"/>
      <c r="I10" s="224"/>
      <c r="J10" s="224"/>
      <c r="K10" s="224"/>
      <c r="L10" s="224"/>
    </row>
    <row r="11" spans="1:13" ht="15">
      <c r="A11" s="216"/>
      <c r="B11" s="221">
        <v>98</v>
      </c>
      <c r="C11" s="231" t="s">
        <v>74</v>
      </c>
      <c r="D11" s="224"/>
      <c r="E11" s="224"/>
      <c r="F11" s="224"/>
      <c r="G11" s="224"/>
      <c r="H11" s="224"/>
      <c r="I11" s="224"/>
      <c r="J11" s="224"/>
      <c r="K11" s="224"/>
      <c r="L11" s="224"/>
    </row>
    <row r="12" spans="1:13" s="220" customFormat="1" ht="15.6">
      <c r="A12" s="217"/>
      <c r="B12" s="232">
        <v>98</v>
      </c>
      <c r="C12" s="233" t="s">
        <v>99</v>
      </c>
      <c r="D12" s="234"/>
      <c r="E12" s="235"/>
      <c r="F12" s="235"/>
      <c r="G12" s="235"/>
      <c r="H12" s="235"/>
      <c r="I12" s="235"/>
      <c r="J12" s="235"/>
      <c r="K12" s="235"/>
      <c r="L12" s="235"/>
    </row>
    <row r="13" spans="1:13" ht="15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</row>
    <row r="14" spans="1:13" ht="15.6">
      <c r="A14" s="216"/>
      <c r="B14" s="697" t="s">
        <v>100</v>
      </c>
      <c r="C14" s="697"/>
      <c r="D14" s="697"/>
      <c r="E14" s="216"/>
      <c r="F14" s="216"/>
      <c r="G14" s="216"/>
      <c r="H14" s="216"/>
      <c r="I14" s="216"/>
      <c r="J14" s="216"/>
      <c r="K14" s="216"/>
    </row>
    <row r="15" spans="1:13" ht="15.6">
      <c r="A15" s="216"/>
      <c r="B15" s="218" t="s">
        <v>84</v>
      </c>
      <c r="C15" s="219" t="s">
        <v>85</v>
      </c>
      <c r="D15" s="219" t="s">
        <v>86</v>
      </c>
      <c r="E15" s="219" t="s">
        <v>87</v>
      </c>
      <c r="F15" s="219" t="s">
        <v>88</v>
      </c>
      <c r="G15" s="219" t="s">
        <v>89</v>
      </c>
      <c r="H15" s="219" t="s">
        <v>90</v>
      </c>
      <c r="I15" s="219" t="s">
        <v>91</v>
      </c>
      <c r="J15" s="219" t="s">
        <v>92</v>
      </c>
      <c r="K15" s="219" t="s">
        <v>93</v>
      </c>
      <c r="L15" s="219" t="s">
        <v>94</v>
      </c>
      <c r="M15" s="219" t="s">
        <v>95</v>
      </c>
    </row>
    <row r="16" spans="1:13" ht="15">
      <c r="A16" s="216"/>
      <c r="B16" s="221">
        <v>4.8</v>
      </c>
      <c r="C16" s="222" t="s">
        <v>64</v>
      </c>
      <c r="D16" s="223"/>
      <c r="E16" s="223"/>
      <c r="F16" s="223"/>
      <c r="G16" s="223"/>
      <c r="H16" s="223"/>
      <c r="I16" s="223"/>
      <c r="J16" s="223"/>
      <c r="K16" s="223"/>
      <c r="L16" s="223"/>
      <c r="M16" s="223"/>
    </row>
    <row r="17" spans="1:13" ht="15">
      <c r="A17" s="216"/>
      <c r="B17" s="221">
        <v>4.8</v>
      </c>
      <c r="C17" s="225" t="s">
        <v>72</v>
      </c>
      <c r="D17" s="224"/>
      <c r="E17" s="224"/>
      <c r="F17" s="224"/>
      <c r="G17" s="224"/>
      <c r="H17" s="224"/>
      <c r="I17" s="224"/>
      <c r="J17" s="224"/>
      <c r="K17" s="224"/>
      <c r="L17" s="224"/>
      <c r="M17" s="224"/>
    </row>
    <row r="18" spans="1:13" ht="15">
      <c r="A18" s="216"/>
      <c r="B18" s="221">
        <v>5.5</v>
      </c>
      <c r="C18" s="226" t="s">
        <v>96</v>
      </c>
      <c r="D18" s="223"/>
      <c r="E18" s="223"/>
      <c r="F18" s="223"/>
      <c r="G18" s="223"/>
      <c r="H18" s="223"/>
      <c r="I18" s="223"/>
      <c r="J18" s="223"/>
      <c r="K18" s="223"/>
      <c r="L18" s="223"/>
      <c r="M18" s="223"/>
    </row>
    <row r="19" spans="1:13" ht="15">
      <c r="A19" s="216"/>
      <c r="B19" s="221">
        <v>3.3</v>
      </c>
      <c r="C19" s="231" t="s">
        <v>74</v>
      </c>
      <c r="D19" s="224"/>
      <c r="E19" s="224"/>
      <c r="F19" s="224"/>
      <c r="G19" s="224"/>
      <c r="H19" s="224"/>
      <c r="I19" s="224"/>
      <c r="J19" s="224"/>
      <c r="K19" s="224"/>
      <c r="L19" s="224"/>
      <c r="M19" s="224"/>
    </row>
    <row r="20" spans="1:13" ht="15">
      <c r="A20" s="216"/>
      <c r="B20" s="221">
        <v>3.3</v>
      </c>
      <c r="C20" s="229" t="s">
        <v>97</v>
      </c>
      <c r="D20" s="223"/>
      <c r="E20" s="223"/>
      <c r="F20" s="223"/>
      <c r="G20" s="223"/>
      <c r="H20" s="223"/>
      <c r="I20" s="223"/>
      <c r="J20" s="223"/>
      <c r="K20" s="223"/>
      <c r="L20" s="223"/>
      <c r="M20" s="223"/>
    </row>
    <row r="21" spans="1:13" ht="15">
      <c r="A21" s="216"/>
      <c r="B21" s="221">
        <v>5.5</v>
      </c>
      <c r="C21" s="227" t="s">
        <v>76</v>
      </c>
      <c r="D21" s="224"/>
      <c r="E21" s="224"/>
      <c r="F21" s="224"/>
      <c r="G21" s="224"/>
      <c r="H21" s="224"/>
      <c r="I21" s="224"/>
      <c r="J21" s="224"/>
      <c r="K21" s="224"/>
      <c r="L21" s="224"/>
      <c r="M21" s="224"/>
    </row>
    <row r="22" spans="1:13" ht="15">
      <c r="A22" s="216"/>
      <c r="B22" s="221">
        <v>3.3</v>
      </c>
      <c r="C22" s="230" t="s">
        <v>98</v>
      </c>
      <c r="D22" s="223"/>
      <c r="E22" s="223"/>
      <c r="F22" s="223"/>
      <c r="G22" s="223"/>
      <c r="H22" s="223"/>
      <c r="I22" s="223"/>
      <c r="J22" s="223"/>
      <c r="K22" s="223"/>
      <c r="L22" s="223"/>
      <c r="M22" s="223"/>
    </row>
    <row r="23" spans="1:13" ht="15">
      <c r="A23" s="216"/>
      <c r="B23" s="221">
        <v>7.5</v>
      </c>
      <c r="C23" s="228" t="s">
        <v>83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4"/>
    </row>
    <row r="24" spans="1:13" s="220" customFormat="1" ht="15.6">
      <c r="A24" s="217"/>
      <c r="B24" s="217"/>
      <c r="C24" s="233" t="s">
        <v>99</v>
      </c>
      <c r="D24" s="234"/>
      <c r="E24" s="234"/>
      <c r="F24" s="234"/>
      <c r="G24" s="234"/>
      <c r="H24" s="234"/>
      <c r="I24" s="234"/>
      <c r="J24" s="234"/>
      <c r="K24" s="234"/>
      <c r="L24" s="234"/>
      <c r="M24" s="234"/>
    </row>
    <row r="25" spans="1:13" ht="15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</row>
    <row r="26" spans="1:13" ht="15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</row>
    <row r="27" spans="1:13" ht="15.6">
      <c r="A27" s="216"/>
      <c r="B27" s="697" t="s">
        <v>101</v>
      </c>
      <c r="C27" s="697"/>
      <c r="D27" s="697"/>
      <c r="E27" s="216"/>
      <c r="F27" s="216"/>
      <c r="G27" s="216"/>
      <c r="H27" s="216"/>
      <c r="I27" s="216"/>
      <c r="J27" s="216"/>
      <c r="K27" s="216"/>
    </row>
    <row r="28" spans="1:13" ht="15.6">
      <c r="A28" s="216"/>
      <c r="B28" s="218" t="s">
        <v>84</v>
      </c>
      <c r="C28" s="236" t="s">
        <v>85</v>
      </c>
      <c r="D28" s="219" t="s">
        <v>86</v>
      </c>
      <c r="E28" s="219" t="s">
        <v>87</v>
      </c>
      <c r="F28" s="219" t="s">
        <v>88</v>
      </c>
      <c r="G28" s="219" t="s">
        <v>89</v>
      </c>
      <c r="H28" s="219" t="s">
        <v>90</v>
      </c>
      <c r="I28" s="219" t="s">
        <v>91</v>
      </c>
      <c r="J28" s="219" t="s">
        <v>92</v>
      </c>
      <c r="K28" s="219" t="s">
        <v>93</v>
      </c>
      <c r="L28" s="219" t="s">
        <v>94</v>
      </c>
      <c r="M28" s="219" t="s">
        <v>95</v>
      </c>
    </row>
    <row r="29" spans="1:13" ht="15">
      <c r="A29" s="216"/>
      <c r="B29" s="221">
        <v>4.5999999999999996</v>
      </c>
      <c r="C29" s="237" t="s">
        <v>64</v>
      </c>
      <c r="D29" s="223"/>
      <c r="E29" s="223"/>
      <c r="F29" s="223"/>
      <c r="G29" s="223"/>
      <c r="H29" s="223"/>
      <c r="I29" s="223"/>
      <c r="J29" s="238"/>
      <c r="K29" s="238"/>
      <c r="L29" s="238"/>
      <c r="M29" s="238"/>
    </row>
    <row r="30" spans="1:13" ht="15">
      <c r="A30" s="216"/>
      <c r="B30" s="221">
        <v>4.5999999999999996</v>
      </c>
      <c r="C30" s="239" t="s">
        <v>72</v>
      </c>
      <c r="D30" s="224"/>
      <c r="E30" s="224"/>
      <c r="F30" s="224"/>
      <c r="G30" s="224"/>
      <c r="H30" s="224"/>
      <c r="I30" s="224"/>
      <c r="J30" s="240"/>
      <c r="K30" s="240"/>
      <c r="L30" s="240"/>
      <c r="M30" s="240"/>
    </row>
    <row r="31" spans="1:13" ht="15">
      <c r="A31" s="216"/>
      <c r="B31" s="221">
        <v>5</v>
      </c>
      <c r="C31" s="241" t="s">
        <v>96</v>
      </c>
      <c r="D31" s="223"/>
      <c r="E31" s="223"/>
      <c r="F31" s="223"/>
      <c r="G31" s="223"/>
      <c r="H31" s="223"/>
      <c r="I31" s="223"/>
      <c r="J31" s="238"/>
      <c r="K31" s="238"/>
      <c r="L31" s="238"/>
      <c r="M31" s="238"/>
    </row>
    <row r="32" spans="1:13" ht="15">
      <c r="A32" s="216"/>
      <c r="B32" s="221">
        <v>5</v>
      </c>
      <c r="C32" s="242" t="s">
        <v>76</v>
      </c>
      <c r="D32" s="224"/>
      <c r="E32" s="224"/>
      <c r="F32" s="224"/>
      <c r="G32" s="224"/>
      <c r="H32" s="224"/>
      <c r="I32" s="224"/>
      <c r="J32" s="240"/>
      <c r="K32" s="240"/>
      <c r="L32" s="240"/>
      <c r="M32" s="240"/>
    </row>
    <row r="33" spans="1:13" ht="15">
      <c r="A33" s="216"/>
      <c r="B33" s="221">
        <v>7.5</v>
      </c>
      <c r="C33" s="243" t="s">
        <v>83</v>
      </c>
      <c r="D33" s="223"/>
      <c r="E33" s="223"/>
      <c r="F33" s="223"/>
      <c r="G33" s="223"/>
      <c r="H33" s="223"/>
      <c r="I33" s="223"/>
      <c r="J33" s="223"/>
      <c r="K33" s="223"/>
      <c r="L33" s="223"/>
      <c r="M33" s="244"/>
    </row>
    <row r="34" spans="1:13" ht="15">
      <c r="A34" s="216"/>
      <c r="B34" s="221">
        <v>3.3</v>
      </c>
      <c r="C34" s="245" t="s">
        <v>97</v>
      </c>
      <c r="D34" s="224"/>
      <c r="E34" s="224"/>
      <c r="F34" s="224"/>
      <c r="G34" s="224"/>
      <c r="H34" s="224"/>
      <c r="I34" s="224"/>
      <c r="J34" s="224"/>
      <c r="K34" s="224"/>
      <c r="L34" s="224"/>
      <c r="M34" s="246"/>
    </row>
    <row r="35" spans="1:13" ht="15">
      <c r="A35" s="216"/>
      <c r="B35" s="221">
        <v>3.3</v>
      </c>
      <c r="C35" s="247" t="s">
        <v>98</v>
      </c>
      <c r="D35" s="223"/>
      <c r="E35" s="223"/>
      <c r="F35" s="223"/>
      <c r="G35" s="223"/>
      <c r="H35" s="223"/>
      <c r="I35" s="223"/>
      <c r="J35" s="238"/>
      <c r="K35" s="238"/>
      <c r="L35" s="238"/>
      <c r="M35" s="238"/>
    </row>
    <row r="36" spans="1:13" ht="15">
      <c r="A36" s="216"/>
      <c r="B36" s="221">
        <v>3.3</v>
      </c>
      <c r="C36" s="248" t="s">
        <v>74</v>
      </c>
      <c r="D36" s="224"/>
      <c r="E36" s="224"/>
      <c r="F36" s="224"/>
      <c r="G36" s="224"/>
      <c r="H36" s="224"/>
      <c r="I36" s="224"/>
      <c r="J36" s="240"/>
      <c r="K36" s="240"/>
      <c r="L36" s="240"/>
      <c r="M36" s="240"/>
    </row>
    <row r="37" spans="1:13" ht="15.6">
      <c r="A37" s="216"/>
      <c r="B37" s="232">
        <v>4.5</v>
      </c>
      <c r="C37" s="249" t="s">
        <v>99</v>
      </c>
      <c r="D37" s="234"/>
      <c r="E37" s="234"/>
      <c r="F37" s="234"/>
      <c r="G37" s="234"/>
      <c r="H37" s="234"/>
      <c r="I37" s="234"/>
      <c r="J37" s="250"/>
      <c r="K37" s="250"/>
      <c r="L37" s="250"/>
      <c r="M37" s="250"/>
    </row>
    <row r="38" spans="1:13" ht="15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</row>
    <row r="3" spans="3:23" ht="25.35" customHeight="1" thickTop="1" thickBot="1">
      <c r="C3" s="699" t="s">
        <v>102</v>
      </c>
      <c r="D3" s="700"/>
      <c r="E3" s="701">
        <f ca="1">TODAY()</f>
        <v>45720</v>
      </c>
      <c r="F3" s="701"/>
      <c r="G3" s="701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3"/>
    </row>
    <row r="4" spans="3:23" ht="20.100000000000001" customHeight="1" thickBot="1">
      <c r="C4" s="254" t="s">
        <v>103</v>
      </c>
      <c r="D4" s="255" t="s">
        <v>104</v>
      </c>
      <c r="E4" s="255" t="s">
        <v>37</v>
      </c>
      <c r="F4" s="256" t="s">
        <v>38</v>
      </c>
      <c r="G4" s="257" t="s">
        <v>84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3"/>
    </row>
    <row r="5" spans="3:23" ht="20.100000000000001" customHeight="1">
      <c r="C5" s="258" t="s">
        <v>105</v>
      </c>
      <c r="D5" s="259"/>
      <c r="E5" s="260">
        <f>VLOOKUP($C5,$C$40:$P$45,7,FALSE)</f>
        <v>98.214734207097663</v>
      </c>
      <c r="F5" s="261">
        <f>VLOOKUP($C5,$C$40:$P$45,14,FALSE)</f>
        <v>97.953297795741619</v>
      </c>
      <c r="G5" s="262">
        <v>98</v>
      </c>
      <c r="I5" s="252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52"/>
      <c r="V5" s="252"/>
      <c r="W5" s="253"/>
    </row>
    <row r="6" spans="3:23" ht="20.100000000000001" customHeight="1">
      <c r="C6" s="264" t="s">
        <v>106</v>
      </c>
      <c r="D6" s="259"/>
      <c r="E6" s="260">
        <f>VLOOKUP($C6,$C$40:$P$45,7,FALSE)</f>
        <v>97.831216272750581</v>
      </c>
      <c r="F6" s="261">
        <f>VLOOKUP($C6,$C$40:$P$45,14,FALSE)</f>
        <v>98.11994120800415</v>
      </c>
      <c r="G6" s="262">
        <v>98</v>
      </c>
      <c r="I6" s="252"/>
      <c r="J6" s="301"/>
      <c r="K6" s="300"/>
      <c r="L6" s="263"/>
      <c r="M6" s="263"/>
      <c r="N6" s="263"/>
      <c r="O6" s="263"/>
      <c r="P6" s="263"/>
      <c r="Q6" s="263"/>
      <c r="R6" s="263"/>
      <c r="S6" s="263"/>
      <c r="T6" s="263"/>
      <c r="U6" s="252"/>
      <c r="V6" s="252"/>
      <c r="W6" s="253"/>
    </row>
    <row r="7" spans="3:23" ht="20.100000000000001" customHeight="1">
      <c r="C7" s="264" t="s">
        <v>107</v>
      </c>
      <c r="D7" s="259"/>
      <c r="E7" s="260">
        <f>VLOOKUP($C7,$C$40:$P$45,7,FALSE)</f>
        <v>100.82497251003979</v>
      </c>
      <c r="F7" s="261">
        <f>VLOOKUP($C7,$C$40:$P$45,14,FALSE)</f>
        <v>99.564987122246436</v>
      </c>
      <c r="G7" s="262">
        <v>98</v>
      </c>
      <c r="I7" s="252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52"/>
      <c r="V7" s="252"/>
      <c r="W7" s="253"/>
    </row>
    <row r="8" spans="3:23" ht="20.100000000000001" customHeight="1">
      <c r="C8" s="264" t="s">
        <v>108</v>
      </c>
      <c r="D8" s="259"/>
      <c r="E8" s="260">
        <f>VLOOKUP($C8,$C$40:$P$45,7,FALSE)</f>
        <v>97.759800403711807</v>
      </c>
      <c r="F8" s="261">
        <f>VLOOKUP($C8,$C$40:$P$45,14,FALSE)</f>
        <v>98.122212110291372</v>
      </c>
      <c r="G8" s="262">
        <v>98</v>
      </c>
      <c r="I8" s="252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52"/>
      <c r="V8" s="252"/>
      <c r="W8" s="253"/>
    </row>
    <row r="9" spans="3:23" ht="20.100000000000001" customHeight="1">
      <c r="C9" s="264" t="s">
        <v>132</v>
      </c>
      <c r="D9" s="259"/>
      <c r="E9" s="260">
        <f>VLOOKUP($C9,$C$40:$P$45,7,FALSE)</f>
        <v>98.186950219332687</v>
      </c>
      <c r="F9" s="261">
        <f>VLOOKUP($C9,$C$40:$P$45,14,FALSE)</f>
        <v>98.089602299246422</v>
      </c>
      <c r="G9" s="262">
        <v>98</v>
      </c>
      <c r="I9" s="252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52"/>
      <c r="V9" s="252"/>
      <c r="W9" s="253"/>
    </row>
    <row r="10" spans="3:23" ht="18.600000000000001" thickBot="1">
      <c r="C10" s="265" t="s">
        <v>99</v>
      </c>
      <c r="D10" s="266"/>
      <c r="E10" s="266">
        <f>AVERAGE(E5:E9)</f>
        <v>98.56353472258651</v>
      </c>
      <c r="F10" s="299" t="e">
        <f>P47</f>
        <v>#DIV/0!</v>
      </c>
      <c r="G10" s="262">
        <v>98</v>
      </c>
      <c r="I10" s="252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52"/>
      <c r="V10" s="252"/>
      <c r="W10" s="253"/>
    </row>
    <row r="14" spans="3:23" ht="20.25" customHeight="1">
      <c r="C14" s="702" t="s">
        <v>143</v>
      </c>
      <c r="D14" s="702"/>
      <c r="E14" s="702"/>
      <c r="F14" s="702"/>
      <c r="G14" s="702"/>
      <c r="H14" s="702"/>
    </row>
    <row r="15" spans="3:23" ht="15" customHeight="1">
      <c r="C15" s="702"/>
      <c r="D15" s="702"/>
      <c r="E15" s="702"/>
      <c r="F15" s="702"/>
      <c r="G15" s="702"/>
      <c r="H15" s="702"/>
    </row>
    <row r="16" spans="3:23" ht="15" customHeight="1">
      <c r="C16" s="702"/>
      <c r="D16" s="702"/>
      <c r="E16" s="702"/>
      <c r="F16" s="702"/>
      <c r="G16" s="702"/>
      <c r="H16" s="702"/>
    </row>
    <row r="17" spans="3:8" ht="15" customHeight="1">
      <c r="C17" s="702"/>
      <c r="D17" s="702"/>
      <c r="E17" s="702"/>
      <c r="F17" s="702"/>
      <c r="G17" s="702"/>
      <c r="H17" s="702"/>
    </row>
    <row r="18" spans="3:8" ht="15" customHeight="1">
      <c r="C18" s="702"/>
      <c r="D18" s="702"/>
      <c r="E18" s="702"/>
      <c r="F18" s="702"/>
      <c r="G18" s="702"/>
      <c r="H18" s="702"/>
    </row>
    <row r="19" spans="3:8" ht="15" customHeight="1">
      <c r="C19" s="702"/>
      <c r="D19" s="702"/>
      <c r="E19" s="702"/>
      <c r="F19" s="702"/>
      <c r="G19" s="702"/>
      <c r="H19" s="702"/>
    </row>
    <row r="20" spans="3:8" ht="15" customHeight="1">
      <c r="C20" s="702"/>
      <c r="D20" s="702"/>
      <c r="E20" s="702"/>
      <c r="F20" s="702"/>
      <c r="G20" s="702"/>
      <c r="H20" s="702"/>
    </row>
    <row r="21" spans="3:8" ht="15" customHeight="1">
      <c r="C21" s="702"/>
      <c r="D21" s="702"/>
      <c r="E21" s="702"/>
      <c r="F21" s="702"/>
      <c r="G21" s="702"/>
      <c r="H21" s="702"/>
    </row>
    <row r="22" spans="3:8" ht="15" customHeight="1">
      <c r="C22" s="702"/>
      <c r="D22" s="702"/>
      <c r="E22" s="702"/>
      <c r="F22" s="702"/>
      <c r="G22" s="702"/>
      <c r="H22" s="702"/>
    </row>
    <row r="23" spans="3:8" ht="15" customHeight="1">
      <c r="C23" s="702"/>
      <c r="D23" s="702"/>
      <c r="E23" s="702"/>
      <c r="F23" s="702"/>
      <c r="G23" s="702"/>
      <c r="H23" s="702"/>
    </row>
    <row r="24" spans="3:8" ht="15" customHeight="1">
      <c r="C24" s="702"/>
      <c r="D24" s="702"/>
      <c r="E24" s="702"/>
      <c r="F24" s="702"/>
      <c r="G24" s="702"/>
      <c r="H24" s="702"/>
    </row>
    <row r="25" spans="3:8" ht="15" customHeight="1">
      <c r="C25" s="702"/>
      <c r="D25" s="702"/>
      <c r="E25" s="702"/>
      <c r="F25" s="702"/>
      <c r="G25" s="702"/>
      <c r="H25" s="702"/>
    </row>
    <row r="26" spans="3:8" ht="15" customHeight="1">
      <c r="C26" s="702"/>
      <c r="D26" s="702"/>
      <c r="E26" s="702"/>
      <c r="F26" s="702"/>
      <c r="G26" s="702"/>
      <c r="H26" s="702"/>
    </row>
    <row r="27" spans="3:8" ht="15" customHeight="1">
      <c r="C27" s="702"/>
      <c r="D27" s="702"/>
      <c r="E27" s="702"/>
      <c r="F27" s="702"/>
      <c r="G27" s="702"/>
      <c r="H27" s="702"/>
    </row>
    <row r="28" spans="3:8" ht="15" customHeight="1">
      <c r="C28" s="702"/>
      <c r="D28" s="702"/>
      <c r="E28" s="702"/>
      <c r="F28" s="702"/>
      <c r="G28" s="702"/>
      <c r="H28" s="702"/>
    </row>
    <row r="29" spans="3:8" ht="15" customHeight="1">
      <c r="C29" s="702"/>
      <c r="D29" s="702"/>
      <c r="E29" s="702"/>
      <c r="F29" s="702"/>
      <c r="G29" s="702"/>
      <c r="H29" s="702"/>
    </row>
    <row r="30" spans="3:8" ht="15" customHeight="1">
      <c r="C30" s="702"/>
      <c r="D30" s="702"/>
      <c r="E30" s="702"/>
      <c r="F30" s="702"/>
      <c r="G30" s="702"/>
      <c r="H30" s="702"/>
    </row>
    <row r="31" spans="3:8" ht="15" customHeight="1">
      <c r="C31" s="702"/>
      <c r="D31" s="702"/>
      <c r="E31" s="702"/>
      <c r="F31" s="702"/>
      <c r="G31" s="702"/>
      <c r="H31" s="702"/>
    </row>
    <row r="36" spans="2:17" ht="15" customHeight="1"/>
    <row r="37" spans="2:17" ht="15" customHeight="1"/>
    <row r="38" spans="2:17" ht="30.75" customHeight="1" thickBot="1">
      <c r="C38" s="703" t="s">
        <v>109</v>
      </c>
      <c r="D38" s="703"/>
      <c r="E38" s="703"/>
      <c r="F38" s="704">
        <f ca="1">TODAY()</f>
        <v>45720</v>
      </c>
      <c r="G38" s="704"/>
      <c r="H38" s="704"/>
      <c r="I38" s="704"/>
      <c r="J38" s="705" t="s">
        <v>110</v>
      </c>
      <c r="K38" s="705"/>
      <c r="L38" s="705"/>
      <c r="M38" s="705"/>
      <c r="N38" s="705"/>
      <c r="O38" s="705"/>
      <c r="P38" s="705"/>
    </row>
    <row r="39" spans="2:17" ht="20.25" customHeight="1" thickBot="1">
      <c r="C39" s="254" t="s">
        <v>103</v>
      </c>
      <c r="D39" s="255" t="s">
        <v>111</v>
      </c>
      <c r="E39" s="255" t="s">
        <v>112</v>
      </c>
      <c r="F39" s="255" t="s">
        <v>113</v>
      </c>
      <c r="G39" s="255" t="s">
        <v>114</v>
      </c>
      <c r="H39" s="255" t="s">
        <v>115</v>
      </c>
      <c r="I39" s="255" t="s">
        <v>116</v>
      </c>
      <c r="J39" s="256" t="s">
        <v>117</v>
      </c>
      <c r="K39" s="256" t="s">
        <v>118</v>
      </c>
      <c r="L39" s="256" t="s">
        <v>119</v>
      </c>
      <c r="M39" s="256" t="s">
        <v>120</v>
      </c>
      <c r="N39" s="256" t="s">
        <v>121</v>
      </c>
      <c r="O39" s="256" t="s">
        <v>122</v>
      </c>
      <c r="P39" s="267" t="s">
        <v>38</v>
      </c>
    </row>
    <row r="40" spans="2:17" ht="17.25" customHeight="1">
      <c r="C40" s="258" t="s">
        <v>105</v>
      </c>
      <c r="D40" s="260">
        <f>'[40]Brewer Performance'!D40</f>
        <v>96.507822129582451</v>
      </c>
      <c r="E40" s="260">
        <f>AVERAGE('[41]Feb. 1'!I12:I13,'[41]Feb. 2'!I11:I14,[41]Feb.4!I13,[41]Feb.8!I14:I16,[41]Feb.9!I14,[41]Feb.9!I17:I18,[41]Feb10!I13:I16,[41]Feb14!I17,[41]Feb14!I15:I17,[41]Feb17!I10,[41]Feb17!I19:I21,'[41]Feb 21'!I10:I12,'[41]Feb 22'!I11:I13,'[41]Feb 23'!I14:I16,'[41]Feb 24'!I10:I12,'[41]Feb 25'!I13:I15,'[41]Feb 28'!I15:I18)</f>
        <v>98.284801217583563</v>
      </c>
      <c r="F40" s="260">
        <v>98.226686244092193</v>
      </c>
      <c r="G40" s="260">
        <v>98.210530202427222</v>
      </c>
      <c r="H40" s="260">
        <f>'[42]Brewer Performance'!H40</f>
        <v>98.517352497406634</v>
      </c>
      <c r="I40" s="260">
        <v>98.214734207097663</v>
      </c>
      <c r="J40" s="259">
        <v>98.198803831827249</v>
      </c>
      <c r="K40" s="268">
        <v>97.486490472733735</v>
      </c>
      <c r="L40" s="259">
        <v>97.932459358923822</v>
      </c>
      <c r="M40" s="332"/>
      <c r="N40" s="332"/>
      <c r="O40" s="259"/>
      <c r="P40" s="269">
        <f t="shared" ref="P40:P45" si="0">AVERAGE(D40:O40)</f>
        <v>97.953297795741619</v>
      </c>
    </row>
    <row r="41" spans="2:17" ht="17.25" customHeight="1">
      <c r="C41" s="264" t="s">
        <v>106</v>
      </c>
      <c r="D41" s="260">
        <f>'[40]Brewer Performance'!D41</f>
        <v>97.99738587335284</v>
      </c>
      <c r="E41" s="260">
        <f>AVERAGE('[41]Feb. 1'!I10:I11,'[41]Feb. 2'!I10,[41]Feb.3!I11:I13,[41]Feb.4!I10:I12,[41]Feb.8!I10,[41]Feb.8!I13,[41]Feb.9!I10:I13,[41]Feb10!I10:I12,[41]Feb11!I11:I13,[41]Feb14!I13:I14,[41]Feb17!I16:I18,[41]Feb18!I13:I15,'[41]Feb 21'!I17:I19,'[41]Feb 22'!I10,'[41]Feb 22'!I20:I22,'[41]Feb 23'!I10:I11,'[41]Feb 23'!I21,'[41]Feb 25'!I10:I12,'[41]Feb 28'!I11:I14)</f>
        <v>97.918121549662388</v>
      </c>
      <c r="F41" s="260">
        <v>98.070081368185257</v>
      </c>
      <c r="G41" s="260">
        <v>97.79453968977019</v>
      </c>
      <c r="H41" s="260">
        <f>'[42]Brewer Performance'!H41</f>
        <v>98.442574874312371</v>
      </c>
      <c r="I41" s="260">
        <v>97.831216272750581</v>
      </c>
      <c r="J41" s="259">
        <v>98.459260197488078</v>
      </c>
      <c r="K41" s="268">
        <v>98.711428992063503</v>
      </c>
      <c r="L41" s="259">
        <v>97.854862054451985</v>
      </c>
      <c r="M41" s="333"/>
      <c r="N41" s="332"/>
      <c r="O41" s="259"/>
      <c r="P41" s="269">
        <f t="shared" si="0"/>
        <v>98.11994120800415</v>
      </c>
    </row>
    <row r="42" spans="2:17" ht="17.25" customHeight="1">
      <c r="C42" s="264" t="s">
        <v>107</v>
      </c>
      <c r="D42" s="260"/>
      <c r="E42" s="260"/>
      <c r="F42" s="260"/>
      <c r="G42" s="260">
        <v>98.305001734453086</v>
      </c>
      <c r="H42" s="260"/>
      <c r="I42" s="260">
        <v>100.82497251003979</v>
      </c>
      <c r="J42" s="259"/>
      <c r="K42" s="268"/>
      <c r="L42" s="259"/>
      <c r="M42" s="332"/>
      <c r="N42" s="332"/>
      <c r="O42" s="259"/>
      <c r="P42" s="269">
        <f t="shared" si="0"/>
        <v>99.564987122246436</v>
      </c>
    </row>
    <row r="43" spans="2:17" ht="17.25" customHeight="1">
      <c r="C43" s="264" t="s">
        <v>141</v>
      </c>
      <c r="D43" s="260"/>
      <c r="E43" s="260"/>
      <c r="F43" s="260"/>
      <c r="G43" s="260"/>
      <c r="H43" s="260"/>
      <c r="I43" s="260"/>
      <c r="J43" s="259"/>
      <c r="K43" s="268">
        <v>100.09286182555712</v>
      </c>
      <c r="L43" s="259"/>
      <c r="M43" s="332"/>
      <c r="N43" s="332"/>
      <c r="O43" s="259"/>
      <c r="P43" s="269"/>
    </row>
    <row r="44" spans="2:17" ht="17.25" customHeight="1">
      <c r="C44" s="264" t="s">
        <v>108</v>
      </c>
      <c r="D44" s="260">
        <f>'[40]Brewer Performance'!D43</f>
        <v>98.304611060419475</v>
      </c>
      <c r="E44" s="260">
        <f>AVERAGE('[41]Feb. 2'!I15,[41]Feb.3!I10,[41]Feb.4!I16:I17,[41]Feb.8!I19:I21,[41]Feb.9!I19:I20,[41]Feb10!I17:I18,[41]Feb11!I10,[41]Feb14!I10:I12,[41]Feb17!I11:I13,[41]Feb18!I10:I12,'[41]Feb 21'!I13,'[41]Feb 21'!I16,'[41]Feb 22'!I16:I19,'[41]Feb 23'!I17:I20,'[41]Feb 24'!I15:I18,'[41]Feb 25'!I16:I17,'[41]Feb 28'!I10,'[41]Feb 28'!I19:I20)</f>
        <v>97.289162940824014</v>
      </c>
      <c r="F44" s="260">
        <v>98.163642226187022</v>
      </c>
      <c r="G44" s="260">
        <v>97.964054285784258</v>
      </c>
      <c r="H44" s="260">
        <f>'[42]Brewer Performance'!H43</f>
        <v>98.685415156420575</v>
      </c>
      <c r="I44" s="260">
        <v>97.759800403711807</v>
      </c>
      <c r="J44" s="259">
        <v>98.532266745142223</v>
      </c>
      <c r="K44" s="259">
        <v>98.484140672420295</v>
      </c>
      <c r="L44" s="259">
        <v>97.916815501712691</v>
      </c>
      <c r="M44" s="332"/>
      <c r="N44" s="332"/>
      <c r="O44" s="259"/>
      <c r="P44" s="269">
        <f t="shared" si="0"/>
        <v>98.122212110291372</v>
      </c>
    </row>
    <row r="45" spans="2:17" ht="17.25" customHeight="1">
      <c r="C45" s="264" t="s">
        <v>132</v>
      </c>
      <c r="D45" s="260">
        <f>'[40]Brewer Performance'!D44</f>
        <v>98.673584433402866</v>
      </c>
      <c r="E45" s="260"/>
      <c r="F45" s="260"/>
      <c r="G45" s="260"/>
      <c r="H45" s="260"/>
      <c r="I45" s="260">
        <v>98.186950219332687</v>
      </c>
      <c r="J45" s="259">
        <v>97.888270164748889</v>
      </c>
      <c r="K45" s="259">
        <v>97.609604379501235</v>
      </c>
      <c r="L45" s="259"/>
      <c r="M45" s="332"/>
      <c r="N45" s="332"/>
      <c r="O45" s="259"/>
      <c r="P45" s="269">
        <f t="shared" si="0"/>
        <v>98.089602299246422</v>
      </c>
    </row>
    <row r="46" spans="2:17" ht="17.25" customHeight="1">
      <c r="C46" s="317" t="s">
        <v>140</v>
      </c>
      <c r="D46" s="318"/>
      <c r="E46" s="318"/>
      <c r="F46" s="318"/>
      <c r="G46" s="318"/>
      <c r="H46" s="318"/>
      <c r="I46" s="318"/>
      <c r="J46" s="319"/>
      <c r="K46" s="319"/>
      <c r="L46" s="319">
        <v>97.511448216434601</v>
      </c>
      <c r="M46" s="334"/>
      <c r="N46" s="334"/>
      <c r="O46" s="319"/>
      <c r="P46" s="320"/>
    </row>
    <row r="47" spans="2:17" ht="14.25" customHeight="1" thickBot="1">
      <c r="C47" s="270" t="s">
        <v>99</v>
      </c>
      <c r="D47" s="271">
        <f>'[40]Brewer Performance'!D45</f>
        <v>97.870850874189415</v>
      </c>
      <c r="E47" s="271">
        <f>AVERAGE(E40:E45)</f>
        <v>97.830695236023317</v>
      </c>
      <c r="F47" s="271">
        <f>AVERAGE(F40:F45)</f>
        <v>98.153469946154814</v>
      </c>
      <c r="G47" s="271">
        <f>AVERAGE(G40:G45)</f>
        <v>98.068531478108682</v>
      </c>
      <c r="H47" s="271">
        <f>AVERAGE(H40:H45)</f>
        <v>98.548447509379855</v>
      </c>
      <c r="I47" s="271">
        <f>AVERAGE(I40:I45)</f>
        <v>98.56353472258651</v>
      </c>
      <c r="J47" s="271">
        <f t="shared" ref="J47:O47" si="1">AVERAGE(J40:J45)</f>
        <v>98.269650234801617</v>
      </c>
      <c r="K47" s="271">
        <f t="shared" si="1"/>
        <v>98.47690526845517</v>
      </c>
      <c r="L47" s="271">
        <f t="shared" si="1"/>
        <v>97.901378971696161</v>
      </c>
      <c r="M47" s="271" t="e">
        <f t="shared" si="1"/>
        <v>#DIV/0!</v>
      </c>
      <c r="N47" s="271" t="e">
        <f t="shared" si="1"/>
        <v>#DIV/0!</v>
      </c>
      <c r="O47" s="271" t="e">
        <f t="shared" si="1"/>
        <v>#DIV/0!</v>
      </c>
      <c r="P47" s="272" t="e">
        <f>AVERAGE(D47:N47)</f>
        <v>#DIV/0!</v>
      </c>
    </row>
    <row r="48" spans="2:17" ht="15" customHeight="1">
      <c r="B48" s="698" t="s">
        <v>123</v>
      </c>
      <c r="C48" s="698"/>
      <c r="D48" s="698"/>
      <c r="E48" s="698"/>
      <c r="F48" s="698"/>
      <c r="G48" s="698"/>
      <c r="H48" s="698"/>
      <c r="I48" s="698"/>
      <c r="J48" s="698"/>
      <c r="K48" s="698"/>
      <c r="L48" s="698"/>
      <c r="M48" s="698"/>
      <c r="N48" s="698"/>
      <c r="O48" s="698"/>
      <c r="P48" s="698"/>
      <c r="Q48" s="698"/>
    </row>
    <row r="49" spans="2:17" ht="15" customHeight="1">
      <c r="B49" s="698"/>
      <c r="C49" s="698"/>
      <c r="D49" s="698"/>
      <c r="E49" s="698"/>
      <c r="F49" s="698"/>
      <c r="G49" s="698"/>
      <c r="H49" s="698"/>
      <c r="I49" s="698"/>
      <c r="J49" s="698"/>
      <c r="K49" s="698"/>
      <c r="L49" s="698"/>
      <c r="M49" s="698"/>
      <c r="N49" s="698"/>
      <c r="O49" s="698"/>
      <c r="P49" s="698"/>
      <c r="Q49" s="698"/>
    </row>
    <row r="50" spans="2:17" ht="15" customHeight="1">
      <c r="B50" s="698"/>
      <c r="C50" s="698"/>
      <c r="D50" s="698"/>
      <c r="E50" s="698"/>
      <c r="F50" s="698"/>
      <c r="G50" s="698"/>
      <c r="H50" s="698"/>
      <c r="I50" s="698"/>
      <c r="J50" s="698"/>
      <c r="K50" s="698"/>
      <c r="L50" s="698"/>
      <c r="M50" s="698"/>
      <c r="N50" s="698"/>
      <c r="O50" s="698"/>
      <c r="P50" s="698"/>
      <c r="Q50" s="698"/>
    </row>
    <row r="51" spans="2:17" ht="15" customHeight="1">
      <c r="B51" s="698"/>
      <c r="C51" s="698"/>
      <c r="D51" s="698"/>
      <c r="E51" s="698"/>
      <c r="F51" s="698"/>
      <c r="G51" s="698"/>
      <c r="H51" s="698"/>
      <c r="I51" s="698"/>
      <c r="J51" s="698"/>
      <c r="K51" s="698"/>
      <c r="L51" s="698"/>
      <c r="M51" s="698"/>
      <c r="N51" s="698"/>
      <c r="O51" s="698"/>
      <c r="P51" s="698"/>
      <c r="Q51" s="698"/>
    </row>
    <row r="52" spans="2:17" ht="15" customHeight="1">
      <c r="B52" s="698"/>
      <c r="C52" s="698"/>
      <c r="D52" s="698"/>
      <c r="E52" s="698"/>
      <c r="F52" s="698"/>
      <c r="G52" s="698"/>
      <c r="H52" s="698"/>
      <c r="I52" s="698"/>
      <c r="J52" s="698"/>
      <c r="K52" s="698"/>
      <c r="L52" s="698"/>
      <c r="M52" s="698"/>
      <c r="N52" s="698"/>
      <c r="O52" s="698"/>
      <c r="P52" s="698"/>
      <c r="Q52" s="698"/>
    </row>
    <row r="53" spans="2:17" ht="15" customHeight="1">
      <c r="B53" s="698"/>
      <c r="C53" s="698"/>
      <c r="D53" s="698"/>
      <c r="E53" s="698"/>
      <c r="F53" s="698"/>
      <c r="G53" s="698"/>
      <c r="H53" s="698"/>
      <c r="I53" s="698"/>
      <c r="J53" s="698"/>
      <c r="K53" s="698"/>
      <c r="L53" s="698"/>
      <c r="M53" s="698"/>
      <c r="N53" s="698"/>
      <c r="O53" s="698"/>
      <c r="P53" s="698"/>
      <c r="Q53" s="698"/>
    </row>
    <row r="54" spans="2:17" ht="15" customHeight="1">
      <c r="B54" s="698"/>
      <c r="C54" s="698"/>
      <c r="D54" s="698"/>
      <c r="E54" s="698"/>
      <c r="F54" s="698"/>
      <c r="G54" s="698"/>
      <c r="H54" s="698"/>
      <c r="I54" s="698"/>
      <c r="J54" s="698"/>
      <c r="K54" s="698"/>
      <c r="L54" s="698"/>
      <c r="M54" s="698"/>
      <c r="N54" s="698"/>
      <c r="O54" s="698"/>
      <c r="P54" s="698"/>
      <c r="Q54" s="698"/>
    </row>
    <row r="55" spans="2:17" ht="15" customHeight="1">
      <c r="B55" s="698"/>
      <c r="C55" s="698"/>
      <c r="D55" s="698"/>
      <c r="E55" s="698"/>
      <c r="F55" s="698"/>
      <c r="G55" s="698"/>
      <c r="H55" s="698"/>
      <c r="I55" s="698"/>
      <c r="J55" s="698"/>
      <c r="K55" s="698"/>
      <c r="L55" s="698"/>
      <c r="M55" s="698"/>
      <c r="N55" s="698"/>
      <c r="O55" s="698"/>
      <c r="P55" s="698"/>
      <c r="Q55" s="698"/>
    </row>
    <row r="56" spans="2:17" ht="15" customHeight="1">
      <c r="B56" s="698"/>
      <c r="C56" s="698"/>
      <c r="D56" s="698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</row>
    <row r="57" spans="2:17" ht="15" customHeight="1">
      <c r="B57" s="698"/>
      <c r="C57" s="698"/>
      <c r="D57" s="698"/>
      <c r="E57" s="698"/>
      <c r="F57" s="698"/>
      <c r="G57" s="698"/>
      <c r="H57" s="698"/>
      <c r="I57" s="698"/>
      <c r="J57" s="698"/>
      <c r="K57" s="698"/>
      <c r="L57" s="698"/>
      <c r="M57" s="698"/>
      <c r="N57" s="698"/>
      <c r="O57" s="698"/>
      <c r="P57" s="698"/>
      <c r="Q57" s="698"/>
    </row>
    <row r="58" spans="2:17" ht="15" customHeight="1">
      <c r="B58" s="698"/>
      <c r="C58" s="698"/>
      <c r="D58" s="698"/>
      <c r="E58" s="698"/>
      <c r="F58" s="698"/>
      <c r="G58" s="698"/>
      <c r="H58" s="698"/>
      <c r="I58" s="698"/>
      <c r="J58" s="698"/>
      <c r="K58" s="698"/>
      <c r="L58" s="698"/>
      <c r="M58" s="698"/>
      <c r="N58" s="698"/>
      <c r="O58" s="698"/>
      <c r="P58" s="698"/>
      <c r="Q58" s="698"/>
    </row>
    <row r="59" spans="2:17" ht="15" customHeight="1">
      <c r="B59" s="698"/>
      <c r="C59" s="698"/>
      <c r="D59" s="698"/>
      <c r="E59" s="698"/>
      <c r="F59" s="698"/>
      <c r="G59" s="698"/>
      <c r="H59" s="698"/>
      <c r="I59" s="698"/>
      <c r="J59" s="698"/>
      <c r="K59" s="698"/>
      <c r="L59" s="698"/>
      <c r="M59" s="698"/>
      <c r="N59" s="698"/>
      <c r="O59" s="698"/>
      <c r="P59" s="698"/>
      <c r="Q59" s="698"/>
    </row>
    <row r="60" spans="2:17" ht="15" customHeight="1">
      <c r="B60" s="698"/>
      <c r="C60" s="698"/>
      <c r="D60" s="698"/>
      <c r="E60" s="698"/>
      <c r="F60" s="698"/>
      <c r="G60" s="698"/>
      <c r="H60" s="698"/>
      <c r="I60" s="698"/>
      <c r="J60" s="698"/>
      <c r="K60" s="698"/>
      <c r="L60" s="698"/>
      <c r="M60" s="698"/>
      <c r="N60" s="698"/>
      <c r="O60" s="698"/>
      <c r="P60" s="698"/>
      <c r="Q60" s="698"/>
    </row>
    <row r="61" spans="2:17" ht="15" customHeight="1">
      <c r="B61" s="698"/>
      <c r="C61" s="698"/>
      <c r="D61" s="698"/>
      <c r="E61" s="698"/>
      <c r="F61" s="698"/>
      <c r="G61" s="698"/>
      <c r="H61" s="698"/>
      <c r="I61" s="698"/>
      <c r="J61" s="698"/>
      <c r="K61" s="698"/>
      <c r="L61" s="698"/>
      <c r="M61" s="698"/>
      <c r="N61" s="698"/>
      <c r="O61" s="698"/>
      <c r="P61" s="698"/>
      <c r="Q61" s="698"/>
    </row>
    <row r="62" spans="2:17" ht="15" customHeight="1">
      <c r="B62" s="698"/>
      <c r="C62" s="698"/>
      <c r="D62" s="698"/>
      <c r="E62" s="698"/>
      <c r="F62" s="698"/>
      <c r="G62" s="698"/>
      <c r="H62" s="698"/>
      <c r="I62" s="698"/>
      <c r="J62" s="698"/>
      <c r="K62" s="698"/>
      <c r="L62" s="698"/>
      <c r="M62" s="698"/>
      <c r="N62" s="698"/>
      <c r="O62" s="698"/>
      <c r="P62" s="698"/>
      <c r="Q62" s="698"/>
    </row>
    <row r="63" spans="2:17" ht="15" customHeight="1">
      <c r="B63" s="698"/>
      <c r="C63" s="698"/>
      <c r="D63" s="698"/>
      <c r="E63" s="698"/>
      <c r="F63" s="698"/>
      <c r="G63" s="698"/>
      <c r="H63" s="698"/>
      <c r="I63" s="698"/>
      <c r="J63" s="698"/>
      <c r="K63" s="698"/>
      <c r="L63" s="698"/>
      <c r="M63" s="698"/>
      <c r="N63" s="698"/>
      <c r="O63" s="698"/>
      <c r="P63" s="698"/>
      <c r="Q63" s="698"/>
    </row>
    <row r="64" spans="2:17" ht="15" customHeight="1">
      <c r="B64" s="698"/>
      <c r="C64" s="698"/>
      <c r="D64" s="698"/>
      <c r="E64" s="698"/>
      <c r="F64" s="698"/>
      <c r="G64" s="698"/>
      <c r="H64" s="698"/>
      <c r="I64" s="698"/>
      <c r="J64" s="698"/>
      <c r="K64" s="698"/>
      <c r="L64" s="698"/>
      <c r="M64" s="698"/>
      <c r="N64" s="698"/>
      <c r="O64" s="698"/>
      <c r="P64" s="698"/>
      <c r="Q64" s="698"/>
    </row>
    <row r="65" spans="2:17" ht="15" customHeight="1">
      <c r="B65" s="698"/>
      <c r="C65" s="698"/>
      <c r="D65" s="698"/>
      <c r="E65" s="698"/>
      <c r="F65" s="698"/>
      <c r="G65" s="698"/>
      <c r="H65" s="698"/>
      <c r="I65" s="698"/>
      <c r="J65" s="698"/>
      <c r="K65" s="698"/>
      <c r="L65" s="698"/>
      <c r="M65" s="698"/>
      <c r="N65" s="698"/>
      <c r="O65" s="698"/>
      <c r="P65" s="698"/>
      <c r="Q65" s="698"/>
    </row>
    <row r="66" spans="2:17" ht="15" customHeight="1">
      <c r="B66" s="698"/>
      <c r="C66" s="698"/>
      <c r="D66" s="698"/>
      <c r="E66" s="698"/>
      <c r="F66" s="698"/>
      <c r="G66" s="698"/>
      <c r="H66" s="698"/>
      <c r="I66" s="698"/>
      <c r="J66" s="698"/>
      <c r="K66" s="698"/>
      <c r="L66" s="698"/>
      <c r="M66" s="698"/>
      <c r="N66" s="698"/>
      <c r="O66" s="698"/>
      <c r="P66" s="698"/>
      <c r="Q66" s="698"/>
    </row>
    <row r="67" spans="2:17" ht="15" customHeight="1">
      <c r="B67" s="698"/>
      <c r="C67" s="698"/>
      <c r="D67" s="698"/>
      <c r="E67" s="698"/>
      <c r="F67" s="698"/>
      <c r="G67" s="698"/>
      <c r="H67" s="698"/>
      <c r="I67" s="698"/>
      <c r="J67" s="698"/>
      <c r="K67" s="698"/>
      <c r="L67" s="698"/>
      <c r="M67" s="698"/>
      <c r="N67" s="698"/>
      <c r="O67" s="698"/>
      <c r="P67" s="698"/>
      <c r="Q67" s="698"/>
    </row>
    <row r="68" spans="2:17" ht="15" customHeight="1">
      <c r="B68" s="698"/>
      <c r="C68" s="698"/>
      <c r="D68" s="698"/>
      <c r="E68" s="698"/>
      <c r="F68" s="698"/>
      <c r="G68" s="698"/>
      <c r="H68" s="698"/>
      <c r="I68" s="698"/>
      <c r="J68" s="698"/>
      <c r="K68" s="698"/>
      <c r="L68" s="698"/>
      <c r="M68" s="698"/>
      <c r="N68" s="698"/>
      <c r="O68" s="698"/>
      <c r="P68" s="698"/>
      <c r="Q68" s="698"/>
    </row>
    <row r="69" spans="2:17" ht="15" customHeight="1">
      <c r="B69" s="698"/>
      <c r="C69" s="698"/>
      <c r="D69" s="698"/>
      <c r="E69" s="698"/>
      <c r="F69" s="698"/>
      <c r="G69" s="698"/>
      <c r="H69" s="698"/>
      <c r="I69" s="698"/>
      <c r="J69" s="698"/>
      <c r="K69" s="698"/>
      <c r="L69" s="698"/>
      <c r="M69" s="698"/>
      <c r="N69" s="698"/>
      <c r="O69" s="698"/>
      <c r="P69" s="698"/>
      <c r="Q69" s="698"/>
    </row>
    <row r="70" spans="2:17" ht="15" customHeight="1">
      <c r="B70" s="698"/>
      <c r="C70" s="698"/>
      <c r="D70" s="698"/>
      <c r="E70" s="698"/>
      <c r="F70" s="698"/>
      <c r="G70" s="698"/>
      <c r="H70" s="698"/>
      <c r="I70" s="698"/>
      <c r="J70" s="698"/>
      <c r="K70" s="698"/>
      <c r="L70" s="698"/>
      <c r="M70" s="698"/>
      <c r="N70" s="698"/>
      <c r="O70" s="698"/>
      <c r="P70" s="698"/>
      <c r="Q70" s="698"/>
    </row>
    <row r="71" spans="2:17" ht="15" customHeight="1">
      <c r="B71" s="698"/>
      <c r="C71" s="698"/>
      <c r="D71" s="698"/>
      <c r="E71" s="698"/>
      <c r="F71" s="698"/>
      <c r="G71" s="698"/>
      <c r="H71" s="698"/>
      <c r="I71" s="698"/>
      <c r="J71" s="698"/>
      <c r="K71" s="698"/>
      <c r="L71" s="698"/>
      <c r="M71" s="698"/>
      <c r="N71" s="698"/>
      <c r="O71" s="698"/>
      <c r="P71" s="698"/>
      <c r="Q71" s="698"/>
    </row>
    <row r="72" spans="2:17" ht="15" customHeight="1">
      <c r="B72" s="698"/>
      <c r="C72" s="698"/>
      <c r="D72" s="698"/>
      <c r="E72" s="698"/>
      <c r="F72" s="698"/>
      <c r="G72" s="698"/>
      <c r="H72" s="698"/>
      <c r="I72" s="698"/>
      <c r="J72" s="698"/>
      <c r="K72" s="698"/>
      <c r="L72" s="698"/>
      <c r="M72" s="698"/>
      <c r="N72" s="698"/>
      <c r="O72" s="698"/>
      <c r="P72" s="698"/>
      <c r="Q72" s="698"/>
    </row>
    <row r="73" spans="2:17" ht="15" customHeight="1">
      <c r="B73" s="698"/>
      <c r="C73" s="698"/>
      <c r="D73" s="698"/>
      <c r="E73" s="698"/>
      <c r="F73" s="698"/>
      <c r="G73" s="698"/>
      <c r="H73" s="698"/>
      <c r="I73" s="698"/>
      <c r="J73" s="698"/>
      <c r="K73" s="698"/>
      <c r="L73" s="698"/>
      <c r="M73" s="698"/>
      <c r="N73" s="698"/>
      <c r="O73" s="698"/>
      <c r="P73" s="698"/>
      <c r="Q73" s="698"/>
    </row>
    <row r="74" spans="2:17" ht="15" customHeight="1"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N74" s="698"/>
      <c r="O74" s="698"/>
      <c r="P74" s="698"/>
      <c r="Q74" s="698"/>
    </row>
    <row r="75" spans="2:17" ht="15" customHeight="1">
      <c r="B75" s="698"/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698"/>
      <c r="O75" s="698"/>
      <c r="P75" s="698"/>
      <c r="Q75" s="698"/>
    </row>
    <row r="76" spans="2:17">
      <c r="B76" s="698"/>
      <c r="C76" s="698"/>
      <c r="D76" s="698"/>
      <c r="E76" s="698"/>
      <c r="F76" s="698"/>
      <c r="G76" s="698"/>
      <c r="H76" s="698"/>
      <c r="I76" s="698"/>
      <c r="J76" s="698"/>
      <c r="K76" s="698"/>
      <c r="L76" s="698"/>
      <c r="M76" s="698"/>
      <c r="N76" s="698"/>
      <c r="O76" s="698"/>
      <c r="P76" s="698"/>
      <c r="Q76" s="69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3</vt:i4>
      </vt:variant>
    </vt:vector>
  </HeadingPairs>
  <TitlesOfParts>
    <vt:vector size="26" baseType="lpstr">
      <vt:lpstr>Dec 18th</vt:lpstr>
      <vt:lpstr>Jan 2nd</vt:lpstr>
      <vt:lpstr>Jan 3rd</vt:lpstr>
      <vt:lpstr>Jan 6th</vt:lpstr>
      <vt:lpstr>Jan 7th</vt:lpstr>
      <vt:lpstr>Jan 8th</vt:lpstr>
      <vt:lpstr>Jan. 10th</vt:lpstr>
      <vt:lpstr>Jan. 14th </vt:lpstr>
      <vt:lpstr>Jan.15th </vt:lpstr>
      <vt:lpstr>Jan.16th</vt:lpstr>
      <vt:lpstr>Jan.17th -19th</vt:lpstr>
      <vt:lpstr>Jan.20th</vt:lpstr>
      <vt:lpstr>Jan.21ST </vt:lpstr>
      <vt:lpstr>Jan 22nd</vt:lpstr>
      <vt:lpstr>Jan 23rd </vt:lpstr>
      <vt:lpstr>Jan 24th, 27th, 28th</vt:lpstr>
      <vt:lpstr>Jan 29th </vt:lpstr>
      <vt:lpstr>Jan 30th</vt:lpstr>
      <vt:lpstr>Jan 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2025-03-04T19:10:19Z</dcterms:modified>
</cp:coreProperties>
</file>