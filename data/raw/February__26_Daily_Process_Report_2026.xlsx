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drawings/drawing1.xml" ContentType="application/vnd.openxmlformats-officedocument.drawing+xml"/>
  <Override PartName="/xl/comments2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6 Daily Process Report\"/>
    </mc:Choice>
  </mc:AlternateContent>
  <xr:revisionPtr revIDLastSave="0" documentId="13_ncr:1_{7B7A920E-54BD-40BF-A4A7-DDC190736E5A}" xr6:coauthVersionLast="47" xr6:coauthVersionMax="47" xr10:uidLastSave="{00000000-0000-0000-0000-000000000000}"/>
  <bookViews>
    <workbookView xWindow="-120" yWindow="-120" windowWidth="29040" windowHeight="15720" tabRatio="599" firstSheet="12" activeTab="20" xr2:uid="{1120807F-7390-4E10-A66F-84111922E872}"/>
  </bookViews>
  <sheets>
    <sheet name="Dec 18th" sheetId="658" state="hidden" r:id="rId1"/>
    <sheet name="Feb 2nd" sheetId="922" r:id="rId2"/>
    <sheet name="Feb 3rd" sheetId="923" r:id="rId3"/>
    <sheet name="Feb 4th" sheetId="924" r:id="rId4"/>
    <sheet name="Feb 5th" sheetId="925" r:id="rId5"/>
    <sheet name="Feb 6th" sheetId="926" r:id="rId6"/>
    <sheet name="Feb 9th" sheetId="927" r:id="rId7"/>
    <sheet name="Feb 10th" sheetId="928" r:id="rId8"/>
    <sheet name="Feb 11th" sheetId="929" r:id="rId9"/>
    <sheet name="Feb 12th" sheetId="930" r:id="rId10"/>
    <sheet name="Feb 13th" sheetId="931" r:id="rId11"/>
    <sheet name="Feb 16th" sheetId="932" r:id="rId12"/>
    <sheet name="Feb 17th" sheetId="933" r:id="rId13"/>
    <sheet name="Feb 18th " sheetId="934" r:id="rId14"/>
    <sheet name="Feb 19th" sheetId="935" r:id="rId15"/>
    <sheet name="Feb 20th" sheetId="936" r:id="rId16"/>
    <sheet name="Feb 23rd" sheetId="937" r:id="rId17"/>
    <sheet name="Feb 24th" sheetId="938" r:id="rId18"/>
    <sheet name="Feb 25th" sheetId="939" r:id="rId19"/>
    <sheet name="Feb 26th " sheetId="940" r:id="rId20"/>
    <sheet name="Feb 27th-28th" sheetId="941" r:id="rId21"/>
    <sheet name="MTD_Links" sheetId="18" r:id="rId22"/>
    <sheet name="YTD_Links" sheetId="19" r:id="rId23"/>
    <sheet name="KPIs" sheetId="20" state="hidden" r:id="rId24"/>
    <sheet name="Brewer Performance" sheetId="21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_xlnm.Print_Area" localSheetId="24">'Brewer Performance'!$B$2:$K$35</definedName>
    <definedName name="_xlnm.Print_Area" localSheetId="21">MTD_Links!$B$2:$K$65</definedName>
    <definedName name="_xlnm.Print_Area" localSheetId="22">YTD_Links!$B$2:$K$65</definedName>
    <definedName name="ProductList" localSheetId="24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0" i="19" l="1"/>
  <c r="D64" i="19"/>
  <c r="D63" i="19"/>
  <c r="M37" i="941"/>
  <c r="L37" i="941"/>
  <c r="K37" i="941"/>
  <c r="L50" i="941"/>
  <c r="M35" i="941"/>
  <c r="L35" i="941"/>
  <c r="K35" i="941"/>
  <c r="M36" i="941"/>
  <c r="L36" i="941"/>
  <c r="K36" i="941"/>
  <c r="D59" i="19" l="1"/>
  <c r="D61" i="19"/>
  <c r="J59" i="941"/>
  <c r="M38" i="941"/>
  <c r="L38" i="941"/>
  <c r="K38" i="941"/>
  <c r="R10" i="941"/>
  <c r="S10" i="941"/>
  <c r="T10" i="941"/>
  <c r="U10" i="941"/>
  <c r="V10" i="941"/>
  <c r="W10" i="941"/>
  <c r="X10" i="941"/>
  <c r="Y10" i="941"/>
  <c r="Z10" i="941"/>
  <c r="R11" i="941"/>
  <c r="S11" i="941"/>
  <c r="T11" i="941"/>
  <c r="U11" i="941"/>
  <c r="V11" i="941"/>
  <c r="W11" i="941"/>
  <c r="X11" i="941"/>
  <c r="Y11" i="941"/>
  <c r="Z11" i="941"/>
  <c r="R12" i="941"/>
  <c r="S12" i="941"/>
  <c r="T12" i="941"/>
  <c r="U12" i="941"/>
  <c r="V12" i="941"/>
  <c r="W12" i="941"/>
  <c r="X12" i="941"/>
  <c r="Y12" i="941"/>
  <c r="Z12" i="941"/>
  <c r="R13" i="941"/>
  <c r="S13" i="941"/>
  <c r="T13" i="941"/>
  <c r="U13" i="941"/>
  <c r="V13" i="941"/>
  <c r="W13" i="941"/>
  <c r="X13" i="941"/>
  <c r="Y13" i="941"/>
  <c r="Z13" i="941"/>
  <c r="R14" i="941"/>
  <c r="S14" i="941"/>
  <c r="T14" i="941"/>
  <c r="U14" i="941"/>
  <c r="V14" i="941"/>
  <c r="W14" i="941"/>
  <c r="X14" i="941"/>
  <c r="Y14" i="941"/>
  <c r="Z14" i="941"/>
  <c r="R15" i="941"/>
  <c r="S15" i="941"/>
  <c r="T15" i="941"/>
  <c r="U15" i="941"/>
  <c r="V15" i="941"/>
  <c r="W15" i="941"/>
  <c r="X15" i="941"/>
  <c r="Y15" i="941"/>
  <c r="Z15" i="941"/>
  <c r="R16" i="941"/>
  <c r="S16" i="941"/>
  <c r="T16" i="941"/>
  <c r="U16" i="941"/>
  <c r="V16" i="941"/>
  <c r="W16" i="941"/>
  <c r="X16" i="941"/>
  <c r="Y16" i="941"/>
  <c r="Z16" i="941"/>
  <c r="R17" i="941"/>
  <c r="S17" i="941"/>
  <c r="T17" i="941"/>
  <c r="U17" i="941"/>
  <c r="V17" i="941"/>
  <c r="W17" i="941"/>
  <c r="X17" i="941"/>
  <c r="Y17" i="941"/>
  <c r="Z17" i="941"/>
  <c r="R18" i="941"/>
  <c r="S18" i="941"/>
  <c r="T18" i="941"/>
  <c r="U18" i="941"/>
  <c r="V18" i="941"/>
  <c r="W18" i="941"/>
  <c r="X18" i="941"/>
  <c r="Y18" i="941"/>
  <c r="Z18" i="941"/>
  <c r="R19" i="941"/>
  <c r="S19" i="941"/>
  <c r="T19" i="941"/>
  <c r="U19" i="941"/>
  <c r="V19" i="941"/>
  <c r="W19" i="941"/>
  <c r="X19" i="941"/>
  <c r="Y19" i="941"/>
  <c r="Z19" i="941"/>
  <c r="R20" i="941"/>
  <c r="S20" i="941"/>
  <c r="T20" i="941"/>
  <c r="U20" i="941"/>
  <c r="V20" i="941"/>
  <c r="W20" i="941"/>
  <c r="X20" i="941"/>
  <c r="Y20" i="941"/>
  <c r="Z20" i="941"/>
  <c r="R21" i="941"/>
  <c r="S21" i="941"/>
  <c r="T21" i="941"/>
  <c r="U21" i="941"/>
  <c r="V21" i="941"/>
  <c r="W21" i="941"/>
  <c r="X21" i="941"/>
  <c r="Y21" i="941"/>
  <c r="Z21" i="941"/>
  <c r="R22" i="941"/>
  <c r="S22" i="941"/>
  <c r="T22" i="941"/>
  <c r="U22" i="941"/>
  <c r="V22" i="941"/>
  <c r="W22" i="941"/>
  <c r="X22" i="941"/>
  <c r="Y22" i="941"/>
  <c r="Z22" i="941"/>
  <c r="R23" i="941"/>
  <c r="S23" i="941"/>
  <c r="T23" i="941"/>
  <c r="U23" i="941"/>
  <c r="V23" i="941"/>
  <c r="W23" i="941"/>
  <c r="X23" i="941"/>
  <c r="Y23" i="941"/>
  <c r="Z23" i="941"/>
  <c r="R24" i="941"/>
  <c r="S24" i="941"/>
  <c r="T24" i="941"/>
  <c r="U24" i="941"/>
  <c r="V24" i="941"/>
  <c r="W24" i="941"/>
  <c r="X24" i="941"/>
  <c r="Y24" i="941"/>
  <c r="Z24" i="941"/>
  <c r="R25" i="941"/>
  <c r="S25" i="941"/>
  <c r="T25" i="941"/>
  <c r="U25" i="941"/>
  <c r="V25" i="941"/>
  <c r="W25" i="941"/>
  <c r="X25" i="941"/>
  <c r="Y25" i="941"/>
  <c r="Z25" i="941"/>
  <c r="R26" i="941"/>
  <c r="S26" i="941"/>
  <c r="T26" i="941"/>
  <c r="U26" i="941"/>
  <c r="V26" i="941"/>
  <c r="W26" i="941"/>
  <c r="X26" i="941"/>
  <c r="Y26" i="941"/>
  <c r="Z26" i="941"/>
  <c r="R27" i="941"/>
  <c r="S27" i="941"/>
  <c r="T27" i="941"/>
  <c r="U27" i="941"/>
  <c r="V27" i="941"/>
  <c r="W27" i="941"/>
  <c r="X27" i="941"/>
  <c r="Y27" i="941"/>
  <c r="Z27" i="941"/>
  <c r="R28" i="941"/>
  <c r="S28" i="941"/>
  <c r="T28" i="941"/>
  <c r="U28" i="941"/>
  <c r="V28" i="941"/>
  <c r="W28" i="941"/>
  <c r="X28" i="941"/>
  <c r="Y28" i="941"/>
  <c r="Z28" i="941"/>
  <c r="O29" i="941"/>
  <c r="M29" i="941"/>
  <c r="L29" i="941"/>
  <c r="J29" i="941"/>
  <c r="I29" i="941"/>
  <c r="J38" i="941" s="1"/>
  <c r="G29" i="941"/>
  <c r="F29" i="941"/>
  <c r="E29" i="941"/>
  <c r="D29" i="941"/>
  <c r="C29" i="941"/>
  <c r="D62" i="19" l="1"/>
  <c r="D57" i="19"/>
  <c r="I10" i="941"/>
  <c r="J10" i="941"/>
  <c r="K10" i="941"/>
  <c r="L10" i="941"/>
  <c r="M10" i="941"/>
  <c r="N10" i="941"/>
  <c r="O10" i="941"/>
  <c r="I11" i="941"/>
  <c r="J11" i="941"/>
  <c r="K11" i="941"/>
  <c r="L11" i="941"/>
  <c r="M11" i="941"/>
  <c r="N11" i="941"/>
  <c r="O11" i="941"/>
  <c r="I12" i="941"/>
  <c r="J12" i="941"/>
  <c r="K12" i="941"/>
  <c r="L12" i="941"/>
  <c r="M12" i="941"/>
  <c r="N12" i="941"/>
  <c r="O12" i="941"/>
  <c r="I13" i="941"/>
  <c r="J13" i="941"/>
  <c r="K13" i="941"/>
  <c r="L13" i="941"/>
  <c r="M13" i="941"/>
  <c r="N13" i="941"/>
  <c r="O13" i="941"/>
  <c r="I14" i="941"/>
  <c r="J14" i="941"/>
  <c r="K14" i="941"/>
  <c r="L14" i="941"/>
  <c r="M14" i="941"/>
  <c r="N14" i="941"/>
  <c r="O14" i="941"/>
  <c r="I15" i="941"/>
  <c r="J15" i="941"/>
  <c r="K15" i="941"/>
  <c r="L15" i="941"/>
  <c r="M15" i="941"/>
  <c r="N15" i="941"/>
  <c r="O15" i="941"/>
  <c r="I16" i="941"/>
  <c r="J16" i="941"/>
  <c r="K16" i="941"/>
  <c r="L16" i="941"/>
  <c r="M16" i="941"/>
  <c r="N16" i="941"/>
  <c r="O16" i="941"/>
  <c r="I17" i="941"/>
  <c r="J17" i="941"/>
  <c r="K17" i="941"/>
  <c r="L17" i="941"/>
  <c r="M17" i="941"/>
  <c r="N17" i="941"/>
  <c r="O17" i="941"/>
  <c r="C10" i="941"/>
  <c r="D10" i="941"/>
  <c r="E10" i="941"/>
  <c r="F10" i="941"/>
  <c r="G10" i="941"/>
  <c r="C11" i="941"/>
  <c r="D11" i="941"/>
  <c r="E11" i="941"/>
  <c r="F11" i="941"/>
  <c r="G11" i="941"/>
  <c r="C12" i="941"/>
  <c r="D12" i="941"/>
  <c r="E12" i="941"/>
  <c r="F12" i="941"/>
  <c r="G12" i="941"/>
  <c r="C13" i="941"/>
  <c r="D13" i="941"/>
  <c r="E13" i="941"/>
  <c r="F13" i="941"/>
  <c r="G13" i="941"/>
  <c r="C14" i="941"/>
  <c r="D14" i="941"/>
  <c r="E14" i="941"/>
  <c r="F14" i="941"/>
  <c r="G14" i="941"/>
  <c r="C15" i="941"/>
  <c r="D15" i="941"/>
  <c r="E15" i="941"/>
  <c r="F15" i="941"/>
  <c r="G15" i="941"/>
  <c r="C16" i="941"/>
  <c r="D16" i="941"/>
  <c r="E16" i="941"/>
  <c r="F16" i="941"/>
  <c r="G16" i="941"/>
  <c r="C17" i="941"/>
  <c r="D17" i="941"/>
  <c r="E17" i="941"/>
  <c r="F17" i="941"/>
  <c r="G17" i="941"/>
  <c r="C27" i="941"/>
  <c r="D27" i="941"/>
  <c r="E27" i="941"/>
  <c r="F27" i="941"/>
  <c r="G27" i="941"/>
  <c r="C26" i="941"/>
  <c r="D26" i="941"/>
  <c r="E26" i="941"/>
  <c r="F26" i="941"/>
  <c r="G26" i="941"/>
  <c r="I20" i="941"/>
  <c r="J20" i="941"/>
  <c r="K20" i="941"/>
  <c r="L20" i="941"/>
  <c r="M20" i="941"/>
  <c r="N20" i="941"/>
  <c r="O20" i="941"/>
  <c r="I21" i="941"/>
  <c r="J21" i="941"/>
  <c r="K21" i="941"/>
  <c r="L21" i="941"/>
  <c r="M21" i="941"/>
  <c r="N21" i="941"/>
  <c r="O21" i="941"/>
  <c r="I22" i="941"/>
  <c r="J22" i="941"/>
  <c r="K22" i="941"/>
  <c r="L22" i="941"/>
  <c r="M22" i="941"/>
  <c r="N22" i="941"/>
  <c r="O22" i="941"/>
  <c r="I23" i="941"/>
  <c r="J23" i="941"/>
  <c r="K23" i="941"/>
  <c r="L23" i="941"/>
  <c r="M23" i="941"/>
  <c r="N23" i="941"/>
  <c r="O23" i="941"/>
  <c r="I24" i="941"/>
  <c r="J24" i="941"/>
  <c r="K24" i="941"/>
  <c r="L24" i="941"/>
  <c r="M24" i="941"/>
  <c r="N24" i="941"/>
  <c r="O24" i="941"/>
  <c r="I25" i="941"/>
  <c r="J25" i="941"/>
  <c r="K25" i="941"/>
  <c r="L25" i="941"/>
  <c r="M25" i="941"/>
  <c r="N25" i="941"/>
  <c r="O25" i="941"/>
  <c r="I26" i="941"/>
  <c r="J26" i="941"/>
  <c r="K26" i="941"/>
  <c r="L26" i="941"/>
  <c r="M26" i="941"/>
  <c r="N26" i="941"/>
  <c r="O26" i="941"/>
  <c r="I27" i="941"/>
  <c r="J27" i="941"/>
  <c r="K27" i="941"/>
  <c r="L27" i="941"/>
  <c r="M27" i="941"/>
  <c r="N27" i="941"/>
  <c r="O27" i="941"/>
  <c r="C20" i="941"/>
  <c r="D20" i="941"/>
  <c r="E20" i="941"/>
  <c r="F20" i="941"/>
  <c r="G20" i="941"/>
  <c r="C21" i="941"/>
  <c r="D21" i="941"/>
  <c r="E21" i="941"/>
  <c r="F21" i="941"/>
  <c r="G21" i="941"/>
  <c r="C22" i="941"/>
  <c r="D22" i="941"/>
  <c r="E22" i="941"/>
  <c r="F22" i="941"/>
  <c r="G22" i="941"/>
  <c r="C23" i="941"/>
  <c r="D23" i="941"/>
  <c r="E23" i="941"/>
  <c r="F23" i="941"/>
  <c r="G23" i="941"/>
  <c r="C24" i="941"/>
  <c r="D24" i="941"/>
  <c r="E24" i="941"/>
  <c r="F24" i="941"/>
  <c r="G24" i="941"/>
  <c r="C25" i="941"/>
  <c r="D25" i="941"/>
  <c r="E25" i="941"/>
  <c r="F25" i="941"/>
  <c r="G25" i="941"/>
  <c r="F82" i="941"/>
  <c r="L68" i="941"/>
  <c r="AX66" i="941"/>
  <c r="AW66" i="941"/>
  <c r="AV66" i="941"/>
  <c r="AU66" i="941"/>
  <c r="AT66" i="941"/>
  <c r="AS66" i="941"/>
  <c r="AR66" i="941"/>
  <c r="AQ66" i="941"/>
  <c r="AP66" i="941"/>
  <c r="AO66" i="941"/>
  <c r="AN66" i="941"/>
  <c r="AM66" i="941"/>
  <c r="AL66" i="941"/>
  <c r="AK66" i="941"/>
  <c r="AJ66" i="941"/>
  <c r="AI66" i="941"/>
  <c r="AH66" i="941"/>
  <c r="AG66" i="941"/>
  <c r="AF66" i="941"/>
  <c r="AE66" i="941"/>
  <c r="AD66" i="941"/>
  <c r="AC66" i="941"/>
  <c r="AB66" i="941"/>
  <c r="AX65" i="941"/>
  <c r="AW65" i="941"/>
  <c r="AV65" i="941"/>
  <c r="AU65" i="941"/>
  <c r="AT65" i="941"/>
  <c r="AS65" i="941"/>
  <c r="AR65" i="941"/>
  <c r="AQ65" i="941"/>
  <c r="AP65" i="941"/>
  <c r="AO65" i="941"/>
  <c r="AN65" i="941"/>
  <c r="AM65" i="941"/>
  <c r="AL65" i="941"/>
  <c r="AK65" i="941"/>
  <c r="AJ65" i="941"/>
  <c r="AI65" i="941"/>
  <c r="AH65" i="941"/>
  <c r="AG65" i="941"/>
  <c r="AF65" i="941"/>
  <c r="AE65" i="941"/>
  <c r="AD65" i="941"/>
  <c r="AC65" i="941"/>
  <c r="AB65" i="941"/>
  <c r="AX64" i="941"/>
  <c r="AW64" i="941"/>
  <c r="AV64" i="941"/>
  <c r="AU64" i="941"/>
  <c r="AT64" i="941"/>
  <c r="AS64" i="941"/>
  <c r="AR64" i="941"/>
  <c r="AQ64" i="941"/>
  <c r="AP64" i="941"/>
  <c r="AO64" i="941"/>
  <c r="AN64" i="941"/>
  <c r="AM64" i="941"/>
  <c r="AL64" i="941"/>
  <c r="AK64" i="941"/>
  <c r="AJ64" i="941"/>
  <c r="AI64" i="941"/>
  <c r="AH64" i="941"/>
  <c r="AG64" i="941"/>
  <c r="AF64" i="941"/>
  <c r="AE64" i="941"/>
  <c r="AD64" i="941"/>
  <c r="AC64" i="941"/>
  <c r="AB64" i="941"/>
  <c r="B64" i="941"/>
  <c r="K59" i="941"/>
  <c r="M50" i="941" s="1"/>
  <c r="Z46" i="941"/>
  <c r="Y46" i="941"/>
  <c r="X46" i="941"/>
  <c r="W46" i="941"/>
  <c r="V46" i="941"/>
  <c r="U46" i="941"/>
  <c r="T46" i="941"/>
  <c r="S46" i="941"/>
  <c r="R46" i="941"/>
  <c r="Z45" i="941"/>
  <c r="Y45" i="941"/>
  <c r="X45" i="941"/>
  <c r="W45" i="941"/>
  <c r="V45" i="941"/>
  <c r="U45" i="941"/>
  <c r="T45" i="941"/>
  <c r="S45" i="941"/>
  <c r="R45" i="941"/>
  <c r="Z44" i="941"/>
  <c r="Y44" i="941"/>
  <c r="X44" i="941"/>
  <c r="W44" i="941"/>
  <c r="V44" i="941"/>
  <c r="U44" i="941"/>
  <c r="T44" i="941"/>
  <c r="S44" i="941"/>
  <c r="R44" i="941"/>
  <c r="Z43" i="941"/>
  <c r="Y43" i="941"/>
  <c r="X43" i="941"/>
  <c r="W43" i="941"/>
  <c r="V43" i="941"/>
  <c r="U43" i="941"/>
  <c r="T43" i="941"/>
  <c r="S43" i="941"/>
  <c r="R43" i="941"/>
  <c r="Z42" i="941"/>
  <c r="Y42" i="941"/>
  <c r="X42" i="941"/>
  <c r="W42" i="941"/>
  <c r="V42" i="941"/>
  <c r="U42" i="941"/>
  <c r="T42" i="941"/>
  <c r="S42" i="941"/>
  <c r="R42" i="941"/>
  <c r="Z41" i="941"/>
  <c r="Y41" i="941"/>
  <c r="X41" i="941"/>
  <c r="W41" i="941"/>
  <c r="V41" i="941"/>
  <c r="U41" i="941"/>
  <c r="T41" i="941"/>
  <c r="S41" i="941"/>
  <c r="R41" i="941"/>
  <c r="M41" i="941"/>
  <c r="L41" i="941"/>
  <c r="K41" i="941"/>
  <c r="Z40" i="941"/>
  <c r="Y40" i="941"/>
  <c r="X40" i="941"/>
  <c r="W40" i="941"/>
  <c r="V40" i="941"/>
  <c r="U40" i="941"/>
  <c r="T40" i="941"/>
  <c r="S40" i="941"/>
  <c r="R40" i="941"/>
  <c r="M40" i="941"/>
  <c r="Z39" i="941"/>
  <c r="Y39" i="941"/>
  <c r="X39" i="941"/>
  <c r="W39" i="941"/>
  <c r="V39" i="941"/>
  <c r="U39" i="941"/>
  <c r="T39" i="941"/>
  <c r="S39" i="941"/>
  <c r="R39" i="941"/>
  <c r="Z38" i="941"/>
  <c r="Y38" i="941"/>
  <c r="X38" i="941"/>
  <c r="W38" i="941"/>
  <c r="V38" i="941"/>
  <c r="U38" i="941"/>
  <c r="T38" i="941"/>
  <c r="S38" i="941"/>
  <c r="R38" i="941"/>
  <c r="Z37" i="941"/>
  <c r="Y37" i="941"/>
  <c r="X37" i="941"/>
  <c r="W37" i="941"/>
  <c r="V37" i="941"/>
  <c r="U37" i="941"/>
  <c r="T37" i="941"/>
  <c r="S37" i="941"/>
  <c r="R37" i="941"/>
  <c r="Z36" i="941"/>
  <c r="Y36" i="941"/>
  <c r="X36" i="941"/>
  <c r="W36" i="941"/>
  <c r="V36" i="941"/>
  <c r="U36" i="941"/>
  <c r="T36" i="941"/>
  <c r="S36" i="941"/>
  <c r="R36" i="941"/>
  <c r="Z35" i="941"/>
  <c r="Y35" i="941"/>
  <c r="X35" i="941"/>
  <c r="W35" i="941"/>
  <c r="V35" i="941"/>
  <c r="U35" i="941"/>
  <c r="T35" i="941"/>
  <c r="S35" i="941"/>
  <c r="R35" i="941"/>
  <c r="Z34" i="941"/>
  <c r="Y34" i="941"/>
  <c r="X34" i="941"/>
  <c r="W34" i="941"/>
  <c r="V34" i="941"/>
  <c r="U34" i="941"/>
  <c r="T34" i="941"/>
  <c r="S34" i="941"/>
  <c r="R34" i="941"/>
  <c r="Z33" i="941"/>
  <c r="Y33" i="941"/>
  <c r="X33" i="941"/>
  <c r="W33" i="941"/>
  <c r="V33" i="941"/>
  <c r="U33" i="941"/>
  <c r="T33" i="941"/>
  <c r="S33" i="941"/>
  <c r="R33" i="941"/>
  <c r="Z32" i="941"/>
  <c r="Y32" i="941"/>
  <c r="X32" i="941"/>
  <c r="W32" i="941"/>
  <c r="V32" i="941"/>
  <c r="U32" i="941"/>
  <c r="T32" i="941"/>
  <c r="S32" i="941"/>
  <c r="R32" i="941"/>
  <c r="Z31" i="941"/>
  <c r="Y31" i="941"/>
  <c r="X31" i="941"/>
  <c r="W31" i="941"/>
  <c r="V31" i="941"/>
  <c r="U31" i="941"/>
  <c r="T31" i="941"/>
  <c r="S31" i="941"/>
  <c r="R31" i="941"/>
  <c r="Z30" i="941"/>
  <c r="Y30" i="941"/>
  <c r="X30" i="941"/>
  <c r="W30" i="941"/>
  <c r="V30" i="941"/>
  <c r="U30" i="941"/>
  <c r="T30" i="941"/>
  <c r="S30" i="941"/>
  <c r="R30" i="941"/>
  <c r="Z29" i="941"/>
  <c r="Y29" i="941"/>
  <c r="X29" i="941"/>
  <c r="W29" i="941"/>
  <c r="V29" i="941"/>
  <c r="U29" i="941"/>
  <c r="T29" i="941"/>
  <c r="S29" i="941"/>
  <c r="R29" i="941"/>
  <c r="K25" i="940"/>
  <c r="M25" i="940"/>
  <c r="L25" i="940"/>
  <c r="M24" i="940"/>
  <c r="L24" i="940"/>
  <c r="K24" i="940"/>
  <c r="C16" i="940"/>
  <c r="D16" i="940"/>
  <c r="E16" i="940"/>
  <c r="F16" i="940"/>
  <c r="G16" i="940"/>
  <c r="I16" i="940"/>
  <c r="J25" i="940" s="1"/>
  <c r="J16" i="940"/>
  <c r="K16" i="940"/>
  <c r="L16" i="940"/>
  <c r="M16" i="940"/>
  <c r="N16" i="940"/>
  <c r="O16" i="940"/>
  <c r="D58" i="19" l="1"/>
  <c r="J36" i="941"/>
  <c r="J35" i="941"/>
  <c r="L64" i="941"/>
  <c r="K45" i="941"/>
  <c r="L45" i="941" s="1"/>
  <c r="B53" i="940"/>
  <c r="L39" i="940"/>
  <c r="R11" i="940"/>
  <c r="S11" i="940"/>
  <c r="T11" i="940"/>
  <c r="U11" i="940"/>
  <c r="V11" i="940"/>
  <c r="W11" i="940"/>
  <c r="X11" i="940"/>
  <c r="Y11" i="940"/>
  <c r="Z11" i="940"/>
  <c r="R12" i="940"/>
  <c r="S12" i="940"/>
  <c r="T12" i="940"/>
  <c r="U12" i="940"/>
  <c r="V12" i="940"/>
  <c r="W12" i="940"/>
  <c r="X12" i="940"/>
  <c r="Y12" i="940"/>
  <c r="Z12" i="940"/>
  <c r="R13" i="940"/>
  <c r="S13" i="940"/>
  <c r="T13" i="940"/>
  <c r="U13" i="940"/>
  <c r="V13" i="940"/>
  <c r="W13" i="940"/>
  <c r="X13" i="940"/>
  <c r="Y13" i="940"/>
  <c r="Z13" i="940"/>
  <c r="R14" i="940"/>
  <c r="S14" i="940"/>
  <c r="T14" i="940"/>
  <c r="U14" i="940"/>
  <c r="V14" i="940"/>
  <c r="W14" i="940"/>
  <c r="X14" i="940"/>
  <c r="Y14" i="940"/>
  <c r="Z14" i="940"/>
  <c r="R15" i="940"/>
  <c r="S15" i="940"/>
  <c r="T15" i="940"/>
  <c r="U15" i="940"/>
  <c r="V15" i="940"/>
  <c r="W15" i="940"/>
  <c r="X15" i="940"/>
  <c r="Y15" i="940"/>
  <c r="Z15" i="940"/>
  <c r="R16" i="940"/>
  <c r="S16" i="940"/>
  <c r="T16" i="940"/>
  <c r="U16" i="940"/>
  <c r="V16" i="940"/>
  <c r="W16" i="940"/>
  <c r="X16" i="940"/>
  <c r="Y16" i="940"/>
  <c r="Z16" i="940"/>
  <c r="R17" i="940"/>
  <c r="S17" i="940"/>
  <c r="T17" i="940"/>
  <c r="U17" i="940"/>
  <c r="V17" i="940"/>
  <c r="W17" i="940"/>
  <c r="X17" i="940"/>
  <c r="Y17" i="940"/>
  <c r="Z17" i="940"/>
  <c r="R18" i="940"/>
  <c r="S18" i="940"/>
  <c r="T18" i="940"/>
  <c r="U18" i="940"/>
  <c r="V18" i="940"/>
  <c r="W18" i="940"/>
  <c r="X18" i="940"/>
  <c r="Y18" i="940"/>
  <c r="Z18" i="940"/>
  <c r="R19" i="940"/>
  <c r="S19" i="940"/>
  <c r="T19" i="940"/>
  <c r="U19" i="940"/>
  <c r="V19" i="940"/>
  <c r="W19" i="940"/>
  <c r="X19" i="940"/>
  <c r="Y19" i="940"/>
  <c r="Z19" i="940"/>
  <c r="R20" i="940"/>
  <c r="S20" i="940"/>
  <c r="T20" i="940"/>
  <c r="U20" i="940"/>
  <c r="V20" i="940"/>
  <c r="W20" i="940"/>
  <c r="X20" i="940"/>
  <c r="Y20" i="940"/>
  <c r="Z20" i="940"/>
  <c r="R21" i="940"/>
  <c r="S21" i="940"/>
  <c r="T21" i="940"/>
  <c r="U21" i="940"/>
  <c r="V21" i="940"/>
  <c r="W21" i="940"/>
  <c r="X21" i="940"/>
  <c r="Y21" i="940"/>
  <c r="Z21" i="940"/>
  <c r="R22" i="940"/>
  <c r="S22" i="940"/>
  <c r="T22" i="940"/>
  <c r="U22" i="940"/>
  <c r="V22" i="940"/>
  <c r="W22" i="940"/>
  <c r="X22" i="940"/>
  <c r="Y22" i="940"/>
  <c r="Z22" i="940"/>
  <c r="C10" i="940"/>
  <c r="D10" i="940"/>
  <c r="E10" i="940"/>
  <c r="F10" i="940"/>
  <c r="G10" i="940"/>
  <c r="C11" i="940"/>
  <c r="D11" i="940"/>
  <c r="E11" i="940"/>
  <c r="F11" i="940"/>
  <c r="G11" i="940"/>
  <c r="C12" i="940"/>
  <c r="D12" i="940"/>
  <c r="E12" i="940"/>
  <c r="F12" i="940"/>
  <c r="G12" i="940"/>
  <c r="C13" i="940"/>
  <c r="D13" i="940"/>
  <c r="E13" i="940"/>
  <c r="F13" i="940"/>
  <c r="G13" i="940"/>
  <c r="C14" i="940"/>
  <c r="D14" i="940"/>
  <c r="E14" i="940"/>
  <c r="F14" i="940"/>
  <c r="G14" i="940"/>
  <c r="I10" i="940"/>
  <c r="J10" i="940"/>
  <c r="K10" i="940"/>
  <c r="L10" i="940"/>
  <c r="M10" i="940"/>
  <c r="N10" i="940"/>
  <c r="O10" i="940"/>
  <c r="I11" i="940"/>
  <c r="J11" i="940"/>
  <c r="K11" i="940"/>
  <c r="L11" i="940"/>
  <c r="M11" i="940"/>
  <c r="N11" i="940"/>
  <c r="O11" i="940"/>
  <c r="I12" i="940"/>
  <c r="J12" i="940"/>
  <c r="K12" i="940"/>
  <c r="L12" i="940"/>
  <c r="M12" i="940"/>
  <c r="N12" i="940"/>
  <c r="O12" i="940"/>
  <c r="I13" i="940"/>
  <c r="J13" i="940"/>
  <c r="K13" i="940"/>
  <c r="L13" i="940"/>
  <c r="M13" i="940"/>
  <c r="N13" i="940"/>
  <c r="O13" i="940"/>
  <c r="I14" i="940"/>
  <c r="J14" i="940"/>
  <c r="K14" i="940"/>
  <c r="L14" i="940"/>
  <c r="M14" i="940"/>
  <c r="N14" i="940"/>
  <c r="O14" i="940"/>
  <c r="F71" i="940"/>
  <c r="L57" i="940"/>
  <c r="AX55" i="940"/>
  <c r="AW55" i="940"/>
  <c r="AV55" i="940"/>
  <c r="AU55" i="940"/>
  <c r="AT55" i="940"/>
  <c r="AS55" i="940"/>
  <c r="AR55" i="940"/>
  <c r="AQ55" i="940"/>
  <c r="AP55" i="940"/>
  <c r="AO55" i="940"/>
  <c r="AN55" i="940"/>
  <c r="AM55" i="940"/>
  <c r="AL55" i="940"/>
  <c r="AK55" i="940"/>
  <c r="AJ55" i="940"/>
  <c r="AI55" i="940"/>
  <c r="AH55" i="940"/>
  <c r="AG55" i="940"/>
  <c r="AF55" i="940"/>
  <c r="AE55" i="940"/>
  <c r="AD55" i="940"/>
  <c r="AC55" i="940"/>
  <c r="AB55" i="940"/>
  <c r="AX54" i="940"/>
  <c r="AW54" i="940"/>
  <c r="AV54" i="940"/>
  <c r="AU54" i="940"/>
  <c r="AT54" i="940"/>
  <c r="AS54" i="940"/>
  <c r="AR54" i="940"/>
  <c r="AQ54" i="940"/>
  <c r="AP54" i="940"/>
  <c r="AO54" i="940"/>
  <c r="AN54" i="940"/>
  <c r="AM54" i="940"/>
  <c r="AL54" i="940"/>
  <c r="AK54" i="940"/>
  <c r="AJ54" i="940"/>
  <c r="AI54" i="940"/>
  <c r="AH54" i="940"/>
  <c r="AG54" i="940"/>
  <c r="AF54" i="940"/>
  <c r="AE54" i="940"/>
  <c r="AD54" i="940"/>
  <c r="AC54" i="940"/>
  <c r="AB54" i="940"/>
  <c r="AX53" i="940"/>
  <c r="AW53" i="940"/>
  <c r="AV53" i="940"/>
  <c r="AU53" i="940"/>
  <c r="AT53" i="940"/>
  <c r="AS53" i="940"/>
  <c r="AR53" i="940"/>
  <c r="AQ53" i="940"/>
  <c r="AP53" i="940"/>
  <c r="AO53" i="940"/>
  <c r="AN53" i="940"/>
  <c r="AM53" i="940"/>
  <c r="AL53" i="940"/>
  <c r="AK53" i="940"/>
  <c r="AJ53" i="940"/>
  <c r="AI53" i="940"/>
  <c r="AH53" i="940"/>
  <c r="AG53" i="940"/>
  <c r="AF53" i="940"/>
  <c r="AE53" i="940"/>
  <c r="AD53" i="940"/>
  <c r="AC53" i="940"/>
  <c r="AB53" i="940"/>
  <c r="K48" i="940"/>
  <c r="Z35" i="940"/>
  <c r="Y35" i="940"/>
  <c r="X35" i="940"/>
  <c r="W35" i="940"/>
  <c r="V35" i="940"/>
  <c r="U35" i="940"/>
  <c r="T35" i="940"/>
  <c r="S35" i="940"/>
  <c r="R35" i="940"/>
  <c r="Z34" i="940"/>
  <c r="Y34" i="940"/>
  <c r="X34" i="940"/>
  <c r="W34" i="940"/>
  <c r="V34" i="940"/>
  <c r="U34" i="940"/>
  <c r="T34" i="940"/>
  <c r="S34" i="940"/>
  <c r="R34" i="940"/>
  <c r="Z33" i="940"/>
  <c r="Y33" i="940"/>
  <c r="X33" i="940"/>
  <c r="W33" i="940"/>
  <c r="V33" i="940"/>
  <c r="U33" i="940"/>
  <c r="T33" i="940"/>
  <c r="S33" i="940"/>
  <c r="R33" i="940"/>
  <c r="Z32" i="940"/>
  <c r="Y32" i="940"/>
  <c r="X32" i="940"/>
  <c r="W32" i="940"/>
  <c r="V32" i="940"/>
  <c r="U32" i="940"/>
  <c r="T32" i="940"/>
  <c r="S32" i="940"/>
  <c r="R32" i="940"/>
  <c r="Z31" i="940"/>
  <c r="Y31" i="940"/>
  <c r="X31" i="940"/>
  <c r="W31" i="940"/>
  <c r="V31" i="940"/>
  <c r="U31" i="940"/>
  <c r="T31" i="940"/>
  <c r="S31" i="940"/>
  <c r="R31" i="940"/>
  <c r="Z30" i="940"/>
  <c r="Y30" i="940"/>
  <c r="X30" i="940"/>
  <c r="W30" i="940"/>
  <c r="V30" i="940"/>
  <c r="U30" i="940"/>
  <c r="T30" i="940"/>
  <c r="S30" i="940"/>
  <c r="R30" i="940"/>
  <c r="M30" i="940"/>
  <c r="L30" i="940"/>
  <c r="K30" i="940"/>
  <c r="Z29" i="940"/>
  <c r="Y29" i="940"/>
  <c r="X29" i="940"/>
  <c r="W29" i="940"/>
  <c r="V29" i="940"/>
  <c r="U29" i="940"/>
  <c r="T29" i="940"/>
  <c r="S29" i="940"/>
  <c r="R29" i="940"/>
  <c r="M29" i="940"/>
  <c r="Z28" i="940"/>
  <c r="Y28" i="940"/>
  <c r="X28" i="940"/>
  <c r="W28" i="940"/>
  <c r="V28" i="940"/>
  <c r="U28" i="940"/>
  <c r="T28" i="940"/>
  <c r="S28" i="940"/>
  <c r="R28" i="940"/>
  <c r="Z27" i="940"/>
  <c r="Y27" i="940"/>
  <c r="X27" i="940"/>
  <c r="W27" i="940"/>
  <c r="V27" i="940"/>
  <c r="U27" i="940"/>
  <c r="T27" i="940"/>
  <c r="S27" i="940"/>
  <c r="R27" i="940"/>
  <c r="Z26" i="940"/>
  <c r="Y26" i="940"/>
  <c r="X26" i="940"/>
  <c r="W26" i="940"/>
  <c r="V26" i="940"/>
  <c r="U26" i="940"/>
  <c r="T26" i="940"/>
  <c r="S26" i="940"/>
  <c r="R26" i="940"/>
  <c r="M26" i="940"/>
  <c r="L26" i="940"/>
  <c r="K26" i="940"/>
  <c r="Z25" i="940"/>
  <c r="Y25" i="940"/>
  <c r="X25" i="940"/>
  <c r="W25" i="940"/>
  <c r="V25" i="940"/>
  <c r="U25" i="940"/>
  <c r="T25" i="940"/>
  <c r="S25" i="940"/>
  <c r="R25" i="940"/>
  <c r="Z24" i="940"/>
  <c r="Y24" i="940"/>
  <c r="X24" i="940"/>
  <c r="W24" i="940"/>
  <c r="V24" i="940"/>
  <c r="U24" i="940"/>
  <c r="T24" i="940"/>
  <c r="S24" i="940"/>
  <c r="R24" i="940"/>
  <c r="Z23" i="940"/>
  <c r="Y23" i="940"/>
  <c r="X23" i="940"/>
  <c r="W23" i="940"/>
  <c r="V23" i="940"/>
  <c r="U23" i="940"/>
  <c r="T23" i="940"/>
  <c r="S23" i="940"/>
  <c r="R23" i="940"/>
  <c r="Z10" i="940"/>
  <c r="Y10" i="940"/>
  <c r="X10" i="940"/>
  <c r="W10" i="940"/>
  <c r="V10" i="940"/>
  <c r="U10" i="940"/>
  <c r="T10" i="940"/>
  <c r="S10" i="940"/>
  <c r="R10" i="940"/>
  <c r="D56" i="19" l="1"/>
  <c r="M39" i="940"/>
  <c r="J24" i="940"/>
  <c r="K34" i="940"/>
  <c r="L34" i="940" s="1"/>
  <c r="D65" i="19" l="1"/>
  <c r="M30" i="939"/>
  <c r="M24" i="939"/>
  <c r="L24" i="939"/>
  <c r="K24" i="939"/>
  <c r="I17" i="939"/>
  <c r="J17" i="939"/>
  <c r="K17" i="939"/>
  <c r="L17" i="939"/>
  <c r="M17" i="939"/>
  <c r="N17" i="939"/>
  <c r="O17" i="939"/>
  <c r="C17" i="939"/>
  <c r="D17" i="939"/>
  <c r="E17" i="939"/>
  <c r="F17" i="939"/>
  <c r="G17" i="939"/>
  <c r="B53" i="939" l="1"/>
  <c r="K11" i="939"/>
  <c r="K14" i="939"/>
  <c r="K16" i="939"/>
  <c r="L16" i="939"/>
  <c r="M16" i="939"/>
  <c r="O16" i="939"/>
  <c r="C16" i="939"/>
  <c r="D16" i="939"/>
  <c r="E16" i="939"/>
  <c r="F16" i="939"/>
  <c r="G16" i="939"/>
  <c r="R10" i="939"/>
  <c r="S10" i="939"/>
  <c r="T10" i="939"/>
  <c r="U10" i="939"/>
  <c r="V10" i="939"/>
  <c r="W10" i="939"/>
  <c r="X10" i="939"/>
  <c r="Y10" i="939"/>
  <c r="Z10" i="939"/>
  <c r="R11" i="939"/>
  <c r="S11" i="939"/>
  <c r="T11" i="939"/>
  <c r="U11" i="939"/>
  <c r="V11" i="939"/>
  <c r="W11" i="939"/>
  <c r="X11" i="939"/>
  <c r="Y11" i="939"/>
  <c r="Z11" i="939"/>
  <c r="R12" i="939"/>
  <c r="S12" i="939"/>
  <c r="T12" i="939"/>
  <c r="U12" i="939"/>
  <c r="V12" i="939"/>
  <c r="W12" i="939"/>
  <c r="X12" i="939"/>
  <c r="Y12" i="939"/>
  <c r="Z12" i="939"/>
  <c r="R13" i="939"/>
  <c r="S13" i="939"/>
  <c r="T13" i="939"/>
  <c r="U13" i="939"/>
  <c r="V13" i="939"/>
  <c r="W13" i="939"/>
  <c r="X13" i="939"/>
  <c r="Y13" i="939"/>
  <c r="Z13" i="939"/>
  <c r="R14" i="939"/>
  <c r="S14" i="939"/>
  <c r="T14" i="939"/>
  <c r="U14" i="939"/>
  <c r="V14" i="939"/>
  <c r="W14" i="939"/>
  <c r="X14" i="939"/>
  <c r="Y14" i="939"/>
  <c r="Z14" i="939"/>
  <c r="R15" i="939"/>
  <c r="S15" i="939"/>
  <c r="T15" i="939"/>
  <c r="U15" i="939"/>
  <c r="V15" i="939"/>
  <c r="W15" i="939"/>
  <c r="X15" i="939"/>
  <c r="Y15" i="939"/>
  <c r="Z15" i="939"/>
  <c r="R16" i="939"/>
  <c r="S16" i="939"/>
  <c r="T16" i="939"/>
  <c r="U16" i="939"/>
  <c r="V16" i="939"/>
  <c r="W16" i="939"/>
  <c r="X16" i="939"/>
  <c r="Y16" i="939"/>
  <c r="Z16" i="939"/>
  <c r="R17" i="939"/>
  <c r="S17" i="939"/>
  <c r="T17" i="939"/>
  <c r="U17" i="939"/>
  <c r="V17" i="939"/>
  <c r="W17" i="939"/>
  <c r="X17" i="939"/>
  <c r="Y17" i="939"/>
  <c r="Z17" i="939"/>
  <c r="R18" i="939"/>
  <c r="S18" i="939"/>
  <c r="T18" i="939"/>
  <c r="U18" i="939"/>
  <c r="V18" i="939"/>
  <c r="W18" i="939"/>
  <c r="X18" i="939"/>
  <c r="Y18" i="939"/>
  <c r="Z18" i="939"/>
  <c r="R19" i="939"/>
  <c r="S19" i="939"/>
  <c r="T19" i="939"/>
  <c r="U19" i="939"/>
  <c r="V19" i="939"/>
  <c r="W19" i="939"/>
  <c r="X19" i="939"/>
  <c r="Y19" i="939"/>
  <c r="Z19" i="939"/>
  <c r="R20" i="939"/>
  <c r="S20" i="939"/>
  <c r="T20" i="939"/>
  <c r="U20" i="939"/>
  <c r="V20" i="939"/>
  <c r="W20" i="939"/>
  <c r="X20" i="939"/>
  <c r="Y20" i="939"/>
  <c r="Z20" i="939"/>
  <c r="C10" i="939"/>
  <c r="D10" i="939"/>
  <c r="E10" i="939"/>
  <c r="F10" i="939"/>
  <c r="G10" i="939"/>
  <c r="C11" i="939"/>
  <c r="D11" i="939"/>
  <c r="E11" i="939"/>
  <c r="F11" i="939"/>
  <c r="G11" i="939"/>
  <c r="C12" i="939"/>
  <c r="D12" i="939"/>
  <c r="E12" i="939"/>
  <c r="F12" i="939"/>
  <c r="G12" i="939"/>
  <c r="C13" i="939"/>
  <c r="D13" i="939"/>
  <c r="E13" i="939"/>
  <c r="F13" i="939"/>
  <c r="G13" i="939"/>
  <c r="C14" i="939"/>
  <c r="D14" i="939"/>
  <c r="E14" i="939"/>
  <c r="F14" i="939"/>
  <c r="G14" i="939"/>
  <c r="C15" i="939"/>
  <c r="D15" i="939"/>
  <c r="E15" i="939"/>
  <c r="F15" i="939"/>
  <c r="G15" i="939"/>
  <c r="K10" i="939"/>
  <c r="L10" i="939"/>
  <c r="M10" i="939"/>
  <c r="O10" i="939"/>
  <c r="L11" i="939"/>
  <c r="M11" i="939"/>
  <c r="O11" i="939"/>
  <c r="K12" i="939"/>
  <c r="L12" i="939"/>
  <c r="M12" i="939"/>
  <c r="O12" i="939"/>
  <c r="K13" i="939"/>
  <c r="L13" i="939"/>
  <c r="M13" i="939"/>
  <c r="O13" i="939"/>
  <c r="L14" i="939"/>
  <c r="M14" i="939"/>
  <c r="O14" i="939"/>
  <c r="K15" i="939"/>
  <c r="L15" i="939"/>
  <c r="M15" i="939"/>
  <c r="O15" i="939"/>
  <c r="F71" i="939"/>
  <c r="L57" i="939"/>
  <c r="AX55" i="939"/>
  <c r="AW55" i="939"/>
  <c r="AV55" i="939"/>
  <c r="AU55" i="939"/>
  <c r="AT55" i="939"/>
  <c r="AS55" i="939"/>
  <c r="AR55" i="939"/>
  <c r="AQ55" i="939"/>
  <c r="AP55" i="939"/>
  <c r="AO55" i="939"/>
  <c r="AN55" i="939"/>
  <c r="AM55" i="939"/>
  <c r="AL55" i="939"/>
  <c r="AK55" i="939"/>
  <c r="AJ55" i="939"/>
  <c r="AI55" i="939"/>
  <c r="AH55" i="939"/>
  <c r="AG55" i="939"/>
  <c r="AF55" i="939"/>
  <c r="AE55" i="939"/>
  <c r="AD55" i="939"/>
  <c r="AC55" i="939"/>
  <c r="AB55" i="939"/>
  <c r="AX54" i="939"/>
  <c r="AW54" i="939"/>
  <c r="AV54" i="939"/>
  <c r="AU54" i="939"/>
  <c r="AT54" i="939"/>
  <c r="AS54" i="939"/>
  <c r="AR54" i="939"/>
  <c r="AQ54" i="939"/>
  <c r="AP54" i="939"/>
  <c r="AO54" i="939"/>
  <c r="AN54" i="939"/>
  <c r="AM54" i="939"/>
  <c r="AL54" i="939"/>
  <c r="AK54" i="939"/>
  <c r="AJ54" i="939"/>
  <c r="AI54" i="939"/>
  <c r="AH54" i="939"/>
  <c r="AG54" i="939"/>
  <c r="AF54" i="939"/>
  <c r="AE54" i="939"/>
  <c r="AD54" i="939"/>
  <c r="AC54" i="939"/>
  <c r="AB54" i="939"/>
  <c r="AX53" i="939"/>
  <c r="AW53" i="939"/>
  <c r="AV53" i="939"/>
  <c r="AU53" i="939"/>
  <c r="AT53" i="939"/>
  <c r="AS53" i="939"/>
  <c r="AR53" i="939"/>
  <c r="AQ53" i="939"/>
  <c r="AP53" i="939"/>
  <c r="AO53" i="939"/>
  <c r="AN53" i="939"/>
  <c r="AM53" i="939"/>
  <c r="AL53" i="939"/>
  <c r="AK53" i="939"/>
  <c r="AJ53" i="939"/>
  <c r="AI53" i="939"/>
  <c r="AH53" i="939"/>
  <c r="AG53" i="939"/>
  <c r="AF53" i="939"/>
  <c r="AE53" i="939"/>
  <c r="AD53" i="939"/>
  <c r="AC53" i="939"/>
  <c r="AB53" i="939"/>
  <c r="K48" i="939"/>
  <c r="L39" i="939" s="1"/>
  <c r="M39" i="939" s="1"/>
  <c r="Z35" i="939"/>
  <c r="Y35" i="939"/>
  <c r="X35" i="939"/>
  <c r="W35" i="939"/>
  <c r="V35" i="939"/>
  <c r="U35" i="939"/>
  <c r="T35" i="939"/>
  <c r="S35" i="939"/>
  <c r="R35" i="939"/>
  <c r="Z34" i="939"/>
  <c r="Y34" i="939"/>
  <c r="X34" i="939"/>
  <c r="W34" i="939"/>
  <c r="V34" i="939"/>
  <c r="U34" i="939"/>
  <c r="T34" i="939"/>
  <c r="S34" i="939"/>
  <c r="R34" i="939"/>
  <c r="Z33" i="939"/>
  <c r="Y33" i="939"/>
  <c r="X33" i="939"/>
  <c r="W33" i="939"/>
  <c r="V33" i="939"/>
  <c r="U33" i="939"/>
  <c r="T33" i="939"/>
  <c r="S33" i="939"/>
  <c r="R33" i="939"/>
  <c r="Z32" i="939"/>
  <c r="Y32" i="939"/>
  <c r="X32" i="939"/>
  <c r="W32" i="939"/>
  <c r="V32" i="939"/>
  <c r="U32" i="939"/>
  <c r="T32" i="939"/>
  <c r="S32" i="939"/>
  <c r="R32" i="939"/>
  <c r="Z31" i="939"/>
  <c r="Y31" i="939"/>
  <c r="X31" i="939"/>
  <c r="W31" i="939"/>
  <c r="V31" i="939"/>
  <c r="U31" i="939"/>
  <c r="T31" i="939"/>
  <c r="S31" i="939"/>
  <c r="R31" i="939"/>
  <c r="Z30" i="939"/>
  <c r="Y30" i="939"/>
  <c r="X30" i="939"/>
  <c r="W30" i="939"/>
  <c r="V30" i="939"/>
  <c r="U30" i="939"/>
  <c r="T30" i="939"/>
  <c r="S30" i="939"/>
  <c r="R30" i="939"/>
  <c r="L30" i="939"/>
  <c r="K30" i="939"/>
  <c r="Z29" i="939"/>
  <c r="Y29" i="939"/>
  <c r="X29" i="939"/>
  <c r="W29" i="939"/>
  <c r="V29" i="939"/>
  <c r="U29" i="939"/>
  <c r="T29" i="939"/>
  <c r="S29" i="939"/>
  <c r="R29" i="939"/>
  <c r="M29" i="939"/>
  <c r="Z28" i="939"/>
  <c r="Y28" i="939"/>
  <c r="X28" i="939"/>
  <c r="W28" i="939"/>
  <c r="V28" i="939"/>
  <c r="U28" i="939"/>
  <c r="T28" i="939"/>
  <c r="S28" i="939"/>
  <c r="R28" i="939"/>
  <c r="Z27" i="939"/>
  <c r="Y27" i="939"/>
  <c r="X27" i="939"/>
  <c r="W27" i="939"/>
  <c r="V27" i="939"/>
  <c r="U27" i="939"/>
  <c r="T27" i="939"/>
  <c r="S27" i="939"/>
  <c r="R27" i="939"/>
  <c r="Z26" i="939"/>
  <c r="Y26" i="939"/>
  <c r="X26" i="939"/>
  <c r="W26" i="939"/>
  <c r="V26" i="939"/>
  <c r="U26" i="939"/>
  <c r="T26" i="939"/>
  <c r="S26" i="939"/>
  <c r="R26" i="939"/>
  <c r="M26" i="939"/>
  <c r="L26" i="939"/>
  <c r="K26" i="939"/>
  <c r="Z25" i="939"/>
  <c r="Y25" i="939"/>
  <c r="X25" i="939"/>
  <c r="W25" i="939"/>
  <c r="V25" i="939"/>
  <c r="U25" i="939"/>
  <c r="T25" i="939"/>
  <c r="S25" i="939"/>
  <c r="R25" i="939"/>
  <c r="M25" i="939"/>
  <c r="L25" i="939"/>
  <c r="K25" i="939"/>
  <c r="R24" i="939"/>
  <c r="Z23" i="939"/>
  <c r="Y23" i="939"/>
  <c r="X23" i="939"/>
  <c r="W23" i="939"/>
  <c r="V23" i="939"/>
  <c r="U23" i="939"/>
  <c r="T23" i="939"/>
  <c r="S23" i="939"/>
  <c r="R23" i="939"/>
  <c r="Z22" i="939"/>
  <c r="Y22" i="939"/>
  <c r="X22" i="939"/>
  <c r="W22" i="939"/>
  <c r="V22" i="939"/>
  <c r="U22" i="939"/>
  <c r="T22" i="939"/>
  <c r="S22" i="939"/>
  <c r="R22" i="939"/>
  <c r="Z21" i="939"/>
  <c r="Y21" i="939"/>
  <c r="X21" i="939"/>
  <c r="W21" i="939"/>
  <c r="V21" i="939"/>
  <c r="U21" i="939"/>
  <c r="T21" i="939"/>
  <c r="S21" i="939"/>
  <c r="R21" i="939"/>
  <c r="M28" i="938"/>
  <c r="L28" i="938"/>
  <c r="K28" i="938"/>
  <c r="M27" i="938"/>
  <c r="L27" i="938"/>
  <c r="K27" i="938"/>
  <c r="M33" i="938"/>
  <c r="L33" i="938"/>
  <c r="K33" i="938"/>
  <c r="K34" i="939" l="1"/>
  <c r="L34" i="939" s="1"/>
  <c r="U24" i="939"/>
  <c r="Z24" i="939"/>
  <c r="S24" i="939"/>
  <c r="T24" i="939"/>
  <c r="W24" i="939"/>
  <c r="V24" i="939"/>
  <c r="X24" i="939"/>
  <c r="Y24" i="939"/>
  <c r="R11" i="938"/>
  <c r="S11" i="938"/>
  <c r="T11" i="938"/>
  <c r="U11" i="938"/>
  <c r="V11" i="938"/>
  <c r="W11" i="938"/>
  <c r="X11" i="938"/>
  <c r="Y11" i="938"/>
  <c r="Z11" i="938"/>
  <c r="R12" i="938"/>
  <c r="S12" i="938"/>
  <c r="T12" i="938"/>
  <c r="U12" i="938"/>
  <c r="V12" i="938"/>
  <c r="W12" i="938"/>
  <c r="X12" i="938"/>
  <c r="Y12" i="938"/>
  <c r="Z12" i="938"/>
  <c r="R13" i="938"/>
  <c r="S13" i="938"/>
  <c r="T13" i="938"/>
  <c r="U13" i="938"/>
  <c r="V13" i="938"/>
  <c r="W13" i="938"/>
  <c r="X13" i="938"/>
  <c r="Y13" i="938"/>
  <c r="Z13" i="938"/>
  <c r="R14" i="938"/>
  <c r="S14" i="938"/>
  <c r="T14" i="938"/>
  <c r="U14" i="938"/>
  <c r="V14" i="938"/>
  <c r="W14" i="938"/>
  <c r="X14" i="938"/>
  <c r="Y14" i="938"/>
  <c r="Z14" i="938"/>
  <c r="R15" i="938"/>
  <c r="S15" i="938"/>
  <c r="T15" i="938"/>
  <c r="U15" i="938"/>
  <c r="V15" i="938"/>
  <c r="W15" i="938"/>
  <c r="X15" i="938"/>
  <c r="Y15" i="938"/>
  <c r="Z15" i="938"/>
  <c r="R16" i="938"/>
  <c r="S16" i="938"/>
  <c r="T16" i="938"/>
  <c r="U16" i="938"/>
  <c r="V16" i="938"/>
  <c r="W16" i="938"/>
  <c r="X16" i="938"/>
  <c r="Y16" i="938"/>
  <c r="Z16" i="938"/>
  <c r="R17" i="938"/>
  <c r="S17" i="938"/>
  <c r="T17" i="938"/>
  <c r="U17" i="938"/>
  <c r="V17" i="938"/>
  <c r="W17" i="938"/>
  <c r="X17" i="938"/>
  <c r="Y17" i="938"/>
  <c r="Z17" i="938"/>
  <c r="R18" i="938"/>
  <c r="S18" i="938"/>
  <c r="T18" i="938"/>
  <c r="U18" i="938"/>
  <c r="V18" i="938"/>
  <c r="W18" i="938"/>
  <c r="X18" i="938"/>
  <c r="Y18" i="938"/>
  <c r="Z18" i="938"/>
  <c r="R19" i="938"/>
  <c r="S19" i="938"/>
  <c r="T19" i="938"/>
  <c r="U19" i="938"/>
  <c r="V19" i="938"/>
  <c r="W19" i="938"/>
  <c r="X19" i="938"/>
  <c r="Y19" i="938"/>
  <c r="Z19" i="938"/>
  <c r="R20" i="938"/>
  <c r="S20" i="938"/>
  <c r="T20" i="938"/>
  <c r="U20" i="938"/>
  <c r="V20" i="938"/>
  <c r="W20" i="938"/>
  <c r="X20" i="938"/>
  <c r="Y20" i="938"/>
  <c r="Z20" i="938"/>
  <c r="R21" i="938"/>
  <c r="S21" i="938"/>
  <c r="T21" i="938"/>
  <c r="U21" i="938"/>
  <c r="V21" i="938"/>
  <c r="W21" i="938"/>
  <c r="X21" i="938"/>
  <c r="Y21" i="938"/>
  <c r="Z21" i="938"/>
  <c r="R22" i="938"/>
  <c r="S22" i="938"/>
  <c r="T22" i="938"/>
  <c r="U22" i="938"/>
  <c r="V22" i="938"/>
  <c r="W22" i="938"/>
  <c r="X22" i="938"/>
  <c r="Y22" i="938"/>
  <c r="Z22" i="938"/>
  <c r="R23" i="938"/>
  <c r="S23" i="938"/>
  <c r="T23" i="938"/>
  <c r="U23" i="938"/>
  <c r="V23" i="938"/>
  <c r="W23" i="938"/>
  <c r="X23" i="938"/>
  <c r="Y23" i="938"/>
  <c r="Z23" i="938"/>
  <c r="R24" i="938"/>
  <c r="S24" i="938"/>
  <c r="T24" i="938"/>
  <c r="U24" i="938"/>
  <c r="V24" i="938"/>
  <c r="W24" i="938"/>
  <c r="X24" i="938"/>
  <c r="Y24" i="938"/>
  <c r="Z24" i="938"/>
  <c r="K18" i="938"/>
  <c r="N20" i="938"/>
  <c r="K19" i="938"/>
  <c r="L19" i="938"/>
  <c r="M19" i="938"/>
  <c r="N19" i="938"/>
  <c r="O19" i="938"/>
  <c r="I20" i="938"/>
  <c r="J20" i="938"/>
  <c r="K20" i="938"/>
  <c r="L20" i="938"/>
  <c r="M20" i="938"/>
  <c r="O20" i="938"/>
  <c r="O18" i="938"/>
  <c r="M18" i="938"/>
  <c r="L18" i="938"/>
  <c r="J18" i="938"/>
  <c r="I18" i="938"/>
  <c r="C19" i="938"/>
  <c r="D19" i="938"/>
  <c r="E19" i="938"/>
  <c r="F19" i="938"/>
  <c r="G19" i="938"/>
  <c r="C20" i="938"/>
  <c r="D20" i="938"/>
  <c r="E20" i="938"/>
  <c r="F20" i="938"/>
  <c r="G20" i="938"/>
  <c r="G18" i="938"/>
  <c r="F18" i="938"/>
  <c r="E18" i="938"/>
  <c r="D18" i="938"/>
  <c r="C18" i="938"/>
  <c r="O16" i="938"/>
  <c r="N16" i="938"/>
  <c r="M16" i="938"/>
  <c r="L16" i="938"/>
  <c r="K16" i="938"/>
  <c r="J16" i="938"/>
  <c r="I16" i="938"/>
  <c r="J28" i="938" s="1"/>
  <c r="G16" i="938"/>
  <c r="F16" i="938"/>
  <c r="E16" i="938"/>
  <c r="D16" i="938"/>
  <c r="C16" i="938"/>
  <c r="N18" i="938" l="1"/>
  <c r="I19" i="938" l="1"/>
  <c r="J27" i="938" s="1"/>
  <c r="J19" i="938"/>
  <c r="J12" i="938" l="1"/>
  <c r="I12" i="938"/>
  <c r="J11" i="938"/>
  <c r="I11" i="938"/>
  <c r="J10" i="938"/>
  <c r="C11" i="938"/>
  <c r="D11" i="938"/>
  <c r="E11" i="938"/>
  <c r="F11" i="938"/>
  <c r="G11" i="938"/>
  <c r="C12" i="938"/>
  <c r="D12" i="938"/>
  <c r="E12" i="938"/>
  <c r="F12" i="938"/>
  <c r="G12" i="938"/>
  <c r="C13" i="938"/>
  <c r="D13" i="938"/>
  <c r="E13" i="938"/>
  <c r="F13" i="938"/>
  <c r="G13" i="938"/>
  <c r="I10" i="938"/>
  <c r="L10" i="938"/>
  <c r="M10" i="938"/>
  <c r="N10" i="938"/>
  <c r="O10" i="938"/>
  <c r="L11" i="938"/>
  <c r="M11" i="938"/>
  <c r="N11" i="938"/>
  <c r="O11" i="938"/>
  <c r="L12" i="938"/>
  <c r="M12" i="938"/>
  <c r="N12" i="938"/>
  <c r="O12" i="938"/>
  <c r="I13" i="938"/>
  <c r="J13" i="938"/>
  <c r="L13" i="938"/>
  <c r="M13" i="938"/>
  <c r="N13" i="938"/>
  <c r="O13" i="938"/>
  <c r="C10" i="938"/>
  <c r="D10" i="938"/>
  <c r="E10" i="938"/>
  <c r="F10" i="938"/>
  <c r="G10" i="938"/>
  <c r="C27" i="938" a="1"/>
  <c r="C27" i="938" s="1"/>
  <c r="B27" i="938"/>
  <c r="X27" i="938" s="1"/>
  <c r="B56" i="938"/>
  <c r="F74" i="938"/>
  <c r="L60" i="938"/>
  <c r="AX58" i="938"/>
  <c r="AW58" i="938"/>
  <c r="AV58" i="938"/>
  <c r="AU58" i="938"/>
  <c r="AT58" i="938"/>
  <c r="AS58" i="938"/>
  <c r="AR58" i="938"/>
  <c r="AQ58" i="938"/>
  <c r="AP58" i="938"/>
  <c r="AO58" i="938"/>
  <c r="AN58" i="938"/>
  <c r="AM58" i="938"/>
  <c r="AL58" i="938"/>
  <c r="AK58" i="938"/>
  <c r="AJ58" i="938"/>
  <c r="AI58" i="938"/>
  <c r="AH58" i="938"/>
  <c r="AG58" i="938"/>
  <c r="AF58" i="938"/>
  <c r="AE58" i="938"/>
  <c r="AD58" i="938"/>
  <c r="AC58" i="938"/>
  <c r="AB58" i="938"/>
  <c r="AX57" i="938"/>
  <c r="AW57" i="938"/>
  <c r="AV57" i="938"/>
  <c r="AU57" i="938"/>
  <c r="AT57" i="938"/>
  <c r="AS57" i="938"/>
  <c r="AR57" i="938"/>
  <c r="AQ57" i="938"/>
  <c r="AP57" i="938"/>
  <c r="AO57" i="938"/>
  <c r="AN57" i="938"/>
  <c r="AM57" i="938"/>
  <c r="AL57" i="938"/>
  <c r="AK57" i="938"/>
  <c r="AJ57" i="938"/>
  <c r="AI57" i="938"/>
  <c r="AH57" i="938"/>
  <c r="AG57" i="938"/>
  <c r="AF57" i="938"/>
  <c r="AE57" i="938"/>
  <c r="AD57" i="938"/>
  <c r="AC57" i="938"/>
  <c r="AB57" i="938"/>
  <c r="AX56" i="938"/>
  <c r="AW56" i="938"/>
  <c r="AV56" i="938"/>
  <c r="AU56" i="938"/>
  <c r="AT56" i="938"/>
  <c r="AS56" i="938"/>
  <c r="AR56" i="938"/>
  <c r="AQ56" i="938"/>
  <c r="AP56" i="938"/>
  <c r="AO56" i="938"/>
  <c r="AN56" i="938"/>
  <c r="AM56" i="938"/>
  <c r="AL56" i="938"/>
  <c r="AK56" i="938"/>
  <c r="AJ56" i="938"/>
  <c r="AI56" i="938"/>
  <c r="AH56" i="938"/>
  <c r="AG56" i="938"/>
  <c r="AF56" i="938"/>
  <c r="AE56" i="938"/>
  <c r="AD56" i="938"/>
  <c r="AC56" i="938"/>
  <c r="AB56" i="938"/>
  <c r="K51" i="938"/>
  <c r="L42" i="938" s="1"/>
  <c r="M42" i="938" s="1"/>
  <c r="Z38" i="938"/>
  <c r="Y38" i="938"/>
  <c r="X38" i="938"/>
  <c r="W38" i="938"/>
  <c r="V38" i="938"/>
  <c r="U38" i="938"/>
  <c r="T38" i="938"/>
  <c r="S38" i="938"/>
  <c r="R38" i="938"/>
  <c r="Z37" i="938"/>
  <c r="Y37" i="938"/>
  <c r="X37" i="938"/>
  <c r="W37" i="938"/>
  <c r="V37" i="938"/>
  <c r="U37" i="938"/>
  <c r="T37" i="938"/>
  <c r="S37" i="938"/>
  <c r="R37" i="938"/>
  <c r="Z36" i="938"/>
  <c r="Y36" i="938"/>
  <c r="X36" i="938"/>
  <c r="W36" i="938"/>
  <c r="V36" i="938"/>
  <c r="U36" i="938"/>
  <c r="T36" i="938"/>
  <c r="S36" i="938"/>
  <c r="R36" i="938"/>
  <c r="Z35" i="938"/>
  <c r="Y35" i="938"/>
  <c r="X35" i="938"/>
  <c r="W35" i="938"/>
  <c r="V35" i="938"/>
  <c r="U35" i="938"/>
  <c r="T35" i="938"/>
  <c r="S35" i="938"/>
  <c r="R35" i="938"/>
  <c r="Z34" i="938"/>
  <c r="Y34" i="938"/>
  <c r="X34" i="938"/>
  <c r="W34" i="938"/>
  <c r="V34" i="938"/>
  <c r="U34" i="938"/>
  <c r="T34" i="938"/>
  <c r="S34" i="938"/>
  <c r="R34" i="938"/>
  <c r="Z33" i="938"/>
  <c r="Y33" i="938"/>
  <c r="X33" i="938"/>
  <c r="W33" i="938"/>
  <c r="V33" i="938"/>
  <c r="U33" i="938"/>
  <c r="T33" i="938"/>
  <c r="S33" i="938"/>
  <c r="R33" i="938"/>
  <c r="Z32" i="938"/>
  <c r="Y32" i="938"/>
  <c r="X32" i="938"/>
  <c r="W32" i="938"/>
  <c r="V32" i="938"/>
  <c r="U32" i="938"/>
  <c r="T32" i="938"/>
  <c r="S32" i="938"/>
  <c r="R32" i="938"/>
  <c r="M32" i="938"/>
  <c r="Z31" i="938"/>
  <c r="Y31" i="938"/>
  <c r="X31" i="938"/>
  <c r="W31" i="938"/>
  <c r="V31" i="938"/>
  <c r="U31" i="938"/>
  <c r="T31" i="938"/>
  <c r="S31" i="938"/>
  <c r="R31" i="938"/>
  <c r="Z30" i="938"/>
  <c r="Y30" i="938"/>
  <c r="X30" i="938"/>
  <c r="W30" i="938"/>
  <c r="V30" i="938"/>
  <c r="U30" i="938"/>
  <c r="T30" i="938"/>
  <c r="S30" i="938"/>
  <c r="R30" i="938"/>
  <c r="Z29" i="938"/>
  <c r="Y29" i="938"/>
  <c r="X29" i="938"/>
  <c r="W29" i="938"/>
  <c r="V29" i="938"/>
  <c r="U29" i="938"/>
  <c r="T29" i="938"/>
  <c r="S29" i="938"/>
  <c r="R29" i="938"/>
  <c r="M29" i="938"/>
  <c r="L29" i="938"/>
  <c r="K29" i="938"/>
  <c r="Z28" i="938"/>
  <c r="Y28" i="938"/>
  <c r="X28" i="938"/>
  <c r="W28" i="938"/>
  <c r="V28" i="938"/>
  <c r="U28" i="938"/>
  <c r="T28" i="938"/>
  <c r="S28" i="938"/>
  <c r="R28" i="938"/>
  <c r="Z26" i="938"/>
  <c r="Y26" i="938"/>
  <c r="X26" i="938"/>
  <c r="W26" i="938"/>
  <c r="V26" i="938"/>
  <c r="U26" i="938"/>
  <c r="T26" i="938"/>
  <c r="S26" i="938"/>
  <c r="R26" i="938"/>
  <c r="Z25" i="938"/>
  <c r="Y25" i="938"/>
  <c r="X25" i="938"/>
  <c r="W25" i="938"/>
  <c r="V25" i="938"/>
  <c r="U25" i="938"/>
  <c r="T25" i="938"/>
  <c r="S25" i="938"/>
  <c r="R25" i="938"/>
  <c r="Z10" i="938"/>
  <c r="Y10" i="938"/>
  <c r="X10" i="938"/>
  <c r="W10" i="938"/>
  <c r="V10" i="938"/>
  <c r="U10" i="938"/>
  <c r="T10" i="938"/>
  <c r="S10" i="938"/>
  <c r="R10" i="938"/>
  <c r="J33" i="938" l="1"/>
  <c r="R27" i="938"/>
  <c r="S27" i="938"/>
  <c r="T27" i="938"/>
  <c r="U27" i="938"/>
  <c r="V27" i="938"/>
  <c r="Y27" i="938"/>
  <c r="Z27" i="938"/>
  <c r="W27" i="938"/>
  <c r="B53" i="937"/>
  <c r="B51" i="937"/>
  <c r="M28" i="937"/>
  <c r="L28" i="937"/>
  <c r="K28" i="937"/>
  <c r="R13" i="937"/>
  <c r="S13" i="937"/>
  <c r="T13" i="937"/>
  <c r="U13" i="937"/>
  <c r="V13" i="937"/>
  <c r="W13" i="937"/>
  <c r="X13" i="937"/>
  <c r="Y13" i="937"/>
  <c r="Z13" i="937"/>
  <c r="R14" i="937"/>
  <c r="S14" i="937"/>
  <c r="T14" i="937"/>
  <c r="U14" i="937"/>
  <c r="V14" i="937"/>
  <c r="W14" i="937"/>
  <c r="X14" i="937"/>
  <c r="Y14" i="937"/>
  <c r="Z14" i="937"/>
  <c r="R15" i="937"/>
  <c r="S15" i="937"/>
  <c r="T15" i="937"/>
  <c r="U15" i="937"/>
  <c r="V15" i="937"/>
  <c r="W15" i="937"/>
  <c r="X15" i="937"/>
  <c r="Y15" i="937"/>
  <c r="Z15" i="937"/>
  <c r="R16" i="937"/>
  <c r="S16" i="937"/>
  <c r="T16" i="937"/>
  <c r="U16" i="937"/>
  <c r="V16" i="937"/>
  <c r="W16" i="937"/>
  <c r="X16" i="937"/>
  <c r="Y16" i="937"/>
  <c r="Z16" i="937"/>
  <c r="R17" i="937"/>
  <c r="S17" i="937"/>
  <c r="T17" i="937"/>
  <c r="U17" i="937"/>
  <c r="V17" i="937"/>
  <c r="W17" i="937"/>
  <c r="X17" i="937"/>
  <c r="Y17" i="937"/>
  <c r="Z17" i="937"/>
  <c r="R18" i="937"/>
  <c r="S18" i="937"/>
  <c r="T18" i="937"/>
  <c r="U18" i="937"/>
  <c r="V18" i="937"/>
  <c r="W18" i="937"/>
  <c r="X18" i="937"/>
  <c r="Y18" i="937"/>
  <c r="Z18" i="937"/>
  <c r="R19" i="937"/>
  <c r="S19" i="937"/>
  <c r="T19" i="937"/>
  <c r="U19" i="937"/>
  <c r="V19" i="937"/>
  <c r="W19" i="937"/>
  <c r="X19" i="937"/>
  <c r="Y19" i="937"/>
  <c r="Z19" i="937"/>
  <c r="R20" i="937"/>
  <c r="S20" i="937"/>
  <c r="T20" i="937"/>
  <c r="U20" i="937"/>
  <c r="V20" i="937"/>
  <c r="W20" i="937"/>
  <c r="X20" i="937"/>
  <c r="Y20" i="937"/>
  <c r="Z20" i="937"/>
  <c r="R21" i="937"/>
  <c r="S21" i="937"/>
  <c r="T21" i="937"/>
  <c r="U21" i="937"/>
  <c r="V21" i="937"/>
  <c r="W21" i="937"/>
  <c r="X21" i="937"/>
  <c r="Y21" i="937"/>
  <c r="Z21" i="937"/>
  <c r="R22" i="937"/>
  <c r="S22" i="937"/>
  <c r="T22" i="937"/>
  <c r="U22" i="937"/>
  <c r="V22" i="937"/>
  <c r="W22" i="937"/>
  <c r="X22" i="937"/>
  <c r="Y22" i="937"/>
  <c r="Z22" i="937"/>
  <c r="R23" i="937"/>
  <c r="S23" i="937"/>
  <c r="T23" i="937"/>
  <c r="U23" i="937"/>
  <c r="V23" i="937"/>
  <c r="W23" i="937"/>
  <c r="X23" i="937"/>
  <c r="Y23" i="937"/>
  <c r="Z23" i="937"/>
  <c r="R24" i="937"/>
  <c r="S24" i="937"/>
  <c r="T24" i="937"/>
  <c r="U24" i="937"/>
  <c r="V24" i="937"/>
  <c r="W24" i="937"/>
  <c r="X24" i="937"/>
  <c r="Y24" i="937"/>
  <c r="Z24" i="937"/>
  <c r="R25" i="937"/>
  <c r="S25" i="937"/>
  <c r="T25" i="937"/>
  <c r="U25" i="937"/>
  <c r="V25" i="937"/>
  <c r="W25" i="937"/>
  <c r="X25" i="937"/>
  <c r="Y25" i="937"/>
  <c r="Z25" i="937"/>
  <c r="R26" i="937"/>
  <c r="S26" i="937"/>
  <c r="T26" i="937"/>
  <c r="U26" i="937"/>
  <c r="V26" i="937"/>
  <c r="W26" i="937"/>
  <c r="X26" i="937"/>
  <c r="Y26" i="937"/>
  <c r="Z26" i="937"/>
  <c r="R27" i="937"/>
  <c r="S27" i="937"/>
  <c r="T27" i="937"/>
  <c r="U27" i="937"/>
  <c r="V27" i="937"/>
  <c r="W27" i="937"/>
  <c r="X27" i="937"/>
  <c r="Y27" i="937"/>
  <c r="Z27" i="937"/>
  <c r="R28" i="937"/>
  <c r="S28" i="937"/>
  <c r="T28" i="937"/>
  <c r="U28" i="937"/>
  <c r="V28" i="937"/>
  <c r="W28" i="937"/>
  <c r="X28" i="937"/>
  <c r="Y28" i="937"/>
  <c r="Z28" i="937"/>
  <c r="R29" i="937"/>
  <c r="S29" i="937"/>
  <c r="T29" i="937"/>
  <c r="U29" i="937"/>
  <c r="V29" i="937"/>
  <c r="W29" i="937"/>
  <c r="X29" i="937"/>
  <c r="Y29" i="937"/>
  <c r="Z29" i="937"/>
  <c r="C13" i="937"/>
  <c r="D13" i="937"/>
  <c r="E13" i="937"/>
  <c r="F13" i="937"/>
  <c r="G13" i="937"/>
  <c r="I13" i="937"/>
  <c r="J13" i="937"/>
  <c r="L13" i="937"/>
  <c r="M13" i="937"/>
  <c r="N13" i="937"/>
  <c r="O13" i="937"/>
  <c r="C10" i="937"/>
  <c r="D10" i="937"/>
  <c r="E10" i="937"/>
  <c r="F10" i="937"/>
  <c r="G10" i="937"/>
  <c r="I10" i="937"/>
  <c r="J10" i="937"/>
  <c r="L10" i="937"/>
  <c r="M10" i="937"/>
  <c r="N10" i="937"/>
  <c r="O10" i="937"/>
  <c r="C11" i="937"/>
  <c r="D11" i="937"/>
  <c r="E11" i="937"/>
  <c r="F11" i="937"/>
  <c r="G11" i="937"/>
  <c r="I11" i="937"/>
  <c r="J11" i="937"/>
  <c r="L11" i="937"/>
  <c r="M11" i="937"/>
  <c r="N11" i="937"/>
  <c r="O11" i="937"/>
  <c r="C12" i="937"/>
  <c r="D12" i="937"/>
  <c r="E12" i="937"/>
  <c r="F12" i="937"/>
  <c r="G12" i="937"/>
  <c r="I12" i="937"/>
  <c r="J12" i="937"/>
  <c r="L12" i="937"/>
  <c r="M12" i="937"/>
  <c r="N12" i="937"/>
  <c r="O12" i="937"/>
  <c r="J28" i="937" l="1"/>
  <c r="F69" i="937" l="1"/>
  <c r="L55" i="937"/>
  <c r="AX53" i="937"/>
  <c r="AW53" i="937"/>
  <c r="AV53" i="937"/>
  <c r="AU53" i="937"/>
  <c r="AT53" i="937"/>
  <c r="AS53" i="937"/>
  <c r="AR53" i="937"/>
  <c r="AQ53" i="937"/>
  <c r="AP53" i="937"/>
  <c r="AO53" i="937"/>
  <c r="AN53" i="937"/>
  <c r="AM53" i="937"/>
  <c r="AL53" i="937"/>
  <c r="AK53" i="937"/>
  <c r="AJ53" i="937"/>
  <c r="AI53" i="937"/>
  <c r="AH53" i="937"/>
  <c r="AG53" i="937"/>
  <c r="AF53" i="937"/>
  <c r="AE53" i="937"/>
  <c r="AD53" i="937"/>
  <c r="AC53" i="937"/>
  <c r="AB53" i="937"/>
  <c r="AX52" i="937"/>
  <c r="AW52" i="937"/>
  <c r="AV52" i="937"/>
  <c r="AU52" i="937"/>
  <c r="AT52" i="937"/>
  <c r="AS52" i="937"/>
  <c r="AR52" i="937"/>
  <c r="AQ52" i="937"/>
  <c r="AP52" i="937"/>
  <c r="AO52" i="937"/>
  <c r="AN52" i="937"/>
  <c r="AM52" i="937"/>
  <c r="AL52" i="937"/>
  <c r="AK52" i="937"/>
  <c r="AJ52" i="937"/>
  <c r="AI52" i="937"/>
  <c r="AH52" i="937"/>
  <c r="AG52" i="937"/>
  <c r="AF52" i="937"/>
  <c r="AE52" i="937"/>
  <c r="AD52" i="937"/>
  <c r="AC52" i="937"/>
  <c r="AB52" i="937"/>
  <c r="AX51" i="937"/>
  <c r="AW51" i="937"/>
  <c r="AV51" i="937"/>
  <c r="AU51" i="937"/>
  <c r="AT51" i="937"/>
  <c r="AS51" i="937"/>
  <c r="AR51" i="937"/>
  <c r="AQ51" i="937"/>
  <c r="AP51" i="937"/>
  <c r="AO51" i="937"/>
  <c r="AN51" i="937"/>
  <c r="AM51" i="937"/>
  <c r="AL51" i="937"/>
  <c r="AK51" i="937"/>
  <c r="AJ51" i="937"/>
  <c r="AI51" i="937"/>
  <c r="AH51" i="937"/>
  <c r="AG51" i="937"/>
  <c r="AF51" i="937"/>
  <c r="AE51" i="937"/>
  <c r="AD51" i="937"/>
  <c r="AC51" i="937"/>
  <c r="AB51" i="937"/>
  <c r="K46" i="937"/>
  <c r="L37" i="937" s="1"/>
  <c r="Z33" i="937"/>
  <c r="Y33" i="937"/>
  <c r="X33" i="937"/>
  <c r="W33" i="937"/>
  <c r="V33" i="937"/>
  <c r="U33" i="937"/>
  <c r="T33" i="937"/>
  <c r="S33" i="937"/>
  <c r="R33" i="937"/>
  <c r="Z32" i="937"/>
  <c r="Y32" i="937"/>
  <c r="X32" i="937"/>
  <c r="W32" i="937"/>
  <c r="V32" i="937"/>
  <c r="U32" i="937"/>
  <c r="T32" i="937"/>
  <c r="S32" i="937"/>
  <c r="R32" i="937"/>
  <c r="Z31" i="937"/>
  <c r="Y31" i="937"/>
  <c r="X31" i="937"/>
  <c r="W31" i="937"/>
  <c r="V31" i="937"/>
  <c r="U31" i="937"/>
  <c r="T31" i="937"/>
  <c r="S31" i="937"/>
  <c r="R31" i="937"/>
  <c r="Z30" i="937"/>
  <c r="Y30" i="937"/>
  <c r="X30" i="937"/>
  <c r="W30" i="937"/>
  <c r="V30" i="937"/>
  <c r="U30" i="937"/>
  <c r="T30" i="937"/>
  <c r="S30" i="937"/>
  <c r="R30" i="937"/>
  <c r="M27" i="937"/>
  <c r="M24" i="937"/>
  <c r="L24" i="937"/>
  <c r="K24" i="937"/>
  <c r="M22" i="937"/>
  <c r="L22" i="937"/>
  <c r="K22" i="937"/>
  <c r="Z12" i="937"/>
  <c r="Y12" i="937"/>
  <c r="X12" i="937"/>
  <c r="W12" i="937"/>
  <c r="V12" i="937"/>
  <c r="U12" i="937"/>
  <c r="T12" i="937"/>
  <c r="S12" i="937"/>
  <c r="R12" i="937"/>
  <c r="Z11" i="937"/>
  <c r="Y11" i="937"/>
  <c r="X11" i="937"/>
  <c r="W11" i="937"/>
  <c r="V11" i="937"/>
  <c r="U11" i="937"/>
  <c r="T11" i="937"/>
  <c r="S11" i="937"/>
  <c r="R11" i="937"/>
  <c r="Z10" i="937"/>
  <c r="Y10" i="937"/>
  <c r="X10" i="937"/>
  <c r="W10" i="937"/>
  <c r="V10" i="937"/>
  <c r="U10" i="937"/>
  <c r="T10" i="937"/>
  <c r="S10" i="937"/>
  <c r="R10" i="937"/>
  <c r="C26" i="936" a="1"/>
  <c r="C26" i="936" s="1"/>
  <c r="B26" i="936"/>
  <c r="M37" i="937" l="1"/>
  <c r="B55" i="936"/>
  <c r="L41" i="936"/>
  <c r="J50" i="936"/>
  <c r="L16" i="936"/>
  <c r="M16" i="936"/>
  <c r="N16" i="936"/>
  <c r="O16" i="936"/>
  <c r="L17" i="936"/>
  <c r="M17" i="936"/>
  <c r="N17" i="936"/>
  <c r="O17" i="936"/>
  <c r="D16" i="936"/>
  <c r="E16" i="936"/>
  <c r="F16" i="936"/>
  <c r="G16" i="936"/>
  <c r="D17" i="936"/>
  <c r="E17" i="936"/>
  <c r="F17" i="936"/>
  <c r="G17" i="936"/>
  <c r="L17" i="935"/>
  <c r="M17" i="935"/>
  <c r="N17" i="935"/>
  <c r="O17" i="935"/>
  <c r="D17" i="935"/>
  <c r="E17" i="935"/>
  <c r="F17" i="935"/>
  <c r="G17" i="935"/>
  <c r="R10" i="936"/>
  <c r="S10" i="936"/>
  <c r="T10" i="936"/>
  <c r="U10" i="936"/>
  <c r="V10" i="936"/>
  <c r="W10" i="936"/>
  <c r="X10" i="936"/>
  <c r="Y10" i="936"/>
  <c r="Z10" i="936"/>
  <c r="R11" i="936"/>
  <c r="S11" i="936"/>
  <c r="T11" i="936"/>
  <c r="U11" i="936"/>
  <c r="V11" i="936"/>
  <c r="W11" i="936"/>
  <c r="X11" i="936"/>
  <c r="Y11" i="936"/>
  <c r="Z11" i="936"/>
  <c r="R12" i="936"/>
  <c r="S12" i="936"/>
  <c r="T12" i="936"/>
  <c r="U12" i="936"/>
  <c r="V12" i="936"/>
  <c r="W12" i="936"/>
  <c r="X12" i="936"/>
  <c r="Y12" i="936"/>
  <c r="Z12" i="936"/>
  <c r="R13" i="936"/>
  <c r="S13" i="936"/>
  <c r="T13" i="936"/>
  <c r="U13" i="936"/>
  <c r="V13" i="936"/>
  <c r="W13" i="936"/>
  <c r="X13" i="936"/>
  <c r="Y13" i="936"/>
  <c r="Z13" i="936"/>
  <c r="R14" i="936"/>
  <c r="S14" i="936"/>
  <c r="T14" i="936"/>
  <c r="U14" i="936"/>
  <c r="V14" i="936"/>
  <c r="W14" i="936"/>
  <c r="X14" i="936"/>
  <c r="Y14" i="936"/>
  <c r="Z14" i="936"/>
  <c r="R16" i="936"/>
  <c r="S16" i="936"/>
  <c r="T16" i="936"/>
  <c r="U16" i="936"/>
  <c r="V16" i="936"/>
  <c r="W16" i="936"/>
  <c r="X16" i="936"/>
  <c r="Y16" i="936"/>
  <c r="Z16" i="936"/>
  <c r="R17" i="936"/>
  <c r="S17" i="936"/>
  <c r="T17" i="936"/>
  <c r="U17" i="936"/>
  <c r="V17" i="936"/>
  <c r="W17" i="936"/>
  <c r="X17" i="936"/>
  <c r="Y17" i="936"/>
  <c r="Z17" i="936"/>
  <c r="R18" i="936"/>
  <c r="S18" i="936"/>
  <c r="T18" i="936"/>
  <c r="U18" i="936"/>
  <c r="V18" i="936"/>
  <c r="W18" i="936"/>
  <c r="X18" i="936"/>
  <c r="Y18" i="936"/>
  <c r="Z18" i="936"/>
  <c r="R19" i="936"/>
  <c r="S19" i="936"/>
  <c r="T19" i="936"/>
  <c r="U19" i="936"/>
  <c r="V19" i="936"/>
  <c r="W19" i="936"/>
  <c r="X19" i="936"/>
  <c r="Y19" i="936"/>
  <c r="Z19" i="936"/>
  <c r="R20" i="936"/>
  <c r="S20" i="936"/>
  <c r="T20" i="936"/>
  <c r="U20" i="936"/>
  <c r="V20" i="936"/>
  <c r="W20" i="936"/>
  <c r="X20" i="936"/>
  <c r="Y20" i="936"/>
  <c r="Z20" i="936"/>
  <c r="L10" i="936"/>
  <c r="M10" i="936"/>
  <c r="N10" i="936"/>
  <c r="O10" i="936"/>
  <c r="L11" i="936"/>
  <c r="M11" i="936"/>
  <c r="N11" i="936"/>
  <c r="O11" i="936"/>
  <c r="L12" i="936"/>
  <c r="M12" i="936"/>
  <c r="N12" i="936"/>
  <c r="O12" i="936"/>
  <c r="L13" i="936"/>
  <c r="M13" i="936"/>
  <c r="N13" i="936"/>
  <c r="O13" i="936"/>
  <c r="L14" i="936"/>
  <c r="M14" i="936"/>
  <c r="N14" i="936"/>
  <c r="O14" i="936"/>
  <c r="D10" i="936"/>
  <c r="E10" i="936"/>
  <c r="F10" i="936"/>
  <c r="G10" i="936"/>
  <c r="D11" i="936"/>
  <c r="E11" i="936"/>
  <c r="F11" i="936"/>
  <c r="G11" i="936"/>
  <c r="D12" i="936"/>
  <c r="E12" i="936"/>
  <c r="F12" i="936"/>
  <c r="G12" i="936"/>
  <c r="D13" i="936"/>
  <c r="E13" i="936"/>
  <c r="F13" i="936"/>
  <c r="G13" i="936"/>
  <c r="D14" i="936"/>
  <c r="E14" i="936"/>
  <c r="F14" i="936"/>
  <c r="G14" i="936"/>
  <c r="F73" i="936"/>
  <c r="L59" i="936"/>
  <c r="AX57" i="936"/>
  <c r="AW57" i="936"/>
  <c r="AV57" i="936"/>
  <c r="AU57" i="936"/>
  <c r="AT57" i="936"/>
  <c r="AS57" i="936"/>
  <c r="AR57" i="936"/>
  <c r="AQ57" i="936"/>
  <c r="AP57" i="936"/>
  <c r="AO57" i="936"/>
  <c r="AN57" i="936"/>
  <c r="AM57" i="936"/>
  <c r="AL57" i="936"/>
  <c r="AK57" i="936"/>
  <c r="AJ57" i="936"/>
  <c r="AI57" i="936"/>
  <c r="AH57" i="936"/>
  <c r="AG57" i="936"/>
  <c r="AF57" i="936"/>
  <c r="AE57" i="936"/>
  <c r="AD57" i="936"/>
  <c r="AC57" i="936"/>
  <c r="AB57" i="936"/>
  <c r="AX56" i="936"/>
  <c r="AW56" i="936"/>
  <c r="AV56" i="936"/>
  <c r="AU56" i="936"/>
  <c r="AT56" i="936"/>
  <c r="AS56" i="936"/>
  <c r="AR56" i="936"/>
  <c r="AQ56" i="936"/>
  <c r="AP56" i="936"/>
  <c r="AO56" i="936"/>
  <c r="AN56" i="936"/>
  <c r="AM56" i="936"/>
  <c r="AL56" i="936"/>
  <c r="AK56" i="936"/>
  <c r="AJ56" i="936"/>
  <c r="AI56" i="936"/>
  <c r="AH56" i="936"/>
  <c r="AG56" i="936"/>
  <c r="AF56" i="936"/>
  <c r="AE56" i="936"/>
  <c r="AD56" i="936"/>
  <c r="AC56" i="936"/>
  <c r="AB56" i="936"/>
  <c r="AX55" i="936"/>
  <c r="AW55" i="936"/>
  <c r="AV55" i="936"/>
  <c r="AU55" i="936"/>
  <c r="AT55" i="936"/>
  <c r="AS55" i="936"/>
  <c r="AR55" i="936"/>
  <c r="AQ55" i="936"/>
  <c r="AP55" i="936"/>
  <c r="AO55" i="936"/>
  <c r="AN55" i="936"/>
  <c r="AM55" i="936"/>
  <c r="AL55" i="936"/>
  <c r="AK55" i="936"/>
  <c r="AJ55" i="936"/>
  <c r="AI55" i="936"/>
  <c r="AH55" i="936"/>
  <c r="AG55" i="936"/>
  <c r="AF55" i="936"/>
  <c r="AE55" i="936"/>
  <c r="AD55" i="936"/>
  <c r="AC55" i="936"/>
  <c r="AB55" i="936"/>
  <c r="K50" i="936"/>
  <c r="Z37" i="936"/>
  <c r="Y37" i="936"/>
  <c r="X37" i="936"/>
  <c r="W37" i="936"/>
  <c r="V37" i="936"/>
  <c r="U37" i="936"/>
  <c r="T37" i="936"/>
  <c r="S37" i="936"/>
  <c r="R37" i="936"/>
  <c r="Z36" i="936"/>
  <c r="Y36" i="936"/>
  <c r="X36" i="936"/>
  <c r="W36" i="936"/>
  <c r="V36" i="936"/>
  <c r="U36" i="936"/>
  <c r="T36" i="936"/>
  <c r="S36" i="936"/>
  <c r="R36" i="936"/>
  <c r="Z35" i="936"/>
  <c r="Y35" i="936"/>
  <c r="X35" i="936"/>
  <c r="W35" i="936"/>
  <c r="V35" i="936"/>
  <c r="U35" i="936"/>
  <c r="T35" i="936"/>
  <c r="S35" i="936"/>
  <c r="R35" i="936"/>
  <c r="Z34" i="936"/>
  <c r="Y34" i="936"/>
  <c r="X34" i="936"/>
  <c r="W34" i="936"/>
  <c r="V34" i="936"/>
  <c r="U34" i="936"/>
  <c r="T34" i="936"/>
  <c r="S34" i="936"/>
  <c r="R34" i="936"/>
  <c r="Z33" i="936"/>
  <c r="Y33" i="936"/>
  <c r="X33" i="936"/>
  <c r="W33" i="936"/>
  <c r="V33" i="936"/>
  <c r="U33" i="936"/>
  <c r="T33" i="936"/>
  <c r="S33" i="936"/>
  <c r="R33" i="936"/>
  <c r="Z32" i="936"/>
  <c r="Y32" i="936"/>
  <c r="X32" i="936"/>
  <c r="W32" i="936"/>
  <c r="V32" i="936"/>
  <c r="U32" i="936"/>
  <c r="T32" i="936"/>
  <c r="S32" i="936"/>
  <c r="R32" i="936"/>
  <c r="M32" i="936"/>
  <c r="Z31" i="936"/>
  <c r="Y31" i="936"/>
  <c r="X31" i="936"/>
  <c r="W31" i="936"/>
  <c r="V31" i="936"/>
  <c r="U31" i="936"/>
  <c r="T31" i="936"/>
  <c r="S31" i="936"/>
  <c r="R31" i="936"/>
  <c r="M31" i="936"/>
  <c r="Z30" i="936"/>
  <c r="Y30" i="936"/>
  <c r="X30" i="936"/>
  <c r="W30" i="936"/>
  <c r="V30" i="936"/>
  <c r="U30" i="936"/>
  <c r="T30" i="936"/>
  <c r="S30" i="936"/>
  <c r="R30" i="936"/>
  <c r="Z29" i="936"/>
  <c r="Y29" i="936"/>
  <c r="X29" i="936"/>
  <c r="W29" i="936"/>
  <c r="V29" i="936"/>
  <c r="U29" i="936"/>
  <c r="T29" i="936"/>
  <c r="S29" i="936"/>
  <c r="R29" i="936"/>
  <c r="Z28" i="936"/>
  <c r="Y28" i="936"/>
  <c r="X28" i="936"/>
  <c r="W28" i="936"/>
  <c r="V28" i="936"/>
  <c r="U28" i="936"/>
  <c r="T28" i="936"/>
  <c r="S28" i="936"/>
  <c r="R28" i="936"/>
  <c r="M28" i="936"/>
  <c r="L28" i="936"/>
  <c r="K28" i="936"/>
  <c r="Z27" i="936"/>
  <c r="Y27" i="936"/>
  <c r="X27" i="936"/>
  <c r="W27" i="936"/>
  <c r="V27" i="936"/>
  <c r="U27" i="936"/>
  <c r="T27" i="936"/>
  <c r="S27" i="936"/>
  <c r="R27" i="936"/>
  <c r="W26" i="936"/>
  <c r="R26" i="936"/>
  <c r="M26" i="936"/>
  <c r="L26" i="936"/>
  <c r="K26" i="936"/>
  <c r="U26" i="936"/>
  <c r="Z25" i="936"/>
  <c r="Y25" i="936"/>
  <c r="X25" i="936"/>
  <c r="W25" i="936"/>
  <c r="V25" i="936"/>
  <c r="U25" i="936"/>
  <c r="T25" i="936"/>
  <c r="S25" i="936"/>
  <c r="R25" i="936"/>
  <c r="Z24" i="936"/>
  <c r="Y24" i="936"/>
  <c r="X24" i="936"/>
  <c r="W24" i="936"/>
  <c r="V24" i="936"/>
  <c r="U24" i="936"/>
  <c r="T24" i="936"/>
  <c r="S24" i="936"/>
  <c r="R24" i="936"/>
  <c r="Z23" i="936"/>
  <c r="Y23" i="936"/>
  <c r="X23" i="936"/>
  <c r="W23" i="936"/>
  <c r="V23" i="936"/>
  <c r="U23" i="936"/>
  <c r="T23" i="936"/>
  <c r="S23" i="936"/>
  <c r="R23" i="936"/>
  <c r="Z22" i="936"/>
  <c r="Y22" i="936"/>
  <c r="X22" i="936"/>
  <c r="W22" i="936"/>
  <c r="V22" i="936"/>
  <c r="U22" i="936"/>
  <c r="T22" i="936"/>
  <c r="S22" i="936"/>
  <c r="R22" i="936"/>
  <c r="Z21" i="936"/>
  <c r="Y21" i="936"/>
  <c r="X21" i="936"/>
  <c r="W21" i="936"/>
  <c r="V21" i="936"/>
  <c r="U21" i="936"/>
  <c r="T21" i="936"/>
  <c r="S21" i="936"/>
  <c r="R21" i="936"/>
  <c r="V26" i="936" l="1"/>
  <c r="Y26" i="936"/>
  <c r="Z26" i="936"/>
  <c r="X26" i="936"/>
  <c r="S26" i="936"/>
  <c r="T26" i="936"/>
  <c r="E55" i="935"/>
  <c r="B55" i="935"/>
  <c r="C26" i="935" a="1"/>
  <c r="C26" i="935" s="1"/>
  <c r="B26" i="935"/>
  <c r="M26" i="935" l="1"/>
  <c r="L26" i="935"/>
  <c r="K26" i="935"/>
  <c r="L15" i="935"/>
  <c r="R12" i="935"/>
  <c r="S12" i="935"/>
  <c r="T12" i="935"/>
  <c r="U12" i="935"/>
  <c r="V12" i="935"/>
  <c r="W12" i="935"/>
  <c r="X12" i="935"/>
  <c r="Y12" i="935"/>
  <c r="Z12" i="935"/>
  <c r="R13" i="935"/>
  <c r="S13" i="935"/>
  <c r="T13" i="935"/>
  <c r="U13" i="935"/>
  <c r="V13" i="935"/>
  <c r="W13" i="935"/>
  <c r="X13" i="935"/>
  <c r="Y13" i="935"/>
  <c r="Z13" i="935"/>
  <c r="R14" i="935"/>
  <c r="S14" i="935"/>
  <c r="T14" i="935"/>
  <c r="U14" i="935"/>
  <c r="V14" i="935"/>
  <c r="W14" i="935"/>
  <c r="X14" i="935"/>
  <c r="Y14" i="935"/>
  <c r="Z14" i="935"/>
  <c r="R15" i="935"/>
  <c r="S15" i="935"/>
  <c r="T15" i="935"/>
  <c r="U15" i="935"/>
  <c r="V15" i="935"/>
  <c r="W15" i="935"/>
  <c r="X15" i="935"/>
  <c r="Y15" i="935"/>
  <c r="Z15" i="935"/>
  <c r="R16" i="935"/>
  <c r="S16" i="935"/>
  <c r="T16" i="935"/>
  <c r="U16" i="935"/>
  <c r="V16" i="935"/>
  <c r="W16" i="935"/>
  <c r="X16" i="935"/>
  <c r="Y16" i="935"/>
  <c r="Z16" i="935"/>
  <c r="R17" i="935"/>
  <c r="S17" i="935"/>
  <c r="T17" i="935"/>
  <c r="U17" i="935"/>
  <c r="V17" i="935"/>
  <c r="W17" i="935"/>
  <c r="X17" i="935"/>
  <c r="Y17" i="935"/>
  <c r="Z17" i="935"/>
  <c r="R18" i="935"/>
  <c r="S18" i="935"/>
  <c r="T18" i="935"/>
  <c r="U18" i="935"/>
  <c r="V18" i="935"/>
  <c r="W18" i="935"/>
  <c r="X18" i="935"/>
  <c r="Y18" i="935"/>
  <c r="Z18" i="935"/>
  <c r="R19" i="935"/>
  <c r="S19" i="935"/>
  <c r="T19" i="935"/>
  <c r="U19" i="935"/>
  <c r="V19" i="935"/>
  <c r="W19" i="935"/>
  <c r="X19" i="935"/>
  <c r="Y19" i="935"/>
  <c r="Z19" i="935"/>
  <c r="R20" i="935"/>
  <c r="S20" i="935"/>
  <c r="T20" i="935"/>
  <c r="U20" i="935"/>
  <c r="V20" i="935"/>
  <c r="W20" i="935"/>
  <c r="X20" i="935"/>
  <c r="Y20" i="935"/>
  <c r="Z20" i="935"/>
  <c r="R21" i="935"/>
  <c r="S21" i="935"/>
  <c r="T21" i="935"/>
  <c r="U21" i="935"/>
  <c r="V21" i="935"/>
  <c r="W21" i="935"/>
  <c r="X21" i="935"/>
  <c r="Y21" i="935"/>
  <c r="Z21" i="935"/>
  <c r="R22" i="935"/>
  <c r="S22" i="935"/>
  <c r="T22" i="935"/>
  <c r="U22" i="935"/>
  <c r="V22" i="935"/>
  <c r="W22" i="935"/>
  <c r="X22" i="935"/>
  <c r="Y22" i="935"/>
  <c r="Z22" i="935"/>
  <c r="L13" i="935"/>
  <c r="M13" i="935"/>
  <c r="O13" i="935"/>
  <c r="D13" i="935"/>
  <c r="E13" i="935"/>
  <c r="F13" i="935"/>
  <c r="G13" i="935"/>
  <c r="D15" i="935"/>
  <c r="E15" i="935"/>
  <c r="F15" i="935"/>
  <c r="G15" i="935"/>
  <c r="M15" i="935"/>
  <c r="N15" i="935"/>
  <c r="O15" i="935"/>
  <c r="D16" i="935"/>
  <c r="E16" i="935"/>
  <c r="F16" i="935"/>
  <c r="G16" i="935"/>
  <c r="L16" i="935"/>
  <c r="M16" i="935"/>
  <c r="N16" i="935"/>
  <c r="O16" i="935"/>
  <c r="O14" i="935" l="1"/>
  <c r="N14" i="935"/>
  <c r="M14" i="935"/>
  <c r="L14" i="935"/>
  <c r="G14" i="935"/>
  <c r="F14" i="935"/>
  <c r="E14" i="935"/>
  <c r="D14" i="935"/>
  <c r="R23" i="935"/>
  <c r="S23" i="935"/>
  <c r="T23" i="935"/>
  <c r="U23" i="935"/>
  <c r="V23" i="935"/>
  <c r="W23" i="935"/>
  <c r="X23" i="935"/>
  <c r="Y23" i="935"/>
  <c r="Z23" i="935"/>
  <c r="R10" i="935"/>
  <c r="S10" i="935"/>
  <c r="T10" i="935"/>
  <c r="U10" i="935"/>
  <c r="V10" i="935"/>
  <c r="W10" i="935"/>
  <c r="X10" i="935"/>
  <c r="Y10" i="935"/>
  <c r="Z10" i="935"/>
  <c r="R11" i="935"/>
  <c r="S11" i="935"/>
  <c r="T11" i="935"/>
  <c r="U11" i="935"/>
  <c r="V11" i="935"/>
  <c r="W11" i="935"/>
  <c r="X11" i="935"/>
  <c r="Y11" i="935"/>
  <c r="Z11" i="935"/>
  <c r="I10" i="935"/>
  <c r="J10" i="935"/>
  <c r="K10" i="935"/>
  <c r="L10" i="935"/>
  <c r="M10" i="935"/>
  <c r="N10" i="935"/>
  <c r="O10" i="935"/>
  <c r="I11" i="935"/>
  <c r="J11" i="935"/>
  <c r="K11" i="935"/>
  <c r="L11" i="935"/>
  <c r="M11" i="935"/>
  <c r="N11" i="935"/>
  <c r="O11" i="935"/>
  <c r="C10" i="935"/>
  <c r="D10" i="935"/>
  <c r="E10" i="935"/>
  <c r="F10" i="935"/>
  <c r="G10" i="935"/>
  <c r="C11" i="935"/>
  <c r="D11" i="935"/>
  <c r="E11" i="935"/>
  <c r="F11" i="935"/>
  <c r="G11" i="935"/>
  <c r="F73" i="935"/>
  <c r="L59" i="935"/>
  <c r="AX57" i="935"/>
  <c r="AW57" i="935"/>
  <c r="AV57" i="935"/>
  <c r="AU57" i="935"/>
  <c r="AT57" i="935"/>
  <c r="AS57" i="935"/>
  <c r="AR57" i="935"/>
  <c r="AQ57" i="935"/>
  <c r="AP57" i="935"/>
  <c r="AO57" i="935"/>
  <c r="AN57" i="935"/>
  <c r="AM57" i="935"/>
  <c r="AL57" i="935"/>
  <c r="AK57" i="935"/>
  <c r="AJ57" i="935"/>
  <c r="AI57" i="935"/>
  <c r="AH57" i="935"/>
  <c r="AG57" i="935"/>
  <c r="AF57" i="935"/>
  <c r="AE57" i="935"/>
  <c r="AD57" i="935"/>
  <c r="AC57" i="935"/>
  <c r="AB57" i="935"/>
  <c r="AX56" i="935"/>
  <c r="AW56" i="935"/>
  <c r="AV56" i="935"/>
  <c r="AU56" i="935"/>
  <c r="AT56" i="935"/>
  <c r="AS56" i="935"/>
  <c r="AR56" i="935"/>
  <c r="AQ56" i="935"/>
  <c r="AP56" i="935"/>
  <c r="AO56" i="935"/>
  <c r="AN56" i="935"/>
  <c r="AM56" i="935"/>
  <c r="AL56" i="935"/>
  <c r="AK56" i="935"/>
  <c r="AJ56" i="935"/>
  <c r="AI56" i="935"/>
  <c r="AH56" i="935"/>
  <c r="AG56" i="935"/>
  <c r="AF56" i="935"/>
  <c r="AE56" i="935"/>
  <c r="AD56" i="935"/>
  <c r="AC56" i="935"/>
  <c r="AB56" i="935"/>
  <c r="AX55" i="935"/>
  <c r="AW55" i="935"/>
  <c r="AV55" i="935"/>
  <c r="AU55" i="935"/>
  <c r="AT55" i="935"/>
  <c r="AS55" i="935"/>
  <c r="AR55" i="935"/>
  <c r="AQ55" i="935"/>
  <c r="AP55" i="935"/>
  <c r="AO55" i="935"/>
  <c r="AN55" i="935"/>
  <c r="AM55" i="935"/>
  <c r="AL55" i="935"/>
  <c r="AK55" i="935"/>
  <c r="AJ55" i="935"/>
  <c r="AI55" i="935"/>
  <c r="AH55" i="935"/>
  <c r="AG55" i="935"/>
  <c r="AF55" i="935"/>
  <c r="AE55" i="935"/>
  <c r="AD55" i="935"/>
  <c r="AC55" i="935"/>
  <c r="AB55" i="935"/>
  <c r="K50" i="935"/>
  <c r="M41" i="936" s="1"/>
  <c r="Z37" i="935"/>
  <c r="Y37" i="935"/>
  <c r="X37" i="935"/>
  <c r="W37" i="935"/>
  <c r="V37" i="935"/>
  <c r="U37" i="935"/>
  <c r="T37" i="935"/>
  <c r="S37" i="935"/>
  <c r="R37" i="935"/>
  <c r="Z36" i="935"/>
  <c r="Y36" i="935"/>
  <c r="X36" i="935"/>
  <c r="W36" i="935"/>
  <c r="V36" i="935"/>
  <c r="U36" i="935"/>
  <c r="T36" i="935"/>
  <c r="S36" i="935"/>
  <c r="R36" i="935"/>
  <c r="Z35" i="935"/>
  <c r="Y35" i="935"/>
  <c r="X35" i="935"/>
  <c r="W35" i="935"/>
  <c r="V35" i="935"/>
  <c r="U35" i="935"/>
  <c r="T35" i="935"/>
  <c r="S35" i="935"/>
  <c r="R35" i="935"/>
  <c r="Z34" i="935"/>
  <c r="Y34" i="935"/>
  <c r="X34" i="935"/>
  <c r="W34" i="935"/>
  <c r="V34" i="935"/>
  <c r="U34" i="935"/>
  <c r="T34" i="935"/>
  <c r="S34" i="935"/>
  <c r="R34" i="935"/>
  <c r="Z33" i="935"/>
  <c r="Y33" i="935"/>
  <c r="X33" i="935"/>
  <c r="W33" i="935"/>
  <c r="V33" i="935"/>
  <c r="U33" i="935"/>
  <c r="T33" i="935"/>
  <c r="S33" i="935"/>
  <c r="R33" i="935"/>
  <c r="Z32" i="935"/>
  <c r="Y32" i="935"/>
  <c r="X32" i="935"/>
  <c r="W32" i="935"/>
  <c r="V32" i="935"/>
  <c r="U32" i="935"/>
  <c r="T32" i="935"/>
  <c r="S32" i="935"/>
  <c r="R32" i="935"/>
  <c r="M32" i="935"/>
  <c r="Z31" i="935"/>
  <c r="Y31" i="935"/>
  <c r="X31" i="935"/>
  <c r="W31" i="935"/>
  <c r="V31" i="935"/>
  <c r="U31" i="935"/>
  <c r="T31" i="935"/>
  <c r="S31" i="935"/>
  <c r="R31" i="935"/>
  <c r="M31" i="935"/>
  <c r="Z30" i="935"/>
  <c r="Y30" i="935"/>
  <c r="X30" i="935"/>
  <c r="W30" i="935"/>
  <c r="V30" i="935"/>
  <c r="U30" i="935"/>
  <c r="T30" i="935"/>
  <c r="S30" i="935"/>
  <c r="R30" i="935"/>
  <c r="Z29" i="935"/>
  <c r="Y29" i="935"/>
  <c r="X29" i="935"/>
  <c r="W29" i="935"/>
  <c r="V29" i="935"/>
  <c r="U29" i="935"/>
  <c r="T29" i="935"/>
  <c r="S29" i="935"/>
  <c r="R29" i="935"/>
  <c r="Z28" i="935"/>
  <c r="Y28" i="935"/>
  <c r="X28" i="935"/>
  <c r="W28" i="935"/>
  <c r="V28" i="935"/>
  <c r="U28" i="935"/>
  <c r="T28" i="935"/>
  <c r="S28" i="935"/>
  <c r="R28" i="935"/>
  <c r="M28" i="935"/>
  <c r="L28" i="935"/>
  <c r="K28" i="935"/>
  <c r="Z27" i="935"/>
  <c r="Y27" i="935"/>
  <c r="X27" i="935"/>
  <c r="W27" i="935"/>
  <c r="V27" i="935"/>
  <c r="U27" i="935"/>
  <c r="T27" i="935"/>
  <c r="S27" i="935"/>
  <c r="R27" i="935"/>
  <c r="Z26" i="935"/>
  <c r="Y26" i="935"/>
  <c r="X26" i="935"/>
  <c r="W26" i="935"/>
  <c r="V26" i="935"/>
  <c r="U26" i="935"/>
  <c r="T26" i="935"/>
  <c r="S26" i="935"/>
  <c r="R26" i="935"/>
  <c r="Z25" i="935"/>
  <c r="Y25" i="935"/>
  <c r="X25" i="935"/>
  <c r="W25" i="935"/>
  <c r="V25" i="935"/>
  <c r="U25" i="935"/>
  <c r="T25" i="935"/>
  <c r="S25" i="935"/>
  <c r="R25" i="935"/>
  <c r="Z24" i="935"/>
  <c r="Y24" i="935"/>
  <c r="X24" i="935"/>
  <c r="W24" i="935"/>
  <c r="V24" i="935"/>
  <c r="U24" i="935"/>
  <c r="T24" i="935"/>
  <c r="S24" i="935"/>
  <c r="R24" i="935"/>
  <c r="L41" i="935" l="1"/>
  <c r="M41" i="935" s="1"/>
  <c r="J26" i="935"/>
  <c r="M24" i="934" l="1"/>
  <c r="L24" i="934"/>
  <c r="K24" i="934"/>
  <c r="R12" i="934"/>
  <c r="S12" i="934"/>
  <c r="T12" i="934"/>
  <c r="U12" i="934"/>
  <c r="V12" i="934"/>
  <c r="W12" i="934"/>
  <c r="X12" i="934"/>
  <c r="Y12" i="934"/>
  <c r="Z12" i="934"/>
  <c r="R13" i="934"/>
  <c r="S13" i="934"/>
  <c r="T13" i="934"/>
  <c r="U13" i="934"/>
  <c r="V13" i="934"/>
  <c r="W13" i="934"/>
  <c r="X13" i="934"/>
  <c r="Y13" i="934"/>
  <c r="Z13" i="934"/>
  <c r="R14" i="934"/>
  <c r="S14" i="934"/>
  <c r="T14" i="934"/>
  <c r="U14" i="934"/>
  <c r="V14" i="934"/>
  <c r="W14" i="934"/>
  <c r="X14" i="934"/>
  <c r="Y14" i="934"/>
  <c r="Z14" i="934"/>
  <c r="R15" i="934"/>
  <c r="S15" i="934"/>
  <c r="T15" i="934"/>
  <c r="U15" i="934"/>
  <c r="V15" i="934"/>
  <c r="W15" i="934"/>
  <c r="X15" i="934"/>
  <c r="Y15" i="934"/>
  <c r="Z15" i="934"/>
  <c r="R16" i="934"/>
  <c r="S16" i="934"/>
  <c r="T16" i="934"/>
  <c r="U16" i="934"/>
  <c r="V16" i="934"/>
  <c r="W16" i="934"/>
  <c r="X16" i="934"/>
  <c r="Y16" i="934"/>
  <c r="Z16" i="934"/>
  <c r="R17" i="934"/>
  <c r="S17" i="934"/>
  <c r="T17" i="934"/>
  <c r="U17" i="934"/>
  <c r="V17" i="934"/>
  <c r="W17" i="934"/>
  <c r="X17" i="934"/>
  <c r="Y17" i="934"/>
  <c r="Z17" i="934"/>
  <c r="R18" i="934"/>
  <c r="S18" i="934"/>
  <c r="T18" i="934"/>
  <c r="U18" i="934"/>
  <c r="V18" i="934"/>
  <c r="W18" i="934"/>
  <c r="X18" i="934"/>
  <c r="Y18" i="934"/>
  <c r="Z18" i="934"/>
  <c r="R19" i="934"/>
  <c r="S19" i="934"/>
  <c r="T19" i="934"/>
  <c r="U19" i="934"/>
  <c r="V19" i="934"/>
  <c r="W19" i="934"/>
  <c r="X19" i="934"/>
  <c r="Y19" i="934"/>
  <c r="Z19" i="934"/>
  <c r="R20" i="934"/>
  <c r="S20" i="934"/>
  <c r="T20" i="934"/>
  <c r="U20" i="934"/>
  <c r="V20" i="934"/>
  <c r="W20" i="934"/>
  <c r="X20" i="934"/>
  <c r="Y20" i="934"/>
  <c r="Z20" i="934"/>
  <c r="R21" i="934"/>
  <c r="S21" i="934"/>
  <c r="T21" i="934"/>
  <c r="U21" i="934"/>
  <c r="V21" i="934"/>
  <c r="W21" i="934"/>
  <c r="X21" i="934"/>
  <c r="Y21" i="934"/>
  <c r="Z21" i="934"/>
  <c r="R22" i="934"/>
  <c r="S22" i="934"/>
  <c r="T22" i="934"/>
  <c r="U22" i="934"/>
  <c r="V22" i="934"/>
  <c r="W22" i="934"/>
  <c r="X22" i="934"/>
  <c r="Y22" i="934"/>
  <c r="Z22" i="934"/>
  <c r="R23" i="934"/>
  <c r="S23" i="934"/>
  <c r="T23" i="934"/>
  <c r="U23" i="934"/>
  <c r="V23" i="934"/>
  <c r="W23" i="934"/>
  <c r="X23" i="934"/>
  <c r="Y23" i="934"/>
  <c r="Z23" i="934"/>
  <c r="I11" i="934"/>
  <c r="J11" i="934"/>
  <c r="L11" i="934"/>
  <c r="M11" i="934"/>
  <c r="N11" i="934"/>
  <c r="O11" i="934"/>
  <c r="I12" i="934"/>
  <c r="J12" i="934"/>
  <c r="L12" i="934"/>
  <c r="M12" i="934"/>
  <c r="N12" i="934"/>
  <c r="O12" i="934"/>
  <c r="I13" i="934"/>
  <c r="J13" i="934"/>
  <c r="L13" i="934"/>
  <c r="M13" i="934"/>
  <c r="N13" i="934"/>
  <c r="O13" i="934"/>
  <c r="I14" i="934"/>
  <c r="J14" i="934"/>
  <c r="L14" i="934"/>
  <c r="M14" i="934"/>
  <c r="N14" i="934"/>
  <c r="O14" i="934"/>
  <c r="I15" i="934"/>
  <c r="J15" i="934"/>
  <c r="L15" i="934"/>
  <c r="M15" i="934"/>
  <c r="N15" i="934"/>
  <c r="O15" i="934"/>
  <c r="I16" i="934"/>
  <c r="J16" i="934"/>
  <c r="L16" i="934"/>
  <c r="M16" i="934"/>
  <c r="N16" i="934"/>
  <c r="O16" i="934"/>
  <c r="C11" i="934"/>
  <c r="D11" i="934"/>
  <c r="E11" i="934"/>
  <c r="F11" i="934"/>
  <c r="G11" i="934"/>
  <c r="C12" i="934"/>
  <c r="D12" i="934"/>
  <c r="E12" i="934"/>
  <c r="F12" i="934"/>
  <c r="G12" i="934"/>
  <c r="C13" i="934"/>
  <c r="D13" i="934"/>
  <c r="E13" i="934"/>
  <c r="F13" i="934"/>
  <c r="G13" i="934"/>
  <c r="C14" i="934"/>
  <c r="D14" i="934"/>
  <c r="E14" i="934"/>
  <c r="F14" i="934"/>
  <c r="G14" i="934"/>
  <c r="C15" i="934"/>
  <c r="D15" i="934"/>
  <c r="E15" i="934"/>
  <c r="F15" i="934"/>
  <c r="G15" i="934"/>
  <c r="C16" i="934"/>
  <c r="D16" i="934"/>
  <c r="E16" i="934"/>
  <c r="F16" i="934"/>
  <c r="G16" i="934"/>
  <c r="F71" i="934"/>
  <c r="L57" i="934"/>
  <c r="AX55" i="934"/>
  <c r="AW55" i="934"/>
  <c r="AV55" i="934"/>
  <c r="AU55" i="934"/>
  <c r="AT55" i="934"/>
  <c r="AS55" i="934"/>
  <c r="AR55" i="934"/>
  <c r="AQ55" i="934"/>
  <c r="AP55" i="934"/>
  <c r="AO55" i="934"/>
  <c r="AN55" i="934"/>
  <c r="AM55" i="934"/>
  <c r="AL55" i="934"/>
  <c r="AK55" i="934"/>
  <c r="AJ55" i="934"/>
  <c r="AI55" i="934"/>
  <c r="AH55" i="934"/>
  <c r="AG55" i="934"/>
  <c r="AF55" i="934"/>
  <c r="AE55" i="934"/>
  <c r="AD55" i="934"/>
  <c r="AC55" i="934"/>
  <c r="AB55" i="934"/>
  <c r="AX54" i="934"/>
  <c r="AW54" i="934"/>
  <c r="AV54" i="934"/>
  <c r="AU54" i="934"/>
  <c r="AT54" i="934"/>
  <c r="AS54" i="934"/>
  <c r="AR54" i="934"/>
  <c r="AQ54" i="934"/>
  <c r="AP54" i="934"/>
  <c r="AO54" i="934"/>
  <c r="AN54" i="934"/>
  <c r="AM54" i="934"/>
  <c r="AL54" i="934"/>
  <c r="AK54" i="934"/>
  <c r="AJ54" i="934"/>
  <c r="AI54" i="934"/>
  <c r="AH54" i="934"/>
  <c r="AG54" i="934"/>
  <c r="AF54" i="934"/>
  <c r="AE54" i="934"/>
  <c r="AD54" i="934"/>
  <c r="AC54" i="934"/>
  <c r="AB54" i="934"/>
  <c r="AX53" i="934"/>
  <c r="AW53" i="934"/>
  <c r="AV53" i="934"/>
  <c r="AU53" i="934"/>
  <c r="AT53" i="934"/>
  <c r="AS53" i="934"/>
  <c r="AR53" i="934"/>
  <c r="AQ53" i="934"/>
  <c r="AP53" i="934"/>
  <c r="AO53" i="934"/>
  <c r="AN53" i="934"/>
  <c r="AM53" i="934"/>
  <c r="AL53" i="934"/>
  <c r="AK53" i="934"/>
  <c r="AJ53" i="934"/>
  <c r="AI53" i="934"/>
  <c r="AH53" i="934"/>
  <c r="AG53" i="934"/>
  <c r="AF53" i="934"/>
  <c r="AE53" i="934"/>
  <c r="AD53" i="934"/>
  <c r="AC53" i="934"/>
  <c r="AB53" i="934"/>
  <c r="K48" i="934"/>
  <c r="Z35" i="934"/>
  <c r="Y35" i="934"/>
  <c r="X35" i="934"/>
  <c r="W35" i="934"/>
  <c r="V35" i="934"/>
  <c r="U35" i="934"/>
  <c r="T35" i="934"/>
  <c r="S35" i="934"/>
  <c r="R35" i="934"/>
  <c r="Z34" i="934"/>
  <c r="Y34" i="934"/>
  <c r="X34" i="934"/>
  <c r="W34" i="934"/>
  <c r="V34" i="934"/>
  <c r="U34" i="934"/>
  <c r="T34" i="934"/>
  <c r="S34" i="934"/>
  <c r="R34" i="934"/>
  <c r="Z33" i="934"/>
  <c r="Y33" i="934"/>
  <c r="X33" i="934"/>
  <c r="W33" i="934"/>
  <c r="V33" i="934"/>
  <c r="U33" i="934"/>
  <c r="T33" i="934"/>
  <c r="S33" i="934"/>
  <c r="R33" i="934"/>
  <c r="Z32" i="934"/>
  <c r="Y32" i="934"/>
  <c r="X32" i="934"/>
  <c r="W32" i="934"/>
  <c r="V32" i="934"/>
  <c r="U32" i="934"/>
  <c r="T32" i="934"/>
  <c r="S32" i="934"/>
  <c r="R32" i="934"/>
  <c r="Z31" i="934"/>
  <c r="Y31" i="934"/>
  <c r="X31" i="934"/>
  <c r="W31" i="934"/>
  <c r="V31" i="934"/>
  <c r="U31" i="934"/>
  <c r="T31" i="934"/>
  <c r="S31" i="934"/>
  <c r="R31" i="934"/>
  <c r="Z30" i="934"/>
  <c r="Y30" i="934"/>
  <c r="X30" i="934"/>
  <c r="W30" i="934"/>
  <c r="V30" i="934"/>
  <c r="U30" i="934"/>
  <c r="T30" i="934"/>
  <c r="S30" i="934"/>
  <c r="R30" i="934"/>
  <c r="M30" i="934"/>
  <c r="Z29" i="934"/>
  <c r="Y29" i="934"/>
  <c r="X29" i="934"/>
  <c r="W29" i="934"/>
  <c r="V29" i="934"/>
  <c r="U29" i="934"/>
  <c r="T29" i="934"/>
  <c r="S29" i="934"/>
  <c r="R29" i="934"/>
  <c r="M29" i="934"/>
  <c r="Z28" i="934"/>
  <c r="Y28" i="934"/>
  <c r="X28" i="934"/>
  <c r="W28" i="934"/>
  <c r="V28" i="934"/>
  <c r="U28" i="934"/>
  <c r="T28" i="934"/>
  <c r="S28" i="934"/>
  <c r="R28" i="934"/>
  <c r="Z27" i="934"/>
  <c r="Y27" i="934"/>
  <c r="X27" i="934"/>
  <c r="W27" i="934"/>
  <c r="V27" i="934"/>
  <c r="U27" i="934"/>
  <c r="T27" i="934"/>
  <c r="S27" i="934"/>
  <c r="R27" i="934"/>
  <c r="Z26" i="934"/>
  <c r="Y26" i="934"/>
  <c r="X26" i="934"/>
  <c r="W26" i="934"/>
  <c r="V26" i="934"/>
  <c r="U26" i="934"/>
  <c r="T26" i="934"/>
  <c r="S26" i="934"/>
  <c r="R26" i="934"/>
  <c r="M26" i="934"/>
  <c r="L26" i="934"/>
  <c r="K26" i="934"/>
  <c r="Z25" i="934"/>
  <c r="Y25" i="934"/>
  <c r="X25" i="934"/>
  <c r="W25" i="934"/>
  <c r="V25" i="934"/>
  <c r="U25" i="934"/>
  <c r="T25" i="934"/>
  <c r="S25" i="934"/>
  <c r="R25" i="934"/>
  <c r="Z24" i="934"/>
  <c r="Y24" i="934"/>
  <c r="X24" i="934"/>
  <c r="W24" i="934"/>
  <c r="V24" i="934"/>
  <c r="U24" i="934"/>
  <c r="T24" i="934"/>
  <c r="S24" i="934"/>
  <c r="R24" i="934"/>
  <c r="Z11" i="934"/>
  <c r="Y11" i="934"/>
  <c r="X11" i="934"/>
  <c r="W11" i="934"/>
  <c r="V11" i="934"/>
  <c r="U11" i="934"/>
  <c r="T11" i="934"/>
  <c r="S11" i="934"/>
  <c r="R11" i="934"/>
  <c r="Z10" i="934"/>
  <c r="Y10" i="934"/>
  <c r="X10" i="934"/>
  <c r="W10" i="934"/>
  <c r="V10" i="934"/>
  <c r="U10" i="934"/>
  <c r="T10" i="934"/>
  <c r="S10" i="934"/>
  <c r="R10" i="934"/>
  <c r="O10" i="934"/>
  <c r="N10" i="934"/>
  <c r="M10" i="934"/>
  <c r="L10" i="934"/>
  <c r="J10" i="934"/>
  <c r="I10" i="934"/>
  <c r="G10" i="934"/>
  <c r="F10" i="934"/>
  <c r="E10" i="934"/>
  <c r="D10" i="934"/>
  <c r="C10" i="934"/>
  <c r="J24" i="934" l="1"/>
  <c r="L39" i="934"/>
  <c r="M39" i="934" s="1"/>
  <c r="R11" i="933"/>
  <c r="S11" i="933"/>
  <c r="T11" i="933"/>
  <c r="U11" i="933"/>
  <c r="V11" i="933"/>
  <c r="W11" i="933"/>
  <c r="X11" i="933"/>
  <c r="Y11" i="933"/>
  <c r="Z11" i="933"/>
  <c r="R12" i="933"/>
  <c r="S12" i="933"/>
  <c r="T12" i="933"/>
  <c r="U12" i="933"/>
  <c r="V12" i="933"/>
  <c r="W12" i="933"/>
  <c r="X12" i="933"/>
  <c r="Y12" i="933"/>
  <c r="Z12" i="933"/>
  <c r="R13" i="933"/>
  <c r="S13" i="933"/>
  <c r="T13" i="933"/>
  <c r="U13" i="933"/>
  <c r="V13" i="933"/>
  <c r="W13" i="933"/>
  <c r="X13" i="933"/>
  <c r="Y13" i="933"/>
  <c r="Z13" i="933"/>
  <c r="R14" i="933"/>
  <c r="S14" i="933"/>
  <c r="T14" i="933"/>
  <c r="U14" i="933"/>
  <c r="V14" i="933"/>
  <c r="W14" i="933"/>
  <c r="X14" i="933"/>
  <c r="Y14" i="933"/>
  <c r="Z14" i="933"/>
  <c r="R15" i="933"/>
  <c r="S15" i="933"/>
  <c r="T15" i="933"/>
  <c r="U15" i="933"/>
  <c r="V15" i="933"/>
  <c r="W15" i="933"/>
  <c r="X15" i="933"/>
  <c r="Y15" i="933"/>
  <c r="Z15" i="933"/>
  <c r="R18" i="933"/>
  <c r="S18" i="933"/>
  <c r="T18" i="933"/>
  <c r="U18" i="933"/>
  <c r="V18" i="933"/>
  <c r="W18" i="933"/>
  <c r="X18" i="933"/>
  <c r="Y18" i="933"/>
  <c r="Z18" i="933"/>
  <c r="R19" i="933"/>
  <c r="S19" i="933"/>
  <c r="T19" i="933"/>
  <c r="U19" i="933"/>
  <c r="V19" i="933"/>
  <c r="W19" i="933"/>
  <c r="X19" i="933"/>
  <c r="Y19" i="933"/>
  <c r="Z19" i="933"/>
  <c r="R20" i="933"/>
  <c r="S20" i="933"/>
  <c r="T20" i="933"/>
  <c r="U20" i="933"/>
  <c r="V20" i="933"/>
  <c r="W20" i="933"/>
  <c r="X20" i="933"/>
  <c r="Y20" i="933"/>
  <c r="Z20" i="933"/>
  <c r="R21" i="933"/>
  <c r="S21" i="933"/>
  <c r="T21" i="933"/>
  <c r="U21" i="933"/>
  <c r="V21" i="933"/>
  <c r="W21" i="933"/>
  <c r="X21" i="933"/>
  <c r="Y21" i="933"/>
  <c r="Z21" i="933"/>
  <c r="R22" i="933"/>
  <c r="S22" i="933"/>
  <c r="T22" i="933"/>
  <c r="U22" i="933"/>
  <c r="V22" i="933"/>
  <c r="W22" i="933"/>
  <c r="X22" i="933"/>
  <c r="Y22" i="933"/>
  <c r="Z22" i="933"/>
  <c r="R23" i="933"/>
  <c r="S23" i="933"/>
  <c r="T23" i="933"/>
  <c r="U23" i="933"/>
  <c r="V23" i="933"/>
  <c r="W23" i="933"/>
  <c r="X23" i="933"/>
  <c r="Y23" i="933"/>
  <c r="Z23" i="933"/>
  <c r="R24" i="933"/>
  <c r="S24" i="933"/>
  <c r="T24" i="933"/>
  <c r="U24" i="933"/>
  <c r="V24" i="933"/>
  <c r="W24" i="933"/>
  <c r="X24" i="933"/>
  <c r="Y24" i="933"/>
  <c r="Z24" i="933"/>
  <c r="R25" i="933"/>
  <c r="S25" i="933"/>
  <c r="T25" i="933"/>
  <c r="U25" i="933"/>
  <c r="V25" i="933"/>
  <c r="W25" i="933"/>
  <c r="X25" i="933"/>
  <c r="Y25" i="933"/>
  <c r="Z25" i="933"/>
  <c r="L14" i="933" l="1"/>
  <c r="L15" i="933"/>
  <c r="L13" i="933"/>
  <c r="L12" i="933"/>
  <c r="I15" i="933"/>
  <c r="I14" i="933"/>
  <c r="J15" i="933"/>
  <c r="I13" i="933"/>
  <c r="K26" i="933"/>
  <c r="L10" i="933"/>
  <c r="M10" i="933"/>
  <c r="O10" i="933"/>
  <c r="L11" i="933"/>
  <c r="M11" i="933"/>
  <c r="O11" i="933"/>
  <c r="M12" i="933"/>
  <c r="O12" i="933"/>
  <c r="M13" i="933"/>
  <c r="O13" i="933"/>
  <c r="M14" i="933"/>
  <c r="O14" i="933"/>
  <c r="M15" i="933"/>
  <c r="N15" i="933"/>
  <c r="O15" i="933"/>
  <c r="C10" i="933"/>
  <c r="D10" i="933"/>
  <c r="E10" i="933"/>
  <c r="F10" i="933"/>
  <c r="G10" i="933"/>
  <c r="C11" i="933"/>
  <c r="D11" i="933"/>
  <c r="E11" i="933"/>
  <c r="F11" i="933"/>
  <c r="G11" i="933"/>
  <c r="C12" i="933"/>
  <c r="D12" i="933"/>
  <c r="E12" i="933"/>
  <c r="F12" i="933"/>
  <c r="G12" i="933"/>
  <c r="C13" i="933"/>
  <c r="D13" i="933"/>
  <c r="E13" i="933"/>
  <c r="F13" i="933"/>
  <c r="G13" i="933"/>
  <c r="C14" i="933"/>
  <c r="D14" i="933"/>
  <c r="E14" i="933"/>
  <c r="F14" i="933"/>
  <c r="G14" i="933"/>
  <c r="C15" i="933"/>
  <c r="D15" i="933"/>
  <c r="E15" i="933"/>
  <c r="F15" i="933"/>
  <c r="G15" i="933"/>
  <c r="F73" i="933"/>
  <c r="L59" i="933"/>
  <c r="AX57" i="933"/>
  <c r="AW57" i="933"/>
  <c r="AV57" i="933"/>
  <c r="AU57" i="933"/>
  <c r="AT57" i="933"/>
  <c r="AS57" i="933"/>
  <c r="AR57" i="933"/>
  <c r="AQ57" i="933"/>
  <c r="AP57" i="933"/>
  <c r="AO57" i="933"/>
  <c r="AN57" i="933"/>
  <c r="AM57" i="933"/>
  <c r="AL57" i="933"/>
  <c r="AK57" i="933"/>
  <c r="AJ57" i="933"/>
  <c r="AI57" i="933"/>
  <c r="AH57" i="933"/>
  <c r="AG57" i="933"/>
  <c r="AF57" i="933"/>
  <c r="AE57" i="933"/>
  <c r="AD57" i="933"/>
  <c r="AC57" i="933"/>
  <c r="AB57" i="933"/>
  <c r="AX56" i="933"/>
  <c r="AW56" i="933"/>
  <c r="AV56" i="933"/>
  <c r="AU56" i="933"/>
  <c r="AT56" i="933"/>
  <c r="AS56" i="933"/>
  <c r="AR56" i="933"/>
  <c r="AQ56" i="933"/>
  <c r="AP56" i="933"/>
  <c r="AO56" i="933"/>
  <c r="AN56" i="933"/>
  <c r="AM56" i="933"/>
  <c r="AL56" i="933"/>
  <c r="AK56" i="933"/>
  <c r="AJ56" i="933"/>
  <c r="AI56" i="933"/>
  <c r="AH56" i="933"/>
  <c r="AG56" i="933"/>
  <c r="AF56" i="933"/>
  <c r="AE56" i="933"/>
  <c r="AD56" i="933"/>
  <c r="AC56" i="933"/>
  <c r="AB56" i="933"/>
  <c r="AX55" i="933"/>
  <c r="AW55" i="933"/>
  <c r="AV55" i="933"/>
  <c r="AU55" i="933"/>
  <c r="AT55" i="933"/>
  <c r="AS55" i="933"/>
  <c r="AR55" i="933"/>
  <c r="AQ55" i="933"/>
  <c r="AP55" i="933"/>
  <c r="AO55" i="933"/>
  <c r="AN55" i="933"/>
  <c r="AM55" i="933"/>
  <c r="AL55" i="933"/>
  <c r="AK55" i="933"/>
  <c r="AJ55" i="933"/>
  <c r="AI55" i="933"/>
  <c r="AH55" i="933"/>
  <c r="AG55" i="933"/>
  <c r="AF55" i="933"/>
  <c r="AE55" i="933"/>
  <c r="AD55" i="933"/>
  <c r="AC55" i="933"/>
  <c r="AB55" i="933"/>
  <c r="B55" i="933"/>
  <c r="K50" i="933"/>
  <c r="L41" i="933" s="1"/>
  <c r="Z37" i="933"/>
  <c r="Y37" i="933"/>
  <c r="X37" i="933"/>
  <c r="W37" i="933"/>
  <c r="V37" i="933"/>
  <c r="U37" i="933"/>
  <c r="T37" i="933"/>
  <c r="S37" i="933"/>
  <c r="R37" i="933"/>
  <c r="Z36" i="933"/>
  <c r="Y36" i="933"/>
  <c r="X36" i="933"/>
  <c r="W36" i="933"/>
  <c r="V36" i="933"/>
  <c r="U36" i="933"/>
  <c r="T36" i="933"/>
  <c r="S36" i="933"/>
  <c r="R36" i="933"/>
  <c r="Z35" i="933"/>
  <c r="Y35" i="933"/>
  <c r="X35" i="933"/>
  <c r="W35" i="933"/>
  <c r="V35" i="933"/>
  <c r="U35" i="933"/>
  <c r="T35" i="933"/>
  <c r="S35" i="933"/>
  <c r="R35" i="933"/>
  <c r="Z34" i="933"/>
  <c r="Y34" i="933"/>
  <c r="X34" i="933"/>
  <c r="W34" i="933"/>
  <c r="V34" i="933"/>
  <c r="U34" i="933"/>
  <c r="T34" i="933"/>
  <c r="S34" i="933"/>
  <c r="R34" i="933"/>
  <c r="Z33" i="933"/>
  <c r="Y33" i="933"/>
  <c r="X33" i="933"/>
  <c r="W33" i="933"/>
  <c r="V33" i="933"/>
  <c r="U33" i="933"/>
  <c r="T33" i="933"/>
  <c r="S33" i="933"/>
  <c r="R33" i="933"/>
  <c r="Z32" i="933"/>
  <c r="Y32" i="933"/>
  <c r="X32" i="933"/>
  <c r="W32" i="933"/>
  <c r="V32" i="933"/>
  <c r="U32" i="933"/>
  <c r="T32" i="933"/>
  <c r="S32" i="933"/>
  <c r="R32" i="933"/>
  <c r="M32" i="933"/>
  <c r="Z31" i="933"/>
  <c r="Y31" i="933"/>
  <c r="X31" i="933"/>
  <c r="W31" i="933"/>
  <c r="V31" i="933"/>
  <c r="U31" i="933"/>
  <c r="T31" i="933"/>
  <c r="S31" i="933"/>
  <c r="R31" i="933"/>
  <c r="M31" i="933"/>
  <c r="Z30" i="933"/>
  <c r="Y30" i="933"/>
  <c r="X30" i="933"/>
  <c r="W30" i="933"/>
  <c r="V30" i="933"/>
  <c r="U30" i="933"/>
  <c r="T30" i="933"/>
  <c r="S30" i="933"/>
  <c r="R30" i="933"/>
  <c r="Z29" i="933"/>
  <c r="Y29" i="933"/>
  <c r="X29" i="933"/>
  <c r="W29" i="933"/>
  <c r="V29" i="933"/>
  <c r="U29" i="933"/>
  <c r="T29" i="933"/>
  <c r="S29" i="933"/>
  <c r="R29" i="933"/>
  <c r="Z28" i="933"/>
  <c r="Y28" i="933"/>
  <c r="X28" i="933"/>
  <c r="W28" i="933"/>
  <c r="V28" i="933"/>
  <c r="U28" i="933"/>
  <c r="T28" i="933"/>
  <c r="S28" i="933"/>
  <c r="R28" i="933"/>
  <c r="M28" i="933"/>
  <c r="L28" i="933"/>
  <c r="K28" i="933"/>
  <c r="Z27" i="933"/>
  <c r="Y27" i="933"/>
  <c r="X27" i="933"/>
  <c r="W27" i="933"/>
  <c r="V27" i="933"/>
  <c r="U27" i="933"/>
  <c r="T27" i="933"/>
  <c r="S27" i="933"/>
  <c r="R27" i="933"/>
  <c r="Z26" i="933"/>
  <c r="Y26" i="933"/>
  <c r="X26" i="933"/>
  <c r="W26" i="933"/>
  <c r="V26" i="933"/>
  <c r="U26" i="933"/>
  <c r="T26" i="933"/>
  <c r="S26" i="933"/>
  <c r="R26" i="933"/>
  <c r="Z10" i="933"/>
  <c r="Y10" i="933"/>
  <c r="X10" i="933"/>
  <c r="W10" i="933"/>
  <c r="V10" i="933"/>
  <c r="U10" i="933"/>
  <c r="T10" i="933"/>
  <c r="S10" i="933"/>
  <c r="R10" i="933"/>
  <c r="B61" i="932"/>
  <c r="J14" i="933" l="1"/>
  <c r="J13" i="933"/>
  <c r="M41" i="933"/>
  <c r="B59" i="932"/>
  <c r="M30" i="932"/>
  <c r="L30" i="932"/>
  <c r="K30" i="932"/>
  <c r="R10" i="932"/>
  <c r="S10" i="932"/>
  <c r="T10" i="932"/>
  <c r="U10" i="932"/>
  <c r="V10" i="932"/>
  <c r="W10" i="932"/>
  <c r="X10" i="932"/>
  <c r="Y10" i="932"/>
  <c r="Z10" i="932"/>
  <c r="R11" i="932"/>
  <c r="S11" i="932"/>
  <c r="T11" i="932"/>
  <c r="U11" i="932"/>
  <c r="V11" i="932"/>
  <c r="W11" i="932"/>
  <c r="X11" i="932"/>
  <c r="Y11" i="932"/>
  <c r="Z11" i="932"/>
  <c r="R12" i="932"/>
  <c r="S12" i="932"/>
  <c r="T12" i="932"/>
  <c r="U12" i="932"/>
  <c r="V12" i="932"/>
  <c r="W12" i="932"/>
  <c r="X12" i="932"/>
  <c r="Y12" i="932"/>
  <c r="Z12" i="932"/>
  <c r="R13" i="932"/>
  <c r="S13" i="932"/>
  <c r="T13" i="932"/>
  <c r="U13" i="932"/>
  <c r="V13" i="932"/>
  <c r="W13" i="932"/>
  <c r="X13" i="932"/>
  <c r="Y13" i="932"/>
  <c r="Z13" i="932"/>
  <c r="R14" i="932"/>
  <c r="S14" i="932"/>
  <c r="T14" i="932"/>
  <c r="U14" i="932"/>
  <c r="V14" i="932"/>
  <c r="W14" i="932"/>
  <c r="X14" i="932"/>
  <c r="Y14" i="932"/>
  <c r="Z14" i="932"/>
  <c r="R15" i="932"/>
  <c r="S15" i="932"/>
  <c r="T15" i="932"/>
  <c r="U15" i="932"/>
  <c r="V15" i="932"/>
  <c r="W15" i="932"/>
  <c r="X15" i="932"/>
  <c r="Y15" i="932"/>
  <c r="Z15" i="932"/>
  <c r="L11" i="932"/>
  <c r="J12" i="932"/>
  <c r="I13" i="932"/>
  <c r="I14" i="932"/>
  <c r="N11" i="932"/>
  <c r="N12" i="932"/>
  <c r="N14" i="932"/>
  <c r="C12" i="932"/>
  <c r="C13" i="932"/>
  <c r="C14" i="932"/>
  <c r="L10" i="932"/>
  <c r="M10" i="932"/>
  <c r="O10" i="932"/>
  <c r="M11" i="932"/>
  <c r="O11" i="932"/>
  <c r="L12" i="932"/>
  <c r="M12" i="932"/>
  <c r="O12" i="932"/>
  <c r="L13" i="932"/>
  <c r="M13" i="932"/>
  <c r="N13" i="932"/>
  <c r="O13" i="932"/>
  <c r="L14" i="932"/>
  <c r="M14" i="932"/>
  <c r="O14" i="932"/>
  <c r="C10" i="932"/>
  <c r="D10" i="932"/>
  <c r="E10" i="932"/>
  <c r="F10" i="932"/>
  <c r="G10" i="932"/>
  <c r="C11" i="932"/>
  <c r="D11" i="932"/>
  <c r="E11" i="932"/>
  <c r="F11" i="932"/>
  <c r="G11" i="932"/>
  <c r="D12" i="932"/>
  <c r="E12" i="932"/>
  <c r="F12" i="932"/>
  <c r="G12" i="932"/>
  <c r="D13" i="932"/>
  <c r="E13" i="932"/>
  <c r="F13" i="932"/>
  <c r="G13" i="932"/>
  <c r="D14" i="932"/>
  <c r="E14" i="932"/>
  <c r="F14" i="932"/>
  <c r="G14" i="932"/>
  <c r="F77" i="932"/>
  <c r="L63" i="932"/>
  <c r="AX61" i="932"/>
  <c r="AW61" i="932"/>
  <c r="AV61" i="932"/>
  <c r="AU61" i="932"/>
  <c r="AT61" i="932"/>
  <c r="AS61" i="932"/>
  <c r="AR61" i="932"/>
  <c r="AQ61" i="932"/>
  <c r="AP61" i="932"/>
  <c r="AO61" i="932"/>
  <c r="AN61" i="932"/>
  <c r="AM61" i="932"/>
  <c r="AL61" i="932"/>
  <c r="AK61" i="932"/>
  <c r="AJ61" i="932"/>
  <c r="AI61" i="932"/>
  <c r="AH61" i="932"/>
  <c r="AG61" i="932"/>
  <c r="AF61" i="932"/>
  <c r="AE61" i="932"/>
  <c r="AD61" i="932"/>
  <c r="AC61" i="932"/>
  <c r="AB61" i="932"/>
  <c r="AX60" i="932"/>
  <c r="AW60" i="932"/>
  <c r="AV60" i="932"/>
  <c r="AU60" i="932"/>
  <c r="AT60" i="932"/>
  <c r="AS60" i="932"/>
  <c r="AR60" i="932"/>
  <c r="AQ60" i="932"/>
  <c r="AP60" i="932"/>
  <c r="AO60" i="932"/>
  <c r="AN60" i="932"/>
  <c r="AM60" i="932"/>
  <c r="AL60" i="932"/>
  <c r="AK60" i="932"/>
  <c r="AJ60" i="932"/>
  <c r="AI60" i="932"/>
  <c r="AH60" i="932"/>
  <c r="AG60" i="932"/>
  <c r="AF60" i="932"/>
  <c r="AE60" i="932"/>
  <c r="AD60" i="932"/>
  <c r="AC60" i="932"/>
  <c r="AB60" i="932"/>
  <c r="AX59" i="932"/>
  <c r="AW59" i="932"/>
  <c r="AV59" i="932"/>
  <c r="AU59" i="932"/>
  <c r="AT59" i="932"/>
  <c r="AS59" i="932"/>
  <c r="AR59" i="932"/>
  <c r="AQ59" i="932"/>
  <c r="AP59" i="932"/>
  <c r="AO59" i="932"/>
  <c r="AN59" i="932"/>
  <c r="AM59" i="932"/>
  <c r="AL59" i="932"/>
  <c r="AK59" i="932"/>
  <c r="AJ59" i="932"/>
  <c r="AI59" i="932"/>
  <c r="AH59" i="932"/>
  <c r="AG59" i="932"/>
  <c r="AF59" i="932"/>
  <c r="AE59" i="932"/>
  <c r="AD59" i="932"/>
  <c r="AC59" i="932"/>
  <c r="AB59" i="932"/>
  <c r="K54" i="932"/>
  <c r="Z41" i="932"/>
  <c r="Y41" i="932"/>
  <c r="X41" i="932"/>
  <c r="W41" i="932"/>
  <c r="V41" i="932"/>
  <c r="U41" i="932"/>
  <c r="T41" i="932"/>
  <c r="S41" i="932"/>
  <c r="R41" i="932"/>
  <c r="Z40" i="932"/>
  <c r="Y40" i="932"/>
  <c r="X40" i="932"/>
  <c r="W40" i="932"/>
  <c r="V40" i="932"/>
  <c r="U40" i="932"/>
  <c r="T40" i="932"/>
  <c r="S40" i="932"/>
  <c r="R40" i="932"/>
  <c r="Z39" i="932"/>
  <c r="Y39" i="932"/>
  <c r="X39" i="932"/>
  <c r="W39" i="932"/>
  <c r="V39" i="932"/>
  <c r="U39" i="932"/>
  <c r="T39" i="932"/>
  <c r="S39" i="932"/>
  <c r="R39" i="932"/>
  <c r="Z38" i="932"/>
  <c r="Y38" i="932"/>
  <c r="X38" i="932"/>
  <c r="W38" i="932"/>
  <c r="V38" i="932"/>
  <c r="U38" i="932"/>
  <c r="T38" i="932"/>
  <c r="S38" i="932"/>
  <c r="R38" i="932"/>
  <c r="Z37" i="932"/>
  <c r="Y37" i="932"/>
  <c r="X37" i="932"/>
  <c r="W37" i="932"/>
  <c r="V37" i="932"/>
  <c r="U37" i="932"/>
  <c r="T37" i="932"/>
  <c r="S37" i="932"/>
  <c r="R37" i="932"/>
  <c r="Z36" i="932"/>
  <c r="Y36" i="932"/>
  <c r="X36" i="932"/>
  <c r="W36" i="932"/>
  <c r="V36" i="932"/>
  <c r="U36" i="932"/>
  <c r="T36" i="932"/>
  <c r="S36" i="932"/>
  <c r="R36" i="932"/>
  <c r="M36" i="932"/>
  <c r="Z35" i="932"/>
  <c r="Y35" i="932"/>
  <c r="X35" i="932"/>
  <c r="W35" i="932"/>
  <c r="V35" i="932"/>
  <c r="U35" i="932"/>
  <c r="T35" i="932"/>
  <c r="S35" i="932"/>
  <c r="R35" i="932"/>
  <c r="M35" i="932"/>
  <c r="Z34" i="932"/>
  <c r="Y34" i="932"/>
  <c r="X34" i="932"/>
  <c r="W34" i="932"/>
  <c r="V34" i="932"/>
  <c r="U34" i="932"/>
  <c r="T34" i="932"/>
  <c r="S34" i="932"/>
  <c r="R34" i="932"/>
  <c r="Z33" i="932"/>
  <c r="Y33" i="932"/>
  <c r="X33" i="932"/>
  <c r="W33" i="932"/>
  <c r="V33" i="932"/>
  <c r="U33" i="932"/>
  <c r="T33" i="932"/>
  <c r="S33" i="932"/>
  <c r="R33" i="932"/>
  <c r="Z32" i="932"/>
  <c r="Y32" i="932"/>
  <c r="X32" i="932"/>
  <c r="W32" i="932"/>
  <c r="V32" i="932"/>
  <c r="U32" i="932"/>
  <c r="T32" i="932"/>
  <c r="S32" i="932"/>
  <c r="R32" i="932"/>
  <c r="M32" i="932"/>
  <c r="L32" i="932"/>
  <c r="K32" i="932"/>
  <c r="Z31" i="932"/>
  <c r="Y31" i="932"/>
  <c r="X31" i="932"/>
  <c r="W31" i="932"/>
  <c r="V31" i="932"/>
  <c r="U31" i="932"/>
  <c r="T31" i="932"/>
  <c r="S31" i="932"/>
  <c r="R31" i="932"/>
  <c r="Z30" i="932"/>
  <c r="Y30" i="932"/>
  <c r="X30" i="932"/>
  <c r="W30" i="932"/>
  <c r="V30" i="932"/>
  <c r="U30" i="932"/>
  <c r="T30" i="932"/>
  <c r="S30" i="932"/>
  <c r="R30" i="932"/>
  <c r="Z29" i="932"/>
  <c r="Y29" i="932"/>
  <c r="X29" i="932"/>
  <c r="W29" i="932"/>
  <c r="V29" i="932"/>
  <c r="U29" i="932"/>
  <c r="T29" i="932"/>
  <c r="S29" i="932"/>
  <c r="R29" i="932"/>
  <c r="Z28" i="932"/>
  <c r="Y28" i="932"/>
  <c r="X28" i="932"/>
  <c r="W28" i="932"/>
  <c r="V28" i="932"/>
  <c r="U28" i="932"/>
  <c r="T28" i="932"/>
  <c r="S28" i="932"/>
  <c r="R28" i="932"/>
  <c r="Z27" i="932"/>
  <c r="Y27" i="932"/>
  <c r="X27" i="932"/>
  <c r="W27" i="932"/>
  <c r="V27" i="932"/>
  <c r="U27" i="932"/>
  <c r="T27" i="932"/>
  <c r="S27" i="932"/>
  <c r="R27" i="932"/>
  <c r="Z26" i="932"/>
  <c r="Y26" i="932"/>
  <c r="X26" i="932"/>
  <c r="W26" i="932"/>
  <c r="V26" i="932"/>
  <c r="U26" i="932"/>
  <c r="T26" i="932"/>
  <c r="S26" i="932"/>
  <c r="R26" i="932"/>
  <c r="Z25" i="932"/>
  <c r="Y25" i="932"/>
  <c r="X25" i="932"/>
  <c r="W25" i="932"/>
  <c r="V25" i="932"/>
  <c r="U25" i="932"/>
  <c r="T25" i="932"/>
  <c r="S25" i="932"/>
  <c r="R25" i="932"/>
  <c r="Z24" i="932"/>
  <c r="Y24" i="932"/>
  <c r="X24" i="932"/>
  <c r="W24" i="932"/>
  <c r="V24" i="932"/>
  <c r="U24" i="932"/>
  <c r="T24" i="932"/>
  <c r="S24" i="932"/>
  <c r="R24" i="932"/>
  <c r="Z23" i="932"/>
  <c r="Y23" i="932"/>
  <c r="X23" i="932"/>
  <c r="W23" i="932"/>
  <c r="V23" i="932"/>
  <c r="U23" i="932"/>
  <c r="T23" i="932"/>
  <c r="S23" i="932"/>
  <c r="R23" i="932"/>
  <c r="Z22" i="932"/>
  <c r="Y22" i="932"/>
  <c r="X22" i="932"/>
  <c r="W22" i="932"/>
  <c r="V22" i="932"/>
  <c r="U22" i="932"/>
  <c r="T22" i="932"/>
  <c r="S22" i="932"/>
  <c r="R22" i="932"/>
  <c r="AX55" i="929"/>
  <c r="AW55" i="929"/>
  <c r="AV55" i="929"/>
  <c r="AU55" i="929"/>
  <c r="AT55" i="929"/>
  <c r="AS55" i="929"/>
  <c r="AR55" i="929"/>
  <c r="AQ55" i="929"/>
  <c r="AP55" i="929"/>
  <c r="AO55" i="929"/>
  <c r="AN55" i="929"/>
  <c r="AM55" i="929"/>
  <c r="AL55" i="929"/>
  <c r="AK55" i="929"/>
  <c r="AJ55" i="929"/>
  <c r="AI55" i="929"/>
  <c r="AH55" i="929"/>
  <c r="AG55" i="929"/>
  <c r="AF55" i="929"/>
  <c r="AE55" i="929"/>
  <c r="AD55" i="929"/>
  <c r="AC55" i="929"/>
  <c r="AB55" i="929"/>
  <c r="B55" i="929"/>
  <c r="AX54" i="929"/>
  <c r="AW54" i="929"/>
  <c r="AV54" i="929"/>
  <c r="AU54" i="929"/>
  <c r="AT54" i="929"/>
  <c r="AS54" i="929"/>
  <c r="AR54" i="929"/>
  <c r="AQ54" i="929"/>
  <c r="AP54" i="929"/>
  <c r="AO54" i="929"/>
  <c r="AN54" i="929"/>
  <c r="AM54" i="929"/>
  <c r="AL54" i="929"/>
  <c r="AK54" i="929"/>
  <c r="AJ54" i="929"/>
  <c r="AI54" i="929"/>
  <c r="AH54" i="929"/>
  <c r="AG54" i="929"/>
  <c r="AF54" i="929"/>
  <c r="AE54" i="929"/>
  <c r="AD54" i="929"/>
  <c r="AC54" i="929"/>
  <c r="AB54" i="929"/>
  <c r="AX53" i="929"/>
  <c r="AW53" i="929"/>
  <c r="AV53" i="929"/>
  <c r="AU53" i="929"/>
  <c r="AT53" i="929"/>
  <c r="AS53" i="929"/>
  <c r="AR53" i="929"/>
  <c r="AQ53" i="929"/>
  <c r="AP53" i="929"/>
  <c r="AO53" i="929"/>
  <c r="AN53" i="929"/>
  <c r="AM53" i="929"/>
  <c r="AL53" i="929"/>
  <c r="AK53" i="929"/>
  <c r="AJ53" i="929"/>
  <c r="AI53" i="929"/>
  <c r="AH53" i="929"/>
  <c r="AG53" i="929"/>
  <c r="AF53" i="929"/>
  <c r="AE53" i="929"/>
  <c r="AD53" i="929"/>
  <c r="AC53" i="929"/>
  <c r="AB53" i="929"/>
  <c r="B53" i="929"/>
  <c r="B54" i="930"/>
  <c r="B51" i="931"/>
  <c r="M22" i="931"/>
  <c r="L22" i="931"/>
  <c r="K22" i="931"/>
  <c r="M25" i="930"/>
  <c r="L25" i="930"/>
  <c r="K25" i="930"/>
  <c r="F69" i="931"/>
  <c r="L55" i="931"/>
  <c r="AX53" i="931"/>
  <c r="AW53" i="931"/>
  <c r="AV53" i="931"/>
  <c r="AU53" i="931"/>
  <c r="AT53" i="931"/>
  <c r="AS53" i="931"/>
  <c r="AR53" i="931"/>
  <c r="AQ53" i="931"/>
  <c r="AP53" i="931"/>
  <c r="AO53" i="931"/>
  <c r="AN53" i="931"/>
  <c r="AM53" i="931"/>
  <c r="AL53" i="931"/>
  <c r="AK53" i="931"/>
  <c r="AJ53" i="931"/>
  <c r="AI53" i="931"/>
  <c r="AH53" i="931"/>
  <c r="AG53" i="931"/>
  <c r="AF53" i="931"/>
  <c r="AE53" i="931"/>
  <c r="AD53" i="931"/>
  <c r="AC53" i="931"/>
  <c r="AB53" i="931"/>
  <c r="L53" i="931"/>
  <c r="AX52" i="931"/>
  <c r="AW52" i="931"/>
  <c r="AV52" i="931"/>
  <c r="AU52" i="931"/>
  <c r="AT52" i="931"/>
  <c r="AS52" i="931"/>
  <c r="AR52" i="931"/>
  <c r="AQ52" i="931"/>
  <c r="AP52" i="931"/>
  <c r="AO52" i="931"/>
  <c r="AN52" i="931"/>
  <c r="AM52" i="931"/>
  <c r="AL52" i="931"/>
  <c r="AK52" i="931"/>
  <c r="AJ52" i="931"/>
  <c r="AI52" i="931"/>
  <c r="AH52" i="931"/>
  <c r="AG52" i="931"/>
  <c r="AF52" i="931"/>
  <c r="AE52" i="931"/>
  <c r="AD52" i="931"/>
  <c r="AC52" i="931"/>
  <c r="AB52" i="931"/>
  <c r="AX51" i="931"/>
  <c r="AW51" i="931"/>
  <c r="AV51" i="931"/>
  <c r="AU51" i="931"/>
  <c r="AT51" i="931"/>
  <c r="AS51" i="931"/>
  <c r="AR51" i="931"/>
  <c r="AQ51" i="931"/>
  <c r="AP51" i="931"/>
  <c r="AO51" i="931"/>
  <c r="AN51" i="931"/>
  <c r="AM51" i="931"/>
  <c r="AL51" i="931"/>
  <c r="AK51" i="931"/>
  <c r="AJ51" i="931"/>
  <c r="AI51" i="931"/>
  <c r="AH51" i="931"/>
  <c r="AG51" i="931"/>
  <c r="AF51" i="931"/>
  <c r="AE51" i="931"/>
  <c r="AD51" i="931"/>
  <c r="AC51" i="931"/>
  <c r="AB51" i="931"/>
  <c r="K46" i="931"/>
  <c r="Z33" i="931"/>
  <c r="Y33" i="931"/>
  <c r="X33" i="931"/>
  <c r="W33" i="931"/>
  <c r="V33" i="931"/>
  <c r="U33" i="931"/>
  <c r="T33" i="931"/>
  <c r="S33" i="931"/>
  <c r="R33" i="931"/>
  <c r="Z32" i="931"/>
  <c r="Y32" i="931"/>
  <c r="X32" i="931"/>
  <c r="W32" i="931"/>
  <c r="V32" i="931"/>
  <c r="U32" i="931"/>
  <c r="T32" i="931"/>
  <c r="S32" i="931"/>
  <c r="R32" i="931"/>
  <c r="Z31" i="931"/>
  <c r="Y31" i="931"/>
  <c r="X31" i="931"/>
  <c r="W31" i="931"/>
  <c r="V31" i="931"/>
  <c r="U31" i="931"/>
  <c r="T31" i="931"/>
  <c r="S31" i="931"/>
  <c r="R31" i="931"/>
  <c r="Z30" i="931"/>
  <c r="Y30" i="931"/>
  <c r="X30" i="931"/>
  <c r="W30" i="931"/>
  <c r="V30" i="931"/>
  <c r="U30" i="931"/>
  <c r="T30" i="931"/>
  <c r="S30" i="931"/>
  <c r="R30" i="931"/>
  <c r="Z29" i="931"/>
  <c r="Y29" i="931"/>
  <c r="X29" i="931"/>
  <c r="W29" i="931"/>
  <c r="V29" i="931"/>
  <c r="U29" i="931"/>
  <c r="T29" i="931"/>
  <c r="S29" i="931"/>
  <c r="R29" i="931"/>
  <c r="Z28" i="931"/>
  <c r="Y28" i="931"/>
  <c r="X28" i="931"/>
  <c r="W28" i="931"/>
  <c r="V28" i="931"/>
  <c r="U28" i="931"/>
  <c r="T28" i="931"/>
  <c r="S28" i="931"/>
  <c r="R28" i="931"/>
  <c r="M28" i="931"/>
  <c r="Z27" i="931"/>
  <c r="Y27" i="931"/>
  <c r="X27" i="931"/>
  <c r="W27" i="931"/>
  <c r="V27" i="931"/>
  <c r="U27" i="931"/>
  <c r="T27" i="931"/>
  <c r="S27" i="931"/>
  <c r="R27" i="931"/>
  <c r="M27" i="931"/>
  <c r="Z26" i="931"/>
  <c r="Y26" i="931"/>
  <c r="X26" i="931"/>
  <c r="W26" i="931"/>
  <c r="V26" i="931"/>
  <c r="U26" i="931"/>
  <c r="T26" i="931"/>
  <c r="S26" i="931"/>
  <c r="R26" i="931"/>
  <c r="Z25" i="931"/>
  <c r="Y25" i="931"/>
  <c r="X25" i="931"/>
  <c r="W25" i="931"/>
  <c r="V25" i="931"/>
  <c r="U25" i="931"/>
  <c r="T25" i="931"/>
  <c r="S25" i="931"/>
  <c r="R25" i="931"/>
  <c r="Z24" i="931"/>
  <c r="Y24" i="931"/>
  <c r="X24" i="931"/>
  <c r="W24" i="931"/>
  <c r="V24" i="931"/>
  <c r="U24" i="931"/>
  <c r="T24" i="931"/>
  <c r="S24" i="931"/>
  <c r="R24" i="931"/>
  <c r="M24" i="931"/>
  <c r="L24" i="931"/>
  <c r="K24" i="931"/>
  <c r="Z23" i="931"/>
  <c r="Y23" i="931"/>
  <c r="X23" i="931"/>
  <c r="W23" i="931"/>
  <c r="V23" i="931"/>
  <c r="U23" i="931"/>
  <c r="T23" i="931"/>
  <c r="S23" i="931"/>
  <c r="R23" i="931"/>
  <c r="Z22" i="931"/>
  <c r="Y22" i="931"/>
  <c r="X22" i="931"/>
  <c r="W22" i="931"/>
  <c r="V22" i="931"/>
  <c r="U22" i="931"/>
  <c r="T22" i="931"/>
  <c r="S22" i="931"/>
  <c r="R22" i="931"/>
  <c r="Z21" i="931"/>
  <c r="Y21" i="931"/>
  <c r="X21" i="931"/>
  <c r="W21" i="931"/>
  <c r="V21" i="931"/>
  <c r="U21" i="931"/>
  <c r="T21" i="931"/>
  <c r="S21" i="931"/>
  <c r="R21" i="931"/>
  <c r="Z20" i="931"/>
  <c r="Y20" i="931"/>
  <c r="X20" i="931"/>
  <c r="W20" i="931"/>
  <c r="V20" i="931"/>
  <c r="U20" i="931"/>
  <c r="T20" i="931"/>
  <c r="S20" i="931"/>
  <c r="R20" i="931"/>
  <c r="Z19" i="931"/>
  <c r="Y19" i="931"/>
  <c r="X19" i="931"/>
  <c r="W19" i="931"/>
  <c r="V19" i="931"/>
  <c r="U19" i="931"/>
  <c r="T19" i="931"/>
  <c r="S19" i="931"/>
  <c r="R19" i="931"/>
  <c r="Z18" i="931"/>
  <c r="Y18" i="931"/>
  <c r="X18" i="931"/>
  <c r="W18" i="931"/>
  <c r="V18" i="931"/>
  <c r="U18" i="931"/>
  <c r="T18" i="931"/>
  <c r="S18" i="931"/>
  <c r="R18" i="931"/>
  <c r="Z17" i="931"/>
  <c r="Y17" i="931"/>
  <c r="X17" i="931"/>
  <c r="W17" i="931"/>
  <c r="V17" i="931"/>
  <c r="U17" i="931"/>
  <c r="T17" i="931"/>
  <c r="S17" i="931"/>
  <c r="R17" i="931"/>
  <c r="Z16" i="931"/>
  <c r="Y16" i="931"/>
  <c r="X16" i="931"/>
  <c r="W16" i="931"/>
  <c r="V16" i="931"/>
  <c r="U16" i="931"/>
  <c r="T16" i="931"/>
  <c r="S16" i="931"/>
  <c r="R16" i="931"/>
  <c r="Z15" i="931"/>
  <c r="Y15" i="931"/>
  <c r="X15" i="931"/>
  <c r="W15" i="931"/>
  <c r="V15" i="931"/>
  <c r="U15" i="931"/>
  <c r="T15" i="931"/>
  <c r="S15" i="931"/>
  <c r="R15" i="931"/>
  <c r="Z14" i="931"/>
  <c r="Y14" i="931"/>
  <c r="X14" i="931"/>
  <c r="W14" i="931"/>
  <c r="V14" i="931"/>
  <c r="U14" i="931"/>
  <c r="T14" i="931"/>
  <c r="S14" i="931"/>
  <c r="R14" i="931"/>
  <c r="Z13" i="931"/>
  <c r="Y13" i="931"/>
  <c r="X13" i="931"/>
  <c r="W13" i="931"/>
  <c r="V13" i="931"/>
  <c r="U13" i="931"/>
  <c r="T13" i="931"/>
  <c r="S13" i="931"/>
  <c r="R13" i="931"/>
  <c r="O13" i="931"/>
  <c r="N13" i="931"/>
  <c r="M13" i="931"/>
  <c r="L13" i="931"/>
  <c r="J13" i="931"/>
  <c r="I13" i="931"/>
  <c r="G13" i="931"/>
  <c r="F13" i="931"/>
  <c r="E13" i="931"/>
  <c r="D13" i="931"/>
  <c r="C13" i="931"/>
  <c r="Z12" i="931"/>
  <c r="Y12" i="931"/>
  <c r="X12" i="931"/>
  <c r="W12" i="931"/>
  <c r="V12" i="931"/>
  <c r="U12" i="931"/>
  <c r="T12" i="931"/>
  <c r="S12" i="931"/>
  <c r="R12" i="931"/>
  <c r="O12" i="931"/>
  <c r="N12" i="931"/>
  <c r="M12" i="931"/>
  <c r="L12" i="931"/>
  <c r="J12" i="931"/>
  <c r="I12" i="931"/>
  <c r="G12" i="931"/>
  <c r="F12" i="931"/>
  <c r="E12" i="931"/>
  <c r="D12" i="931"/>
  <c r="C12" i="931"/>
  <c r="Z11" i="931"/>
  <c r="Y11" i="931"/>
  <c r="X11" i="931"/>
  <c r="W11" i="931"/>
  <c r="V11" i="931"/>
  <c r="U11" i="931"/>
  <c r="T11" i="931"/>
  <c r="S11" i="931"/>
  <c r="R11" i="931"/>
  <c r="O11" i="931"/>
  <c r="N11" i="931"/>
  <c r="M11" i="931"/>
  <c r="L11" i="931"/>
  <c r="J11" i="931"/>
  <c r="I11" i="931"/>
  <c r="G11" i="931"/>
  <c r="F11" i="931"/>
  <c r="E11" i="931"/>
  <c r="D11" i="931"/>
  <c r="C11" i="931"/>
  <c r="Z10" i="931"/>
  <c r="Y10" i="931"/>
  <c r="X10" i="931"/>
  <c r="W10" i="931"/>
  <c r="V10" i="931"/>
  <c r="U10" i="931"/>
  <c r="T10" i="931"/>
  <c r="S10" i="931"/>
  <c r="R10" i="931"/>
  <c r="O10" i="931"/>
  <c r="N10" i="931"/>
  <c r="M10" i="931"/>
  <c r="L10" i="931"/>
  <c r="J10" i="931"/>
  <c r="I10" i="931"/>
  <c r="G10" i="931"/>
  <c r="F10" i="931"/>
  <c r="E10" i="931"/>
  <c r="D10" i="931"/>
  <c r="C10" i="931"/>
  <c r="I10" i="930"/>
  <c r="J10" i="930"/>
  <c r="L10" i="930"/>
  <c r="M10" i="930"/>
  <c r="N10" i="930"/>
  <c r="O10" i="930"/>
  <c r="I11" i="930"/>
  <c r="J11" i="930"/>
  <c r="L11" i="930"/>
  <c r="M11" i="930"/>
  <c r="N11" i="930"/>
  <c r="O11" i="930"/>
  <c r="I12" i="930"/>
  <c r="J12" i="930"/>
  <c r="L12" i="930"/>
  <c r="M12" i="930"/>
  <c r="N12" i="930"/>
  <c r="O12" i="930"/>
  <c r="I13" i="930"/>
  <c r="J13" i="930"/>
  <c r="L13" i="930"/>
  <c r="M13" i="930"/>
  <c r="N13" i="930"/>
  <c r="O13" i="930"/>
  <c r="I14" i="930"/>
  <c r="J14" i="930"/>
  <c r="L14" i="930"/>
  <c r="M14" i="930"/>
  <c r="N14" i="930"/>
  <c r="O14" i="930"/>
  <c r="I15" i="930"/>
  <c r="J15" i="930"/>
  <c r="L15" i="930"/>
  <c r="M15" i="930"/>
  <c r="N15" i="930"/>
  <c r="O15" i="930"/>
  <c r="I16" i="930"/>
  <c r="J16" i="930"/>
  <c r="L16" i="930"/>
  <c r="M16" i="930"/>
  <c r="N16" i="930"/>
  <c r="O16" i="930"/>
  <c r="C10" i="930"/>
  <c r="D10" i="930"/>
  <c r="E10" i="930"/>
  <c r="F10" i="930"/>
  <c r="G10" i="930"/>
  <c r="C11" i="930"/>
  <c r="D11" i="930"/>
  <c r="E11" i="930"/>
  <c r="F11" i="930"/>
  <c r="G11" i="930"/>
  <c r="C12" i="930"/>
  <c r="D12" i="930"/>
  <c r="E12" i="930"/>
  <c r="F12" i="930"/>
  <c r="G12" i="930"/>
  <c r="C13" i="930"/>
  <c r="D13" i="930"/>
  <c r="E13" i="930"/>
  <c r="F13" i="930"/>
  <c r="G13" i="930"/>
  <c r="C14" i="930"/>
  <c r="D14" i="930"/>
  <c r="E14" i="930"/>
  <c r="F14" i="930"/>
  <c r="G14" i="930"/>
  <c r="C15" i="930"/>
  <c r="D15" i="930"/>
  <c r="E15" i="930"/>
  <c r="F15" i="930"/>
  <c r="G15" i="930"/>
  <c r="C16" i="930"/>
  <c r="D16" i="930"/>
  <c r="E16" i="930"/>
  <c r="F16" i="930"/>
  <c r="G16" i="930"/>
  <c r="M26" i="929"/>
  <c r="L26" i="929"/>
  <c r="K26" i="929"/>
  <c r="J22" i="931" l="1"/>
  <c r="M45" i="932"/>
  <c r="L45" i="932"/>
  <c r="J14" i="932"/>
  <c r="I12" i="932"/>
  <c r="J13" i="932"/>
  <c r="J25" i="930"/>
  <c r="I10" i="929" l="1"/>
  <c r="J10" i="929"/>
  <c r="L10" i="929"/>
  <c r="M10" i="929"/>
  <c r="N10" i="929"/>
  <c r="O10" i="929"/>
  <c r="I11" i="929"/>
  <c r="J11" i="929"/>
  <c r="L11" i="929"/>
  <c r="M11" i="929"/>
  <c r="N11" i="929"/>
  <c r="O11" i="929"/>
  <c r="I12" i="929"/>
  <c r="J12" i="929"/>
  <c r="L12" i="929"/>
  <c r="M12" i="929"/>
  <c r="N12" i="929"/>
  <c r="O12" i="929"/>
  <c r="I13" i="929"/>
  <c r="J13" i="929"/>
  <c r="L13" i="929"/>
  <c r="M13" i="929"/>
  <c r="N13" i="929"/>
  <c r="O13" i="929"/>
  <c r="I14" i="929"/>
  <c r="J14" i="929"/>
  <c r="L14" i="929"/>
  <c r="M14" i="929"/>
  <c r="N14" i="929"/>
  <c r="O14" i="929"/>
  <c r="C10" i="929"/>
  <c r="D10" i="929"/>
  <c r="E10" i="929"/>
  <c r="F10" i="929"/>
  <c r="G10" i="929"/>
  <c r="C11" i="929"/>
  <c r="D11" i="929"/>
  <c r="E11" i="929"/>
  <c r="F11" i="929"/>
  <c r="G11" i="929"/>
  <c r="C12" i="929"/>
  <c r="D12" i="929"/>
  <c r="E12" i="929"/>
  <c r="F12" i="929"/>
  <c r="G12" i="929"/>
  <c r="C13" i="929"/>
  <c r="D13" i="929"/>
  <c r="E13" i="929"/>
  <c r="F13" i="929"/>
  <c r="G13" i="929"/>
  <c r="C14" i="929"/>
  <c r="D14" i="929"/>
  <c r="E14" i="929"/>
  <c r="F14" i="929"/>
  <c r="G14" i="929"/>
  <c r="F72" i="930"/>
  <c r="L58" i="930"/>
  <c r="AX56" i="930"/>
  <c r="AW56" i="930"/>
  <c r="AV56" i="930"/>
  <c r="AU56" i="930"/>
  <c r="AT56" i="930"/>
  <c r="AS56" i="930"/>
  <c r="AR56" i="930"/>
  <c r="AQ56" i="930"/>
  <c r="AP56" i="930"/>
  <c r="AO56" i="930"/>
  <c r="AN56" i="930"/>
  <c r="AM56" i="930"/>
  <c r="AL56" i="930"/>
  <c r="AK56" i="930"/>
  <c r="AJ56" i="930"/>
  <c r="AI56" i="930"/>
  <c r="AH56" i="930"/>
  <c r="AG56" i="930"/>
  <c r="AF56" i="930"/>
  <c r="AE56" i="930"/>
  <c r="AD56" i="930"/>
  <c r="AC56" i="930"/>
  <c r="AB56" i="930"/>
  <c r="L56" i="930"/>
  <c r="AX55" i="930"/>
  <c r="AW55" i="930"/>
  <c r="AV55" i="930"/>
  <c r="AU55" i="930"/>
  <c r="AT55" i="930"/>
  <c r="AS55" i="930"/>
  <c r="AR55" i="930"/>
  <c r="AQ55" i="930"/>
  <c r="AP55" i="930"/>
  <c r="AO55" i="930"/>
  <c r="AN55" i="930"/>
  <c r="AM55" i="930"/>
  <c r="AL55" i="930"/>
  <c r="AK55" i="930"/>
  <c r="AJ55" i="930"/>
  <c r="AI55" i="930"/>
  <c r="AH55" i="930"/>
  <c r="AG55" i="930"/>
  <c r="AF55" i="930"/>
  <c r="AE55" i="930"/>
  <c r="AD55" i="930"/>
  <c r="AC55" i="930"/>
  <c r="AB55" i="930"/>
  <c r="AX54" i="930"/>
  <c r="AW54" i="930"/>
  <c r="AV54" i="930"/>
  <c r="AU54" i="930"/>
  <c r="AT54" i="930"/>
  <c r="AS54" i="930"/>
  <c r="AR54" i="930"/>
  <c r="AQ54" i="930"/>
  <c r="AP54" i="930"/>
  <c r="AO54" i="930"/>
  <c r="AN54" i="930"/>
  <c r="AM54" i="930"/>
  <c r="AL54" i="930"/>
  <c r="AK54" i="930"/>
  <c r="AJ54" i="930"/>
  <c r="AI54" i="930"/>
  <c r="AH54" i="930"/>
  <c r="AG54" i="930"/>
  <c r="AF54" i="930"/>
  <c r="AE54" i="930"/>
  <c r="AD54" i="930"/>
  <c r="AC54" i="930"/>
  <c r="AB54" i="930"/>
  <c r="K49" i="930"/>
  <c r="L40" i="930" s="1"/>
  <c r="M40" i="930" s="1"/>
  <c r="Z36" i="930"/>
  <c r="Y36" i="930"/>
  <c r="X36" i="930"/>
  <c r="W36" i="930"/>
  <c r="V36" i="930"/>
  <c r="U36" i="930"/>
  <c r="T36" i="930"/>
  <c r="S36" i="930"/>
  <c r="R36" i="930"/>
  <c r="Z35" i="930"/>
  <c r="Y35" i="930"/>
  <c r="X35" i="930"/>
  <c r="W35" i="930"/>
  <c r="V35" i="930"/>
  <c r="U35" i="930"/>
  <c r="T35" i="930"/>
  <c r="S35" i="930"/>
  <c r="R35" i="930"/>
  <c r="Z34" i="930"/>
  <c r="Y34" i="930"/>
  <c r="X34" i="930"/>
  <c r="W34" i="930"/>
  <c r="V34" i="930"/>
  <c r="U34" i="930"/>
  <c r="T34" i="930"/>
  <c r="S34" i="930"/>
  <c r="R34" i="930"/>
  <c r="Z33" i="930"/>
  <c r="Y33" i="930"/>
  <c r="X33" i="930"/>
  <c r="W33" i="930"/>
  <c r="V33" i="930"/>
  <c r="U33" i="930"/>
  <c r="T33" i="930"/>
  <c r="S33" i="930"/>
  <c r="R33" i="930"/>
  <c r="Z32" i="930"/>
  <c r="Y32" i="930"/>
  <c r="X32" i="930"/>
  <c r="W32" i="930"/>
  <c r="V32" i="930"/>
  <c r="U32" i="930"/>
  <c r="T32" i="930"/>
  <c r="S32" i="930"/>
  <c r="R32" i="930"/>
  <c r="Z31" i="930"/>
  <c r="Y31" i="930"/>
  <c r="X31" i="930"/>
  <c r="W31" i="930"/>
  <c r="V31" i="930"/>
  <c r="U31" i="930"/>
  <c r="T31" i="930"/>
  <c r="S31" i="930"/>
  <c r="R31" i="930"/>
  <c r="M31" i="930"/>
  <c r="Z30" i="930"/>
  <c r="Y30" i="930"/>
  <c r="X30" i="930"/>
  <c r="W30" i="930"/>
  <c r="V30" i="930"/>
  <c r="U30" i="930"/>
  <c r="T30" i="930"/>
  <c r="S30" i="930"/>
  <c r="R30" i="930"/>
  <c r="M30" i="930"/>
  <c r="Z29" i="930"/>
  <c r="Y29" i="930"/>
  <c r="X29" i="930"/>
  <c r="W29" i="930"/>
  <c r="V29" i="930"/>
  <c r="U29" i="930"/>
  <c r="T29" i="930"/>
  <c r="S29" i="930"/>
  <c r="R29" i="930"/>
  <c r="Z28" i="930"/>
  <c r="Y28" i="930"/>
  <c r="X28" i="930"/>
  <c r="W28" i="930"/>
  <c r="V28" i="930"/>
  <c r="U28" i="930"/>
  <c r="T28" i="930"/>
  <c r="S28" i="930"/>
  <c r="R28" i="930"/>
  <c r="Z27" i="930"/>
  <c r="Y27" i="930"/>
  <c r="X27" i="930"/>
  <c r="W27" i="930"/>
  <c r="V27" i="930"/>
  <c r="U27" i="930"/>
  <c r="T27" i="930"/>
  <c r="S27" i="930"/>
  <c r="R27" i="930"/>
  <c r="M27" i="930"/>
  <c r="L27" i="930"/>
  <c r="K27" i="930"/>
  <c r="Z26" i="930"/>
  <c r="Y26" i="930"/>
  <c r="X26" i="930"/>
  <c r="W26" i="930"/>
  <c r="V26" i="930"/>
  <c r="U26" i="930"/>
  <c r="T26" i="930"/>
  <c r="S26" i="930"/>
  <c r="R26" i="930"/>
  <c r="Z25" i="930"/>
  <c r="Y25" i="930"/>
  <c r="X25" i="930"/>
  <c r="W25" i="930"/>
  <c r="V25" i="930"/>
  <c r="U25" i="930"/>
  <c r="T25" i="930"/>
  <c r="S25" i="930"/>
  <c r="R25" i="930"/>
  <c r="Z24" i="930"/>
  <c r="Y24" i="930"/>
  <c r="X24" i="930"/>
  <c r="W24" i="930"/>
  <c r="V24" i="930"/>
  <c r="U24" i="930"/>
  <c r="T24" i="930"/>
  <c r="S24" i="930"/>
  <c r="R24" i="930"/>
  <c r="Z23" i="930"/>
  <c r="Y23" i="930"/>
  <c r="X23" i="930"/>
  <c r="W23" i="930"/>
  <c r="V23" i="930"/>
  <c r="U23" i="930"/>
  <c r="T23" i="930"/>
  <c r="S23" i="930"/>
  <c r="R23" i="930"/>
  <c r="Z22" i="930"/>
  <c r="Y22" i="930"/>
  <c r="X22" i="930"/>
  <c r="W22" i="930"/>
  <c r="V22" i="930"/>
  <c r="U22" i="930"/>
  <c r="T22" i="930"/>
  <c r="S22" i="930"/>
  <c r="R22" i="930"/>
  <c r="Z21" i="930"/>
  <c r="Y21" i="930"/>
  <c r="X21" i="930"/>
  <c r="W21" i="930"/>
  <c r="V21" i="930"/>
  <c r="U21" i="930"/>
  <c r="T21" i="930"/>
  <c r="S21" i="930"/>
  <c r="R21" i="930"/>
  <c r="Z16" i="930"/>
  <c r="Y16" i="930"/>
  <c r="X16" i="930"/>
  <c r="W16" i="930"/>
  <c r="V16" i="930"/>
  <c r="U16" i="930"/>
  <c r="T16" i="930"/>
  <c r="S16" i="930"/>
  <c r="R16" i="930"/>
  <c r="Z15" i="930"/>
  <c r="Y15" i="930"/>
  <c r="X15" i="930"/>
  <c r="W15" i="930"/>
  <c r="V15" i="930"/>
  <c r="U15" i="930"/>
  <c r="T15" i="930"/>
  <c r="S15" i="930"/>
  <c r="R15" i="930"/>
  <c r="Z14" i="930"/>
  <c r="Y14" i="930"/>
  <c r="X14" i="930"/>
  <c r="W14" i="930"/>
  <c r="V14" i="930"/>
  <c r="U14" i="930"/>
  <c r="T14" i="930"/>
  <c r="S14" i="930"/>
  <c r="R14" i="930"/>
  <c r="Z13" i="930"/>
  <c r="Y13" i="930"/>
  <c r="X13" i="930"/>
  <c r="W13" i="930"/>
  <c r="V13" i="930"/>
  <c r="U13" i="930"/>
  <c r="T13" i="930"/>
  <c r="S13" i="930"/>
  <c r="R13" i="930"/>
  <c r="Z12" i="930"/>
  <c r="Y12" i="930"/>
  <c r="X12" i="930"/>
  <c r="W12" i="930"/>
  <c r="V12" i="930"/>
  <c r="U12" i="930"/>
  <c r="T12" i="930"/>
  <c r="S12" i="930"/>
  <c r="R12" i="930"/>
  <c r="Z11" i="930"/>
  <c r="Y11" i="930"/>
  <c r="X11" i="930"/>
  <c r="W11" i="930"/>
  <c r="V11" i="930"/>
  <c r="U11" i="930"/>
  <c r="T11" i="930"/>
  <c r="S11" i="930"/>
  <c r="R11" i="930"/>
  <c r="Z10" i="930"/>
  <c r="Y10" i="930"/>
  <c r="X10" i="930"/>
  <c r="W10" i="930"/>
  <c r="V10" i="930"/>
  <c r="U10" i="930"/>
  <c r="T10" i="930"/>
  <c r="S10" i="930"/>
  <c r="R10" i="930"/>
  <c r="F74" i="929"/>
  <c r="L60" i="929"/>
  <c r="AX58" i="929"/>
  <c r="AW58" i="929"/>
  <c r="AV58" i="929"/>
  <c r="AU58" i="929"/>
  <c r="AT58" i="929"/>
  <c r="AS58" i="929"/>
  <c r="AR58" i="929"/>
  <c r="AQ58" i="929"/>
  <c r="AP58" i="929"/>
  <c r="AO58" i="929"/>
  <c r="AN58" i="929"/>
  <c r="AM58" i="929"/>
  <c r="AL58" i="929"/>
  <c r="AK58" i="929"/>
  <c r="AJ58" i="929"/>
  <c r="AI58" i="929"/>
  <c r="AH58" i="929"/>
  <c r="AG58" i="929"/>
  <c r="AF58" i="929"/>
  <c r="AE58" i="929"/>
  <c r="AD58" i="929"/>
  <c r="AC58" i="929"/>
  <c r="AB58" i="929"/>
  <c r="L58" i="929"/>
  <c r="AX57" i="929"/>
  <c r="AW57" i="929"/>
  <c r="AV57" i="929"/>
  <c r="AU57" i="929"/>
  <c r="AT57" i="929"/>
  <c r="AS57" i="929"/>
  <c r="AR57" i="929"/>
  <c r="AQ57" i="929"/>
  <c r="AP57" i="929"/>
  <c r="AO57" i="929"/>
  <c r="AN57" i="929"/>
  <c r="AM57" i="929"/>
  <c r="AL57" i="929"/>
  <c r="AK57" i="929"/>
  <c r="AJ57" i="929"/>
  <c r="AI57" i="929"/>
  <c r="AH57" i="929"/>
  <c r="AG57" i="929"/>
  <c r="AF57" i="929"/>
  <c r="AE57" i="929"/>
  <c r="AD57" i="929"/>
  <c r="AC57" i="929"/>
  <c r="AB57" i="929"/>
  <c r="AX56" i="929"/>
  <c r="AW56" i="929"/>
  <c r="AV56" i="929"/>
  <c r="AU56" i="929"/>
  <c r="AT56" i="929"/>
  <c r="AS56" i="929"/>
  <c r="AR56" i="929"/>
  <c r="AQ56" i="929"/>
  <c r="AP56" i="929"/>
  <c r="AO56" i="929"/>
  <c r="AN56" i="929"/>
  <c r="AM56" i="929"/>
  <c r="AL56" i="929"/>
  <c r="AK56" i="929"/>
  <c r="AJ56" i="929"/>
  <c r="AI56" i="929"/>
  <c r="AH56" i="929"/>
  <c r="AG56" i="929"/>
  <c r="AF56" i="929"/>
  <c r="AE56" i="929"/>
  <c r="AD56" i="929"/>
  <c r="AC56" i="929"/>
  <c r="AB56" i="929"/>
  <c r="K48" i="929"/>
  <c r="Z35" i="929"/>
  <c r="Y35" i="929"/>
  <c r="X35" i="929"/>
  <c r="W35" i="929"/>
  <c r="V35" i="929"/>
  <c r="U35" i="929"/>
  <c r="T35" i="929"/>
  <c r="S35" i="929"/>
  <c r="R35" i="929"/>
  <c r="Z34" i="929"/>
  <c r="Y34" i="929"/>
  <c r="X34" i="929"/>
  <c r="W34" i="929"/>
  <c r="V34" i="929"/>
  <c r="U34" i="929"/>
  <c r="T34" i="929"/>
  <c r="S34" i="929"/>
  <c r="R34" i="929"/>
  <c r="Z33" i="929"/>
  <c r="Y33" i="929"/>
  <c r="X33" i="929"/>
  <c r="W33" i="929"/>
  <c r="V33" i="929"/>
  <c r="U33" i="929"/>
  <c r="T33" i="929"/>
  <c r="S33" i="929"/>
  <c r="R33" i="929"/>
  <c r="Z32" i="929"/>
  <c r="Y32" i="929"/>
  <c r="X32" i="929"/>
  <c r="W32" i="929"/>
  <c r="V32" i="929"/>
  <c r="U32" i="929"/>
  <c r="T32" i="929"/>
  <c r="S32" i="929"/>
  <c r="R32" i="929"/>
  <c r="Z31" i="929"/>
  <c r="Y31" i="929"/>
  <c r="X31" i="929"/>
  <c r="W31" i="929"/>
  <c r="V31" i="929"/>
  <c r="U31" i="929"/>
  <c r="T31" i="929"/>
  <c r="S31" i="929"/>
  <c r="R31" i="929"/>
  <c r="Z30" i="929"/>
  <c r="Y30" i="929"/>
  <c r="X30" i="929"/>
  <c r="W30" i="929"/>
  <c r="V30" i="929"/>
  <c r="U30" i="929"/>
  <c r="T30" i="929"/>
  <c r="S30" i="929"/>
  <c r="R30" i="929"/>
  <c r="M30" i="929"/>
  <c r="Z29" i="929"/>
  <c r="Y29" i="929"/>
  <c r="X29" i="929"/>
  <c r="W29" i="929"/>
  <c r="V29" i="929"/>
  <c r="U29" i="929"/>
  <c r="T29" i="929"/>
  <c r="S29" i="929"/>
  <c r="R29" i="929"/>
  <c r="M29" i="929"/>
  <c r="Z28" i="929"/>
  <c r="Y28" i="929"/>
  <c r="X28" i="929"/>
  <c r="W28" i="929"/>
  <c r="V28" i="929"/>
  <c r="U28" i="929"/>
  <c r="T28" i="929"/>
  <c r="S28" i="929"/>
  <c r="R28" i="929"/>
  <c r="Z27" i="929"/>
  <c r="Y27" i="929"/>
  <c r="X27" i="929"/>
  <c r="W27" i="929"/>
  <c r="V27" i="929"/>
  <c r="U27" i="929"/>
  <c r="T27" i="929"/>
  <c r="S27" i="929"/>
  <c r="R27" i="929"/>
  <c r="Z26" i="929"/>
  <c r="Y26" i="929"/>
  <c r="X26" i="929"/>
  <c r="W26" i="929"/>
  <c r="V26" i="929"/>
  <c r="U26" i="929"/>
  <c r="T26" i="929"/>
  <c r="S26" i="929"/>
  <c r="R26" i="929"/>
  <c r="Z25" i="929"/>
  <c r="Y25" i="929"/>
  <c r="X25" i="929"/>
  <c r="W25" i="929"/>
  <c r="V25" i="929"/>
  <c r="U25" i="929"/>
  <c r="T25" i="929"/>
  <c r="S25" i="929"/>
  <c r="R25" i="929"/>
  <c r="Z24" i="929"/>
  <c r="Y24" i="929"/>
  <c r="X24" i="929"/>
  <c r="W24" i="929"/>
  <c r="V24" i="929"/>
  <c r="U24" i="929"/>
  <c r="T24" i="929"/>
  <c r="S24" i="929"/>
  <c r="R24" i="929"/>
  <c r="M24" i="929"/>
  <c r="L24" i="929"/>
  <c r="K24" i="929"/>
  <c r="Z23" i="929"/>
  <c r="Y23" i="929"/>
  <c r="X23" i="929"/>
  <c r="W23" i="929"/>
  <c r="V23" i="929"/>
  <c r="U23" i="929"/>
  <c r="T23" i="929"/>
  <c r="S23" i="929"/>
  <c r="R23" i="929"/>
  <c r="Z22" i="929"/>
  <c r="Y22" i="929"/>
  <c r="X22" i="929"/>
  <c r="W22" i="929"/>
  <c r="V22" i="929"/>
  <c r="U22" i="929"/>
  <c r="T22" i="929"/>
  <c r="S22" i="929"/>
  <c r="R22" i="929"/>
  <c r="Z21" i="929"/>
  <c r="Y21" i="929"/>
  <c r="X21" i="929"/>
  <c r="W21" i="929"/>
  <c r="V21" i="929"/>
  <c r="U21" i="929"/>
  <c r="T21" i="929"/>
  <c r="S21" i="929"/>
  <c r="R21" i="929"/>
  <c r="Z20" i="929"/>
  <c r="Y20" i="929"/>
  <c r="X20" i="929"/>
  <c r="W20" i="929"/>
  <c r="V20" i="929"/>
  <c r="U20" i="929"/>
  <c r="T20" i="929"/>
  <c r="S20" i="929"/>
  <c r="R20" i="929"/>
  <c r="Z19" i="929"/>
  <c r="Y19" i="929"/>
  <c r="X19" i="929"/>
  <c r="W19" i="929"/>
  <c r="V19" i="929"/>
  <c r="U19" i="929"/>
  <c r="T19" i="929"/>
  <c r="S19" i="929"/>
  <c r="R19" i="929"/>
  <c r="Z18" i="929"/>
  <c r="Y18" i="929"/>
  <c r="X18" i="929"/>
  <c r="W18" i="929"/>
  <c r="V18" i="929"/>
  <c r="U18" i="929"/>
  <c r="T18" i="929"/>
  <c r="S18" i="929"/>
  <c r="R18" i="929"/>
  <c r="Z17" i="929"/>
  <c r="Y17" i="929"/>
  <c r="X17" i="929"/>
  <c r="W17" i="929"/>
  <c r="V17" i="929"/>
  <c r="U17" i="929"/>
  <c r="T17" i="929"/>
  <c r="S17" i="929"/>
  <c r="R17" i="929"/>
  <c r="Z16" i="929"/>
  <c r="Y16" i="929"/>
  <c r="X16" i="929"/>
  <c r="W16" i="929"/>
  <c r="V16" i="929"/>
  <c r="U16" i="929"/>
  <c r="T16" i="929"/>
  <c r="S16" i="929"/>
  <c r="R16" i="929"/>
  <c r="Z14" i="929"/>
  <c r="Y14" i="929"/>
  <c r="X14" i="929"/>
  <c r="W14" i="929"/>
  <c r="V14" i="929"/>
  <c r="U14" i="929"/>
  <c r="T14" i="929"/>
  <c r="S14" i="929"/>
  <c r="R14" i="929"/>
  <c r="Z13" i="929"/>
  <c r="Y13" i="929"/>
  <c r="X13" i="929"/>
  <c r="W13" i="929"/>
  <c r="V13" i="929"/>
  <c r="U13" i="929"/>
  <c r="T13" i="929"/>
  <c r="S13" i="929"/>
  <c r="R13" i="929"/>
  <c r="Z12" i="929"/>
  <c r="Y12" i="929"/>
  <c r="X12" i="929"/>
  <c r="W12" i="929"/>
  <c r="V12" i="929"/>
  <c r="U12" i="929"/>
  <c r="T12" i="929"/>
  <c r="S12" i="929"/>
  <c r="R12" i="929"/>
  <c r="Z11" i="929"/>
  <c r="Y11" i="929"/>
  <c r="X11" i="929"/>
  <c r="W11" i="929"/>
  <c r="V11" i="929"/>
  <c r="U11" i="929"/>
  <c r="T11" i="929"/>
  <c r="S11" i="929"/>
  <c r="R11" i="929"/>
  <c r="Z10" i="929"/>
  <c r="Y10" i="929"/>
  <c r="X10" i="929"/>
  <c r="W10" i="929"/>
  <c r="V10" i="929"/>
  <c r="U10" i="929"/>
  <c r="T10" i="929"/>
  <c r="S10" i="929"/>
  <c r="R10" i="929"/>
  <c r="M32" i="928"/>
  <c r="L32" i="928"/>
  <c r="K32" i="928"/>
  <c r="L39" i="929" l="1"/>
  <c r="M39" i="929" s="1"/>
  <c r="L37" i="931"/>
  <c r="M37" i="931" s="1"/>
  <c r="J26" i="929"/>
  <c r="D17" i="927"/>
  <c r="E17" i="927"/>
  <c r="F17" i="927"/>
  <c r="G17" i="927"/>
  <c r="L17" i="927"/>
  <c r="M17" i="927"/>
  <c r="N17" i="927"/>
  <c r="O17" i="927"/>
  <c r="R17" i="927"/>
  <c r="S17" i="927"/>
  <c r="T17" i="927"/>
  <c r="U17" i="927"/>
  <c r="V17" i="927"/>
  <c r="W17" i="927"/>
  <c r="X17" i="927"/>
  <c r="Y17" i="927"/>
  <c r="Z17" i="927"/>
  <c r="R12" i="928"/>
  <c r="S12" i="928"/>
  <c r="T12" i="928"/>
  <c r="U12" i="928"/>
  <c r="V12" i="928"/>
  <c r="W12" i="928"/>
  <c r="X12" i="928"/>
  <c r="Y12" i="928"/>
  <c r="Z12" i="928"/>
  <c r="R13" i="928"/>
  <c r="S13" i="928"/>
  <c r="T13" i="928"/>
  <c r="U13" i="928"/>
  <c r="V13" i="928"/>
  <c r="W13" i="928"/>
  <c r="X13" i="928"/>
  <c r="Y13" i="928"/>
  <c r="Z13" i="928"/>
  <c r="R14" i="928"/>
  <c r="S14" i="928"/>
  <c r="T14" i="928"/>
  <c r="U14" i="928"/>
  <c r="V14" i="928"/>
  <c r="W14" i="928"/>
  <c r="X14" i="928"/>
  <c r="Y14" i="928"/>
  <c r="Z14" i="928"/>
  <c r="R15" i="928"/>
  <c r="S15" i="928"/>
  <c r="T15" i="928"/>
  <c r="U15" i="928"/>
  <c r="V15" i="928"/>
  <c r="W15" i="928"/>
  <c r="X15" i="928"/>
  <c r="Y15" i="928"/>
  <c r="Z15" i="928"/>
  <c r="R16" i="928"/>
  <c r="S16" i="928"/>
  <c r="T16" i="928"/>
  <c r="U16" i="928"/>
  <c r="V16" i="928"/>
  <c r="W16" i="928"/>
  <c r="X16" i="928"/>
  <c r="Y16" i="928"/>
  <c r="Z16" i="928"/>
  <c r="R17" i="928"/>
  <c r="S17" i="928"/>
  <c r="T17" i="928"/>
  <c r="U17" i="928"/>
  <c r="V17" i="928"/>
  <c r="W17" i="928"/>
  <c r="X17" i="928"/>
  <c r="Y17" i="928"/>
  <c r="Z17" i="928"/>
  <c r="R18" i="928"/>
  <c r="S18" i="928"/>
  <c r="T18" i="928"/>
  <c r="U18" i="928"/>
  <c r="V18" i="928"/>
  <c r="W18" i="928"/>
  <c r="X18" i="928"/>
  <c r="Y18" i="928"/>
  <c r="Z18" i="928"/>
  <c r="R19" i="928"/>
  <c r="S19" i="928"/>
  <c r="T19" i="928"/>
  <c r="U19" i="928"/>
  <c r="V19" i="928"/>
  <c r="W19" i="928"/>
  <c r="X19" i="928"/>
  <c r="Y19" i="928"/>
  <c r="Z19" i="928"/>
  <c r="R20" i="928"/>
  <c r="S20" i="928"/>
  <c r="T20" i="928"/>
  <c r="U20" i="928"/>
  <c r="V20" i="928"/>
  <c r="W20" i="928"/>
  <c r="X20" i="928"/>
  <c r="Y20" i="928"/>
  <c r="Z20" i="928"/>
  <c r="R21" i="928"/>
  <c r="S21" i="928"/>
  <c r="T21" i="928"/>
  <c r="U21" i="928"/>
  <c r="V21" i="928"/>
  <c r="W21" i="928"/>
  <c r="X21" i="928"/>
  <c r="Y21" i="928"/>
  <c r="Z21" i="928"/>
  <c r="R22" i="928"/>
  <c r="S22" i="928"/>
  <c r="T22" i="928"/>
  <c r="U22" i="928"/>
  <c r="V22" i="928"/>
  <c r="W22" i="928"/>
  <c r="X22" i="928"/>
  <c r="Y22" i="928"/>
  <c r="Z22" i="928"/>
  <c r="R23" i="928"/>
  <c r="S23" i="928"/>
  <c r="T23" i="928"/>
  <c r="U23" i="928"/>
  <c r="V23" i="928"/>
  <c r="W23" i="928"/>
  <c r="X23" i="928"/>
  <c r="Y23" i="928"/>
  <c r="Z23" i="928"/>
  <c r="R24" i="928"/>
  <c r="S24" i="928"/>
  <c r="T24" i="928"/>
  <c r="U24" i="928"/>
  <c r="V24" i="928"/>
  <c r="W24" i="928"/>
  <c r="X24" i="928"/>
  <c r="Y24" i="928"/>
  <c r="Z24" i="928"/>
  <c r="R25" i="928"/>
  <c r="S25" i="928"/>
  <c r="T25" i="928"/>
  <c r="U25" i="928"/>
  <c r="V25" i="928"/>
  <c r="W25" i="928"/>
  <c r="X25" i="928"/>
  <c r="Y25" i="928"/>
  <c r="Z25" i="928"/>
  <c r="R26" i="928"/>
  <c r="S26" i="928"/>
  <c r="T26" i="928"/>
  <c r="U26" i="928"/>
  <c r="V26" i="928"/>
  <c r="W26" i="928"/>
  <c r="X26" i="928"/>
  <c r="Y26" i="928"/>
  <c r="Z26" i="928"/>
  <c r="R27" i="928"/>
  <c r="S27" i="928"/>
  <c r="T27" i="928"/>
  <c r="U27" i="928"/>
  <c r="V27" i="928"/>
  <c r="W27" i="928"/>
  <c r="X27" i="928"/>
  <c r="Y27" i="928"/>
  <c r="Z27" i="928"/>
  <c r="R28" i="928"/>
  <c r="S28" i="928"/>
  <c r="T28" i="928"/>
  <c r="U28" i="928"/>
  <c r="V28" i="928"/>
  <c r="W28" i="928"/>
  <c r="X28" i="928"/>
  <c r="Y28" i="928"/>
  <c r="Z28" i="928"/>
  <c r="R29" i="928"/>
  <c r="S29" i="928"/>
  <c r="T29" i="928"/>
  <c r="U29" i="928"/>
  <c r="V29" i="928"/>
  <c r="W29" i="928"/>
  <c r="X29" i="928"/>
  <c r="Y29" i="928"/>
  <c r="Z29" i="928"/>
  <c r="R30" i="928"/>
  <c r="S30" i="928"/>
  <c r="T30" i="928"/>
  <c r="U30" i="928"/>
  <c r="V30" i="928"/>
  <c r="W30" i="928"/>
  <c r="X30" i="928"/>
  <c r="Y30" i="928"/>
  <c r="Z30" i="928"/>
  <c r="R31" i="928"/>
  <c r="S31" i="928"/>
  <c r="T31" i="928"/>
  <c r="U31" i="928"/>
  <c r="V31" i="928"/>
  <c r="W31" i="928"/>
  <c r="X31" i="928"/>
  <c r="Y31" i="928"/>
  <c r="Z31" i="928"/>
  <c r="R32" i="928"/>
  <c r="S32" i="928"/>
  <c r="T32" i="928"/>
  <c r="U32" i="928"/>
  <c r="V32" i="928"/>
  <c r="W32" i="928"/>
  <c r="X32" i="928"/>
  <c r="Y32" i="928"/>
  <c r="Z32" i="928"/>
  <c r="R33" i="928"/>
  <c r="S33" i="928"/>
  <c r="T33" i="928"/>
  <c r="U33" i="928"/>
  <c r="V33" i="928"/>
  <c r="W33" i="928"/>
  <c r="X33" i="928"/>
  <c r="Y33" i="928"/>
  <c r="Z33" i="928"/>
  <c r="N14" i="928"/>
  <c r="N13" i="928"/>
  <c r="L15" i="928"/>
  <c r="L13" i="928"/>
  <c r="M13" i="928"/>
  <c r="O13" i="928"/>
  <c r="L14" i="928"/>
  <c r="M14" i="928"/>
  <c r="O14" i="928"/>
  <c r="I15" i="928"/>
  <c r="J15" i="928"/>
  <c r="M15" i="928"/>
  <c r="N15" i="928"/>
  <c r="O15" i="928"/>
  <c r="D13" i="928"/>
  <c r="E13" i="928"/>
  <c r="F13" i="928"/>
  <c r="G13" i="928"/>
  <c r="D14" i="928"/>
  <c r="E14" i="928"/>
  <c r="F14" i="928"/>
  <c r="G14" i="928"/>
  <c r="D15" i="928"/>
  <c r="E15" i="928"/>
  <c r="F15" i="928"/>
  <c r="G15" i="928"/>
  <c r="R10" i="928"/>
  <c r="S10" i="928"/>
  <c r="T10" i="928"/>
  <c r="U10" i="928"/>
  <c r="V10" i="928"/>
  <c r="W10" i="928"/>
  <c r="X10" i="928"/>
  <c r="Y10" i="928"/>
  <c r="Z10" i="928"/>
  <c r="R11" i="928"/>
  <c r="S11" i="928"/>
  <c r="T11" i="928"/>
  <c r="U11" i="928"/>
  <c r="V11" i="928"/>
  <c r="W11" i="928"/>
  <c r="X11" i="928"/>
  <c r="Y11" i="928"/>
  <c r="Z11" i="928"/>
  <c r="L10" i="928" l="1"/>
  <c r="M10" i="928"/>
  <c r="N10" i="928"/>
  <c r="O10" i="928"/>
  <c r="L11" i="928"/>
  <c r="M11" i="928"/>
  <c r="N11" i="928"/>
  <c r="O11" i="928"/>
  <c r="D10" i="928"/>
  <c r="E10" i="928"/>
  <c r="F10" i="928"/>
  <c r="G10" i="928"/>
  <c r="D11" i="928"/>
  <c r="E11" i="928"/>
  <c r="F11" i="928"/>
  <c r="G11" i="928"/>
  <c r="F77" i="928"/>
  <c r="K54" i="928"/>
  <c r="Z41" i="928"/>
  <c r="Y41" i="928"/>
  <c r="X41" i="928"/>
  <c r="W41" i="928"/>
  <c r="V41" i="928"/>
  <c r="U41" i="928"/>
  <c r="T41" i="928"/>
  <c r="S41" i="928"/>
  <c r="R41" i="928"/>
  <c r="Z40" i="928"/>
  <c r="Y40" i="928"/>
  <c r="X40" i="928"/>
  <c r="W40" i="928"/>
  <c r="V40" i="928"/>
  <c r="U40" i="928"/>
  <c r="T40" i="928"/>
  <c r="S40" i="928"/>
  <c r="R40" i="928"/>
  <c r="Z39" i="928"/>
  <c r="Y39" i="928"/>
  <c r="X39" i="928"/>
  <c r="W39" i="928"/>
  <c r="V39" i="928"/>
  <c r="U39" i="928"/>
  <c r="T39" i="928"/>
  <c r="S39" i="928"/>
  <c r="R39" i="928"/>
  <c r="Z38" i="928"/>
  <c r="Y38" i="928"/>
  <c r="X38" i="928"/>
  <c r="W38" i="928"/>
  <c r="V38" i="928"/>
  <c r="U38" i="928"/>
  <c r="T38" i="928"/>
  <c r="S38" i="928"/>
  <c r="R38" i="928"/>
  <c r="Z37" i="928"/>
  <c r="Y37" i="928"/>
  <c r="X37" i="928"/>
  <c r="W37" i="928"/>
  <c r="V37" i="928"/>
  <c r="U37" i="928"/>
  <c r="T37" i="928"/>
  <c r="S37" i="928"/>
  <c r="R37" i="928"/>
  <c r="Z36" i="928"/>
  <c r="Y36" i="928"/>
  <c r="X36" i="928"/>
  <c r="W36" i="928"/>
  <c r="V36" i="928"/>
  <c r="U36" i="928"/>
  <c r="T36" i="928"/>
  <c r="S36" i="928"/>
  <c r="R36" i="928"/>
  <c r="M36" i="928"/>
  <c r="Z35" i="928"/>
  <c r="Y35" i="928"/>
  <c r="X35" i="928"/>
  <c r="W35" i="928"/>
  <c r="V35" i="928"/>
  <c r="U35" i="928"/>
  <c r="T35" i="928"/>
  <c r="S35" i="928"/>
  <c r="R35" i="928"/>
  <c r="M35" i="928"/>
  <c r="Z34" i="928"/>
  <c r="Y34" i="928"/>
  <c r="X34" i="928"/>
  <c r="W34" i="928"/>
  <c r="V34" i="928"/>
  <c r="U34" i="928"/>
  <c r="T34" i="928"/>
  <c r="S34" i="928"/>
  <c r="R34" i="928"/>
  <c r="M30" i="928"/>
  <c r="L30" i="928"/>
  <c r="K30" i="928"/>
  <c r="C28" i="927" a="1"/>
  <c r="C28" i="927" s="1"/>
  <c r="C40" i="927" a="1"/>
  <c r="C40" i="927" s="1"/>
  <c r="B40" i="927"/>
  <c r="B28" i="927"/>
  <c r="AB57" i="927"/>
  <c r="AC57" i="927"/>
  <c r="AD57" i="927"/>
  <c r="AE57" i="927"/>
  <c r="AF57" i="927"/>
  <c r="AG57" i="927"/>
  <c r="AH57" i="927"/>
  <c r="AI57" i="927"/>
  <c r="AJ57" i="927"/>
  <c r="AK57" i="927"/>
  <c r="AL57" i="927"/>
  <c r="AM57" i="927"/>
  <c r="AN57" i="927"/>
  <c r="AO57" i="927"/>
  <c r="AP57" i="927"/>
  <c r="AQ57" i="927"/>
  <c r="AR57" i="927"/>
  <c r="AS57" i="927"/>
  <c r="AT57" i="927"/>
  <c r="AU57" i="927"/>
  <c r="AV57" i="927"/>
  <c r="AW57" i="927"/>
  <c r="AX57" i="927"/>
  <c r="AB58" i="927"/>
  <c r="AC58" i="927"/>
  <c r="AD58" i="927"/>
  <c r="AE58" i="927"/>
  <c r="AF58" i="927"/>
  <c r="AG58" i="927"/>
  <c r="AH58" i="927"/>
  <c r="AI58" i="927"/>
  <c r="AJ58" i="927"/>
  <c r="AK58" i="927"/>
  <c r="AL58" i="927"/>
  <c r="AM58" i="927"/>
  <c r="AN58" i="927"/>
  <c r="AO58" i="927"/>
  <c r="AP58" i="927"/>
  <c r="AQ58" i="927"/>
  <c r="AR58" i="927"/>
  <c r="AS58" i="927"/>
  <c r="AT58" i="927"/>
  <c r="AU58" i="927"/>
  <c r="AV58" i="927"/>
  <c r="AW58" i="927"/>
  <c r="AX58" i="927"/>
  <c r="L63" i="928" l="1"/>
  <c r="F61" i="927"/>
  <c r="F59" i="927"/>
  <c r="B61" i="927"/>
  <c r="B59" i="927"/>
  <c r="R11" i="927" l="1"/>
  <c r="S11" i="927"/>
  <c r="T11" i="927"/>
  <c r="U11" i="927"/>
  <c r="V11" i="927"/>
  <c r="W11" i="927"/>
  <c r="X11" i="927"/>
  <c r="Y11" i="927"/>
  <c r="Z11" i="927"/>
  <c r="R12" i="927"/>
  <c r="S12" i="927"/>
  <c r="T12" i="927"/>
  <c r="U12" i="927"/>
  <c r="V12" i="927"/>
  <c r="W12" i="927"/>
  <c r="X12" i="927"/>
  <c r="Y12" i="927"/>
  <c r="Z12" i="927"/>
  <c r="R13" i="927"/>
  <c r="S13" i="927"/>
  <c r="T13" i="927"/>
  <c r="U13" i="927"/>
  <c r="V13" i="927"/>
  <c r="W13" i="927"/>
  <c r="X13" i="927"/>
  <c r="Y13" i="927"/>
  <c r="Z13" i="927"/>
  <c r="R14" i="927"/>
  <c r="S14" i="927"/>
  <c r="T14" i="927"/>
  <c r="U14" i="927"/>
  <c r="V14" i="927"/>
  <c r="W14" i="927"/>
  <c r="X14" i="927"/>
  <c r="Y14" i="927"/>
  <c r="Z14" i="927"/>
  <c r="R15" i="927"/>
  <c r="S15" i="927"/>
  <c r="T15" i="927"/>
  <c r="U15" i="927"/>
  <c r="V15" i="927"/>
  <c r="W15" i="927"/>
  <c r="X15" i="927"/>
  <c r="Y15" i="927"/>
  <c r="Z15" i="927"/>
  <c r="R16" i="927"/>
  <c r="S16" i="927"/>
  <c r="T16" i="927"/>
  <c r="U16" i="927"/>
  <c r="V16" i="927"/>
  <c r="W16" i="927"/>
  <c r="X16" i="927"/>
  <c r="Y16" i="927"/>
  <c r="Z16" i="927"/>
  <c r="R18" i="927"/>
  <c r="S18" i="927"/>
  <c r="T18" i="927"/>
  <c r="U18" i="927"/>
  <c r="V18" i="927"/>
  <c r="W18" i="927"/>
  <c r="X18" i="927"/>
  <c r="Y18" i="927"/>
  <c r="Z18" i="927"/>
  <c r="R19" i="927"/>
  <c r="S19" i="927"/>
  <c r="T19" i="927"/>
  <c r="U19" i="927"/>
  <c r="V19" i="927"/>
  <c r="W19" i="927"/>
  <c r="X19" i="927"/>
  <c r="Y19" i="927"/>
  <c r="Z19" i="927"/>
  <c r="R20" i="927"/>
  <c r="S20" i="927"/>
  <c r="T20" i="927"/>
  <c r="U20" i="927"/>
  <c r="V20" i="927"/>
  <c r="W20" i="927"/>
  <c r="X20" i="927"/>
  <c r="Y20" i="927"/>
  <c r="Z20" i="927"/>
  <c r="R21" i="927"/>
  <c r="S21" i="927"/>
  <c r="T21" i="927"/>
  <c r="U21" i="927"/>
  <c r="V21" i="927"/>
  <c r="W21" i="927"/>
  <c r="X21" i="927"/>
  <c r="Y21" i="927"/>
  <c r="Z21" i="927"/>
  <c r="R22" i="927"/>
  <c r="S22" i="927"/>
  <c r="T22" i="927"/>
  <c r="U22" i="927"/>
  <c r="V22" i="927"/>
  <c r="W22" i="927"/>
  <c r="X22" i="927"/>
  <c r="Y22" i="927"/>
  <c r="Z22" i="927"/>
  <c r="R23" i="927"/>
  <c r="S23" i="927"/>
  <c r="T23" i="927"/>
  <c r="U23" i="927"/>
  <c r="V23" i="927"/>
  <c r="W23" i="927"/>
  <c r="X23" i="927"/>
  <c r="Y23" i="927"/>
  <c r="Z23" i="927"/>
  <c r="R24" i="927"/>
  <c r="S24" i="927"/>
  <c r="T24" i="927"/>
  <c r="U24" i="927"/>
  <c r="V24" i="927"/>
  <c r="W24" i="927"/>
  <c r="X24" i="927"/>
  <c r="Y24" i="927"/>
  <c r="Z24" i="927"/>
  <c r="R25" i="927"/>
  <c r="S25" i="927"/>
  <c r="T25" i="927"/>
  <c r="U25" i="927"/>
  <c r="V25" i="927"/>
  <c r="W25" i="927"/>
  <c r="X25" i="927"/>
  <c r="Y25" i="927"/>
  <c r="Z25" i="927"/>
  <c r="R26" i="927"/>
  <c r="S26" i="927"/>
  <c r="T26" i="927"/>
  <c r="U26" i="927"/>
  <c r="V26" i="927"/>
  <c r="W26" i="927"/>
  <c r="X26" i="927"/>
  <c r="Y26" i="927"/>
  <c r="Z26" i="927"/>
  <c r="R27" i="927"/>
  <c r="S27" i="927"/>
  <c r="T27" i="927"/>
  <c r="U27" i="927"/>
  <c r="V27" i="927"/>
  <c r="W27" i="927"/>
  <c r="X27" i="927"/>
  <c r="Y27" i="927"/>
  <c r="Z27" i="927"/>
  <c r="B57" i="927" l="1"/>
  <c r="D10" i="927"/>
  <c r="E10" i="927"/>
  <c r="F10" i="927"/>
  <c r="G10" i="927"/>
  <c r="L10" i="927"/>
  <c r="M10" i="927"/>
  <c r="O10" i="927"/>
  <c r="D12" i="927"/>
  <c r="E12" i="927"/>
  <c r="F12" i="927"/>
  <c r="G12" i="927"/>
  <c r="L12" i="927"/>
  <c r="M12" i="927"/>
  <c r="O12" i="927"/>
  <c r="D13" i="927"/>
  <c r="E13" i="927"/>
  <c r="F13" i="927"/>
  <c r="G13" i="927"/>
  <c r="L13" i="927"/>
  <c r="M13" i="927"/>
  <c r="O13" i="927"/>
  <c r="D14" i="927"/>
  <c r="E14" i="927"/>
  <c r="F14" i="927"/>
  <c r="G14" i="927"/>
  <c r="L14" i="927"/>
  <c r="M14" i="927"/>
  <c r="O14" i="927"/>
  <c r="D15" i="927"/>
  <c r="E15" i="927"/>
  <c r="F15" i="927"/>
  <c r="G15" i="927"/>
  <c r="L15" i="927"/>
  <c r="M15" i="927"/>
  <c r="O15" i="927"/>
  <c r="D16" i="927"/>
  <c r="E16" i="927"/>
  <c r="F16" i="927"/>
  <c r="G16" i="927"/>
  <c r="L16" i="927"/>
  <c r="M16" i="927"/>
  <c r="O16" i="927"/>
  <c r="F75" i="927"/>
  <c r="AX59" i="927"/>
  <c r="AW59" i="927"/>
  <c r="AV59" i="927"/>
  <c r="AU59" i="927"/>
  <c r="AT59" i="927"/>
  <c r="AS59" i="927"/>
  <c r="AR59" i="927"/>
  <c r="AQ59" i="927"/>
  <c r="AP59" i="927"/>
  <c r="AO59" i="927"/>
  <c r="AN59" i="927"/>
  <c r="AM59" i="927"/>
  <c r="AL59" i="927"/>
  <c r="AK59" i="927"/>
  <c r="AJ59" i="927"/>
  <c r="AI59" i="927"/>
  <c r="AH59" i="927"/>
  <c r="AG59" i="927"/>
  <c r="AF59" i="927"/>
  <c r="AE59" i="927"/>
  <c r="AD59" i="927"/>
  <c r="AC59" i="927"/>
  <c r="AB59" i="927"/>
  <c r="K52" i="927"/>
  <c r="L45" i="928" s="1"/>
  <c r="M45" i="928" s="1"/>
  <c r="Z39" i="927"/>
  <c r="Y39" i="927"/>
  <c r="X39" i="927"/>
  <c r="W39" i="927"/>
  <c r="V39" i="927"/>
  <c r="U39" i="927"/>
  <c r="T39" i="927"/>
  <c r="S39" i="927"/>
  <c r="R39" i="927"/>
  <c r="Z38" i="927"/>
  <c r="Y38" i="927"/>
  <c r="X38" i="927"/>
  <c r="W38" i="927"/>
  <c r="V38" i="927"/>
  <c r="U38" i="927"/>
  <c r="T38" i="927"/>
  <c r="S38" i="927"/>
  <c r="R38" i="927"/>
  <c r="Z37" i="927"/>
  <c r="Y37" i="927"/>
  <c r="X37" i="927"/>
  <c r="W37" i="927"/>
  <c r="V37" i="927"/>
  <c r="U37" i="927"/>
  <c r="T37" i="927"/>
  <c r="S37" i="927"/>
  <c r="R37" i="927"/>
  <c r="Z36" i="927"/>
  <c r="Y36" i="927"/>
  <c r="X36" i="927"/>
  <c r="W36" i="927"/>
  <c r="V36" i="927"/>
  <c r="U36" i="927"/>
  <c r="T36" i="927"/>
  <c r="S36" i="927"/>
  <c r="R36" i="927"/>
  <c r="Z35" i="927"/>
  <c r="Y35" i="927"/>
  <c r="X35" i="927"/>
  <c r="W35" i="927"/>
  <c r="V35" i="927"/>
  <c r="U35" i="927"/>
  <c r="T35" i="927"/>
  <c r="S35" i="927"/>
  <c r="R35" i="927"/>
  <c r="Z34" i="927"/>
  <c r="Y34" i="927"/>
  <c r="X34" i="927"/>
  <c r="W34" i="927"/>
  <c r="V34" i="927"/>
  <c r="U34" i="927"/>
  <c r="T34" i="927"/>
  <c r="S34" i="927"/>
  <c r="R34" i="927"/>
  <c r="M34" i="927"/>
  <c r="Z33" i="927"/>
  <c r="Y33" i="927"/>
  <c r="X33" i="927"/>
  <c r="W33" i="927"/>
  <c r="V33" i="927"/>
  <c r="U33" i="927"/>
  <c r="T33" i="927"/>
  <c r="S33" i="927"/>
  <c r="R33" i="927"/>
  <c r="M33" i="927"/>
  <c r="Z32" i="927"/>
  <c r="Y32" i="927"/>
  <c r="X32" i="927"/>
  <c r="W32" i="927"/>
  <c r="V32" i="927"/>
  <c r="U32" i="927"/>
  <c r="T32" i="927"/>
  <c r="S32" i="927"/>
  <c r="R32" i="927"/>
  <c r="Z31" i="927"/>
  <c r="Y31" i="927"/>
  <c r="X31" i="927"/>
  <c r="W31" i="927"/>
  <c r="V31" i="927"/>
  <c r="U31" i="927"/>
  <c r="T31" i="927"/>
  <c r="S31" i="927"/>
  <c r="R31" i="927"/>
  <c r="Z30" i="927"/>
  <c r="Y30" i="927"/>
  <c r="X30" i="927"/>
  <c r="W30" i="927"/>
  <c r="V30" i="927"/>
  <c r="U30" i="927"/>
  <c r="T30" i="927"/>
  <c r="S30" i="927"/>
  <c r="R30" i="927"/>
  <c r="M30" i="927"/>
  <c r="Z29" i="927"/>
  <c r="Y29" i="927"/>
  <c r="X29" i="927"/>
  <c r="W29" i="927"/>
  <c r="V29" i="927"/>
  <c r="U29" i="927"/>
  <c r="T29" i="927"/>
  <c r="S29" i="927"/>
  <c r="R29" i="927"/>
  <c r="Z28" i="927"/>
  <c r="Y28" i="927"/>
  <c r="X28" i="927"/>
  <c r="W28" i="927"/>
  <c r="V28" i="927"/>
  <c r="U28" i="927"/>
  <c r="T28" i="927"/>
  <c r="S28" i="927"/>
  <c r="R28" i="927"/>
  <c r="M28" i="927"/>
  <c r="L28" i="927"/>
  <c r="K28" i="927"/>
  <c r="Z10" i="927"/>
  <c r="Y10" i="927"/>
  <c r="X10" i="927"/>
  <c r="W10" i="927"/>
  <c r="V10" i="927"/>
  <c r="U10" i="927"/>
  <c r="T10" i="927"/>
  <c r="S10" i="927"/>
  <c r="R10" i="927"/>
  <c r="L10" i="926"/>
  <c r="R11" i="926"/>
  <c r="S11" i="926"/>
  <c r="T11" i="926"/>
  <c r="U11" i="926"/>
  <c r="V11" i="926"/>
  <c r="W11" i="926"/>
  <c r="X11" i="926"/>
  <c r="Y11" i="926"/>
  <c r="Z11" i="926"/>
  <c r="R12" i="926"/>
  <c r="S12" i="926"/>
  <c r="T12" i="926"/>
  <c r="U12" i="926"/>
  <c r="V12" i="926"/>
  <c r="W12" i="926"/>
  <c r="X12" i="926"/>
  <c r="Y12" i="926"/>
  <c r="Z12" i="926"/>
  <c r="R13" i="926"/>
  <c r="S13" i="926"/>
  <c r="T13" i="926"/>
  <c r="U13" i="926"/>
  <c r="V13" i="926"/>
  <c r="W13" i="926"/>
  <c r="X13" i="926"/>
  <c r="Y13" i="926"/>
  <c r="Z13" i="926"/>
  <c r="R14" i="926"/>
  <c r="S14" i="926"/>
  <c r="T14" i="926"/>
  <c r="U14" i="926"/>
  <c r="V14" i="926"/>
  <c r="W14" i="926"/>
  <c r="X14" i="926"/>
  <c r="Y14" i="926"/>
  <c r="Z14" i="926"/>
  <c r="R15" i="926"/>
  <c r="S15" i="926"/>
  <c r="T15" i="926"/>
  <c r="U15" i="926"/>
  <c r="V15" i="926"/>
  <c r="W15" i="926"/>
  <c r="X15" i="926"/>
  <c r="Y15" i="926"/>
  <c r="Z15" i="926"/>
  <c r="R16" i="926"/>
  <c r="S16" i="926"/>
  <c r="T16" i="926"/>
  <c r="U16" i="926"/>
  <c r="V16" i="926"/>
  <c r="W16" i="926"/>
  <c r="X16" i="926"/>
  <c r="Y16" i="926"/>
  <c r="Z16" i="926"/>
  <c r="R17" i="926"/>
  <c r="S17" i="926"/>
  <c r="T17" i="926"/>
  <c r="U17" i="926"/>
  <c r="V17" i="926"/>
  <c r="W17" i="926"/>
  <c r="X17" i="926"/>
  <c r="Y17" i="926"/>
  <c r="Z17" i="926"/>
  <c r="R18" i="926"/>
  <c r="S18" i="926"/>
  <c r="T18" i="926"/>
  <c r="U18" i="926"/>
  <c r="V18" i="926"/>
  <c r="W18" i="926"/>
  <c r="X18" i="926"/>
  <c r="Y18" i="926"/>
  <c r="Z18" i="926"/>
  <c r="R19" i="926"/>
  <c r="S19" i="926"/>
  <c r="T19" i="926"/>
  <c r="U19" i="926"/>
  <c r="V19" i="926"/>
  <c r="W19" i="926"/>
  <c r="X19" i="926"/>
  <c r="Y19" i="926"/>
  <c r="Z19" i="926"/>
  <c r="R20" i="926"/>
  <c r="S20" i="926"/>
  <c r="T20" i="926"/>
  <c r="U20" i="926"/>
  <c r="V20" i="926"/>
  <c r="W20" i="926"/>
  <c r="X20" i="926"/>
  <c r="Y20" i="926"/>
  <c r="Z20" i="926"/>
  <c r="R21" i="926"/>
  <c r="S21" i="926"/>
  <c r="T21" i="926"/>
  <c r="U21" i="926"/>
  <c r="V21" i="926"/>
  <c r="W21" i="926"/>
  <c r="X21" i="926"/>
  <c r="Y21" i="926"/>
  <c r="Z21" i="926"/>
  <c r="M10" i="926"/>
  <c r="N10" i="926"/>
  <c r="O10" i="926"/>
  <c r="L11" i="926"/>
  <c r="M11" i="926"/>
  <c r="N11" i="926"/>
  <c r="O11" i="926"/>
  <c r="L12" i="926"/>
  <c r="M12" i="926"/>
  <c r="N12" i="926"/>
  <c r="O12" i="926"/>
  <c r="L13" i="926"/>
  <c r="M13" i="926"/>
  <c r="N13" i="926"/>
  <c r="O13" i="926"/>
  <c r="L14" i="926"/>
  <c r="M14" i="926"/>
  <c r="N14" i="926"/>
  <c r="O14" i="926"/>
  <c r="D10" i="926"/>
  <c r="E10" i="926"/>
  <c r="F10" i="926"/>
  <c r="G10" i="926"/>
  <c r="D11" i="926"/>
  <c r="E11" i="926"/>
  <c r="F11" i="926"/>
  <c r="G11" i="926"/>
  <c r="D12" i="926"/>
  <c r="E12" i="926"/>
  <c r="F12" i="926"/>
  <c r="G12" i="926"/>
  <c r="D13" i="926"/>
  <c r="E13" i="926"/>
  <c r="F13" i="926"/>
  <c r="G13" i="926"/>
  <c r="D14" i="926"/>
  <c r="E14" i="926"/>
  <c r="F14" i="926"/>
  <c r="G14" i="926"/>
  <c r="F72" i="926"/>
  <c r="AX56" i="926"/>
  <c r="AW56" i="926"/>
  <c r="AV56" i="926"/>
  <c r="AU56" i="926"/>
  <c r="AT56" i="926"/>
  <c r="AS56" i="926"/>
  <c r="AR56" i="926"/>
  <c r="AQ56" i="926"/>
  <c r="AP56" i="926"/>
  <c r="AO56" i="926"/>
  <c r="AN56" i="926"/>
  <c r="AM56" i="926"/>
  <c r="AL56" i="926"/>
  <c r="AK56" i="926"/>
  <c r="AJ56" i="926"/>
  <c r="AI56" i="926"/>
  <c r="AH56" i="926"/>
  <c r="AG56" i="926"/>
  <c r="AF56" i="926"/>
  <c r="AE56" i="926"/>
  <c r="AD56" i="926"/>
  <c r="AC56" i="926"/>
  <c r="AB56" i="926"/>
  <c r="K49" i="926"/>
  <c r="Z36" i="926"/>
  <c r="Y36" i="926"/>
  <c r="X36" i="926"/>
  <c r="W36" i="926"/>
  <c r="V36" i="926"/>
  <c r="U36" i="926"/>
  <c r="T36" i="926"/>
  <c r="S36" i="926"/>
  <c r="R36" i="926"/>
  <c r="Z35" i="926"/>
  <c r="Y35" i="926"/>
  <c r="X35" i="926"/>
  <c r="W35" i="926"/>
  <c r="V35" i="926"/>
  <c r="U35" i="926"/>
  <c r="T35" i="926"/>
  <c r="S35" i="926"/>
  <c r="R35" i="926"/>
  <c r="Z34" i="926"/>
  <c r="Y34" i="926"/>
  <c r="X34" i="926"/>
  <c r="W34" i="926"/>
  <c r="V34" i="926"/>
  <c r="U34" i="926"/>
  <c r="T34" i="926"/>
  <c r="S34" i="926"/>
  <c r="R34" i="926"/>
  <c r="Z33" i="926"/>
  <c r="Y33" i="926"/>
  <c r="X33" i="926"/>
  <c r="W33" i="926"/>
  <c r="V33" i="926"/>
  <c r="U33" i="926"/>
  <c r="T33" i="926"/>
  <c r="S33" i="926"/>
  <c r="R33" i="926"/>
  <c r="Z32" i="926"/>
  <c r="Y32" i="926"/>
  <c r="X32" i="926"/>
  <c r="W32" i="926"/>
  <c r="V32" i="926"/>
  <c r="U32" i="926"/>
  <c r="T32" i="926"/>
  <c r="S32" i="926"/>
  <c r="R32" i="926"/>
  <c r="Z31" i="926"/>
  <c r="Y31" i="926"/>
  <c r="X31" i="926"/>
  <c r="W31" i="926"/>
  <c r="V31" i="926"/>
  <c r="U31" i="926"/>
  <c r="T31" i="926"/>
  <c r="S31" i="926"/>
  <c r="R31" i="926"/>
  <c r="M31" i="926"/>
  <c r="Z30" i="926"/>
  <c r="Y30" i="926"/>
  <c r="X30" i="926"/>
  <c r="W30" i="926"/>
  <c r="V30" i="926"/>
  <c r="U30" i="926"/>
  <c r="T30" i="926"/>
  <c r="S30" i="926"/>
  <c r="R30" i="926"/>
  <c r="M30" i="926"/>
  <c r="Z29" i="926"/>
  <c r="Y29" i="926"/>
  <c r="X29" i="926"/>
  <c r="W29" i="926"/>
  <c r="V29" i="926"/>
  <c r="U29" i="926"/>
  <c r="T29" i="926"/>
  <c r="S29" i="926"/>
  <c r="R29" i="926"/>
  <c r="Z28" i="926"/>
  <c r="Y28" i="926"/>
  <c r="X28" i="926"/>
  <c r="W28" i="926"/>
  <c r="V28" i="926"/>
  <c r="U28" i="926"/>
  <c r="T28" i="926"/>
  <c r="S28" i="926"/>
  <c r="R28" i="926"/>
  <c r="Z27" i="926"/>
  <c r="Y27" i="926"/>
  <c r="X27" i="926"/>
  <c r="W27" i="926"/>
  <c r="V27" i="926"/>
  <c r="U27" i="926"/>
  <c r="T27" i="926"/>
  <c r="S27" i="926"/>
  <c r="R27" i="926"/>
  <c r="M27" i="926"/>
  <c r="Z26" i="926"/>
  <c r="Y26" i="926"/>
  <c r="X26" i="926"/>
  <c r="W26" i="926"/>
  <c r="V26" i="926"/>
  <c r="U26" i="926"/>
  <c r="T26" i="926"/>
  <c r="S26" i="926"/>
  <c r="R26" i="926"/>
  <c r="M25" i="926"/>
  <c r="L25" i="926"/>
  <c r="K25" i="926"/>
  <c r="X25" i="926"/>
  <c r="Z24" i="926"/>
  <c r="Y24" i="926"/>
  <c r="X24" i="926"/>
  <c r="W24" i="926"/>
  <c r="V24" i="926"/>
  <c r="U24" i="926"/>
  <c r="T24" i="926"/>
  <c r="S24" i="926"/>
  <c r="R24" i="926"/>
  <c r="Z23" i="926"/>
  <c r="Y23" i="926"/>
  <c r="X23" i="926"/>
  <c r="W23" i="926"/>
  <c r="V23" i="926"/>
  <c r="U23" i="926"/>
  <c r="T23" i="926"/>
  <c r="S23" i="926"/>
  <c r="R23" i="926"/>
  <c r="Z22" i="926"/>
  <c r="Y22" i="926"/>
  <c r="X22" i="926"/>
  <c r="W22" i="926"/>
  <c r="V22" i="926"/>
  <c r="U22" i="926"/>
  <c r="T22" i="926"/>
  <c r="S22" i="926"/>
  <c r="R22" i="926"/>
  <c r="Z10" i="926"/>
  <c r="Y10" i="926"/>
  <c r="X10" i="926"/>
  <c r="W10" i="926"/>
  <c r="V10" i="926"/>
  <c r="U10" i="926"/>
  <c r="T10" i="926"/>
  <c r="S10" i="926"/>
  <c r="R10" i="926"/>
  <c r="L40" i="925"/>
  <c r="C25" i="925"/>
  <c r="C26" i="925"/>
  <c r="C27" i="925"/>
  <c r="C28" i="925"/>
  <c r="C29" i="925"/>
  <c r="C30" i="925"/>
  <c r="C31" i="925"/>
  <c r="C32" i="925"/>
  <c r="C33" i="925"/>
  <c r="C34" i="925"/>
  <c r="B25" i="925"/>
  <c r="L43" i="927" l="1"/>
  <c r="M43" i="927" s="1"/>
  <c r="L40" i="926"/>
  <c r="M40" i="926" s="1"/>
  <c r="Y25" i="926"/>
  <c r="Z25" i="926"/>
  <c r="W25" i="926"/>
  <c r="R25" i="926"/>
  <c r="S25" i="926"/>
  <c r="T25" i="926"/>
  <c r="U25" i="926"/>
  <c r="V25" i="926"/>
  <c r="N14" i="925"/>
  <c r="N16" i="925"/>
  <c r="B54" i="925"/>
  <c r="R10" i="925"/>
  <c r="S10" i="925"/>
  <c r="T10" i="925"/>
  <c r="U10" i="925"/>
  <c r="V10" i="925"/>
  <c r="W10" i="925"/>
  <c r="X10" i="925"/>
  <c r="Y10" i="925"/>
  <c r="Z10" i="925"/>
  <c r="R11" i="925"/>
  <c r="S11" i="925"/>
  <c r="T11" i="925"/>
  <c r="U11" i="925"/>
  <c r="V11" i="925"/>
  <c r="W11" i="925"/>
  <c r="X11" i="925"/>
  <c r="Y11" i="925"/>
  <c r="Z11" i="925"/>
  <c r="R12" i="925"/>
  <c r="S12" i="925"/>
  <c r="T12" i="925"/>
  <c r="U12" i="925"/>
  <c r="V12" i="925"/>
  <c r="W12" i="925"/>
  <c r="X12" i="925"/>
  <c r="Y12" i="925"/>
  <c r="Z12" i="925"/>
  <c r="R13" i="925"/>
  <c r="S13" i="925"/>
  <c r="T13" i="925"/>
  <c r="U13" i="925"/>
  <c r="V13" i="925"/>
  <c r="W13" i="925"/>
  <c r="X13" i="925"/>
  <c r="Y13" i="925"/>
  <c r="Z13" i="925"/>
  <c r="R14" i="925"/>
  <c r="S14" i="925"/>
  <c r="T14" i="925"/>
  <c r="U14" i="925"/>
  <c r="V14" i="925"/>
  <c r="W14" i="925"/>
  <c r="X14" i="925"/>
  <c r="Y14" i="925"/>
  <c r="Z14" i="925"/>
  <c r="R15" i="925"/>
  <c r="S15" i="925"/>
  <c r="T15" i="925"/>
  <c r="U15" i="925"/>
  <c r="V15" i="925"/>
  <c r="W15" i="925"/>
  <c r="X15" i="925"/>
  <c r="Y15" i="925"/>
  <c r="Z15" i="925"/>
  <c r="R16" i="925"/>
  <c r="S16" i="925"/>
  <c r="T16" i="925"/>
  <c r="U16" i="925"/>
  <c r="V16" i="925"/>
  <c r="W16" i="925"/>
  <c r="X16" i="925"/>
  <c r="Y16" i="925"/>
  <c r="Z16" i="925"/>
  <c r="D10" i="925"/>
  <c r="E10" i="925"/>
  <c r="F10" i="925"/>
  <c r="G10" i="925"/>
  <c r="L10" i="925"/>
  <c r="M10" i="925"/>
  <c r="N10" i="925"/>
  <c r="O10" i="925"/>
  <c r="D11" i="925"/>
  <c r="E11" i="925"/>
  <c r="F11" i="925"/>
  <c r="G11" i="925"/>
  <c r="L11" i="925"/>
  <c r="M11" i="925"/>
  <c r="N11" i="925"/>
  <c r="O11" i="925"/>
  <c r="D12" i="925"/>
  <c r="E12" i="925"/>
  <c r="F12" i="925"/>
  <c r="G12" i="925"/>
  <c r="L12" i="925"/>
  <c r="M12" i="925"/>
  <c r="N12" i="925"/>
  <c r="O12" i="925"/>
  <c r="D13" i="925"/>
  <c r="E13" i="925"/>
  <c r="F13" i="925"/>
  <c r="G13" i="925"/>
  <c r="L13" i="925"/>
  <c r="M13" i="925"/>
  <c r="N13" i="925"/>
  <c r="O13" i="925"/>
  <c r="D14" i="925"/>
  <c r="E14" i="925"/>
  <c r="F14" i="925"/>
  <c r="G14" i="925"/>
  <c r="L14" i="925"/>
  <c r="M14" i="925"/>
  <c r="O14" i="925"/>
  <c r="D15" i="925"/>
  <c r="E15" i="925"/>
  <c r="F15" i="925"/>
  <c r="G15" i="925"/>
  <c r="L15" i="925"/>
  <c r="M15" i="925"/>
  <c r="N15" i="925"/>
  <c r="O15" i="925"/>
  <c r="D16" i="925"/>
  <c r="E16" i="925"/>
  <c r="F16" i="925"/>
  <c r="G16" i="925"/>
  <c r="L16" i="925"/>
  <c r="M16" i="925"/>
  <c r="O16" i="925"/>
  <c r="F72" i="925"/>
  <c r="AX56" i="925"/>
  <c r="AW56" i="925"/>
  <c r="AV56" i="925"/>
  <c r="AU56" i="925"/>
  <c r="AT56" i="925"/>
  <c r="AS56" i="925"/>
  <c r="AR56" i="925"/>
  <c r="AQ56" i="925"/>
  <c r="AP56" i="925"/>
  <c r="AO56" i="925"/>
  <c r="AN56" i="925"/>
  <c r="AM56" i="925"/>
  <c r="AL56" i="925"/>
  <c r="AK56" i="925"/>
  <c r="AJ56" i="925"/>
  <c r="AI56" i="925"/>
  <c r="AH56" i="925"/>
  <c r="AG56" i="925"/>
  <c r="AF56" i="925"/>
  <c r="AE56" i="925"/>
  <c r="AD56" i="925"/>
  <c r="AC56" i="925"/>
  <c r="AB56" i="925"/>
  <c r="K49" i="925"/>
  <c r="M40" i="925" s="1"/>
  <c r="Z36" i="925"/>
  <c r="Y36" i="925"/>
  <c r="X36" i="925"/>
  <c r="W36" i="925"/>
  <c r="V36" i="925"/>
  <c r="U36" i="925"/>
  <c r="T36" i="925"/>
  <c r="S36" i="925"/>
  <c r="R36" i="925"/>
  <c r="Z35" i="925"/>
  <c r="Y35" i="925"/>
  <c r="X35" i="925"/>
  <c r="W35" i="925"/>
  <c r="V35" i="925"/>
  <c r="U35" i="925"/>
  <c r="T35" i="925"/>
  <c r="S35" i="925"/>
  <c r="R35" i="925"/>
  <c r="Z34" i="925"/>
  <c r="Y34" i="925"/>
  <c r="X34" i="925"/>
  <c r="W34" i="925"/>
  <c r="V34" i="925"/>
  <c r="U34" i="925"/>
  <c r="T34" i="925"/>
  <c r="S34" i="925"/>
  <c r="R34" i="925"/>
  <c r="Z33" i="925"/>
  <c r="Y33" i="925"/>
  <c r="X33" i="925"/>
  <c r="W33" i="925"/>
  <c r="V33" i="925"/>
  <c r="U33" i="925"/>
  <c r="T33" i="925"/>
  <c r="S33" i="925"/>
  <c r="R33" i="925"/>
  <c r="Z32" i="925"/>
  <c r="Y32" i="925"/>
  <c r="X32" i="925"/>
  <c r="W32" i="925"/>
  <c r="V32" i="925"/>
  <c r="U32" i="925"/>
  <c r="T32" i="925"/>
  <c r="S32" i="925"/>
  <c r="R32" i="925"/>
  <c r="Z31" i="925"/>
  <c r="Y31" i="925"/>
  <c r="X31" i="925"/>
  <c r="W31" i="925"/>
  <c r="V31" i="925"/>
  <c r="U31" i="925"/>
  <c r="T31" i="925"/>
  <c r="S31" i="925"/>
  <c r="R31" i="925"/>
  <c r="M31" i="925"/>
  <c r="Z30" i="925"/>
  <c r="Y30" i="925"/>
  <c r="X30" i="925"/>
  <c r="W30" i="925"/>
  <c r="V30" i="925"/>
  <c r="U30" i="925"/>
  <c r="T30" i="925"/>
  <c r="S30" i="925"/>
  <c r="R30" i="925"/>
  <c r="M30" i="925"/>
  <c r="Z29" i="925"/>
  <c r="Y29" i="925"/>
  <c r="X29" i="925"/>
  <c r="W29" i="925"/>
  <c r="V29" i="925"/>
  <c r="U29" i="925"/>
  <c r="T29" i="925"/>
  <c r="S29" i="925"/>
  <c r="R29" i="925"/>
  <c r="Z28" i="925"/>
  <c r="Y28" i="925"/>
  <c r="X28" i="925"/>
  <c r="W28" i="925"/>
  <c r="V28" i="925"/>
  <c r="U28" i="925"/>
  <c r="T28" i="925"/>
  <c r="S28" i="925"/>
  <c r="R28" i="925"/>
  <c r="Z27" i="925"/>
  <c r="Y27" i="925"/>
  <c r="X27" i="925"/>
  <c r="W27" i="925"/>
  <c r="V27" i="925"/>
  <c r="U27" i="925"/>
  <c r="T27" i="925"/>
  <c r="S27" i="925"/>
  <c r="R27" i="925"/>
  <c r="M27" i="925"/>
  <c r="Z26" i="925"/>
  <c r="Y26" i="925"/>
  <c r="X26" i="925"/>
  <c r="W26" i="925"/>
  <c r="V26" i="925"/>
  <c r="U26" i="925"/>
  <c r="T26" i="925"/>
  <c r="S26" i="925"/>
  <c r="R26" i="925"/>
  <c r="Z25" i="925"/>
  <c r="Y25" i="925"/>
  <c r="X25" i="925"/>
  <c r="W25" i="925"/>
  <c r="V25" i="925"/>
  <c r="U25" i="925"/>
  <c r="T25" i="925"/>
  <c r="S25" i="925"/>
  <c r="R25" i="925"/>
  <c r="M25" i="925"/>
  <c r="L25" i="925"/>
  <c r="K25" i="925"/>
  <c r="Z24" i="925"/>
  <c r="Y24" i="925"/>
  <c r="X24" i="925"/>
  <c r="W24" i="925"/>
  <c r="V24" i="925"/>
  <c r="U24" i="925"/>
  <c r="T24" i="925"/>
  <c r="S24" i="925"/>
  <c r="R24" i="925"/>
  <c r="Z23" i="925"/>
  <c r="Y23" i="925"/>
  <c r="X23" i="925"/>
  <c r="W23" i="925"/>
  <c r="V23" i="925"/>
  <c r="U23" i="925"/>
  <c r="T23" i="925"/>
  <c r="S23" i="925"/>
  <c r="R23" i="925"/>
  <c r="Z22" i="925"/>
  <c r="Y22" i="925"/>
  <c r="X22" i="925"/>
  <c r="W22" i="925"/>
  <c r="V22" i="925"/>
  <c r="U22" i="925"/>
  <c r="T22" i="925"/>
  <c r="S22" i="925"/>
  <c r="R22" i="925"/>
  <c r="Z21" i="925"/>
  <c r="Y21" i="925"/>
  <c r="X21" i="925"/>
  <c r="W21" i="925"/>
  <c r="V21" i="925"/>
  <c r="U21" i="925"/>
  <c r="T21" i="925"/>
  <c r="S21" i="925"/>
  <c r="R21" i="925"/>
  <c r="Z20" i="925"/>
  <c r="Y20" i="925"/>
  <c r="X20" i="925"/>
  <c r="W20" i="925"/>
  <c r="V20" i="925"/>
  <c r="U20" i="925"/>
  <c r="T20" i="925"/>
  <c r="S20" i="925"/>
  <c r="R20" i="925"/>
  <c r="Z19" i="925"/>
  <c r="Y19" i="925"/>
  <c r="X19" i="925"/>
  <c r="W19" i="925"/>
  <c r="V19" i="925"/>
  <c r="U19" i="925"/>
  <c r="T19" i="925"/>
  <c r="S19" i="925"/>
  <c r="R19" i="925"/>
  <c r="Z18" i="925"/>
  <c r="Y18" i="925"/>
  <c r="X18" i="925"/>
  <c r="W18" i="925"/>
  <c r="V18" i="925"/>
  <c r="U18" i="925"/>
  <c r="T18" i="925"/>
  <c r="S18" i="925"/>
  <c r="R18" i="925"/>
  <c r="Z17" i="925"/>
  <c r="Y17" i="925"/>
  <c r="X17" i="925"/>
  <c r="W17" i="925"/>
  <c r="V17" i="925"/>
  <c r="U17" i="925"/>
  <c r="T17" i="925"/>
  <c r="S17" i="925"/>
  <c r="R17" i="925"/>
  <c r="B58" i="924" l="1"/>
  <c r="L44" i="924"/>
  <c r="M29" i="924"/>
  <c r="L29" i="924"/>
  <c r="K29" i="924"/>
  <c r="R12" i="924"/>
  <c r="S12" i="924"/>
  <c r="T12" i="924"/>
  <c r="U12" i="924"/>
  <c r="V12" i="924"/>
  <c r="W12" i="924"/>
  <c r="X12" i="924"/>
  <c r="Y12" i="924"/>
  <c r="Z12" i="924"/>
  <c r="R13" i="924"/>
  <c r="S13" i="924"/>
  <c r="T13" i="924"/>
  <c r="U13" i="924"/>
  <c r="V13" i="924"/>
  <c r="W13" i="924"/>
  <c r="X13" i="924"/>
  <c r="Y13" i="924"/>
  <c r="Z13" i="924"/>
  <c r="R14" i="924"/>
  <c r="S14" i="924"/>
  <c r="T14" i="924"/>
  <c r="U14" i="924"/>
  <c r="V14" i="924"/>
  <c r="W14" i="924"/>
  <c r="X14" i="924"/>
  <c r="Y14" i="924"/>
  <c r="Z14" i="924"/>
  <c r="R15" i="924"/>
  <c r="S15" i="924"/>
  <c r="T15" i="924"/>
  <c r="U15" i="924"/>
  <c r="V15" i="924"/>
  <c r="W15" i="924"/>
  <c r="X15" i="924"/>
  <c r="Y15" i="924"/>
  <c r="Z15" i="924"/>
  <c r="R16" i="924"/>
  <c r="S16" i="924"/>
  <c r="T16" i="924"/>
  <c r="U16" i="924"/>
  <c r="V16" i="924"/>
  <c r="W16" i="924"/>
  <c r="X16" i="924"/>
  <c r="Y16" i="924"/>
  <c r="Z16" i="924"/>
  <c r="R17" i="924"/>
  <c r="S17" i="924"/>
  <c r="T17" i="924"/>
  <c r="U17" i="924"/>
  <c r="V17" i="924"/>
  <c r="W17" i="924"/>
  <c r="X17" i="924"/>
  <c r="Y17" i="924"/>
  <c r="Z17" i="924"/>
  <c r="R18" i="924"/>
  <c r="S18" i="924"/>
  <c r="T18" i="924"/>
  <c r="U18" i="924"/>
  <c r="V18" i="924"/>
  <c r="W18" i="924"/>
  <c r="X18" i="924"/>
  <c r="Y18" i="924"/>
  <c r="Z18" i="924"/>
  <c r="R19" i="924"/>
  <c r="S19" i="924"/>
  <c r="T19" i="924"/>
  <c r="U19" i="924"/>
  <c r="V19" i="924"/>
  <c r="W19" i="924"/>
  <c r="X19" i="924"/>
  <c r="Y19" i="924"/>
  <c r="Z19" i="924"/>
  <c r="R20" i="924"/>
  <c r="S20" i="924"/>
  <c r="T20" i="924"/>
  <c r="U20" i="924"/>
  <c r="V20" i="924"/>
  <c r="W20" i="924"/>
  <c r="X20" i="924"/>
  <c r="Y20" i="924"/>
  <c r="Z20" i="924"/>
  <c r="R21" i="924"/>
  <c r="S21" i="924"/>
  <c r="T21" i="924"/>
  <c r="U21" i="924"/>
  <c r="V21" i="924"/>
  <c r="W21" i="924"/>
  <c r="X21" i="924"/>
  <c r="Y21" i="924"/>
  <c r="Z21" i="924"/>
  <c r="R22" i="924"/>
  <c r="S22" i="924"/>
  <c r="T22" i="924"/>
  <c r="U22" i="924"/>
  <c r="V22" i="924"/>
  <c r="W22" i="924"/>
  <c r="X22" i="924"/>
  <c r="Y22" i="924"/>
  <c r="Z22" i="924"/>
  <c r="I10" i="924"/>
  <c r="J10" i="924"/>
  <c r="L10" i="924"/>
  <c r="M10" i="924"/>
  <c r="N10" i="924"/>
  <c r="O10" i="924"/>
  <c r="I11" i="924"/>
  <c r="J11" i="924"/>
  <c r="L11" i="924"/>
  <c r="M11" i="924"/>
  <c r="N11" i="924"/>
  <c r="O11" i="924"/>
  <c r="I12" i="924"/>
  <c r="J12" i="924"/>
  <c r="L12" i="924"/>
  <c r="M12" i="924"/>
  <c r="N12" i="924"/>
  <c r="O12" i="924"/>
  <c r="I13" i="924"/>
  <c r="J13" i="924"/>
  <c r="L13" i="924"/>
  <c r="M13" i="924"/>
  <c r="N13" i="924"/>
  <c r="O13" i="924"/>
  <c r="I14" i="924"/>
  <c r="J14" i="924"/>
  <c r="L14" i="924"/>
  <c r="M14" i="924"/>
  <c r="N14" i="924"/>
  <c r="O14" i="924"/>
  <c r="I15" i="924"/>
  <c r="J15" i="924"/>
  <c r="L15" i="924"/>
  <c r="M15" i="924"/>
  <c r="N15" i="924"/>
  <c r="O15" i="924"/>
  <c r="I16" i="924"/>
  <c r="J16" i="924"/>
  <c r="L16" i="924"/>
  <c r="M16" i="924"/>
  <c r="N16" i="924"/>
  <c r="O16" i="924"/>
  <c r="I17" i="924"/>
  <c r="J17" i="924"/>
  <c r="L17" i="924"/>
  <c r="M17" i="924"/>
  <c r="N17" i="924"/>
  <c r="O17" i="924"/>
  <c r="C10" i="924"/>
  <c r="D10" i="924"/>
  <c r="E10" i="924"/>
  <c r="F10" i="924"/>
  <c r="G10" i="924"/>
  <c r="C11" i="924"/>
  <c r="D11" i="924"/>
  <c r="E11" i="924"/>
  <c r="F11" i="924"/>
  <c r="G11" i="924"/>
  <c r="C12" i="924"/>
  <c r="D12" i="924"/>
  <c r="E12" i="924"/>
  <c r="F12" i="924"/>
  <c r="G12" i="924"/>
  <c r="C13" i="924"/>
  <c r="D13" i="924"/>
  <c r="E13" i="924"/>
  <c r="F13" i="924"/>
  <c r="G13" i="924"/>
  <c r="C14" i="924"/>
  <c r="D14" i="924"/>
  <c r="E14" i="924"/>
  <c r="F14" i="924"/>
  <c r="G14" i="924"/>
  <c r="C15" i="924"/>
  <c r="D15" i="924"/>
  <c r="E15" i="924"/>
  <c r="F15" i="924"/>
  <c r="G15" i="924"/>
  <c r="C16" i="924"/>
  <c r="D16" i="924"/>
  <c r="E16" i="924"/>
  <c r="F16" i="924"/>
  <c r="G16" i="924"/>
  <c r="C17" i="924"/>
  <c r="D17" i="924"/>
  <c r="E17" i="924"/>
  <c r="F17" i="924"/>
  <c r="G17" i="924"/>
  <c r="F76" i="924"/>
  <c r="AX60" i="924"/>
  <c r="AW60" i="924"/>
  <c r="AV60" i="924"/>
  <c r="AU60" i="924"/>
  <c r="AT60" i="924"/>
  <c r="AS60" i="924"/>
  <c r="AR60" i="924"/>
  <c r="AQ60" i="924"/>
  <c r="AP60" i="924"/>
  <c r="AO60" i="924"/>
  <c r="AN60" i="924"/>
  <c r="AM60" i="924"/>
  <c r="AL60" i="924"/>
  <c r="AK60" i="924"/>
  <c r="AJ60" i="924"/>
  <c r="AI60" i="924"/>
  <c r="AH60" i="924"/>
  <c r="AG60" i="924"/>
  <c r="AF60" i="924"/>
  <c r="AE60" i="924"/>
  <c r="AD60" i="924"/>
  <c r="AC60" i="924"/>
  <c r="AB60" i="924"/>
  <c r="K53" i="924"/>
  <c r="M44" i="924"/>
  <c r="Z40" i="924"/>
  <c r="Y40" i="924"/>
  <c r="X40" i="924"/>
  <c r="W40" i="924"/>
  <c r="V40" i="924"/>
  <c r="U40" i="924"/>
  <c r="T40" i="924"/>
  <c r="S40" i="924"/>
  <c r="R40" i="924"/>
  <c r="Z39" i="924"/>
  <c r="Y39" i="924"/>
  <c r="X39" i="924"/>
  <c r="W39" i="924"/>
  <c r="V39" i="924"/>
  <c r="U39" i="924"/>
  <c r="T39" i="924"/>
  <c r="S39" i="924"/>
  <c r="R39" i="924"/>
  <c r="Z38" i="924"/>
  <c r="Y38" i="924"/>
  <c r="X38" i="924"/>
  <c r="W38" i="924"/>
  <c r="V38" i="924"/>
  <c r="U38" i="924"/>
  <c r="T38" i="924"/>
  <c r="S38" i="924"/>
  <c r="R38" i="924"/>
  <c r="Z37" i="924"/>
  <c r="Y37" i="924"/>
  <c r="X37" i="924"/>
  <c r="W37" i="924"/>
  <c r="V37" i="924"/>
  <c r="U37" i="924"/>
  <c r="T37" i="924"/>
  <c r="S37" i="924"/>
  <c r="R37" i="924"/>
  <c r="Z36" i="924"/>
  <c r="Y36" i="924"/>
  <c r="X36" i="924"/>
  <c r="W36" i="924"/>
  <c r="V36" i="924"/>
  <c r="U36" i="924"/>
  <c r="T36" i="924"/>
  <c r="S36" i="924"/>
  <c r="R36" i="924"/>
  <c r="Z35" i="924"/>
  <c r="Y35" i="924"/>
  <c r="X35" i="924"/>
  <c r="W35" i="924"/>
  <c r="V35" i="924"/>
  <c r="U35" i="924"/>
  <c r="T35" i="924"/>
  <c r="S35" i="924"/>
  <c r="R35" i="924"/>
  <c r="M35" i="924"/>
  <c r="Z34" i="924"/>
  <c r="Y34" i="924"/>
  <c r="X34" i="924"/>
  <c r="W34" i="924"/>
  <c r="V34" i="924"/>
  <c r="U34" i="924"/>
  <c r="T34" i="924"/>
  <c r="S34" i="924"/>
  <c r="R34" i="924"/>
  <c r="M34" i="924"/>
  <c r="Z33" i="924"/>
  <c r="Y33" i="924"/>
  <c r="X33" i="924"/>
  <c r="W33" i="924"/>
  <c r="V33" i="924"/>
  <c r="U33" i="924"/>
  <c r="T33" i="924"/>
  <c r="S33" i="924"/>
  <c r="R33" i="924"/>
  <c r="Z32" i="924"/>
  <c r="Y32" i="924"/>
  <c r="X32" i="924"/>
  <c r="W32" i="924"/>
  <c r="V32" i="924"/>
  <c r="U32" i="924"/>
  <c r="T32" i="924"/>
  <c r="S32" i="924"/>
  <c r="R32" i="924"/>
  <c r="Z31" i="924"/>
  <c r="Y31" i="924"/>
  <c r="X31" i="924"/>
  <c r="W31" i="924"/>
  <c r="V31" i="924"/>
  <c r="U31" i="924"/>
  <c r="T31" i="924"/>
  <c r="S31" i="924"/>
  <c r="R31" i="924"/>
  <c r="M31" i="924"/>
  <c r="Z30" i="924"/>
  <c r="Y30" i="924"/>
  <c r="X30" i="924"/>
  <c r="W30" i="924"/>
  <c r="V30" i="924"/>
  <c r="U30" i="924"/>
  <c r="T30" i="924"/>
  <c r="S30" i="924"/>
  <c r="R30" i="924"/>
  <c r="T29" i="924"/>
  <c r="Z28" i="924"/>
  <c r="Y28" i="924"/>
  <c r="X28" i="924"/>
  <c r="W28" i="924"/>
  <c r="V28" i="924"/>
  <c r="U28" i="924"/>
  <c r="T28" i="924"/>
  <c r="S28" i="924"/>
  <c r="R28" i="924"/>
  <c r="Z27" i="924"/>
  <c r="Y27" i="924"/>
  <c r="X27" i="924"/>
  <c r="W27" i="924"/>
  <c r="V27" i="924"/>
  <c r="U27" i="924"/>
  <c r="T27" i="924"/>
  <c r="S27" i="924"/>
  <c r="R27" i="924"/>
  <c r="Z26" i="924"/>
  <c r="Y26" i="924"/>
  <c r="X26" i="924"/>
  <c r="W26" i="924"/>
  <c r="V26" i="924"/>
  <c r="U26" i="924"/>
  <c r="T26" i="924"/>
  <c r="S26" i="924"/>
  <c r="R26" i="924"/>
  <c r="Z25" i="924"/>
  <c r="Y25" i="924"/>
  <c r="X25" i="924"/>
  <c r="W25" i="924"/>
  <c r="V25" i="924"/>
  <c r="U25" i="924"/>
  <c r="T25" i="924"/>
  <c r="S25" i="924"/>
  <c r="R25" i="924"/>
  <c r="Z24" i="924"/>
  <c r="Y24" i="924"/>
  <c r="X24" i="924"/>
  <c r="W24" i="924"/>
  <c r="V24" i="924"/>
  <c r="U24" i="924"/>
  <c r="T24" i="924"/>
  <c r="S24" i="924"/>
  <c r="R24" i="924"/>
  <c r="Z23" i="924"/>
  <c r="Y23" i="924"/>
  <c r="X23" i="924"/>
  <c r="W23" i="924"/>
  <c r="V23" i="924"/>
  <c r="U23" i="924"/>
  <c r="T23" i="924"/>
  <c r="S23" i="924"/>
  <c r="R23" i="924"/>
  <c r="Z11" i="924"/>
  <c r="Y11" i="924"/>
  <c r="X11" i="924"/>
  <c r="W11" i="924"/>
  <c r="V11" i="924"/>
  <c r="U11" i="924"/>
  <c r="T11" i="924"/>
  <c r="S11" i="924"/>
  <c r="R11" i="924"/>
  <c r="Z10" i="924"/>
  <c r="Y10" i="924"/>
  <c r="X10" i="924"/>
  <c r="W10" i="924"/>
  <c r="V10" i="924"/>
  <c r="U10" i="924"/>
  <c r="T10" i="924"/>
  <c r="S10" i="924"/>
  <c r="R10" i="924"/>
  <c r="J29" i="924" l="1"/>
  <c r="W29" i="924"/>
  <c r="X29" i="924"/>
  <c r="Y29" i="924"/>
  <c r="U29" i="924"/>
  <c r="V29" i="924"/>
  <c r="Z29" i="924"/>
  <c r="S29" i="924"/>
  <c r="R29" i="924"/>
  <c r="K30" i="923"/>
  <c r="B59" i="923" l="1"/>
  <c r="B30" i="923"/>
  <c r="Y30" i="923" s="1"/>
  <c r="R11" i="923"/>
  <c r="S11" i="923"/>
  <c r="T11" i="923"/>
  <c r="U11" i="923"/>
  <c r="V11" i="923"/>
  <c r="W11" i="923"/>
  <c r="X11" i="923"/>
  <c r="Y11" i="923"/>
  <c r="Z11" i="923"/>
  <c r="R12" i="923"/>
  <c r="S12" i="923"/>
  <c r="T12" i="923"/>
  <c r="U12" i="923"/>
  <c r="V12" i="923"/>
  <c r="W12" i="923"/>
  <c r="X12" i="923"/>
  <c r="Y12" i="923"/>
  <c r="Z12" i="923"/>
  <c r="R13" i="923"/>
  <c r="S13" i="923"/>
  <c r="T13" i="923"/>
  <c r="U13" i="923"/>
  <c r="V13" i="923"/>
  <c r="W13" i="923"/>
  <c r="X13" i="923"/>
  <c r="Y13" i="923"/>
  <c r="Z13" i="923"/>
  <c r="R14" i="923"/>
  <c r="S14" i="923"/>
  <c r="T14" i="923"/>
  <c r="U14" i="923"/>
  <c r="V14" i="923"/>
  <c r="W14" i="923"/>
  <c r="X14" i="923"/>
  <c r="Y14" i="923"/>
  <c r="Z14" i="923"/>
  <c r="R15" i="923"/>
  <c r="S15" i="923"/>
  <c r="T15" i="923"/>
  <c r="U15" i="923"/>
  <c r="V15" i="923"/>
  <c r="W15" i="923"/>
  <c r="X15" i="923"/>
  <c r="Y15" i="923"/>
  <c r="Z15" i="923"/>
  <c r="R16" i="923"/>
  <c r="S16" i="923"/>
  <c r="T16" i="923"/>
  <c r="U16" i="923"/>
  <c r="V16" i="923"/>
  <c r="W16" i="923"/>
  <c r="X16" i="923"/>
  <c r="Y16" i="923"/>
  <c r="Z16" i="923"/>
  <c r="R17" i="923"/>
  <c r="S17" i="923"/>
  <c r="T17" i="923"/>
  <c r="U17" i="923"/>
  <c r="V17" i="923"/>
  <c r="W17" i="923"/>
  <c r="X17" i="923"/>
  <c r="Y17" i="923"/>
  <c r="Z17" i="923"/>
  <c r="R18" i="923"/>
  <c r="S18" i="923"/>
  <c r="T18" i="923"/>
  <c r="U18" i="923"/>
  <c r="V18" i="923"/>
  <c r="W18" i="923"/>
  <c r="X18" i="923"/>
  <c r="Y18" i="923"/>
  <c r="Z18" i="923"/>
  <c r="R19" i="923"/>
  <c r="S19" i="923"/>
  <c r="T19" i="923"/>
  <c r="U19" i="923"/>
  <c r="V19" i="923"/>
  <c r="W19" i="923"/>
  <c r="X19" i="923"/>
  <c r="Y19" i="923"/>
  <c r="Z19" i="923"/>
  <c r="R20" i="923"/>
  <c r="S20" i="923"/>
  <c r="T20" i="923"/>
  <c r="U20" i="923"/>
  <c r="V20" i="923"/>
  <c r="W20" i="923"/>
  <c r="X20" i="923"/>
  <c r="Y20" i="923"/>
  <c r="Z20" i="923"/>
  <c r="R21" i="923"/>
  <c r="S21" i="923"/>
  <c r="T21" i="923"/>
  <c r="U21" i="923"/>
  <c r="V21" i="923"/>
  <c r="W21" i="923"/>
  <c r="X21" i="923"/>
  <c r="Y21" i="923"/>
  <c r="Z21" i="923"/>
  <c r="R22" i="923"/>
  <c r="S22" i="923"/>
  <c r="T22" i="923"/>
  <c r="U22" i="923"/>
  <c r="V22" i="923"/>
  <c r="W22" i="923"/>
  <c r="X22" i="923"/>
  <c r="Y22" i="923"/>
  <c r="Z22" i="923"/>
  <c r="R23" i="923"/>
  <c r="S23" i="923"/>
  <c r="T23" i="923"/>
  <c r="U23" i="923"/>
  <c r="V23" i="923"/>
  <c r="W23" i="923"/>
  <c r="X23" i="923"/>
  <c r="Y23" i="923"/>
  <c r="Z23" i="923"/>
  <c r="R24" i="923"/>
  <c r="S24" i="923"/>
  <c r="T24" i="923"/>
  <c r="U24" i="923"/>
  <c r="V24" i="923"/>
  <c r="W24" i="923"/>
  <c r="X24" i="923"/>
  <c r="Y24" i="923"/>
  <c r="Z24" i="923"/>
  <c r="R25" i="923"/>
  <c r="S25" i="923"/>
  <c r="T25" i="923"/>
  <c r="U25" i="923"/>
  <c r="V25" i="923"/>
  <c r="W25" i="923"/>
  <c r="X25" i="923"/>
  <c r="Y25" i="923"/>
  <c r="Z25" i="923"/>
  <c r="R26" i="923"/>
  <c r="S26" i="923"/>
  <c r="T26" i="923"/>
  <c r="U26" i="923"/>
  <c r="V26" i="923"/>
  <c r="W26" i="923"/>
  <c r="X26" i="923"/>
  <c r="Y26" i="923"/>
  <c r="Z26" i="923"/>
  <c r="R27" i="923"/>
  <c r="S27" i="923"/>
  <c r="T27" i="923"/>
  <c r="U27" i="923"/>
  <c r="V27" i="923"/>
  <c r="W27" i="923"/>
  <c r="X27" i="923"/>
  <c r="Y27" i="923"/>
  <c r="Z27" i="923"/>
  <c r="R28" i="923"/>
  <c r="S28" i="923"/>
  <c r="T28" i="923"/>
  <c r="U28" i="923"/>
  <c r="V28" i="923"/>
  <c r="W28" i="923"/>
  <c r="X28" i="923"/>
  <c r="Y28" i="923"/>
  <c r="Z28" i="923"/>
  <c r="R29" i="923"/>
  <c r="S29" i="923"/>
  <c r="T29" i="923"/>
  <c r="U29" i="923"/>
  <c r="V29" i="923"/>
  <c r="W29" i="923"/>
  <c r="X29" i="923"/>
  <c r="Y29" i="923"/>
  <c r="Z29" i="923"/>
  <c r="T30" i="923"/>
  <c r="U30" i="923"/>
  <c r="V30" i="923"/>
  <c r="W30" i="923"/>
  <c r="X30" i="923"/>
  <c r="R31" i="923"/>
  <c r="S31" i="923"/>
  <c r="T31" i="923"/>
  <c r="U31" i="923"/>
  <c r="V31" i="923"/>
  <c r="W31" i="923"/>
  <c r="X31" i="923"/>
  <c r="Y31" i="923"/>
  <c r="Z31" i="923"/>
  <c r="R32" i="923"/>
  <c r="S32" i="923"/>
  <c r="T32" i="923"/>
  <c r="U32" i="923"/>
  <c r="V32" i="923"/>
  <c r="W32" i="923"/>
  <c r="X32" i="923"/>
  <c r="Y32" i="923"/>
  <c r="Z32" i="923"/>
  <c r="R10" i="923"/>
  <c r="S10" i="923"/>
  <c r="T10" i="923"/>
  <c r="U10" i="923"/>
  <c r="V10" i="923"/>
  <c r="W10" i="923"/>
  <c r="X10" i="923"/>
  <c r="Y10" i="923"/>
  <c r="Z10" i="923"/>
  <c r="C15" i="923"/>
  <c r="D15" i="923"/>
  <c r="E15" i="923"/>
  <c r="F15" i="923"/>
  <c r="G15" i="923"/>
  <c r="I15" i="923"/>
  <c r="J15" i="923"/>
  <c r="L15" i="923"/>
  <c r="M15" i="923"/>
  <c r="N15" i="923"/>
  <c r="O15" i="923"/>
  <c r="C16" i="923"/>
  <c r="D16" i="923"/>
  <c r="E16" i="923"/>
  <c r="F16" i="923"/>
  <c r="G16" i="923"/>
  <c r="I16" i="923"/>
  <c r="J16" i="923"/>
  <c r="L16" i="923"/>
  <c r="M16" i="923"/>
  <c r="N16" i="923"/>
  <c r="O16" i="923"/>
  <c r="C17" i="923"/>
  <c r="D17" i="923"/>
  <c r="E17" i="923"/>
  <c r="F17" i="923"/>
  <c r="G17" i="923"/>
  <c r="I17" i="923"/>
  <c r="J17" i="923"/>
  <c r="L17" i="923"/>
  <c r="M17" i="923"/>
  <c r="N17" i="923"/>
  <c r="O17" i="923"/>
  <c r="C10" i="923"/>
  <c r="D10" i="923"/>
  <c r="E10" i="923"/>
  <c r="F10" i="923"/>
  <c r="G10" i="923"/>
  <c r="L10" i="923"/>
  <c r="M10" i="923"/>
  <c r="N10" i="923"/>
  <c r="O10" i="923"/>
  <c r="C11" i="923"/>
  <c r="D11" i="923"/>
  <c r="E11" i="923"/>
  <c r="F11" i="923"/>
  <c r="G11" i="923"/>
  <c r="I11" i="923"/>
  <c r="J11" i="923"/>
  <c r="L11" i="923"/>
  <c r="M11" i="923"/>
  <c r="N11" i="923"/>
  <c r="O11" i="923"/>
  <c r="C12" i="923"/>
  <c r="D12" i="923"/>
  <c r="E12" i="923"/>
  <c r="F12" i="923"/>
  <c r="G12" i="923"/>
  <c r="I12" i="923"/>
  <c r="J12" i="923"/>
  <c r="L12" i="923"/>
  <c r="M12" i="923"/>
  <c r="N12" i="923"/>
  <c r="O12" i="923"/>
  <c r="C13" i="923"/>
  <c r="D13" i="923"/>
  <c r="E13" i="923"/>
  <c r="F13" i="923"/>
  <c r="G13" i="923"/>
  <c r="I13" i="923"/>
  <c r="J13" i="923"/>
  <c r="L13" i="923"/>
  <c r="M13" i="923"/>
  <c r="N13" i="923"/>
  <c r="O13" i="923"/>
  <c r="C14" i="923"/>
  <c r="D14" i="923"/>
  <c r="E14" i="923"/>
  <c r="F14" i="923"/>
  <c r="G14" i="923"/>
  <c r="I14" i="923"/>
  <c r="J14" i="923"/>
  <c r="L14" i="923"/>
  <c r="M14" i="923"/>
  <c r="N14" i="923"/>
  <c r="O14" i="923"/>
  <c r="F77" i="923"/>
  <c r="AX61" i="923"/>
  <c r="AW61" i="923"/>
  <c r="AV61" i="923"/>
  <c r="AU61" i="923"/>
  <c r="AT61" i="923"/>
  <c r="AS61" i="923"/>
  <c r="AR61" i="923"/>
  <c r="AQ61" i="923"/>
  <c r="AP61" i="923"/>
  <c r="AO61" i="923"/>
  <c r="AN61" i="923"/>
  <c r="AM61" i="923"/>
  <c r="AL61" i="923"/>
  <c r="AK61" i="923"/>
  <c r="AJ61" i="923"/>
  <c r="AI61" i="923"/>
  <c r="AH61" i="923"/>
  <c r="AG61" i="923"/>
  <c r="AF61" i="923"/>
  <c r="AE61" i="923"/>
  <c r="AD61" i="923"/>
  <c r="AC61" i="923"/>
  <c r="AB61" i="923"/>
  <c r="K54" i="923"/>
  <c r="L45" i="923" s="1"/>
  <c r="Z41" i="923"/>
  <c r="Y41" i="923"/>
  <c r="X41" i="923"/>
  <c r="W41" i="923"/>
  <c r="V41" i="923"/>
  <c r="U41" i="923"/>
  <c r="T41" i="923"/>
  <c r="S41" i="923"/>
  <c r="R41" i="923"/>
  <c r="Z40" i="923"/>
  <c r="Y40" i="923"/>
  <c r="X40" i="923"/>
  <c r="W40" i="923"/>
  <c r="V40" i="923"/>
  <c r="U40" i="923"/>
  <c r="T40" i="923"/>
  <c r="S40" i="923"/>
  <c r="R40" i="923"/>
  <c r="Z39" i="923"/>
  <c r="Y39" i="923"/>
  <c r="X39" i="923"/>
  <c r="W39" i="923"/>
  <c r="V39" i="923"/>
  <c r="U39" i="923"/>
  <c r="T39" i="923"/>
  <c r="S39" i="923"/>
  <c r="R39" i="923"/>
  <c r="Z38" i="923"/>
  <c r="Y38" i="923"/>
  <c r="X38" i="923"/>
  <c r="W38" i="923"/>
  <c r="V38" i="923"/>
  <c r="U38" i="923"/>
  <c r="T38" i="923"/>
  <c r="S38" i="923"/>
  <c r="R38" i="923"/>
  <c r="Z37" i="923"/>
  <c r="Y37" i="923"/>
  <c r="X37" i="923"/>
  <c r="W37" i="923"/>
  <c r="V37" i="923"/>
  <c r="U37" i="923"/>
  <c r="T37" i="923"/>
  <c r="S37" i="923"/>
  <c r="R37" i="923"/>
  <c r="Z36" i="923"/>
  <c r="Y36" i="923"/>
  <c r="X36" i="923"/>
  <c r="W36" i="923"/>
  <c r="V36" i="923"/>
  <c r="U36" i="923"/>
  <c r="T36" i="923"/>
  <c r="S36" i="923"/>
  <c r="R36" i="923"/>
  <c r="M36" i="923"/>
  <c r="Z35" i="923"/>
  <c r="Y35" i="923"/>
  <c r="X35" i="923"/>
  <c r="W35" i="923"/>
  <c r="V35" i="923"/>
  <c r="U35" i="923"/>
  <c r="T35" i="923"/>
  <c r="S35" i="923"/>
  <c r="R35" i="923"/>
  <c r="M35" i="923"/>
  <c r="Z34" i="923"/>
  <c r="Y34" i="923"/>
  <c r="X34" i="923"/>
  <c r="W34" i="923"/>
  <c r="V34" i="923"/>
  <c r="U34" i="923"/>
  <c r="T34" i="923"/>
  <c r="S34" i="923"/>
  <c r="R34" i="923"/>
  <c r="Z33" i="923"/>
  <c r="Y33" i="923"/>
  <c r="X33" i="923"/>
  <c r="W33" i="923"/>
  <c r="V33" i="923"/>
  <c r="U33" i="923"/>
  <c r="T33" i="923"/>
  <c r="S33" i="923"/>
  <c r="R33" i="923"/>
  <c r="M32" i="923"/>
  <c r="M30" i="922"/>
  <c r="C25" i="922" a="1"/>
  <c r="C25" i="922" s="1"/>
  <c r="B25" i="922"/>
  <c r="B54" i="922"/>
  <c r="R15" i="922"/>
  <c r="S15" i="922"/>
  <c r="T15" i="922"/>
  <c r="U15" i="922"/>
  <c r="V15" i="922"/>
  <c r="W15" i="922"/>
  <c r="X15" i="922"/>
  <c r="Y15" i="922"/>
  <c r="Z15" i="922"/>
  <c r="R16" i="922"/>
  <c r="S16" i="922"/>
  <c r="T16" i="922"/>
  <c r="U16" i="922"/>
  <c r="V16" i="922"/>
  <c r="W16" i="922"/>
  <c r="X16" i="922"/>
  <c r="Y16" i="922"/>
  <c r="Z16" i="922"/>
  <c r="R17" i="922"/>
  <c r="S17" i="922"/>
  <c r="T17" i="922"/>
  <c r="U17" i="922"/>
  <c r="V17" i="922"/>
  <c r="W17" i="922"/>
  <c r="X17" i="922"/>
  <c r="Y17" i="922"/>
  <c r="Z17" i="922"/>
  <c r="R18" i="922"/>
  <c r="S18" i="922"/>
  <c r="T18" i="922"/>
  <c r="U18" i="922"/>
  <c r="V18" i="922"/>
  <c r="W18" i="922"/>
  <c r="X18" i="922"/>
  <c r="Y18" i="922"/>
  <c r="Z18" i="922"/>
  <c r="R19" i="922"/>
  <c r="S19" i="922"/>
  <c r="T19" i="922"/>
  <c r="U19" i="922"/>
  <c r="V19" i="922"/>
  <c r="W19" i="922"/>
  <c r="X19" i="922"/>
  <c r="Y19" i="922"/>
  <c r="Z19" i="922"/>
  <c r="R20" i="922"/>
  <c r="S20" i="922"/>
  <c r="T20" i="922"/>
  <c r="U20" i="922"/>
  <c r="V20" i="922"/>
  <c r="W20" i="922"/>
  <c r="X20" i="922"/>
  <c r="Y20" i="922"/>
  <c r="Z20" i="922"/>
  <c r="R21" i="922"/>
  <c r="S21" i="922"/>
  <c r="T21" i="922"/>
  <c r="U21" i="922"/>
  <c r="V21" i="922"/>
  <c r="W21" i="922"/>
  <c r="X21" i="922"/>
  <c r="Y21" i="922"/>
  <c r="Z21" i="922"/>
  <c r="R22" i="922"/>
  <c r="S22" i="922"/>
  <c r="T22" i="922"/>
  <c r="U22" i="922"/>
  <c r="V22" i="922"/>
  <c r="W22" i="922"/>
  <c r="X22" i="922"/>
  <c r="Y22" i="922"/>
  <c r="Z22" i="922"/>
  <c r="R23" i="922"/>
  <c r="S23" i="922"/>
  <c r="T23" i="922"/>
  <c r="U23" i="922"/>
  <c r="V23" i="922"/>
  <c r="W23" i="922"/>
  <c r="X23" i="922"/>
  <c r="Y23" i="922"/>
  <c r="Z23" i="922"/>
  <c r="R24" i="922"/>
  <c r="S24" i="922"/>
  <c r="T24" i="922"/>
  <c r="U24" i="922"/>
  <c r="V24" i="922"/>
  <c r="W24" i="922"/>
  <c r="X24" i="922"/>
  <c r="Y24" i="922"/>
  <c r="Z24" i="922"/>
  <c r="R25" i="922"/>
  <c r="S25" i="922"/>
  <c r="T25" i="922"/>
  <c r="U25" i="922"/>
  <c r="V25" i="922"/>
  <c r="W25" i="922"/>
  <c r="X25" i="922"/>
  <c r="Y25" i="922"/>
  <c r="Z25" i="922"/>
  <c r="R26" i="922"/>
  <c r="S26" i="922"/>
  <c r="T26" i="922"/>
  <c r="U26" i="922"/>
  <c r="V26" i="922"/>
  <c r="W26" i="922"/>
  <c r="X26" i="922"/>
  <c r="Y26" i="922"/>
  <c r="Z26" i="922"/>
  <c r="R27" i="922"/>
  <c r="S27" i="922"/>
  <c r="T27" i="922"/>
  <c r="U27" i="922"/>
  <c r="V27" i="922"/>
  <c r="W27" i="922"/>
  <c r="X27" i="922"/>
  <c r="Y27" i="922"/>
  <c r="Z27" i="922"/>
  <c r="R28" i="922"/>
  <c r="S28" i="922"/>
  <c r="T28" i="922"/>
  <c r="U28" i="922"/>
  <c r="V28" i="922"/>
  <c r="W28" i="922"/>
  <c r="X28" i="922"/>
  <c r="Y28" i="922"/>
  <c r="Z28" i="922"/>
  <c r="R29" i="922"/>
  <c r="S29" i="922"/>
  <c r="T29" i="922"/>
  <c r="U29" i="922"/>
  <c r="V29" i="922"/>
  <c r="W29" i="922"/>
  <c r="X29" i="922"/>
  <c r="Y29" i="922"/>
  <c r="Z29" i="922"/>
  <c r="R30" i="922"/>
  <c r="S30" i="922"/>
  <c r="T30" i="922"/>
  <c r="U30" i="922"/>
  <c r="V30" i="922"/>
  <c r="W30" i="922"/>
  <c r="X30" i="922"/>
  <c r="Y30" i="922"/>
  <c r="Z30" i="922"/>
  <c r="R31" i="922"/>
  <c r="S31" i="922"/>
  <c r="T31" i="922"/>
  <c r="U31" i="922"/>
  <c r="V31" i="922"/>
  <c r="W31" i="922"/>
  <c r="X31" i="922"/>
  <c r="Y31" i="922"/>
  <c r="Z31" i="922"/>
  <c r="R32" i="922"/>
  <c r="S32" i="922"/>
  <c r="T32" i="922"/>
  <c r="U32" i="922"/>
  <c r="V32" i="922"/>
  <c r="W32" i="922"/>
  <c r="X32" i="922"/>
  <c r="Y32" i="922"/>
  <c r="Z32" i="922"/>
  <c r="S30" i="923" l="1"/>
  <c r="R30" i="923"/>
  <c r="Z30" i="923"/>
  <c r="J64" i="19"/>
  <c r="J59" i="19"/>
  <c r="J60" i="19"/>
  <c r="J61" i="19"/>
  <c r="G59" i="19"/>
  <c r="G60" i="19"/>
  <c r="G61" i="19"/>
  <c r="G63" i="19"/>
  <c r="G64" i="19"/>
  <c r="D59" i="18"/>
  <c r="D60" i="18"/>
  <c r="D61" i="18"/>
  <c r="D63" i="18"/>
  <c r="D64" i="18"/>
  <c r="J59" i="18"/>
  <c r="J60" i="18"/>
  <c r="J61" i="18"/>
  <c r="J63" i="18"/>
  <c r="J64" i="18"/>
  <c r="G60" i="18"/>
  <c r="G61" i="18"/>
  <c r="G63" i="18"/>
  <c r="D10" i="922"/>
  <c r="E10" i="922"/>
  <c r="F10" i="922"/>
  <c r="G10" i="922"/>
  <c r="L10" i="922"/>
  <c r="M10" i="922"/>
  <c r="N10" i="922"/>
  <c r="O10" i="922"/>
  <c r="D11" i="922"/>
  <c r="E11" i="922"/>
  <c r="F11" i="922"/>
  <c r="G11" i="922"/>
  <c r="L11" i="922"/>
  <c r="M11" i="922"/>
  <c r="N11" i="922"/>
  <c r="O11" i="922"/>
  <c r="D12" i="922"/>
  <c r="E12" i="922"/>
  <c r="F12" i="922"/>
  <c r="G12" i="922"/>
  <c r="L12" i="922"/>
  <c r="M12" i="922"/>
  <c r="N12" i="922"/>
  <c r="O12" i="922"/>
  <c r="D13" i="922"/>
  <c r="E13" i="922"/>
  <c r="F13" i="922"/>
  <c r="G13" i="922"/>
  <c r="L13" i="922"/>
  <c r="M13" i="922"/>
  <c r="N13" i="922"/>
  <c r="O13" i="922"/>
  <c r="D14" i="922"/>
  <c r="E14" i="922"/>
  <c r="F14" i="922"/>
  <c r="G14" i="922"/>
  <c r="L14" i="922"/>
  <c r="M14" i="922"/>
  <c r="N14" i="922"/>
  <c r="O14" i="922"/>
  <c r="D15" i="922"/>
  <c r="E15" i="922"/>
  <c r="F15" i="922"/>
  <c r="G15" i="922"/>
  <c r="L15" i="922"/>
  <c r="M15" i="922"/>
  <c r="N15" i="922"/>
  <c r="O15" i="922"/>
  <c r="D16" i="922"/>
  <c r="E16" i="922"/>
  <c r="F16" i="922"/>
  <c r="G16" i="922"/>
  <c r="L16" i="922"/>
  <c r="M16" i="922"/>
  <c r="N16" i="922"/>
  <c r="O16" i="922"/>
  <c r="D17" i="922"/>
  <c r="E17" i="922"/>
  <c r="F17" i="922"/>
  <c r="G17" i="922"/>
  <c r="L17" i="922"/>
  <c r="M17" i="922"/>
  <c r="N17" i="922"/>
  <c r="O17" i="922"/>
  <c r="M25" i="922"/>
  <c r="R13" i="922" l="1"/>
  <c r="S13" i="922"/>
  <c r="T13" i="922"/>
  <c r="U13" i="922"/>
  <c r="V13" i="922"/>
  <c r="W13" i="922"/>
  <c r="X13" i="922"/>
  <c r="Y13" i="922"/>
  <c r="Z13" i="922"/>
  <c r="R14" i="922"/>
  <c r="S14" i="922"/>
  <c r="T14" i="922"/>
  <c r="U14" i="922"/>
  <c r="V14" i="922"/>
  <c r="W14" i="922"/>
  <c r="X14" i="922"/>
  <c r="Y14" i="922"/>
  <c r="Z14" i="922"/>
  <c r="R10" i="922"/>
  <c r="S10" i="922"/>
  <c r="T10" i="922"/>
  <c r="U10" i="922"/>
  <c r="V10" i="922"/>
  <c r="W10" i="922"/>
  <c r="X10" i="922"/>
  <c r="Y10" i="922"/>
  <c r="Z10" i="922"/>
  <c r="R11" i="922"/>
  <c r="S11" i="922"/>
  <c r="T11" i="922"/>
  <c r="U11" i="922"/>
  <c r="V11" i="922"/>
  <c r="W11" i="922"/>
  <c r="X11" i="922"/>
  <c r="Y11" i="922"/>
  <c r="Z11" i="922"/>
  <c r="F72" i="922"/>
  <c r="AX56" i="922"/>
  <c r="AW56" i="922"/>
  <c r="AV56" i="922"/>
  <c r="AU56" i="922"/>
  <c r="AT56" i="922"/>
  <c r="AS56" i="922"/>
  <c r="AR56" i="922"/>
  <c r="AQ56" i="922"/>
  <c r="AP56" i="922"/>
  <c r="AO56" i="922"/>
  <c r="AN56" i="922"/>
  <c r="AM56" i="922"/>
  <c r="AL56" i="922"/>
  <c r="AK56" i="922"/>
  <c r="AJ56" i="922"/>
  <c r="AI56" i="922"/>
  <c r="AH56" i="922"/>
  <c r="AG56" i="922"/>
  <c r="AF56" i="922"/>
  <c r="AE56" i="922"/>
  <c r="AD56" i="922"/>
  <c r="AC56" i="922"/>
  <c r="AB56" i="922"/>
  <c r="K49" i="922"/>
  <c r="L40" i="922" s="1"/>
  <c r="Z36" i="922"/>
  <c r="Y36" i="922"/>
  <c r="X36" i="922"/>
  <c r="W36" i="922"/>
  <c r="V36" i="922"/>
  <c r="U36" i="922"/>
  <c r="T36" i="922"/>
  <c r="S36" i="922"/>
  <c r="R36" i="922"/>
  <c r="Z35" i="922"/>
  <c r="Y35" i="922"/>
  <c r="X35" i="922"/>
  <c r="W35" i="922"/>
  <c r="V35" i="922"/>
  <c r="U35" i="922"/>
  <c r="T35" i="922"/>
  <c r="S35" i="922"/>
  <c r="R35" i="922"/>
  <c r="Z34" i="922"/>
  <c r="Y34" i="922"/>
  <c r="X34" i="922"/>
  <c r="W34" i="922"/>
  <c r="V34" i="922"/>
  <c r="U34" i="922"/>
  <c r="T34" i="922"/>
  <c r="S34" i="922"/>
  <c r="R34" i="922"/>
  <c r="Z33" i="922"/>
  <c r="Y33" i="922"/>
  <c r="X33" i="922"/>
  <c r="W33" i="922"/>
  <c r="V33" i="922"/>
  <c r="U33" i="922"/>
  <c r="T33" i="922"/>
  <c r="S33" i="922"/>
  <c r="R33" i="922"/>
  <c r="M27" i="922"/>
  <c r="Z12" i="922"/>
  <c r="Y12" i="922"/>
  <c r="X12" i="922"/>
  <c r="W12" i="922"/>
  <c r="V12" i="922"/>
  <c r="U12" i="922"/>
  <c r="T12" i="922"/>
  <c r="S12" i="922"/>
  <c r="R12" i="922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G59" i="18" l="1"/>
  <c r="G64" i="18" l="1"/>
  <c r="J63" i="19" l="1"/>
  <c r="M31" i="922" l="1"/>
  <c r="M45" i="923" l="1"/>
  <c r="M40" i="922"/>
  <c r="J10" i="923" l="1"/>
  <c r="M30" i="923" l="1"/>
  <c r="L30" i="923"/>
  <c r="I10" i="923"/>
  <c r="J30" i="923" s="1"/>
  <c r="N12" i="927" l="1"/>
  <c r="N13" i="927"/>
  <c r="N14" i="927"/>
  <c r="N15" i="927"/>
  <c r="N16" i="927"/>
  <c r="C10" i="927" l="1"/>
  <c r="I10" i="927" l="1"/>
  <c r="J28" i="927" s="1"/>
  <c r="J10" i="927"/>
  <c r="N10" i="927" l="1"/>
  <c r="C15" i="928"/>
  <c r="C14" i="928"/>
  <c r="C13" i="928"/>
  <c r="I14" i="928" l="1"/>
  <c r="J14" i="928"/>
  <c r="I13" i="928" l="1"/>
  <c r="J32" i="928" s="1"/>
  <c r="J13" i="928"/>
  <c r="J11" i="932" l="1"/>
  <c r="J10" i="932"/>
  <c r="N10" i="932"/>
  <c r="I11" i="932" l="1"/>
  <c r="I10" i="932"/>
  <c r="J30" i="932" l="1"/>
  <c r="N10" i="933" l="1"/>
  <c r="N11" i="933"/>
  <c r="N12" i="933"/>
  <c r="N13" i="933"/>
  <c r="N14" i="933"/>
  <c r="I12" i="933" l="1"/>
  <c r="J12" i="933"/>
  <c r="I11" i="933"/>
  <c r="J11" i="933"/>
  <c r="J10" i="933" l="1"/>
  <c r="M26" i="933" l="1"/>
  <c r="L26" i="933"/>
  <c r="I10" i="933"/>
  <c r="J26" i="933" s="1"/>
  <c r="K12" i="934" l="1"/>
  <c r="K13" i="934"/>
  <c r="K14" i="934"/>
  <c r="K15" i="934"/>
  <c r="K16" i="934"/>
  <c r="K10" i="933" l="1"/>
  <c r="K11" i="933"/>
  <c r="K12" i="933"/>
  <c r="K13" i="933"/>
  <c r="K14" i="933"/>
  <c r="K15" i="933"/>
  <c r="K10" i="934"/>
  <c r="K11" i="934"/>
  <c r="K11" i="932" l="1"/>
  <c r="K12" i="932"/>
  <c r="K13" i="932"/>
  <c r="K14" i="932"/>
  <c r="K11" i="931" l="1"/>
  <c r="K12" i="931"/>
  <c r="K13" i="931"/>
  <c r="K10" i="932"/>
  <c r="K10" i="930"/>
  <c r="K11" i="930"/>
  <c r="K12" i="930"/>
  <c r="K13" i="930"/>
  <c r="K14" i="930"/>
  <c r="K15" i="930"/>
  <c r="K16" i="930"/>
  <c r="K10" i="931"/>
  <c r="K13" i="924" l="1"/>
  <c r="K14" i="924"/>
  <c r="K15" i="924"/>
  <c r="K16" i="924"/>
  <c r="K17" i="924"/>
  <c r="K10" i="927"/>
  <c r="K10" i="923" l="1"/>
  <c r="K11" i="923"/>
  <c r="K12" i="923"/>
  <c r="K13" i="923"/>
  <c r="K14" i="923"/>
  <c r="K15" i="923"/>
  <c r="K16" i="923"/>
  <c r="K17" i="923"/>
  <c r="K10" i="924"/>
  <c r="K11" i="924"/>
  <c r="K12" i="924"/>
  <c r="N13" i="935"/>
  <c r="E58" i="924"/>
  <c r="K13" i="927" l="1"/>
  <c r="K14" i="927"/>
  <c r="K17" i="927"/>
  <c r="K10" i="936"/>
  <c r="K12" i="936"/>
  <c r="K13" i="936"/>
  <c r="K17" i="922"/>
  <c r="K10" i="925"/>
  <c r="K11" i="925"/>
  <c r="K13" i="925"/>
  <c r="K14" i="925"/>
  <c r="K15" i="925"/>
  <c r="K16" i="925"/>
  <c r="K11" i="928"/>
  <c r="K13" i="935"/>
  <c r="J17" i="936"/>
  <c r="K11" i="936"/>
  <c r="K14" i="936"/>
  <c r="K16" i="936"/>
  <c r="K17" i="936"/>
  <c r="I17" i="936"/>
  <c r="C16" i="936"/>
  <c r="C17" i="936"/>
  <c r="J17" i="935"/>
  <c r="J11" i="936"/>
  <c r="J12" i="936"/>
  <c r="J15" i="935"/>
  <c r="J16" i="935"/>
  <c r="K14" i="935"/>
  <c r="K15" i="935"/>
  <c r="K16" i="935"/>
  <c r="K17" i="935"/>
  <c r="C14" i="935"/>
  <c r="C15" i="935"/>
  <c r="C16" i="935"/>
  <c r="C17" i="935"/>
  <c r="C10" i="936"/>
  <c r="C11" i="936"/>
  <c r="C12" i="936"/>
  <c r="C13" i="936"/>
  <c r="C14" i="936"/>
  <c r="K10" i="922"/>
  <c r="C11" i="922"/>
  <c r="K11" i="922"/>
  <c r="C12" i="922"/>
  <c r="K12" i="922"/>
  <c r="J12" i="922"/>
  <c r="C13" i="922"/>
  <c r="K13" i="922"/>
  <c r="C14" i="922"/>
  <c r="K14" i="922"/>
  <c r="J14" i="922"/>
  <c r="C15" i="922"/>
  <c r="K15" i="922"/>
  <c r="C16" i="922"/>
  <c r="K16" i="922"/>
  <c r="C17" i="922"/>
  <c r="C10" i="925"/>
  <c r="C11" i="925"/>
  <c r="C12" i="925"/>
  <c r="K12" i="925"/>
  <c r="C13" i="925"/>
  <c r="C14" i="925"/>
  <c r="C15" i="925"/>
  <c r="C16" i="925"/>
  <c r="C10" i="926"/>
  <c r="K10" i="926"/>
  <c r="C11" i="926"/>
  <c r="K11" i="926"/>
  <c r="C12" i="926"/>
  <c r="K12" i="926"/>
  <c r="C13" i="926"/>
  <c r="K13" i="926"/>
  <c r="C14" i="926"/>
  <c r="K14" i="926"/>
  <c r="I14" i="926"/>
  <c r="J14" i="926"/>
  <c r="C12" i="927"/>
  <c r="K12" i="927"/>
  <c r="C13" i="927"/>
  <c r="C14" i="927"/>
  <c r="J14" i="927"/>
  <c r="C15" i="927"/>
  <c r="K15" i="927"/>
  <c r="J15" i="927"/>
  <c r="C16" i="927"/>
  <c r="K16" i="927"/>
  <c r="J16" i="927"/>
  <c r="C17" i="927"/>
  <c r="C10" i="928"/>
  <c r="K10" i="928"/>
  <c r="C11" i="928"/>
  <c r="C13" i="935"/>
  <c r="I12" i="922"/>
  <c r="J11" i="925"/>
  <c r="I14" i="927"/>
  <c r="J11" i="928"/>
  <c r="I12" i="936"/>
  <c r="J13" i="925" l="1"/>
  <c r="I10" i="925"/>
  <c r="I17" i="922"/>
  <c r="I13" i="922"/>
  <c r="J16" i="922"/>
  <c r="J17" i="927"/>
  <c r="J15" i="922"/>
  <c r="I13" i="926"/>
  <c r="I16" i="927"/>
  <c r="J12" i="925"/>
  <c r="I10" i="928"/>
  <c r="I13" i="935"/>
  <c r="J13" i="936"/>
  <c r="I15" i="927"/>
  <c r="I12" i="926"/>
  <c r="J14" i="925"/>
  <c r="I14" i="922"/>
  <c r="J13" i="935"/>
  <c r="I11" i="936"/>
  <c r="J10" i="936"/>
  <c r="J16" i="925"/>
  <c r="J13" i="926"/>
  <c r="J12" i="926"/>
  <c r="J10" i="926"/>
  <c r="J17" i="922"/>
  <c r="J10" i="928"/>
  <c r="J14" i="935"/>
  <c r="I11" i="928"/>
  <c r="J15" i="925"/>
  <c r="J11" i="926"/>
  <c r="J13" i="922"/>
  <c r="I16" i="935"/>
  <c r="J13" i="927"/>
  <c r="J16" i="936"/>
  <c r="J11" i="922"/>
  <c r="J12" i="927"/>
  <c r="I11" i="925"/>
  <c r="J10" i="925"/>
  <c r="I15" i="935"/>
  <c r="I14" i="936"/>
  <c r="J14" i="936"/>
  <c r="K37" i="938"/>
  <c r="K23" i="937"/>
  <c r="K32" i="937" s="1"/>
  <c r="K27" i="936"/>
  <c r="K36" i="936" s="1"/>
  <c r="K27" i="935"/>
  <c r="K36" i="935" s="1"/>
  <c r="K25" i="934"/>
  <c r="K34" i="934" s="1"/>
  <c r="K27" i="933"/>
  <c r="K36" i="933" s="1"/>
  <c r="K31" i="932"/>
  <c r="K40" i="932" s="1"/>
  <c r="K23" i="931"/>
  <c r="K32" i="931" s="1"/>
  <c r="K26" i="930"/>
  <c r="K35" i="930" s="1"/>
  <c r="K25" i="929"/>
  <c r="K34" i="929" s="1"/>
  <c r="K31" i="928"/>
  <c r="K40" i="928" s="1"/>
  <c r="K29" i="927"/>
  <c r="K38" i="927" s="1"/>
  <c r="K26" i="926"/>
  <c r="K35" i="926" s="1"/>
  <c r="K30" i="924"/>
  <c r="K39" i="924" s="1"/>
  <c r="K31" i="923"/>
  <c r="K40" i="923" s="1"/>
  <c r="K26" i="922"/>
  <c r="K35" i="922" s="1"/>
  <c r="C10" i="922"/>
  <c r="K26" i="925"/>
  <c r="K35" i="925" s="1"/>
  <c r="J31" i="928" l="1"/>
  <c r="I11" i="926"/>
  <c r="I12" i="927"/>
  <c r="I16" i="922"/>
  <c r="J10" i="922"/>
  <c r="I14" i="935"/>
  <c r="I15" i="925"/>
  <c r="I13" i="936"/>
  <c r="I13" i="925"/>
  <c r="I13" i="927"/>
  <c r="I15" i="922"/>
  <c r="I12" i="925"/>
  <c r="I10" i="926"/>
  <c r="J26" i="926" s="1"/>
  <c r="I17" i="927"/>
  <c r="I16" i="936"/>
  <c r="I11" i="922"/>
  <c r="I16" i="925"/>
  <c r="I10" i="936"/>
  <c r="I17" i="935"/>
  <c r="J27" i="935" s="1"/>
  <c r="I14" i="925"/>
  <c r="J29" i="927" l="1"/>
  <c r="J27" i="936"/>
  <c r="L37" i="938"/>
  <c r="L23" i="937"/>
  <c r="L32" i="937" s="1"/>
  <c r="L27" i="936"/>
  <c r="L36" i="936" s="1"/>
  <c r="L27" i="935"/>
  <c r="L36" i="935" s="1"/>
  <c r="L25" i="934"/>
  <c r="L34" i="934" s="1"/>
  <c r="L27" i="933"/>
  <c r="L36" i="933" s="1"/>
  <c r="M36" i="933" s="1"/>
  <c r="L23" i="931"/>
  <c r="L32" i="931" s="1"/>
  <c r="M32" i="931" s="1"/>
  <c r="L31" i="932"/>
  <c r="L40" i="932" s="1"/>
  <c r="M40" i="932" s="1"/>
  <c r="L26" i="930"/>
  <c r="L35" i="930" s="1"/>
  <c r="M35" i="930" s="1"/>
  <c r="L25" i="929"/>
  <c r="L34" i="929" s="1"/>
  <c r="M34" i="929" s="1"/>
  <c r="L31" i="928"/>
  <c r="L40" i="928" s="1"/>
  <c r="M40" i="928" s="1"/>
  <c r="L26" i="926"/>
  <c r="L35" i="926" s="1"/>
  <c r="M35" i="926" s="1"/>
  <c r="L29" i="927"/>
  <c r="L38" i="927" s="1"/>
  <c r="M38" i="927" s="1"/>
  <c r="L30" i="924"/>
  <c r="L39" i="924" s="1"/>
  <c r="M39" i="924" s="1"/>
  <c r="L26" i="922"/>
  <c r="L35" i="922" s="1"/>
  <c r="M35" i="922" s="1"/>
  <c r="L31" i="923"/>
  <c r="L40" i="923" s="1"/>
  <c r="M40" i="923" s="1"/>
  <c r="I10" i="922"/>
  <c r="J26" i="922" s="1"/>
  <c r="L26" i="925"/>
  <c r="L35" i="925" s="1"/>
  <c r="M35" i="925" s="1"/>
  <c r="J26" i="925"/>
  <c r="M23" i="937"/>
  <c r="M27" i="936"/>
  <c r="M27" i="935"/>
  <c r="M25" i="934"/>
  <c r="M27" i="933"/>
  <c r="M31" i="932"/>
  <c r="M23" i="931"/>
  <c r="M25" i="929"/>
  <c r="M26" i="930"/>
  <c r="M31" i="928"/>
  <c r="M26" i="926"/>
  <c r="M29" i="927"/>
  <c r="M30" i="924"/>
  <c r="M26" i="922"/>
  <c r="M31" i="923"/>
  <c r="M26" i="925"/>
  <c r="N10" i="939" l="1"/>
  <c r="N11" i="939"/>
  <c r="N12" i="939"/>
  <c r="N13" i="939"/>
  <c r="N14" i="939"/>
  <c r="N15" i="939"/>
  <c r="N16" i="939"/>
  <c r="I11" i="939"/>
  <c r="I10" i="939"/>
  <c r="J10" i="939"/>
  <c r="J12" i="939" l="1"/>
  <c r="I14" i="939"/>
  <c r="I13" i="939"/>
  <c r="I15" i="939"/>
  <c r="J14" i="939"/>
  <c r="I16" i="939"/>
  <c r="J13" i="939"/>
  <c r="I12" i="939"/>
  <c r="J24" i="939" s="1"/>
  <c r="J11" i="939"/>
  <c r="J16" i="939"/>
  <c r="J15" i="939"/>
  <c r="K10" i="938" l="1"/>
  <c r="K11" i="938"/>
  <c r="K12" i="938"/>
  <c r="K13" i="938"/>
  <c r="K13" i="937"/>
  <c r="K12" i="937"/>
  <c r="K11" i="937"/>
  <c r="K10" i="937"/>
  <c r="F57" i="927" l="1"/>
  <c r="D57" i="18"/>
  <c r="D56" i="18" l="1"/>
  <c r="D55" i="929" l="1"/>
  <c r="D58" i="924"/>
  <c r="D54" i="930"/>
  <c r="D56" i="938"/>
  <c r="D51" i="937"/>
  <c r="G66" i="939" l="1"/>
  <c r="D53" i="939"/>
  <c r="D59" i="927"/>
  <c r="G57" i="927"/>
  <c r="I57" i="927" s="1"/>
  <c r="D55" i="936"/>
  <c r="L55" i="929"/>
  <c r="G54" i="922"/>
  <c r="G53" i="937"/>
  <c r="D53" i="929"/>
  <c r="D59" i="932"/>
  <c r="L59" i="932" s="1"/>
  <c r="L56" i="938"/>
  <c r="C70" i="938" s="1"/>
  <c r="K53" i="929"/>
  <c r="G53" i="929"/>
  <c r="D59" i="923"/>
  <c r="D55" i="935"/>
  <c r="K54" i="930"/>
  <c r="G54" i="930"/>
  <c r="L54" i="930" s="1"/>
  <c r="G54" i="925"/>
  <c r="G73" i="924"/>
  <c r="G61" i="927"/>
  <c r="I61" i="927" s="1"/>
  <c r="G51" i="931"/>
  <c r="G53" i="939"/>
  <c r="D61" i="927"/>
  <c r="G58" i="924"/>
  <c r="L58" i="924" s="1"/>
  <c r="C73" i="924" s="1"/>
  <c r="G55" i="929"/>
  <c r="D53" i="937"/>
  <c r="G61" i="932"/>
  <c r="G67" i="925"/>
  <c r="D54" i="925"/>
  <c r="G51" i="937"/>
  <c r="L51" i="937" s="1"/>
  <c r="D53" i="940"/>
  <c r="G59" i="927"/>
  <c r="I59" i="927" s="1"/>
  <c r="G64" i="937"/>
  <c r="G55" i="933"/>
  <c r="G53" i="940"/>
  <c r="D51" i="931"/>
  <c r="G55" i="935"/>
  <c r="G59" i="923"/>
  <c r="G68" i="933"/>
  <c r="D55" i="933"/>
  <c r="G56" i="938"/>
  <c r="D61" i="932"/>
  <c r="D54" i="922"/>
  <c r="G59" i="932"/>
  <c r="D57" i="927"/>
  <c r="G55" i="936"/>
  <c r="G64" i="931"/>
  <c r="G68" i="936"/>
  <c r="G70" i="935"/>
  <c r="L55" i="936" l="1"/>
  <c r="C68" i="936" s="1"/>
  <c r="L54" i="925"/>
  <c r="C67" i="925" s="1"/>
  <c r="L54" i="922"/>
  <c r="C68" i="922" s="1"/>
  <c r="L61" i="932"/>
  <c r="C72" i="932" s="1"/>
  <c r="L53" i="940"/>
  <c r="C72" i="940" s="1"/>
  <c r="L53" i="929"/>
  <c r="L55" i="933"/>
  <c r="C68" i="933" s="1"/>
  <c r="H61" i="927"/>
  <c r="L61" i="927"/>
  <c r="G72" i="932"/>
  <c r="K59" i="927"/>
  <c r="L51" i="931"/>
  <c r="C64" i="931" s="1"/>
  <c r="L53" i="937"/>
  <c r="C64" i="937" s="1"/>
  <c r="G72" i="923"/>
  <c r="K57" i="927"/>
  <c r="K71" i="927" s="1"/>
  <c r="L55" i="935"/>
  <c r="C70" i="935" s="1"/>
  <c r="H59" i="927"/>
  <c r="L59" i="927"/>
  <c r="H57" i="927"/>
  <c r="L57" i="927"/>
  <c r="C71" i="927" s="1"/>
  <c r="G70" i="927"/>
  <c r="L59" i="923"/>
  <c r="C72" i="923" s="1"/>
  <c r="L53" i="939"/>
  <c r="C66" i="939" s="1"/>
  <c r="G70" i="938"/>
  <c r="G62" i="18"/>
  <c r="K53" i="937"/>
  <c r="K55" i="929"/>
  <c r="K51" i="937"/>
  <c r="K55" i="935"/>
  <c r="K70" i="935" s="1"/>
  <c r="K53" i="939"/>
  <c r="K66" i="939" s="1"/>
  <c r="K54" i="922"/>
  <c r="K68" i="922" s="1"/>
  <c r="K68" i="933"/>
  <c r="K54" i="925"/>
  <c r="K67" i="925" s="1"/>
  <c r="K61" i="932"/>
  <c r="K56" i="938"/>
  <c r="K70" i="938" s="1"/>
  <c r="K58" i="924"/>
  <c r="K73" i="924" s="1"/>
  <c r="G71" i="927"/>
  <c r="K61" i="927"/>
  <c r="K53" i="940"/>
  <c r="K72" i="940" s="1"/>
  <c r="G72" i="940"/>
  <c r="G68" i="922"/>
  <c r="K51" i="931"/>
  <c r="K64" i="931" s="1"/>
  <c r="K70" i="927" l="1"/>
  <c r="K64" i="937"/>
  <c r="K55" i="933"/>
  <c r="K59" i="932"/>
  <c r="K72" i="932" s="1"/>
  <c r="K59" i="923"/>
  <c r="K72" i="923" s="1"/>
  <c r="K55" i="936"/>
  <c r="K68" i="936"/>
  <c r="C70" i="927"/>
  <c r="G58" i="18"/>
  <c r="G57" i="18"/>
  <c r="J57" i="18"/>
  <c r="G56" i="18"/>
  <c r="J62" i="18"/>
  <c r="J56" i="18"/>
  <c r="J58" i="18"/>
  <c r="G57" i="19" l="1"/>
  <c r="G58" i="19"/>
  <c r="G62" i="19"/>
  <c r="G65" i="18"/>
  <c r="J57" i="19"/>
  <c r="J58" i="19"/>
  <c r="J65" i="18" l="1"/>
  <c r="J56" i="19"/>
  <c r="G65" i="19"/>
  <c r="G56" i="19"/>
  <c r="J62" i="19"/>
  <c r="J65" i="19" l="1"/>
  <c r="K29" i="941" l="1"/>
  <c r="N29" i="941"/>
  <c r="M28" i="925" l="1"/>
  <c r="M27" i="939"/>
  <c r="M28" i="930"/>
  <c r="M28" i="922"/>
  <c r="M33" i="923"/>
  <c r="M31" i="927"/>
  <c r="M28" i="926"/>
  <c r="M25" i="937"/>
  <c r="M29" i="935"/>
  <c r="M33" i="932"/>
  <c r="M33" i="928"/>
  <c r="M27" i="929"/>
  <c r="M29" i="936"/>
  <c r="M25" i="931"/>
  <c r="M27" i="940"/>
  <c r="M29" i="933"/>
  <c r="M27" i="934"/>
  <c r="M30" i="938"/>
  <c r="M32" i="924"/>
  <c r="M37" i="938" l="1"/>
  <c r="M34" i="940"/>
  <c r="M34" i="934"/>
  <c r="M34" i="939"/>
  <c r="M32" i="937"/>
  <c r="M36" i="936"/>
  <c r="M45" i="941"/>
  <c r="M36" i="935"/>
  <c r="D62" i="18" l="1"/>
  <c r="D58" i="18" l="1"/>
  <c r="D65" i="18" l="1"/>
  <c r="K13" i="928" l="1"/>
  <c r="K14" i="928"/>
  <c r="K15" i="928"/>
  <c r="K10" i="929"/>
  <c r="K11" i="929"/>
  <c r="K12" i="929"/>
  <c r="K13" i="929"/>
  <c r="K14" i="9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7A57BBF-A8C1-42A3-A1EC-6AEE01D1AD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3BC39BA-BA9C-43AF-9916-5997FCF74F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8C5F604-C8D8-48AE-AFBA-2359B82045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36EF52E-F6A4-421C-A015-3F0CCFD2AB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A5EA452-6B98-46F2-805A-6B298E8174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3CC9124-FE0C-4EF3-AFED-5EAF36AB39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C128037-CCDB-4CE9-A23A-53DD0977A1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5C54D94-BD11-49B0-B69D-D4A50B912A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1DE85A3-CD2A-41F2-8346-0B4B427B504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1A12074-E28D-42E8-A231-ADE9A4563E8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15E4124-0F4E-465E-8EC6-584BD78D8A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30BB780-9937-44E9-A883-3A5E9CB8123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F4F8CA4-2210-45E8-869F-970E841239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4759221-8E58-4591-94C0-9513712448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4DB64A2-A694-4167-8275-9AA16ED62A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61F1F69-8B8B-43E2-A353-BC7EDA84E92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160EC47-758D-4088-A6D9-5FAD7A9BF7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3791306-8CA5-46F4-9522-B47BB970E22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4CE78B8-7D04-45E7-BBA3-C6A076F97F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14C6CFA-8916-4646-83D8-7EC776C825E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1C48E25-CA3D-4CEB-8648-0D19386EDC5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E7E5F4F-50CE-467E-8799-FEC92543FD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0A58115-D928-46FB-99D9-CB5E2F3A6B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F40A512-28D2-4351-B49E-A89B983F0B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1F041FE-7DC8-46D0-B6DF-B3165A4D95F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E43B2A6-088F-4153-8E1E-A3DCC0F2423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95A3404-4104-4EB3-8428-9714724FB6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009B403-B2AD-4A7B-8081-3B4B4D3458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E7A0DA0-BB3F-41DE-98DA-EBA88B308E7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BDC9628-C94A-4039-8C54-4891AEE2E8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6EDFA19-7545-4364-A7BB-C22B0EFB31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CF6B7EF2-B87E-4655-A82E-7B5AD104B91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E8B9656-696C-4CFA-8EB7-C39FF30ACD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C316474E-5D87-469C-9470-C32ECDC0740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CD7D6C65-BC34-41DC-B32D-499D5474B17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D1F8C04-B691-4599-B422-FB0C758D51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CA29005-060A-4315-A886-AFCE90157C5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C4B6065-E598-4A08-A4A2-8C58CCEF88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21CD5FA-0CC8-4874-A494-A63E9B4F6CE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61C13E3-359C-4FC4-934A-9324FA0E9B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9F60BF8-4D35-45E2-9896-EB3C78E72F8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B6D14019-EC65-4F6B-AEA1-AB2F9EF2169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A329293-6984-40C1-B7F4-BFB86905B49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EAD0107-5AEF-4767-905D-628C5C41C6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ECAB3E3-A8D8-435D-9866-4C7A65BFF8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1BCA958-382E-4BF4-856D-1B92D58438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2B31F94-A8D8-45ED-9D32-5E292CF7F4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06FBCCB-A724-476E-B22D-7DF608C96D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4A9CF9B-1C42-4943-BFEA-33BEFAD446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7BB833F-26AF-4B8A-AB37-2902EB1017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83C7F65-1F5D-4E26-BF06-E186D880F4C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CE9B4EB-7C88-45D2-B1D9-30D15C4C8F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68E0D09B-E596-4544-87A6-DF0FA46F2C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F6E3988-F23A-4A57-9D48-C19D009417F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69F7EDB2-579E-4121-B104-BFC7BA1DE43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2EA704D-50EE-4C76-9C61-96B629A303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A98B22E-7A4F-479C-9CC6-7FFE46C3AB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0E24BF6-4C10-4E44-9E23-7F088AA5654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CADDF12-3B60-4806-BD18-9FB0A60338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5B5AE38-E7D9-4E8D-B031-76875AD63C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BC56CA6-8A0A-4D8A-A49F-D9AA43DB91B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C057B12-28FE-4B65-B905-411FE7411E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4A3488F-00A3-42DD-BB30-86ADA95990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7CC05A5-82ED-449C-8103-8597C60454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92FC333-976C-4B0F-9E4E-9A54550342F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4D81080-60D8-4AE9-8EDA-3B89D83C9A8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66E2B34D-F690-4DC8-A075-969B213A76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4B18DF1-AEE6-4A0D-8A0A-D8E12993F2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82DB31C-095E-476E-A5DE-4901751C133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3B4134D-5486-45DF-BC0A-02600D9194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0F3E55B-16F8-4142-BA66-2195D202E50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E772A0C-345F-435F-BA78-224709E09F2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32AF613-38EA-4F4E-949D-360EABB6A4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13A65CF-1443-440E-B5F6-D89B51E42B3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4B64B9F-76D3-4DBB-A51D-4457B463BB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B636797-33E0-4DB7-91A4-7D1C23AA447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12A3B0A-4F92-4165-9EC8-F437B27798B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G11" authorId="1" shapeId="0" xr:uid="{1114B22A-E0D2-487C-B706-C55FA7D43D1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Compensation brew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5481FDC-F2D8-4986-8C38-E13FDADB35D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AE19FCD-F203-42E4-A83F-179CDDE471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606A1E3-5CD6-49F0-9D07-01DAC34056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E7A005F-CC68-422A-B964-C205D31EB0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18D7348-B9FB-4425-B1D8-CA72628D5D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F8E456A-AFCC-4E77-88DF-A786D95DB64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416EA24-819C-4D25-AF57-969B242E3F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B9CD678-36BB-4BA0-A376-EDC7B32A3B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666E634-5A42-4E06-B3C0-B4809C52C20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CC882BA9-1109-47AC-AA27-E0051B94DC1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BFCD318-5682-4726-A6C9-6044D5500B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3DE3E09-9199-43B6-A223-A39A78F09E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5EA3699-C311-4E74-9B9A-1600051D87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1CDA065-67CE-41D5-A8A0-7D37A923F88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101CE66-BB2C-40BD-AD38-E3B3D5E9FD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135A7A1-F56F-4F4E-BED5-F89B1748B8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EFFBEAC-E986-4B16-A094-8F3552820A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C6983F8-FA62-4CC1-AD82-1D772F5AA9F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3E5D895-AF7F-4F8F-83D4-6EEB464662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C4D38EE-ED6D-4DE9-B283-18E4B964FC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089DE513-DDAD-4DF9-8F25-50A61BCA8E0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E39DAC2-18C8-4195-AA3F-2CFA840AF7E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A635985-6EA7-44DB-B92F-7283F3FD04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7CC7573-FEA1-43FB-8778-6D1780E76A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B3D324D-5879-4AF0-A8C9-A75AED26B0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CE57DD7-470E-4DD3-821C-6847ABF8DD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E537606-15C1-48B4-A908-2B0EAEF841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6B55E51-9CA5-4558-B64F-8446DECFD2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E8C09CB-252B-4D03-80CB-57B0AAEFE8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7296273-8031-4296-B53E-D5C4A4526C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933A81C-AF12-458A-8CE1-D1BB794E81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2F97E58-6F25-4CB5-8E59-DA82EFFD410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5081BDC-9A05-4C3E-B887-2214F8CF4B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3CAA2BE-7C00-439A-9F1E-4713353D3B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F13913B-F803-4615-A961-6E287148BDE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94C7124-21C1-431A-B6E6-659C8FC8CD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EA1AB48-A434-4F40-9C75-887CADE645C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BE47A62-A5AF-4199-8FDD-CFEB131F35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11C5E2C-9F0B-4856-9A26-9AA1EE4448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F59E1A7-D1A8-43B9-B017-6353B39E25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019FDB0-67B7-4A4D-9EBE-4F305EF6DF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95EF27E-D5FC-4F2B-B79D-7B073FC64EE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19EE59E-017A-4473-BE3E-A6DCF50F54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F34ED6B-63A9-4955-BC4C-04BA8E6193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AA21FCC-245B-4C1E-84D4-6A952522BE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CD56744-0501-414F-893C-AF838C5675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770E397-4C51-4F0C-8A8B-A5040F5BEA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24A577B-FCF0-4B90-9C99-8D88A447651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6F4660F-46FA-45F6-B1B8-487E2E51C6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9C130DE-15BF-4970-8795-904DF42B7A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8E35E2E-C49B-49B0-8684-6C90D052FE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9AEACA4-F0B8-4BD5-B980-BEFF396F10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754F050-1ADC-41DF-B38F-FC8E4A8FE39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714D7FC-18DF-48EE-87E1-9F611F5D99D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DF594E6-DD86-47BF-96E6-0264515014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5A534CA-DC55-4C07-9998-B5CC8B1DC9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19EA8E0-43A5-4DAC-A4B7-0845397B5D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F99ECF0-07B6-4F16-898F-BD97AED2FA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94BAFC4-39AD-4E67-9E4C-E08EE64D4F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944448F-7935-42F4-9C61-C604B992B8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0821DE6-2D20-4E17-8EEB-80F0778567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FEF08C6-5EEF-467A-9518-D134F785480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9475072-1377-4195-B96F-884C1517BE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44EFCB6-41D7-4530-AF06-13BF3BAAE9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C698FB8E-D399-4EC0-8736-8D915608EB2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A205074-92D0-44B8-B0DD-A608F6861E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052DB07-AE72-43AB-B556-0CD277BC18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0522FEA-C6D0-47D8-AD32-9F5F93B768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832E6F4-089F-4824-960C-52F23C8FE8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3BB359F-BA76-469B-A7AC-D4991EF31A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682FAD6-8F22-487D-9736-F6AB4AD326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3DBD6F5-4E33-467C-9D8A-FCDFA1638D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9203A50-CB41-4137-AC8E-37D98E42B0D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7123249-FDBE-41C0-AE4A-5F556FBB0A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98A243E-C9B3-4BBF-A07A-CF4390BEBCE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A3D1A10-FD80-401A-97B3-FE7236A6207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23726CA-F73A-45F0-BFE4-AE16DAF7C7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6D209D6-84CD-41D3-9A43-E5F207BEC83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5E0E63C-91DB-48B0-84B5-0C81E5F8E0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77107D1-3BB5-4505-B941-A9A9A259DA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AE02BFF-1988-4DDD-A566-B621D97E1C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3DDD490-4B13-4069-9E7C-F68FB6DF2F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56EFDBB-7525-4D4E-BD9E-6CE9B45D328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A394F2D-D067-442D-A58E-2D2F0F09F12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4D88B89-E940-4AD6-A95D-6FC2ED0808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9A4C1E1-12B0-4AA6-9912-2DD5C80F722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3A0F220-A966-4C86-8BDE-53E233D440A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DAB3490-42B9-4D96-BC0D-EA216540D49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95695E6-099C-4E5C-B87A-0104646BB12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ADAD8D1-6E2C-424C-BC6D-465A1DEA8D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969ABEF-23E9-418D-A37A-D6AE27B4D6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08BD11B-E6C4-4E58-93E3-0FDFC8FC0CE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6F46AE3-EA98-4096-A6A8-103218FA0DA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45F48EC-1BD4-469C-9C31-12FC635180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C81E270-4CBE-4FC6-8C32-4694D40329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A64732A-F742-4779-B63A-186EDF8794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B5763C86-9D0D-429A-B1EC-9BDCF583D3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E70F800-77F2-402D-A881-69FD603C386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713FBCAD-0676-499B-B833-F8CD25FE97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2922B54-74F0-4657-9150-A996358CB8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A6AC42B-0CF0-438A-866D-17A4E8E8ED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AB25061-FDF1-4E5B-9477-AC8206D2EC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2AABE15-3AC0-444F-905C-C454304BC2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B33050C-C1B8-49AB-9F8D-475E037D1A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EB953B7-AF6A-4CB6-95C5-B33D4827A6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75ACD60-E1D6-4497-BD51-4D7F656F4B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0082F69-5DB5-41A9-8E1B-97578D9009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B5C4722-C1CE-47BE-8E68-5AED94D226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82B8C38-8C58-4C9C-B90A-C9AB8F16838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EF43222-5D30-42F5-9F1D-90974E81EBE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85DF9D1-A705-489C-9712-9B61AC9236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3877EDE-4D82-4547-A1FE-8715B40CA7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80C45B9-9183-48B4-8BA6-56FC078E62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00EB7F8-A2B4-4071-A64D-71D9F3A607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F67D076-C01F-466A-B27C-76E691439FD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5F97905-3580-436B-9042-9548F5BA40C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F21DE67-996F-4A05-9C76-642C51978E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8910437-23C0-423B-9BAB-ED4F967945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ED473FB-3A8D-4588-9804-95C14D9E2AE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AF1D399-3B40-4057-9B7A-B468187E663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C84CA2A-7982-4A1A-9935-5384330B0AD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8D6B9A6-AD08-4631-AF44-103B64E05F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2BE5CEA-C3CE-45DC-AA07-480D7442B1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26306F5-701A-4D57-802E-DCA316B188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8422BF9-9665-422E-9156-C18026B5790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F13D3CC-283B-438A-A809-6B47A9FA6F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C4D3BFE-035C-4CB5-B481-3FF249D07D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AB8BF08-8BA4-48A3-8689-3B5C56FD16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6BE3369-88AC-41A3-BED1-3DAFC7984DF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88D8258-1DF1-4054-B597-47C4F700B0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DAABD3F-8F66-411C-888B-9AD0D9F8164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006CD39-E669-48A8-AE89-50F63F7AB4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1F57C0C-AE36-4240-9BDE-12BE3B0A4C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46C37ED-D7ED-49CA-B85A-774AFBB23E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CD08651-4AF4-47C9-AA9B-281121333F4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76213F6-5458-4E90-8EFF-8016A6E40C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34BD3E9-C388-45EB-97B1-6A65AF3E4B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89BFF97-9C65-4F6F-9719-4E4AC79EF8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53A325E-465B-4998-A2A9-F012367605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E44F534-63DC-4D84-9F81-FA2A322629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9B7C04F9-9103-486D-8F1A-B92FC653ABB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579ADBB-4580-45B2-A230-981AB8380AD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84818D3-1827-49DC-88AC-1E0F27BB6BD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<sst xmlns="http://schemas.openxmlformats.org/spreadsheetml/2006/main" count="3111" uniqueCount="197">
  <si>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</si>
  <si>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</si>
  <si>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</si>
  <si>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</si>
  <si>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</si>
  <si>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</si>
  <si>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</si>
  <si>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</si>
  <si>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</si>
  <si>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</si>
  <si>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</si>
  <si>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</si>
  <si>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</si>
  <si>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</si>
  <si>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</si>
  <si>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</si>
  <si>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</si>
  <si>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</si>
  <si>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</si>
  <si>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</si>
  <si>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</si>
  <si>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</si>
  <si>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</si>
  <si>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</si>
  <si>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</si>
  <si>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</si>
  <si>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</si>
  <si>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</si>
  <si>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</si>
  <si>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</si>
  <si>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</si>
  <si>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</si>
  <si>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</si>
  <si>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</si>
  <si>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</si>
  <si>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</si>
  <si>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</si>
  <si>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</si>
  <si>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</si>
  <si>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</si>
  <si>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</si>
  <si>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</si>
  <si>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</si>
  <si>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</si>
  <si>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</si>
  <si>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</si>
  <si>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</si>
  <si>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</si>
  <si>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</si>
  <si>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</si>
  <si>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</si>
  <si>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</si>
  <si>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</si>
  <si>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</si>
  <si>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</si>
  <si>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</si>
  <si>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</si>
  <si>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</si>
  <si>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</si>
  <si>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</si>
  <si>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</si>
  <si>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</si>
  <si>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</si>
  <si>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</si>
  <si>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</si>
  <si>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</si>
  <si>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</si>
  <si>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</si>
  <si>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</si>
  <si>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</si>
  <si>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</si>
  <si>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</si>
  <si>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</si>
  <si>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</si>
  <si>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</si>
  <si>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</si>
  <si>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</si>
  <si>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</si>
  <si>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</si>
  <si>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</si>
  <si>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</si>
  <si>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</si>
  <si>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</si>
  <si>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</si>
  <si>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</si>
  <si>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</si>
  <si>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</si>
  <si>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</si>
  <si>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</si>
  <si>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</si>
  <si>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</si>
  <si>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</si>
  <si>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</si>
  <si>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</si>
  <si>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</si>
  <si>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</si>
  <si>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</si>
  <si>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</si>
  <si>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</si>
  <si>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</si>
  <si>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</si>
  <si>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</si>
  <si>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</si>
  <si>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</si>
  <si>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</si>
  <si>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</si>
  <si>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</si>
  <si>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</si>
  <si>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</si>
  <si>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</si>
  <si>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</si>
  <si>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</si>
  <si>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</si>
  <si>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</si>
  <si>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</si>
  <si>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</si>
  <si>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</si>
  <si>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</si>
  <si>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</si>
  <si>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</si>
  <si>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</si>
  <si>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</si>
  <si>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</si>
  <si>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</si>
  <si>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</si>
  <si>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</si>
  <si>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</si>
  <si>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</si>
  <si>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</si>
  <si>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</si>
  <si>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</si>
  <si>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</si>
  <si>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</si>
  <si>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</si>
  <si>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</si>
  <si>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</si>
  <si>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</si>
  <si>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</si>
  <si>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</si>
  <si>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</si>
  <si>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</si>
  <si>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</si>
  <si>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</si>
  <si>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</si>
  <si>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</si>
  <si>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</si>
  <si>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</si>
  <si>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</si>
  <si>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</si>
  <si>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</si>
  <si>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</si>
  <si>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</si>
  <si>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</si>
  <si>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</si>
  <si>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</si>
  <si>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</si>
  <si>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</si>
  <si>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</si>
  <si>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</si>
  <si>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</si>
  <si>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</si>
  <si>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</si>
  <si>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</si>
  <si>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IPA</t>
  </si>
  <si>
    <t>APA</t>
  </si>
  <si>
    <t>Extr. Rec (77.9%)</t>
  </si>
  <si>
    <t xml:space="preserve">  </t>
  </si>
  <si>
    <t xml:space="preserve">LOT WORT COLOUR: </t>
  </si>
  <si>
    <t xml:space="preserve"> MALT LOT: Lot #10</t>
  </si>
  <si>
    <t>NO SBF</t>
  </si>
  <si>
    <t xml:space="preserve">          </t>
  </si>
  <si>
    <t>1 BREAK</t>
  </si>
  <si>
    <t>K. Hosten</t>
  </si>
  <si>
    <t>Brewing Time</t>
  </si>
  <si>
    <t>G. Mason</t>
  </si>
  <si>
    <t>6 BREAKS, 1SBF</t>
  </si>
  <si>
    <t>3 SBF</t>
  </si>
  <si>
    <t>2 SBF</t>
  </si>
  <si>
    <t xml:space="preserve"> MALT LOT: Lot #13</t>
  </si>
  <si>
    <t>problems with valve on wort kettle and CIP valve</t>
  </si>
  <si>
    <t>fire alarm went off</t>
  </si>
  <si>
    <t>T. Charles</t>
  </si>
  <si>
    <t>1 SBF</t>
  </si>
  <si>
    <t>D. Emery</t>
  </si>
  <si>
    <t>4 SBF</t>
  </si>
  <si>
    <t>2SBF</t>
  </si>
  <si>
    <t>K. Neptune</t>
  </si>
  <si>
    <t>Steam issues +extra boil</t>
  </si>
  <si>
    <t>Slow dilution blocked spray balls (wort kettle)</t>
  </si>
  <si>
    <t>J. Nelson</t>
  </si>
  <si>
    <t>3SBF</t>
  </si>
  <si>
    <t>Brews Achieved (21st)</t>
  </si>
  <si>
    <t xml:space="preserve">held in pre-run tank </t>
  </si>
  <si>
    <t>held in mash tun</t>
  </si>
  <si>
    <t>Brews Achieved</t>
  </si>
  <si>
    <t>1SBF</t>
  </si>
  <si>
    <t>Brews Achieved (28th)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</si>
</sst>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30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84" fillId="0" borderId="31" xfId="3" applyFont="1" applyBorder="1"/>
    <xf numFmtId="166" fontId="8" fillId="0" borderId="0" xfId="3" applyNumberFormat="1" applyFont="1" applyAlignment="1">
      <alignment horizontal="center" vertical="center"/>
    </xf>
    <xf numFmtId="166" fontId="9" fillId="26" borderId="63" xfId="3" applyNumberFormat="1" applyFont="1" applyFill="1" applyBorder="1" applyAlignment="1">
      <alignment horizontal="center"/>
    </xf>
    <xf numFmtId="0" fontId="9" fillId="0" borderId="0" xfId="3" applyNumberFormat="1" applyFont="1" applyAlignment="1">
      <alignment horizontal="center"/>
    </xf>
    <xf numFmtId="0" fontId="22" fillId="0" borderId="1" xfId="3" applyNumberFormat="1" applyFont="1" applyBorder="1" applyAlignment="1">
      <alignment vertical="top" wrapText="1"/>
    </xf>
    <xf numFmtId="165" fontId="8" fillId="0" borderId="0" xfId="3" applyFont="1" applyAlignment="1">
      <alignment horizontal="left" vertical="center"/>
    </xf>
    <xf numFmtId="165" fontId="8" fillId="23" borderId="2" xfId="3" applyFont="1" applyFill="1" applyBorder="1" applyAlignment="1">
      <alignment vertical="center"/>
    </xf>
    <xf numFmtId="165" fontId="9" fillId="0" borderId="81" xfId="3" applyFont="1" applyBorder="1" applyAlignment="1">
      <alignment vertical="center" wrapText="1"/>
    </xf>
    <xf numFmtId="165" fontId="9" fillId="0" borderId="40" xfId="3" applyFont="1" applyBorder="1" applyAlignment="1">
      <alignment horizontal="center" vertical="center" wrapText="1"/>
    </xf>
    <xf numFmtId="16" fontId="8" fillId="0" borderId="39" xfId="3" applyNumberFormat="1" applyFont="1" applyBorder="1" applyAlignment="1">
      <alignment horizontal="center" vertical="center"/>
    </xf>
    <xf numFmtId="4" fontId="8" fillId="0" borderId="39" xfId="3" applyNumberFormat="1" applyFont="1" applyBorder="1" applyAlignment="1">
      <alignment horizontal="center" vertical="center"/>
    </xf>
    <xf numFmtId="171" fontId="8" fillId="0" borderId="39" xfId="3" applyNumberFormat="1" applyFont="1" applyBorder="1" applyAlignment="1">
      <alignment horizontal="center" vertical="center"/>
    </xf>
    <xf numFmtId="2" fontId="8" fillId="0" borderId="39" xfId="3" applyNumberFormat="1" applyFont="1" applyBorder="1" applyAlignment="1">
      <alignment horizontal="center" vertical="center"/>
    </xf>
    <xf numFmtId="4" fontId="8" fillId="0" borderId="62" xfId="3" applyNumberFormat="1" applyFont="1" applyBorder="1" applyAlignment="1">
      <alignment horizontal="center" vertical="center"/>
    </xf>
    <xf numFmtId="2" fontId="31" fillId="0" borderId="39" xfId="4" applyNumberFormat="1" applyFont="1" applyFill="1" applyBorder="1" applyAlignment="1">
      <alignment horizontal="center" vertical="center"/>
    </xf>
    <xf numFmtId="170" fontId="8" fillId="0" borderId="79" xfId="4" applyNumberFormat="1" applyFont="1" applyFill="1" applyBorder="1" applyAlignment="1">
      <alignment horizontal="center" vertical="center"/>
    </xf>
    <xf numFmtId="16" fontId="9" fillId="0" borderId="76" xfId="3" applyNumberFormat="1" applyFont="1" applyBorder="1" applyAlignment="1">
      <alignment horizontal="center" vertical="center"/>
    </xf>
    <xf numFmtId="4" fontId="8" fillId="0" borderId="76" xfId="3" applyNumberFormat="1" applyFont="1" applyBorder="1" applyAlignment="1">
      <alignment horizontal="center" vertical="center"/>
    </xf>
    <xf numFmtId="171" fontId="8" fillId="0" borderId="76" xfId="3" applyNumberFormat="1" applyFont="1" applyBorder="1" applyAlignment="1">
      <alignment horizontal="center" vertical="center"/>
    </xf>
    <xf numFmtId="2" fontId="8" fillId="0" borderId="76" xfId="3" applyNumberFormat="1" applyFont="1" applyBorder="1" applyAlignment="1">
      <alignment horizontal="center" vertical="center"/>
    </xf>
    <xf numFmtId="4" fontId="8" fillId="0" borderId="80" xfId="3" applyNumberFormat="1" applyFont="1" applyBorder="1" applyAlignment="1">
      <alignment horizontal="center" vertical="center"/>
    </xf>
    <xf numFmtId="2" fontId="31" fillId="0" borderId="76" xfId="4" applyNumberFormat="1" applyFont="1" applyFill="1" applyBorder="1" applyAlignment="1">
      <alignment horizontal="center" vertical="center"/>
    </xf>
    <xf numFmtId="170" fontId="8" fillId="0" borderId="9" xfId="4" applyNumberFormat="1" applyFont="1" applyFill="1" applyBorder="1" applyAlignment="1">
      <alignment horizontal="center" vertical="center"/>
    </xf>
    <xf numFmtId="165" fontId="85" fillId="0" borderId="38" xfId="3" applyFont="1" applyBorder="1" applyAlignment="1">
      <alignment horizontal="center" vertical="center"/>
    </xf>
    <xf numFmtId="2" fontId="31" fillId="0" borderId="62" xfId="4" applyNumberFormat="1" applyFont="1" applyFill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2" fontId="79" fillId="0" borderId="39" xfId="3" applyNumberFormat="1" applyFont="1" applyBorder="1" applyAlignment="1">
      <alignment horizontal="center" vertical="center"/>
    </xf>
    <xf numFmtId="16" fontId="9" fillId="0" borderId="84" xfId="3" applyNumberFormat="1" applyFont="1" applyBorder="1" applyAlignment="1">
      <alignment horizontal="center" vertical="center"/>
    </xf>
    <xf numFmtId="4" fontId="8" fillId="0" borderId="84" xfId="3" applyNumberFormat="1" applyFont="1" applyBorder="1" applyAlignment="1">
      <alignment horizontal="center" vertical="center"/>
    </xf>
    <xf numFmtId="171" fontId="8" fillId="0" borderId="84" xfId="3" applyNumberFormat="1" applyFont="1" applyBorder="1" applyAlignment="1">
      <alignment horizontal="center" vertical="center"/>
    </xf>
    <xf numFmtId="2" fontId="8" fillId="0" borderId="84" xfId="3" applyNumberFormat="1" applyFont="1" applyBorder="1" applyAlignment="1">
      <alignment horizontal="center" vertical="center"/>
    </xf>
    <xf numFmtId="4" fontId="8" fillId="0" borderId="85" xfId="3" applyNumberFormat="1" applyFont="1" applyBorder="1" applyAlignment="1">
      <alignment horizontal="center" vertical="center"/>
    </xf>
    <xf numFmtId="2" fontId="31" fillId="0" borderId="84" xfId="4" applyNumberFormat="1" applyFont="1" applyFill="1" applyBorder="1" applyAlignment="1">
      <alignment horizontal="center" vertical="center"/>
    </xf>
    <xf numFmtId="2" fontId="31" fillId="0" borderId="85" xfId="4" applyNumberFormat="1" applyFont="1" applyFill="1" applyBorder="1" applyAlignment="1">
      <alignment horizontal="center" vertical="center"/>
    </xf>
    <xf numFmtId="2" fontId="9" fillId="4" borderId="84" xfId="3" applyNumberFormat="1" applyFont="1" applyFill="1" applyBorder="1" applyAlignment="1">
      <alignment horizontal="center" vertical="center"/>
    </xf>
    <xf numFmtId="170" fontId="8" fillId="0" borderId="86" xfId="4" applyNumberFormat="1" applyFont="1" applyFill="1" applyBorder="1" applyAlignment="1">
      <alignment horizontal="center" vertical="center"/>
    </xf>
    <xf numFmtId="2" fontId="31" fillId="0" borderId="80" xfId="4" applyNumberFormat="1" applyFont="1" applyFill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2" fontId="79" fillId="0" borderId="76" xfId="3" applyNumberFormat="1" applyFont="1" applyBorder="1" applyAlignment="1">
      <alignment horizontal="center" vertical="center"/>
    </xf>
    <xf numFmtId="165" fontId="86" fillId="0" borderId="88" xfId="3" applyFont="1" applyBorder="1" applyAlignment="1">
      <alignment horizontal="center" vertical="center"/>
    </xf>
    <xf numFmtId="165" fontId="9" fillId="0" borderId="87" xfId="3" applyFont="1" applyBorder="1" applyAlignment="1">
      <alignment horizontal="center" vertical="center" wrapText="1"/>
    </xf>
    <xf numFmtId="165" fontId="9" fillId="0" borderId="18" xfId="3" applyFont="1" applyBorder="1" applyAlignment="1">
      <alignment horizontal="center" vertical="center" wrapText="1"/>
    </xf>
    <xf numFmtId="165" fontId="20" fillId="0" borderId="13" xfId="3" applyFont="1" applyBorder="1" applyAlignment="1">
      <alignment horizontal="center" vertical="center"/>
    </xf>
    <xf numFmtId="2" fontId="79" fillId="0" borderId="84" xfId="3" applyNumberFormat="1" applyFont="1" applyBorder="1" applyAlignment="1">
      <alignment horizontal="center" vertical="center"/>
    </xf>
    <xf numFmtId="2" fontId="31" fillId="0" borderId="84" xfId="4" applyNumberFormat="1" applyFont="1" applyBorder="1" applyAlignment="1">
      <alignment horizontal="center" vertical="center"/>
    </xf>
    <xf numFmtId="170" fontId="9" fillId="0" borderId="86" xfId="4" applyNumberFormat="1" applyFont="1" applyFill="1" applyBorder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71" fontId="8" fillId="0" borderId="0" xfId="3" applyNumberFormat="1" applyFont="1" applyAlignment="1">
      <alignment horizontal="center" vertical="center"/>
    </xf>
    <xf numFmtId="2" fontId="8" fillId="0" borderId="0" xfId="3" applyNumberFormat="1" applyFont="1" applyAlignment="1">
      <alignment horizontal="center" vertical="center"/>
    </xf>
    <xf numFmtId="2" fontId="31" fillId="0" borderId="0" xfId="4" applyNumberFormat="1" applyFont="1" applyFill="1" applyBorder="1" applyAlignment="1">
      <alignment horizontal="center" vertical="center"/>
    </xf>
    <xf numFmtId="170" fontId="8" fillId="0" borderId="0" xfId="4" applyNumberFormat="1" applyFont="1" applyFill="1" applyBorder="1" applyAlignment="1">
      <alignment horizontal="center" vertical="center"/>
    </xf>
    <xf numFmtId="2" fontId="79" fillId="0" borderId="0" xfId="3" applyNumberFormat="1" applyFont="1" applyAlignment="1">
      <alignment horizontal="center" vertical="center"/>
    </xf>
    <xf numFmtId="165" fontId="27" fillId="0" borderId="0" xfId="3" applyFont="1" applyAlignment="1">
      <alignment horizontal="center" vertical="center"/>
    </xf>
    <xf numFmtId="165" fontId="10" fillId="3" borderId="1" xfId="3" applyFont="1" applyFill="1" applyBorder="1"/>
    <xf numFmtId="166" fontId="10" fillId="3" borderId="1" xfId="3" applyNumberFormat="1" applyFont="1" applyFill="1" applyBorder="1"/>
    <xf numFmtId="166" fontId="10" fillId="3" borderId="2" xfId="3" applyNumberFormat="1" applyFont="1" applyFill="1" applyBorder="1"/>
    <xf numFmtId="1" fontId="10" fillId="3" borderId="1" xfId="3" applyNumberFormat="1" applyFont="1" applyFill="1" applyBorder="1" applyAlignment="1">
      <alignment horizontal="center"/>
    </xf>
    <xf numFmtId="166" fontId="10" fillId="3" borderId="14" xfId="3" applyNumberFormat="1" applyFont="1" applyFill="1" applyBorder="1"/>
    <xf numFmtId="166" fontId="10" fillId="0" borderId="0" xfId="3" applyNumberFormat="1" applyFont="1" applyAlignment="1">
      <alignment vertical="center"/>
    </xf>
    <xf numFmtId="20" fontId="9" fillId="4" borderId="17" xfId="3" applyNumberFormat="1" applyFont="1" applyFill="1" applyBorder="1" applyAlignment="1">
      <alignment horizontal="center" vertical="center" wrapText="1"/>
    </xf>
    <xf numFmtId="20" fontId="9" fillId="4" borderId="18" xfId="3" applyNumberFormat="1" applyFont="1" applyFill="1" applyBorder="1" applyAlignment="1">
      <alignment horizontal="center" vertical="center" wrapText="1"/>
    </xf>
    <xf numFmtId="169" fontId="34" fillId="0" borderId="41" xfId="3" applyNumberFormat="1" applyFont="1" applyBorder="1" applyAlignment="1">
      <alignment horizontal="center" vertical="center"/>
    </xf>
    <xf numFmtId="2" fontId="9" fillId="0" borderId="84" xfId="3" applyNumberFormat="1" applyFont="1" applyBorder="1" applyAlignment="1">
      <alignment horizontal="center" vertical="center"/>
    </xf>
    <xf numFmtId="2" fontId="40" fillId="0" borderId="1" xfId="3" applyNumberFormat="1" applyFont="1" applyBorder="1" applyAlignment="1">
      <alignment horizontal="right"/>
    </xf>
    <xf numFmtId="165" fontId="9" fillId="0" borderId="27" xfId="3" applyFont="1" applyBorder="1" applyAlignment="1">
      <alignment vertical="center" wrapText="1"/>
    </xf>
    <xf numFmtId="16" fontId="9" fillId="0" borderId="86" xfId="3" applyNumberFormat="1" applyFont="1" applyBorder="1" applyAlignment="1">
      <alignment horizontal="center" vertical="center"/>
    </xf>
    <xf numFmtId="165" fontId="20" fillId="0" borderId="18" xfId="3" applyFont="1" applyBorder="1" applyAlignment="1">
      <alignment horizontal="center" vertical="center"/>
    </xf>
    <xf numFmtId="165" fontId="80" fillId="0" borderId="18" xfId="3" applyFont="1" applyBorder="1" applyAlignment="1">
      <alignment horizontal="center" vertical="center"/>
    </xf>
    <xf numFmtId="166" fontId="79" fillId="7" borderId="1" xfId="3" applyNumberFormat="1" applyFont="1" applyFill="1" applyBorder="1" applyAlignment="1">
      <alignment horizontal="center" vertical="center"/>
    </xf>
    <xf numFmtId="165" fontId="79" fillId="0" borderId="18" xfId="3" applyFont="1" applyBorder="1" applyAlignment="1">
      <alignment horizontal="center" vertical="center"/>
    </xf>
    <xf numFmtId="166" fontId="9" fillId="23" borderId="1" xfId="3" applyNumberFormat="1" applyFont="1" applyFill="1" applyBorder="1" applyAlignment="1">
      <alignment horizontal="center" vertical="center"/>
    </xf>
    <xf numFmtId="2" fontId="9" fillId="23" borderId="1" xfId="3" applyNumberFormat="1" applyFont="1" applyFill="1" applyBorder="1" applyAlignment="1">
      <alignment horizontal="center" vertical="center"/>
    </xf>
    <xf numFmtId="165" fontId="9" fillId="0" borderId="13" xfId="3" applyFont="1" applyBorder="1" applyAlignment="1">
      <alignment horizontal="left"/>
    </xf>
    <xf numFmtId="165" fontId="85" fillId="0" borderId="18" xfId="3" applyFont="1" applyBorder="1" applyAlignment="1">
      <alignment horizontal="center" vertical="center"/>
    </xf>
    <xf numFmtId="2" fontId="9" fillId="0" borderId="14" xfId="3" applyNumberFormat="1" applyFont="1" applyBorder="1" applyAlignment="1">
      <alignment horizontal="right"/>
    </xf>
    <xf numFmtId="2" fontId="9" fillId="0" borderId="32" xfId="3" applyNumberFormat="1" applyFont="1" applyBorder="1"/>
    <xf numFmtId="2" fontId="9" fillId="4" borderId="34" xfId="3" applyNumberFormat="1" applyFont="1" applyFill="1" applyBorder="1"/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10" fillId="3" borderId="1" xfId="3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14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0" xfId="3" applyFont="1" applyAlignment="1">
      <alignment horizontal="left"/>
    </xf>
    <xf numFmtId="165" fontId="9" fillId="0" borderId="5" xfId="3" applyFont="1" applyBorder="1" applyAlignment="1">
      <alignment horizontal="center" vertical="center" wrapText="1"/>
    </xf>
    <xf numFmtId="165" fontId="9" fillId="0" borderId="50" xfId="3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11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4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 vertical="center"/>
    </xf>
    <xf numFmtId="166" fontId="8" fillId="0" borderId="30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75" xfId="3" applyNumberFormat="1" applyFont="1" applyBorder="1" applyAlignment="1">
      <alignment horizontal="center" vertical="center"/>
    </xf>
    <xf numFmtId="166" fontId="8" fillId="0" borderId="63" xfId="3" applyNumberFormat="1" applyFont="1" applyBorder="1" applyAlignment="1">
      <alignment horizontal="center" vertical="center"/>
    </xf>
    <xf numFmtId="166" fontId="9" fillId="27" borderId="83" xfId="3" applyNumberFormat="1" applyFont="1" applyFill="1" applyBorder="1" applyAlignment="1">
      <alignment horizontal="center" vertical="center"/>
    </xf>
    <xf numFmtId="166" fontId="9" fillId="27" borderId="19" xfId="3" applyNumberFormat="1" applyFont="1" applyFill="1" applyBorder="1" applyAlignment="1">
      <alignment horizontal="center" vertical="center"/>
    </xf>
    <xf numFmtId="165" fontId="9" fillId="0" borderId="23" xfId="3" applyFont="1" applyBorder="1" applyAlignment="1">
      <alignment horizontal="center" vertical="center" wrapText="1"/>
    </xf>
    <xf numFmtId="165" fontId="9" fillId="0" borderId="27" xfId="3" applyFont="1" applyBorder="1" applyAlignment="1">
      <alignment horizontal="center" vertical="center" wrapText="1"/>
    </xf>
    <xf numFmtId="165" fontId="9" fillId="0" borderId="34" xfId="3" applyFont="1" applyBorder="1" applyAlignment="1">
      <alignment horizontal="center" vertical="center" wrapText="1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10" fillId="3" borderId="1" xfId="0" applyFont="1" applyFill="1" applyBorder="1" applyAlignment="1">
      <alignment horizont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12" xfId="3" applyFont="1" applyBorder="1" applyAlignment="1">
      <alignment horizontal="center" vertical="center" wrapText="1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6" fontId="8" fillId="0" borderId="82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5" fontId="20" fillId="0" borderId="23" xfId="3" applyFont="1" applyBorder="1" applyAlignment="1">
      <alignment horizontal="center" vertical="center"/>
    </xf>
    <xf numFmtId="165" fontId="20" fillId="0" borderId="27" xfId="3" applyFont="1" applyBorder="1" applyAlignment="1">
      <alignment horizontal="center" vertical="center"/>
    </xf>
    <xf numFmtId="165" fontId="20" fillId="0" borderId="34" xfId="3" applyFont="1" applyBorder="1" applyAlignment="1">
      <alignment horizontal="center" vertical="center"/>
    </xf>
    <xf numFmtId="165" fontId="79" fillId="0" borderId="23" xfId="3" applyFont="1" applyBorder="1" applyAlignment="1">
      <alignment horizontal="center" vertical="center"/>
    </xf>
    <xf numFmtId="165" fontId="79" fillId="0" borderId="27" xfId="3" applyFont="1" applyBorder="1" applyAlignment="1">
      <alignment horizontal="center" vertical="center"/>
    </xf>
    <xf numFmtId="165" fontId="79" fillId="0" borderId="35" xfId="3" applyFont="1" applyBorder="1" applyAlignment="1">
      <alignment horizontal="center" vertical="center"/>
    </xf>
    <xf numFmtId="165" fontId="79" fillId="0" borderId="34" xfId="3" applyFont="1" applyBorder="1" applyAlignment="1">
      <alignment horizontal="center" vertical="center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" xfId="3" applyFont="1" applyBorder="1" applyAlignment="1">
      <alignment horizontal="center" vertical="center" wrapText="1"/>
    </xf>
    <xf numFmtId="165" fontId="40" fillId="0" borderId="50" xfId="3" applyFont="1" applyBorder="1" applyAlignment="1">
      <alignment horizontal="center" vertical="center" wrapText="1"/>
    </xf>
    <xf numFmtId="165" fontId="40" fillId="0" borderId="6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23" xfId="3" applyFont="1" applyBorder="1" applyAlignment="1">
      <alignment horizontal="center" vertical="center"/>
    </xf>
    <xf numFmtId="165" fontId="40" fillId="0" borderId="35" xfId="3" applyFont="1" applyBorder="1" applyAlignment="1">
      <alignment horizontal="center" vertic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38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3547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008200"/>
      <color rgb="FFFF0000"/>
      <color rgb="FFFF66FF"/>
      <color rgb="FFFF0066"/>
      <color rgb="FFFF9999"/>
      <color rgb="FFCC3300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42" Type="http://schemas.openxmlformats.org/officeDocument/2006/relationships/externalLink" Target="externalLinks/externalLink17.xml"/><Relationship Id="rId47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25.xml"/><Relationship Id="rId55" Type="http://schemas.openxmlformats.org/officeDocument/2006/relationships/externalLink" Target="externalLinks/externalLink30.xml"/><Relationship Id="rId63" Type="http://schemas.openxmlformats.org/officeDocument/2006/relationships/externalLink" Target="externalLinks/externalLink38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28.xml"/><Relationship Id="rId58" Type="http://schemas.openxmlformats.org/officeDocument/2006/relationships/externalLink" Target="externalLinks/externalLink33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31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21.xml"/><Relationship Id="rId59" Type="http://schemas.openxmlformats.org/officeDocument/2006/relationships/externalLink" Target="externalLinks/externalLink34.xml"/><Relationship Id="rId67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54" Type="http://schemas.openxmlformats.org/officeDocument/2006/relationships/externalLink" Target="externalLinks/externalLink29.xml"/><Relationship Id="rId62" Type="http://schemas.openxmlformats.org/officeDocument/2006/relationships/externalLink" Target="externalLinks/externalLink3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externalLink" Target="externalLinks/externalLink24.xml"/><Relationship Id="rId57" Type="http://schemas.openxmlformats.org/officeDocument/2006/relationships/externalLink" Target="externalLinks/externalLink3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27.xml"/><Relationship Id="rId60" Type="http://schemas.openxmlformats.org/officeDocument/2006/relationships/externalLink" Target="externalLinks/externalLink35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CaribLog2026.xlsx" TargetMode="External"/><Relationship Id="rId2" Type="http://schemas.openxmlformats.org/officeDocument/2006/relationships/externalLinkPath" Target="file:///F:\Operations\Brewing\Logbooks\Logbooks%202026\NewCaribLog2026.xlsx" TargetMode="External"/><Relationship Id="rId1" Type="http://schemas.openxmlformats.org/officeDocument/2006/relationships/externalLinkPath" Target="/Operations/Brewing/Logbooks/Logbooks%202026/NewCaribLog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tagLog2026.xls" TargetMode="External"/><Relationship Id="rId2" Type="http://schemas.openxmlformats.org/officeDocument/2006/relationships/externalLinkPath" Target="file:///F:\Operations\Brewing\Logbooks\Logbooks%202026\NewStagLog2026.xls" TargetMode="External"/><Relationship Id="rId1" Type="http://schemas.openxmlformats.org/officeDocument/2006/relationships/externalLinkPath" Target="/Operations/Brewing/Logbooks/Logbooks%202026/NewStagLog2026.xls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VMaltLog2026.xls" TargetMode="External"/><Relationship Id="rId2" Type="http://schemas.openxmlformats.org/officeDocument/2006/relationships/externalLinkPath" Target="file:///F:\Operations\Brewing\Logbooks\Logbooks%202026\NewVMaltLog2026.xls" TargetMode="External"/><Relationship Id="rId1" Type="http://schemas.openxmlformats.org/officeDocument/2006/relationships/externalLinkPath" Target="/Operations/Brewing/Logbooks/Logbooks%202026/NewVMaltLog2026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GuinnLog2026.xls" TargetMode="External"/><Relationship Id="rId2" Type="http://schemas.openxmlformats.org/officeDocument/2006/relationships/externalLinkPath" Target="file:///F:\Operations\Brewing\Logbooks\Logbooks%202026\NewGuinnLog2026.xls" TargetMode="External"/><Relationship Id="rId1" Type="http://schemas.openxmlformats.org/officeDocument/2006/relationships/externalLinkPath" Target="/Operations/Brewing/Logbooks/Logbooks%202026/NewGuinnLog2026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MackLog2026.xls" TargetMode="External"/><Relationship Id="rId2" Type="http://schemas.openxmlformats.org/officeDocument/2006/relationships/externalLinkPath" Target="file:///F:\Operations\Brewing\Logbooks\Logbooks%202026\NewMackLog2026.xls" TargetMode="External"/><Relationship Id="rId1" Type="http://schemas.openxmlformats.org/officeDocument/2006/relationships/externalLinkPath" Target="/Operations/Brewing/Logbooks/Logbooks%202026/NewMackLog2026.xls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MaltLog2026.xls" TargetMode="External"/><Relationship Id="rId2" Type="http://schemas.openxmlformats.org/officeDocument/2006/relationships/externalLinkPath" Target="file:///F:\Operations\Brewing\Logbooks\Logbooks%202026\NewSMaltLog2026.xls" TargetMode="External"/><Relationship Id="rId1" Type="http://schemas.openxmlformats.org/officeDocument/2006/relationships/externalLinkPath" Target="/Operations/Brewing/Logbooks/Logbooks%202026/NewSMaltLog202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anuary%20'26%20Daily%20Process%20Report%202026.xlsx" TargetMode="External"/><Relationship Id="rId1" Type="http://schemas.openxmlformats.org/officeDocument/2006/relationships/externalLinkPath" Target="January%20'26%20Daily%20Process%20Report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Filtration_Throughput/Filtration_Throughput_2019.xlsx" TargetMode="External"/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Daily_Brewhouse_Efficiency/Daily_Brewhouse_Efficiency_2022.xls" TargetMode="External"/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CaribLog2022.xlsx" TargetMode="External"/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tagLog2022.xls" TargetMode="External"/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GuinnLog2022.xls" TargetMode="External"/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VMaltLog2022.xls" TargetMode="External"/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MackLog2022.xls" TargetMode="External"/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MaltLog2022.xls" TargetMode="External"/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HRLog2022.xls" TargetMode="External"/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an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Febr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3%20Daily%20Process%20Report/March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3%20Daily%20Process%20Report/April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ne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l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ugust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October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3.xls" TargetMode="External"/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3.xlsx" TargetMode="External"/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6.xls" TargetMode="External"/><Relationship Id="rId2" Type="http://schemas.openxmlformats.org/officeDocument/2006/relationships/externalLinkPath" Target="file:///F:\Operations\Reshelle\Brewing\Daily_Brewhouse_Efficiency\Daily_Brewhouse_Efficiency_2026.xls" TargetMode="External"/><Relationship Id="rId1" Type="http://schemas.openxmlformats.org/officeDocument/2006/relationships/externalLinkPath" Target="/Operations/Reshelle/Brewing/Daily_Brewhouse_Efficiency/Daily_Brewhouse_Efficiency_2026.xls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6.xlsx" TargetMode="External"/><Relationship Id="rId2" Type="http://schemas.openxmlformats.org/officeDocument/2006/relationships/externalLinkPath" Target="file:///F:\Operations\Reshelle\Brewing\Filtration_Throughput\Filtration_Throughput_2026.xlsx" TargetMode="External"/><Relationship Id="rId1" Type="http://schemas.openxmlformats.org/officeDocument/2006/relationships/externalLinkPath" Target="/Operations/Reshelle/Brewing/Filtration_Throughput/Filtration_Throughput_2026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osses%202026/February_2026.xls" TargetMode="External"/><Relationship Id="rId2" Type="http://schemas.openxmlformats.org/officeDocument/2006/relationships/externalLinkPath" Target="file:///F:\Operations\Brewing\Reports%20Local\Losses%202026\February_2026.xls" TargetMode="External"/><Relationship Id="rId1" Type="http://schemas.openxmlformats.org/officeDocument/2006/relationships/externalLinkPath" Target="/Operations/Brewing/Reports%20Local/Losses%202026/February_202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VMaltLog.xls" TargetMode="External"/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ogbooks/NewMMaltLog.xls" TargetMode="External"/><Relationship Id="rId1" Type="http://schemas.openxmlformats.org/officeDocument/2006/relationships/externalLinkPath" Target="/Operations/Brewing/Logbooks/NewMMaltLog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Jan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Febr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Ma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ackaging"/>
      <sheetName val="Process"/>
      <sheetName val="Summary February '26"/>
      <sheetName val="Summary January '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2">
          <cell r="AU42">
            <v>98.774703764205327</v>
          </cell>
        </row>
        <row r="43">
          <cell r="AU43">
            <v>99.746895730388445</v>
          </cell>
        </row>
        <row r="44">
          <cell r="AU44">
            <v>99.480491014553465</v>
          </cell>
        </row>
        <row r="45">
          <cell r="AU45">
            <v>99.359192252045119</v>
          </cell>
        </row>
        <row r="46">
          <cell r="AU46">
            <v>94.942986581581494</v>
          </cell>
        </row>
        <row r="47">
          <cell r="AU47">
            <v>99.744059513955506</v>
          </cell>
        </row>
        <row r="48">
          <cell r="AU48">
            <v>100.99522335236702</v>
          </cell>
        </row>
        <row r="49">
          <cell r="AU49">
            <v>96.38510978729046</v>
          </cell>
        </row>
        <row r="50">
          <cell r="AU50">
            <v>96.854916965661218</v>
          </cell>
        </row>
        <row r="51">
          <cell r="AU51">
            <v>97.756974250197359</v>
          </cell>
        </row>
        <row r="52">
          <cell r="AU52">
            <v>98.280554742749217</v>
          </cell>
        </row>
        <row r="53">
          <cell r="AU53">
            <v>96.13324085965202</v>
          </cell>
        </row>
        <row r="54">
          <cell r="AU54">
            <v>93.879203465211987</v>
          </cell>
        </row>
        <row r="55">
          <cell r="AU55">
            <v>95.350414753836105</v>
          </cell>
        </row>
        <row r="56">
          <cell r="AU56">
            <v>96.220784779412256</v>
          </cell>
        </row>
        <row r="57">
          <cell r="AU57">
            <v>98.599549107933044</v>
          </cell>
        </row>
        <row r="58">
          <cell r="AU58">
            <v>97.224654996866249</v>
          </cell>
        </row>
        <row r="59">
          <cell r="AU59">
            <v>97.214744342532583</v>
          </cell>
        </row>
        <row r="60">
          <cell r="AU60">
            <v>99.947116466554263</v>
          </cell>
        </row>
        <row r="61">
          <cell r="AU61">
            <v>98.532094795334359</v>
          </cell>
        </row>
        <row r="62">
          <cell r="AU62">
            <v>93.409868719251207</v>
          </cell>
        </row>
        <row r="63">
          <cell r="AU63">
            <v>99.155044731309943</v>
          </cell>
        </row>
        <row r="64">
          <cell r="AU64">
            <v>97.421068441304371</v>
          </cell>
        </row>
        <row r="65">
          <cell r="AU65">
            <v>96.397222195852265</v>
          </cell>
        </row>
        <row r="66">
          <cell r="AU66">
            <v>100.46145390412471</v>
          </cell>
        </row>
        <row r="67">
          <cell r="AU67">
            <v>98.998214709308328</v>
          </cell>
        </row>
        <row r="68">
          <cell r="AU68">
            <v>97.857422068578444</v>
          </cell>
        </row>
        <row r="69">
          <cell r="AU69">
            <v>97.436062166815688</v>
          </cell>
        </row>
        <row r="70">
          <cell r="AU70">
            <v>96.910477582354332</v>
          </cell>
        </row>
        <row r="71">
          <cell r="AU71">
            <v>98.960439575055489</v>
          </cell>
        </row>
        <row r="72">
          <cell r="AU72">
            <v>102.29507421858402</v>
          </cell>
        </row>
        <row r="73">
          <cell r="AU73">
            <v>99.640437653385277</v>
          </cell>
        </row>
        <row r="74">
          <cell r="AU74">
            <v>82.328169468585017</v>
          </cell>
        </row>
        <row r="75">
          <cell r="AU75">
            <v>97.674289949528585</v>
          </cell>
        </row>
        <row r="76">
          <cell r="AU76">
            <v>107.03141163467369</v>
          </cell>
        </row>
        <row r="77">
          <cell r="AU77">
            <v>95.236008152799599</v>
          </cell>
        </row>
        <row r="78">
          <cell r="AU78">
            <v>93.827567679359049</v>
          </cell>
        </row>
        <row r="79">
          <cell r="AU79">
            <v>95.896687100312732</v>
          </cell>
        </row>
        <row r="80">
          <cell r="AU80">
            <v>99.738925134433643</v>
          </cell>
        </row>
        <row r="81">
          <cell r="AU81">
            <v>100.16530562302518</v>
          </cell>
        </row>
        <row r="82">
          <cell r="AU82">
            <v>99.736526583941028</v>
          </cell>
        </row>
        <row r="83">
          <cell r="AU83">
            <v>99.664029210937514</v>
          </cell>
        </row>
        <row r="84">
          <cell r="AU84">
            <v>100.01748335846912</v>
          </cell>
        </row>
        <row r="85">
          <cell r="AU85">
            <v>102.59219085086538</v>
          </cell>
        </row>
        <row r="86">
          <cell r="AU86">
            <v>102.5433340471773</v>
          </cell>
        </row>
        <row r="87">
          <cell r="AU87">
            <v>96.805164931106077</v>
          </cell>
        </row>
        <row r="88">
          <cell r="AU88">
            <v>95.467350978288906</v>
          </cell>
        </row>
        <row r="89">
          <cell r="AU89">
            <v>101.53064235241746</v>
          </cell>
        </row>
        <row r="90">
          <cell r="AU90">
            <v>99.843022353876989</v>
          </cell>
        </row>
        <row r="91">
          <cell r="AU91">
            <v>101.2321550320278</v>
          </cell>
        </row>
        <row r="92">
          <cell r="AU92">
            <v>101.42626155454937</v>
          </cell>
        </row>
        <row r="93">
          <cell r="AU93">
            <v>100.44724358587611</v>
          </cell>
        </row>
        <row r="94">
          <cell r="AU94">
            <v>102.05296320797829</v>
          </cell>
        </row>
        <row r="95">
          <cell r="AU95">
            <v>95.560767955537841</v>
          </cell>
        </row>
        <row r="96">
          <cell r="AU96">
            <v>95.858476381615304</v>
          </cell>
        </row>
        <row r="97">
          <cell r="AU97">
            <v>93.414689526206047</v>
          </cell>
        </row>
        <row r="98">
          <cell r="AU98">
            <v>99.986346763685134</v>
          </cell>
        </row>
        <row r="99">
          <cell r="AU99">
            <v>99.177482096170877</v>
          </cell>
        </row>
        <row r="100">
          <cell r="AU100">
            <v>97.509880366294198</v>
          </cell>
        </row>
        <row r="101">
          <cell r="AU101">
            <v>101.75095732104258</v>
          </cell>
        </row>
        <row r="102">
          <cell r="AU102">
            <v>99.415120817930529</v>
          </cell>
        </row>
        <row r="103">
          <cell r="AU103">
            <v>99.662908503532648</v>
          </cell>
        </row>
        <row r="104">
          <cell r="AU104">
            <v>96.575602446302355</v>
          </cell>
        </row>
        <row r="105">
          <cell r="AU105">
            <v>95.507567677953077</v>
          </cell>
        </row>
        <row r="106">
          <cell r="AU106">
            <v>97.819710364525065</v>
          </cell>
        </row>
        <row r="107">
          <cell r="AU107">
            <v>93.737546450558312</v>
          </cell>
        </row>
        <row r="108">
          <cell r="AU108">
            <v>96.679439674001571</v>
          </cell>
        </row>
        <row r="109">
          <cell r="AU109">
            <v>96.344074013646235</v>
          </cell>
        </row>
        <row r="110">
          <cell r="AU110">
            <v>96.969073122994232</v>
          </cell>
        </row>
        <row r="111">
          <cell r="AU111">
            <v>98.413757188601139</v>
          </cell>
        </row>
        <row r="112">
          <cell r="AU112">
            <v>96.361633561905379</v>
          </cell>
        </row>
        <row r="113">
          <cell r="AU113">
            <v>97.5202904784814</v>
          </cell>
        </row>
        <row r="114">
          <cell r="AU114">
            <v>97.851490534465384</v>
          </cell>
        </row>
        <row r="115">
          <cell r="AU115">
            <v>96.702752232561977</v>
          </cell>
        </row>
        <row r="116">
          <cell r="AU116">
            <v>96.254729187993746</v>
          </cell>
        </row>
        <row r="117">
          <cell r="AU117">
            <v>98.215110637851069</v>
          </cell>
        </row>
        <row r="118">
          <cell r="AU118">
            <v>95.664747463751866</v>
          </cell>
        </row>
        <row r="119">
          <cell r="AU119">
            <v>95.472649577278474</v>
          </cell>
        </row>
        <row r="120">
          <cell r="AU120">
            <v>92.499443839985332</v>
          </cell>
        </row>
        <row r="121">
          <cell r="AU121">
            <v>101.81766752472274</v>
          </cell>
        </row>
        <row r="122">
          <cell r="AU122">
            <v>99.504012001826652</v>
          </cell>
        </row>
        <row r="123">
          <cell r="AU123">
            <v>99.783415797736893</v>
          </cell>
        </row>
        <row r="125">
          <cell r="A125" t="str">
            <v>CA083</v>
          </cell>
          <cell r="P125">
            <v>57</v>
          </cell>
          <cell r="Q125">
            <v>4.3691148775894542</v>
          </cell>
          <cell r="T125">
            <v>0.21805555555555556</v>
          </cell>
          <cell r="U125">
            <v>0.36527777777777776</v>
          </cell>
          <cell r="V125">
            <v>65</v>
          </cell>
          <cell r="Z125">
            <v>0.31111111111111112</v>
          </cell>
          <cell r="AF125">
            <v>59</v>
          </cell>
          <cell r="AG125">
            <v>11.8</v>
          </cell>
          <cell r="AI125">
            <v>56.2</v>
          </cell>
          <cell r="AU125">
            <v>94.991214982303461</v>
          </cell>
          <cell r="AV125">
            <v>96.209168855817339</v>
          </cell>
          <cell r="AX125" t="str">
            <v>R.Sookram</v>
          </cell>
        </row>
        <row r="126">
          <cell r="A126" t="str">
            <v>CA084</v>
          </cell>
          <cell r="P126">
            <v>60</v>
          </cell>
          <cell r="Q126">
            <v>3.4339622641509435</v>
          </cell>
          <cell r="T126">
            <v>0.33680555555555558</v>
          </cell>
          <cell r="U126">
            <v>0.45555555555555555</v>
          </cell>
          <cell r="V126">
            <v>58</v>
          </cell>
          <cell r="Z126">
            <v>0.30138888888888887</v>
          </cell>
          <cell r="AF126">
            <v>53.2</v>
          </cell>
          <cell r="AG126">
            <v>11.7</v>
          </cell>
          <cell r="AI126">
            <v>51.5</v>
          </cell>
          <cell r="AU126">
            <v>98.081652776220835</v>
          </cell>
          <cell r="AV126">
            <v>99.513907555410526</v>
          </cell>
          <cell r="AX126" t="str">
            <v>K. Benjamin</v>
          </cell>
        </row>
        <row r="127">
          <cell r="A127" t="str">
            <v>CA085</v>
          </cell>
          <cell r="P127">
            <v>20</v>
          </cell>
          <cell r="Q127">
            <v>3.0566037735849005</v>
          </cell>
          <cell r="T127">
            <v>0.43055555555555558</v>
          </cell>
          <cell r="U127">
            <v>0.54652777777777772</v>
          </cell>
          <cell r="V127">
            <v>60</v>
          </cell>
          <cell r="Z127">
            <v>0.28611111111111104</v>
          </cell>
          <cell r="AF127">
            <v>53</v>
          </cell>
          <cell r="AG127">
            <v>11.8</v>
          </cell>
          <cell r="AI127">
            <v>51.3</v>
          </cell>
          <cell r="AU127">
            <v>98.458827461721384</v>
          </cell>
          <cell r="AV127">
            <v>99.896703877450591</v>
          </cell>
          <cell r="AX127" t="str">
            <v>K. Benjamin</v>
          </cell>
        </row>
        <row r="128">
          <cell r="A128" t="str">
            <v>CA086</v>
          </cell>
          <cell r="P128">
            <v>60</v>
          </cell>
          <cell r="Q128">
            <v>3.2452830188679229</v>
          </cell>
          <cell r="T128">
            <v>0.5541666666666667</v>
          </cell>
          <cell r="U128">
            <v>0.67638888888888893</v>
          </cell>
          <cell r="V128">
            <v>64</v>
          </cell>
          <cell r="Z128">
            <v>0.26666666666666672</v>
          </cell>
          <cell r="AF128">
            <v>53.8</v>
          </cell>
          <cell r="AG128">
            <v>11.4</v>
          </cell>
          <cell r="AI128">
            <v>51.9</v>
          </cell>
          <cell r="AU128">
            <v>95.824043987091741</v>
          </cell>
          <cell r="AV128">
            <v>97.223663307412608</v>
          </cell>
          <cell r="AX128" t="str">
            <v>K. Benjamin</v>
          </cell>
        </row>
        <row r="129">
          <cell r="A129" t="str">
            <v>CA087</v>
          </cell>
          <cell r="P129">
            <v>60</v>
          </cell>
          <cell r="Q129">
            <v>4.9340866290018788</v>
          </cell>
          <cell r="T129">
            <v>0.66249999999999998</v>
          </cell>
          <cell r="U129">
            <v>0.78055555555555556</v>
          </cell>
          <cell r="V129">
            <v>62</v>
          </cell>
          <cell r="Z129">
            <v>0.25624999999999998</v>
          </cell>
          <cell r="AF129">
            <v>51.6</v>
          </cell>
          <cell r="AG129">
            <v>12</v>
          </cell>
          <cell r="AI129">
            <v>49.9</v>
          </cell>
          <cell r="AU129">
            <v>98.44333422721418</v>
          </cell>
          <cell r="AV129">
            <v>99.880065641919103</v>
          </cell>
          <cell r="AX129" t="str">
            <v>R. Regis</v>
          </cell>
        </row>
        <row r="130">
          <cell r="A130" t="str">
            <v>CA088</v>
          </cell>
          <cell r="P130">
            <v>60</v>
          </cell>
          <cell r="Q130">
            <v>4.1807909604519748</v>
          </cell>
          <cell r="T130">
            <v>0.80138888888888893</v>
          </cell>
          <cell r="U130">
            <v>0.9291666666666667</v>
          </cell>
          <cell r="V130">
            <v>71</v>
          </cell>
          <cell r="Z130">
            <v>0.27638888888888891</v>
          </cell>
          <cell r="AF130">
            <v>53.3</v>
          </cell>
          <cell r="AG130">
            <v>11.9</v>
          </cell>
          <cell r="AI130">
            <v>51.5</v>
          </cell>
          <cell r="AU130">
            <v>100.21447484042207</v>
          </cell>
          <cell r="AV130">
            <v>101.67752510375159</v>
          </cell>
          <cell r="AX130" t="str">
            <v>R. Regis</v>
          </cell>
        </row>
        <row r="131">
          <cell r="A131" t="str">
            <v>CA089</v>
          </cell>
          <cell r="P131">
            <v>60</v>
          </cell>
          <cell r="Q131">
            <v>4.5574387947269335</v>
          </cell>
          <cell r="T131">
            <v>0.93888888888888888</v>
          </cell>
          <cell r="U131">
            <v>1.101388888888889</v>
          </cell>
          <cell r="V131">
            <v>62</v>
          </cell>
          <cell r="Z131">
            <v>0.32361111111111118</v>
          </cell>
          <cell r="AF131">
            <v>51.8</v>
          </cell>
          <cell r="AG131">
            <v>12</v>
          </cell>
          <cell r="AI131">
            <v>47.9</v>
          </cell>
          <cell r="AU131">
            <v>93.572296329201976</v>
          </cell>
          <cell r="AV131">
            <v>94.938810653269996</v>
          </cell>
          <cell r="AX131" t="str">
            <v>R. Regis</v>
          </cell>
        </row>
        <row r="132">
          <cell r="A132" t="str">
            <v>CA090</v>
          </cell>
          <cell r="P132">
            <v>61</v>
          </cell>
          <cell r="Q132">
            <v>1.9209039548022655</v>
          </cell>
          <cell r="T132">
            <v>1.0493055555555555</v>
          </cell>
          <cell r="U132">
            <v>1.1812499999999999</v>
          </cell>
          <cell r="V132">
            <v>73</v>
          </cell>
          <cell r="Z132">
            <v>0.27847222222222212</v>
          </cell>
          <cell r="AF132">
            <v>52.8</v>
          </cell>
          <cell r="AG132">
            <v>12</v>
          </cell>
          <cell r="AI132">
            <v>51</v>
          </cell>
          <cell r="AU132">
            <v>99.628123440277676</v>
          </cell>
          <cell r="AV132">
            <v>101.08307606089288</v>
          </cell>
          <cell r="AX132" t="str">
            <v>R.Sookram</v>
          </cell>
        </row>
        <row r="133">
          <cell r="A133" t="str">
            <v>CA091</v>
          </cell>
          <cell r="P133">
            <v>63</v>
          </cell>
          <cell r="Q133">
            <v>6.2523540489642189</v>
          </cell>
          <cell r="T133">
            <v>0.27361111111111114</v>
          </cell>
          <cell r="U133">
            <v>0.40208333333333335</v>
          </cell>
          <cell r="V133">
            <v>58</v>
          </cell>
          <cell r="Z133">
            <v>0.29791666666666666</v>
          </cell>
          <cell r="AF133">
            <v>50.5</v>
          </cell>
          <cell r="AG133">
            <v>11.6</v>
          </cell>
          <cell r="AI133">
            <v>49.3</v>
          </cell>
          <cell r="AU133">
            <v>93.047268518820289</v>
          </cell>
          <cell r="AV133">
            <v>94.406007806489953</v>
          </cell>
          <cell r="AX133" t="str">
            <v>R.Sookram</v>
          </cell>
        </row>
        <row r="134">
          <cell r="A134" t="str">
            <v>CA092</v>
          </cell>
          <cell r="P134">
            <v>58</v>
          </cell>
          <cell r="Q134">
            <v>2.3018867924528279</v>
          </cell>
          <cell r="T134">
            <v>0.37986111111111109</v>
          </cell>
          <cell r="U134">
            <v>0.51111111111111107</v>
          </cell>
          <cell r="V134">
            <v>60</v>
          </cell>
          <cell r="Z134">
            <v>0.3027777777777777</v>
          </cell>
          <cell r="AF134">
            <v>52.5</v>
          </cell>
          <cell r="AG134">
            <v>11.8</v>
          </cell>
          <cell r="AI134">
            <v>51</v>
          </cell>
          <cell r="AU134">
            <v>98.00301242081278</v>
          </cell>
          <cell r="AV134">
            <v>99.434118840225878</v>
          </cell>
          <cell r="AX134" t="str">
            <v>K. Benjamin</v>
          </cell>
        </row>
        <row r="135">
          <cell r="A135" t="str">
            <v>CA093</v>
          </cell>
          <cell r="P135">
            <v>59</v>
          </cell>
          <cell r="Q135">
            <v>1.9245283018867849</v>
          </cell>
          <cell r="T135">
            <v>0.49652777777777779</v>
          </cell>
          <cell r="U135">
            <v>0.62291666666666667</v>
          </cell>
          <cell r="V135">
            <v>61</v>
          </cell>
          <cell r="Z135">
            <v>0.28263888888888888</v>
          </cell>
          <cell r="AF135">
            <v>52.7</v>
          </cell>
          <cell r="AG135">
            <v>11.8</v>
          </cell>
          <cell r="AI135">
            <v>51.2</v>
          </cell>
          <cell r="AU135">
            <v>98.750429944987545</v>
          </cell>
          <cell r="AV135">
            <v>100.19210633719513</v>
          </cell>
          <cell r="AX135" t="str">
            <v>K. Benjamin</v>
          </cell>
        </row>
        <row r="136">
          <cell r="A136" t="str">
            <v>CA094</v>
          </cell>
          <cell r="P136">
            <v>45</v>
          </cell>
          <cell r="Q136">
            <v>3.7735849056596264E-2</v>
          </cell>
          <cell r="T136">
            <v>0.61250000000000004</v>
          </cell>
          <cell r="U136">
            <v>0.74027777777777781</v>
          </cell>
          <cell r="V136">
            <v>71</v>
          </cell>
          <cell r="Z136">
            <v>0.28888888888888892</v>
          </cell>
          <cell r="AF136">
            <v>53.7</v>
          </cell>
          <cell r="AG136">
            <v>11.9</v>
          </cell>
          <cell r="AI136">
            <v>52</v>
          </cell>
          <cell r="AU136">
            <v>100.69196814542862</v>
          </cell>
          <cell r="AV136">
            <v>102.16245697799123</v>
          </cell>
          <cell r="AX136" t="str">
            <v>K. Benjamin</v>
          </cell>
        </row>
        <row r="137">
          <cell r="A137" t="str">
            <v>CA095</v>
          </cell>
          <cell r="P137">
            <v>60</v>
          </cell>
          <cell r="Q137">
            <v>3.4274952919020718</v>
          </cell>
          <cell r="T137">
            <v>0.7944444444444444</v>
          </cell>
          <cell r="U137">
            <v>0.91736111111111107</v>
          </cell>
          <cell r="V137">
            <v>61</v>
          </cell>
          <cell r="Z137">
            <v>0.28888888888888886</v>
          </cell>
          <cell r="AF137">
            <v>52.9</v>
          </cell>
          <cell r="AG137">
            <v>11.8</v>
          </cell>
          <cell r="AI137">
            <v>50.6</v>
          </cell>
          <cell r="AU137">
            <v>96.996599085521808</v>
          </cell>
          <cell r="AV137">
            <v>98.413233270979717</v>
          </cell>
          <cell r="AX137" t="str">
            <v>R. Regis</v>
          </cell>
        </row>
        <row r="138">
          <cell r="A138" t="str">
            <v>CA096</v>
          </cell>
          <cell r="P138">
            <v>60</v>
          </cell>
          <cell r="Q138">
            <v>3.6158192090395511</v>
          </cell>
          <cell r="T138">
            <v>0.90277777777777779</v>
          </cell>
          <cell r="U138">
            <v>1.01875</v>
          </cell>
          <cell r="V138">
            <v>61</v>
          </cell>
          <cell r="Z138">
            <v>0.26180555555555562</v>
          </cell>
          <cell r="AF138">
            <v>52.8</v>
          </cell>
          <cell r="AG138">
            <v>11.8</v>
          </cell>
          <cell r="AI138">
            <v>50.8</v>
          </cell>
          <cell r="AU138">
            <v>97.499189767162704</v>
          </cell>
          <cell r="AV138">
            <v>98.923051792875043</v>
          </cell>
          <cell r="AX138" t="str">
            <v>R. Regis</v>
          </cell>
        </row>
        <row r="139">
          <cell r="A139" t="str">
            <v>CA097</v>
          </cell>
          <cell r="P139">
            <v>97</v>
          </cell>
          <cell r="Q139">
            <v>3.2391713747645925</v>
          </cell>
          <cell r="T139">
            <v>1.0326388888888889</v>
          </cell>
          <cell r="U139">
            <v>1.1569444444444446</v>
          </cell>
          <cell r="V139">
            <v>58</v>
          </cell>
          <cell r="Z139">
            <v>0.28194444444444455</v>
          </cell>
          <cell r="AF139">
            <v>52.1</v>
          </cell>
          <cell r="AG139">
            <v>12</v>
          </cell>
          <cell r="AI139">
            <v>50.2</v>
          </cell>
          <cell r="AU139">
            <v>98.065329347096849</v>
          </cell>
          <cell r="AV139">
            <v>99.497459181506343</v>
          </cell>
          <cell r="AX139" t="str">
            <v>R.Sookram</v>
          </cell>
        </row>
        <row r="140">
          <cell r="A140" t="str">
            <v>CA098</v>
          </cell>
          <cell r="P140">
            <v>54</v>
          </cell>
          <cell r="Q140">
            <v>1.7325800376647864</v>
          </cell>
          <cell r="T140">
            <v>1.148611111111111</v>
          </cell>
          <cell r="U140">
            <v>1.3020833333333333</v>
          </cell>
          <cell r="V140">
            <v>63</v>
          </cell>
          <cell r="Z140">
            <v>0.32291666666666663</v>
          </cell>
          <cell r="AF140">
            <v>53.7</v>
          </cell>
          <cell r="AG140">
            <v>11.9</v>
          </cell>
          <cell r="AI140">
            <v>52</v>
          </cell>
          <cell r="AU140">
            <v>100.56885966131995</v>
          </cell>
          <cell r="AV140">
            <v>102.03766667034846</v>
          </cell>
          <cell r="AX140" t="str">
            <v>R.Sookram</v>
          </cell>
        </row>
        <row r="141">
          <cell r="A141" t="str">
            <v>CA099</v>
          </cell>
          <cell r="P141">
            <v>60</v>
          </cell>
          <cell r="Q141">
            <v>0.84000000000000341</v>
          </cell>
          <cell r="T141">
            <v>0.29722222222222222</v>
          </cell>
          <cell r="U141">
            <v>0.45833333333333331</v>
          </cell>
          <cell r="V141">
            <v>86</v>
          </cell>
          <cell r="Z141">
            <v>0.38541666666666663</v>
          </cell>
          <cell r="AF141">
            <v>50.3</v>
          </cell>
          <cell r="AG141">
            <v>11.4</v>
          </cell>
          <cell r="AI141">
            <v>47.3</v>
          </cell>
          <cell r="AU141">
            <v>99.310564104752999</v>
          </cell>
          <cell r="AV141">
            <v>100.7785582732287</v>
          </cell>
          <cell r="AX141" t="str">
            <v>R. Regis</v>
          </cell>
        </row>
        <row r="142">
          <cell r="A142" t="str">
            <v>CA100</v>
          </cell>
          <cell r="P142">
            <v>60</v>
          </cell>
          <cell r="Q142">
            <v>-0.15065913370997797</v>
          </cell>
          <cell r="T142">
            <v>0.33333333333333331</v>
          </cell>
          <cell r="U142">
            <v>0.46597222222222223</v>
          </cell>
          <cell r="V142">
            <v>64</v>
          </cell>
          <cell r="Z142">
            <v>0.28888888888888886</v>
          </cell>
          <cell r="AF142">
            <v>53.9</v>
          </cell>
          <cell r="AG142">
            <v>11.9</v>
          </cell>
          <cell r="AI142">
            <v>51.8</v>
          </cell>
          <cell r="AU142">
            <v>81.813106414231768</v>
          </cell>
          <cell r="AV142">
            <v>82.797898109667386</v>
          </cell>
          <cell r="AX142" t="str">
            <v>D. Gomaz</v>
          </cell>
        </row>
        <row r="143">
          <cell r="A143" t="str">
            <v>CA101</v>
          </cell>
          <cell r="P143">
            <v>61</v>
          </cell>
          <cell r="Q143">
            <v>-4.9377593360995755</v>
          </cell>
          <cell r="T143">
            <v>0.46111111111111114</v>
          </cell>
          <cell r="U143">
            <v>0.57708333333333328</v>
          </cell>
          <cell r="V143">
            <v>61</v>
          </cell>
          <cell r="Z143">
            <v>0.26527777777777772</v>
          </cell>
          <cell r="AF143">
            <v>51.3</v>
          </cell>
          <cell r="AG143">
            <v>12</v>
          </cell>
          <cell r="AI143">
            <v>49.7</v>
          </cell>
          <cell r="AU143">
            <v>74.681377386116381</v>
          </cell>
          <cell r="AV143">
            <v>75.525190398415546</v>
          </cell>
          <cell r="AX143" t="str">
            <v>D. Gomaz</v>
          </cell>
        </row>
        <row r="144">
          <cell r="A144" t="str">
            <v>CA102</v>
          </cell>
          <cell r="P144">
            <v>63</v>
          </cell>
          <cell r="Q144">
            <v>4.9433962264150892</v>
          </cell>
          <cell r="T144">
            <v>0.61041666666666672</v>
          </cell>
          <cell r="U144">
            <v>0.73402777777777772</v>
          </cell>
          <cell r="V144">
            <v>58</v>
          </cell>
          <cell r="Z144">
            <v>0.31736111111111104</v>
          </cell>
          <cell r="AF144">
            <v>52</v>
          </cell>
          <cell r="AG144">
            <v>12</v>
          </cell>
          <cell r="AI144">
            <v>50.5</v>
          </cell>
          <cell r="AU144">
            <v>99.596822865747242</v>
          </cell>
          <cell r="AV144">
            <v>101.08102835504837</v>
          </cell>
          <cell r="AX144" t="str">
            <v>D. Gomaz</v>
          </cell>
        </row>
        <row r="145">
          <cell r="A145" t="str">
            <v>CA103</v>
          </cell>
          <cell r="P145">
            <v>61</v>
          </cell>
          <cell r="Q145">
            <v>3.0566037735849005</v>
          </cell>
          <cell r="T145">
            <v>0.71805555555555556</v>
          </cell>
          <cell r="U145">
            <v>0.82916666666666672</v>
          </cell>
          <cell r="V145">
            <v>53</v>
          </cell>
          <cell r="Z145">
            <v>0.28541666666666676</v>
          </cell>
          <cell r="AF145">
            <v>52.1</v>
          </cell>
          <cell r="AG145">
            <v>11.8</v>
          </cell>
          <cell r="AI145">
            <v>50.7</v>
          </cell>
          <cell r="AU145">
            <v>98.361425847158671</v>
          </cell>
          <cell r="AV145">
            <v>99.827102811254065</v>
          </cell>
          <cell r="AX145" t="str">
            <v>K. Benjamin</v>
          </cell>
        </row>
        <row r="146">
          <cell r="A146" t="str">
            <v>CA104</v>
          </cell>
          <cell r="P146">
            <v>60</v>
          </cell>
          <cell r="Q146">
            <v>-1.660377358490571</v>
          </cell>
          <cell r="T146">
            <v>0.89513888888888893</v>
          </cell>
          <cell r="U146">
            <v>1.0222222222222221</v>
          </cell>
          <cell r="V146">
            <v>62</v>
          </cell>
          <cell r="Z146">
            <v>0.27222222222222214</v>
          </cell>
          <cell r="AF146">
            <v>54.6</v>
          </cell>
          <cell r="AG146">
            <v>12</v>
          </cell>
          <cell r="AI146">
            <v>52</v>
          </cell>
          <cell r="AU146">
            <v>102.80934079529675</v>
          </cell>
          <cell r="AV146">
            <v>104.34117170611479</v>
          </cell>
          <cell r="AX146" t="str">
            <v>K. Benjamin</v>
          </cell>
        </row>
        <row r="147">
          <cell r="A147" t="str">
            <v>CA105</v>
          </cell>
          <cell r="P147">
            <v>61</v>
          </cell>
          <cell r="Q147">
            <v>-1.6793893129771043</v>
          </cell>
          <cell r="T147">
            <v>1.0111111111111111</v>
          </cell>
          <cell r="U147">
            <v>1.1451388888888889</v>
          </cell>
          <cell r="V147">
            <v>69</v>
          </cell>
          <cell r="Z147">
            <v>0.2909722222222223</v>
          </cell>
          <cell r="AF147">
            <v>54</v>
          </cell>
          <cell r="AG147">
            <v>11.9</v>
          </cell>
          <cell r="AI147">
            <v>53.3</v>
          </cell>
          <cell r="AU147">
            <v>104.32736945451965</v>
          </cell>
          <cell r="AV147">
            <v>105.88194454142175</v>
          </cell>
          <cell r="AX147" t="str">
            <v>R. Regis</v>
          </cell>
        </row>
        <row r="148">
          <cell r="A148" t="str">
            <v>CA106</v>
          </cell>
          <cell r="P148">
            <v>60</v>
          </cell>
          <cell r="Q148">
            <v>-3.6862745098039267</v>
          </cell>
          <cell r="T148">
            <v>1.1444444444444444</v>
          </cell>
          <cell r="U148">
            <v>1.2729166666666667</v>
          </cell>
          <cell r="V148">
            <v>69</v>
          </cell>
          <cell r="Z148">
            <v>0.28333333333333333</v>
          </cell>
          <cell r="AF148">
            <v>53.6</v>
          </cell>
          <cell r="AG148">
            <v>11.7</v>
          </cell>
          <cell r="AI148">
            <v>53.2</v>
          </cell>
          <cell r="AU148">
            <v>102.41832780758313</v>
          </cell>
          <cell r="AV148">
            <v>103.94433273239176</v>
          </cell>
          <cell r="AX148" t="str">
            <v>R. Regis</v>
          </cell>
        </row>
        <row r="149">
          <cell r="A149" t="str">
            <v>CA107</v>
          </cell>
          <cell r="P149">
            <v>61</v>
          </cell>
          <cell r="Q149">
            <v>-9.36</v>
          </cell>
          <cell r="T149">
            <v>0.3</v>
          </cell>
          <cell r="U149">
            <v>0.45208333333333334</v>
          </cell>
          <cell r="V149">
            <v>71</v>
          </cell>
          <cell r="Z149">
            <v>0.32708333333333334</v>
          </cell>
          <cell r="AF149">
            <v>55.4</v>
          </cell>
          <cell r="AG149">
            <v>11.8</v>
          </cell>
          <cell r="AI149">
            <v>53.5</v>
          </cell>
          <cell r="AU149">
            <v>102.65008917352358</v>
          </cell>
          <cell r="AV149">
            <v>104.18077304958298</v>
          </cell>
          <cell r="AX149" t="str">
            <v>D. Gomaz</v>
          </cell>
        </row>
        <row r="150">
          <cell r="A150" t="str">
            <v>CA108</v>
          </cell>
          <cell r="P150">
            <v>82</v>
          </cell>
          <cell r="Q150">
            <v>-4.1751527494908292</v>
          </cell>
          <cell r="T150">
            <v>0.43541666666666667</v>
          </cell>
          <cell r="U150">
            <v>0.57222222222222219</v>
          </cell>
          <cell r="V150">
            <v>66</v>
          </cell>
          <cell r="Z150">
            <v>0.30138888888888887</v>
          </cell>
          <cell r="AF150">
            <v>50.2</v>
          </cell>
          <cell r="AG150">
            <v>12</v>
          </cell>
          <cell r="AI150">
            <v>50.3</v>
          </cell>
          <cell r="AU150">
            <v>98.351271471428475</v>
          </cell>
          <cell r="AV150">
            <v>99.817736662935474</v>
          </cell>
          <cell r="AX150" t="str">
            <v>D. Gomaz</v>
          </cell>
        </row>
        <row r="151">
          <cell r="A151" t="str">
            <v>CA109</v>
          </cell>
          <cell r="P151">
            <v>59</v>
          </cell>
          <cell r="Q151">
            <v>11.924528301886793</v>
          </cell>
          <cell r="T151">
            <v>0.68333333333333335</v>
          </cell>
          <cell r="U151">
            <v>0.79652777777777772</v>
          </cell>
          <cell r="V151">
            <v>57</v>
          </cell>
          <cell r="Z151">
            <v>0.30694444444444441</v>
          </cell>
          <cell r="AF151">
            <v>51.4</v>
          </cell>
          <cell r="AG151">
            <v>11.8</v>
          </cell>
          <cell r="AI151">
            <v>49.3</v>
          </cell>
          <cell r="AU151">
            <v>95.527089538140444</v>
          </cell>
          <cell r="AV151">
            <v>96.950647304240945</v>
          </cell>
          <cell r="AX151" t="str">
            <v>K. Benjamin</v>
          </cell>
        </row>
        <row r="152">
          <cell r="A152" t="str">
            <v>CA110</v>
          </cell>
          <cell r="P152">
            <v>61</v>
          </cell>
          <cell r="Q152">
            <v>-7.8750000000000027</v>
          </cell>
          <cell r="T152">
            <v>0.76458333333333328</v>
          </cell>
          <cell r="U152">
            <v>0.8666666666666667</v>
          </cell>
          <cell r="V152">
            <v>53</v>
          </cell>
          <cell r="Z152">
            <v>0.25555555555555554</v>
          </cell>
          <cell r="AF152">
            <v>52.5</v>
          </cell>
          <cell r="AG152">
            <v>11.8</v>
          </cell>
          <cell r="AI152">
            <v>51.3</v>
          </cell>
          <cell r="AU152">
            <v>98.791770353169028</v>
          </cell>
          <cell r="AV152">
            <v>100.26456939816917</v>
          </cell>
          <cell r="AX152" t="str">
            <v>K. Benjamin</v>
          </cell>
        </row>
        <row r="153">
          <cell r="A153" t="str">
            <v>CA111</v>
          </cell>
          <cell r="P153">
            <v>60</v>
          </cell>
          <cell r="Q153">
            <v>-5.3638253638253603</v>
          </cell>
          <cell r="T153">
            <v>0.47708333333333336</v>
          </cell>
          <cell r="U153">
            <v>0.64513888888888893</v>
          </cell>
          <cell r="V153">
            <v>62</v>
          </cell>
          <cell r="Z153">
            <v>0.43680555555555556</v>
          </cell>
          <cell r="AF153">
            <v>51.4</v>
          </cell>
          <cell r="AG153">
            <v>11.4</v>
          </cell>
          <cell r="AI153">
            <v>49.7</v>
          </cell>
          <cell r="AU153">
            <v>92.525215393532562</v>
          </cell>
          <cell r="AV153">
            <v>93.904371495785384</v>
          </cell>
          <cell r="AX153" t="str">
            <v>R. Regis</v>
          </cell>
        </row>
        <row r="154">
          <cell r="A154" t="str">
            <v>CA112</v>
          </cell>
          <cell r="P154">
            <v>60</v>
          </cell>
          <cell r="Q154">
            <v>7.1555555555555523</v>
          </cell>
          <cell r="T154">
            <v>0.62013888888888891</v>
          </cell>
          <cell r="U154">
            <v>0.7680555555555556</v>
          </cell>
          <cell r="V154">
            <v>58</v>
          </cell>
          <cell r="Z154">
            <v>0.30972222222222229</v>
          </cell>
          <cell r="AF154">
            <v>49.1</v>
          </cell>
          <cell r="AG154">
            <v>12.3</v>
          </cell>
          <cell r="AI154">
            <v>49.1</v>
          </cell>
          <cell r="AU154">
            <v>98.286412743082607</v>
          </cell>
          <cell r="AV154">
            <v>99.752142721651026</v>
          </cell>
          <cell r="AX154" t="str">
            <v>R. Regis</v>
          </cell>
        </row>
        <row r="155">
          <cell r="A155" t="str">
            <v>CA113</v>
          </cell>
          <cell r="P155">
            <v>57</v>
          </cell>
          <cell r="Q155">
            <v>6.411889596602979</v>
          </cell>
          <cell r="T155">
            <v>0.77430555555555558</v>
          </cell>
          <cell r="U155">
            <v>0.90833333333333333</v>
          </cell>
          <cell r="V155">
            <v>58</v>
          </cell>
          <cell r="Z155">
            <v>0.3041666666666667</v>
          </cell>
          <cell r="AF155">
            <v>49.6</v>
          </cell>
          <cell r="AG155">
            <v>12</v>
          </cell>
          <cell r="AI155">
            <v>47.7</v>
          </cell>
          <cell r="AU155">
            <v>95.699273266512037</v>
          </cell>
          <cell r="AV155">
            <v>96.606257731006437</v>
          </cell>
          <cell r="AX155" t="str">
            <v>R.Sookram</v>
          </cell>
        </row>
        <row r="156">
          <cell r="A156" t="str">
            <v>CA114</v>
          </cell>
          <cell r="P156">
            <v>58</v>
          </cell>
          <cell r="Q156">
            <v>4.50106157112526</v>
          </cell>
          <cell r="T156">
            <v>0.89513888888888893</v>
          </cell>
          <cell r="U156">
            <v>1.0340277777777778</v>
          </cell>
          <cell r="V156">
            <v>57</v>
          </cell>
          <cell r="Z156">
            <v>0.30833333333333335</v>
          </cell>
          <cell r="AF156">
            <v>51</v>
          </cell>
          <cell r="AG156">
            <v>12</v>
          </cell>
          <cell r="AI156">
            <v>49.2</v>
          </cell>
          <cell r="AU156">
            <v>96.200448437262068</v>
          </cell>
          <cell r="AV156">
            <v>97.63484381344783</v>
          </cell>
          <cell r="AX156" t="str">
            <v>R.Sookram</v>
          </cell>
        </row>
        <row r="157">
          <cell r="A157" t="str">
            <v>CA115</v>
          </cell>
          <cell r="P157">
            <v>61</v>
          </cell>
          <cell r="Q157">
            <v>2.5957446808510616</v>
          </cell>
          <cell r="T157">
            <v>1.1076388888888888</v>
          </cell>
          <cell r="U157">
            <v>1.2520833333333334</v>
          </cell>
          <cell r="V157">
            <v>55</v>
          </cell>
          <cell r="Z157">
            <v>0.3006944444444446</v>
          </cell>
          <cell r="AF157">
            <v>49.9</v>
          </cell>
          <cell r="AG157">
            <v>11.9</v>
          </cell>
          <cell r="AI157">
            <v>47.7</v>
          </cell>
          <cell r="AU157">
            <v>93.020726759402706</v>
          </cell>
          <cell r="AV157">
            <v>94.407157610444941</v>
          </cell>
          <cell r="AX157" t="str">
            <v>K. Benjamin</v>
          </cell>
        </row>
        <row r="158">
          <cell r="A158" t="str">
            <v>CA116</v>
          </cell>
          <cell r="P158">
            <v>60</v>
          </cell>
          <cell r="Q158">
            <v>2.5957446808510616</v>
          </cell>
          <cell r="T158">
            <v>0.26180555555555557</v>
          </cell>
          <cell r="U158">
            <v>0.40694444444444444</v>
          </cell>
          <cell r="V158">
            <v>57</v>
          </cell>
          <cell r="Z158">
            <v>0.32361111111111113</v>
          </cell>
          <cell r="AF158">
            <v>51.6</v>
          </cell>
          <cell r="AG158">
            <v>11.9</v>
          </cell>
          <cell r="AI158">
            <v>49.5</v>
          </cell>
          <cell r="AU158">
            <v>96.412047269582672</v>
          </cell>
          <cell r="AV158">
            <v>97.849139447720162</v>
          </cell>
          <cell r="AX158" t="str">
            <v>K. Benjamin</v>
          </cell>
        </row>
        <row r="159">
          <cell r="A159" t="str">
            <v>CA117</v>
          </cell>
          <cell r="P159">
            <v>61</v>
          </cell>
          <cell r="Q159">
            <v>3.2399999999999949</v>
          </cell>
          <cell r="T159">
            <v>0.41111111111111109</v>
          </cell>
          <cell r="U159">
            <v>0.53819444444444442</v>
          </cell>
          <cell r="V159">
            <v>60</v>
          </cell>
          <cell r="Z159">
            <v>0.32638888888888884</v>
          </cell>
          <cell r="AF159">
            <v>51.2</v>
          </cell>
          <cell r="AG159">
            <v>11.9</v>
          </cell>
          <cell r="AI159">
            <v>49.5</v>
          </cell>
          <cell r="AU159">
            <v>97.250520471561614</v>
          </cell>
          <cell r="AV159">
            <v>98.699290769982824</v>
          </cell>
          <cell r="AX159" t="str">
            <v>R. Regis</v>
          </cell>
        </row>
        <row r="160">
          <cell r="A160" t="str">
            <v>CA118</v>
          </cell>
          <cell r="P160">
            <v>61</v>
          </cell>
          <cell r="Q160">
            <v>2.9174664107485664</v>
          </cell>
          <cell r="T160">
            <v>0.54374999999999996</v>
          </cell>
          <cell r="U160">
            <v>0.66805555555555551</v>
          </cell>
          <cell r="V160">
            <v>64</v>
          </cell>
          <cell r="Z160">
            <v>0.32430555555555551</v>
          </cell>
          <cell r="AF160">
            <v>52.2</v>
          </cell>
          <cell r="AG160">
            <v>11.8</v>
          </cell>
          <cell r="AI160">
            <v>50.4</v>
          </cell>
          <cell r="AU160">
            <v>98.1438476329579</v>
          </cell>
          <cell r="AV160">
            <v>99.605926095201042</v>
          </cell>
          <cell r="AX160" t="str">
            <v>R. Regis</v>
          </cell>
        </row>
        <row r="161">
          <cell r="A161" t="str">
            <v>CA119</v>
          </cell>
          <cell r="P161">
            <v>58</v>
          </cell>
          <cell r="Q161">
            <v>5.8400000000000034</v>
          </cell>
          <cell r="T161">
            <v>0.80625000000000002</v>
          </cell>
          <cell r="U161">
            <v>0.93194444444444446</v>
          </cell>
          <cell r="V161">
            <v>59</v>
          </cell>
          <cell r="Z161">
            <v>0.33125000000000004</v>
          </cell>
          <cell r="AF161">
            <v>50.2</v>
          </cell>
          <cell r="AG161">
            <v>11.9</v>
          </cell>
          <cell r="AI161">
            <v>47.9</v>
          </cell>
          <cell r="AU161">
            <v>93.52608739149872</v>
          </cell>
          <cell r="AV161">
            <v>94.919938317630482</v>
          </cell>
          <cell r="AX161" t="str">
            <v>R.Sookram</v>
          </cell>
        </row>
        <row r="162">
          <cell r="A162" t="str">
            <v>CA120</v>
          </cell>
          <cell r="P162">
            <v>58</v>
          </cell>
          <cell r="Q162">
            <v>5.8076923076922995</v>
          </cell>
          <cell r="T162">
            <v>0.93680555555555556</v>
          </cell>
          <cell r="U162">
            <v>1.0583333333333333</v>
          </cell>
          <cell r="V162">
            <v>60</v>
          </cell>
          <cell r="Z162">
            <v>0.27708333333333335</v>
          </cell>
          <cell r="AF162">
            <v>52.2</v>
          </cell>
          <cell r="AG162">
            <v>12.2</v>
          </cell>
          <cell r="AI162">
            <v>50.3</v>
          </cell>
          <cell r="AU162">
            <v>101.12603213986264</v>
          </cell>
          <cell r="AV162">
            <v>102.06604796192566</v>
          </cell>
          <cell r="AX162" t="str">
            <v>R.Sookram</v>
          </cell>
        </row>
        <row r="163">
          <cell r="A163" t="str">
            <v>CA121</v>
          </cell>
          <cell r="P163">
            <v>59</v>
          </cell>
          <cell r="Q163">
            <v>8.5283018867924465</v>
          </cell>
          <cell r="T163">
            <v>1.0527777777777778</v>
          </cell>
          <cell r="U163">
            <v>1.1909722222222223</v>
          </cell>
          <cell r="V163">
            <v>51</v>
          </cell>
          <cell r="Z163">
            <v>0.30208333333333348</v>
          </cell>
          <cell r="AF163">
            <v>51.6</v>
          </cell>
          <cell r="AG163">
            <v>12.2</v>
          </cell>
          <cell r="AI163">
            <v>49.6</v>
          </cell>
          <cell r="AU163">
            <v>100.33640509948549</v>
          </cell>
          <cell r="AV163">
            <v>101.26870506253934</v>
          </cell>
          <cell r="AX163" t="str">
            <v>K. Benjamin</v>
          </cell>
        </row>
        <row r="164">
          <cell r="A164" t="str">
            <v>CA122</v>
          </cell>
          <cell r="P164">
            <v>63</v>
          </cell>
          <cell r="Q164">
            <v>5.6981132075471628</v>
          </cell>
          <cell r="T164">
            <v>1.1756944444444444</v>
          </cell>
          <cell r="U164">
            <v>1.2930555555555556</v>
          </cell>
          <cell r="V164">
            <v>56</v>
          </cell>
          <cell r="Z164">
            <v>0.27916666666666679</v>
          </cell>
          <cell r="AF164">
            <v>52</v>
          </cell>
          <cell r="AG164">
            <v>12.1</v>
          </cell>
          <cell r="AI164">
            <v>50.1</v>
          </cell>
          <cell r="AU164">
            <v>100.85036161508521</v>
          </cell>
          <cell r="AV164">
            <v>101.78720818617467</v>
          </cell>
          <cell r="AX164" t="str">
            <v>K. Benjamin</v>
          </cell>
        </row>
        <row r="165">
          <cell r="A165" t="str">
            <v>CA123</v>
          </cell>
          <cell r="P165">
            <v>60</v>
          </cell>
          <cell r="Q165">
            <v>7.9472693032015043</v>
          </cell>
          <cell r="T165">
            <v>0.37291666666666667</v>
          </cell>
          <cell r="U165">
            <v>0.49722222222222223</v>
          </cell>
          <cell r="V165">
            <v>49</v>
          </cell>
          <cell r="Z165">
            <v>0.28888888888888886</v>
          </cell>
          <cell r="AF165">
            <v>51.3</v>
          </cell>
          <cell r="AG165">
            <v>11.7</v>
          </cell>
          <cell r="AI165">
            <v>49.7</v>
          </cell>
          <cell r="AU165">
            <v>95.502024957607773</v>
          </cell>
          <cell r="AV165">
            <v>96.389833916385442</v>
          </cell>
          <cell r="AX165" t="str">
            <v>R. Regis</v>
          </cell>
        </row>
        <row r="166">
          <cell r="A166" t="str">
            <v>CA124</v>
          </cell>
          <cell r="P166">
            <v>61</v>
          </cell>
          <cell r="Q166">
            <v>7.140115163147791</v>
          </cell>
          <cell r="T166">
            <v>0.51388888888888884</v>
          </cell>
          <cell r="U166">
            <v>0.63402777777777775</v>
          </cell>
          <cell r="V166">
            <v>60</v>
          </cell>
          <cell r="Z166">
            <v>0.27986111111111106</v>
          </cell>
          <cell r="AF166">
            <v>50.8</v>
          </cell>
          <cell r="AG166">
            <v>12.1</v>
          </cell>
          <cell r="AI166">
            <v>47.1</v>
          </cell>
          <cell r="AU166">
            <v>94.342162395109455</v>
          </cell>
          <cell r="AV166">
            <v>95.218836439499427</v>
          </cell>
          <cell r="AX166" t="str">
            <v>R. Regis</v>
          </cell>
        </row>
        <row r="167">
          <cell r="A167" t="str">
            <v>CA125</v>
          </cell>
          <cell r="P167">
            <v>58</v>
          </cell>
          <cell r="Q167">
            <v>11.713747645951035</v>
          </cell>
          <cell r="T167">
            <v>0.63611111111111107</v>
          </cell>
          <cell r="U167">
            <v>0.76180555555555551</v>
          </cell>
          <cell r="V167">
            <v>61</v>
          </cell>
          <cell r="Z167">
            <v>0.28263888888888883</v>
          </cell>
          <cell r="AF167">
            <v>51.2</v>
          </cell>
          <cell r="AG167">
            <v>12.1</v>
          </cell>
          <cell r="AI167">
            <v>49.4</v>
          </cell>
          <cell r="AU167">
            <v>99.071689760585087</v>
          </cell>
          <cell r="AV167">
            <v>99.992238315338426</v>
          </cell>
          <cell r="AX167" t="str">
            <v>R. Regis</v>
          </cell>
        </row>
        <row r="168">
          <cell r="A168" t="str">
            <v>CA126</v>
          </cell>
          <cell r="P168">
            <v>60</v>
          </cell>
          <cell r="Q168">
            <v>12.090395480225991</v>
          </cell>
          <cell r="T168">
            <v>0.7631944444444444</v>
          </cell>
          <cell r="U168">
            <v>0.90208333333333335</v>
          </cell>
          <cell r="V168">
            <v>69</v>
          </cell>
          <cell r="Z168">
            <v>0.29097222222222219</v>
          </cell>
          <cell r="AF168">
            <v>51.8</v>
          </cell>
          <cell r="AG168">
            <v>11.9</v>
          </cell>
          <cell r="AI168">
            <v>50.3</v>
          </cell>
          <cell r="AU168">
            <v>98.514796568176052</v>
          </cell>
          <cell r="AV168">
            <v>99.430539681218661</v>
          </cell>
          <cell r="AX168" t="str">
            <v>R.Sookram</v>
          </cell>
        </row>
        <row r="169">
          <cell r="A169" t="str">
            <v>CA127</v>
          </cell>
          <cell r="P169">
            <v>61</v>
          </cell>
          <cell r="Q169">
            <v>7.1939736346516012</v>
          </cell>
          <cell r="T169">
            <v>0.95277777777777772</v>
          </cell>
          <cell r="U169">
            <v>1.0673611111111112</v>
          </cell>
          <cell r="V169">
            <v>57</v>
          </cell>
          <cell r="Z169">
            <v>0.26875000000000004</v>
          </cell>
          <cell r="AF169">
            <v>51.2</v>
          </cell>
          <cell r="AG169">
            <v>11.8</v>
          </cell>
          <cell r="AI169">
            <v>49.1</v>
          </cell>
          <cell r="AU169">
            <v>96.024272843684003</v>
          </cell>
          <cell r="AV169">
            <v>96.916433105187309</v>
          </cell>
          <cell r="AX169" t="str">
            <v>R.Sookram</v>
          </cell>
        </row>
        <row r="170">
          <cell r="A170" t="str">
            <v>CA128</v>
          </cell>
          <cell r="P170">
            <v>59</v>
          </cell>
          <cell r="Q170">
            <v>5.5094339622641542</v>
          </cell>
          <cell r="T170">
            <v>1.0590277777777777</v>
          </cell>
          <cell r="U170">
            <v>1.1875</v>
          </cell>
          <cell r="V170">
            <v>59</v>
          </cell>
          <cell r="Z170">
            <v>0.29027777777777775</v>
          </cell>
          <cell r="AF170">
            <v>52.1</v>
          </cell>
          <cell r="AG170">
            <v>11.8</v>
          </cell>
          <cell r="AI170">
            <v>50.2</v>
          </cell>
          <cell r="AU170">
            <v>98.175529465436611</v>
          </cell>
          <cell r="AV170">
            <v>99.087677024040815</v>
          </cell>
          <cell r="AX170" t="str">
            <v>K. Benjamin</v>
          </cell>
        </row>
        <row r="171">
          <cell r="A171" t="str">
            <v>CA129</v>
          </cell>
          <cell r="P171">
            <v>60</v>
          </cell>
          <cell r="Q171">
            <v>5.6981132075471628</v>
          </cell>
          <cell r="T171">
            <v>1.1736111111111112</v>
          </cell>
          <cell r="U171">
            <v>1.3062499999999999</v>
          </cell>
          <cell r="V171">
            <v>60</v>
          </cell>
          <cell r="Z171">
            <v>0.29583333333333317</v>
          </cell>
          <cell r="AF171">
            <v>52</v>
          </cell>
          <cell r="AG171">
            <v>12</v>
          </cell>
          <cell r="AI171">
            <v>51.8</v>
          </cell>
          <cell r="AU171">
            <v>102.72843364793638</v>
          </cell>
          <cell r="AV171">
            <v>103.68311423349516</v>
          </cell>
          <cell r="AX171" t="str">
            <v>K. Benjamin</v>
          </cell>
        </row>
        <row r="172">
          <cell r="A172" t="str">
            <v>CA130</v>
          </cell>
          <cell r="P172">
            <v>58</v>
          </cell>
          <cell r="Q172">
            <v>6.8301886792452775</v>
          </cell>
          <cell r="T172">
            <v>0.28611111111111109</v>
          </cell>
          <cell r="U172">
            <v>0.40138888888888891</v>
          </cell>
          <cell r="V172">
            <v>61</v>
          </cell>
          <cell r="Z172">
            <v>0.26944444444444449</v>
          </cell>
          <cell r="AF172">
            <v>50.9</v>
          </cell>
          <cell r="AG172">
            <v>12</v>
          </cell>
          <cell r="AI172">
            <v>49.1</v>
          </cell>
          <cell r="AU172">
            <v>97.857596270649012</v>
          </cell>
          <cell r="AV172">
            <v>98.766715866594183</v>
          </cell>
          <cell r="AX172" t="str">
            <v>K. Benjamin</v>
          </cell>
        </row>
        <row r="173">
          <cell r="A173" t="str">
            <v>CA131</v>
          </cell>
          <cell r="P173">
            <v>60</v>
          </cell>
          <cell r="Q173">
            <v>13.785310734463277</v>
          </cell>
          <cell r="T173">
            <v>0.88888888888888884</v>
          </cell>
          <cell r="U173">
            <v>1.0020833333333334</v>
          </cell>
          <cell r="V173">
            <v>65</v>
          </cell>
          <cell r="Z173">
            <v>0.26597222222222228</v>
          </cell>
          <cell r="AF173">
            <v>48.8</v>
          </cell>
          <cell r="AG173">
            <v>11.8</v>
          </cell>
          <cell r="AI173">
            <v>49.5</v>
          </cell>
          <cell r="AU173">
            <v>96.511183978216323</v>
          </cell>
          <cell r="AV173">
            <v>97.948822759155831</v>
          </cell>
          <cell r="AX173" t="str">
            <v>R. Regis</v>
          </cell>
        </row>
        <row r="174">
          <cell r="A174" t="str">
            <v>CA132</v>
          </cell>
          <cell r="P174">
            <v>60</v>
          </cell>
          <cell r="Q174">
            <v>14.915254237288138</v>
          </cell>
          <cell r="T174">
            <v>1.0090277777777779</v>
          </cell>
          <cell r="U174">
            <v>1.1305555555555555</v>
          </cell>
          <cell r="V174">
            <v>81</v>
          </cell>
          <cell r="Z174">
            <v>0.2729166666666667</v>
          </cell>
          <cell r="AF174">
            <v>50.1</v>
          </cell>
          <cell r="AG174">
            <v>11.6</v>
          </cell>
          <cell r="AI174">
            <v>50.9</v>
          </cell>
          <cell r="AU174">
            <v>96.273917789076862</v>
          </cell>
          <cell r="AV174">
            <v>97.709180399224294</v>
          </cell>
          <cell r="AX174" t="str">
            <v>R.Sookram</v>
          </cell>
        </row>
        <row r="175">
          <cell r="A175" t="str">
            <v>CA133</v>
          </cell>
          <cell r="P175">
            <v>57</v>
          </cell>
          <cell r="Q175">
            <v>16.986817325800381</v>
          </cell>
          <cell r="T175">
            <v>1.1277777777777778</v>
          </cell>
          <cell r="U175">
            <v>1.2534722222222223</v>
          </cell>
          <cell r="V175">
            <v>71</v>
          </cell>
          <cell r="Z175">
            <v>0.29513888888888895</v>
          </cell>
          <cell r="AF175">
            <v>49.6</v>
          </cell>
          <cell r="AG175">
            <v>11.8</v>
          </cell>
          <cell r="AI175">
            <v>50</v>
          </cell>
          <cell r="AU175">
            <v>96.763833489372473</v>
          </cell>
          <cell r="AV175">
            <v>98.205937641133232</v>
          </cell>
          <cell r="AX175" t="str">
            <v>R.Sookram</v>
          </cell>
        </row>
        <row r="176">
          <cell r="A176" t="str">
            <v>CA134</v>
          </cell>
          <cell r="P176">
            <v>57</v>
          </cell>
          <cell r="Q176">
            <v>12.090395480225991</v>
          </cell>
          <cell r="T176">
            <v>0.22291666666666668</v>
          </cell>
          <cell r="U176">
            <v>0.34861111111111109</v>
          </cell>
          <cell r="V176">
            <v>69</v>
          </cell>
          <cell r="Z176">
            <v>0.2895833333333333</v>
          </cell>
          <cell r="AF176">
            <v>50.6</v>
          </cell>
          <cell r="AG176">
            <v>11.7</v>
          </cell>
          <cell r="AI176">
            <v>51.1</v>
          </cell>
          <cell r="AU176">
            <v>98.253731658657813</v>
          </cell>
          <cell r="AV176">
            <v>99.717803878923064</v>
          </cell>
          <cell r="AX176" t="str">
            <v>R.Sookram</v>
          </cell>
        </row>
        <row r="177">
          <cell r="A177" t="str">
            <v>CA135</v>
          </cell>
          <cell r="P177">
            <v>63</v>
          </cell>
          <cell r="Q177">
            <v>12.490566037735844</v>
          </cell>
          <cell r="T177">
            <v>0.32569444444444445</v>
          </cell>
          <cell r="U177">
            <v>0.4465277777777778</v>
          </cell>
          <cell r="V177">
            <v>70</v>
          </cell>
          <cell r="Z177">
            <v>0.27500000000000002</v>
          </cell>
          <cell r="AF177">
            <v>49.1</v>
          </cell>
          <cell r="AG177">
            <v>11.9</v>
          </cell>
          <cell r="AI177">
            <v>49.1</v>
          </cell>
          <cell r="AU177">
            <v>96.225557296455349</v>
          </cell>
          <cell r="AV177">
            <v>97.65929164332654</v>
          </cell>
          <cell r="AX177" t="str">
            <v>K. Benjamin</v>
          </cell>
        </row>
        <row r="178">
          <cell r="A178" t="str">
            <v>CA136</v>
          </cell>
          <cell r="P178">
            <v>63</v>
          </cell>
          <cell r="Q178">
            <v>13.811320754716983</v>
          </cell>
          <cell r="T178">
            <v>0.43888888888888888</v>
          </cell>
          <cell r="U178">
            <v>0.56527777777777777</v>
          </cell>
          <cell r="V178">
            <v>69</v>
          </cell>
          <cell r="Z178">
            <v>0.28055555555555556</v>
          </cell>
          <cell r="AF178">
            <v>49.1</v>
          </cell>
          <cell r="AG178">
            <v>11.8</v>
          </cell>
          <cell r="AI178">
            <v>49.3</v>
          </cell>
          <cell r="AU178">
            <v>95.76386603519768</v>
          </cell>
          <cell r="AV178">
            <v>97.190721309216372</v>
          </cell>
          <cell r="AX178" t="str">
            <v>K. Benjamin</v>
          </cell>
        </row>
        <row r="179">
          <cell r="A179" t="str">
            <v>CA137</v>
          </cell>
          <cell r="P179">
            <v>59</v>
          </cell>
          <cell r="Q179">
            <v>10.981132075471699</v>
          </cell>
          <cell r="T179">
            <v>0.54236111111111107</v>
          </cell>
          <cell r="U179">
            <v>0.66805555555555551</v>
          </cell>
          <cell r="V179">
            <v>94</v>
          </cell>
          <cell r="Z179">
            <v>0.27569444444444441</v>
          </cell>
          <cell r="AF179">
            <v>49.1</v>
          </cell>
          <cell r="AG179">
            <v>12</v>
          </cell>
          <cell r="AI179">
            <v>48.7</v>
          </cell>
          <cell r="AU179">
            <v>97.861559996128506</v>
          </cell>
          <cell r="AV179">
            <v>99.318107198139543</v>
          </cell>
          <cell r="AX179" t="str">
            <v>K. Benjamin</v>
          </cell>
        </row>
        <row r="180">
          <cell r="A180" t="str">
            <v>CA138</v>
          </cell>
          <cell r="P180">
            <v>61</v>
          </cell>
          <cell r="Q180">
            <v>11.337099811676088</v>
          </cell>
          <cell r="T180">
            <v>0.64375000000000004</v>
          </cell>
          <cell r="U180">
            <v>0.78888888888888886</v>
          </cell>
          <cell r="V180">
            <v>102</v>
          </cell>
          <cell r="Z180">
            <v>0.29583333333333328</v>
          </cell>
          <cell r="AF180">
            <v>50.2</v>
          </cell>
          <cell r="AG180">
            <v>11.9</v>
          </cell>
          <cell r="AI180">
            <v>50.1</v>
          </cell>
          <cell r="AU180">
            <v>98.551754908063671</v>
          </cell>
          <cell r="AV180">
            <v>100.01979020661993</v>
          </cell>
          <cell r="AX180" t="str">
            <v>R. Regis</v>
          </cell>
        </row>
        <row r="181">
          <cell r="A181" t="str">
            <v>CA139</v>
          </cell>
          <cell r="P181">
            <v>60</v>
          </cell>
          <cell r="Q181">
            <v>13.220338983050853</v>
          </cell>
          <cell r="T181">
            <v>0.81597222222222221</v>
          </cell>
          <cell r="U181">
            <v>0.9375</v>
          </cell>
          <cell r="V181">
            <v>72</v>
          </cell>
          <cell r="Z181">
            <v>0.27083333333333337</v>
          </cell>
          <cell r="AF181">
            <v>47.6</v>
          </cell>
          <cell r="AG181">
            <v>11.8</v>
          </cell>
          <cell r="AI181">
            <v>46.2</v>
          </cell>
          <cell r="AU181">
            <v>90.189295198187452</v>
          </cell>
          <cell r="AV181">
            <v>91.532652605830151</v>
          </cell>
          <cell r="AX181" t="str">
            <v>R. Regis</v>
          </cell>
        </row>
        <row r="182">
          <cell r="A182" t="str">
            <v>CA140</v>
          </cell>
          <cell r="P182">
            <v>60</v>
          </cell>
          <cell r="Q182">
            <v>13.40866290018832</v>
          </cell>
          <cell r="T182">
            <v>0.94305555555555554</v>
          </cell>
          <cell r="U182">
            <v>1.1006944444444444</v>
          </cell>
          <cell r="V182">
            <v>128</v>
          </cell>
          <cell r="Z182">
            <v>0.31944444444444442</v>
          </cell>
          <cell r="AF182">
            <v>49</v>
          </cell>
          <cell r="AG182">
            <v>11.8</v>
          </cell>
          <cell r="AI182">
            <v>51.2</v>
          </cell>
          <cell r="AU182">
            <v>99.950041431757512</v>
          </cell>
          <cell r="AV182">
            <v>101.43878384022733</v>
          </cell>
          <cell r="AX182" t="str">
            <v>R. Regis</v>
          </cell>
        </row>
        <row r="183">
          <cell r="A183" t="str">
            <v>CA141</v>
          </cell>
          <cell r="P183">
            <v>57</v>
          </cell>
          <cell r="Q183">
            <v>14.915254237288138</v>
          </cell>
          <cell r="T183">
            <v>1.0534722222222221</v>
          </cell>
          <cell r="U183">
            <v>1.2416666666666667</v>
          </cell>
          <cell r="V183">
            <v>146</v>
          </cell>
          <cell r="Z183">
            <v>0.35277777777777786</v>
          </cell>
          <cell r="AF183">
            <v>47.7</v>
          </cell>
          <cell r="AG183">
            <v>12</v>
          </cell>
          <cell r="AI183">
            <v>49.4</v>
          </cell>
          <cell r="AU183">
            <v>97.547980983941912</v>
          </cell>
          <cell r="AV183">
            <v>99.001536861063343</v>
          </cell>
          <cell r="AX183" t="str">
            <v>R.Sookram</v>
          </cell>
        </row>
        <row r="184">
          <cell r="A184" t="str">
            <v>CA142</v>
          </cell>
          <cell r="P184">
            <v>57</v>
          </cell>
          <cell r="Q184">
            <v>11.547169811320749</v>
          </cell>
          <cell r="T184">
            <v>0.35694444444444445</v>
          </cell>
          <cell r="U184">
            <v>0.4597222222222222</v>
          </cell>
          <cell r="V184">
            <v>52</v>
          </cell>
          <cell r="Z184">
            <v>0.25138888888888888</v>
          </cell>
          <cell r="AF184">
            <v>49.6</v>
          </cell>
          <cell r="AG184">
            <v>11.8</v>
          </cell>
          <cell r="AI184">
            <v>49.7</v>
          </cell>
          <cell r="AU184">
            <v>97.02181756168649</v>
          </cell>
          <cell r="AV184">
            <v>98.466944469908185</v>
          </cell>
          <cell r="AX184" t="str">
            <v>K. Benjamin</v>
          </cell>
        </row>
        <row r="185">
          <cell r="A185" t="str">
            <v>CA143</v>
          </cell>
          <cell r="P185">
            <v>60</v>
          </cell>
          <cell r="Q185">
            <v>11.547169811320749</v>
          </cell>
          <cell r="T185">
            <v>0.45208333333333334</v>
          </cell>
          <cell r="U185">
            <v>0.55902777777777779</v>
          </cell>
          <cell r="V185">
            <v>51</v>
          </cell>
          <cell r="Z185">
            <v>0.25694444444444448</v>
          </cell>
          <cell r="AF185">
            <v>49.2</v>
          </cell>
          <cell r="AG185">
            <v>12</v>
          </cell>
          <cell r="AI185">
            <v>49.2</v>
          </cell>
          <cell r="AU185">
            <v>97.515157399606437</v>
          </cell>
          <cell r="AV185">
            <v>98.967870074061807</v>
          </cell>
          <cell r="AX185" t="str">
            <v>K. Benjamin</v>
          </cell>
        </row>
        <row r="186">
          <cell r="A186" t="str">
            <v>CA144</v>
          </cell>
          <cell r="P186">
            <v>60</v>
          </cell>
          <cell r="Q186">
            <v>11.16981132075472</v>
          </cell>
          <cell r="T186">
            <v>0.55000000000000004</v>
          </cell>
          <cell r="U186">
            <v>0.65625</v>
          </cell>
          <cell r="V186">
            <v>56</v>
          </cell>
          <cell r="Z186">
            <v>0.25694444444444442</v>
          </cell>
          <cell r="AF186">
            <v>49</v>
          </cell>
          <cell r="AG186">
            <v>11.9</v>
          </cell>
          <cell r="AI186">
            <v>48.5</v>
          </cell>
          <cell r="AU186">
            <v>95.404393473874009</v>
          </cell>
          <cell r="AV186">
            <v>96.825545409602114</v>
          </cell>
          <cell r="AX186" t="str">
            <v>K. Benjamin</v>
          </cell>
        </row>
        <row r="187">
          <cell r="A187" t="str">
            <v>CA145</v>
          </cell>
          <cell r="P187">
            <v>60</v>
          </cell>
          <cell r="Q187">
            <v>11.902071563088512</v>
          </cell>
          <cell r="T187">
            <v>0.65138888888888891</v>
          </cell>
          <cell r="U187">
            <v>0.7583333333333333</v>
          </cell>
          <cell r="V187">
            <v>60</v>
          </cell>
          <cell r="Z187">
            <v>0.26180555555555551</v>
          </cell>
          <cell r="AF187">
            <v>49.5</v>
          </cell>
          <cell r="AG187">
            <v>12.1</v>
          </cell>
          <cell r="AI187">
            <v>49.4</v>
          </cell>
          <cell r="AU187">
            <v>99.138574114682569</v>
          </cell>
          <cell r="AV187">
            <v>100.61510863032765</v>
          </cell>
          <cell r="AX187" t="str">
            <v>R. Regis</v>
          </cell>
        </row>
        <row r="188">
          <cell r="A188" t="str">
            <v>CA146</v>
          </cell>
          <cell r="P188">
            <v>59</v>
          </cell>
          <cell r="Q188">
            <v>10.018832391713747</v>
          </cell>
          <cell r="T188">
            <v>0.93541666666666667</v>
          </cell>
          <cell r="U188">
            <v>1.0451388888888888</v>
          </cell>
          <cell r="V188">
            <v>62</v>
          </cell>
          <cell r="Z188">
            <v>0.44791666666666663</v>
          </cell>
          <cell r="AF188">
            <v>50.1</v>
          </cell>
          <cell r="AG188">
            <v>11.9</v>
          </cell>
          <cell r="AI188">
            <v>49.5</v>
          </cell>
          <cell r="AU188">
            <v>97.371494370242544</v>
          </cell>
          <cell r="AV188">
            <v>98.821948407738233</v>
          </cell>
          <cell r="AX188" t="str">
            <v>R. Regis</v>
          </cell>
        </row>
        <row r="189">
          <cell r="A189" t="str">
            <v>CA147</v>
          </cell>
          <cell r="P189">
            <v>58</v>
          </cell>
          <cell r="Q189">
            <v>13.785310734463277</v>
          </cell>
          <cell r="T189">
            <v>0.28055555555555556</v>
          </cell>
          <cell r="U189">
            <v>0.39652777777777776</v>
          </cell>
          <cell r="V189">
            <v>52</v>
          </cell>
          <cell r="Z189">
            <v>0.26458333333333328</v>
          </cell>
          <cell r="AF189">
            <v>48.8</v>
          </cell>
          <cell r="AG189">
            <v>11.7</v>
          </cell>
          <cell r="AI189">
            <v>49.4</v>
          </cell>
          <cell r="AU189">
            <v>95.457639498137169</v>
          </cell>
          <cell r="AV189">
            <v>96.879584591158093</v>
          </cell>
          <cell r="AX189" t="str">
            <v>R.Sookram</v>
          </cell>
        </row>
        <row r="190">
          <cell r="A190" t="str">
            <v>CA148</v>
          </cell>
          <cell r="P190">
            <v>60</v>
          </cell>
          <cell r="Q190">
            <v>11.16981132075472</v>
          </cell>
          <cell r="T190">
            <v>0.37430555555555556</v>
          </cell>
          <cell r="U190">
            <v>0.48888888888888887</v>
          </cell>
          <cell r="V190">
            <v>56</v>
          </cell>
          <cell r="Z190">
            <v>0.26666666666666666</v>
          </cell>
          <cell r="AF190">
            <v>49.9</v>
          </cell>
          <cell r="AG190">
            <v>11.7</v>
          </cell>
          <cell r="AI190">
            <v>50.6</v>
          </cell>
          <cell r="AU190">
            <v>97.412920809468176</v>
          </cell>
          <cell r="AV190">
            <v>98.864346546222237</v>
          </cell>
          <cell r="AX190" t="str">
            <v>K. Benjamin</v>
          </cell>
        </row>
        <row r="191">
          <cell r="A191" t="str">
            <v>CA149</v>
          </cell>
          <cell r="P191">
            <v>61</v>
          </cell>
          <cell r="Q191">
            <v>13.056603773584911</v>
          </cell>
          <cell r="T191">
            <v>0.47638888888888886</v>
          </cell>
          <cell r="U191">
            <v>0.5854166666666667</v>
          </cell>
          <cell r="V191">
            <v>53</v>
          </cell>
          <cell r="Z191">
            <v>0.26250000000000001</v>
          </cell>
          <cell r="AF191">
            <v>50.3</v>
          </cell>
          <cell r="AG191">
            <v>12</v>
          </cell>
          <cell r="AI191">
            <v>50.7</v>
          </cell>
          <cell r="AU191">
            <v>100.36348935151436</v>
          </cell>
          <cell r="AV191">
            <v>101.85875626746336</v>
          </cell>
          <cell r="AX191" t="str">
            <v>K. Benjamin</v>
          </cell>
        </row>
        <row r="192">
          <cell r="A192" t="str">
            <v>CA150</v>
          </cell>
          <cell r="P192">
            <v>61</v>
          </cell>
          <cell r="Q192">
            <v>12.301886792452823</v>
          </cell>
          <cell r="T192">
            <v>0.58125000000000004</v>
          </cell>
          <cell r="U192">
            <v>0.68541666666666667</v>
          </cell>
          <cell r="V192">
            <v>60</v>
          </cell>
          <cell r="Z192">
            <v>0.26180555555555557</v>
          </cell>
          <cell r="AF192">
            <v>49.2</v>
          </cell>
          <cell r="AG192">
            <v>12</v>
          </cell>
          <cell r="AI192">
            <v>49.3</v>
          </cell>
          <cell r="AU192">
            <v>97.834908581411128</v>
          </cell>
          <cell r="AV192">
            <v>99.292265676295131</v>
          </cell>
          <cell r="AX192" t="str">
            <v>K. Benjamin</v>
          </cell>
        </row>
        <row r="193">
          <cell r="A193" t="str">
            <v>CA151</v>
          </cell>
          <cell r="P193">
            <v>60</v>
          </cell>
          <cell r="Q193">
            <v>12.090395480225991</v>
          </cell>
          <cell r="T193">
            <v>0.68125000000000002</v>
          </cell>
          <cell r="U193">
            <v>0.79861111111111116</v>
          </cell>
          <cell r="V193">
            <v>60</v>
          </cell>
          <cell r="Z193">
            <v>0.27083333333333337</v>
          </cell>
          <cell r="AF193">
            <v>49.8</v>
          </cell>
          <cell r="AG193">
            <v>12</v>
          </cell>
          <cell r="AI193">
            <v>49.9</v>
          </cell>
          <cell r="AU193">
            <v>98.657425109332848</v>
          </cell>
          <cell r="AV193">
            <v>100.12739361798322</v>
          </cell>
          <cell r="AX193" t="str">
            <v>R. Regis</v>
          </cell>
        </row>
        <row r="194">
          <cell r="A194" t="str">
            <v>CA152</v>
          </cell>
          <cell r="P194">
            <v>61</v>
          </cell>
          <cell r="Q194">
            <v>11.337099811676088</v>
          </cell>
          <cell r="T194">
            <v>0.80069444444444449</v>
          </cell>
          <cell r="U194">
            <v>0.91319444444444442</v>
          </cell>
          <cell r="V194">
            <v>60</v>
          </cell>
          <cell r="Z194">
            <v>0.27083333333333326</v>
          </cell>
          <cell r="AF194">
            <v>49.8</v>
          </cell>
          <cell r="AG194">
            <v>12</v>
          </cell>
          <cell r="AI194">
            <v>49.7</v>
          </cell>
          <cell r="AU194">
            <v>98.140377629593388</v>
          </cell>
          <cell r="AV194">
            <v>99.60276076912649</v>
          </cell>
          <cell r="AX194" t="str">
            <v>R. Regis</v>
          </cell>
        </row>
        <row r="195">
          <cell r="A195" t="str">
            <v>CA153</v>
          </cell>
          <cell r="Q195">
            <v>11.525423728813553</v>
          </cell>
          <cell r="T195">
            <v>0.90763888888888888</v>
          </cell>
          <cell r="U195">
            <v>1.0097222222222222</v>
          </cell>
          <cell r="V195">
            <v>56</v>
          </cell>
          <cell r="Z195">
            <v>0.25624999999999998</v>
          </cell>
          <cell r="AF195">
            <v>47.7</v>
          </cell>
          <cell r="AG195">
            <v>12</v>
          </cell>
          <cell r="AI195">
            <v>47.4</v>
          </cell>
          <cell r="AU195">
            <v>93.367532714581799</v>
          </cell>
          <cell r="AV195">
            <v>94.759020646714475</v>
          </cell>
          <cell r="AX195" t="str">
            <v>R.Sookram</v>
          </cell>
        </row>
        <row r="196">
          <cell r="A196" t="str">
            <v>CA154</v>
          </cell>
          <cell r="P196">
            <v>58</v>
          </cell>
          <cell r="Q196">
            <v>11.148775894538609</v>
          </cell>
          <cell r="T196">
            <v>1.0104166666666667</v>
          </cell>
          <cell r="U196">
            <v>1.1208333333333333</v>
          </cell>
          <cell r="V196">
            <v>61</v>
          </cell>
          <cell r="Z196">
            <v>0.26319444444444451</v>
          </cell>
          <cell r="AF196">
            <v>50.3</v>
          </cell>
          <cell r="AG196">
            <v>11.8</v>
          </cell>
          <cell r="AI196">
            <v>50.4</v>
          </cell>
          <cell r="AU196">
            <v>97.177979816275325</v>
          </cell>
          <cell r="AV196">
            <v>98.626604675676447</v>
          </cell>
          <cell r="AX196" t="str">
            <v>R.Sookram</v>
          </cell>
        </row>
      </sheetData>
      <sheetData sheetId="6" refreshError="1"/>
      <sheetData sheetId="7">
        <row r="81">
          <cell r="D81">
            <v>11.9</v>
          </cell>
        </row>
        <row r="82">
          <cell r="D82">
            <v>11.9</v>
          </cell>
        </row>
        <row r="83">
          <cell r="D83">
            <v>11.9</v>
          </cell>
        </row>
        <row r="84">
          <cell r="D84">
            <v>11.8</v>
          </cell>
        </row>
        <row r="85">
          <cell r="D85">
            <v>11.7</v>
          </cell>
        </row>
        <row r="86">
          <cell r="D86">
            <v>11.7</v>
          </cell>
        </row>
        <row r="87">
          <cell r="D87">
            <v>11.8</v>
          </cell>
        </row>
        <row r="88">
          <cell r="D88">
            <v>11.8</v>
          </cell>
        </row>
        <row r="89">
          <cell r="D89">
            <v>11.7</v>
          </cell>
        </row>
        <row r="90">
          <cell r="D90">
            <v>12.1</v>
          </cell>
        </row>
        <row r="91">
          <cell r="D91">
            <v>11.8</v>
          </cell>
        </row>
        <row r="92">
          <cell r="D92">
            <v>11.9</v>
          </cell>
        </row>
        <row r="93">
          <cell r="D93">
            <v>11.9</v>
          </cell>
        </row>
        <row r="94">
          <cell r="D94">
            <v>11.8</v>
          </cell>
        </row>
        <row r="95">
          <cell r="D95">
            <v>11.7</v>
          </cell>
        </row>
        <row r="96">
          <cell r="D96">
            <v>11.7</v>
          </cell>
        </row>
        <row r="97">
          <cell r="D97">
            <v>11.7</v>
          </cell>
        </row>
        <row r="98">
          <cell r="D98">
            <v>11.6</v>
          </cell>
        </row>
        <row r="99">
          <cell r="D99">
            <v>11.8</v>
          </cell>
        </row>
        <row r="100">
          <cell r="D100">
            <v>11.8</v>
          </cell>
        </row>
        <row r="101">
          <cell r="D101">
            <v>12</v>
          </cell>
        </row>
        <row r="102">
          <cell r="D102">
            <v>11.8</v>
          </cell>
        </row>
        <row r="103">
          <cell r="D103">
            <v>11.8</v>
          </cell>
        </row>
        <row r="104">
          <cell r="D104">
            <v>11.9</v>
          </cell>
        </row>
        <row r="105">
          <cell r="D105">
            <v>12</v>
          </cell>
        </row>
        <row r="106">
          <cell r="D106">
            <v>11.9</v>
          </cell>
        </row>
        <row r="128">
          <cell r="D128">
            <v>11.8</v>
          </cell>
        </row>
        <row r="129">
          <cell r="D129">
            <v>11.7</v>
          </cell>
        </row>
        <row r="130">
          <cell r="D130">
            <v>11.8</v>
          </cell>
        </row>
        <row r="131">
          <cell r="D131">
            <v>11.4</v>
          </cell>
        </row>
        <row r="132">
          <cell r="D132">
            <v>12</v>
          </cell>
        </row>
        <row r="133">
          <cell r="D133">
            <v>11.9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Summary February '26"/>
      <sheetName val="Summary January '26"/>
      <sheetName val="Packag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2">
          <cell r="AS52">
            <v>104.87426366689108</v>
          </cell>
        </row>
        <row r="53">
          <cell r="AS53">
            <v>101.76112094286238</v>
          </cell>
        </row>
        <row r="54">
          <cell r="AS54">
            <v>95.359527283738572</v>
          </cell>
        </row>
        <row r="55">
          <cell r="AS55">
            <v>95.527344703430927</v>
          </cell>
        </row>
        <row r="56">
          <cell r="AS56">
            <v>100.07660336606865</v>
          </cell>
        </row>
        <row r="57">
          <cell r="AS57">
            <v>99.467327733929991</v>
          </cell>
        </row>
        <row r="58">
          <cell r="AS58">
            <v>99.703032511968686</v>
          </cell>
        </row>
        <row r="59">
          <cell r="AS59">
            <v>97.74414704454891</v>
          </cell>
        </row>
        <row r="60">
          <cell r="AS60">
            <v>98.138276669728526</v>
          </cell>
        </row>
        <row r="61">
          <cell r="AS61">
            <v>100.18497924496634</v>
          </cell>
        </row>
        <row r="62">
          <cell r="AS62">
            <v>98.239543519521192</v>
          </cell>
        </row>
        <row r="63">
          <cell r="AS63">
            <v>98.533695545018929</v>
          </cell>
        </row>
        <row r="64">
          <cell r="AS64">
            <v>106.23422780270799</v>
          </cell>
        </row>
        <row r="65">
          <cell r="AS65">
            <v>101.82543081774969</v>
          </cell>
        </row>
        <row r="66">
          <cell r="AS66">
            <v>95.866364717151924</v>
          </cell>
        </row>
        <row r="67">
          <cell r="AS67">
            <v>103.14086541165727</v>
          </cell>
        </row>
        <row r="68">
          <cell r="AS68">
            <v>98.629167060203699</v>
          </cell>
        </row>
        <row r="69">
          <cell r="AS69">
            <v>98.859186647542359</v>
          </cell>
        </row>
        <row r="70">
          <cell r="AS70">
            <v>96.813810190504412</v>
          </cell>
        </row>
        <row r="71">
          <cell r="AS71">
            <v>99.638493421142599</v>
          </cell>
        </row>
        <row r="72">
          <cell r="AS72">
            <v>99.741578008131555</v>
          </cell>
        </row>
        <row r="73">
          <cell r="AS73">
            <v>100.21398306039248</v>
          </cell>
        </row>
        <row r="74">
          <cell r="AS74">
            <v>95.650862133364953</v>
          </cell>
        </row>
        <row r="75">
          <cell r="AS75">
            <v>98.001099487384138</v>
          </cell>
        </row>
        <row r="76">
          <cell r="AS76">
            <v>97.461393370976353</v>
          </cell>
        </row>
        <row r="77">
          <cell r="AS77">
            <v>98.255217290461545</v>
          </cell>
        </row>
        <row r="78">
          <cell r="AS78">
            <v>99.546243435804755</v>
          </cell>
        </row>
        <row r="79">
          <cell r="AS79">
            <v>98.33017402501261</v>
          </cell>
        </row>
        <row r="80">
          <cell r="AS80">
            <v>98.333997846966298</v>
          </cell>
        </row>
        <row r="81">
          <cell r="AS81">
            <v>94.60432549058099</v>
          </cell>
        </row>
        <row r="83">
          <cell r="A83" t="str">
            <v>ST032</v>
          </cell>
          <cell r="P83">
            <v>57</v>
          </cell>
          <cell r="Q83">
            <v>5.9021113243762056</v>
          </cell>
          <cell r="T83">
            <v>0.2048611111111111</v>
          </cell>
          <cell r="U83">
            <v>0.3611111111111111</v>
          </cell>
          <cell r="V83">
            <v>97</v>
          </cell>
          <cell r="AB83">
            <v>52.1</v>
          </cell>
          <cell r="AE83">
            <v>11.8</v>
          </cell>
          <cell r="AG83">
            <v>47.7</v>
          </cell>
          <cell r="AS83">
            <v>94.60432549058099</v>
          </cell>
          <cell r="AT83">
            <v>95.767243319910293</v>
          </cell>
          <cell r="AV83" t="str">
            <v>R.Sookram</v>
          </cell>
          <cell r="AW83">
            <v>0.2986111111111111</v>
          </cell>
        </row>
        <row r="84">
          <cell r="A84" t="str">
            <v>ST033</v>
          </cell>
          <cell r="P84">
            <v>61</v>
          </cell>
          <cell r="Q84">
            <v>4.8493408662900244</v>
          </cell>
          <cell r="T84">
            <v>0.30833333333333335</v>
          </cell>
          <cell r="U84">
            <v>0.4375</v>
          </cell>
          <cell r="V84">
            <v>50</v>
          </cell>
          <cell r="AB84">
            <v>53.1</v>
          </cell>
          <cell r="AE84">
            <v>12</v>
          </cell>
          <cell r="AG84">
            <v>49.4</v>
          </cell>
          <cell r="AS84">
            <v>99.47104784488721</v>
          </cell>
          <cell r="AT84">
            <v>100.69460425422304</v>
          </cell>
          <cell r="AV84" t="str">
            <v>R.Sookram</v>
          </cell>
          <cell r="AW84">
            <v>0.28472222222222221</v>
          </cell>
        </row>
        <row r="85">
          <cell r="A85" t="str">
            <v>ST034</v>
          </cell>
          <cell r="P85">
            <v>60</v>
          </cell>
          <cell r="Q85">
            <v>2.6442307692307692</v>
          </cell>
          <cell r="T85">
            <v>0.41388888888888886</v>
          </cell>
          <cell r="U85">
            <v>0.52847222222222223</v>
          </cell>
          <cell r="V85">
            <v>56</v>
          </cell>
          <cell r="AB85">
            <v>52</v>
          </cell>
          <cell r="AE85">
            <v>11.8</v>
          </cell>
          <cell r="AG85">
            <v>49.7</v>
          </cell>
          <cell r="AS85">
            <v>99.198378090715636</v>
          </cell>
          <cell r="AT85">
            <v>100.41571882956903</v>
          </cell>
          <cell r="AV85" t="str">
            <v>K. Benjamin</v>
          </cell>
          <cell r="AW85">
            <v>0.27847222222222223</v>
          </cell>
        </row>
        <row r="86">
          <cell r="A86" t="str">
            <v>ST035</v>
          </cell>
          <cell r="P86">
            <v>60</v>
          </cell>
          <cell r="Q86">
            <v>4.1826923076923022</v>
          </cell>
          <cell r="T86">
            <v>0.5083333333333333</v>
          </cell>
          <cell r="U86">
            <v>0.63402777777777775</v>
          </cell>
          <cell r="V86">
            <v>60</v>
          </cell>
          <cell r="AB86">
            <v>52</v>
          </cell>
          <cell r="AE86">
            <v>11.9</v>
          </cell>
          <cell r="AG86">
            <v>49.8</v>
          </cell>
          <cell r="AS86">
            <v>98.651407682761771</v>
          </cell>
          <cell r="AT86">
            <v>99.86728174470349</v>
          </cell>
          <cell r="AV86" t="str">
            <v>K. Benjamin</v>
          </cell>
          <cell r="AW86">
            <v>0.28680555555555554</v>
          </cell>
        </row>
        <row r="87">
          <cell r="A87" t="str">
            <v>ST036</v>
          </cell>
          <cell r="P87">
            <v>60</v>
          </cell>
          <cell r="Q87">
            <v>4.7504798464491387</v>
          </cell>
          <cell r="T87">
            <v>0.67152777777777772</v>
          </cell>
          <cell r="U87">
            <v>0.79166666666666663</v>
          </cell>
          <cell r="V87">
            <v>59</v>
          </cell>
          <cell r="AB87">
            <v>52.1</v>
          </cell>
          <cell r="AE87">
            <v>11.8</v>
          </cell>
          <cell r="AG87">
            <v>48.7</v>
          </cell>
          <cell r="AS87">
            <v>95.500399540574435</v>
          </cell>
          <cell r="AT87">
            <v>96.677821375032934</v>
          </cell>
          <cell r="AV87" t="str">
            <v>R. Regis</v>
          </cell>
          <cell r="AW87">
            <v>0.26041666666666663</v>
          </cell>
        </row>
        <row r="88">
          <cell r="A88" t="str">
            <v>ST037</v>
          </cell>
          <cell r="P88">
            <v>60</v>
          </cell>
          <cell r="Q88">
            <v>5.1343570057581518</v>
          </cell>
          <cell r="T88">
            <v>0.77361111111111114</v>
          </cell>
          <cell r="U88">
            <v>0.89444444444444449</v>
          </cell>
          <cell r="V88">
            <v>60</v>
          </cell>
          <cell r="AB88">
            <v>52.1</v>
          </cell>
          <cell r="AE88">
            <v>11.8</v>
          </cell>
          <cell r="AG88">
            <v>49.6</v>
          </cell>
          <cell r="AS88">
            <v>97.387098904762667</v>
          </cell>
          <cell r="AT88">
            <v>98.587390419171001</v>
          </cell>
          <cell r="AV88" t="str">
            <v>R. Regis</v>
          </cell>
          <cell r="AW88">
            <v>0.26944444444444449</v>
          </cell>
        </row>
        <row r="89">
          <cell r="A89" t="str">
            <v>ST038</v>
          </cell>
          <cell r="P89">
            <v>61</v>
          </cell>
          <cell r="Q89">
            <v>6.0940499040307046</v>
          </cell>
          <cell r="T89">
            <v>0.88749999999999996</v>
          </cell>
          <cell r="U89">
            <v>1.0118055555555556</v>
          </cell>
          <cell r="V89">
            <v>59</v>
          </cell>
          <cell r="AB89">
            <v>52.1</v>
          </cell>
          <cell r="AE89">
            <v>11.9</v>
          </cell>
          <cell r="AG89">
            <v>47.5</v>
          </cell>
          <cell r="AS89">
            <v>93.977530506802793</v>
          </cell>
          <cell r="AT89">
            <v>95.136176930268164</v>
          </cell>
          <cell r="AV89" t="str">
            <v>R. Regis</v>
          </cell>
          <cell r="AW89">
            <v>0.27569444444444446</v>
          </cell>
        </row>
        <row r="90">
          <cell r="A90" t="str">
            <v>ST039</v>
          </cell>
          <cell r="P90">
            <v>57</v>
          </cell>
          <cell r="Q90">
            <v>3.5988483685220727</v>
          </cell>
          <cell r="T90">
            <v>1</v>
          </cell>
          <cell r="U90">
            <v>1.1194444444444445</v>
          </cell>
          <cell r="V90">
            <v>61</v>
          </cell>
          <cell r="AB90">
            <v>52.1</v>
          </cell>
          <cell r="AE90">
            <v>12.2</v>
          </cell>
          <cell r="AG90">
            <v>51.2</v>
          </cell>
          <cell r="AS90">
            <v>103.98288970906668</v>
          </cell>
          <cell r="AT90">
            <v>105.26489193463362</v>
          </cell>
          <cell r="AV90" t="str">
            <v>R.Sookram</v>
          </cell>
          <cell r="AW90">
            <v>0.26527777777777783</v>
          </cell>
        </row>
        <row r="91">
          <cell r="A91" t="str">
            <v>ST040</v>
          </cell>
          <cell r="P91">
            <v>60</v>
          </cell>
          <cell r="Q91">
            <v>6.1057692307692246</v>
          </cell>
          <cell r="T91">
            <v>0.37083333333333335</v>
          </cell>
          <cell r="U91">
            <v>0.4909722222222222</v>
          </cell>
          <cell r="V91">
            <v>55</v>
          </cell>
          <cell r="AB91">
            <v>52</v>
          </cell>
          <cell r="AE91">
            <v>12</v>
          </cell>
          <cell r="AG91">
            <v>47.8</v>
          </cell>
          <cell r="AS91">
            <v>95.88635207026536</v>
          </cell>
          <cell r="AT91">
            <v>97.066985092665419</v>
          </cell>
          <cell r="AV91" t="str">
            <v>K. Benjamin</v>
          </cell>
          <cell r="AW91">
            <v>0.26180555555555551</v>
          </cell>
        </row>
        <row r="92">
          <cell r="A92" t="str">
            <v>ST041</v>
          </cell>
          <cell r="P92">
            <v>58</v>
          </cell>
          <cell r="Q92">
            <v>3.9903846153846074</v>
          </cell>
          <cell r="T92">
            <v>0.48958333333333331</v>
          </cell>
          <cell r="U92">
            <v>0.60555555555555551</v>
          </cell>
          <cell r="V92">
            <v>59</v>
          </cell>
          <cell r="AB92">
            <v>52</v>
          </cell>
          <cell r="AE92">
            <v>11.9</v>
          </cell>
          <cell r="AG92">
            <v>49</v>
          </cell>
          <cell r="AS92">
            <v>97.555318567088662</v>
          </cell>
          <cell r="AT92">
            <v>98.756105298144831</v>
          </cell>
          <cell r="AV92" t="str">
            <v>K. Benjamin</v>
          </cell>
          <cell r="AW92">
            <v>0.26180555555555551</v>
          </cell>
        </row>
        <row r="93">
          <cell r="A93" t="str">
            <v>ST042</v>
          </cell>
          <cell r="P93">
            <v>60</v>
          </cell>
          <cell r="Q93">
            <v>2.8365384615384643</v>
          </cell>
          <cell r="T93">
            <v>0.60555555555555551</v>
          </cell>
          <cell r="U93">
            <v>0.75486111111111109</v>
          </cell>
          <cell r="V93">
            <v>62</v>
          </cell>
          <cell r="AB93">
            <v>52</v>
          </cell>
          <cell r="AE93">
            <v>11.9</v>
          </cell>
          <cell r="AG93">
            <v>49.8</v>
          </cell>
          <cell r="AS93">
            <v>98.651407682761771</v>
          </cell>
          <cell r="AT93">
            <v>99.86728174470349</v>
          </cell>
          <cell r="AV93" t="str">
            <v>K. Benjamin</v>
          </cell>
          <cell r="AW93">
            <v>0.3034722222222222</v>
          </cell>
        </row>
        <row r="94">
          <cell r="A94" t="str">
            <v>ST043</v>
          </cell>
          <cell r="P94">
            <v>61</v>
          </cell>
          <cell r="Q94">
            <v>3.4069097888675599</v>
          </cell>
          <cell r="T94">
            <v>0.73263888888888884</v>
          </cell>
          <cell r="U94">
            <v>0.85416666666666663</v>
          </cell>
          <cell r="V94">
            <v>62</v>
          </cell>
          <cell r="AB94">
            <v>52.1</v>
          </cell>
          <cell r="AE94">
            <v>11.8</v>
          </cell>
          <cell r="AG94">
            <v>50.3</v>
          </cell>
          <cell r="AS94">
            <v>98.885347309806249</v>
          </cell>
          <cell r="AT94">
            <v>100.10370626690079</v>
          </cell>
          <cell r="AV94" t="str">
            <v>R. Regis</v>
          </cell>
          <cell r="AW94">
            <v>0.29166666666666663</v>
          </cell>
        </row>
        <row r="95">
          <cell r="A95" t="str">
            <v>ST044</v>
          </cell>
          <cell r="P95">
            <v>59</v>
          </cell>
          <cell r="Q95">
            <v>3.0230326295585468</v>
          </cell>
          <cell r="T95">
            <v>0.90763888888888888</v>
          </cell>
          <cell r="U95">
            <v>1.0409722222222222</v>
          </cell>
          <cell r="V95">
            <v>61</v>
          </cell>
          <cell r="AB95">
            <v>52.1</v>
          </cell>
          <cell r="AE95">
            <v>11.8</v>
          </cell>
          <cell r="AG95">
            <v>49.4</v>
          </cell>
          <cell r="AS95">
            <v>97.116026980207323</v>
          </cell>
          <cell r="AT95">
            <v>98.312586274053672</v>
          </cell>
          <cell r="AV95" t="str">
            <v>R. Regis</v>
          </cell>
          <cell r="AW95">
            <v>0.28055555555555556</v>
          </cell>
        </row>
        <row r="96">
          <cell r="A96" t="str">
            <v>ST045</v>
          </cell>
          <cell r="P96">
            <v>60</v>
          </cell>
          <cell r="Q96">
            <v>4.174664107485599</v>
          </cell>
          <cell r="T96">
            <v>1.0291666666666666</v>
          </cell>
          <cell r="U96">
            <v>1.1479166666666667</v>
          </cell>
          <cell r="V96">
            <v>61</v>
          </cell>
          <cell r="AB96">
            <v>52.1</v>
          </cell>
          <cell r="AE96">
            <v>12</v>
          </cell>
          <cell r="AG96">
            <v>49</v>
          </cell>
          <cell r="AS96">
            <v>98.047046969958473</v>
          </cell>
          <cell r="AT96">
            <v>99.255077291359513</v>
          </cell>
          <cell r="AV96" t="str">
            <v>R.Sookram</v>
          </cell>
          <cell r="AW96">
            <v>0.26597222222222228</v>
          </cell>
        </row>
        <row r="97">
          <cell r="A97" t="str">
            <v>ST046</v>
          </cell>
          <cell r="P97">
            <v>58</v>
          </cell>
          <cell r="Q97">
            <v>2.0673076923076841</v>
          </cell>
          <cell r="T97">
            <v>1.1361111111111111</v>
          </cell>
          <cell r="U97">
            <v>1.2527777777777778</v>
          </cell>
          <cell r="V97">
            <v>62</v>
          </cell>
          <cell r="AB97">
            <v>52</v>
          </cell>
          <cell r="AE97">
            <v>11.8</v>
          </cell>
          <cell r="AG97">
            <v>50.1</v>
          </cell>
          <cell r="AS97">
            <v>98.368823692109089</v>
          </cell>
          <cell r="AT97">
            <v>99.581214919364271</v>
          </cell>
          <cell r="AV97" t="str">
            <v>R.Sookram</v>
          </cell>
          <cell r="AW97">
            <v>0.27361111111111114</v>
          </cell>
        </row>
        <row r="98">
          <cell r="A98" t="str">
            <v>ST047</v>
          </cell>
          <cell r="P98">
            <v>57</v>
          </cell>
          <cell r="Q98">
            <v>2.4472168905950067</v>
          </cell>
          <cell r="T98">
            <v>0.24513888888888888</v>
          </cell>
          <cell r="U98">
            <v>0.36180555555555555</v>
          </cell>
          <cell r="V98">
            <v>60</v>
          </cell>
          <cell r="AB98">
            <v>52.1</v>
          </cell>
          <cell r="AE98">
            <v>11.6</v>
          </cell>
          <cell r="AG98">
            <v>49.9</v>
          </cell>
          <cell r="AS98">
            <v>96.689071563521296</v>
          </cell>
          <cell r="AT98">
            <v>97.90428229006541</v>
          </cell>
          <cell r="AV98" t="str">
            <v>R.Sookram</v>
          </cell>
          <cell r="AW98">
            <v>0.28541666666666665</v>
          </cell>
        </row>
        <row r="99">
          <cell r="A99" t="str">
            <v>ST048</v>
          </cell>
          <cell r="P99">
            <v>57</v>
          </cell>
          <cell r="Q99">
            <v>2.0673076923076841</v>
          </cell>
          <cell r="T99">
            <v>0.44097222222222221</v>
          </cell>
          <cell r="U99">
            <v>0.56180555555555556</v>
          </cell>
          <cell r="V99">
            <v>55</v>
          </cell>
          <cell r="AB99">
            <v>52</v>
          </cell>
          <cell r="AE99">
            <v>11.9</v>
          </cell>
          <cell r="AG99">
            <v>50.1</v>
          </cell>
          <cell r="AS99">
            <v>99.344647215577908</v>
          </cell>
          <cell r="AT99">
            <v>100.59446604884155</v>
          </cell>
          <cell r="AV99" t="str">
            <v>K. Benjamin</v>
          </cell>
          <cell r="AW99">
            <v>0.27013888888888887</v>
          </cell>
        </row>
        <row r="100">
          <cell r="A100" t="str">
            <v>ST049</v>
          </cell>
          <cell r="P100">
            <v>61</v>
          </cell>
          <cell r="Q100">
            <v>2.0673076923076841</v>
          </cell>
          <cell r="T100">
            <v>0.55000000000000004</v>
          </cell>
          <cell r="U100">
            <v>0.67222222222222228</v>
          </cell>
          <cell r="V100">
            <v>61</v>
          </cell>
          <cell r="AB100">
            <v>52</v>
          </cell>
          <cell r="AE100">
            <v>11.9</v>
          </cell>
          <cell r="AG100">
            <v>50</v>
          </cell>
          <cell r="AS100">
            <v>99.146354506564776</v>
          </cell>
          <cell r="AT100">
            <v>100.3936786914586</v>
          </cell>
          <cell r="AV100" t="str">
            <v>K. Benjamin</v>
          </cell>
          <cell r="AW100">
            <v>0.2729166666666667</v>
          </cell>
        </row>
        <row r="101">
          <cell r="A101" t="str">
            <v>ST050</v>
          </cell>
          <cell r="P101">
            <v>60</v>
          </cell>
          <cell r="Q101">
            <v>2.2552783109404935</v>
          </cell>
          <cell r="T101">
            <v>0.65555555555555556</v>
          </cell>
          <cell r="U101">
            <v>0.79583333333333328</v>
          </cell>
          <cell r="V101">
            <v>79</v>
          </cell>
          <cell r="AB101">
            <v>52.1</v>
          </cell>
          <cell r="AE101">
            <v>11.7</v>
          </cell>
          <cell r="AG101">
            <v>50</v>
          </cell>
          <cell r="AS101">
            <v>96.667077258035434</v>
          </cell>
          <cell r="AT101">
            <v>97.885581791559375</v>
          </cell>
          <cell r="AV101" t="str">
            <v>R. Regis</v>
          </cell>
          <cell r="AW101">
            <v>0.3027777777777777</v>
          </cell>
        </row>
        <row r="102">
          <cell r="A102" t="str">
            <v>ST051</v>
          </cell>
          <cell r="P102">
            <v>61</v>
          </cell>
          <cell r="Q102">
            <v>1.4875239923224541</v>
          </cell>
          <cell r="T102">
            <v>0.76458333333333328</v>
          </cell>
          <cell r="U102">
            <v>0.88055555555555554</v>
          </cell>
          <cell r="V102">
            <v>62</v>
          </cell>
          <cell r="AB102">
            <v>52.1</v>
          </cell>
          <cell r="AE102">
            <v>11.7</v>
          </cell>
          <cell r="AG102">
            <v>50.4</v>
          </cell>
          <cell r="AS102">
            <v>97.440413876099711</v>
          </cell>
          <cell r="AT102">
            <v>98.668666445891859</v>
          </cell>
          <cell r="AV102" t="str">
            <v>R. Regis</v>
          </cell>
          <cell r="AW102">
            <v>0.29027777777777775</v>
          </cell>
        </row>
        <row r="103">
          <cell r="A103" t="str">
            <v>ST052</v>
          </cell>
          <cell r="P103">
            <v>57</v>
          </cell>
          <cell r="Q103">
            <v>2.4472168905950067</v>
          </cell>
          <cell r="T103">
            <v>0.4375</v>
          </cell>
          <cell r="U103">
            <v>0.5708333333333333</v>
          </cell>
          <cell r="V103">
            <v>67</v>
          </cell>
          <cell r="AB103">
            <v>52.1</v>
          </cell>
          <cell r="AE103">
            <v>11.9</v>
          </cell>
          <cell r="AG103">
            <v>49.8</v>
          </cell>
          <cell r="AS103">
            <v>98.7497690885385</v>
          </cell>
          <cell r="AT103">
            <v>99.992103976692775</v>
          </cell>
          <cell r="AV103" t="str">
            <v>R.Sookram</v>
          </cell>
          <cell r="AW103">
            <v>0.28611111111111109</v>
          </cell>
        </row>
        <row r="104">
          <cell r="A104" t="str">
            <v>ST053</v>
          </cell>
          <cell r="P104">
            <v>59</v>
          </cell>
          <cell r="Q104">
            <v>2.2552783109404935</v>
          </cell>
          <cell r="T104">
            <v>0.54583333333333328</v>
          </cell>
          <cell r="U104">
            <v>0.66180555555555554</v>
          </cell>
          <cell r="V104">
            <v>59</v>
          </cell>
          <cell r="AB104">
            <v>52.1</v>
          </cell>
          <cell r="AE104">
            <v>11.8</v>
          </cell>
          <cell r="AG104">
            <v>49.9</v>
          </cell>
          <cell r="AS104">
            <v>99.321694799161747</v>
          </cell>
          <cell r="AT104">
            <v>100.56999294647811</v>
          </cell>
          <cell r="AV104" t="str">
            <v>R.Sookram</v>
          </cell>
          <cell r="AW104">
            <v>0.27638888888888885</v>
          </cell>
        </row>
        <row r="105">
          <cell r="A105" t="str">
            <v>ST054</v>
          </cell>
          <cell r="P105">
            <v>61</v>
          </cell>
          <cell r="Q105">
            <v>1.6826923076923077</v>
          </cell>
          <cell r="T105">
            <v>0.69027777777777777</v>
          </cell>
          <cell r="U105">
            <v>0.77361111111111114</v>
          </cell>
          <cell r="V105">
            <v>60</v>
          </cell>
          <cell r="AB105">
            <v>52</v>
          </cell>
          <cell r="AE105">
            <v>11.9</v>
          </cell>
          <cell r="AG105">
            <v>50.6</v>
          </cell>
          <cell r="AS105">
            <v>100.46208508570412</v>
          </cell>
          <cell r="AT105">
            <v>101.72554767929076</v>
          </cell>
          <cell r="AV105" t="str">
            <v>K. Benjamin</v>
          </cell>
          <cell r="AW105">
            <v>0.29444444444444445</v>
          </cell>
        </row>
        <row r="106">
          <cell r="A106" t="str">
            <v>ST055</v>
          </cell>
          <cell r="P106">
            <v>60</v>
          </cell>
          <cell r="Q106">
            <v>-4.8076923076920339E-2</v>
          </cell>
          <cell r="T106">
            <v>0.8125</v>
          </cell>
          <cell r="U106">
            <v>0.93819444444444444</v>
          </cell>
          <cell r="V106">
            <v>62</v>
          </cell>
          <cell r="AB106">
            <v>52</v>
          </cell>
          <cell r="AE106">
            <v>11.8</v>
          </cell>
          <cell r="AG106">
            <v>51.1</v>
          </cell>
          <cell r="AS106">
            <v>100.43231059698405</v>
          </cell>
          <cell r="AT106">
            <v>101.69581292720935</v>
          </cell>
          <cell r="AV106" t="str">
            <v>K. Benjamin</v>
          </cell>
          <cell r="AW106">
            <v>0.28541666666666665</v>
          </cell>
        </row>
        <row r="107">
          <cell r="A107" t="str">
            <v>ST056</v>
          </cell>
          <cell r="P107">
            <v>60</v>
          </cell>
          <cell r="Q107">
            <v>4.3666026871401122</v>
          </cell>
          <cell r="T107">
            <v>1.0486111111111112</v>
          </cell>
          <cell r="U107">
            <v>1.175</v>
          </cell>
          <cell r="V107">
            <v>64</v>
          </cell>
          <cell r="AB107">
            <v>52.1</v>
          </cell>
          <cell r="AE107">
            <v>11.8</v>
          </cell>
          <cell r="AG107">
            <v>48.7</v>
          </cell>
          <cell r="AS107">
            <v>95.835506022405141</v>
          </cell>
          <cell r="AT107">
            <v>97.040782390036384</v>
          </cell>
          <cell r="AV107" t="str">
            <v>R. Regis</v>
          </cell>
          <cell r="AW107">
            <v>0.34166666666666667</v>
          </cell>
        </row>
        <row r="108">
          <cell r="A108" t="str">
            <v>ST057</v>
          </cell>
          <cell r="P108">
            <v>61</v>
          </cell>
          <cell r="Q108">
            <v>4.3666026871401122</v>
          </cell>
          <cell r="T108">
            <v>1.2597222222222222</v>
          </cell>
          <cell r="U108">
            <v>1.4111111111111112</v>
          </cell>
          <cell r="V108">
            <v>63</v>
          </cell>
          <cell r="AB108">
            <v>52.1</v>
          </cell>
          <cell r="AE108">
            <v>11.7</v>
          </cell>
          <cell r="AG108">
            <v>49.8</v>
          </cell>
          <cell r="AS108">
            <v>96.762123724352961</v>
          </cell>
          <cell r="AT108">
            <v>97.980247903762489</v>
          </cell>
          <cell r="AV108" t="str">
            <v>R. Regis</v>
          </cell>
          <cell r="AW108">
            <v>0.46319444444444458</v>
          </cell>
        </row>
        <row r="109">
          <cell r="A109" t="str">
            <v>ST058</v>
          </cell>
          <cell r="P109">
            <v>55</v>
          </cell>
          <cell r="Q109">
            <v>-10.028790786948178</v>
          </cell>
          <cell r="T109">
            <v>0.55069444444444449</v>
          </cell>
          <cell r="U109">
            <v>0.68055555555555558</v>
          </cell>
          <cell r="V109">
            <v>65</v>
          </cell>
          <cell r="AB109">
            <v>52.1</v>
          </cell>
          <cell r="AE109">
            <v>10.6</v>
          </cell>
          <cell r="AG109">
            <v>57</v>
          </cell>
          <cell r="AS109">
            <v>99.760146592752164</v>
          </cell>
          <cell r="AT109">
            <v>101.01642079593438</v>
          </cell>
          <cell r="AV109" t="str">
            <v>R.Sookram</v>
          </cell>
          <cell r="AW109">
            <v>0.28472222222222227</v>
          </cell>
        </row>
        <row r="110">
          <cell r="A110" t="str">
            <v>ST059</v>
          </cell>
          <cell r="P110">
            <v>60</v>
          </cell>
          <cell r="Q110">
            <v>-2.7403846153846239</v>
          </cell>
          <cell r="T110">
            <v>0.67083333333333328</v>
          </cell>
          <cell r="U110">
            <v>0.82152777777777775</v>
          </cell>
          <cell r="V110">
            <v>66</v>
          </cell>
          <cell r="AB110">
            <v>52</v>
          </cell>
          <cell r="AE110">
            <v>12.1</v>
          </cell>
          <cell r="AG110">
            <v>55</v>
          </cell>
          <cell r="AS110">
            <v>111.40726919026143</v>
          </cell>
          <cell r="AT110">
            <v>112.80746164578679</v>
          </cell>
          <cell r="AV110" t="str">
            <v>K. Benjamin</v>
          </cell>
          <cell r="AW110">
            <v>0.32847222222222217</v>
          </cell>
        </row>
        <row r="111">
          <cell r="A111" t="str">
            <v>ST060</v>
          </cell>
          <cell r="P111">
            <v>61</v>
          </cell>
          <cell r="Q111">
            <v>11.66026871401152</v>
          </cell>
          <cell r="T111">
            <v>0.58888888888888891</v>
          </cell>
          <cell r="U111">
            <v>0.74444444444444446</v>
          </cell>
          <cell r="V111">
            <v>58</v>
          </cell>
          <cell r="AB111">
            <v>52.1</v>
          </cell>
          <cell r="AE111">
            <v>11.7</v>
          </cell>
          <cell r="AG111">
            <v>47.6</v>
          </cell>
          <cell r="AS111">
            <v>93.624091427861956</v>
          </cell>
          <cell r="AT111">
            <v>94.357653870526491</v>
          </cell>
          <cell r="AV111" t="str">
            <v>R. Regis</v>
          </cell>
          <cell r="AW111">
            <v>0.30694444444444446</v>
          </cell>
        </row>
        <row r="112">
          <cell r="A112" t="str">
            <v>ST061</v>
          </cell>
          <cell r="P112">
            <v>57</v>
          </cell>
          <cell r="Q112">
            <v>6.2859884836852178</v>
          </cell>
          <cell r="T112">
            <v>0.72499999999999998</v>
          </cell>
          <cell r="U112">
            <v>0.85416666666666663</v>
          </cell>
          <cell r="V112">
            <v>62</v>
          </cell>
          <cell r="AB112">
            <v>52.1</v>
          </cell>
          <cell r="AE112">
            <v>12</v>
          </cell>
          <cell r="AG112">
            <v>49.3</v>
          </cell>
          <cell r="AS112">
            <v>99.584274797583333</v>
          </cell>
          <cell r="AT112">
            <v>100.36453640287515</v>
          </cell>
          <cell r="AV112" t="str">
            <v>D. Gomaz</v>
          </cell>
          <cell r="AW112">
            <v>0.29513888888888884</v>
          </cell>
        </row>
        <row r="113">
          <cell r="A113" t="str">
            <v>ST062</v>
          </cell>
          <cell r="P113">
            <v>58</v>
          </cell>
          <cell r="Q113">
            <v>5.7101727447216915</v>
          </cell>
          <cell r="T113">
            <v>0.83333333333333337</v>
          </cell>
          <cell r="U113">
            <v>0.96180555555555558</v>
          </cell>
          <cell r="V113">
            <v>65</v>
          </cell>
          <cell r="AB113">
            <v>52.1</v>
          </cell>
          <cell r="AE113">
            <v>12</v>
          </cell>
          <cell r="AG113">
            <v>49.3</v>
          </cell>
          <cell r="AS113">
            <v>99.70978306370283</v>
          </cell>
          <cell r="AT113">
            <v>100.49076902293916</v>
          </cell>
          <cell r="AV113" t="str">
            <v>D. Gomaz</v>
          </cell>
          <cell r="AW113">
            <v>0.29166666666666674</v>
          </cell>
        </row>
        <row r="114">
          <cell r="A114" t="str">
            <v>ST063</v>
          </cell>
          <cell r="P114">
            <v>60</v>
          </cell>
          <cell r="Q114">
            <v>6.874999999999992</v>
          </cell>
          <cell r="T114">
            <v>0.93611111111111112</v>
          </cell>
          <cell r="U114">
            <v>1.0687500000000001</v>
          </cell>
          <cell r="V114">
            <v>51</v>
          </cell>
          <cell r="AB114">
            <v>52</v>
          </cell>
          <cell r="AE114">
            <v>11.9</v>
          </cell>
          <cell r="AG114">
            <v>48.5</v>
          </cell>
          <cell r="AS114">
            <v>97.110300140907029</v>
          </cell>
          <cell r="AT114">
            <v>97.871177687410508</v>
          </cell>
          <cell r="AV114" t="str">
            <v>D. Gomaz</v>
          </cell>
          <cell r="AW114">
            <v>0.28750000000000009</v>
          </cell>
        </row>
        <row r="115">
          <cell r="A115" t="str">
            <v>ST064</v>
          </cell>
          <cell r="P115">
            <v>60</v>
          </cell>
          <cell r="Q115">
            <v>5.3365384615384581</v>
          </cell>
          <cell r="T115">
            <v>1.1666666666666667</v>
          </cell>
          <cell r="U115">
            <v>1.28125</v>
          </cell>
          <cell r="V115">
            <v>55</v>
          </cell>
          <cell r="AB115">
            <v>52</v>
          </cell>
          <cell r="AE115">
            <v>11.6</v>
          </cell>
          <cell r="AG115">
            <v>47.8</v>
          </cell>
          <cell r="AS115">
            <v>92.705086039935708</v>
          </cell>
          <cell r="AT115">
            <v>93.432405202240744</v>
          </cell>
          <cell r="AV115" t="str">
            <v>K. Benjamin</v>
          </cell>
          <cell r="AW115">
            <v>0.3125</v>
          </cell>
        </row>
        <row r="116">
          <cell r="A116" t="str">
            <v>ST065</v>
          </cell>
          <cell r="P116">
            <v>60</v>
          </cell>
          <cell r="Q116">
            <v>9.9519230769230713</v>
          </cell>
          <cell r="T116">
            <v>0.30138888888888887</v>
          </cell>
          <cell r="U116">
            <v>0.48819444444444443</v>
          </cell>
          <cell r="V116">
            <v>61</v>
          </cell>
          <cell r="AB116">
            <v>52</v>
          </cell>
          <cell r="AE116">
            <v>12</v>
          </cell>
          <cell r="AG116">
            <v>48</v>
          </cell>
          <cell r="AS116">
            <v>97.080519007256299</v>
          </cell>
          <cell r="AT116">
            <v>97.840911016249095</v>
          </cell>
          <cell r="AV116" t="str">
            <v>K. Benjamin</v>
          </cell>
          <cell r="AW116">
            <v>0.35277777777777775</v>
          </cell>
        </row>
        <row r="117">
          <cell r="A117" t="str">
            <v>ST066</v>
          </cell>
          <cell r="P117">
            <v>59</v>
          </cell>
          <cell r="Q117">
            <v>11.084452975047981</v>
          </cell>
          <cell r="T117">
            <v>0.62777777777777777</v>
          </cell>
          <cell r="U117">
            <v>0.76597222222222228</v>
          </cell>
          <cell r="V117">
            <v>65</v>
          </cell>
          <cell r="AB117">
            <v>52.1</v>
          </cell>
          <cell r="AE117">
            <v>11.5</v>
          </cell>
          <cell r="AG117">
            <v>50.5</v>
          </cell>
          <cell r="AS117">
            <v>97.541311782322396</v>
          </cell>
          <cell r="AT117">
            <v>98.305566386457855</v>
          </cell>
          <cell r="AV117" t="str">
            <v>R. Regis</v>
          </cell>
          <cell r="AW117">
            <v>0.51597222222222228</v>
          </cell>
        </row>
        <row r="118">
          <cell r="A118" t="str">
            <v>ST067</v>
          </cell>
          <cell r="P118">
            <v>57</v>
          </cell>
          <cell r="Q118">
            <v>7.2456813819577706</v>
          </cell>
          <cell r="T118">
            <v>0.75</v>
          </cell>
          <cell r="U118">
            <v>0.87361111111111112</v>
          </cell>
          <cell r="V118">
            <v>66</v>
          </cell>
          <cell r="AB118">
            <v>52.1</v>
          </cell>
          <cell r="AE118">
            <v>11.8</v>
          </cell>
          <cell r="AG118">
            <v>49.3</v>
          </cell>
          <cell r="AS118">
            <v>97.594273454571933</v>
          </cell>
          <cell r="AT118">
            <v>98.359448180023122</v>
          </cell>
          <cell r="AV118" t="str">
            <v>R.Sookram</v>
          </cell>
          <cell r="AW118">
            <v>0.4777777777777778</v>
          </cell>
        </row>
        <row r="119">
          <cell r="A119" t="str">
            <v>ST068</v>
          </cell>
          <cell r="P119">
            <v>60</v>
          </cell>
          <cell r="Q119">
            <v>7.8214971209213102</v>
          </cell>
          <cell r="T119">
            <v>0.97986111111111107</v>
          </cell>
          <cell r="U119">
            <v>1.1027777777777779</v>
          </cell>
          <cell r="V119">
            <v>68</v>
          </cell>
          <cell r="AB119">
            <v>52.1</v>
          </cell>
          <cell r="AE119">
            <v>11.8</v>
          </cell>
          <cell r="AG119">
            <v>46.9</v>
          </cell>
          <cell r="AS119">
            <v>92.293331261823425</v>
          </cell>
          <cell r="AT119">
            <v>93.454059426954956</v>
          </cell>
          <cell r="AV119" t="str">
            <v>R.Sookram</v>
          </cell>
          <cell r="AW119">
            <v>0.29722222222222228</v>
          </cell>
        </row>
        <row r="120">
          <cell r="A120" t="str">
            <v>ST069</v>
          </cell>
          <cell r="P120">
            <v>59</v>
          </cell>
          <cell r="Q120">
            <v>6.2859884836852178</v>
          </cell>
          <cell r="T120">
            <v>1.0881944444444445</v>
          </cell>
          <cell r="U120">
            <v>1.2083333333333333</v>
          </cell>
          <cell r="V120">
            <v>64</v>
          </cell>
          <cell r="AB120">
            <v>52.1</v>
          </cell>
          <cell r="AE120">
            <v>12</v>
          </cell>
          <cell r="AG120">
            <v>48.6</v>
          </cell>
          <cell r="AS120">
            <v>97.343784830508056</v>
          </cell>
          <cell r="AT120">
            <v>98.568030084292829</v>
          </cell>
          <cell r="AV120" t="str">
            <v>R.Sookram</v>
          </cell>
          <cell r="AW120">
            <v>0.2847222222222221</v>
          </cell>
        </row>
        <row r="121">
          <cell r="A121" t="str">
            <v>ST070</v>
          </cell>
          <cell r="P121">
            <v>77</v>
          </cell>
          <cell r="Q121">
            <v>6.6698656429942442</v>
          </cell>
          <cell r="T121">
            <v>1.2090277777777778</v>
          </cell>
          <cell r="U121">
            <v>1.3395833333333333</v>
          </cell>
          <cell r="V121">
            <v>64</v>
          </cell>
          <cell r="AB121">
            <v>52.1</v>
          </cell>
          <cell r="AE121">
            <v>11.8</v>
          </cell>
          <cell r="AG121">
            <v>49.1</v>
          </cell>
          <cell r="AS121">
            <v>96.622655969201077</v>
          </cell>
          <cell r="AT121">
            <v>97.837831937387804</v>
          </cell>
          <cell r="AV121" t="str">
            <v>R.Sookram</v>
          </cell>
          <cell r="AW121">
            <v>0.31180555555555567</v>
          </cell>
        </row>
        <row r="122">
          <cell r="A122" t="str">
            <v>ST071</v>
          </cell>
          <cell r="P122">
            <v>61</v>
          </cell>
          <cell r="Q122">
            <v>6.2859884836852178</v>
          </cell>
          <cell r="T122">
            <v>0.35833333333333334</v>
          </cell>
          <cell r="U122">
            <v>0.47430555555555554</v>
          </cell>
          <cell r="V122">
            <v>62</v>
          </cell>
          <cell r="AB122">
            <v>52.1</v>
          </cell>
          <cell r="AE122">
            <v>11.8</v>
          </cell>
          <cell r="AG122">
            <v>50.5</v>
          </cell>
          <cell r="AS122">
            <v>99.627850959740556</v>
          </cell>
          <cell r="AT122">
            <v>100.8799969488483</v>
          </cell>
          <cell r="AV122" t="str">
            <v>R.Sookram</v>
          </cell>
          <cell r="AW122">
            <v>0.33888888888888891</v>
          </cell>
        </row>
        <row r="123">
          <cell r="A123" t="str">
            <v>ST072</v>
          </cell>
          <cell r="P123">
            <v>60</v>
          </cell>
          <cell r="Q123">
            <v>17.226487523992326</v>
          </cell>
          <cell r="T123">
            <v>0.74236111111111114</v>
          </cell>
          <cell r="U123">
            <v>0.85486111111111107</v>
          </cell>
          <cell r="V123">
            <v>61</v>
          </cell>
          <cell r="AB123">
            <v>52.1</v>
          </cell>
          <cell r="AE123">
            <v>12</v>
          </cell>
          <cell r="AG123">
            <v>47.6</v>
          </cell>
          <cell r="AS123">
            <v>95.822053579237433</v>
          </cell>
          <cell r="AT123">
            <v>97.025570091113693</v>
          </cell>
          <cell r="AV123" t="str">
            <v>R. Regis</v>
          </cell>
          <cell r="AW123">
            <v>0.26805555555555549</v>
          </cell>
        </row>
        <row r="124">
          <cell r="A124" t="str">
            <v>ST073</v>
          </cell>
          <cell r="P124">
            <v>59</v>
          </cell>
          <cell r="Q124">
            <v>22.984644913627641</v>
          </cell>
          <cell r="T124">
            <v>1.0652777777777778</v>
          </cell>
          <cell r="U124">
            <v>1.211111111111111</v>
          </cell>
          <cell r="V124">
            <v>58</v>
          </cell>
          <cell r="AB124">
            <v>52.1</v>
          </cell>
          <cell r="AE124">
            <v>11.6</v>
          </cell>
          <cell r="AG124">
            <v>47.7</v>
          </cell>
          <cell r="AS124">
            <v>92.078533418077527</v>
          </cell>
          <cell r="AT124">
            <v>93.236939919390878</v>
          </cell>
          <cell r="AV124" t="str">
            <v>R.Sookram</v>
          </cell>
          <cell r="AW124">
            <v>0.30486111111111103</v>
          </cell>
        </row>
        <row r="125">
          <cell r="A125" t="str">
            <v>ST074</v>
          </cell>
          <cell r="Q125">
            <v>19.721689059500957</v>
          </cell>
          <cell r="T125">
            <v>0.19236111111111112</v>
          </cell>
          <cell r="U125">
            <v>0.29791666666666666</v>
          </cell>
          <cell r="V125">
            <v>53</v>
          </cell>
          <cell r="AB125">
            <v>52.1</v>
          </cell>
          <cell r="AE125">
            <v>11.9</v>
          </cell>
          <cell r="AG125">
            <v>45.9</v>
          </cell>
          <cell r="AS125">
            <v>91.706323721321553</v>
          </cell>
          <cell r="AT125">
            <v>92.857764046854285</v>
          </cell>
          <cell r="AV125" t="str">
            <v>R.Sookram</v>
          </cell>
          <cell r="AW125">
            <v>0.25277777777777777</v>
          </cell>
        </row>
        <row r="126">
          <cell r="A126" t="str">
            <v>ST075</v>
          </cell>
          <cell r="P126">
            <v>59</v>
          </cell>
          <cell r="Q126">
            <v>18.761996161228403</v>
          </cell>
          <cell r="T126">
            <v>0.2986111111111111</v>
          </cell>
          <cell r="U126">
            <v>0.41180555555555554</v>
          </cell>
          <cell r="V126">
            <v>59</v>
          </cell>
          <cell r="AB126">
            <v>52.1</v>
          </cell>
          <cell r="AE126">
            <v>12</v>
          </cell>
          <cell r="AG126">
            <v>48.8</v>
          </cell>
          <cell r="AS126">
            <v>97.990435086817186</v>
          </cell>
          <cell r="AT126">
            <v>99.22200165262079</v>
          </cell>
          <cell r="AV126" t="str">
            <v>R. Regis</v>
          </cell>
          <cell r="AW126">
            <v>0.26597222222222217</v>
          </cell>
        </row>
        <row r="127">
          <cell r="A127" t="str">
            <v>ST076</v>
          </cell>
          <cell r="P127">
            <v>61</v>
          </cell>
          <cell r="Q127">
            <v>16.266794625719772</v>
          </cell>
          <cell r="T127">
            <v>0.40555555555555556</v>
          </cell>
          <cell r="U127">
            <v>0.51597222222222228</v>
          </cell>
          <cell r="V127">
            <v>59</v>
          </cell>
          <cell r="AB127">
            <v>52.1</v>
          </cell>
          <cell r="AE127">
            <v>11.9</v>
          </cell>
          <cell r="AG127">
            <v>49.1</v>
          </cell>
          <cell r="AS127">
            <v>98.099792913221961</v>
          </cell>
          <cell r="AT127">
            <v>99.331507945545653</v>
          </cell>
          <cell r="AV127" t="str">
            <v>R. Regis</v>
          </cell>
          <cell r="AW127">
            <v>0.26944444444444449</v>
          </cell>
        </row>
        <row r="128">
          <cell r="A128" t="str">
            <v>ST077</v>
          </cell>
          <cell r="P128">
            <v>60</v>
          </cell>
          <cell r="Q128">
            <v>16.266794625719772</v>
          </cell>
          <cell r="T128">
            <v>0.50763888888888886</v>
          </cell>
          <cell r="U128">
            <v>0.62083333333333335</v>
          </cell>
          <cell r="V128">
            <v>60</v>
          </cell>
          <cell r="AB128">
            <v>52.1</v>
          </cell>
          <cell r="AE128">
            <v>11.8</v>
          </cell>
          <cell r="AG128">
            <v>49.3</v>
          </cell>
          <cell r="AS128">
            <v>97.016230942599037</v>
          </cell>
          <cell r="AT128">
            <v>98.236356711063507</v>
          </cell>
          <cell r="AV128" t="str">
            <v>R. Regis</v>
          </cell>
          <cell r="AW128">
            <v>0.26319444444444445</v>
          </cell>
        </row>
        <row r="129">
          <cell r="A129" t="str">
            <v>ST078</v>
          </cell>
          <cell r="P129">
            <v>60</v>
          </cell>
          <cell r="Q129">
            <v>16.266794625719772</v>
          </cell>
          <cell r="T129">
            <v>0.61111111111111116</v>
          </cell>
          <cell r="U129">
            <v>0.72916666666666663</v>
          </cell>
          <cell r="V129">
            <v>60</v>
          </cell>
          <cell r="AB129">
            <v>52.1</v>
          </cell>
          <cell r="AE129">
            <v>11.7</v>
          </cell>
          <cell r="AG129">
            <v>49.6</v>
          </cell>
          <cell r="AS129">
            <v>97.224790380282329</v>
          </cell>
          <cell r="AT129">
            <v>98.445925142225377</v>
          </cell>
          <cell r="AV129" t="str">
            <v>R. Regis</v>
          </cell>
          <cell r="AW129">
            <v>0.27083333333333331</v>
          </cell>
        </row>
        <row r="130">
          <cell r="A130" t="str">
            <v>ST079</v>
          </cell>
          <cell r="P130">
            <v>60</v>
          </cell>
          <cell r="Q130">
            <v>15.30710172744722</v>
          </cell>
          <cell r="T130">
            <v>0.71388888888888891</v>
          </cell>
          <cell r="U130">
            <v>0.82291666666666663</v>
          </cell>
          <cell r="V130">
            <v>56</v>
          </cell>
          <cell r="AB130">
            <v>52.1</v>
          </cell>
          <cell r="AE130">
            <v>12</v>
          </cell>
          <cell r="AG130">
            <v>49.8</v>
          </cell>
          <cell r="AS130">
            <v>100.12446085425042</v>
          </cell>
          <cell r="AT130">
            <v>101.38243230959803</v>
          </cell>
          <cell r="AV130" t="str">
            <v>R. Regis</v>
          </cell>
          <cell r="AW130">
            <v>0.26041666666666663</v>
          </cell>
        </row>
        <row r="131">
          <cell r="A131" t="str">
            <v>ST080</v>
          </cell>
          <cell r="P131">
            <v>60</v>
          </cell>
          <cell r="Q131">
            <v>15.882917466410746</v>
          </cell>
          <cell r="T131">
            <v>0.82013888888888886</v>
          </cell>
          <cell r="U131">
            <v>0.93472222222222223</v>
          </cell>
          <cell r="V131">
            <v>53</v>
          </cell>
          <cell r="AB131">
            <v>52.1</v>
          </cell>
          <cell r="AE131">
            <v>12</v>
          </cell>
          <cell r="AG131">
            <v>48.4</v>
          </cell>
          <cell r="AS131">
            <v>97.065060568710209</v>
          </cell>
          <cell r="AT131">
            <v>98.285399131485491</v>
          </cell>
          <cell r="AV131" t="str">
            <v>R. Regis</v>
          </cell>
          <cell r="AW131">
            <v>0.2680555555555556</v>
          </cell>
        </row>
        <row r="132">
          <cell r="A132" t="str">
            <v>ST081</v>
          </cell>
          <cell r="P132">
            <v>61</v>
          </cell>
          <cell r="Q132">
            <v>21.49038461538461</v>
          </cell>
          <cell r="T132">
            <v>0.92222222222222228</v>
          </cell>
          <cell r="U132">
            <v>1.0694444444444444</v>
          </cell>
          <cell r="V132">
            <v>77</v>
          </cell>
          <cell r="AB132">
            <v>52</v>
          </cell>
          <cell r="AE132">
            <v>12.5</v>
          </cell>
          <cell r="AG132">
            <v>47.7</v>
          </cell>
          <cell r="AS132">
            <v>99.975893759521298</v>
          </cell>
          <cell r="AT132">
            <v>101.23241403143837</v>
          </cell>
          <cell r="AV132" t="str">
            <v>K. Benjamin</v>
          </cell>
          <cell r="AW132">
            <v>0.29861111111111105</v>
          </cell>
        </row>
      </sheetData>
      <sheetData sheetId="7">
        <row r="62">
          <cell r="D62">
            <v>12</v>
          </cell>
        </row>
        <row r="63">
          <cell r="D63">
            <v>11.8</v>
          </cell>
        </row>
        <row r="64">
          <cell r="D64">
            <v>12</v>
          </cell>
        </row>
        <row r="65">
          <cell r="D65">
            <v>12</v>
          </cell>
        </row>
        <row r="83">
          <cell r="D83">
            <v>11.8</v>
          </cell>
        </row>
        <row r="84">
          <cell r="D84">
            <v>12</v>
          </cell>
        </row>
        <row r="85">
          <cell r="D85">
            <v>11.8</v>
          </cell>
        </row>
        <row r="86">
          <cell r="D86">
            <v>11.9</v>
          </cell>
        </row>
        <row r="87">
          <cell r="D87">
            <v>11.8</v>
          </cell>
        </row>
        <row r="88">
          <cell r="D88">
            <v>11.8</v>
          </cell>
        </row>
        <row r="89">
          <cell r="D89">
            <v>11.9</v>
          </cell>
        </row>
        <row r="90">
          <cell r="D90">
            <v>12.2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taMalt - Operator Performance"/>
      <sheetName val="BrewMaterials"/>
      <sheetName val="Brewhouse"/>
      <sheetName val="Process"/>
      <sheetName val="Summary February '26"/>
      <sheetName val="Packaging"/>
      <sheetName val="Summary January '26 "/>
      <sheetName val="Summary December '25"/>
      <sheetName val="Summary November '25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  <sheetName val="Summary January '25 "/>
    </sheetNames>
    <sheetDataSet>
      <sheetData sheetId="0" refreshError="1"/>
      <sheetData sheetId="1" refreshError="1"/>
      <sheetData sheetId="2">
        <row r="23">
          <cell r="A23" t="str">
            <v>VM001</v>
          </cell>
          <cell r="AV23">
            <v>97.339468430709204</v>
          </cell>
        </row>
        <row r="24">
          <cell r="AV24">
            <v>103.731151868401</v>
          </cell>
        </row>
        <row r="25">
          <cell r="AV25">
            <v>94.959846867032411</v>
          </cell>
        </row>
        <row r="26">
          <cell r="AV26">
            <v>97.339468430709204</v>
          </cell>
        </row>
        <row r="27">
          <cell r="AV27">
            <v>97.058295684709279</v>
          </cell>
        </row>
        <row r="28">
          <cell r="AV28">
            <v>97.867114815415192</v>
          </cell>
        </row>
        <row r="29">
          <cell r="AV29">
            <v>98.093597805251179</v>
          </cell>
        </row>
        <row r="30">
          <cell r="AV30">
            <v>102.88783663744221</v>
          </cell>
        </row>
        <row r="31">
          <cell r="AV31">
            <v>96.899121806418265</v>
          </cell>
        </row>
        <row r="32">
          <cell r="AV32">
            <v>98.250925468415389</v>
          </cell>
        </row>
        <row r="33">
          <cell r="AV33">
            <v>96.894670333550806</v>
          </cell>
        </row>
        <row r="34">
          <cell r="AV34">
            <v>98.444969429182507</v>
          </cell>
        </row>
        <row r="36">
          <cell r="A36" t="str">
            <v>VM013</v>
          </cell>
          <cell r="R36">
            <v>60</v>
          </cell>
          <cell r="S36">
            <v>11.52000000000001</v>
          </cell>
          <cell r="V36">
            <v>1.1881944444444446</v>
          </cell>
          <cell r="W36">
            <v>1.3326388888888889</v>
          </cell>
          <cell r="X36">
            <v>82</v>
          </cell>
          <cell r="AB36">
            <v>0.35000000000000009</v>
          </cell>
          <cell r="AE36">
            <v>50</v>
          </cell>
          <cell r="AH36">
            <v>14.7</v>
          </cell>
          <cell r="AJ36">
            <v>46.2</v>
          </cell>
          <cell r="AV36">
            <v>96.535163112888242</v>
          </cell>
          <cell r="AW36">
            <v>96.839367191150771</v>
          </cell>
          <cell r="AZ36" t="str">
            <v>K. Benjamin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Summary February '26"/>
      <sheetName val="Summary January '26"/>
      <sheetName val="Summary December '25"/>
      <sheetName val="Guinnbottling"/>
    </sheetNames>
    <sheetDataSet>
      <sheetData sheetId="0"/>
      <sheetData sheetId="1">
        <row r="16">
          <cell r="AU16">
            <v>96.003306141833193</v>
          </cell>
        </row>
        <row r="17">
          <cell r="AU17">
            <v>97.325117100528743</v>
          </cell>
        </row>
        <row r="18">
          <cell r="AU18">
            <v>99.121575646105413</v>
          </cell>
        </row>
        <row r="19">
          <cell r="AU19">
            <v>98.312989092995309</v>
          </cell>
        </row>
        <row r="20">
          <cell r="AU20">
            <v>97.776942468215154</v>
          </cell>
        </row>
        <row r="21">
          <cell r="AU21">
            <v>100.27176158202545</v>
          </cell>
        </row>
        <row r="22">
          <cell r="AU22">
            <v>99.294375681877099</v>
          </cell>
        </row>
        <row r="23">
          <cell r="AU23">
            <v>94.0155703648322</v>
          </cell>
        </row>
        <row r="25">
          <cell r="A25" t="str">
            <v>GU009</v>
          </cell>
          <cell r="O25">
            <v>58</v>
          </cell>
          <cell r="R25">
            <v>-4.6785714285714368</v>
          </cell>
          <cell r="T25">
            <v>0.86944444444444446</v>
          </cell>
          <cell r="U25">
            <v>1.0513888888888889</v>
          </cell>
          <cell r="V25">
            <v>69</v>
          </cell>
          <cell r="Z25">
            <v>0.34305555555555556</v>
          </cell>
          <cell r="AF25">
            <v>59.7</v>
          </cell>
          <cell r="AG25">
            <v>17</v>
          </cell>
          <cell r="AI25">
            <v>55.9</v>
          </cell>
          <cell r="AU25">
            <v>103.50405139576692</v>
          </cell>
          <cell r="AV25">
            <v>104.85041078902495</v>
          </cell>
          <cell r="AW25" t="str">
            <v>K. Benjamin</v>
          </cell>
        </row>
        <row r="26">
          <cell r="A26" t="str">
            <v>GU010</v>
          </cell>
          <cell r="O26">
            <v>59</v>
          </cell>
          <cell r="R26">
            <v>-1.1481481481481566</v>
          </cell>
          <cell r="T26">
            <v>1.0263888888888888</v>
          </cell>
          <cell r="U26">
            <v>1.1548611111111111</v>
          </cell>
          <cell r="V26">
            <v>61</v>
          </cell>
          <cell r="Z26">
            <v>0.32847222222222228</v>
          </cell>
          <cell r="AF26">
            <v>55.7</v>
          </cell>
          <cell r="AG26">
            <v>17.399999999999999</v>
          </cell>
          <cell r="AI26">
            <v>50.7</v>
          </cell>
          <cell r="AU26">
            <v>95.716844988758396</v>
          </cell>
          <cell r="AV26">
            <v>96.963440639210745</v>
          </cell>
          <cell r="AW26" t="str">
            <v>R. Regis</v>
          </cell>
        </row>
        <row r="27">
          <cell r="A27" t="str">
            <v>GU011</v>
          </cell>
          <cell r="O27">
            <v>59</v>
          </cell>
          <cell r="R27">
            <v>2.8990825688073363</v>
          </cell>
          <cell r="T27">
            <v>1.1354166666666667</v>
          </cell>
          <cell r="U27">
            <v>1.2805555555555554</v>
          </cell>
          <cell r="V27">
            <v>64</v>
          </cell>
          <cell r="Z27">
            <v>0.33263888888888882</v>
          </cell>
          <cell r="AF27">
            <v>55</v>
          </cell>
          <cell r="AG27">
            <v>17.100000000000001</v>
          </cell>
          <cell r="AI27">
            <v>51.8</v>
          </cell>
          <cell r="AU27">
            <v>95.930260280243118</v>
          </cell>
          <cell r="AV27">
            <v>97.179853160137611</v>
          </cell>
          <cell r="AW27" t="str">
            <v>R. Regis</v>
          </cell>
        </row>
        <row r="28">
          <cell r="A28" t="str">
            <v>GU012</v>
          </cell>
          <cell r="O28">
            <v>45</v>
          </cell>
          <cell r="R28">
            <v>-14.033149171270729</v>
          </cell>
          <cell r="T28">
            <v>0.28611111111111109</v>
          </cell>
          <cell r="U28">
            <v>0.48472222222222222</v>
          </cell>
          <cell r="V28">
            <v>72</v>
          </cell>
          <cell r="Z28">
            <v>0.35972222222222222</v>
          </cell>
          <cell r="AF28">
            <v>63</v>
          </cell>
          <cell r="AG28">
            <v>17</v>
          </cell>
          <cell r="AI28">
            <v>58.8</v>
          </cell>
          <cell r="AU28">
            <v>91.893952811328091</v>
          </cell>
          <cell r="AV28">
            <v>92.908786210198684</v>
          </cell>
          <cell r="AW28" t="str">
            <v>R. Regis</v>
          </cell>
        </row>
        <row r="29">
          <cell r="A29" t="str">
            <v>GU013</v>
          </cell>
          <cell r="O29">
            <v>41</v>
          </cell>
          <cell r="R29">
            <v>-20.178253119429591</v>
          </cell>
          <cell r="T29">
            <v>0.50416666666666665</v>
          </cell>
          <cell r="U29">
            <v>0.66597222222222219</v>
          </cell>
          <cell r="V29">
            <v>73</v>
          </cell>
          <cell r="Z29">
            <v>0.32916666666666661</v>
          </cell>
          <cell r="AF29">
            <v>68.5</v>
          </cell>
          <cell r="AG29">
            <v>17</v>
          </cell>
          <cell r="AI29">
            <v>63.3</v>
          </cell>
          <cell r="AU29">
            <v>113.58212162131902</v>
          </cell>
          <cell r="AV29">
            <v>115.02465396841286</v>
          </cell>
          <cell r="AW29" t="str">
            <v>R. Sookram</v>
          </cell>
        </row>
        <row r="30">
          <cell r="A30" t="str">
            <v>GU014</v>
          </cell>
          <cell r="O30">
            <v>60</v>
          </cell>
          <cell r="R30">
            <v>2.9019607843137196</v>
          </cell>
          <cell r="T30">
            <v>0.75972222222222219</v>
          </cell>
          <cell r="U30">
            <v>0.90486111111111112</v>
          </cell>
          <cell r="V30">
            <v>59</v>
          </cell>
          <cell r="Z30">
            <v>0.33750000000000002</v>
          </cell>
          <cell r="AF30">
            <v>52.3</v>
          </cell>
          <cell r="AG30">
            <v>17.100000000000001</v>
          </cell>
          <cell r="AI30">
            <v>48.9</v>
          </cell>
          <cell r="AU30">
            <v>90.487433811004081</v>
          </cell>
          <cell r="AV30">
            <v>91.666333205078871</v>
          </cell>
          <cell r="AW30" t="str">
            <v>K. Benjamin</v>
          </cell>
        </row>
        <row r="31">
          <cell r="A31" t="str">
            <v>GU015</v>
          </cell>
          <cell r="O31">
            <v>63</v>
          </cell>
          <cell r="R31">
            <v>-17.098039215686274</v>
          </cell>
          <cell r="T31">
            <v>0.91736111111111107</v>
          </cell>
          <cell r="U31">
            <v>1.0833333333333333</v>
          </cell>
          <cell r="V31">
            <v>71</v>
          </cell>
          <cell r="Z31">
            <v>0.32291666666666663</v>
          </cell>
          <cell r="AF31">
            <v>60.8</v>
          </cell>
          <cell r="AG31">
            <v>16.5</v>
          </cell>
          <cell r="AI31">
            <v>57.2</v>
          </cell>
          <cell r="AU31">
            <v>102.62581305950147</v>
          </cell>
          <cell r="AV31">
            <v>103.96262258047955</v>
          </cell>
          <cell r="AW31" t="str">
            <v>K. Benjamin</v>
          </cell>
        </row>
        <row r="32">
          <cell r="A32" t="str">
            <v>GU016</v>
          </cell>
          <cell r="O32">
            <v>59</v>
          </cell>
          <cell r="R32">
            <v>-2.9803921568627514</v>
          </cell>
          <cell r="T32">
            <v>1.0743055555555556</v>
          </cell>
          <cell r="U32">
            <v>1.2222222222222223</v>
          </cell>
          <cell r="V32">
            <v>66</v>
          </cell>
          <cell r="Z32">
            <v>0.34722222222222232</v>
          </cell>
          <cell r="AF32">
            <v>53</v>
          </cell>
          <cell r="AG32">
            <v>17.8</v>
          </cell>
          <cell r="AI32">
            <v>50.4</v>
          </cell>
          <cell r="AU32">
            <v>97.191888885824653</v>
          </cell>
          <cell r="AV32">
            <v>98.458575562783324</v>
          </cell>
          <cell r="AW32" t="str">
            <v>R. Regis</v>
          </cell>
        </row>
      </sheetData>
      <sheetData sheetId="2">
        <row r="17">
          <cell r="D17">
            <v>17</v>
          </cell>
        </row>
        <row r="26">
          <cell r="D26">
            <v>17</v>
          </cell>
        </row>
        <row r="27">
          <cell r="D27">
            <v>17.399999999999999</v>
          </cell>
        </row>
        <row r="28">
          <cell r="D28">
            <v>17.100000000000001</v>
          </cell>
        </row>
        <row r="29">
          <cell r="D29">
            <v>17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January'26"/>
      <sheetName val="Summary October'25"/>
      <sheetName val="Summary September'25"/>
      <sheetName val="Summary August'25"/>
      <sheetName val="Summary July'25"/>
      <sheetName val="Summary June'25"/>
      <sheetName val="Summary May'25"/>
      <sheetName val="Summary April'25"/>
      <sheetName val="Summary March'25 "/>
      <sheetName val="Summary February'25"/>
      <sheetName val="Summary January'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4" t="str">
            <v>MK001</v>
          </cell>
          <cell r="AT4">
            <v>95.757584041187528</v>
          </cell>
        </row>
        <row r="5">
          <cell r="AT5">
            <v>95.858102632741591</v>
          </cell>
        </row>
        <row r="6">
          <cell r="AT6">
            <v>91.101781537342561</v>
          </cell>
        </row>
        <row r="7">
          <cell r="AT7">
            <v>96.220044255599106</v>
          </cell>
        </row>
        <row r="8">
          <cell r="AT8">
            <v>91.159176033097395</v>
          </cell>
        </row>
        <row r="9">
          <cell r="AT9">
            <v>86.497061610388243</v>
          </cell>
        </row>
        <row r="10">
          <cell r="AT10">
            <v>90.533857449292626</v>
          </cell>
        </row>
        <row r="11">
          <cell r="AT11">
            <v>95.482188504770065</v>
          </cell>
        </row>
      </sheetData>
      <sheetData sheetId="8">
        <row r="4">
          <cell r="A4" t="str">
            <v>MK001</v>
          </cell>
        </row>
      </sheetData>
      <sheetData sheetId="9"/>
      <sheetData sheetId="10">
        <row r="22">
          <cell r="E22">
            <v>5765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Summary February ' 26"/>
      <sheetName val="Summary January ' 26"/>
      <sheetName val="Summary December ' 25"/>
      <sheetName val="Packaging"/>
    </sheetNames>
    <sheetDataSet>
      <sheetData sheetId="0" refreshError="1"/>
      <sheetData sheetId="1" refreshError="1"/>
      <sheetData sheetId="2" refreshError="1"/>
      <sheetData sheetId="3">
        <row r="5">
          <cell r="AY5">
            <v>97.569471586586559</v>
          </cell>
        </row>
        <row r="6">
          <cell r="AY6">
            <v>98.85391885240027</v>
          </cell>
        </row>
        <row r="7">
          <cell r="AY7">
            <v>97.962509317492206</v>
          </cell>
        </row>
        <row r="8">
          <cell r="AY8">
            <v>98.851728693915732</v>
          </cell>
        </row>
        <row r="9">
          <cell r="AY9">
            <v>96.643783230525969</v>
          </cell>
        </row>
        <row r="10">
          <cell r="AY10">
            <v>94.324644249999125</v>
          </cell>
        </row>
        <row r="11">
          <cell r="AY11">
            <v>92.117541140378776</v>
          </cell>
        </row>
        <row r="12">
          <cell r="AY12">
            <v>97.208951553511497</v>
          </cell>
        </row>
        <row r="13">
          <cell r="AY13">
            <v>98.512076526938472</v>
          </cell>
        </row>
        <row r="14">
          <cell r="AY14">
            <v>95.253677266359389</v>
          </cell>
        </row>
        <row r="16">
          <cell r="A16" t="str">
            <v>SM011</v>
          </cell>
          <cell r="T16">
            <v>60</v>
          </cell>
          <cell r="U16">
            <v>105.43396226415094</v>
          </cell>
          <cell r="X16">
            <v>0.36041666666666666</v>
          </cell>
          <cell r="Y16">
            <v>0.54027777777777775</v>
          </cell>
          <cell r="Z16">
            <v>90</v>
          </cell>
          <cell r="AD16">
            <v>0.44999999999999996</v>
          </cell>
          <cell r="AH16">
            <v>53</v>
          </cell>
          <cell r="AK16">
            <v>16.899999999999999</v>
          </cell>
          <cell r="AM16">
            <v>51.4</v>
          </cell>
          <cell r="AY16">
            <v>93.855429141534003</v>
          </cell>
          <cell r="AZ16">
            <v>94.555302090855903</v>
          </cell>
          <cell r="BC16" t="str">
            <v>R.Sookram</v>
          </cell>
        </row>
        <row r="17">
          <cell r="A17" t="str">
            <v>SM012</v>
          </cell>
          <cell r="T17">
            <v>64</v>
          </cell>
          <cell r="U17">
            <v>-13.785310734463263</v>
          </cell>
          <cell r="X17">
            <v>0.69930555555555551</v>
          </cell>
          <cell r="Y17">
            <v>0.86250000000000004</v>
          </cell>
          <cell r="Z17">
            <v>77</v>
          </cell>
          <cell r="AD17">
            <v>0.5708333333333333</v>
          </cell>
          <cell r="AH17">
            <v>53.1</v>
          </cell>
          <cell r="AK17">
            <v>16</v>
          </cell>
          <cell r="AM17">
            <v>61</v>
          </cell>
          <cell r="AY17">
            <v>105.14531945603353</v>
          </cell>
          <cell r="AZ17">
            <v>105.92938027710885</v>
          </cell>
          <cell r="BC17" t="str">
            <v>R. Regis</v>
          </cell>
        </row>
        <row r="18">
          <cell r="A18" t="str">
            <v>SM013</v>
          </cell>
          <cell r="T18">
            <v>59</v>
          </cell>
          <cell r="U18">
            <v>11.185031185031189</v>
          </cell>
          <cell r="X18">
            <v>0.86527777777777781</v>
          </cell>
          <cell r="Y18">
            <v>0.98124999999999996</v>
          </cell>
          <cell r="Z18">
            <v>58</v>
          </cell>
          <cell r="AD18">
            <v>0.29374999999999996</v>
          </cell>
          <cell r="AH18">
            <v>48.1</v>
          </cell>
          <cell r="AK18">
            <v>19.5</v>
          </cell>
          <cell r="AM18">
            <v>44</v>
          </cell>
          <cell r="AY18">
            <v>93.755977480319771</v>
          </cell>
          <cell r="AZ18">
            <v>94.455108826006324</v>
          </cell>
          <cell r="BC18" t="str">
            <v>R. Regis</v>
          </cell>
        </row>
        <row r="19">
          <cell r="A19" t="str">
            <v>SM014</v>
          </cell>
          <cell r="T19">
            <v>60</v>
          </cell>
          <cell r="U19">
            <v>15.969868173258012</v>
          </cell>
          <cell r="X19">
            <v>1.0125</v>
          </cell>
          <cell r="Y19">
            <v>1.163888888888889</v>
          </cell>
          <cell r="Z19">
            <v>100</v>
          </cell>
          <cell r="AD19">
            <v>0.3305555555555556</v>
          </cell>
          <cell r="AH19">
            <v>53.1</v>
          </cell>
          <cell r="AK19">
            <v>17.600000000000001</v>
          </cell>
          <cell r="AM19">
            <v>50.8</v>
          </cell>
          <cell r="AY19">
            <v>98.497810820823545</v>
          </cell>
          <cell r="AZ19">
            <v>99.218976290625648</v>
          </cell>
          <cell r="BC19" t="str">
            <v>R.Sookram</v>
          </cell>
        </row>
        <row r="20">
          <cell r="A20" t="str">
            <v>SM015</v>
          </cell>
          <cell r="T20">
            <v>56</v>
          </cell>
          <cell r="U20">
            <v>16.18867924528303</v>
          </cell>
          <cell r="X20">
            <v>1.1923611111111112</v>
          </cell>
          <cell r="Y20">
            <v>1.3229166666666667</v>
          </cell>
          <cell r="Z20">
            <v>75</v>
          </cell>
          <cell r="AD20">
            <v>0.3090277777777779</v>
          </cell>
          <cell r="AH20">
            <v>53</v>
          </cell>
          <cell r="AK20">
            <v>17.399999999999999</v>
          </cell>
          <cell r="AM20">
            <v>51</v>
          </cell>
          <cell r="AY20">
            <v>97.678395385249857</v>
          </cell>
          <cell r="AZ20">
            <v>98.393561390570113</v>
          </cell>
          <cell r="BC20" t="str">
            <v>R.Sookram</v>
          </cell>
        </row>
        <row r="21">
          <cell r="A21" t="str">
            <v>SM016</v>
          </cell>
          <cell r="T21">
            <v>60</v>
          </cell>
          <cell r="U21">
            <v>12.768361581920907</v>
          </cell>
          <cell r="X21">
            <v>0.30069444444444443</v>
          </cell>
          <cell r="Y21">
            <v>0.44374999999999998</v>
          </cell>
          <cell r="Z21">
            <v>78</v>
          </cell>
          <cell r="AD21">
            <v>0.31874999999999998</v>
          </cell>
          <cell r="AH21">
            <v>53.1</v>
          </cell>
          <cell r="AK21">
            <v>17.3</v>
          </cell>
          <cell r="AM21">
            <v>51.5</v>
          </cell>
          <cell r="AY21">
            <v>97.894369029995005</v>
          </cell>
          <cell r="AZ21">
            <v>98.612459812382227</v>
          </cell>
          <cell r="BC21" t="str">
            <v>K. Benjamin</v>
          </cell>
        </row>
        <row r="22">
          <cell r="A22" t="str">
            <v>SM017</v>
          </cell>
          <cell r="T22">
            <v>60</v>
          </cell>
          <cell r="U22">
            <v>14.490566037735849</v>
          </cell>
          <cell r="X22">
            <v>0.43680555555555556</v>
          </cell>
          <cell r="Y22">
            <v>0.57916666666666672</v>
          </cell>
          <cell r="Z22">
            <v>94</v>
          </cell>
          <cell r="AD22">
            <v>0.33958333333333335</v>
          </cell>
          <cell r="AH22">
            <v>53</v>
          </cell>
          <cell r="AK22">
            <v>17.2</v>
          </cell>
          <cell r="AM22">
            <v>51.1</v>
          </cell>
          <cell r="AY22">
            <v>96.582095881806836</v>
          </cell>
          <cell r="AZ22">
            <v>97.289898452507032</v>
          </cell>
          <cell r="BC22" t="str">
            <v>K. Benjamin</v>
          </cell>
        </row>
        <row r="23">
          <cell r="A23" t="str">
            <v>SM018</v>
          </cell>
          <cell r="T23">
            <v>60</v>
          </cell>
          <cell r="U23">
            <v>13.358490566037744</v>
          </cell>
          <cell r="X23">
            <v>0.56666666666666665</v>
          </cell>
          <cell r="Y23">
            <v>0.72013888888888888</v>
          </cell>
          <cell r="Z23">
            <v>98</v>
          </cell>
          <cell r="AD23">
            <v>0.3347222222222222</v>
          </cell>
          <cell r="AH23">
            <v>53</v>
          </cell>
          <cell r="AK23">
            <v>17.2</v>
          </cell>
          <cell r="AM23">
            <v>53.3</v>
          </cell>
          <cell r="AY23">
            <v>100.57737346889346</v>
          </cell>
          <cell r="AZ23">
            <v>101.31583356327047</v>
          </cell>
          <cell r="BC23" t="str">
            <v>K. Benjamin</v>
          </cell>
        </row>
      </sheetData>
      <sheetData sheetId="4">
        <row r="5">
          <cell r="D5">
            <v>17.100000000000001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5th"/>
      <sheetName val="Jan 6th"/>
      <sheetName val="Jan 7th"/>
      <sheetName val="Jan 8th "/>
      <sheetName val="Jan 9th-10th"/>
      <sheetName val="Jan12th "/>
      <sheetName val="Jan13th"/>
      <sheetName val="Jan14th"/>
      <sheetName val="Jan15th"/>
      <sheetName val="Jan16-18th"/>
      <sheetName val="Jan19th "/>
      <sheetName val="Jan20th"/>
      <sheetName val="Jan21st"/>
      <sheetName val="Jan22nd"/>
      <sheetName val="Jan23rd"/>
      <sheetName val="Jan26th"/>
      <sheetName val="Jan27th"/>
      <sheetName val="Jan28th"/>
      <sheetName val="Jan29th"/>
      <sheetName val="Jan30th-31st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2">
          <cell r="L42">
            <v>97.828041735841467</v>
          </cell>
        </row>
        <row r="47">
          <cell r="L47">
            <v>6.0869565217391308</v>
          </cell>
        </row>
      </sheetData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5"/>
      <sheetName val="May_2025"/>
      <sheetName val="June_2025"/>
      <sheetName val="July_2025"/>
      <sheetName val="August_2025"/>
      <sheetName val="September_2025"/>
      <sheetName val="October_2025"/>
      <sheetName val="November_2025"/>
      <sheetName val="December_2025"/>
    </sheetNames>
    <sheetDataSet>
      <sheetData sheetId="0"/>
      <sheetData sheetId="1">
        <row r="3">
          <cell r="D3">
            <v>404.4</v>
          </cell>
          <cell r="E3">
            <v>401.28999999999996</v>
          </cell>
          <cell r="F3">
            <v>82</v>
          </cell>
          <cell r="G3">
            <v>309.22000000000003</v>
          </cell>
          <cell r="H3">
            <v>507.07</v>
          </cell>
          <cell r="K3">
            <v>101.1</v>
          </cell>
          <cell r="L3">
            <v>295.2</v>
          </cell>
          <cell r="N3">
            <v>31.700000000000003</v>
          </cell>
          <cell r="P3">
            <v>100.9</v>
          </cell>
          <cell r="R3">
            <v>162</v>
          </cell>
          <cell r="S3">
            <v>299.7</v>
          </cell>
          <cell r="T3">
            <v>198.89999999999998</v>
          </cell>
          <cell r="W3">
            <v>309.3</v>
          </cell>
          <cell r="Y3">
            <v>91.9</v>
          </cell>
          <cell r="Z3">
            <v>200.4</v>
          </cell>
          <cell r="AB3">
            <v>212.5</v>
          </cell>
          <cell r="AN3">
            <v>6.5893832099850433</v>
          </cell>
          <cell r="AQ3">
            <v>7.4664910432255231</v>
          </cell>
        </row>
        <row r="4">
          <cell r="AN4">
            <v>5.7398544512411318</v>
          </cell>
          <cell r="AQ4">
            <v>6.2442524170129747</v>
          </cell>
        </row>
        <row r="5">
          <cell r="AN5">
            <v>13.243826090033306</v>
          </cell>
          <cell r="AQ5">
            <v>12.623654161138989</v>
          </cell>
        </row>
        <row r="6">
          <cell r="AN6" t="e">
            <v>#DIV/0!</v>
          </cell>
          <cell r="AQ6">
            <v>4.6359882890480018</v>
          </cell>
        </row>
        <row r="7">
          <cell r="D7">
            <v>382</v>
          </cell>
          <cell r="E7">
            <v>381.4</v>
          </cell>
          <cell r="F7">
            <v>77.8</v>
          </cell>
          <cell r="G7">
            <v>274.5</v>
          </cell>
          <cell r="H7">
            <v>477.3</v>
          </cell>
          <cell r="K7">
            <v>97</v>
          </cell>
          <cell r="L7">
            <v>278.8</v>
          </cell>
          <cell r="N7">
            <v>29.8</v>
          </cell>
          <cell r="P7">
            <v>95.7</v>
          </cell>
          <cell r="R7">
            <v>157.19999999999999</v>
          </cell>
          <cell r="S7">
            <v>278.2</v>
          </cell>
          <cell r="T7">
            <v>190.2</v>
          </cell>
          <cell r="W7">
            <v>280.39999999999998</v>
          </cell>
          <cell r="Y7">
            <v>87.8</v>
          </cell>
          <cell r="Z7">
            <v>184.9</v>
          </cell>
          <cell r="AB7">
            <v>201.6</v>
          </cell>
          <cell r="AN7" t="e">
            <v>#DIV/0!</v>
          </cell>
          <cell r="AQ7" t="e">
            <v>#DIV/0!</v>
          </cell>
        </row>
        <row r="8">
          <cell r="AN8" t="e">
            <v>#DIV/0!</v>
          </cell>
          <cell r="AQ8">
            <v>7.9131369535794072</v>
          </cell>
        </row>
        <row r="9">
          <cell r="AN9">
            <v>7.7985362338171145</v>
          </cell>
          <cell r="AQ9">
            <v>4.7059150132172638</v>
          </cell>
        </row>
        <row r="10">
          <cell r="AN10" t="e">
            <v>#DIV/0!</v>
          </cell>
          <cell r="AQ10" t="e">
            <v>#DIV/0!</v>
          </cell>
        </row>
        <row r="11">
          <cell r="D11">
            <v>5.8442751702196611</v>
          </cell>
          <cell r="E11">
            <v>6.7265558452533165</v>
          </cell>
          <cell r="F11">
            <v>8.3606123105451484</v>
          </cell>
          <cell r="G11">
            <v>10.010237427829423</v>
          </cell>
          <cell r="H11">
            <v>4.9548868056772095</v>
          </cell>
          <cell r="K11">
            <v>1.489611037100792</v>
          </cell>
          <cell r="L11">
            <v>5.3279785809906119</v>
          </cell>
          <cell r="P11">
            <v>4.3156172758426958</v>
          </cell>
          <cell r="R11">
            <v>2.7270544450447356</v>
          </cell>
          <cell r="S11">
            <v>7.4725570300791437</v>
          </cell>
          <cell r="T11">
            <v>6.4395776772247295</v>
          </cell>
          <cell r="W11">
            <v>9.1227459190231617</v>
          </cell>
          <cell r="Y11">
            <v>6.9715420389096447</v>
          </cell>
          <cell r="Z11">
            <v>9.3610055529965681</v>
          </cell>
          <cell r="AB11">
            <v>4.1283422459893195</v>
          </cell>
          <cell r="AN11" t="e">
            <v>#DIV/0!</v>
          </cell>
          <cell r="AQ11" t="e">
            <v>#DIV/0!</v>
          </cell>
        </row>
        <row r="12">
          <cell r="AN12">
            <v>7.1707313789131133</v>
          </cell>
          <cell r="AQ12">
            <v>7.1180614091075416</v>
          </cell>
        </row>
        <row r="13">
          <cell r="L13">
            <v>199.15</v>
          </cell>
          <cell r="N13">
            <v>396.2</v>
          </cell>
          <cell r="O13">
            <v>396.90000000000003</v>
          </cell>
          <cell r="AA13">
            <v>393.6</v>
          </cell>
        </row>
        <row r="17">
          <cell r="L17">
            <v>188.10000000000002</v>
          </cell>
          <cell r="N17">
            <v>367.6</v>
          </cell>
          <cell r="O17">
            <v>367.1</v>
          </cell>
          <cell r="AA17">
            <v>374.1</v>
          </cell>
        </row>
        <row r="21">
          <cell r="L21">
            <v>5.9263871453678032</v>
          </cell>
          <cell r="AA21">
            <v>4.3435326672543786</v>
          </cell>
        </row>
        <row r="23">
          <cell r="G23">
            <v>206.3</v>
          </cell>
          <cell r="V23">
            <v>219.79999999999998</v>
          </cell>
        </row>
        <row r="28">
          <cell r="G28">
            <v>186</v>
          </cell>
          <cell r="V28">
            <v>191.10000000000002</v>
          </cell>
        </row>
        <row r="32">
          <cell r="G32">
            <v>12.537121640099599</v>
          </cell>
          <cell r="V32">
            <v>13.916854158971063</v>
          </cell>
        </row>
        <row r="55">
          <cell r="AC55">
            <v>208.89999999999998</v>
          </cell>
        </row>
        <row r="59">
          <cell r="AC59">
            <v>200.1</v>
          </cell>
        </row>
        <row r="63">
          <cell r="AC63">
            <v>5.5609305763580101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5"/>
      <sheetName val="May_2025"/>
      <sheetName val="June_2025"/>
      <sheetName val="July_2025"/>
      <sheetName val="August_2025"/>
      <sheetName val="August_2018 (2)"/>
      <sheetName val="September_2025"/>
      <sheetName val="October_2025"/>
      <sheetName val="November_2025"/>
      <sheetName val="December_2025"/>
      <sheetName val="March_2025"/>
    </sheetNames>
    <sheetDataSet>
      <sheetData sheetId="0">
        <row r="13">
          <cell r="AN13">
            <v>0.41029399255715049</v>
          </cell>
        </row>
      </sheetData>
      <sheetData sheetId="1" refreshError="1">
        <row r="13">
          <cell r="AN13">
            <v>0.3887953403572954</v>
          </cell>
          <cell r="AQ13">
            <v>0.39777343814731958</v>
          </cell>
        </row>
        <row r="14">
          <cell r="AN14">
            <v>0.45737082659367095</v>
          </cell>
          <cell r="AQ14">
            <v>0.53364949315775001</v>
          </cell>
        </row>
        <row r="15">
          <cell r="AN15">
            <v>0.16539473684210526</v>
          </cell>
          <cell r="AQ15">
            <v>0.33891812865497073</v>
          </cell>
        </row>
        <row r="16">
          <cell r="AN16" t="e">
            <v>#DIV/0!</v>
          </cell>
          <cell r="AQ16">
            <v>0.66833333333333345</v>
          </cell>
        </row>
        <row r="17">
          <cell r="AN17" t="e">
            <v>#DIV/0!</v>
          </cell>
          <cell r="AQ17" t="e">
            <v>#DIV/0!</v>
          </cell>
        </row>
        <row r="18">
          <cell r="D18">
            <v>0.42122807017543856</v>
          </cell>
          <cell r="E18">
            <v>0.66912280701754379</v>
          </cell>
          <cell r="F18">
            <v>0</v>
          </cell>
          <cell r="G18">
            <v>0.6701754385964912</v>
          </cell>
          <cell r="H18">
            <v>0.55824561403508766</v>
          </cell>
          <cell r="K18">
            <v>0.50017543859649127</v>
          </cell>
          <cell r="L18">
            <v>0.4891228070175439</v>
          </cell>
          <cell r="N18">
            <v>0.10456140350877194</v>
          </cell>
          <cell r="P18">
            <v>0.33578947368421053</v>
          </cell>
          <cell r="R18">
            <v>0.27578947368421053</v>
          </cell>
          <cell r="S18">
            <v>0.97614035087719297</v>
          </cell>
          <cell r="T18">
            <v>0.33368421052631575</v>
          </cell>
          <cell r="W18">
            <v>0.24596491228070175</v>
          </cell>
          <cell r="Y18">
            <v>0.15403508771929825</v>
          </cell>
          <cell r="Z18">
            <v>0.32438596491228072</v>
          </cell>
          <cell r="AB18">
            <v>0.23578947368421055</v>
          </cell>
          <cell r="AN18" t="e">
            <v>#DIV/0!</v>
          </cell>
          <cell r="AQ18">
            <v>1.3550877192982456</v>
          </cell>
        </row>
        <row r="19">
          <cell r="AN19">
            <v>0.70210526315789468</v>
          </cell>
          <cell r="AQ19">
            <v>0.82374269005847967</v>
          </cell>
        </row>
        <row r="20">
          <cell r="AN20" t="e">
            <v>#DIV/0!</v>
          </cell>
          <cell r="AQ20" t="e">
            <v>#DIV/0!</v>
          </cell>
        </row>
        <row r="21">
          <cell r="AN21" t="e">
            <v>#DIV/0!</v>
          </cell>
          <cell r="AQ21" t="e">
            <v>#DIV/0!</v>
          </cell>
        </row>
        <row r="22">
          <cell r="AN22">
            <v>0.39413530037214251</v>
          </cell>
          <cell r="AQ22">
            <v>0.482437508499932</v>
          </cell>
        </row>
        <row r="25">
          <cell r="L25">
            <v>0.50017543859649127</v>
          </cell>
          <cell r="N25">
            <v>0.42994152046783629</v>
          </cell>
          <cell r="O25">
            <v>0.2576140350877193</v>
          </cell>
          <cell r="AA25">
            <v>0.6563157894736843</v>
          </cell>
        </row>
        <row r="32">
          <cell r="G32">
            <v>0.16315789473684211</v>
          </cell>
          <cell r="V32">
            <v>0.16763157894736844</v>
          </cell>
        </row>
        <row r="53">
          <cell r="AC53">
            <v>0.70210526315789468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MTD"/>
      <sheetName val="YTD 2026"/>
    </sheetNames>
    <sheetDataSet>
      <sheetData sheetId="0">
        <row r="6">
          <cell r="J6">
            <v>48.3</v>
          </cell>
          <cell r="L6">
            <v>100</v>
          </cell>
        </row>
        <row r="7">
          <cell r="L7">
            <v>0</v>
          </cell>
        </row>
        <row r="8">
          <cell r="L8">
            <v>96.7</v>
          </cell>
        </row>
        <row r="9">
          <cell r="L9">
            <v>0</v>
          </cell>
        </row>
      </sheetData>
      <sheetData sheetId="1">
        <row r="6">
          <cell r="J6">
            <v>51.4</v>
          </cell>
          <cell r="S6">
            <v>4.4000000000000004</v>
          </cell>
        </row>
      </sheetData>
      <sheetData sheetId="2">
        <row r="6">
          <cell r="J6">
            <v>8.1000000000000014</v>
          </cell>
        </row>
      </sheetData>
      <sheetData sheetId="3" refreshError="1"/>
      <sheetData sheetId="4">
        <row r="6">
          <cell r="I6">
            <v>51.4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E5">
            <v>6.2840625973217117</v>
          </cell>
        </row>
        <row r="6">
          <cell r="E6">
            <v>6.4184435544972427</v>
          </cell>
        </row>
        <row r="7">
          <cell r="E7">
            <v>13.350183823529404</v>
          </cell>
        </row>
        <row r="8">
          <cell r="E8" t="e">
            <v>#DIV/0!</v>
          </cell>
        </row>
        <row r="9">
          <cell r="E9" t="e">
            <v>#DIV/0!</v>
          </cell>
        </row>
        <row r="10">
          <cell r="E10" t="e">
            <v>#DIV/0!</v>
          </cell>
        </row>
        <row r="11">
          <cell r="E11">
            <v>6.2786766481526062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6.7977047325313649</v>
          </cell>
        </row>
      </sheetData>
      <sheetData sheetId="11">
        <row r="5">
          <cell r="E5">
            <v>7.3039460765120872</v>
          </cell>
        </row>
        <row r="6">
          <cell r="E6">
            <v>6.2142510274519545</v>
          </cell>
        </row>
        <row r="7">
          <cell r="E7">
            <v>12.433093745220976</v>
          </cell>
        </row>
        <row r="8">
          <cell r="E8">
            <v>5.0755456997699637</v>
          </cell>
        </row>
        <row r="9">
          <cell r="E9" t="e">
            <v>#DIV/0!</v>
          </cell>
        </row>
        <row r="10">
          <cell r="E10">
            <v>5.1105651105651271</v>
          </cell>
        </row>
        <row r="11">
          <cell r="E11">
            <v>3.9401442566476499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6.8688093662774454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2578125" defaultRowHeight="14.25"/>
  <cols>
    <col min="1" max="1" width="3.42578125" style="275" customWidth="1"/>
    <col min="2" max="2" width="20.7109375" style="275" customWidth="1"/>
    <col min="3" max="3" width="13.42578125" style="275" customWidth="1"/>
    <col min="4" max="4" width="11.5703125" style="275" customWidth="1"/>
    <col min="5" max="5" width="12.42578125" style="275" customWidth="1"/>
    <col min="6" max="6" width="11.42578125" style="275" customWidth="1"/>
    <col min="7" max="7" width="13.42578125" style="275" customWidth="1"/>
    <col min="8" max="8" width="12.42578125" style="275" customWidth="1"/>
    <col min="9" max="9" width="17.5703125" style="275" customWidth="1"/>
    <col min="10" max="10" width="25.28515625" style="275" customWidth="1"/>
    <col min="11" max="11" width="18.5703125" style="275" customWidth="1"/>
    <col min="12" max="12" width="15.7109375" style="275" customWidth="1"/>
    <col min="13" max="13" width="27.5703125" style="275" customWidth="1"/>
    <col min="14" max="14" width="13.28515625" style="275" customWidth="1"/>
    <col min="15" max="15" width="19.42578125" style="275" customWidth="1"/>
    <col min="16" max="16" width="36.5703125" style="6" customWidth="1"/>
    <col min="17" max="17" width="14" style="275" hidden="1" customWidth="1"/>
    <col min="18" max="18" width="16.5703125" style="275" customWidth="1"/>
    <col min="19" max="19" width="15.7109375" style="275" bestFit="1" customWidth="1"/>
    <col min="20" max="20" width="12.42578125" style="275" customWidth="1"/>
    <col min="21" max="21" width="15" style="275" customWidth="1"/>
    <col min="22" max="22" width="12" style="275" customWidth="1"/>
    <col min="23" max="23" width="10.42578125" style="275" customWidth="1"/>
    <col min="24" max="24" width="11.42578125" style="275" customWidth="1"/>
    <col min="25" max="25" width="10.42578125" style="275" customWidth="1"/>
    <col min="26" max="26" width="8.42578125" style="275" customWidth="1"/>
    <col min="27" max="27" width="9.5703125" style="275" customWidth="1"/>
    <col min="28" max="28" width="8.42578125" style="275" customWidth="1"/>
    <col min="29" max="30" width="7.5703125" style="275" customWidth="1"/>
    <col min="31" max="52" width="9.42578125" style="275"/>
    <col min="53" max="53" width="1.5703125" style="275" customWidth="1"/>
    <col min="54" max="55" width="9.42578125" style="275"/>
    <col min="56" max="57" width="15.42578125" style="275" customWidth="1"/>
    <col min="58" max="16384" width="9.42578125" style="275"/>
  </cols>
  <sheetData>
    <row r="1" spans="2:30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54" t="s">
        <v>0</v>
      </c>
      <c r="U1" s="554"/>
      <c r="V1" s="554" t="s">
        <v>1</v>
      </c>
      <c r="W1" s="554"/>
      <c r="X1" s="554" t="s">
        <v>2</v>
      </c>
      <c r="Y1" s="554"/>
      <c r="Z1" s="554" t="s">
        <v>124</v>
      </c>
      <c r="AA1" s="554"/>
    </row>
    <row r="2" spans="2:30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97">
        <v>45278</v>
      </c>
      <c r="D4" s="497"/>
      <c r="J4" s="552" t="s">
        <v>153</v>
      </c>
      <c r="K4" s="552"/>
      <c r="L4" s="11"/>
      <c r="M4" s="491" t="s">
        <v>8</v>
      </c>
      <c r="N4" s="492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53"/>
      <c r="K5" s="553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55" t="s">
        <v>151</v>
      </c>
      <c r="K6" s="556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57"/>
      <c r="K7" s="558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152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26</v>
      </c>
      <c r="O8" s="500"/>
      <c r="P8" s="549" t="s">
        <v>28</v>
      </c>
      <c r="Q8" s="560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496"/>
      <c r="P9" s="559"/>
      <c r="Q9" s="561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5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5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5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11" t="s">
        <v>34</v>
      </c>
      <c r="J48" s="511"/>
      <c r="K48" s="511"/>
      <c r="L48" s="511"/>
      <c r="M48" s="511"/>
      <c r="N48" s="511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30.75" thickBot="1">
      <c r="B49" s="388" t="s">
        <v>145</v>
      </c>
      <c r="C49" s="388"/>
      <c r="D49" s="512" t="s">
        <v>35</v>
      </c>
      <c r="E49" s="513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14" t="s">
        <v>9</v>
      </c>
      <c r="C50" s="362">
        <v>11.8</v>
      </c>
      <c r="D50" s="517">
        <v>11.73</v>
      </c>
      <c r="E50" s="518"/>
      <c r="F50" s="294"/>
      <c r="G50" s="294"/>
      <c r="H50" s="294"/>
      <c r="I50" s="29" t="s">
        <v>6</v>
      </c>
      <c r="J50" s="323"/>
      <c r="K50" s="284">
        <f>COUNTA([12]Brewhouse!$A$1596:$A$1619)</f>
        <v>24</v>
      </c>
      <c r="L50" s="302">
        <f>AVERAGE([12]Brewhouse!$AU$1529,[12]Brewhouse!$AU$1531:$AU$1594,[12]Brewhouse!$AU$1596:$AU$1619)</f>
        <v>98.205761326291494</v>
      </c>
      <c r="M50" s="302">
        <f>AVERAGE([12]Brewhouse!$AU$849:$AU$924,[12]Brewhouse!$AU$926:$AU$971,[12]Brewhouse!$AU$973:$AU$1066,[12]Brewhouse!$AU$1068:$AU$1111,[12]Brewhouse!$AU$1113:$AU$1132,[12]Brewhouse!$AU$1134:$AU$1167,[12]Brewhouse!$AU$1169:$AU$1230,[12]Brewhouse!$AU$1232:$AU$1299,[12]Brewhouse!$AU$1301:$AU$1363,[12]Brewhouse!$AU$1365:$AU$1444,[12]Brewhouse!$AU$1446:$AU$1527,[12]Brewhouse!$AU$1529,[12]Brewhouse!$AU$1531:$AU$1594,[12]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15"/>
      <c r="C51" s="349">
        <v>11.9</v>
      </c>
      <c r="D51" s="519"/>
      <c r="E51" s="520"/>
      <c r="F51" s="294"/>
      <c r="G51" s="294"/>
      <c r="H51" s="32"/>
      <c r="I51" s="33" t="s">
        <v>9</v>
      </c>
      <c r="J51" s="323"/>
      <c r="K51" s="284">
        <f>COUNTA([13]Brewhouse!$A$976:$A$1007)</f>
        <v>32</v>
      </c>
      <c r="L51" s="302">
        <f>AVERAGE([13]Brewhouse!$AS$976:$AS$979,[13]Brewhouse!$AS$981:$AS$1007)</f>
        <v>98.538566771868645</v>
      </c>
      <c r="M51" s="302">
        <f>AVERAGE([13]Brewhouse!$AS$577:$AS$618,[13]Brewhouse!$AS$620:$AS$651,[13]Brewhouse!$AS$653:$AS$696,[13]Brewhouse!$AS$698:$AS$708,[13]Brewhouse!$AS$710:$AS$733,[13]Brewhouse!$AS$735:$AS$777,[13]Brewhouse!$AS$779:$AS$822,[13]Brewhouse!$AS$824:$AS$863,[13]Brewhouse!$AS$865:$AS$974,[13]Brewhouse!$AS$976:$AS$979,[13]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65" customHeight="1">
      <c r="A52" s="28"/>
      <c r="B52" s="515"/>
      <c r="C52" s="349"/>
      <c r="D52" s="517"/>
      <c r="E52" s="518"/>
      <c r="F52" s="294"/>
      <c r="G52" s="294"/>
      <c r="H52" s="32"/>
      <c r="I52" s="34" t="s">
        <v>12</v>
      </c>
      <c r="J52" s="280"/>
      <c r="K52" s="284">
        <f>COUNTA([14]Brewhouse!$A$282:$A$289)</f>
        <v>8</v>
      </c>
      <c r="L52" s="302">
        <f>AVERAGE([14]Brewhouse!$AU$269:$AU$279,[14]Brewhouse!$AU$282:$AU$289)</f>
        <v>96.1861768599382</v>
      </c>
      <c r="M52" s="302">
        <f>AVERAGE([14]Brewhouse!$AU$161:$AU$176,[14]Brewhouse!$AU$178:$AU$195,[14]Brewhouse!$AU$197:$AU$208,[14]Brewhouse!$AU$210:$AU$221,[14]Brewhouse!$AU$223:$AU$232,[14]Brewhouse!$AU$234:$AU$279,[14]Brewhouse!$AU$282:$AU$289)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65" customHeight="1">
      <c r="A53" s="28"/>
      <c r="B53" s="515"/>
      <c r="C53" s="349"/>
      <c r="D53" s="519"/>
      <c r="E53" s="520"/>
      <c r="F53" s="294"/>
      <c r="G53" s="294"/>
      <c r="H53" s="32"/>
      <c r="I53" s="22" t="s">
        <v>33</v>
      </c>
      <c r="J53" s="280"/>
      <c r="K53" s="284">
        <f>COUNTA([15]Brewhouse!$A$158:$A$163)</f>
        <v>6</v>
      </c>
      <c r="L53" s="302">
        <f>AVERAGE([15]Brewhouse!$AU$158:$AU$163)</f>
        <v>94.603050114691541</v>
      </c>
      <c r="M53" s="302">
        <f>AVERAGE([15]Brewhouse!$AU$91:$AU$101,[15]Brewhouse!$AU$103:$AU$112,[15]Brewhouse!$AU$114:$AU$123,[15]Brewhouse!$AU$125:$AU$134,[15]Brewhouse!$AU$136:$AU$145,[15]Brewhouse!$AU$147:$AU$156,[15]Brewhouse!$AU$158:$AU$163)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65" customHeight="1">
      <c r="A54" s="28"/>
      <c r="B54" s="515"/>
      <c r="C54" s="349"/>
      <c r="D54" s="517"/>
      <c r="E54" s="518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65" customHeight="1">
      <c r="A55" s="28"/>
      <c r="B55" s="515"/>
      <c r="C55" s="349"/>
      <c r="D55" s="519"/>
      <c r="E55" s="520"/>
      <c r="F55" s="294"/>
      <c r="G55" s="294"/>
      <c r="H55" s="32"/>
      <c r="I55" s="36" t="s">
        <v>15</v>
      </c>
      <c r="J55" s="323"/>
      <c r="K55" s="284"/>
      <c r="L55" s="302"/>
      <c r="M55" s="302">
        <f>AVERAGE([16]Brewhouse!$AT$74:$AT$79)</f>
        <v>93.95983649860375</v>
      </c>
      <c r="N55" s="30">
        <v>98</v>
      </c>
      <c r="O55" s="11"/>
      <c r="P55" s="31"/>
      <c r="S55" s="23"/>
    </row>
    <row r="56" spans="1:27" ht="14.65" customHeight="1">
      <c r="A56" s="28"/>
      <c r="B56" s="515"/>
      <c r="C56" s="349"/>
      <c r="D56" s="517"/>
      <c r="E56" s="518"/>
      <c r="F56" s="294"/>
      <c r="G56" s="294"/>
      <c r="H56" s="32"/>
      <c r="I56" s="37" t="s">
        <v>16</v>
      </c>
      <c r="J56" s="323"/>
      <c r="K56" s="284">
        <f>COUNTA([17]Brewhouse!$A$249:$A$254)</f>
        <v>6</v>
      </c>
      <c r="L56" s="302">
        <f>AVERAGE([17]Brewhouse!$AY$249:$AY$254)</f>
        <v>99.681996476494263</v>
      </c>
      <c r="M56" s="302">
        <f>AVERAGE([17]Brewhouse!$AY$138:$AY$143,[17]Brewhouse!$AY$145:$AY$153,[17]Brewhouse!$AY$155,[17]Brewhouse!$AY$156:$AY$174,[17]Brewhouse!$AY$176:$AY$185,[17]Brewhouse!$AY$187:$AY$198,[17]Brewhouse!$AY$200:$AY$247,[17]Brewhouse!$AY$249:$AY$254)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65" customHeight="1">
      <c r="A57" s="28"/>
      <c r="B57" s="515"/>
      <c r="C57" s="349"/>
      <c r="D57" s="519"/>
      <c r="E57" s="520"/>
      <c r="F57" s="294"/>
      <c r="G57" s="294"/>
      <c r="H57" s="32"/>
      <c r="I57" s="306" t="s">
        <v>137</v>
      </c>
      <c r="J57" s="326"/>
      <c r="K57" s="284"/>
      <c r="L57" s="305"/>
      <c r="M57" s="305">
        <f>AVERAGE([18]Brewhouse!$AW$13:$AW$14,[18]Brewhouse!$AW$16:$AW$17)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15"/>
      <c r="C58" s="349"/>
      <c r="D58" s="562"/>
      <c r="E58" s="563"/>
      <c r="F58" s="294"/>
      <c r="G58" s="294"/>
      <c r="H58" s="32"/>
      <c r="I58" s="38" t="s">
        <v>125</v>
      </c>
      <c r="J58" s="327"/>
      <c r="K58" s="284"/>
      <c r="L58" s="328"/>
      <c r="M58" s="328">
        <f>AVERAGE([18]Brewhouse!$AW$13:$AW$14)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15"/>
      <c r="C59" s="349"/>
      <c r="D59" s="564"/>
      <c r="E59" s="565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AVERAGE('[19]Closing- January 2023'!$L$42,'[20]Feb. 28th'!$L$42,'[21]March 31st'!$L$75,'[22]Apri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15"/>
      <c r="C60" s="349"/>
      <c r="D60" s="562"/>
      <c r="E60" s="563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24"/>
      <c r="C61" s="350"/>
      <c r="D61" s="566"/>
      <c r="E61" s="567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.75" thickBot="1">
      <c r="B62" s="568"/>
      <c r="C62" s="362"/>
      <c r="D62" s="525"/>
      <c r="E62" s="526"/>
      <c r="F62" s="43"/>
      <c r="G62" s="41"/>
      <c r="H62" s="41"/>
      <c r="I62" s="42"/>
      <c r="J62" s="571" t="s">
        <v>129</v>
      </c>
      <c r="K62" s="571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69"/>
      <c r="C63" s="349"/>
      <c r="D63" s="523"/>
      <c r="E63" s="520"/>
      <c r="F63" s="43"/>
      <c r="G63" s="41"/>
      <c r="H63" s="41"/>
      <c r="I63" s="42"/>
      <c r="J63" s="292" t="s">
        <v>17</v>
      </c>
      <c r="K63" s="293" t="s">
        <v>147</v>
      </c>
      <c r="L63" s="528" t="s">
        <v>136</v>
      </c>
      <c r="M63" s="528"/>
      <c r="N63" s="529"/>
      <c r="O63" s="294"/>
      <c r="P63" s="12"/>
      <c r="S63" s="23"/>
    </row>
    <row r="64" spans="1:27" ht="15" customHeight="1" thickBot="1">
      <c r="B64" s="569"/>
      <c r="C64" s="349"/>
      <c r="D64" s="572"/>
      <c r="E64" s="518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69"/>
      <c r="C65" s="349"/>
      <c r="D65" s="523"/>
      <c r="E65" s="520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AVERAGE(6,6,'[21]March 31st'!$L$80,'[23]June 30th  '!$L$71,6,L65,'[24]July 31st'!$L$108,'[25]Aug 30th'!$L$124,7,[26]Oct.31st!$L$51)</f>
        <v>#REF!</v>
      </c>
      <c r="N65" s="308">
        <v>9</v>
      </c>
      <c r="O65" s="294"/>
      <c r="P65" s="12"/>
      <c r="S65" s="23"/>
    </row>
    <row r="66" spans="2:58" ht="15" customHeight="1">
      <c r="B66" s="569"/>
      <c r="C66" s="349"/>
      <c r="D66" s="572"/>
      <c r="E66" s="518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69"/>
      <c r="C67" s="349"/>
      <c r="D67" s="523"/>
      <c r="E67" s="520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5">
      <c r="B68" s="569"/>
      <c r="C68" s="349"/>
      <c r="D68" s="572"/>
      <c r="E68" s="518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">
      <c r="B69" s="569"/>
      <c r="C69" s="349"/>
      <c r="D69" s="523"/>
      <c r="E69" s="520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">
      <c r="B70" s="569"/>
      <c r="C70" s="349"/>
      <c r="D70" s="573"/>
      <c r="E70" s="563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.75" thickBot="1">
      <c r="B71" s="570"/>
      <c r="C71" s="350"/>
      <c r="D71" s="574"/>
      <c r="E71" s="575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649999999999999" customHeight="1" thickBot="1">
      <c r="B72" s="312" t="s">
        <v>139</v>
      </c>
      <c r="C72" s="313"/>
      <c r="D72" s="576">
        <f>AVERAGE(D50:E71)</f>
        <v>11.73</v>
      </c>
      <c r="E72" s="577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649999999999999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34" t="s">
        <v>17</v>
      </c>
      <c r="C77" s="534" t="s">
        <v>44</v>
      </c>
      <c r="D77" s="537" t="s">
        <v>45</v>
      </c>
      <c r="E77" s="500" t="s">
        <v>46</v>
      </c>
      <c r="F77" s="509" t="s">
        <v>47</v>
      </c>
      <c r="G77" s="546" t="s">
        <v>48</v>
      </c>
      <c r="H77" s="534" t="s">
        <v>49</v>
      </c>
      <c r="I77" s="578" t="s">
        <v>50</v>
      </c>
      <c r="J77" s="540" t="s">
        <v>28</v>
      </c>
      <c r="K77" s="498" t="s">
        <v>51</v>
      </c>
      <c r="L77" s="549" t="s">
        <v>52</v>
      </c>
      <c r="M77" s="540" t="s">
        <v>53</v>
      </c>
      <c r="N77" s="77"/>
      <c r="O77" s="13"/>
      <c r="P77" s="50"/>
    </row>
    <row r="78" spans="2:58" ht="28.5" customHeight="1" thickTop="1" thickBot="1">
      <c r="B78" s="536"/>
      <c r="C78" s="536"/>
      <c r="D78" s="538"/>
      <c r="E78" s="539"/>
      <c r="F78" s="551"/>
      <c r="G78" s="547"/>
      <c r="H78" s="536"/>
      <c r="I78" s="579"/>
      <c r="J78" s="541"/>
      <c r="K78" s="548"/>
      <c r="L78" s="550"/>
      <c r="M78" s="541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[27]December_2023!$U$13</f>
        <v>150.4</v>
      </c>
      <c r="E79" s="378"/>
      <c r="F79" s="379"/>
      <c r="G79" s="303">
        <f>[27]December_2023!$U$17</f>
        <v>120.8</v>
      </c>
      <c r="H79" s="381"/>
      <c r="I79" s="382"/>
      <c r="J79" s="360" t="s">
        <v>150</v>
      </c>
      <c r="K79" s="380">
        <f>[28]December_2023!$U$25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[10]January_2019!D8</f>
        <v>#DIV/0!</v>
      </c>
      <c r="V80" s="57">
        <f>[10]January_2019!E8</f>
        <v>1.0319298245614037</v>
      </c>
      <c r="W80" s="57">
        <f>[10]January_2019!F8</f>
        <v>1.7789473684210526</v>
      </c>
      <c r="X80" s="57">
        <f>[10]January_2019!G8</f>
        <v>0.51929824561403504</v>
      </c>
      <c r="Y80" s="57" t="e">
        <f>[10]January_2019!H8</f>
        <v>#DIV/0!</v>
      </c>
      <c r="Z80" s="57" t="e">
        <f>[10]January_2019!I8</f>
        <v>#DIV/0!</v>
      </c>
      <c r="AA80" s="57">
        <f>[10]January_2019!J8</f>
        <v>1.365263157894737</v>
      </c>
      <c r="AB80" s="57" t="e">
        <f>[10]January_2019!K8</f>
        <v>#DIV/0!</v>
      </c>
      <c r="AC80" s="57">
        <f>[10]January_2019!L8</f>
        <v>1.0028070175438597</v>
      </c>
      <c r="AD80" s="57">
        <f>[10]January_2019!M8</f>
        <v>1.7828070175438597</v>
      </c>
      <c r="AE80" s="57" t="e">
        <f>[10]January_2019!N8</f>
        <v>#DIV/0!</v>
      </c>
      <c r="AF80" s="57" t="e">
        <f>[10]January_2019!O8</f>
        <v>#DIV/0!</v>
      </c>
      <c r="AG80" s="57">
        <f>[10]January_2019!P8</f>
        <v>0.19222222222222221</v>
      </c>
      <c r="AH80" s="57">
        <f>[10]January_2019!Q8</f>
        <v>0.52219298245614032</v>
      </c>
      <c r="AI80" s="57">
        <f>[10]January_2019!R8</f>
        <v>0.42912280701754385</v>
      </c>
      <c r="AJ80" s="57" t="e">
        <f>[10]January_2019!S8</f>
        <v>#DIV/0!</v>
      </c>
      <c r="AK80" s="57">
        <f>[10]January_2019!T8</f>
        <v>1.0340350877192983</v>
      </c>
      <c r="AL80" s="57">
        <f>[10]January_2019!U8</f>
        <v>0.98421052631578942</v>
      </c>
      <c r="AM80" s="57" t="e">
        <f>[10]January_2019!V8</f>
        <v>#DIV/0!</v>
      </c>
      <c r="AN80" s="57" t="e">
        <f>[10]January_2019!W8</f>
        <v>#DIV/0!</v>
      </c>
      <c r="AO80" s="57">
        <f>[10]January_2019!X8</f>
        <v>0.66052631578947374</v>
      </c>
      <c r="AP80" s="57">
        <f>[10]January_2019!Y8</f>
        <v>1.0375438596491227</v>
      </c>
      <c r="AQ80" s="57">
        <f>[10]January_2019!Z8</f>
        <v>0.90456140350877201</v>
      </c>
      <c r="AR80" s="57">
        <f>[10]January_2019!AA8</f>
        <v>1.0217543859649123</v>
      </c>
      <c r="AS80" s="57">
        <f>[10]January_2019!AB8</f>
        <v>0.65614035087719302</v>
      </c>
      <c r="AT80" s="57" t="e">
        <f>[10]January_2019!AC8</f>
        <v>#DIV/0!</v>
      </c>
      <c r="AU80" s="57" t="e">
        <f>[10]January_2019!AD8</f>
        <v>#DIV/0!</v>
      </c>
      <c r="AV80" s="57">
        <f>[10]January_2019!AE8</f>
        <v>1.7021052631578948</v>
      </c>
      <c r="AW80" s="57">
        <f>[10]January_2019!AF8</f>
        <v>0.60192982456140354</v>
      </c>
      <c r="AX80" s="57">
        <f>[10]January_2019!AG8</f>
        <v>1.4870175438596491</v>
      </c>
      <c r="AY80" s="277" t="e">
        <f>[10]January_2019!AH8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5.75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5.75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5.75" thickBot="1">
      <c r="B87" s="542" t="s">
        <v>55</v>
      </c>
      <c r="C87" s="543"/>
      <c r="D87" s="543"/>
      <c r="E87" s="543"/>
      <c r="F87" s="544"/>
      <c r="G87" s="542" t="s">
        <v>56</v>
      </c>
      <c r="H87" s="543"/>
      <c r="I87" s="543"/>
      <c r="J87" s="544"/>
      <c r="K87" s="542" t="s">
        <v>51</v>
      </c>
      <c r="L87" s="543"/>
      <c r="M87" s="543"/>
      <c r="N87" s="545"/>
      <c r="O87" s="56"/>
      <c r="P87" s="50"/>
    </row>
    <row r="88" spans="2:58" ht="15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 ht="15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 ht="15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[27]December_2023!$U$21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 ht="15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 ht="15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 ht="15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 ht="15">
      <c r="B94" s="36" t="s">
        <v>15</v>
      </c>
      <c r="C94" s="282"/>
      <c r="D94" s="76"/>
      <c r="E94" s="76">
        <v>6.4174306465055304</v>
      </c>
      <c r="F94" s="70">
        <f>[11]May_2022!$M$43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 ht="15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5.75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 ht="15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  <mergeCell ref="D72:E72"/>
    <mergeCell ref="B77:B78"/>
    <mergeCell ref="C77:C78"/>
    <mergeCell ref="D77:D78"/>
    <mergeCell ref="E77:E78"/>
    <mergeCell ref="B62:B71"/>
    <mergeCell ref="D62:E63"/>
    <mergeCell ref="J62:K62"/>
    <mergeCell ref="L63:N63"/>
    <mergeCell ref="D64:E65"/>
    <mergeCell ref="D66:E67"/>
    <mergeCell ref="D68:E69"/>
    <mergeCell ref="D70:E71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J4:K5"/>
    <mergeCell ref="M4:N4"/>
    <mergeCell ref="T1:U1"/>
    <mergeCell ref="V1:W1"/>
  </mergeCells>
  <conditionalFormatting sqref="B72:B73">
    <cfRule type="cellIs" dxfId="3546" priority="157" operator="notBetween">
      <formula>#REF!</formula>
      <formula>#REF!</formula>
    </cfRule>
  </conditionalFormatting>
  <conditionalFormatting sqref="C76">
    <cfRule type="cellIs" dxfId="3545" priority="190" stopIfTrue="1" operator="greaterThan">
      <formula>100</formula>
    </cfRule>
    <cfRule type="cellIs" dxfId="3544" priority="189" stopIfTrue="1" operator="lessThan">
      <formula>96</formula>
    </cfRule>
  </conditionalFormatting>
  <conditionalFormatting sqref="C90">
    <cfRule type="cellIs" dxfId="3543" priority="212" stopIfTrue="1" operator="greaterThan">
      <formula>$F89</formula>
    </cfRule>
    <cfRule type="cellIs" dxfId="3542" priority="106" stopIfTrue="1" operator="lessThanOrEqual">
      <formula>0</formula>
    </cfRule>
  </conditionalFormatting>
  <conditionalFormatting sqref="C91:C93">
    <cfRule type="cellIs" dxfId="3541" priority="105" stopIfTrue="1" operator="greaterThan">
      <formula>$F91</formula>
    </cfRule>
  </conditionalFormatting>
  <conditionalFormatting sqref="C91:C94">
    <cfRule type="cellIs" dxfId="3540" priority="129" stopIfTrue="1" operator="lessThanOrEqual">
      <formula>0</formula>
    </cfRule>
  </conditionalFormatting>
  <conditionalFormatting sqref="C94">
    <cfRule type="cellIs" dxfId="3539" priority="128" stopIfTrue="1" operator="greaterThan">
      <formula>$J94</formula>
    </cfRule>
  </conditionalFormatting>
  <conditionalFormatting sqref="C95:C97">
    <cfRule type="cellIs" dxfId="3538" priority="145" stopIfTrue="1" operator="greaterThan">
      <formula>$F95</formula>
    </cfRule>
    <cfRule type="cellIs" dxfId="3537" priority="146" stopIfTrue="1" operator="lessThanOrEqual">
      <formula>0</formula>
    </cfRule>
  </conditionalFormatting>
  <conditionalFormatting sqref="C100:C104">
    <cfRule type="cellIs" dxfId="3536" priority="181" stopIfTrue="1" operator="lessThanOrEqual">
      <formula>0</formula>
    </cfRule>
  </conditionalFormatting>
  <conditionalFormatting sqref="C101:C104">
    <cfRule type="cellIs" dxfId="3535" priority="180" stopIfTrue="1" operator="greaterThan">
      <formula>$F$100</formula>
    </cfRule>
  </conditionalFormatting>
  <conditionalFormatting sqref="C106">
    <cfRule type="cellIs" dxfId="3534" priority="183" stopIfTrue="1" operator="lessThanOrEqual">
      <formula>0</formula>
    </cfRule>
    <cfRule type="cellIs" dxfId="3533" priority="182" stopIfTrue="1" operator="greaterThan">
      <formula>$F$100</formula>
    </cfRule>
  </conditionalFormatting>
  <conditionalFormatting sqref="C100:D100 D102:D108">
    <cfRule type="cellIs" dxfId="3532" priority="175" stopIfTrue="1" operator="greaterThan">
      <formula>4.5</formula>
    </cfRule>
  </conditionalFormatting>
  <conditionalFormatting sqref="D72:D73">
    <cfRule type="cellIs" dxfId="3531" priority="158" operator="notBetween">
      <formula>#REF!</formula>
      <formula>#REF!</formula>
    </cfRule>
  </conditionalFormatting>
  <conditionalFormatting sqref="D89:D96">
    <cfRule type="cellIs" dxfId="3530" priority="144" stopIfTrue="1" operator="lessThanOrEqual">
      <formula>0</formula>
    </cfRule>
  </conditionalFormatting>
  <conditionalFormatting sqref="D97">
    <cfRule type="cellIs" dxfId="3529" priority="143" stopIfTrue="1" operator="lessThanOrEqual">
      <formula>0</formula>
    </cfRule>
  </conditionalFormatting>
  <conditionalFormatting sqref="D100 D102:D108">
    <cfRule type="cellIs" dxfId="3528" priority="176" stopIfTrue="1" operator="lessThanOrEqual">
      <formula>0</formula>
    </cfRule>
  </conditionalFormatting>
  <conditionalFormatting sqref="D101">
    <cfRule type="cellIs" dxfId="3527" priority="167" stopIfTrue="1" operator="greaterThan">
      <formula>$F$100</formula>
    </cfRule>
    <cfRule type="cellIs" dxfId="3526" priority="168" stopIfTrue="1" operator="lessThanOrEqual">
      <formula>0</formula>
    </cfRule>
  </conditionalFormatting>
  <conditionalFormatting sqref="D89:E97">
    <cfRule type="cellIs" dxfId="3525" priority="135" stopIfTrue="1" operator="greaterThan">
      <formula>$F89</formula>
    </cfRule>
  </conditionalFormatting>
  <conditionalFormatting sqref="E10:E14">
    <cfRule type="cellIs" dxfId="3524" priority="52" operator="lessThan">
      <formula>48</formula>
    </cfRule>
  </conditionalFormatting>
  <conditionalFormatting sqref="E33:E46">
    <cfRule type="cellIs" dxfId="3523" priority="25" operator="lessThan">
      <formula>48</formula>
    </cfRule>
  </conditionalFormatting>
  <conditionalFormatting sqref="E76">
    <cfRule type="cellIs" dxfId="3522" priority="169" stopIfTrue="1" operator="lessThan">
      <formula>96.8</formula>
    </cfRule>
    <cfRule type="cellIs" dxfId="3521" priority="170" stopIfTrue="1" operator="greaterThan">
      <formula>100</formula>
    </cfRule>
  </conditionalFormatting>
  <conditionalFormatting sqref="E89:E97">
    <cfRule type="cellIs" dxfId="3520" priority="136" stopIfTrue="1" operator="lessThanOrEqual">
      <formula>0</formula>
    </cfRule>
  </conditionalFormatting>
  <conditionalFormatting sqref="E100:E108">
    <cfRule type="cellIs" dxfId="3519" priority="161" stopIfTrue="1" operator="greaterThan">
      <formula>4.5</formula>
    </cfRule>
    <cfRule type="cellIs" dxfId="3518" priority="162" stopIfTrue="1" operator="lessThanOrEqual">
      <formula>0</formula>
    </cfRule>
  </conditionalFormatting>
  <conditionalFormatting sqref="E75:F76">
    <cfRule type="cellIs" dxfId="3517" priority="171" stopIfTrue="1" operator="lessThan">
      <formula>96.5</formula>
    </cfRule>
    <cfRule type="cellIs" dxfId="3516" priority="172" stopIfTrue="1" operator="greaterThan">
      <formula>100</formula>
    </cfRule>
  </conditionalFormatting>
  <conditionalFormatting sqref="F10:F12">
    <cfRule type="cellIs" dxfId="3515" priority="62" operator="greaterThan">
      <formula>#REF!</formula>
    </cfRule>
  </conditionalFormatting>
  <conditionalFormatting sqref="F10:F47">
    <cfRule type="cellIs" dxfId="3514" priority="15" operator="greaterThan">
      <formula>$AA10</formula>
    </cfRule>
  </conditionalFormatting>
  <conditionalFormatting sqref="F13">
    <cfRule type="cellIs" dxfId="3513" priority="53" operator="greaterThan">
      <formula>$AA47</formula>
    </cfRule>
  </conditionalFormatting>
  <conditionalFormatting sqref="F14">
    <cfRule type="cellIs" dxfId="3512" priority="196" operator="greaterThan">
      <formula>#REF!</formula>
    </cfRule>
  </conditionalFormatting>
  <conditionalFormatting sqref="F33:F46">
    <cfRule type="cellIs" dxfId="3511" priority="26" operator="greaterThan">
      <formula>$AA48</formula>
    </cfRule>
  </conditionalFormatting>
  <conditionalFormatting sqref="F76">
    <cfRule type="cellIs" dxfId="3510" priority="188" stopIfTrue="1" operator="greaterThan">
      <formula>100</formula>
    </cfRule>
    <cfRule type="cellIs" dxfId="3509" priority="187" stopIfTrue="1" operator="lessThan">
      <formula>96.8</formula>
    </cfRule>
  </conditionalFormatting>
  <conditionalFormatting sqref="F97">
    <cfRule type="cellIs" dxfId="3508" priority="137" stopIfTrue="1" operator="greaterThan">
      <formula>$F97</formula>
    </cfRule>
    <cfRule type="cellIs" dxfId="3507" priority="138" stopIfTrue="1" operator="lessThanOrEqual">
      <formula>0</formula>
    </cfRule>
  </conditionalFormatting>
  <conditionalFormatting sqref="G10:G14">
    <cfRule type="expression" dxfId="3506" priority="54">
      <formula>IF(+(IF(G10&lt;#REF!,0,IF(G10&gt;#REF!,0,1)))=0,1)</formula>
    </cfRule>
  </conditionalFormatting>
  <conditionalFormatting sqref="G33:G46">
    <cfRule type="expression" dxfId="3505" priority="27">
      <formula>IF(+(IF(G33&lt;#REF!,0,IF(G33&gt;#REF!,0,1)))=0,1)</formula>
    </cfRule>
  </conditionalFormatting>
  <conditionalFormatting sqref="G90">
    <cfRule type="cellIs" dxfId="3504" priority="71" stopIfTrue="1" operator="lessThanOrEqual">
      <formula>0</formula>
    </cfRule>
    <cfRule type="cellIs" dxfId="3503" priority="70" stopIfTrue="1" operator="greaterThan">
      <formula>$F89</formula>
    </cfRule>
  </conditionalFormatting>
  <conditionalFormatting sqref="G90:G91">
    <cfRule type="cellIs" dxfId="3502" priority="192" stopIfTrue="1" operator="lessThanOrEqual">
      <formula>0</formula>
    </cfRule>
    <cfRule type="cellIs" dxfId="3501" priority="191" stopIfTrue="1" operator="greaterThan">
      <formula>$F89</formula>
    </cfRule>
  </conditionalFormatting>
  <conditionalFormatting sqref="G92">
    <cfRule type="cellIs" dxfId="3500" priority="140" stopIfTrue="1" operator="lessThanOrEqual">
      <formula>0</formula>
    </cfRule>
    <cfRule type="cellIs" dxfId="3499" priority="139" stopIfTrue="1" operator="greaterThan">
      <formula>$F92</formula>
    </cfRule>
  </conditionalFormatting>
  <conditionalFormatting sqref="G93:G96">
    <cfRule type="cellIs" dxfId="3498" priority="149" stopIfTrue="1" operator="lessThanOrEqual">
      <formula>0</formula>
    </cfRule>
    <cfRule type="cellIs" dxfId="3497" priority="148" stopIfTrue="1" operator="greaterThan">
      <formula>$J93</formula>
    </cfRule>
  </conditionalFormatting>
  <conditionalFormatting sqref="G97">
    <cfRule type="cellIs" dxfId="3496" priority="147" operator="greaterThan">
      <formula>4.5</formula>
    </cfRule>
  </conditionalFormatting>
  <conditionalFormatting sqref="G102:G107 C105 C107">
    <cfRule type="cellIs" dxfId="3495" priority="184" stopIfTrue="1" operator="greaterThan">
      <formula>4.5</formula>
    </cfRule>
    <cfRule type="cellIs" dxfId="3494" priority="185" stopIfTrue="1" operator="lessThanOrEqual">
      <formula>0</formula>
    </cfRule>
  </conditionalFormatting>
  <conditionalFormatting sqref="G62:H62 G63:G73 H63:H74">
    <cfRule type="cellIs" dxfId="3493" priority="163" stopIfTrue="1" operator="greaterThan">
      <formula>0</formula>
    </cfRule>
  </conditionalFormatting>
  <conditionalFormatting sqref="G101:H101">
    <cfRule type="cellIs" dxfId="3492" priority="166" stopIfTrue="1" operator="lessThanOrEqual">
      <formula>0</formula>
    </cfRule>
    <cfRule type="cellIs" dxfId="3491" priority="165" stopIfTrue="1" operator="greaterThan">
      <formula>$F$100</formula>
    </cfRule>
  </conditionalFormatting>
  <conditionalFormatting sqref="H10">
    <cfRule type="expression" dxfId="3490" priority="63">
      <formula>IF(+(IF(H10&lt;T27,0,IF(H10&gt;U27,0,1)))=0,1)</formula>
    </cfRule>
  </conditionalFormatting>
  <conditionalFormatting sqref="H10:H12">
    <cfRule type="expression" dxfId="3489" priority="64">
      <formula>IF(+(IF(H10&lt;#REF!,0,IF(H10&gt;#REF!,0,1)))=0,1)</formula>
    </cfRule>
  </conditionalFormatting>
  <conditionalFormatting sqref="H11:H12">
    <cfRule type="expression" dxfId="3488" priority="207">
      <formula>IF(+(IF(H11&lt;T47,0,IF(H11&gt;U47,0,1)))=0,1)</formula>
    </cfRule>
  </conditionalFormatting>
  <conditionalFormatting sqref="H13">
    <cfRule type="expression" dxfId="3487" priority="55">
      <formula>IF(+(IF(H13&lt;T56,0,IF(H13&gt;U56,0,1)))=0,1)</formula>
    </cfRule>
    <cfRule type="expression" dxfId="3486" priority="56">
      <formula>IF(+(IF(H13&lt;T47,0,IF(H13&gt;U47,0,1)))=0,1)</formula>
    </cfRule>
  </conditionalFormatting>
  <conditionalFormatting sqref="H14">
    <cfRule type="expression" dxfId="3485" priority="197">
      <formula>IF(+(IF(H14&lt;T50,0,IF(H14&gt;U50,0,1)))=0,1)</formula>
    </cfRule>
    <cfRule type="expression" dxfId="3484" priority="198">
      <formula>IF(+(IF(H14&lt;#REF!,0,IF(H14&gt;#REF!,0,1)))=0,1)</formula>
    </cfRule>
  </conditionalFormatting>
  <conditionalFormatting sqref="H15:H32">
    <cfRule type="expression" dxfId="3483" priority="209">
      <formula>IF(+(IF(H15&lt;T66,0,IF(H15&gt;U66,0,1)))=0,1)</formula>
    </cfRule>
  </conditionalFormatting>
  <conditionalFormatting sqref="H33:H46">
    <cfRule type="expression" dxfId="3482" priority="29">
      <formula>IF(+(IF(H33&lt;T48,0,IF(H33&gt;U48,0,1)))=0,1)</formula>
    </cfRule>
    <cfRule type="expression" dxfId="3481" priority="28">
      <formula>IF(+(IF(H33&lt;T57,0,IF(H33&gt;U57,0,1)))=0,1)</formula>
    </cfRule>
  </conditionalFormatting>
  <conditionalFormatting sqref="H47">
    <cfRule type="expression" dxfId="3480" priority="193">
      <formula>IF(+(IF(H47&lt;#REF!,0,IF(H47&gt;#REF!,0,1)))=0,1)</formula>
    </cfRule>
  </conditionalFormatting>
  <conditionalFormatting sqref="H51:H61">
    <cfRule type="cellIs" dxfId="3479" priority="159" stopIfTrue="1" operator="greaterThan">
      <formula>0</formula>
    </cfRule>
  </conditionalFormatting>
  <conditionalFormatting sqref="H79">
    <cfRule type="cellIs" dxfId="3478" priority="12" stopIfTrue="1" operator="lessThanOrEqual">
      <formula>0</formula>
    </cfRule>
    <cfRule type="cellIs" dxfId="3477" priority="14" stopIfTrue="1" operator="lessThanOrEqual">
      <formula>0</formula>
    </cfRule>
    <cfRule type="cellIs" dxfId="3476" priority="13" stopIfTrue="1" operator="greaterThan">
      <formula>$F$54</formula>
    </cfRule>
    <cfRule type="cellIs" dxfId="3475" priority="11" stopIfTrue="1" operator="greaterThan">
      <formula>$F$56</formula>
    </cfRule>
    <cfRule type="cellIs" dxfId="3474" priority="2" stopIfTrue="1" operator="lessThanOrEqual">
      <formula>0</formula>
    </cfRule>
    <cfRule type="cellIs" dxfId="3473" priority="3" stopIfTrue="1" operator="greaterThan">
      <formula>$F$53</formula>
    </cfRule>
  </conditionalFormatting>
  <conditionalFormatting sqref="H80">
    <cfRule type="cellIs" dxfId="3472" priority="92" stopIfTrue="1" operator="lessThanOrEqual">
      <formula>0</formula>
    </cfRule>
    <cfRule type="cellIs" dxfId="3471" priority="93" stopIfTrue="1" operator="greaterThan">
      <formula>$F$88</formula>
    </cfRule>
    <cfRule type="cellIs" dxfId="3470" priority="104" stopIfTrue="1" operator="lessThanOrEqual">
      <formula>0</formula>
    </cfRule>
    <cfRule type="cellIs" dxfId="3469" priority="101" stopIfTrue="1" operator="greaterThan">
      <formula>$F$91</formula>
    </cfRule>
    <cfRule type="cellIs" dxfId="3468" priority="102" stopIfTrue="1" operator="lessThanOrEqual">
      <formula>0</formula>
    </cfRule>
    <cfRule type="cellIs" dxfId="3467" priority="103" stopIfTrue="1" operator="greaterThan">
      <formula>$F$89</formula>
    </cfRule>
  </conditionalFormatting>
  <conditionalFormatting sqref="H81">
    <cfRule type="cellIs" dxfId="3466" priority="45" stopIfTrue="1" operator="lessThanOrEqual">
      <formula>0</formula>
    </cfRule>
    <cfRule type="cellIs" dxfId="3465" priority="36" stopIfTrue="1" operator="greaterThan">
      <formula>$F$72</formula>
    </cfRule>
    <cfRule type="cellIs" dxfId="3464" priority="35" stopIfTrue="1" operator="lessThanOrEqual">
      <formula>0</formula>
    </cfRule>
    <cfRule type="cellIs" dxfId="3463" priority="44" stopIfTrue="1" operator="greaterThan">
      <formula>$F$75</formula>
    </cfRule>
    <cfRule type="cellIs" dxfId="3462" priority="47" stopIfTrue="1" operator="lessThanOrEqual">
      <formula>0</formula>
    </cfRule>
    <cfRule type="cellIs" dxfId="3461" priority="46" stopIfTrue="1" operator="greaterThan">
      <formula>$F$73</formula>
    </cfRule>
  </conditionalFormatting>
  <conditionalFormatting sqref="H82">
    <cfRule type="cellIs" dxfId="3460" priority="84" stopIfTrue="1" operator="greaterThan">
      <formula>#REF!</formula>
    </cfRule>
    <cfRule type="cellIs" dxfId="3459" priority="75" stopIfTrue="1" operator="lessThanOrEqual">
      <formula>0</formula>
    </cfRule>
    <cfRule type="cellIs" dxfId="3458" priority="76" stopIfTrue="1" operator="greaterThan">
      <formula>#REF!</formula>
    </cfRule>
  </conditionalFormatting>
  <conditionalFormatting sqref="H82:H84">
    <cfRule type="cellIs" dxfId="3457" priority="85" stopIfTrue="1" operator="lessThanOrEqual">
      <formula>0</formula>
    </cfRule>
  </conditionalFormatting>
  <conditionalFormatting sqref="H83:H84">
    <cfRule type="cellIs" dxfId="3456" priority="125" stopIfTrue="1" operator="lessThanOrEqual">
      <formula>0</formula>
    </cfRule>
    <cfRule type="cellIs" dxfId="3455" priority="124" stopIfTrue="1" operator="greaterThan">
      <formula>$F$90</formula>
    </cfRule>
    <cfRule type="cellIs" dxfId="3454" priority="122" stopIfTrue="1" operator="greaterThan">
      <formula>$F$92</formula>
    </cfRule>
    <cfRule type="cellIs" dxfId="3453" priority="114" stopIfTrue="1" operator="greaterThan">
      <formula>$F$89</formula>
    </cfRule>
    <cfRule type="cellIs" dxfId="3452" priority="123" stopIfTrue="1" operator="lessThanOrEqual">
      <formula>0</formula>
    </cfRule>
  </conditionalFormatting>
  <conditionalFormatting sqref="H85">
    <cfRule type="cellIs" dxfId="3451" priority="155" stopIfTrue="1" operator="greaterThan">
      <formula>$F$82</formula>
    </cfRule>
    <cfRule type="cellIs" dxfId="3450" priority="156" stopIfTrue="1" operator="lessThanOrEqual">
      <formula>0</formula>
    </cfRule>
    <cfRule type="cellIs" dxfId="3449" priority="153" stopIfTrue="1" operator="greaterThan">
      <formula>$F$86</formula>
    </cfRule>
    <cfRule type="cellIs" dxfId="3448" priority="154" stopIfTrue="1" operator="lessThanOrEqual">
      <formula>0</formula>
    </cfRule>
  </conditionalFormatting>
  <conditionalFormatting sqref="H89:H96">
    <cfRule type="cellIs" dxfId="3447" priority="127" stopIfTrue="1" operator="lessThanOrEqual">
      <formula>0</formula>
    </cfRule>
    <cfRule type="cellIs" dxfId="3446" priority="126" stopIfTrue="1" operator="greaterThan">
      <formula>$J89</formula>
    </cfRule>
  </conditionalFormatting>
  <conditionalFormatting sqref="H97">
    <cfRule type="cellIs" dxfId="3445" priority="132" operator="greaterThan">
      <formula>5.3</formula>
    </cfRule>
  </conditionalFormatting>
  <conditionalFormatting sqref="H100 H102:H108">
    <cfRule type="cellIs" dxfId="3444" priority="177" stopIfTrue="1" operator="greaterThan">
      <formula>4.5</formula>
    </cfRule>
    <cfRule type="cellIs" dxfId="3443" priority="178" stopIfTrue="1" operator="lessThanOrEqual">
      <formula>0</formula>
    </cfRule>
  </conditionalFormatting>
  <conditionalFormatting sqref="H79:I79">
    <cfRule type="cellIs" dxfId="3442" priority="4" stopIfTrue="1" operator="lessThanOrEqual">
      <formula>0</formula>
    </cfRule>
    <cfRule type="cellIs" dxfId="3441" priority="1" stopIfTrue="1" operator="greaterThan">
      <formula>$F$55</formula>
    </cfRule>
  </conditionalFormatting>
  <conditionalFormatting sqref="H80:I80">
    <cfRule type="cellIs" dxfId="3440" priority="94" stopIfTrue="1" operator="lessThanOrEqual">
      <formula>0</formula>
    </cfRule>
    <cfRule type="cellIs" dxfId="3439" priority="91" stopIfTrue="1" operator="greaterThan">
      <formula>$F$90</formula>
    </cfRule>
  </conditionalFormatting>
  <conditionalFormatting sqref="H81:I81">
    <cfRule type="cellIs" dxfId="3438" priority="37" stopIfTrue="1" operator="lessThanOrEqual">
      <formula>0</formula>
    </cfRule>
    <cfRule type="cellIs" dxfId="3437" priority="34" stopIfTrue="1" operator="greaterThan">
      <formula>$F$74</formula>
    </cfRule>
  </conditionalFormatting>
  <conditionalFormatting sqref="H82:I82">
    <cfRule type="cellIs" dxfId="3436" priority="83" stopIfTrue="1" operator="lessThanOrEqual">
      <formula>0</formula>
    </cfRule>
    <cfRule type="cellIs" dxfId="3435" priority="82" stopIfTrue="1" operator="greaterThan">
      <formula>#REF!</formula>
    </cfRule>
    <cfRule type="cellIs" dxfId="3434" priority="74" stopIfTrue="1" operator="greaterThan">
      <formula>#REF!</formula>
    </cfRule>
    <cfRule type="cellIs" dxfId="3433" priority="77" stopIfTrue="1" operator="lessThanOrEqual">
      <formula>0</formula>
    </cfRule>
  </conditionalFormatting>
  <conditionalFormatting sqref="H83:I83">
    <cfRule type="cellIs" dxfId="3432" priority="115" stopIfTrue="1" operator="lessThanOrEqual">
      <formula>0</formula>
    </cfRule>
  </conditionalFormatting>
  <conditionalFormatting sqref="H83:I84">
    <cfRule type="cellIs" dxfId="3431" priority="72" stopIfTrue="1" operator="greaterThan">
      <formula>$F$91</formula>
    </cfRule>
  </conditionalFormatting>
  <conditionalFormatting sqref="H84:I84">
    <cfRule type="cellIs" dxfId="3430" priority="73" stopIfTrue="1" operator="lessThanOrEqual">
      <formula>0</formula>
    </cfRule>
  </conditionalFormatting>
  <conditionalFormatting sqref="I10:I14">
    <cfRule type="cellIs" dxfId="3429" priority="49" operator="lessThan">
      <formula>97.8</formula>
    </cfRule>
  </conditionalFormatting>
  <conditionalFormatting sqref="I10:I47">
    <cfRule type="cellIs" dxfId="3428" priority="21" operator="lessThan">
      <formula>98</formula>
    </cfRule>
  </conditionalFormatting>
  <conditionalFormatting sqref="I33:I46">
    <cfRule type="cellIs" dxfId="3427" priority="22" operator="lessThan">
      <formula>97.8</formula>
    </cfRule>
  </conditionalFormatting>
  <conditionalFormatting sqref="I79">
    <cfRule type="cellIs" dxfId="3426" priority="5" stopIfTrue="1" operator="greaterThan">
      <formula>$F$53</formula>
    </cfRule>
    <cfRule type="cellIs" dxfId="3425" priority="6" stopIfTrue="1" operator="lessThanOrEqual">
      <formula>0</formula>
    </cfRule>
    <cfRule type="cellIs" dxfId="3424" priority="7" stopIfTrue="1" operator="greaterThan">
      <formula>$F$55</formula>
    </cfRule>
    <cfRule type="cellIs" dxfId="3423" priority="8" stopIfTrue="1" operator="lessThanOrEqual">
      <formula>0</formula>
    </cfRule>
    <cfRule type="cellIs" dxfId="3422" priority="9" stopIfTrue="1" operator="greaterThan">
      <formula>$F$53</formula>
    </cfRule>
    <cfRule type="cellIs" dxfId="3421" priority="10" stopIfTrue="1" operator="lessThanOrEqual">
      <formula>0</formula>
    </cfRule>
  </conditionalFormatting>
  <conditionalFormatting sqref="I80">
    <cfRule type="cellIs" dxfId="3420" priority="99" stopIfTrue="1" operator="greaterThan">
      <formula>$F$88</formula>
    </cfRule>
    <cfRule type="cellIs" dxfId="3419" priority="97" stopIfTrue="1" operator="greaterThan">
      <formula>$F$90</formula>
    </cfRule>
    <cfRule type="cellIs" dxfId="3418" priority="96" stopIfTrue="1" operator="lessThanOrEqual">
      <formula>0</formula>
    </cfRule>
    <cfRule type="cellIs" dxfId="3417" priority="95" stopIfTrue="1" operator="greaterThan">
      <formula>$F$88</formula>
    </cfRule>
    <cfRule type="cellIs" dxfId="3416" priority="100" stopIfTrue="1" operator="lessThanOrEqual">
      <formula>0</formula>
    </cfRule>
    <cfRule type="cellIs" dxfId="3415" priority="98" stopIfTrue="1" operator="lessThanOrEqual">
      <formula>0</formula>
    </cfRule>
  </conditionalFormatting>
  <conditionalFormatting sqref="I81">
    <cfRule type="cellIs" dxfId="3414" priority="43" stopIfTrue="1" operator="lessThanOrEqual">
      <formula>0</formula>
    </cfRule>
    <cfRule type="cellIs" dxfId="3413" priority="42" stopIfTrue="1" operator="greaterThan">
      <formula>$F$72</formula>
    </cfRule>
    <cfRule type="cellIs" dxfId="3412" priority="41" stopIfTrue="1" operator="lessThanOrEqual">
      <formula>0</formula>
    </cfRule>
    <cfRule type="cellIs" dxfId="3411" priority="40" stopIfTrue="1" operator="greaterThan">
      <formula>$F$74</formula>
    </cfRule>
    <cfRule type="cellIs" dxfId="3410" priority="39" stopIfTrue="1" operator="lessThanOrEqual">
      <formula>0</formula>
    </cfRule>
    <cfRule type="cellIs" dxfId="3409" priority="38" stopIfTrue="1" operator="greaterThan">
      <formula>$F$72</formula>
    </cfRule>
  </conditionalFormatting>
  <conditionalFormatting sqref="I82">
    <cfRule type="cellIs" dxfId="3408" priority="80" stopIfTrue="1" operator="greaterThan">
      <formula>#REF!</formula>
    </cfRule>
    <cfRule type="cellIs" dxfId="3407" priority="79" stopIfTrue="1" operator="lessThanOrEqual">
      <formula>0</formula>
    </cfRule>
    <cfRule type="cellIs" dxfId="3406" priority="78" stopIfTrue="1" operator="greaterThan">
      <formula>#REF!</formula>
    </cfRule>
    <cfRule type="cellIs" dxfId="3405" priority="81" stopIfTrue="1" operator="lessThanOrEqual">
      <formula>0</formula>
    </cfRule>
  </conditionalFormatting>
  <conditionalFormatting sqref="I83:I84">
    <cfRule type="cellIs" dxfId="3404" priority="118" stopIfTrue="1" operator="greaterThan">
      <formula>$F$91</formula>
    </cfRule>
    <cfRule type="cellIs" dxfId="3403" priority="116" stopIfTrue="1" operator="greaterThan">
      <formula>$F$89</formula>
    </cfRule>
    <cfRule type="cellIs" dxfId="3402" priority="117" stopIfTrue="1" operator="lessThanOrEqual">
      <formula>0</formula>
    </cfRule>
    <cfRule type="cellIs" dxfId="3401" priority="119" stopIfTrue="1" operator="lessThanOrEqual">
      <formula>0</formula>
    </cfRule>
    <cfRule type="cellIs" dxfId="3400" priority="120" stopIfTrue="1" operator="greaterThan">
      <formula>$F$89</formula>
    </cfRule>
    <cfRule type="cellIs" dxfId="3399" priority="121" stopIfTrue="1" operator="lessThanOrEqual">
      <formula>0</formula>
    </cfRule>
  </conditionalFormatting>
  <conditionalFormatting sqref="I89:I97">
    <cfRule type="cellIs" dxfId="3398" priority="133" stopIfTrue="1" operator="greaterThan">
      <formula>$J89</formula>
    </cfRule>
    <cfRule type="cellIs" dxfId="3397" priority="134" stopIfTrue="1" operator="lessThanOrEqual">
      <formula>0</formula>
    </cfRule>
  </conditionalFormatting>
  <conditionalFormatting sqref="I100:I108">
    <cfRule type="cellIs" dxfId="3396" priority="173" stopIfTrue="1" operator="greaterThan">
      <formula>4.5</formula>
    </cfRule>
    <cfRule type="cellIs" dxfId="3395" priority="174" stopIfTrue="1" operator="lessThanOrEqual">
      <formula>0</formula>
    </cfRule>
  </conditionalFormatting>
  <conditionalFormatting sqref="J10:J14">
    <cfRule type="cellIs" dxfId="3394" priority="51" operator="notBetween">
      <formula>98</formula>
      <formula>99.9</formula>
    </cfRule>
  </conditionalFormatting>
  <conditionalFormatting sqref="J10:J47">
    <cfRule type="cellIs" dxfId="3393" priority="20" operator="lessThan">
      <formula>97.4</formula>
    </cfRule>
  </conditionalFormatting>
  <conditionalFormatting sqref="J33:J46">
    <cfRule type="cellIs" dxfId="3392" priority="24" operator="notBetween">
      <formula>98</formula>
      <formula>99.9</formula>
    </cfRule>
  </conditionalFormatting>
  <conditionalFormatting sqref="J50:J52">
    <cfRule type="cellIs" dxfId="3391" priority="108" stopIfTrue="1" operator="greaterThan">
      <formula>100</formula>
    </cfRule>
    <cfRule type="cellIs" dxfId="3390" priority="109" operator="lessThan">
      <formula>98</formula>
    </cfRule>
    <cfRule type="cellIs" dxfId="3389" priority="107" stopIfTrue="1" operator="lessThan">
      <formula>96.8</formula>
    </cfRule>
  </conditionalFormatting>
  <conditionalFormatting sqref="J50:J54">
    <cfRule type="cellIs" dxfId="3388" priority="48" operator="lessThan">
      <formula>97.4</formula>
    </cfRule>
  </conditionalFormatting>
  <conditionalFormatting sqref="J55 L59:M59 L61:M61">
    <cfRule type="cellIs" dxfId="3387" priority="110" operator="lessThan">
      <formula>98</formula>
    </cfRule>
  </conditionalFormatting>
  <conditionalFormatting sqref="J56:J57">
    <cfRule type="cellIs" dxfId="3386" priority="111" stopIfTrue="1" operator="lessThan">
      <formula>96.8</formula>
    </cfRule>
    <cfRule type="cellIs" dxfId="3385" priority="112" stopIfTrue="1" operator="greaterThan">
      <formula>100</formula>
    </cfRule>
  </conditionalFormatting>
  <conditionalFormatting sqref="J56:J58">
    <cfRule type="cellIs" dxfId="3384" priority="113" operator="lessThan">
      <formula>98</formula>
    </cfRule>
  </conditionalFormatting>
  <conditionalFormatting sqref="K10:K14">
    <cfRule type="cellIs" dxfId="3383" priority="50" operator="greaterThan">
      <formula>6.4</formula>
    </cfRule>
  </conditionalFormatting>
  <conditionalFormatting sqref="K10:K47">
    <cfRule type="cellIs" dxfId="3382" priority="17" operator="lessThan">
      <formula>4</formula>
    </cfRule>
    <cfRule type="cellIs" dxfId="3381" priority="16" operator="greaterThan">
      <formula>6</formula>
    </cfRule>
  </conditionalFormatting>
  <conditionalFormatting sqref="K33:K46">
    <cfRule type="cellIs" dxfId="3380" priority="23" operator="greaterThan">
      <formula>6.4</formula>
    </cfRule>
  </conditionalFormatting>
  <conditionalFormatting sqref="K64:K73">
    <cfRule type="cellIs" dxfId="3379" priority="141" operator="notEqual">
      <formula>#REF!</formula>
    </cfRule>
  </conditionalFormatting>
  <conditionalFormatting sqref="K79:K84 J85:K85 L89:N89 K90:N97">
    <cfRule type="cellIs" dxfId="3378" priority="152" stopIfTrue="1" operator="lessThan">
      <formula>100%</formula>
    </cfRule>
  </conditionalFormatting>
  <conditionalFormatting sqref="K100:K105">
    <cfRule type="cellIs" dxfId="3377" priority="179" stopIfTrue="1" operator="lessThan">
      <formula>100%</formula>
    </cfRule>
  </conditionalFormatting>
  <conditionalFormatting sqref="K107:K108">
    <cfRule type="cellIs" dxfId="3376" priority="186" stopIfTrue="1" operator="lessThan">
      <formula>100%</formula>
    </cfRule>
  </conditionalFormatting>
  <conditionalFormatting sqref="L10:L47">
    <cfRule type="cellIs" dxfId="3375" priority="19" operator="greaterThan">
      <formula>65</formula>
    </cfRule>
    <cfRule type="cellIs" dxfId="3374" priority="18" operator="between">
      <formula>61</formula>
      <formula>65</formula>
    </cfRule>
  </conditionalFormatting>
  <conditionalFormatting sqref="L52:L58">
    <cfRule type="cellIs" dxfId="3373" priority="88" operator="lessThan">
      <formula>98</formula>
    </cfRule>
  </conditionalFormatting>
  <conditionalFormatting sqref="L65:N65">
    <cfRule type="cellIs" dxfId="3372" priority="87" operator="notEqual">
      <formula>#REF!</formula>
    </cfRule>
  </conditionalFormatting>
  <conditionalFormatting sqref="L100:N108">
    <cfRule type="cellIs" dxfId="3371" priority="164" stopIfTrue="1" operator="lessThan">
      <formula>100%</formula>
    </cfRule>
  </conditionalFormatting>
  <conditionalFormatting sqref="M10:M11">
    <cfRule type="expression" dxfId="3370" priority="65">
      <formula>IF(+(IF(M10&lt;V23,0,IF(M10&gt;W23,0,1)))=0,1)</formula>
    </cfRule>
  </conditionalFormatting>
  <conditionalFormatting sqref="M13">
    <cfRule type="expression" dxfId="3369" priority="58">
      <formula>IF(+(IF(M13&lt;V47,0,IF(M13&gt;W47,0,1)))=0,1)</formula>
    </cfRule>
    <cfRule type="expression" dxfId="3368" priority="57">
      <formula>IF(+(IF(M13&lt;V52,0,IF(M13&gt;W52,0,1)))=0,1)</formula>
    </cfRule>
  </conditionalFormatting>
  <conditionalFormatting sqref="M14">
    <cfRule type="expression" dxfId="3367" priority="199">
      <formula>IF(+(IF(M14&lt;V27,0,IF(M14&gt;W27,0,1)))=0,1)</formula>
    </cfRule>
  </conditionalFormatting>
  <conditionalFormatting sqref="M15:M32">
    <cfRule type="expression" dxfId="3366" priority="210">
      <formula>IF(+(IF(M15&lt;V62,0,IF(M15&gt;W62,0,1)))=0,1)</formula>
    </cfRule>
  </conditionalFormatting>
  <conditionalFormatting sqref="M33:M46">
    <cfRule type="expression" dxfId="3365" priority="31">
      <formula>IF(+(IF(M33&lt;V48,0,IF(M33&gt;W48,0,1)))=0,1)</formula>
    </cfRule>
    <cfRule type="expression" dxfId="3364" priority="30">
      <formula>IF(+(IF(M33&lt;V53,0,IF(M33&gt;W53,0,1)))=0,1)</formula>
    </cfRule>
  </conditionalFormatting>
  <conditionalFormatting sqref="M50:M58">
    <cfRule type="cellIs" dxfId="3363" priority="86" operator="lessThan">
      <formula>98</formula>
    </cfRule>
  </conditionalFormatting>
  <conditionalFormatting sqref="M10:N12">
    <cfRule type="expression" dxfId="3362" priority="66">
      <formula>IF(+(IF(M10&lt;#REF!,0,IF(M10&gt;#REF!,0,1)))=0,1)</formula>
    </cfRule>
  </conditionalFormatting>
  <conditionalFormatting sqref="M14:N14">
    <cfRule type="expression" dxfId="3361" priority="200">
      <formula>IF(+(IF(M14&lt;#REF!,0,IF(M14&gt;#REF!,0,1)))=0,1)</formula>
    </cfRule>
  </conditionalFormatting>
  <conditionalFormatting sqref="M47:N47">
    <cfRule type="expression" dxfId="3360" priority="194">
      <formula>IF(+(IF(M47&lt;#REF!,0,IF(M47&gt;#REF!,0,1)))=0,1)</formula>
    </cfRule>
  </conditionalFormatting>
  <conditionalFormatting sqref="N10:N11">
    <cfRule type="expression" dxfId="3359" priority="67">
      <formula>IF(+(IF(N10&lt;X23,0,IF(N10&gt;Y23,0,1)))=0,1)</formula>
    </cfRule>
  </conditionalFormatting>
  <conditionalFormatting sqref="N13">
    <cfRule type="expression" dxfId="3358" priority="60">
      <formula>IF(+(IF(N13&lt;X47,0,IF(N13&gt;Y47,0,1)))=0,1)</formula>
    </cfRule>
    <cfRule type="expression" dxfId="3357" priority="59">
      <formula>IF(+(IF(N13&lt;X52,0,IF(N13&gt;Y52,0,1)))=0,1)</formula>
    </cfRule>
  </conditionalFormatting>
  <conditionalFormatting sqref="N14">
    <cfRule type="expression" dxfId="3356" priority="203">
      <formula>IF(+(IF(N14&lt;X27,0,IF(N14&gt;Y27,0,1)))=0,1)</formula>
    </cfRule>
  </conditionalFormatting>
  <conditionalFormatting sqref="N15:N32">
    <cfRule type="expression" dxfId="3355" priority="211">
      <formula>IF(+(IF(N15&lt;X62,0,IF(N15&gt;Y62,0,1)))=0,1)</formula>
    </cfRule>
  </conditionalFormatting>
  <conditionalFormatting sqref="N33:N46">
    <cfRule type="expression" dxfId="3354" priority="33">
      <formula>IF(+(IF(N33&lt;X48,0,IF(N33&gt;Y48,0,1)))=0,1)</formula>
    </cfRule>
    <cfRule type="expression" dxfId="3353" priority="32">
      <formula>IF(+(IF(N33&lt;X53,0,IF(N33&gt;Y53,0,1)))=0,1)</formula>
    </cfRule>
  </conditionalFormatting>
  <conditionalFormatting sqref="P6">
    <cfRule type="cellIs" dxfId="3352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A2A5-55C4-4BA2-BAA7-A74E823B47CF}">
  <sheetPr>
    <pageSetUpPr fitToPage="1"/>
  </sheetPr>
  <dimension ref="A1:BE76"/>
  <sheetViews>
    <sheetView zoomScale="70" zoomScaleNormal="70" workbookViewId="0">
      <selection activeCell="B17" sqref="B17:O1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46056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33" t="s">
        <v>9</v>
      </c>
      <c r="C10" s="366" t="str">
        <f>[4]Brewhouse!$A83</f>
        <v>ST032</v>
      </c>
      <c r="D10" s="279">
        <f>[4]Brewhouse!$AB83</f>
        <v>52.1</v>
      </c>
      <c r="E10" s="279">
        <f>[4]Brewhouse!$AG83</f>
        <v>47.7</v>
      </c>
      <c r="F10" s="278">
        <f>[4]Brewhouse!$V83</f>
        <v>97</v>
      </c>
      <c r="G10" s="279">
        <f>[4]Brewhouse!$AE83</f>
        <v>11.8</v>
      </c>
      <c r="H10" s="396">
        <v>11.8</v>
      </c>
      <c r="I10" s="368">
        <f>[4]Brewhouse!$AS83</f>
        <v>94.60432549058099</v>
      </c>
      <c r="J10" s="368">
        <f>[4]Brewhouse!$AT83</f>
        <v>95.767243319910293</v>
      </c>
      <c r="K10" s="281">
        <f>[4]Brewhouse!$Q83</f>
        <v>5.9021113243762056</v>
      </c>
      <c r="L10" s="276">
        <f>[4]Brewhouse!$P83</f>
        <v>57</v>
      </c>
      <c r="M10" s="374">
        <f>[4]Brewhouse!$U83-[4]Brewhouse!$T83</f>
        <v>0.15625</v>
      </c>
      <c r="N10" s="370">
        <f>[4]Brewhouse!$AW83</f>
        <v>0.2986111111111111</v>
      </c>
      <c r="O10" s="371" t="str">
        <f>[4]Brewhouse!$AV83</f>
        <v>R.Sookram</v>
      </c>
      <c r="P10" s="418"/>
      <c r="R10" s="277" t="str">
        <f t="shared" ref="R10:R11" si="0">B10</f>
        <v>STAG</v>
      </c>
      <c r="S10" s="472">
        <f t="shared" ref="S10:S32" si="1">VLOOKUP($B10,$R$3:$X$9,2,FALSE)</f>
        <v>11.6</v>
      </c>
      <c r="T10" s="472">
        <f t="shared" ref="T10:T32" si="2">VLOOKUP($B10,$R$3:$X$9,3,FALSE)</f>
        <v>12</v>
      </c>
      <c r="U10" s="297">
        <f t="shared" ref="U10:U32" si="3">VLOOKUP($B10,$R$3:$X$9,4,FALSE)</f>
        <v>0</v>
      </c>
      <c r="V10" s="297">
        <f t="shared" ref="V10:V32" si="4">VLOOKUP($B10,$R$3:$X$9,5,FALSE)</f>
        <v>0.118055555555556</v>
      </c>
      <c r="W10" s="297">
        <f t="shared" ref="W10:W32" si="5">VLOOKUP($B10,$R$3:$X$9,6,FALSE)</f>
        <v>0.22569444444444445</v>
      </c>
      <c r="X10" s="297">
        <f t="shared" ref="X10:X32" si="6">VLOOKUP($B10,$R$3:$X$9,7,FALSE)</f>
        <v>0.2638888888888889</v>
      </c>
      <c r="Y10" s="297">
        <f t="shared" ref="Y10:Y32" si="7">VLOOKUP($B10,$R$3:$Z$9,8,FALSE)</f>
        <v>0</v>
      </c>
      <c r="Z10" s="472">
        <f t="shared" ref="Z10:Z32" si="8">VLOOKUP($B10,$R$3:$Z$9,9,FALSE)</f>
        <v>60</v>
      </c>
    </row>
    <row r="11" spans="2:29" ht="16.5" customHeight="1">
      <c r="B11" s="33" t="s">
        <v>9</v>
      </c>
      <c r="C11" s="366" t="str">
        <f>[4]Brewhouse!$A84</f>
        <v>ST033</v>
      </c>
      <c r="D11" s="279">
        <f>[4]Brewhouse!$AB84</f>
        <v>53.1</v>
      </c>
      <c r="E11" s="279">
        <f>[4]Brewhouse!$AG84</f>
        <v>49.4</v>
      </c>
      <c r="F11" s="278">
        <f>[4]Brewhouse!$V84</f>
        <v>50</v>
      </c>
      <c r="G11" s="279">
        <f>[4]Brewhouse!$AE84</f>
        <v>12</v>
      </c>
      <c r="H11" s="396">
        <v>12</v>
      </c>
      <c r="I11" s="368">
        <f>[4]Brewhouse!$AS84</f>
        <v>99.47104784488721</v>
      </c>
      <c r="J11" s="368">
        <f>[4]Brewhouse!$AT84</f>
        <v>100.69460425422304</v>
      </c>
      <c r="K11" s="281">
        <f>[4]Brewhouse!$Q84</f>
        <v>4.8493408662900244</v>
      </c>
      <c r="L11" s="276">
        <f>[4]Brewhouse!$P84</f>
        <v>61</v>
      </c>
      <c r="M11" s="374">
        <f>[4]Brewhouse!$U84-[4]Brewhouse!$T84</f>
        <v>0.12916666666666665</v>
      </c>
      <c r="N11" s="370">
        <f>[4]Brewhouse!$AW84</f>
        <v>0.28472222222222221</v>
      </c>
      <c r="O11" s="371" t="str">
        <f>[4]Brewhouse!$AV84</f>
        <v>R.Sookram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33" t="s">
        <v>9</v>
      </c>
      <c r="C12" s="366" t="str">
        <f>[4]Brewhouse!$A85</f>
        <v>ST034</v>
      </c>
      <c r="D12" s="279">
        <f>[4]Brewhouse!$AB85</f>
        <v>52</v>
      </c>
      <c r="E12" s="279">
        <f>[4]Brewhouse!$AG85</f>
        <v>49.7</v>
      </c>
      <c r="F12" s="278">
        <f>[4]Brewhouse!$V85</f>
        <v>56</v>
      </c>
      <c r="G12" s="279">
        <f>[4]Brewhouse!$AE85</f>
        <v>11.8</v>
      </c>
      <c r="H12" s="396">
        <v>11.8</v>
      </c>
      <c r="I12" s="368">
        <f>[4]Brewhouse!$AS85</f>
        <v>99.198378090715636</v>
      </c>
      <c r="J12" s="368">
        <f>[4]Brewhouse!$AT85</f>
        <v>100.41571882956903</v>
      </c>
      <c r="K12" s="281">
        <f>[4]Brewhouse!$Q85</f>
        <v>2.6442307692307692</v>
      </c>
      <c r="L12" s="276">
        <f>[4]Brewhouse!$P85</f>
        <v>60</v>
      </c>
      <c r="M12" s="374">
        <f>[4]Brewhouse!$U85-[4]Brewhouse!$T85</f>
        <v>0.11458333333333337</v>
      </c>
      <c r="N12" s="370">
        <f>[4]Brewhouse!$AW85</f>
        <v>0.27847222222222223</v>
      </c>
      <c r="O12" s="371" t="str">
        <f>[4]Brewhouse!$AV85</f>
        <v>K. Benjamin</v>
      </c>
      <c r="P12" s="418"/>
      <c r="R12" s="277" t="str">
        <f t="shared" ref="R12:R36" si="9">B12</f>
        <v>STAG</v>
      </c>
      <c r="S12" s="472">
        <f t="shared" ref="S12:S36" si="10">VLOOKUP($B12,$R$3:$X$9,2,FALSE)</f>
        <v>11.6</v>
      </c>
      <c r="T12" s="472">
        <f t="shared" ref="T12:T36" si="11">VLOOKUP($B12,$R$3:$X$9,3,FALSE)</f>
        <v>12</v>
      </c>
      <c r="U12" s="297">
        <f t="shared" ref="U12:U36" si="12">VLOOKUP($B12,$R$3:$X$9,4,FALSE)</f>
        <v>0</v>
      </c>
      <c r="V12" s="297">
        <f t="shared" ref="V12:V36" si="13">VLOOKUP($B12,$R$3:$X$9,5,FALSE)</f>
        <v>0.118055555555556</v>
      </c>
      <c r="W12" s="297">
        <f t="shared" ref="W12:W36" si="14">VLOOKUP($B12,$R$3:$X$9,6,FALSE)</f>
        <v>0.22569444444444445</v>
      </c>
      <c r="X12" s="297">
        <f t="shared" ref="X12:X36" si="15">VLOOKUP($B12,$R$3:$X$9,7,FALSE)</f>
        <v>0.2638888888888889</v>
      </c>
      <c r="Y12" s="297">
        <f t="shared" ref="Y12:Y36" si="16">VLOOKUP($B12,$R$3:$Z$9,8,FALSE)</f>
        <v>0</v>
      </c>
      <c r="Z12" s="472">
        <f t="shared" ref="Z12:Z36" si="17">VLOOKUP($B12,$R$3:$Z$9,9,FALSE)</f>
        <v>60</v>
      </c>
    </row>
    <row r="13" spans="2:29" ht="16.5" customHeight="1">
      <c r="B13" s="33" t="s">
        <v>9</v>
      </c>
      <c r="C13" s="366" t="str">
        <f>[4]Brewhouse!$A86</f>
        <v>ST035</v>
      </c>
      <c r="D13" s="279">
        <f>[4]Brewhouse!$AB86</f>
        <v>52</v>
      </c>
      <c r="E13" s="279">
        <f>[4]Brewhouse!$AG86</f>
        <v>49.8</v>
      </c>
      <c r="F13" s="278">
        <f>[4]Brewhouse!$V86</f>
        <v>60</v>
      </c>
      <c r="G13" s="279">
        <f>[4]Brewhouse!$AE86</f>
        <v>11.9</v>
      </c>
      <c r="H13" s="396">
        <v>12.3</v>
      </c>
      <c r="I13" s="368">
        <f>[4]Brewhouse!$AS86</f>
        <v>98.651407682761771</v>
      </c>
      <c r="J13" s="368">
        <f>[4]Brewhouse!$AT86</f>
        <v>99.86728174470349</v>
      </c>
      <c r="K13" s="281">
        <f>[4]Brewhouse!$Q86</f>
        <v>4.1826923076923022</v>
      </c>
      <c r="L13" s="276">
        <f>[4]Brewhouse!$P86</f>
        <v>60</v>
      </c>
      <c r="M13" s="374">
        <f>[4]Brewhouse!$U86-[4]Brewhouse!$T86</f>
        <v>0.12569444444444444</v>
      </c>
      <c r="N13" s="370">
        <f>[4]Brewhouse!$AW86</f>
        <v>0.28680555555555554</v>
      </c>
      <c r="O13" s="371" t="str">
        <f>[4]Brewhouse!$AV86</f>
        <v>K. Benjamin</v>
      </c>
      <c r="P13" s="418"/>
      <c r="R13" s="277" t="str">
        <f t="shared" si="9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33" t="s">
        <v>9</v>
      </c>
      <c r="C14" s="366" t="str">
        <f>[4]Brewhouse!$A87</f>
        <v>ST036</v>
      </c>
      <c r="D14" s="279">
        <f>[4]Brewhouse!$AB87</f>
        <v>52.1</v>
      </c>
      <c r="E14" s="279">
        <f>[4]Brewhouse!$AG87</f>
        <v>48.7</v>
      </c>
      <c r="F14" s="278">
        <f>[4]Brewhouse!$V87</f>
        <v>59</v>
      </c>
      <c r="G14" s="279">
        <f>[4]Brewhouse!$AE87</f>
        <v>11.8</v>
      </c>
      <c r="H14" s="396">
        <v>11.8</v>
      </c>
      <c r="I14" s="368">
        <f>[4]Brewhouse!$AS87</f>
        <v>95.500399540574435</v>
      </c>
      <c r="J14" s="368">
        <f>[4]Brewhouse!$AT87</f>
        <v>96.677821375032934</v>
      </c>
      <c r="K14" s="281">
        <f>[4]Brewhouse!$Q87</f>
        <v>4.7504798464491387</v>
      </c>
      <c r="L14" s="276">
        <f>[4]Brewhouse!$P87</f>
        <v>60</v>
      </c>
      <c r="M14" s="374">
        <f>[4]Brewhouse!$U87-[4]Brewhouse!$T87</f>
        <v>0.12013888888888891</v>
      </c>
      <c r="N14" s="370">
        <f>[4]Brewhouse!$AW87</f>
        <v>0.26041666666666663</v>
      </c>
      <c r="O14" s="371" t="str">
        <f>[4]Brewhouse!$AV87</f>
        <v>R. Regis</v>
      </c>
      <c r="P14" s="418"/>
      <c r="R14" s="277" t="str">
        <f t="shared" si="9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33" t="s">
        <v>9</v>
      </c>
      <c r="C15" s="366" t="str">
        <f>[4]Brewhouse!$A88</f>
        <v>ST037</v>
      </c>
      <c r="D15" s="279">
        <f>[4]Brewhouse!$AB88</f>
        <v>52.1</v>
      </c>
      <c r="E15" s="279">
        <f>[4]Brewhouse!$AG88</f>
        <v>49.6</v>
      </c>
      <c r="F15" s="278">
        <f>[4]Brewhouse!$V88</f>
        <v>60</v>
      </c>
      <c r="G15" s="279">
        <f>[4]Brewhouse!$AE88</f>
        <v>11.8</v>
      </c>
      <c r="H15" s="396">
        <v>11.8</v>
      </c>
      <c r="I15" s="368">
        <f>[4]Brewhouse!$AS88</f>
        <v>97.387098904762667</v>
      </c>
      <c r="J15" s="368">
        <f>[4]Brewhouse!$AT88</f>
        <v>98.587390419171001</v>
      </c>
      <c r="K15" s="281">
        <f>[4]Brewhouse!$Q88</f>
        <v>5.1343570057581518</v>
      </c>
      <c r="L15" s="276">
        <f>[4]Brewhouse!$P88</f>
        <v>60</v>
      </c>
      <c r="M15" s="374">
        <f>[4]Brewhouse!$U88-[4]Brewhouse!$T88</f>
        <v>0.12083333333333335</v>
      </c>
      <c r="N15" s="370">
        <f>[4]Brewhouse!$AW88</f>
        <v>0.26944444444444449</v>
      </c>
      <c r="O15" s="371" t="str">
        <f>[4]Brewhouse!$AV88</f>
        <v>R. Regis</v>
      </c>
      <c r="P15" s="418"/>
      <c r="R15" s="277" t="str">
        <f t="shared" ref="R15:R32" si="18">B15</f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6.5" customHeight="1">
      <c r="B16" s="33" t="s">
        <v>9</v>
      </c>
      <c r="C16" s="366" t="str">
        <f>[4]Brewhouse!$A89</f>
        <v>ST038</v>
      </c>
      <c r="D16" s="279">
        <f>[4]Brewhouse!$AB89</f>
        <v>52.1</v>
      </c>
      <c r="E16" s="279">
        <f>[4]Brewhouse!$AG89</f>
        <v>47.5</v>
      </c>
      <c r="F16" s="278">
        <f>[4]Brewhouse!$V89</f>
        <v>59</v>
      </c>
      <c r="G16" s="279">
        <f>[4]Brewhouse!$AE89</f>
        <v>11.9</v>
      </c>
      <c r="H16" s="396">
        <v>11.8</v>
      </c>
      <c r="I16" s="368">
        <f>[4]Brewhouse!$AS89</f>
        <v>93.977530506802793</v>
      </c>
      <c r="J16" s="368">
        <f>[4]Brewhouse!$AT89</f>
        <v>95.136176930268164</v>
      </c>
      <c r="K16" s="281">
        <f>[4]Brewhouse!$Q89</f>
        <v>6.0940499040307046</v>
      </c>
      <c r="L16" s="276">
        <f>[4]Brewhouse!$P89</f>
        <v>61</v>
      </c>
      <c r="M16" s="374">
        <f>[4]Brewhouse!$U89-[4]Brewhouse!$T89</f>
        <v>0.12430555555555567</v>
      </c>
      <c r="N16" s="370">
        <f>[4]Brewhouse!$AW89</f>
        <v>0.27569444444444446</v>
      </c>
      <c r="O16" s="371" t="str">
        <f>[4]Brewhouse!$AV89</f>
        <v>R. Regis</v>
      </c>
      <c r="P16" s="418"/>
      <c r="R16" s="277" t="str">
        <f t="shared" si="18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6.5" customHeight="1">
      <c r="B17" s="33" t="s">
        <v>9</v>
      </c>
      <c r="C17" s="366" t="str">
        <f>[4]Brewhouse!$A90</f>
        <v>ST039</v>
      </c>
      <c r="D17" s="279">
        <f>[4]Brewhouse!$AB90</f>
        <v>52.1</v>
      </c>
      <c r="E17" s="279">
        <f>[4]Brewhouse!$AG90</f>
        <v>51.2</v>
      </c>
      <c r="F17" s="278">
        <f>[4]Brewhouse!$V90</f>
        <v>61</v>
      </c>
      <c r="G17" s="279">
        <f>[4]Brewhouse!$AE90</f>
        <v>12.2</v>
      </c>
      <c r="H17" s="396">
        <v>12</v>
      </c>
      <c r="I17" s="368">
        <f>[4]Brewhouse!$AS90</f>
        <v>103.98288970906668</v>
      </c>
      <c r="J17" s="368">
        <f>[4]Brewhouse!$AT90</f>
        <v>105.26489193463362</v>
      </c>
      <c r="K17" s="281">
        <f>[4]Brewhouse!$Q90</f>
        <v>3.5988483685220727</v>
      </c>
      <c r="L17" s="276">
        <f>[4]Brewhouse!$P90</f>
        <v>57</v>
      </c>
      <c r="M17" s="374">
        <f>[4]Brewhouse!$U90-[4]Brewhouse!$T90</f>
        <v>0.11944444444444446</v>
      </c>
      <c r="N17" s="370">
        <f>[4]Brewhouse!$AW90</f>
        <v>0.26527777777777783</v>
      </c>
      <c r="O17" s="371" t="str">
        <f>[4]Brewhouse!$AV90</f>
        <v>R.Sookram</v>
      </c>
      <c r="P17" s="418"/>
      <c r="R17" s="277" t="str">
        <f t="shared" si="18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6.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18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6.5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18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6.5" hidden="1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18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8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18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6.5" hidden="1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18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11"/>
      <c r="J23" s="511"/>
      <c r="K23" s="511"/>
      <c r="L23" s="511"/>
      <c r="M23" s="511"/>
      <c r="N23" s="511"/>
      <c r="O23" s="1"/>
      <c r="P23" s="12"/>
      <c r="R23" s="277">
        <f t="shared" si="18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.75" customHeight="1" thickBot="1">
      <c r="B24" s="388" t="s">
        <v>162</v>
      </c>
      <c r="C24" s="388"/>
      <c r="D24" s="512" t="s">
        <v>35</v>
      </c>
      <c r="E24" s="513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18"/>
        <v xml:space="preserve">BRAND 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" customHeight="1">
      <c r="A25" s="28"/>
      <c r="B25" s="580" t="str">
        <f>I25</f>
        <v>CARIB</v>
      </c>
      <c r="C25" s="362" cm="1">
        <f t="array" ref="C25:C32">[3]Process!$D$81:$D$88</f>
        <v>11.9</v>
      </c>
      <c r="D25" s="517">
        <v>11.65</v>
      </c>
      <c r="E25" s="518"/>
      <c r="F25" s="294"/>
      <c r="G25" s="294"/>
      <c r="H25" s="348"/>
      <c r="I25" s="29" t="s">
        <v>6</v>
      </c>
      <c r="J25" s="280"/>
      <c r="K25" s="284"/>
      <c r="L25" s="305"/>
      <c r="M25" s="305">
        <f>AVERAGE([3]Brewhouse!$AU$42:$AU$123)</f>
        <v>97.94699724131263</v>
      </c>
      <c r="N25" s="30">
        <v>98</v>
      </c>
      <c r="O25" s="11"/>
      <c r="P25" s="31"/>
      <c r="R25" s="277" t="str">
        <f t="shared" si="18"/>
        <v>CARIB</v>
      </c>
      <c r="S25" s="472">
        <f t="shared" si="1"/>
        <v>11.6</v>
      </c>
      <c r="T25" s="472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472">
        <f t="shared" si="8"/>
        <v>60</v>
      </c>
    </row>
    <row r="26" spans="1:27" ht="15" customHeight="1">
      <c r="A26" s="28"/>
      <c r="B26" s="581"/>
      <c r="C26" s="362">
        <v>11.9</v>
      </c>
      <c r="D26" s="519"/>
      <c r="E26" s="520"/>
      <c r="F26" s="294"/>
      <c r="G26" s="294"/>
      <c r="H26" s="348"/>
      <c r="I26" s="33" t="s">
        <v>9</v>
      </c>
      <c r="J26" s="280">
        <f>AVERAGE(I10:I17)</f>
        <v>97.846634721269027</v>
      </c>
      <c r="K26" s="284">
        <f>COUNTA([4]Brewhouse!$A$83:$A$90)</f>
        <v>8</v>
      </c>
      <c r="L26" s="302">
        <f>AVERAGE([4]Brewhouse!$AS$83:$AS$90)</f>
        <v>97.846634721269027</v>
      </c>
      <c r="M26" s="302">
        <f>AVERAGE([4]Brewhouse!$AS$52:$AS$81,[4]Brewhouse!$AS$83:$AS$90)</f>
        <v>98.777088426856892</v>
      </c>
      <c r="N26" s="30">
        <v>98</v>
      </c>
      <c r="O26" s="11"/>
      <c r="P26" s="31"/>
      <c r="R26" s="277">
        <f t="shared" si="18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81"/>
      <c r="C27" s="362">
        <v>11.9</v>
      </c>
      <c r="D27" s="521">
        <v>11.5</v>
      </c>
      <c r="E27" s="522"/>
      <c r="F27" s="294"/>
      <c r="G27" s="294"/>
      <c r="H27" s="348"/>
      <c r="I27" s="34" t="s">
        <v>12</v>
      </c>
      <c r="J27" s="280"/>
      <c r="K27" s="284"/>
      <c r="L27" s="302"/>
      <c r="M27" s="302">
        <f>AVERAGE([6]Brewhouse!$AU$16:$AU$23)</f>
        <v>97.765204759801577</v>
      </c>
      <c r="N27" s="30">
        <v>98</v>
      </c>
      <c r="O27" s="11"/>
      <c r="P27" s="31"/>
      <c r="R27" s="277">
        <f t="shared" si="18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81"/>
      <c r="C28" s="362">
        <v>11.8</v>
      </c>
      <c r="D28" s="523"/>
      <c r="E28" s="520"/>
      <c r="F28" s="294"/>
      <c r="G28" s="294"/>
      <c r="H28" s="348"/>
      <c r="I28" s="22" t="s">
        <v>33</v>
      </c>
      <c r="J28" s="280"/>
      <c r="K28" s="284"/>
      <c r="L28" s="302"/>
      <c r="M28" s="302">
        <f>AVERAGE([5]Brewhouse!$AV$23:$AV$34)</f>
        <v>98.31387229810305</v>
      </c>
      <c r="N28" s="30">
        <v>98</v>
      </c>
      <c r="O28" s="11"/>
      <c r="P28" s="31"/>
      <c r="R28" s="277">
        <f t="shared" si="18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81"/>
      <c r="C29" s="362">
        <v>11.7</v>
      </c>
      <c r="D29" s="521">
        <v>11.55</v>
      </c>
      <c r="E29" s="522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18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81"/>
      <c r="C30" s="362">
        <v>11.7</v>
      </c>
      <c r="D30" s="523"/>
      <c r="E30" s="520"/>
      <c r="F30" s="417"/>
      <c r="G30" s="294"/>
      <c r="H30" s="348"/>
      <c r="I30" s="36" t="s">
        <v>15</v>
      </c>
      <c r="J30" s="323"/>
      <c r="K30" s="284"/>
      <c r="L30" s="302"/>
      <c r="M30" s="302">
        <f>AVERAGE([7]Brewhouse!$AT$4:$AT$11)</f>
        <v>92.826224508052405</v>
      </c>
      <c r="N30" s="30">
        <v>98</v>
      </c>
      <c r="O30" s="11"/>
      <c r="P30" s="31"/>
      <c r="R30" s="277">
        <f t="shared" si="18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4.65" customHeight="1">
      <c r="A31" s="28"/>
      <c r="B31" s="581"/>
      <c r="C31" s="362">
        <v>11.8</v>
      </c>
      <c r="D31" s="521">
        <v>11.6</v>
      </c>
      <c r="E31" s="522"/>
      <c r="F31" s="417"/>
      <c r="G31" s="294"/>
      <c r="H31" s="348"/>
      <c r="I31" s="37" t="s">
        <v>16</v>
      </c>
      <c r="J31" s="323"/>
      <c r="K31" s="284"/>
      <c r="L31" s="302"/>
      <c r="M31" s="302">
        <f>AVERAGE([8]Brewhouse!$AY$5:$AY$7)</f>
        <v>98.128633252159673</v>
      </c>
      <c r="N31" s="30">
        <v>98</v>
      </c>
      <c r="O31" s="11"/>
      <c r="P31" s="31" t="s">
        <v>41</v>
      </c>
      <c r="R31" s="277">
        <f t="shared" si="18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4.65" customHeight="1">
      <c r="A32" s="28"/>
      <c r="B32" s="581"/>
      <c r="C32" s="362">
        <v>11.8</v>
      </c>
      <c r="D32" s="523"/>
      <c r="E32" s="520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18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4.65" customHeight="1">
      <c r="A33" s="28"/>
      <c r="B33" s="581"/>
      <c r="C33" s="349"/>
      <c r="D33" s="521"/>
      <c r="E33" s="522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81"/>
      <c r="C34" s="349"/>
      <c r="D34" s="523"/>
      <c r="E34" s="520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" customHeight="1" thickBot="1">
      <c r="A35" s="28"/>
      <c r="B35" s="581"/>
      <c r="C35" s="349"/>
      <c r="D35" s="517"/>
      <c r="E35" s="518"/>
      <c r="F35" s="294"/>
      <c r="G35" s="294"/>
      <c r="H35" s="348"/>
      <c r="I35" s="1"/>
      <c r="J35" s="39"/>
      <c r="K35" s="404">
        <f>SUM(K25:K34)</f>
        <v>8</v>
      </c>
      <c r="L35" s="405">
        <f>((L25*K25)+(L26*K26)+(L27*K27)+(L28*K28)+(L29*K29)+(K32*L32)+(L30*K30)+(L31*K31)+(L34*K34))/(K35)</f>
        <v>97.846634721269027</v>
      </c>
      <c r="M35" s="405">
        <f>L35</f>
        <v>97.846634721269027</v>
      </c>
      <c r="N35" s="4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82"/>
      <c r="C36" s="350"/>
      <c r="D36" s="519"/>
      <c r="E36" s="520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.75" thickBot="1">
      <c r="B37" s="583"/>
      <c r="C37" s="362"/>
      <c r="D37" s="525"/>
      <c r="E37" s="526"/>
      <c r="F37" s="294"/>
      <c r="G37" s="42"/>
      <c r="H37" s="41"/>
      <c r="I37" s="42"/>
      <c r="J37" s="527" t="s">
        <v>129</v>
      </c>
      <c r="K37" s="527"/>
      <c r="L37" s="294"/>
      <c r="M37" s="294"/>
      <c r="N37" s="294"/>
      <c r="O37" s="294"/>
      <c r="P37" s="12"/>
    </row>
    <row r="38" spans="1:56" ht="15.75" thickBot="1">
      <c r="B38" s="584"/>
      <c r="C38" s="362"/>
      <c r="D38" s="523"/>
      <c r="E38" s="520"/>
      <c r="F38" s="294"/>
      <c r="G38" s="42"/>
      <c r="H38" s="41"/>
      <c r="I38" s="42"/>
      <c r="J38" s="292" t="s">
        <v>17</v>
      </c>
      <c r="K38" s="293" t="s">
        <v>147</v>
      </c>
      <c r="L38" s="528" t="s">
        <v>136</v>
      </c>
      <c r="M38" s="528"/>
      <c r="N38" s="529"/>
      <c r="O38" s="294"/>
      <c r="P38" s="12"/>
    </row>
    <row r="39" spans="1:56" ht="15" customHeight="1" thickBot="1">
      <c r="B39" s="584"/>
      <c r="C39" s="349"/>
      <c r="D39" s="521"/>
      <c r="E39" s="522"/>
      <c r="F39" s="294"/>
      <c r="G39" s="42"/>
      <c r="H39" s="41"/>
      <c r="I39" s="42"/>
      <c r="J39" s="287" t="s">
        <v>6</v>
      </c>
      <c r="K39" s="324"/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84"/>
      <c r="C40" s="349"/>
      <c r="D40" s="523"/>
      <c r="E40" s="520"/>
      <c r="F40" s="294"/>
      <c r="G40" s="42"/>
      <c r="H40" s="41"/>
      <c r="I40" s="42"/>
      <c r="J40" s="345" t="s">
        <v>9</v>
      </c>
      <c r="K40" s="324">
        <v>8</v>
      </c>
      <c r="L40" s="344">
        <f>AVERAGE(K49)</f>
        <v>8</v>
      </c>
      <c r="M40" s="325">
        <f>AVERAGE('[9]Jan30th-31st'!$L$47,L40)</f>
        <v>7.0434782608695654</v>
      </c>
      <c r="N40" s="416">
        <v>9.1999999999999993</v>
      </c>
      <c r="O40" s="294"/>
      <c r="P40" s="12"/>
    </row>
    <row r="41" spans="1:56" ht="15" customHeight="1">
      <c r="B41" s="584"/>
      <c r="C41" s="349"/>
      <c r="D41" s="521"/>
      <c r="E41" s="522"/>
      <c r="F41" s="294"/>
      <c r="G41" s="42"/>
      <c r="H41" s="41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84"/>
      <c r="C42" s="349"/>
      <c r="D42" s="523"/>
      <c r="E42" s="520"/>
      <c r="F42" s="294"/>
      <c r="G42" s="42"/>
      <c r="H42" s="41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84"/>
      <c r="C43" s="349"/>
      <c r="D43" s="521"/>
      <c r="E43" s="522"/>
      <c r="F43" s="294"/>
      <c r="G43" s="42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84"/>
      <c r="C44" s="349"/>
      <c r="D44" s="523"/>
      <c r="E44" s="520"/>
      <c r="F44" s="294"/>
      <c r="G44" s="42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84"/>
      <c r="C45" s="349"/>
      <c r="D45" s="521"/>
      <c r="E45" s="522"/>
      <c r="F45" s="294"/>
      <c r="G45" s="42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85"/>
      <c r="C46" s="350"/>
      <c r="D46" s="530"/>
      <c r="E46" s="531"/>
      <c r="F46" s="294" t="s">
        <v>166</v>
      </c>
      <c r="G46" s="42"/>
      <c r="H46" s="41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32"/>
      <c r="E47" s="533"/>
      <c r="F47" s="294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1:57" ht="15.6" customHeight="1">
      <c r="B49" s="45"/>
      <c r="C49" s="11"/>
      <c r="D49" s="11"/>
      <c r="E49" s="46"/>
      <c r="F49" s="294"/>
      <c r="G49" s="42"/>
      <c r="H49" s="41"/>
      <c r="I49" s="42"/>
      <c r="J49" s="346" t="s">
        <v>130</v>
      </c>
      <c r="K49" s="324">
        <f>SUM(K39:K48)</f>
        <v>8</v>
      </c>
      <c r="L49" s="294"/>
      <c r="M49" s="294"/>
      <c r="N49" s="294"/>
      <c r="O49" s="294"/>
      <c r="P49" s="12"/>
    </row>
    <row r="50" spans="1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1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1:57" ht="15" customHeight="1" thickBot="1">
      <c r="B52" s="534" t="s">
        <v>17</v>
      </c>
      <c r="C52" s="534" t="s">
        <v>44</v>
      </c>
      <c r="D52" s="537" t="s">
        <v>45</v>
      </c>
      <c r="E52" s="500" t="s">
        <v>46</v>
      </c>
      <c r="F52" s="509" t="s">
        <v>47</v>
      </c>
      <c r="G52" s="546" t="s">
        <v>48</v>
      </c>
      <c r="H52" s="534" t="s">
        <v>49</v>
      </c>
      <c r="I52" s="534" t="s">
        <v>50</v>
      </c>
      <c r="J52" s="540" t="s">
        <v>28</v>
      </c>
      <c r="K52" s="498" t="s">
        <v>51</v>
      </c>
      <c r="L52" s="549" t="s">
        <v>52</v>
      </c>
      <c r="M52" s="540" t="s">
        <v>53</v>
      </c>
      <c r="N52" s="13"/>
      <c r="O52" s="13"/>
      <c r="P52" s="50"/>
    </row>
    <row r="53" spans="1:57" ht="28.5" customHeight="1" thickTop="1" thickBot="1">
      <c r="B53" s="535"/>
      <c r="C53" s="536"/>
      <c r="D53" s="538"/>
      <c r="E53" s="539"/>
      <c r="F53" s="551"/>
      <c r="G53" s="547"/>
      <c r="H53" s="535"/>
      <c r="I53" s="535"/>
      <c r="J53" s="541"/>
      <c r="K53" s="548"/>
      <c r="L53" s="550"/>
      <c r="M53" s="541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1:57" s="54" customFormat="1" ht="37.15" customHeight="1" thickBot="1">
      <c r="B54" s="480" t="str">
        <f>J39</f>
        <v>CARIB</v>
      </c>
      <c r="C54" s="479">
        <v>46055</v>
      </c>
      <c r="D54" s="442">
        <f>[29]February_2026!$E$3</f>
        <v>401.28999999999996</v>
      </c>
      <c r="E54" s="443"/>
      <c r="F54" s="444"/>
      <c r="G54" s="445">
        <f>[29]February_2026!$E$7</f>
        <v>381.4</v>
      </c>
      <c r="H54" s="446"/>
      <c r="I54" s="447"/>
      <c r="J54" s="448" t="s">
        <v>171</v>
      </c>
      <c r="K54" s="449">
        <f>[30]February_2026!$E$18</f>
        <v>0.66912280701754379</v>
      </c>
      <c r="L54" s="457">
        <f>(((D54+E54)-G54)/(D54+E54))*100</f>
        <v>4.9565152383562978</v>
      </c>
      <c r="M54" s="455" t="s">
        <v>172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1:57" s="54" customFormat="1" ht="14.25" customHeight="1" thickBot="1">
      <c r="B55" s="480"/>
      <c r="C55" s="479"/>
      <c r="D55" s="442"/>
      <c r="E55" s="443"/>
      <c r="F55" s="444"/>
      <c r="G55" s="445"/>
      <c r="H55" s="446"/>
      <c r="I55" s="447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37.15" hidden="1" customHeight="1" thickBot="1">
      <c r="A56" s="54" t="s">
        <v>170</v>
      </c>
      <c r="B56" s="480"/>
      <c r="C56" s="479"/>
      <c r="D56" s="442"/>
      <c r="E56" s="443"/>
      <c r="F56" s="444"/>
      <c r="G56" s="445"/>
      <c r="H56" s="446"/>
      <c r="I56" s="447"/>
      <c r="J56" s="448" t="s">
        <v>169</v>
      </c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[10]January_2019!L7</f>
        <v>285.8</v>
      </c>
      <c r="AC56" s="57">
        <f>[10]January_2019!M7</f>
        <v>508.1</v>
      </c>
      <c r="AD56" s="57">
        <f>[10]January_2019!N7</f>
        <v>0</v>
      </c>
      <c r="AE56" s="57">
        <f>[10]January_2019!O7</f>
        <v>0</v>
      </c>
      <c r="AF56" s="57">
        <f>[10]January_2019!P7</f>
        <v>109.56666666666666</v>
      </c>
      <c r="AG56" s="57">
        <f>[10]January_2019!Q7</f>
        <v>297.64999999999998</v>
      </c>
      <c r="AH56" s="57">
        <f>[10]January_2019!R7</f>
        <v>122.3</v>
      </c>
      <c r="AI56" s="57">
        <f>[10]January_2019!S7</f>
        <v>0</v>
      </c>
      <c r="AJ56" s="57">
        <f>[10]January_2019!T7</f>
        <v>294.7</v>
      </c>
      <c r="AK56" s="57">
        <f>[10]January_2019!U7</f>
        <v>280.5</v>
      </c>
      <c r="AL56" s="57">
        <f>[10]January_2019!V7</f>
        <v>0</v>
      </c>
      <c r="AM56" s="57">
        <f>[10]January_2019!W7</f>
        <v>0</v>
      </c>
      <c r="AN56" s="57">
        <f>[10]January_2019!X7</f>
        <v>188.25</v>
      </c>
      <c r="AO56" s="57">
        <f>[10]January_2019!Y7</f>
        <v>295.7</v>
      </c>
      <c r="AP56" s="57">
        <f>[10]January_2019!Z7</f>
        <v>257.8</v>
      </c>
      <c r="AQ56" s="57">
        <f>[10]January_2019!AA7</f>
        <v>291.2</v>
      </c>
      <c r="AR56" s="57">
        <f>[10]January_2019!AB7</f>
        <v>187</v>
      </c>
      <c r="AS56" s="57">
        <f>[10]January_2019!AC7</f>
        <v>0</v>
      </c>
      <c r="AT56" s="57">
        <f>[10]January_2019!AD7</f>
        <v>0</v>
      </c>
      <c r="AU56" s="57">
        <f>[10]January_2019!AE7</f>
        <v>485.1</v>
      </c>
      <c r="AV56" s="57">
        <f>[10]January_2019!AF7</f>
        <v>171.55</v>
      </c>
      <c r="AW56" s="57">
        <f>[10]January_2019!AG7</f>
        <v>423.8</v>
      </c>
      <c r="AX56" s="277">
        <f>[10]January_2019!AH7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19.5" hidden="1" customHeight="1" thickBot="1">
      <c r="B57" s="478"/>
      <c r="C57" s="430"/>
      <c r="D57" s="431"/>
      <c r="E57" s="432"/>
      <c r="F57" s="433"/>
      <c r="G57" s="434"/>
      <c r="H57" s="428"/>
      <c r="I57" s="42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38.450000000000003" hidden="1" customHeight="1" thickBot="1">
      <c r="B58" s="481"/>
      <c r="C58" s="479"/>
      <c r="D58" s="442"/>
      <c r="E58" s="443"/>
      <c r="F58" s="444"/>
      <c r="G58" s="445"/>
      <c r="H58" s="458"/>
      <c r="I58" s="458"/>
      <c r="J58" s="448"/>
      <c r="K58" s="45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7.15" hidden="1" customHeight="1" thickBot="1">
      <c r="B60" s="480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1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42" t="s">
        <v>55</v>
      </c>
      <c r="C65" s="543"/>
      <c r="D65" s="543"/>
      <c r="E65" s="543"/>
      <c r="F65" s="544"/>
      <c r="G65" s="542" t="s">
        <v>56</v>
      </c>
      <c r="H65" s="543"/>
      <c r="I65" s="543"/>
      <c r="J65" s="544"/>
      <c r="K65" s="542" t="s">
        <v>51</v>
      </c>
      <c r="L65" s="543"/>
      <c r="M65" s="543"/>
      <c r="N65" s="545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282"/>
      <c r="D67" s="76">
        <v>4.9565152383562978</v>
      </c>
      <c r="E67" s="76">
        <v>8.4899821652878629</v>
      </c>
      <c r="F67" s="66">
        <v>4.8</v>
      </c>
      <c r="G67" s="65"/>
      <c r="H67" s="477">
        <v>6.7265558452533165</v>
      </c>
      <c r="I67" s="477">
        <v>8.199398674053155</v>
      </c>
      <c r="J67" s="66">
        <v>4.8</v>
      </c>
      <c r="K67" s="67"/>
      <c r="L67" s="194">
        <v>0.66912280701754379</v>
      </c>
      <c r="M67" s="194">
        <v>0.43186306042884992</v>
      </c>
      <c r="N67" s="68">
        <v>1</v>
      </c>
      <c r="O67" s="56"/>
      <c r="P67" s="69"/>
    </row>
    <row r="68" spans="2:16" ht="15">
      <c r="B68" s="33" t="s">
        <v>9</v>
      </c>
      <c r="C68" s="65">
        <f>L54</f>
        <v>4.9565152383562978</v>
      </c>
      <c r="D68" s="76"/>
      <c r="E68" s="76">
        <v>6.0460527097870944</v>
      </c>
      <c r="F68" s="66">
        <v>4.8</v>
      </c>
      <c r="G68" s="65">
        <f>[29]February_2026!$E$11</f>
        <v>6.7265558452533165</v>
      </c>
      <c r="H68" s="76"/>
      <c r="I68" s="76">
        <v>7.0083733221260962</v>
      </c>
      <c r="J68" s="66">
        <v>4.8</v>
      </c>
      <c r="K68" s="67">
        <f>K54</f>
        <v>0.66912280701754379</v>
      </c>
      <c r="L68" s="194"/>
      <c r="M68" s="194">
        <v>0.60344005847953208</v>
      </c>
      <c r="N68" s="68">
        <v>1</v>
      </c>
      <c r="P68" s="69"/>
    </row>
    <row r="69" spans="2:16" ht="15">
      <c r="B69" s="34" t="s">
        <v>40</v>
      </c>
      <c r="C69" s="65"/>
      <c r="D69" s="76"/>
      <c r="E69" s="76">
        <v>10.608139003200726</v>
      </c>
      <c r="F69" s="66">
        <v>5.5</v>
      </c>
      <c r="G69" s="65"/>
      <c r="H69" s="76"/>
      <c r="I69" s="76">
        <v>100</v>
      </c>
      <c r="J69" s="66">
        <v>5.5</v>
      </c>
      <c r="K69" s="67"/>
      <c r="L69" s="194"/>
      <c r="M69" s="194">
        <v>0.68596491228070178</v>
      </c>
      <c r="N69" s="68">
        <v>1</v>
      </c>
      <c r="P69" s="69"/>
    </row>
    <row r="70" spans="2:16" ht="15">
      <c r="B70" s="22" t="s">
        <v>33</v>
      </c>
      <c r="C70" s="65"/>
      <c r="D70" s="76"/>
      <c r="E70" s="76">
        <v>5.0755456997699637</v>
      </c>
      <c r="F70" s="66">
        <v>3.3</v>
      </c>
      <c r="G70" s="65"/>
      <c r="H70" s="76"/>
      <c r="I70" s="76">
        <v>4.6359882890480018</v>
      </c>
      <c r="J70" s="66">
        <v>3.3</v>
      </c>
      <c r="K70" s="67"/>
      <c r="L70" s="194"/>
      <c r="M70" s="194">
        <v>0.66833333333333345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65"/>
      <c r="D72" s="76"/>
      <c r="E72" s="76">
        <v>5.1105651105651271</v>
      </c>
      <c r="F72" s="70">
        <f>[11]May_2022!$M$43</f>
        <v>3.4878406700073312</v>
      </c>
      <c r="G72" s="282"/>
      <c r="H72" s="76"/>
      <c r="I72" s="76">
        <v>7.9131369535794072</v>
      </c>
      <c r="J72" s="66">
        <v>5.5</v>
      </c>
      <c r="K72" s="67"/>
      <c r="L72" s="194"/>
      <c r="M72" s="194">
        <v>1.3550877192982456</v>
      </c>
      <c r="N72" s="68">
        <v>1</v>
      </c>
      <c r="P72" s="69"/>
    </row>
    <row r="73" spans="2:16" ht="15">
      <c r="B73" s="37" t="s">
        <v>16</v>
      </c>
      <c r="C73" s="65"/>
      <c r="D73" s="76"/>
      <c r="E73" s="76">
        <v>2.0590520590520631</v>
      </c>
      <c r="F73" s="66">
        <v>3.3</v>
      </c>
      <c r="G73" s="282"/>
      <c r="H73" s="76"/>
      <c r="I73" s="76">
        <v>2.1755040108015784</v>
      </c>
      <c r="J73" s="66">
        <v>3.3</v>
      </c>
      <c r="K73" s="67"/>
      <c r="L73" s="194"/>
      <c r="M73" s="194">
        <v>0.88456140350877199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4.9565152383562978</v>
      </c>
      <c r="E76" s="76">
        <v>6.8014329746566249</v>
      </c>
      <c r="F76" s="341">
        <v>5.5</v>
      </c>
      <c r="H76" s="76">
        <v>6.7265558452533165</v>
      </c>
      <c r="I76" s="76">
        <v>7.0004687242530315</v>
      </c>
      <c r="J76" s="341">
        <v>5.5</v>
      </c>
      <c r="L76" s="194">
        <v>0.66912280701754379</v>
      </c>
      <c r="M76" s="194">
        <v>0.66912280701754379</v>
      </c>
      <c r="N76" s="386">
        <v>1</v>
      </c>
    </row>
  </sheetData>
  <mergeCells count="51"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3351" priority="74" operator="notBetween">
      <formula>#REF!</formula>
      <formula>#REF!</formula>
    </cfRule>
  </conditionalFormatting>
  <conditionalFormatting sqref="C51">
    <cfRule type="cellIs" dxfId="3350" priority="202" stopIfTrue="1" operator="greaterThan">
      <formula>100</formula>
    </cfRule>
    <cfRule type="cellIs" dxfId="3349" priority="201" stopIfTrue="1" operator="lessThan">
      <formula>96</formula>
    </cfRule>
  </conditionalFormatting>
  <conditionalFormatting sqref="C67:C71">
    <cfRule type="cellIs" dxfId="3348" priority="159" stopIfTrue="1" operator="lessThanOrEqual">
      <formula>0</formula>
    </cfRule>
  </conditionalFormatting>
  <conditionalFormatting sqref="C67:C75">
    <cfRule type="cellIs" dxfId="3347" priority="158" stopIfTrue="1" operator="greaterThan">
      <formula>$F67</formula>
    </cfRule>
  </conditionalFormatting>
  <conditionalFormatting sqref="C68">
    <cfRule type="cellIs" dxfId="3346" priority="205" stopIfTrue="1" operator="greaterThan">
      <formula>$F67</formula>
    </cfRule>
  </conditionalFormatting>
  <conditionalFormatting sqref="C72">
    <cfRule type="cellIs" dxfId="3345" priority="98" stopIfTrue="1" operator="lessThanOrEqual">
      <formula>0</formula>
    </cfRule>
    <cfRule type="cellIs" dxfId="3344" priority="99" stopIfTrue="1" operator="greaterThan">
      <formula>$F71</formula>
    </cfRule>
  </conditionalFormatting>
  <conditionalFormatting sqref="C78:C82">
    <cfRule type="cellIs" dxfId="3343" priority="193" stopIfTrue="1" operator="lessThanOrEqual">
      <formula>0</formula>
    </cfRule>
  </conditionalFormatting>
  <conditionalFormatting sqref="C79:C82">
    <cfRule type="cellIs" dxfId="3342" priority="192" stopIfTrue="1" operator="greaterThan">
      <formula>$F$78</formula>
    </cfRule>
  </conditionalFormatting>
  <conditionalFormatting sqref="C84">
    <cfRule type="cellIs" dxfId="3341" priority="195" stopIfTrue="1" operator="lessThanOrEqual">
      <formula>0</formula>
    </cfRule>
    <cfRule type="cellIs" dxfId="3340" priority="194" stopIfTrue="1" operator="greaterThan">
      <formula>$F$78</formula>
    </cfRule>
  </conditionalFormatting>
  <conditionalFormatting sqref="C78:D78 D80:D86">
    <cfRule type="cellIs" dxfId="3339" priority="187" stopIfTrue="1" operator="greaterThan">
      <formula>4.5</formula>
    </cfRule>
  </conditionalFormatting>
  <conditionalFormatting sqref="D47:D48">
    <cfRule type="cellIs" dxfId="3338" priority="75" operator="notBetween">
      <formula>#REF!</formula>
      <formula>#REF!</formula>
    </cfRule>
  </conditionalFormatting>
  <conditionalFormatting sqref="D67:D74">
    <cfRule type="cellIs" dxfId="3337" priority="167" stopIfTrue="1" operator="lessThanOrEqual">
      <formula>0</formula>
    </cfRule>
  </conditionalFormatting>
  <conditionalFormatting sqref="D78 D80:D86">
    <cfRule type="cellIs" dxfId="3336" priority="188" stopIfTrue="1" operator="lessThanOrEqual">
      <formula>0</formula>
    </cfRule>
  </conditionalFormatting>
  <conditionalFormatting sqref="D79">
    <cfRule type="cellIs" dxfId="3335" priority="179" stopIfTrue="1" operator="greaterThan">
      <formula>$F$78</formula>
    </cfRule>
    <cfRule type="cellIs" dxfId="3334" priority="180" stopIfTrue="1" operator="lessThanOrEqual">
      <formula>0</formula>
    </cfRule>
  </conditionalFormatting>
  <conditionalFormatting sqref="D67:E76">
    <cfRule type="cellIs" dxfId="3333" priority="156" stopIfTrue="1" operator="greaterThan">
      <formula>$F67</formula>
    </cfRule>
  </conditionalFormatting>
  <conditionalFormatting sqref="D75:E75">
    <cfRule type="cellIs" dxfId="3332" priority="166" stopIfTrue="1" operator="lessThanOrEqual">
      <formula>0</formula>
    </cfRule>
  </conditionalFormatting>
  <conditionalFormatting sqref="D76:E76">
    <cfRule type="cellIs" dxfId="3331" priority="157" stopIfTrue="1" operator="lessThanOrEqual">
      <formula>0</formula>
    </cfRule>
  </conditionalFormatting>
  <conditionalFormatting sqref="E10:E22">
    <cfRule type="cellIs" dxfId="3330" priority="33" operator="lessThan">
      <formula>48</formula>
    </cfRule>
  </conditionalFormatting>
  <conditionalFormatting sqref="E50 E51:F51">
    <cfRule type="cellIs" dxfId="3329" priority="184" stopIfTrue="1" operator="greaterThan">
      <formula>100</formula>
    </cfRule>
  </conditionalFormatting>
  <conditionalFormatting sqref="E51">
    <cfRule type="cellIs" dxfId="3328" priority="181" stopIfTrue="1" operator="lessThan">
      <formula>96.8</formula>
    </cfRule>
    <cfRule type="cellIs" dxfId="3327" priority="182" stopIfTrue="1" operator="greaterThan">
      <formula>100</formula>
    </cfRule>
  </conditionalFormatting>
  <conditionalFormatting sqref="E67:E74">
    <cfRule type="cellIs" dxfId="3326" priority="12" stopIfTrue="1" operator="lessThanOrEqual">
      <formula>0</formula>
    </cfRule>
  </conditionalFormatting>
  <conditionalFormatting sqref="E67:E75">
    <cfRule type="cellIs" dxfId="3325" priority="163" stopIfTrue="1" operator="lessThanOrEqual">
      <formula>0</formula>
    </cfRule>
  </conditionalFormatting>
  <conditionalFormatting sqref="E78:E86">
    <cfRule type="cellIs" dxfId="3324" priority="174" stopIfTrue="1" operator="lessThanOrEqual">
      <formula>0</formula>
    </cfRule>
    <cfRule type="cellIs" dxfId="3323" priority="173" stopIfTrue="1" operator="greaterThan">
      <formula>4.5</formula>
    </cfRule>
  </conditionalFormatting>
  <conditionalFormatting sqref="E51:F51 E50">
    <cfRule type="cellIs" dxfId="3322" priority="183" stopIfTrue="1" operator="lessThan">
      <formula>96.5</formula>
    </cfRule>
  </conditionalFormatting>
  <conditionalFormatting sqref="F21:F22">
    <cfRule type="cellIs" dxfId="3321" priority="34" operator="greaterThan">
      <formula>60</formula>
    </cfRule>
  </conditionalFormatting>
  <conditionalFormatting sqref="F51">
    <cfRule type="cellIs" dxfId="3320" priority="199" stopIfTrue="1" operator="lessThan">
      <formula>96.8</formula>
    </cfRule>
    <cfRule type="cellIs" dxfId="3319" priority="200" stopIfTrue="1" operator="greaterThan">
      <formula>100</formula>
    </cfRule>
  </conditionalFormatting>
  <conditionalFormatting sqref="F76">
    <cfRule type="cellIs" dxfId="3318" priority="165" stopIfTrue="1" operator="lessThanOrEqual">
      <formula>0</formula>
    </cfRule>
    <cfRule type="cellIs" dxfId="3317" priority="164" stopIfTrue="1" operator="greaterThan">
      <formula>$F76</formula>
    </cfRule>
  </conditionalFormatting>
  <conditionalFormatting sqref="G10:G21">
    <cfRule type="expression" dxfId="3316" priority="36">
      <formula>IF(+(IF(G10&lt;S10,0,IF(G10&gt;T10,0,1)))=0,1)</formula>
    </cfRule>
  </conditionalFormatting>
  <conditionalFormatting sqref="G67:G68 C73:C75">
    <cfRule type="cellIs" dxfId="3315" priority="169" stopIfTrue="1" operator="lessThanOrEqual">
      <formula>0</formula>
    </cfRule>
  </conditionalFormatting>
  <conditionalFormatting sqref="G67:G68">
    <cfRule type="cellIs" dxfId="3314" priority="168" stopIfTrue="1" operator="greaterThan">
      <formula>$F67</formula>
    </cfRule>
    <cfRule type="cellIs" dxfId="3313" priority="161" stopIfTrue="1" operator="lessThanOrEqual">
      <formula>0</formula>
    </cfRule>
    <cfRule type="cellIs" dxfId="3312" priority="160" stopIfTrue="1" operator="greaterThan">
      <formula>$F67</formula>
    </cfRule>
  </conditionalFormatting>
  <conditionalFormatting sqref="G69">
    <cfRule type="cellIs" dxfId="3311" priority="204" stopIfTrue="1" operator="lessThanOrEqual">
      <formula>0</formula>
    </cfRule>
    <cfRule type="cellIs" dxfId="3310" priority="203" stopIfTrue="1" operator="greaterThan">
      <formula>$F68</formula>
    </cfRule>
  </conditionalFormatting>
  <conditionalFormatting sqref="G70">
    <cfRule type="cellIs" dxfId="3309" priority="70" stopIfTrue="1" operator="greaterThan">
      <formula>$F70</formula>
    </cfRule>
    <cfRule type="cellIs" dxfId="3308" priority="72" stopIfTrue="1" operator="greaterThan">
      <formula>$F70</formula>
    </cfRule>
    <cfRule type="cellIs" dxfId="3307" priority="71" stopIfTrue="1" operator="lessThanOrEqual">
      <formula>0</formula>
    </cfRule>
    <cfRule type="cellIs" dxfId="3306" priority="73" stopIfTrue="1" operator="lessThanOrEqual">
      <formula>0</formula>
    </cfRule>
  </conditionalFormatting>
  <conditionalFormatting sqref="G71:G75">
    <cfRule type="cellIs" dxfId="3305" priority="171" stopIfTrue="1" operator="lessThanOrEqual">
      <formula>0</formula>
    </cfRule>
    <cfRule type="cellIs" dxfId="3304" priority="170" stopIfTrue="1" operator="greaterThan">
      <formula>$J71</formula>
    </cfRule>
  </conditionalFormatting>
  <conditionalFormatting sqref="G80:G85 C83 C85">
    <cfRule type="cellIs" dxfId="3303" priority="197" stopIfTrue="1" operator="lessThanOrEqual">
      <formula>0</formula>
    </cfRule>
    <cfRule type="cellIs" dxfId="3302" priority="196" stopIfTrue="1" operator="greaterThan">
      <formula>4.5</formula>
    </cfRule>
  </conditionalFormatting>
  <conditionalFormatting sqref="G79:H79">
    <cfRule type="cellIs" dxfId="3301" priority="177" stopIfTrue="1" operator="greaterThan">
      <formula>$F$78</formula>
    </cfRule>
    <cfRule type="cellIs" dxfId="3300" priority="178" stopIfTrue="1" operator="lessThanOrEqual">
      <formula>0</formula>
    </cfRule>
  </conditionalFormatting>
  <conditionalFormatting sqref="H10:H21 G22:H22">
    <cfRule type="expression" dxfId="3299" priority="67">
      <formula>IF(+(IF(G10&lt;#REF!,0,IF(G10&gt;#REF!,0,1)))=0,1)</formula>
    </cfRule>
  </conditionalFormatting>
  <conditionalFormatting sqref="H36:H50">
    <cfRule type="cellIs" dxfId="3298" priority="175" stopIfTrue="1" operator="greaterThan">
      <formula>0</formula>
    </cfRule>
  </conditionalFormatting>
  <conditionalFormatting sqref="H54:H55">
    <cfRule type="cellIs" dxfId="3297" priority="14" stopIfTrue="1" operator="lessThanOrEqual">
      <formula>0</formula>
    </cfRule>
    <cfRule type="cellIs" dxfId="3296" priority="15" stopIfTrue="1" operator="greaterThan">
      <formula>#REF!</formula>
    </cfRule>
    <cfRule type="cellIs" dxfId="3295" priority="23" stopIfTrue="1" operator="greaterThan">
      <formula>$F$22</formula>
    </cfRule>
    <cfRule type="cellIs" dxfId="3294" priority="24" stopIfTrue="1" operator="lessThanOrEqual">
      <formula>0</formula>
    </cfRule>
    <cfRule type="cellIs" dxfId="3293" priority="25" stopIfTrue="1" operator="greaterThan">
      <formula>#REF!</formula>
    </cfRule>
  </conditionalFormatting>
  <conditionalFormatting sqref="H54:H56">
    <cfRule type="cellIs" dxfId="3292" priority="26" stopIfTrue="1" operator="lessThanOrEqual">
      <formula>0</formula>
    </cfRule>
  </conditionalFormatting>
  <conditionalFormatting sqref="H56">
    <cfRule type="cellIs" dxfId="3291" priority="50" stopIfTrue="1" operator="lessThanOrEqual">
      <formula>0</formula>
    </cfRule>
    <cfRule type="cellIs" dxfId="3290" priority="39" stopIfTrue="1" operator="greaterThan">
      <formula>#REF!</formula>
    </cfRule>
    <cfRule type="cellIs" dxfId="3289" priority="47" stopIfTrue="1" operator="greaterThan">
      <formula>$F$22</formula>
    </cfRule>
    <cfRule type="cellIs" dxfId="3288" priority="48" stopIfTrue="1" operator="lessThanOrEqual">
      <formula>0</formula>
    </cfRule>
    <cfRule type="cellIs" dxfId="3287" priority="49" stopIfTrue="1" operator="greaterThan">
      <formula>#REF!</formula>
    </cfRule>
  </conditionalFormatting>
  <conditionalFormatting sqref="H57">
    <cfRule type="cellIs" dxfId="3286" priority="125" stopIfTrue="1" operator="lessThanOrEqual">
      <formula>0</formula>
    </cfRule>
    <cfRule type="cellIs" dxfId="3285" priority="126" stopIfTrue="1" operator="greaterThan">
      <formula>#REF!</formula>
    </cfRule>
    <cfRule type="cellIs" dxfId="3284" priority="127" stopIfTrue="1" operator="lessThanOrEqual">
      <formula>0</formula>
    </cfRule>
    <cfRule type="cellIs" dxfId="3283" priority="124" stopIfTrue="1" operator="greaterThan">
      <formula>$F$23</formula>
    </cfRule>
    <cfRule type="cellIs" dxfId="3282" priority="116" stopIfTrue="1" operator="greaterThan">
      <formula>#REF!</formula>
    </cfRule>
    <cfRule type="cellIs" dxfId="3281" priority="115" stopIfTrue="1" operator="lessThanOrEqual">
      <formula>0</formula>
    </cfRule>
  </conditionalFormatting>
  <conditionalFormatting sqref="H58">
    <cfRule type="cellIs" dxfId="3280" priority="61" stopIfTrue="1" operator="greaterThan">
      <formula>$F$70</formula>
    </cfRule>
    <cfRule type="cellIs" dxfId="3279" priority="52" stopIfTrue="1" operator="lessThanOrEqual">
      <formula>0</formula>
    </cfRule>
    <cfRule type="cellIs" dxfId="3278" priority="53" stopIfTrue="1" operator="greaterThan">
      <formula>$F$67</formula>
    </cfRule>
    <cfRule type="cellIs" dxfId="3277" priority="62" stopIfTrue="1" operator="lessThanOrEqual">
      <formula>0</formula>
    </cfRule>
    <cfRule type="cellIs" dxfId="3276" priority="64" stopIfTrue="1" operator="lessThanOrEqual">
      <formula>0</formula>
    </cfRule>
    <cfRule type="cellIs" dxfId="3275" priority="63" stopIfTrue="1" operator="greaterThan">
      <formula>$F$68</formula>
    </cfRule>
  </conditionalFormatting>
  <conditionalFormatting sqref="H59:H60">
    <cfRule type="cellIs" dxfId="3274" priority="113" stopIfTrue="1" operator="lessThanOrEqual">
      <formula>0</formula>
    </cfRule>
    <cfRule type="cellIs" dxfId="3273" priority="112" stopIfTrue="1" operator="greaterThan">
      <formula>#REF!</formula>
    </cfRule>
    <cfRule type="cellIs" dxfId="3272" priority="102" stopIfTrue="1" operator="greaterThan">
      <formula>#REF!</formula>
    </cfRule>
    <cfRule type="cellIs" dxfId="3271" priority="110" stopIfTrue="1" operator="greaterThan">
      <formula>$F$22</formula>
    </cfRule>
    <cfRule type="cellIs" dxfId="3270" priority="111" stopIfTrue="1" operator="lessThanOrEqual">
      <formula>0</formula>
    </cfRule>
    <cfRule type="cellIs" dxfId="3269" priority="101" stopIfTrue="1" operator="lessThanOrEqual">
      <formula>0</formula>
    </cfRule>
  </conditionalFormatting>
  <conditionalFormatting sqref="H61">
    <cfRule type="cellIs" dxfId="3268" priority="130" stopIfTrue="1" operator="lessThanOrEqual">
      <formula>0</formula>
    </cfRule>
    <cfRule type="cellIs" dxfId="3267" priority="131" stopIfTrue="1" operator="greaterThan">
      <formula>$F$35</formula>
    </cfRule>
    <cfRule type="cellIs" dxfId="3266" priority="142" stopIfTrue="1" operator="lessThanOrEqual">
      <formula>0</formula>
    </cfRule>
    <cfRule type="cellIs" dxfId="3265" priority="139" stopIfTrue="1" operator="greaterThan">
      <formula>$F$38</formula>
    </cfRule>
    <cfRule type="cellIs" dxfId="3264" priority="140" stopIfTrue="1" operator="lessThanOrEqual">
      <formula>0</formula>
    </cfRule>
    <cfRule type="cellIs" dxfId="3263" priority="141" stopIfTrue="1" operator="greaterThan">
      <formula>$F$36</formula>
    </cfRule>
  </conditionalFormatting>
  <conditionalFormatting sqref="H62:H63">
    <cfRule type="cellIs" dxfId="3262" priority="86" stopIfTrue="1" operator="greaterThan">
      <formula>#REF!</formula>
    </cfRule>
    <cfRule type="cellIs" dxfId="3261" priority="95" stopIfTrue="1" operator="lessThanOrEqual">
      <formula>0</formula>
    </cfRule>
    <cfRule type="cellIs" dxfId="3260" priority="94" stopIfTrue="1" operator="greaterThan">
      <formula>$F$22</formula>
    </cfRule>
    <cfRule type="cellIs" dxfId="3259" priority="97" stopIfTrue="1" operator="lessThanOrEqual">
      <formula>0</formula>
    </cfRule>
    <cfRule type="cellIs" dxfId="3258" priority="96" stopIfTrue="1" operator="greaterThan">
      <formula>#REF!</formula>
    </cfRule>
    <cfRule type="cellIs" dxfId="3257" priority="85" stopIfTrue="1" operator="lessThanOrEqual">
      <formula>0</formula>
    </cfRule>
  </conditionalFormatting>
  <conditionalFormatting sqref="H78 H80:H86">
    <cfRule type="cellIs" dxfId="3256" priority="190" stopIfTrue="1" operator="lessThanOrEqual">
      <formula>0</formula>
    </cfRule>
    <cfRule type="cellIs" dxfId="3255" priority="189" stopIfTrue="1" operator="greaterThan">
      <formula>4.5</formula>
    </cfRule>
  </conditionalFormatting>
  <conditionalFormatting sqref="H54:I55">
    <cfRule type="cellIs" dxfId="3254" priority="16" stopIfTrue="1" operator="lessThanOrEqual">
      <formula>0</formula>
    </cfRule>
  </conditionalFormatting>
  <conditionalFormatting sqref="H54:I56">
    <cfRule type="cellIs" dxfId="3253" priority="13" stopIfTrue="1" operator="greaterThan">
      <formula>#REF!</formula>
    </cfRule>
  </conditionalFormatting>
  <conditionalFormatting sqref="H56:I56">
    <cfRule type="cellIs" dxfId="3252" priority="40" stopIfTrue="1" operator="lessThanOrEqual">
      <formula>0</formula>
    </cfRule>
  </conditionalFormatting>
  <conditionalFormatting sqref="H57:I57">
    <cfRule type="cellIs" dxfId="3251" priority="117" stopIfTrue="1" operator="lessThanOrEqual">
      <formula>0</formula>
    </cfRule>
    <cfRule type="cellIs" dxfId="3250" priority="114" stopIfTrue="1" operator="greaterThan">
      <formula>$F$22</formula>
    </cfRule>
  </conditionalFormatting>
  <conditionalFormatting sqref="H58:I58">
    <cfRule type="cellIs" dxfId="3249" priority="54" stopIfTrue="1" operator="lessThanOrEqual">
      <formula>0</formula>
    </cfRule>
    <cfRule type="cellIs" dxfId="3248" priority="51" stopIfTrue="1" operator="greaterThan">
      <formula>$F$69</formula>
    </cfRule>
  </conditionalFormatting>
  <conditionalFormatting sqref="H59:I60">
    <cfRule type="cellIs" dxfId="3247" priority="100" stopIfTrue="1" operator="greaterThan">
      <formula>#REF!</formula>
    </cfRule>
    <cfRule type="cellIs" dxfId="3246" priority="103" stopIfTrue="1" operator="lessThanOrEqual">
      <formula>0</formula>
    </cfRule>
  </conditionalFormatting>
  <conditionalFormatting sqref="H61:I61">
    <cfRule type="cellIs" dxfId="3245" priority="132" stopIfTrue="1" operator="lessThanOrEqual">
      <formula>0</formula>
    </cfRule>
    <cfRule type="cellIs" dxfId="3244" priority="129" stopIfTrue="1" operator="greaterThan">
      <formula>$F$37</formula>
    </cfRule>
  </conditionalFormatting>
  <conditionalFormatting sqref="H62:I63">
    <cfRule type="cellIs" dxfId="3243" priority="87" stopIfTrue="1" operator="lessThanOrEqual">
      <formula>0</formula>
    </cfRule>
    <cfRule type="cellIs" dxfId="3242" priority="84" stopIfTrue="1" operator="greaterThan">
      <formula>#REF!</formula>
    </cfRule>
  </conditionalFormatting>
  <conditionalFormatting sqref="H67:I74">
    <cfRule type="cellIs" dxfId="3241" priority="65" stopIfTrue="1" operator="greaterThan">
      <formula>$J67</formula>
    </cfRule>
    <cfRule type="cellIs" dxfId="3240" priority="66" stopIfTrue="1" operator="lessThanOrEqual">
      <formula>0</formula>
    </cfRule>
  </conditionalFormatting>
  <conditionalFormatting sqref="H75:I75">
    <cfRule type="cellIs" dxfId="3239" priority="162" operator="greaterThan">
      <formula>5.3</formula>
    </cfRule>
  </conditionalFormatting>
  <conditionalFormatting sqref="H76:I76">
    <cfRule type="cellIs" dxfId="3238" priority="154" stopIfTrue="1" operator="greaterThan">
      <formula>$J76</formula>
    </cfRule>
    <cfRule type="cellIs" dxfId="3237" priority="155" stopIfTrue="1" operator="lessThanOrEqual">
      <formula>0</formula>
    </cfRule>
  </conditionalFormatting>
  <conditionalFormatting sqref="I54:I55">
    <cfRule type="cellIs" dxfId="3236" priority="18" stopIfTrue="1" operator="lessThanOrEqual">
      <formula>0</formula>
    </cfRule>
    <cfRule type="cellIs" dxfId="3235" priority="19" stopIfTrue="1" operator="greaterThan">
      <formula>#REF!</formula>
    </cfRule>
    <cfRule type="cellIs" dxfId="3234" priority="20" stopIfTrue="1" operator="lessThanOrEqual">
      <formula>0</formula>
    </cfRule>
    <cfRule type="cellIs" dxfId="3233" priority="21" stopIfTrue="1" operator="greaterThan">
      <formula>#REF!</formula>
    </cfRule>
    <cfRule type="cellIs" dxfId="3232" priority="22" stopIfTrue="1" operator="lessThanOrEqual">
      <formula>0</formula>
    </cfRule>
    <cfRule type="cellIs" dxfId="3231" priority="17" stopIfTrue="1" operator="greaterThan">
      <formula>#REF!</formula>
    </cfRule>
  </conditionalFormatting>
  <conditionalFormatting sqref="I56">
    <cfRule type="cellIs" dxfId="3230" priority="45" stopIfTrue="1" operator="greaterThan">
      <formula>#REF!</formula>
    </cfRule>
    <cfRule type="cellIs" dxfId="3229" priority="44" stopIfTrue="1" operator="lessThanOrEqual">
      <formula>0</formula>
    </cfRule>
    <cfRule type="cellIs" dxfId="3228" priority="43" stopIfTrue="1" operator="greaterThan">
      <formula>#REF!</formula>
    </cfRule>
    <cfRule type="cellIs" dxfId="3227" priority="46" stopIfTrue="1" operator="lessThanOrEqual">
      <formula>0</formula>
    </cfRule>
    <cfRule type="cellIs" dxfId="3226" priority="41" stopIfTrue="1" operator="greaterThan">
      <formula>#REF!</formula>
    </cfRule>
    <cfRule type="cellIs" dxfId="3225" priority="42" stopIfTrue="1" operator="lessThanOrEqual">
      <formula>0</formula>
    </cfRule>
  </conditionalFormatting>
  <conditionalFormatting sqref="I57">
    <cfRule type="cellIs" dxfId="3224" priority="118" stopIfTrue="1" operator="greaterThan">
      <formula>#REF!</formula>
    </cfRule>
    <cfRule type="cellIs" dxfId="3223" priority="120" stopIfTrue="1" operator="greaterThan">
      <formula>$F$22</formula>
    </cfRule>
    <cfRule type="cellIs" dxfId="3222" priority="121" stopIfTrue="1" operator="lessThanOrEqual">
      <formula>0</formula>
    </cfRule>
    <cfRule type="cellIs" dxfId="3221" priority="122" stopIfTrue="1" operator="greaterThan">
      <formula>#REF!</formula>
    </cfRule>
    <cfRule type="cellIs" dxfId="3220" priority="123" stopIfTrue="1" operator="lessThanOrEqual">
      <formula>0</formula>
    </cfRule>
    <cfRule type="cellIs" dxfId="3219" priority="119" stopIfTrue="1" operator="lessThanOrEqual">
      <formula>0</formula>
    </cfRule>
  </conditionalFormatting>
  <conditionalFormatting sqref="I58">
    <cfRule type="cellIs" dxfId="3218" priority="60" stopIfTrue="1" operator="lessThanOrEqual">
      <formula>0</formula>
    </cfRule>
    <cfRule type="cellIs" dxfId="3217" priority="59" stopIfTrue="1" operator="greaterThan">
      <formula>$F$67</formula>
    </cfRule>
    <cfRule type="cellIs" dxfId="3216" priority="55" stopIfTrue="1" operator="greaterThan">
      <formula>$F$67</formula>
    </cfRule>
    <cfRule type="cellIs" dxfId="3215" priority="56" stopIfTrue="1" operator="lessThanOrEqual">
      <formula>0</formula>
    </cfRule>
    <cfRule type="cellIs" dxfId="3214" priority="57" stopIfTrue="1" operator="greaterThan">
      <formula>$F$69</formula>
    </cfRule>
    <cfRule type="cellIs" dxfId="3213" priority="58" stopIfTrue="1" operator="lessThanOrEqual">
      <formula>0</formula>
    </cfRule>
  </conditionalFormatting>
  <conditionalFormatting sqref="I59:I60">
    <cfRule type="cellIs" dxfId="3212" priority="104" stopIfTrue="1" operator="greaterThan">
      <formula>#REF!</formula>
    </cfRule>
    <cfRule type="cellIs" dxfId="3211" priority="109" stopIfTrue="1" operator="lessThanOrEqual">
      <formula>0</formula>
    </cfRule>
    <cfRule type="cellIs" dxfId="3210" priority="105" stopIfTrue="1" operator="lessThanOrEqual">
      <formula>0</formula>
    </cfRule>
    <cfRule type="cellIs" dxfId="3209" priority="106" stopIfTrue="1" operator="greaterThan">
      <formula>#REF!</formula>
    </cfRule>
    <cfRule type="cellIs" dxfId="3208" priority="107" stopIfTrue="1" operator="lessThanOrEqual">
      <formula>0</formula>
    </cfRule>
    <cfRule type="cellIs" dxfId="3207" priority="108" stopIfTrue="1" operator="greaterThan">
      <formula>#REF!</formula>
    </cfRule>
  </conditionalFormatting>
  <conditionalFormatting sqref="I61">
    <cfRule type="cellIs" dxfId="3206" priority="137" stopIfTrue="1" operator="greaterThan">
      <formula>$F$35</formula>
    </cfRule>
    <cfRule type="cellIs" dxfId="3205" priority="138" stopIfTrue="1" operator="lessThanOrEqual">
      <formula>0</formula>
    </cfRule>
    <cfRule type="cellIs" dxfId="3204" priority="133" stopIfTrue="1" operator="greaterThan">
      <formula>$F$35</formula>
    </cfRule>
    <cfRule type="cellIs" dxfId="3203" priority="134" stopIfTrue="1" operator="lessThanOrEqual">
      <formula>0</formula>
    </cfRule>
    <cfRule type="cellIs" dxfId="3202" priority="135" stopIfTrue="1" operator="greaterThan">
      <formula>$F$37</formula>
    </cfRule>
    <cfRule type="cellIs" dxfId="3201" priority="136" stopIfTrue="1" operator="lessThanOrEqual">
      <formula>0</formula>
    </cfRule>
  </conditionalFormatting>
  <conditionalFormatting sqref="I62:I63">
    <cfRule type="cellIs" dxfId="3200" priority="89" stopIfTrue="1" operator="lessThanOrEqual">
      <formula>0</formula>
    </cfRule>
    <cfRule type="cellIs" dxfId="3199" priority="93" stopIfTrue="1" operator="lessThanOrEqual">
      <formula>0</formula>
    </cfRule>
    <cfRule type="cellIs" dxfId="3198" priority="90" stopIfTrue="1" operator="greaterThan">
      <formula>#REF!</formula>
    </cfRule>
    <cfRule type="cellIs" dxfId="3197" priority="88" stopIfTrue="1" operator="greaterThan">
      <formula>#REF!</formula>
    </cfRule>
    <cfRule type="cellIs" dxfId="3196" priority="92" stopIfTrue="1" operator="greaterThan">
      <formula>#REF!</formula>
    </cfRule>
    <cfRule type="cellIs" dxfId="3195" priority="91" stopIfTrue="1" operator="lessThanOrEqual">
      <formula>0</formula>
    </cfRule>
  </conditionalFormatting>
  <conditionalFormatting sqref="I78:I86">
    <cfRule type="cellIs" dxfId="3194" priority="185" stopIfTrue="1" operator="greaterThan">
      <formula>4.5</formula>
    </cfRule>
    <cfRule type="cellIs" dxfId="3193" priority="186" stopIfTrue="1" operator="lessThanOrEqual">
      <formula>0</formula>
    </cfRule>
  </conditionalFormatting>
  <conditionalFormatting sqref="I10:J22">
    <cfRule type="cellIs" dxfId="3192" priority="29" operator="lessThan">
      <formula>97.9</formula>
    </cfRule>
  </conditionalFormatting>
  <conditionalFormatting sqref="J27">
    <cfRule type="cellIs" dxfId="3191" priority="144" stopIfTrue="1" operator="lessThan">
      <formula>96.8</formula>
    </cfRule>
    <cfRule type="cellIs" dxfId="3190" priority="145" stopIfTrue="1" operator="greaterThan">
      <formula>100</formula>
    </cfRule>
    <cfRule type="cellIs" dxfId="3189" priority="146" operator="lessThan">
      <formula>98</formula>
    </cfRule>
  </conditionalFormatting>
  <conditionalFormatting sqref="J27:J29">
    <cfRule type="cellIs" dxfId="3188" priority="143" operator="lessThan">
      <formula>97.4</formula>
    </cfRule>
  </conditionalFormatting>
  <conditionalFormatting sqref="J30:J31">
    <cfRule type="cellIs" dxfId="3187" priority="147" operator="lessThan">
      <formula>98</formula>
    </cfRule>
  </conditionalFormatting>
  <conditionalFormatting sqref="J32:J33">
    <cfRule type="cellIs" dxfId="3186" priority="148" stopIfTrue="1" operator="lessThan">
      <formula>96.8</formula>
    </cfRule>
    <cfRule type="cellIs" dxfId="3185" priority="149" stopIfTrue="1" operator="greaterThan">
      <formula>100</formula>
    </cfRule>
  </conditionalFormatting>
  <conditionalFormatting sqref="J32:J34">
    <cfRule type="cellIs" dxfId="3184" priority="150" operator="lessThan">
      <formula>98</formula>
    </cfRule>
  </conditionalFormatting>
  <conditionalFormatting sqref="J63">
    <cfRule type="cellIs" dxfId="3183" priority="76" stopIfTrue="1" operator="greaterThan">
      <formula>#REF!</formula>
    </cfRule>
    <cfRule type="cellIs" dxfId="3182" priority="78" stopIfTrue="1" operator="greaterThan">
      <formula>#REF!</formula>
    </cfRule>
    <cfRule type="cellIs" dxfId="3181" priority="83" stopIfTrue="1" operator="lessThanOrEqual">
      <formula>0</formula>
    </cfRule>
    <cfRule type="cellIs" dxfId="3180" priority="82" stopIfTrue="1" operator="greaterThan">
      <formula>#REF!</formula>
    </cfRule>
    <cfRule type="cellIs" dxfId="3179" priority="81" stopIfTrue="1" operator="lessThanOrEqual">
      <formula>0</formula>
    </cfRule>
    <cfRule type="cellIs" dxfId="3178" priority="80" stopIfTrue="1" operator="greaterThan">
      <formula>#REF!</formula>
    </cfRule>
    <cfRule type="cellIs" dxfId="3177" priority="79" stopIfTrue="1" operator="lessThanOrEqual">
      <formula>0</formula>
    </cfRule>
    <cfRule type="cellIs" dxfId="3176" priority="77" stopIfTrue="1" operator="lessThanOrEqual">
      <formula>0</formula>
    </cfRule>
  </conditionalFormatting>
  <conditionalFormatting sqref="J76">
    <cfRule type="cellIs" dxfId="3175" priority="151" stopIfTrue="1" operator="greaterThan">
      <formula>$F76</formula>
    </cfRule>
    <cfRule type="cellIs" dxfId="3174" priority="152" stopIfTrue="1" operator="lessThanOrEqual">
      <formula>0</formula>
    </cfRule>
  </conditionalFormatting>
  <conditionalFormatting sqref="K10:K22">
    <cfRule type="cellIs" dxfId="3173" priority="31" operator="lessThan">
      <formula>4</formula>
    </cfRule>
    <cfRule type="cellIs" dxfId="3172" priority="30" operator="greaterThan">
      <formula>6</formula>
    </cfRule>
    <cfRule type="cellIs" dxfId="3171" priority="32" operator="greaterThan">
      <formula>6.4</formula>
    </cfRule>
  </conditionalFormatting>
  <conditionalFormatting sqref="K54:K63">
    <cfRule type="cellIs" dxfId="3170" priority="27" stopIfTrue="1" operator="lessThan">
      <formula>100%</formula>
    </cfRule>
  </conditionalFormatting>
  <conditionalFormatting sqref="K78:K83">
    <cfRule type="cellIs" dxfId="3169" priority="191" stopIfTrue="1" operator="lessThan">
      <formula>100%</formula>
    </cfRule>
  </conditionalFormatting>
  <conditionalFormatting sqref="K85:K86">
    <cfRule type="cellIs" dxfId="3168" priority="198" stopIfTrue="1" operator="lessThan">
      <formula>100%</formula>
    </cfRule>
  </conditionalFormatting>
  <conditionalFormatting sqref="K67:N75">
    <cfRule type="cellIs" dxfId="3167" priority="128" stopIfTrue="1" operator="lessThan">
      <formula>100%</formula>
    </cfRule>
  </conditionalFormatting>
  <conditionalFormatting sqref="L10:L22">
    <cfRule type="cellIs" dxfId="3166" priority="38" operator="greaterThan">
      <formula>65</formula>
    </cfRule>
    <cfRule type="cellIs" dxfId="3165" priority="37" operator="between">
      <formula>61</formula>
      <formula>65</formula>
    </cfRule>
  </conditionalFormatting>
  <conditionalFormatting sqref="L25:M36">
    <cfRule type="cellIs" dxfId="3164" priority="68" operator="lessThan">
      <formula>97.95</formula>
    </cfRule>
  </conditionalFormatting>
  <conditionalFormatting sqref="L40:N40">
    <cfRule type="cellIs" dxfId="3163" priority="69" operator="notEqual">
      <formula>#REF!</formula>
    </cfRule>
  </conditionalFormatting>
  <conditionalFormatting sqref="L76:N76">
    <cfRule type="cellIs" dxfId="3162" priority="153" stopIfTrue="1" operator="lessThan">
      <formula>100%</formula>
    </cfRule>
  </conditionalFormatting>
  <conditionalFormatting sqref="L78:N86">
    <cfRule type="cellIs" dxfId="3161" priority="176" stopIfTrue="1" operator="lessThan">
      <formula>100%</formula>
    </cfRule>
  </conditionalFormatting>
  <conditionalFormatting sqref="M10:M21">
    <cfRule type="expression" dxfId="3160" priority="35">
      <formula>IF(+(IF(M10&lt;U10,0,IF(M10&gt;V10,0,1)))=0,1)</formula>
    </cfRule>
  </conditionalFormatting>
  <conditionalFormatting sqref="M22:N22">
    <cfRule type="expression" dxfId="3159" priority="206">
      <formula>IF(+(IF(M22&lt;#REF!,0,IF(M22&gt;#REF!,0,1)))=0,1)</formula>
    </cfRule>
  </conditionalFormatting>
  <conditionalFormatting sqref="N10:N21">
    <cfRule type="expression" dxfId="3158" priority="28">
      <formula>IF(+(IF(N10&lt;W10,0,IF(N10&gt;X10,0,1)))=0,1)</formula>
    </cfRule>
  </conditionalFormatting>
  <conditionalFormatting sqref="P6">
    <cfRule type="cellIs" dxfId="3157" priority="172" operator="greaterThanOrEqual">
      <formula>19</formula>
    </cfRule>
  </conditionalFormatting>
  <dataValidations count="1">
    <dataValidation type="list" allowBlank="1" showInputMessage="1" showErrorMessage="1" sqref="R8" xr:uid="{B1D672CF-3558-4B0A-A117-24C1CA369B9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11F8-6A43-4309-8789-C933475AC7B0}">
  <sheetPr>
    <pageSetUpPr fitToPage="1"/>
  </sheetPr>
  <dimension ref="A1:BE81"/>
  <sheetViews>
    <sheetView topLeftCell="A5" zoomScale="70" zoomScaleNormal="70" workbookViewId="0">
      <selection activeCell="P55" sqref="P55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46057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[3]Brewhouse!$A125</f>
        <v>CA083</v>
      </c>
      <c r="D10" s="279">
        <f>[3]Brewhouse!$AF125</f>
        <v>59</v>
      </c>
      <c r="E10" s="279">
        <f>[3]Brewhouse!$AI125</f>
        <v>56.2</v>
      </c>
      <c r="F10" s="278">
        <f>[3]Brewhouse!$V125</f>
        <v>65</v>
      </c>
      <c r="G10" s="279">
        <f>[3]Brewhouse!AG125</f>
        <v>11.8</v>
      </c>
      <c r="H10" s="482">
        <v>12.2</v>
      </c>
      <c r="I10" s="368">
        <f>[3]Brewhouse!$AU125</f>
        <v>94.991214982303461</v>
      </c>
      <c r="J10" s="368">
        <f>[3]Brewhouse!$AV125</f>
        <v>96.209168855817339</v>
      </c>
      <c r="K10" s="281">
        <f>[3]Brewhouse!$Q125</f>
        <v>4.3691148775894542</v>
      </c>
      <c r="L10" s="276">
        <f>[3]Brewhouse!$P125</f>
        <v>57</v>
      </c>
      <c r="M10" s="397">
        <f>[3]Brewhouse!$U125-[3]Brewhouse!$T125</f>
        <v>0.1472222222222222</v>
      </c>
      <c r="N10" s="370">
        <f>[3]Brewhouse!$Z125</f>
        <v>0.31111111111111112</v>
      </c>
      <c r="O10" s="420" t="str">
        <f>[3]Brewhouse!$AX125</f>
        <v>R.Sookram</v>
      </c>
      <c r="P10" s="418"/>
      <c r="R10" s="277" t="str">
        <f t="shared" ref="R10" si="0">B10</f>
        <v>CARIB</v>
      </c>
      <c r="S10" s="472">
        <f t="shared" ref="S10:S41" si="1">VLOOKUP($B10,$R$3:$X$9,2,FALSE)</f>
        <v>11.6</v>
      </c>
      <c r="T10" s="472">
        <f t="shared" ref="T10:T41" si="2">VLOOKUP($B10,$R$3:$X$9,3,FALSE)</f>
        <v>12</v>
      </c>
      <c r="U10" s="297">
        <f t="shared" ref="U10:U41" si="3">VLOOKUP($B10,$R$3:$X$9,4,FALSE)</f>
        <v>0</v>
      </c>
      <c r="V10" s="297">
        <f t="shared" ref="V10:V41" si="4">VLOOKUP($B10,$R$3:$X$9,5,FALSE)</f>
        <v>0.118055555555556</v>
      </c>
      <c r="W10" s="297">
        <f t="shared" ref="W10:W41" si="5">VLOOKUP($B10,$R$3:$X$9,6,FALSE)</f>
        <v>0.22569444444444445</v>
      </c>
      <c r="X10" s="297">
        <f t="shared" ref="X10:X41" si="6">VLOOKUP($B10,$R$3:$X$9,7,FALSE)</f>
        <v>0.2638888888888889</v>
      </c>
      <c r="Y10" s="297">
        <f t="shared" ref="Y10:Y41" si="7">VLOOKUP($B10,$R$3:$Z$9,8,FALSE)</f>
        <v>0</v>
      </c>
      <c r="Z10" s="472">
        <f t="shared" ref="Z10:Z41" si="8">VLOOKUP($B10,$R$3:$Z$9,9,FALSE)</f>
        <v>60</v>
      </c>
    </row>
    <row r="11" spans="2:29" ht="16.5" customHeight="1">
      <c r="B11" s="29" t="s">
        <v>6</v>
      </c>
      <c r="C11" s="366" t="str">
        <f>[3]Brewhouse!$A126</f>
        <v>CA084</v>
      </c>
      <c r="D11" s="279">
        <f>[3]Brewhouse!$AF126</f>
        <v>53.2</v>
      </c>
      <c r="E11" s="279">
        <f>[3]Brewhouse!$AI126</f>
        <v>51.5</v>
      </c>
      <c r="F11" s="278">
        <f>[3]Brewhouse!$V126</f>
        <v>58</v>
      </c>
      <c r="G11" s="279">
        <f>[3]Brewhouse!AG126</f>
        <v>11.7</v>
      </c>
      <c r="H11" s="396">
        <v>11.7</v>
      </c>
      <c r="I11" s="368">
        <f>[3]Brewhouse!$AU126</f>
        <v>98.081652776220835</v>
      </c>
      <c r="J11" s="368">
        <f>[3]Brewhouse!$AV126</f>
        <v>99.513907555410526</v>
      </c>
      <c r="K11" s="281">
        <f>[3]Brewhouse!$Q126</f>
        <v>3.4339622641509435</v>
      </c>
      <c r="L11" s="276">
        <f>[3]Brewhouse!$P126</f>
        <v>60</v>
      </c>
      <c r="M11" s="397">
        <f>[3]Brewhouse!$U126-[3]Brewhouse!$T126</f>
        <v>0.11874999999999997</v>
      </c>
      <c r="N11" s="370">
        <f>[3]Brewhouse!$Z126</f>
        <v>0.30138888888888887</v>
      </c>
      <c r="O11" s="420" t="str">
        <f>[3]Brewhouse!$AX126</f>
        <v>K. Benjamin</v>
      </c>
      <c r="P11" s="418"/>
      <c r="R11" s="277" t="str">
        <f t="shared" ref="R11:R32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[3]Brewhouse!$A127</f>
        <v>CA085</v>
      </c>
      <c r="D12" s="279">
        <f>[3]Brewhouse!$AF127</f>
        <v>53</v>
      </c>
      <c r="E12" s="279">
        <f>[3]Brewhouse!$AI127</f>
        <v>51.3</v>
      </c>
      <c r="F12" s="278">
        <f>[3]Brewhouse!$V127</f>
        <v>60</v>
      </c>
      <c r="G12" s="279">
        <f>[3]Brewhouse!AG127</f>
        <v>11.8</v>
      </c>
      <c r="H12" s="396">
        <v>11.8</v>
      </c>
      <c r="I12" s="368">
        <f>[3]Brewhouse!$AU127</f>
        <v>98.458827461721384</v>
      </c>
      <c r="J12" s="368">
        <f>[3]Brewhouse!$AV127</f>
        <v>99.896703877450591</v>
      </c>
      <c r="K12" s="281">
        <f>[3]Brewhouse!$Q127</f>
        <v>3.0566037735849005</v>
      </c>
      <c r="L12" s="276">
        <f>[3]Brewhouse!$P127</f>
        <v>20</v>
      </c>
      <c r="M12" s="397">
        <f>[3]Brewhouse!$U127-[3]Brewhouse!$T127</f>
        <v>0.11597222222222214</v>
      </c>
      <c r="N12" s="370">
        <f>[3]Brewhouse!$Z127</f>
        <v>0.28611111111111104</v>
      </c>
      <c r="O12" s="420" t="str">
        <f>[3]Brewhouse!$AX127</f>
        <v>K. Benjamin</v>
      </c>
      <c r="P12" s="418"/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[3]Brewhouse!$A128</f>
        <v>CA086</v>
      </c>
      <c r="D13" s="279">
        <f>[3]Brewhouse!$AF128</f>
        <v>53.8</v>
      </c>
      <c r="E13" s="279">
        <f>[3]Brewhouse!$AI128</f>
        <v>51.9</v>
      </c>
      <c r="F13" s="278">
        <f>[3]Brewhouse!$V128</f>
        <v>64</v>
      </c>
      <c r="G13" s="279">
        <f>[3]Brewhouse!AG128</f>
        <v>11.4</v>
      </c>
      <c r="H13" s="396">
        <v>11.66</v>
      </c>
      <c r="I13" s="368">
        <f>[3]Brewhouse!$AU128</f>
        <v>95.824043987091741</v>
      </c>
      <c r="J13" s="368">
        <f>[3]Brewhouse!$AV128</f>
        <v>97.223663307412608</v>
      </c>
      <c r="K13" s="281">
        <f>[3]Brewhouse!$Q128</f>
        <v>3.2452830188679229</v>
      </c>
      <c r="L13" s="276">
        <f>[3]Brewhouse!$P128</f>
        <v>60</v>
      </c>
      <c r="M13" s="397">
        <f>[3]Brewhouse!$U128-[3]Brewhouse!$T128</f>
        <v>0.12222222222222223</v>
      </c>
      <c r="N13" s="370">
        <f>[3]Brewhouse!$Z128</f>
        <v>0.26666666666666672</v>
      </c>
      <c r="O13" s="420" t="str">
        <f>[3]Brewhouse!$AX128</f>
        <v>K. Benjamin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 t="s">
        <v>6</v>
      </c>
      <c r="C14" s="366" t="str">
        <f>[3]Brewhouse!$A129</f>
        <v>CA087</v>
      </c>
      <c r="D14" s="279">
        <f>[3]Brewhouse!$AF129</f>
        <v>51.6</v>
      </c>
      <c r="E14" s="279">
        <f>[3]Brewhouse!$AI129</f>
        <v>49.9</v>
      </c>
      <c r="F14" s="278">
        <f>[3]Brewhouse!$V129</f>
        <v>62</v>
      </c>
      <c r="G14" s="279">
        <f>[3]Brewhouse!AG129</f>
        <v>12</v>
      </c>
      <c r="H14" s="396">
        <v>12.1</v>
      </c>
      <c r="I14" s="368">
        <f>[3]Brewhouse!$AU129</f>
        <v>98.44333422721418</v>
      </c>
      <c r="J14" s="368">
        <f>[3]Brewhouse!$AV129</f>
        <v>99.880065641919103</v>
      </c>
      <c r="K14" s="281">
        <f>[3]Brewhouse!$Q129</f>
        <v>4.9340866290018788</v>
      </c>
      <c r="L14" s="276">
        <f>[3]Brewhouse!$P129</f>
        <v>60</v>
      </c>
      <c r="M14" s="397">
        <f>[3]Brewhouse!$U129-[3]Brewhouse!$T129</f>
        <v>0.11805555555555558</v>
      </c>
      <c r="N14" s="370">
        <f>[3]Brewhouse!$Z129</f>
        <v>0.25624999999999998</v>
      </c>
      <c r="O14" s="420" t="str">
        <f>[3]Brewhouse!$AX129</f>
        <v>R. Regis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29" t="s">
        <v>6</v>
      </c>
      <c r="C15" s="366" t="str">
        <f>[3]Brewhouse!$A130</f>
        <v>CA088</v>
      </c>
      <c r="D15" s="279">
        <f>[3]Brewhouse!$AF130</f>
        <v>53.3</v>
      </c>
      <c r="E15" s="279">
        <f>[3]Brewhouse!$AI130</f>
        <v>51.5</v>
      </c>
      <c r="F15" s="278">
        <f>[3]Brewhouse!$V130</f>
        <v>71</v>
      </c>
      <c r="G15" s="279">
        <f>[3]Brewhouse!AG130</f>
        <v>11.9</v>
      </c>
      <c r="H15" s="396">
        <v>11.9</v>
      </c>
      <c r="I15" s="368">
        <f>[3]Brewhouse!$AU130</f>
        <v>100.21447484042207</v>
      </c>
      <c r="J15" s="368">
        <f>[3]Brewhouse!$AV130</f>
        <v>101.67752510375159</v>
      </c>
      <c r="K15" s="281">
        <f>[3]Brewhouse!$Q130</f>
        <v>4.1807909604519748</v>
      </c>
      <c r="L15" s="276">
        <f>[3]Brewhouse!$P130</f>
        <v>60</v>
      </c>
      <c r="M15" s="397">
        <f>[3]Brewhouse!$U130-[3]Brewhouse!$T130</f>
        <v>0.12777777777777777</v>
      </c>
      <c r="N15" s="370">
        <f>[3]Brewhouse!$Z130</f>
        <v>0.27638888888888891</v>
      </c>
      <c r="O15" s="420" t="str">
        <f>[3]Brewhouse!$AX130</f>
        <v>R. Regis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6.5" customHeight="1">
      <c r="B16" s="29" t="s">
        <v>6</v>
      </c>
      <c r="C16" s="366" t="str">
        <f>[3]Brewhouse!$A131</f>
        <v>CA089</v>
      </c>
      <c r="D16" s="279">
        <f>[3]Brewhouse!$AF131</f>
        <v>51.8</v>
      </c>
      <c r="E16" s="279">
        <f>[3]Brewhouse!$AI131</f>
        <v>47.9</v>
      </c>
      <c r="F16" s="278">
        <f>[3]Brewhouse!$V131</f>
        <v>62</v>
      </c>
      <c r="G16" s="279">
        <f>[3]Brewhouse!AG131</f>
        <v>12</v>
      </c>
      <c r="H16" s="396">
        <v>11.9</v>
      </c>
      <c r="I16" s="368">
        <f>[3]Brewhouse!$AU131</f>
        <v>93.572296329201976</v>
      </c>
      <c r="J16" s="368">
        <f>[3]Brewhouse!$AV131</f>
        <v>94.938810653269996</v>
      </c>
      <c r="K16" s="281">
        <f>[3]Brewhouse!$Q131</f>
        <v>4.5574387947269335</v>
      </c>
      <c r="L16" s="276">
        <f>[3]Brewhouse!$P131</f>
        <v>60</v>
      </c>
      <c r="M16" s="397">
        <f>[3]Brewhouse!$U131-[3]Brewhouse!$T131</f>
        <v>0.16250000000000009</v>
      </c>
      <c r="N16" s="370">
        <f>[3]Brewhouse!$Z131</f>
        <v>0.32361111111111118</v>
      </c>
      <c r="O16" s="420" t="str">
        <f>[3]Brewhouse!$AX131</f>
        <v>R. Regis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6.5" customHeight="1">
      <c r="B17" s="29" t="s">
        <v>6</v>
      </c>
      <c r="C17" s="366" t="str">
        <f>[3]Brewhouse!$A132</f>
        <v>CA090</v>
      </c>
      <c r="D17" s="279">
        <f>[3]Brewhouse!$AF132</f>
        <v>52.8</v>
      </c>
      <c r="E17" s="279">
        <f>[3]Brewhouse!$AI132</f>
        <v>51</v>
      </c>
      <c r="F17" s="278">
        <f>[3]Brewhouse!$V132</f>
        <v>73</v>
      </c>
      <c r="G17" s="279">
        <f>[3]Brewhouse!AG132</f>
        <v>12</v>
      </c>
      <c r="H17" s="367"/>
      <c r="I17" s="368">
        <f>[3]Brewhouse!$AU132</f>
        <v>99.628123440277676</v>
      </c>
      <c r="J17" s="368">
        <f>[3]Brewhouse!$AV132</f>
        <v>101.08307606089288</v>
      </c>
      <c r="K17" s="281">
        <f>[3]Brewhouse!$Q132</f>
        <v>1.9209039548022655</v>
      </c>
      <c r="L17" s="276">
        <f>[3]Brewhouse!$P132</f>
        <v>61</v>
      </c>
      <c r="M17" s="397">
        <f>[3]Brewhouse!$U132-[3]Brewhouse!$T132</f>
        <v>0.13194444444444442</v>
      </c>
      <c r="N17" s="370">
        <f>[3]Brewhouse!$Z132</f>
        <v>0.27847222222222212</v>
      </c>
      <c r="O17" s="420" t="str">
        <f>[3]Brewhouse!$AX132</f>
        <v>R.Sookram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6.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6.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6.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6.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6.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6.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6.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6.5" hidden="1" customHeight="1">
      <c r="B25" s="33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8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0"/>
      <c r="P26" s="418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6.5" hidden="1" customHeight="1">
      <c r="B27" s="22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8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.75" customHeight="1" thickBot="1">
      <c r="B28" s="358"/>
      <c r="C28" s="358"/>
      <c r="D28" s="358"/>
      <c r="E28" s="358"/>
      <c r="F28" s="294"/>
      <c r="G28" s="294"/>
      <c r="H28" s="348"/>
      <c r="I28" s="511"/>
      <c r="J28" s="511"/>
      <c r="K28" s="511"/>
      <c r="L28" s="511"/>
      <c r="M28" s="511"/>
      <c r="N28" s="511"/>
      <c r="O28" s="1"/>
      <c r="P28" s="12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.75" customHeight="1" thickBot="1">
      <c r="B29" s="388" t="s">
        <v>162</v>
      </c>
      <c r="C29" s="388"/>
      <c r="D29" s="512" t="s">
        <v>35</v>
      </c>
      <c r="E29" s="513"/>
      <c r="F29" s="294"/>
      <c r="G29" s="294"/>
      <c r="H29" s="348"/>
      <c r="I29" s="24" t="s">
        <v>17</v>
      </c>
      <c r="J29" s="25"/>
      <c r="K29" s="26" t="s">
        <v>138</v>
      </c>
      <c r="L29" s="25" t="s">
        <v>37</v>
      </c>
      <c r="M29" s="25" t="s">
        <v>38</v>
      </c>
      <c r="N29" s="27" t="s">
        <v>39</v>
      </c>
      <c r="O29" s="294"/>
      <c r="P29" s="12"/>
      <c r="R29" s="277" t="str">
        <f t="shared" si="9"/>
        <v xml:space="preserve">BRAND 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5" customHeight="1">
      <c r="A30" s="28"/>
      <c r="B30" s="580" t="str">
        <f>I30</f>
        <v>CARIB</v>
      </c>
      <c r="C30" s="362"/>
      <c r="D30" s="517"/>
      <c r="E30" s="518"/>
      <c r="F30" s="294"/>
      <c r="G30" s="294"/>
      <c r="H30" s="348"/>
      <c r="I30" s="29" t="s">
        <v>6</v>
      </c>
      <c r="J30" s="280">
        <f>AVERAGE(I10:I17)</f>
        <v>97.401746005556674</v>
      </c>
      <c r="K30" s="284">
        <f>COUNTA([3]Brewhouse!$A$125:$A$132)</f>
        <v>8</v>
      </c>
      <c r="L30" s="305">
        <f>AVERAGE([3]Brewhouse!$AU$125:$AU$132)</f>
        <v>97.401746005556674</v>
      </c>
      <c r="M30" s="305">
        <f>AVERAGE([3]Brewhouse!$AU$42:$AU$123,[3]Brewhouse!$AU$125:$AU$132)</f>
        <v>97.898530464801013</v>
      </c>
      <c r="N30" s="30">
        <v>98</v>
      </c>
      <c r="O30" s="11"/>
      <c r="P30" s="31"/>
      <c r="R30" s="277" t="str">
        <f t="shared" si="9"/>
        <v>CARIB</v>
      </c>
      <c r="S30" s="472">
        <f t="shared" si="1"/>
        <v>11.6</v>
      </c>
      <c r="T30" s="472">
        <f t="shared" si="2"/>
        <v>12</v>
      </c>
      <c r="U30" s="297">
        <f t="shared" si="3"/>
        <v>0</v>
      </c>
      <c r="V30" s="297">
        <f t="shared" si="4"/>
        <v>0.118055555555556</v>
      </c>
      <c r="W30" s="297">
        <f t="shared" si="5"/>
        <v>0.22569444444444445</v>
      </c>
      <c r="X30" s="297">
        <f t="shared" si="6"/>
        <v>0.2638888888888889</v>
      </c>
      <c r="Y30" s="297">
        <f t="shared" si="7"/>
        <v>0</v>
      </c>
      <c r="Z30" s="472">
        <f t="shared" si="8"/>
        <v>60</v>
      </c>
    </row>
    <row r="31" spans="1:26" ht="15" customHeight="1">
      <c r="A31" s="28"/>
      <c r="B31" s="581"/>
      <c r="C31" s="362"/>
      <c r="D31" s="519"/>
      <c r="E31" s="520"/>
      <c r="F31" s="294"/>
      <c r="G31" s="294"/>
      <c r="H31" s="348"/>
      <c r="I31" s="33" t="s">
        <v>9</v>
      </c>
      <c r="J31" s="280"/>
      <c r="K31" s="284">
        <f>COUNTA([4]Brewhouse!$A$83:$A$90)</f>
        <v>8</v>
      </c>
      <c r="L31" s="302">
        <f>AVERAGE([4]Brewhouse!$AS$83:$AS$90)</f>
        <v>97.846634721269027</v>
      </c>
      <c r="M31" s="302">
        <f>AVERAGE([4]Brewhouse!$AS$52:$AS$81,[4]Brewhouse!$AS$83:$AS$90)</f>
        <v>98.777088426856892</v>
      </c>
      <c r="N31" s="30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81"/>
      <c r="C32" s="362"/>
      <c r="D32" s="521"/>
      <c r="E32" s="522"/>
      <c r="F32" s="294"/>
      <c r="G32" s="294"/>
      <c r="H32" s="348"/>
      <c r="I32" s="34" t="s">
        <v>12</v>
      </c>
      <c r="J32" s="280"/>
      <c r="K32" s="284"/>
      <c r="L32" s="302"/>
      <c r="M32" s="302">
        <f>AVERAGE([6]Brewhouse!$AU$16:$AU$23)</f>
        <v>97.765204759801577</v>
      </c>
      <c r="N32" s="30">
        <v>98</v>
      </c>
      <c r="O32" s="11"/>
      <c r="P32" s="31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81"/>
      <c r="C33" s="362"/>
      <c r="D33" s="523"/>
      <c r="E33" s="520"/>
      <c r="F33" s="294"/>
      <c r="G33" s="294"/>
      <c r="H33" s="348"/>
      <c r="I33" s="22" t="s">
        <v>33</v>
      </c>
      <c r="J33" s="280"/>
      <c r="K33" s="284"/>
      <c r="L33" s="302"/>
      <c r="M33" s="302">
        <f>AVERAGE([5]Brewhouse!$AV$23:$AV$34)</f>
        <v>98.31387229810305</v>
      </c>
      <c r="N33" s="30">
        <v>98</v>
      </c>
      <c r="O33" s="11"/>
      <c r="P33" s="31"/>
      <c r="R33" s="277">
        <f t="shared" ref="R33:R41" si="10">B33</f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81"/>
      <c r="C34" s="362"/>
      <c r="D34" s="521"/>
      <c r="E34" s="522"/>
      <c r="F34" s="417"/>
      <c r="G34" s="294"/>
      <c r="H34" s="348"/>
      <c r="I34" s="35" t="s">
        <v>29</v>
      </c>
      <c r="J34" s="280"/>
      <c r="K34" s="284"/>
      <c r="L34" s="302"/>
      <c r="M34" s="302"/>
      <c r="N34" s="30">
        <v>98</v>
      </c>
      <c r="O34" s="11"/>
      <c r="P34" s="31"/>
      <c r="R34" s="277">
        <f t="shared" si="1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81"/>
      <c r="C35" s="362"/>
      <c r="D35" s="523"/>
      <c r="E35" s="520"/>
      <c r="F35" s="417"/>
      <c r="G35" s="294"/>
      <c r="H35" s="348"/>
      <c r="I35" s="36" t="s">
        <v>15</v>
      </c>
      <c r="J35" s="323"/>
      <c r="K35" s="284"/>
      <c r="L35" s="302"/>
      <c r="M35" s="302">
        <f>AVERAGE([7]Brewhouse!$AT$4:$AT$11)</f>
        <v>92.826224508052405</v>
      </c>
      <c r="N35" s="30">
        <v>98</v>
      </c>
      <c r="O35" s="11"/>
      <c r="P35" s="31"/>
      <c r="R35" s="277">
        <f t="shared" si="1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4.65" customHeight="1">
      <c r="A36" s="28"/>
      <c r="B36" s="581"/>
      <c r="C36" s="362"/>
      <c r="D36" s="521"/>
      <c r="E36" s="522"/>
      <c r="F36" s="417"/>
      <c r="G36" s="294"/>
      <c r="H36" s="348"/>
      <c r="I36" s="37" t="s">
        <v>16</v>
      </c>
      <c r="J36" s="323"/>
      <c r="K36" s="284"/>
      <c r="L36" s="302"/>
      <c r="M36" s="302">
        <f>AVERAGE([8]Brewhouse!$AY$5:$AY$7)</f>
        <v>98.128633252159673</v>
      </c>
      <c r="N36" s="30">
        <v>98</v>
      </c>
      <c r="O36" s="11"/>
      <c r="P36" s="31" t="s">
        <v>41</v>
      </c>
      <c r="R36" s="277">
        <f t="shared" si="1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4.65" customHeight="1">
      <c r="A37" s="28"/>
      <c r="B37" s="581"/>
      <c r="C37" s="362"/>
      <c r="D37" s="523"/>
      <c r="E37" s="520"/>
      <c r="F37" s="294"/>
      <c r="G37" s="294"/>
      <c r="H37" s="348"/>
      <c r="I37" s="411" t="s">
        <v>158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1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4.65" customHeight="1">
      <c r="A38" s="28"/>
      <c r="B38" s="581"/>
      <c r="C38" s="349"/>
      <c r="D38" s="521"/>
      <c r="E38" s="522"/>
      <c r="F38" s="294"/>
      <c r="G38" s="294"/>
      <c r="H38" s="348"/>
      <c r="I38" s="410" t="s">
        <v>157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1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" customHeight="1" thickBot="1">
      <c r="A39" s="28"/>
      <c r="B39" s="581"/>
      <c r="C39" s="349"/>
      <c r="D39" s="523"/>
      <c r="E39" s="520"/>
      <c r="F39" s="294"/>
      <c r="G39" s="294"/>
      <c r="H39" s="348"/>
      <c r="I39" s="406" t="s">
        <v>156</v>
      </c>
      <c r="J39" s="327"/>
      <c r="K39" s="407"/>
      <c r="L39" s="408"/>
      <c r="M39" s="408"/>
      <c r="N39" s="409">
        <v>98</v>
      </c>
      <c r="O39" s="11"/>
      <c r="P39" s="31"/>
      <c r="R39" s="277">
        <f t="shared" si="1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" customHeight="1" thickBot="1">
      <c r="A40" s="28"/>
      <c r="B40" s="581"/>
      <c r="C40" s="349"/>
      <c r="D40" s="517"/>
      <c r="E40" s="518"/>
      <c r="F40" s="294"/>
      <c r="G40" s="294"/>
      <c r="H40" s="348"/>
      <c r="I40" s="1"/>
      <c r="J40" s="39"/>
      <c r="K40" s="404">
        <f>SUM(K30:K39)</f>
        <v>16</v>
      </c>
      <c r="L40" s="405">
        <f>((L30*K30)+(L31*K31)+(L32*K32)+(L33*K33)+(L34*K34)+(K37*L37)+(L35*K35)+(L36*K36)+(L39*K39))/(K40)</f>
        <v>97.624190363412851</v>
      </c>
      <c r="M40" s="405">
        <f>L40</f>
        <v>97.624190363412851</v>
      </c>
      <c r="N40" s="40">
        <v>98</v>
      </c>
      <c r="O40" s="11"/>
      <c r="P40" s="31"/>
      <c r="R40" s="277">
        <f t="shared" si="1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56" ht="15.75" thickBot="1">
      <c r="B41" s="582"/>
      <c r="C41" s="350"/>
      <c r="D41" s="519"/>
      <c r="E41" s="520"/>
      <c r="F41" s="294"/>
      <c r="G41" s="42"/>
      <c r="H41" s="41"/>
      <c r="I41" s="42"/>
      <c r="J41" s="42"/>
      <c r="K41" s="351"/>
      <c r="L41" s="348"/>
      <c r="M41" s="348"/>
      <c r="N41" s="11"/>
      <c r="O41" s="294"/>
      <c r="P41" s="12"/>
      <c r="R41" s="277">
        <f t="shared" si="1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56" ht="15.75" thickBot="1">
      <c r="B42" s="583"/>
      <c r="C42" s="362"/>
      <c r="D42" s="525"/>
      <c r="E42" s="526"/>
      <c r="F42" s="294"/>
      <c r="G42" s="42"/>
      <c r="H42" s="41"/>
      <c r="I42" s="42"/>
      <c r="J42" s="527" t="s">
        <v>129</v>
      </c>
      <c r="K42" s="527"/>
      <c r="L42" s="294"/>
      <c r="M42" s="294"/>
      <c r="N42" s="294"/>
      <c r="O42" s="294"/>
      <c r="P42" s="12"/>
    </row>
    <row r="43" spans="1:56" ht="15.75" thickBot="1">
      <c r="B43" s="584"/>
      <c r="C43" s="362"/>
      <c r="D43" s="523"/>
      <c r="E43" s="520"/>
      <c r="F43" s="294"/>
      <c r="G43" s="42"/>
      <c r="H43" s="41"/>
      <c r="I43" s="42"/>
      <c r="J43" s="292" t="s">
        <v>17</v>
      </c>
      <c r="K43" s="293" t="s">
        <v>147</v>
      </c>
      <c r="L43" s="528" t="s">
        <v>136</v>
      </c>
      <c r="M43" s="528"/>
      <c r="N43" s="529"/>
      <c r="O43" s="294"/>
      <c r="P43" s="12"/>
    </row>
    <row r="44" spans="1:56" ht="15" customHeight="1" thickBot="1">
      <c r="B44" s="584"/>
      <c r="C44" s="349"/>
      <c r="D44" s="521"/>
      <c r="E44" s="522"/>
      <c r="F44" s="294"/>
      <c r="G44" s="42"/>
      <c r="H44" s="41"/>
      <c r="I44" s="42"/>
      <c r="J44" s="287" t="s">
        <v>6</v>
      </c>
      <c r="K44" s="324">
        <v>8</v>
      </c>
      <c r="L44" s="473" t="s">
        <v>37</v>
      </c>
      <c r="M44" s="474" t="s">
        <v>38</v>
      </c>
      <c r="N44" s="474" t="s">
        <v>84</v>
      </c>
      <c r="O44" s="294"/>
      <c r="P44" s="12"/>
    </row>
    <row r="45" spans="1:56" ht="15.75" customHeight="1" thickBot="1">
      <c r="B45" s="584"/>
      <c r="C45" s="349"/>
      <c r="D45" s="523"/>
      <c r="E45" s="520"/>
      <c r="F45" s="294"/>
      <c r="G45" s="42"/>
      <c r="H45" s="41"/>
      <c r="I45" s="42"/>
      <c r="J45" s="345" t="s">
        <v>9</v>
      </c>
      <c r="K45" s="324"/>
      <c r="L45" s="344">
        <f>AVERAGE(K54,'Feb 2nd'!K49)</f>
        <v>8</v>
      </c>
      <c r="M45" s="325">
        <f>AVERAGE('[9]Jan30th-31st'!$L$47,L45)</f>
        <v>7.0434782608695654</v>
      </c>
      <c r="N45" s="416">
        <v>9.1999999999999993</v>
      </c>
      <c r="O45" s="294"/>
      <c r="P45" s="12"/>
    </row>
    <row r="46" spans="1:56" ht="15" customHeight="1">
      <c r="B46" s="584"/>
      <c r="C46" s="349"/>
      <c r="D46" s="521"/>
      <c r="E46" s="522"/>
      <c r="F46" s="294"/>
      <c r="G46" s="42"/>
      <c r="H46" s="41"/>
      <c r="I46" s="42"/>
      <c r="J46" s="288" t="s">
        <v>40</v>
      </c>
      <c r="K46" s="324"/>
      <c r="L46" s="294"/>
      <c r="M46" s="294"/>
      <c r="N46" s="294"/>
      <c r="O46" s="294"/>
      <c r="P46" s="12"/>
    </row>
    <row r="47" spans="1:56" ht="15" customHeight="1">
      <c r="B47" s="584"/>
      <c r="C47" s="349"/>
      <c r="D47" s="523"/>
      <c r="E47" s="520"/>
      <c r="F47" s="294"/>
      <c r="G47" s="42"/>
      <c r="H47" s="41"/>
      <c r="I47" s="42"/>
      <c r="J47" s="289" t="s">
        <v>33</v>
      </c>
      <c r="K47" s="324"/>
      <c r="L47" s="294"/>
      <c r="M47" s="294"/>
      <c r="N47" s="294"/>
      <c r="O47" s="294"/>
      <c r="P47" s="12"/>
    </row>
    <row r="48" spans="1:56" ht="15">
      <c r="B48" s="584"/>
      <c r="C48" s="349"/>
      <c r="D48" s="521"/>
      <c r="E48" s="522"/>
      <c r="F48" s="294"/>
      <c r="G48" s="42"/>
      <c r="H48" s="41"/>
      <c r="I48" s="42"/>
      <c r="J48" s="290" t="s">
        <v>16</v>
      </c>
      <c r="K48" s="324"/>
      <c r="L48" s="294"/>
      <c r="M48" s="294"/>
      <c r="N48" s="294"/>
      <c r="O48" s="294"/>
      <c r="P48" s="12"/>
      <c r="BC48" s="44"/>
      <c r="BD48" s="44"/>
    </row>
    <row r="49" spans="1:57" ht="15">
      <c r="B49" s="584"/>
      <c r="C49" s="349"/>
      <c r="D49" s="523"/>
      <c r="E49" s="520"/>
      <c r="F49" s="294"/>
      <c r="G49" s="42"/>
      <c r="H49" s="41"/>
      <c r="I49" s="42"/>
      <c r="J49" s="291" t="s">
        <v>15</v>
      </c>
      <c r="K49" s="324"/>
      <c r="L49" s="294"/>
      <c r="M49" s="294"/>
      <c r="N49" s="294"/>
      <c r="O49" s="294"/>
      <c r="P49" s="12"/>
      <c r="BC49" s="44"/>
      <c r="BD49" s="44"/>
    </row>
    <row r="50" spans="1:57" ht="15">
      <c r="B50" s="584"/>
      <c r="C50" s="349"/>
      <c r="D50" s="521"/>
      <c r="E50" s="522"/>
      <c r="F50" s="294"/>
      <c r="G50" s="42"/>
      <c r="H50" s="41"/>
      <c r="I50" s="42"/>
      <c r="J50" s="291" t="s">
        <v>149</v>
      </c>
      <c r="K50" s="324"/>
      <c r="L50" s="294"/>
      <c r="M50" s="294"/>
      <c r="N50" s="294"/>
      <c r="O50" s="294"/>
      <c r="P50" s="12"/>
      <c r="BC50" s="44"/>
      <c r="BD50" s="44"/>
    </row>
    <row r="51" spans="1:57" ht="15.75" thickBot="1">
      <c r="B51" s="585"/>
      <c r="C51" s="350"/>
      <c r="D51" s="530"/>
      <c r="E51" s="531"/>
      <c r="F51" s="294" t="s">
        <v>166</v>
      </c>
      <c r="G51" s="42"/>
      <c r="H51" s="41"/>
      <c r="I51" s="42"/>
      <c r="J51" s="291" t="s">
        <v>148</v>
      </c>
      <c r="K51" s="324"/>
      <c r="L51" s="294"/>
      <c r="M51" s="294"/>
      <c r="N51" s="294" t="s">
        <v>41</v>
      </c>
      <c r="O51" s="294"/>
      <c r="P51" s="12"/>
      <c r="BC51" s="44"/>
      <c r="BD51" s="44"/>
    </row>
    <row r="52" spans="1:57" ht="17.649999999999999" customHeight="1" thickBot="1">
      <c r="B52" s="312" t="s">
        <v>139</v>
      </c>
      <c r="C52" s="313"/>
      <c r="D52" s="532"/>
      <c r="E52" s="533"/>
      <c r="F52" s="294"/>
      <c r="H52" s="41"/>
      <c r="I52" s="42"/>
      <c r="J52" s="295" t="s">
        <v>134</v>
      </c>
      <c r="K52" s="324"/>
      <c r="L52" s="294"/>
      <c r="M52" s="294"/>
      <c r="N52" s="294"/>
      <c r="O52" s="294"/>
      <c r="P52" s="12"/>
      <c r="BC52" s="44"/>
      <c r="BD52" s="44"/>
    </row>
    <row r="53" spans="1:57" ht="17.649999999999999" customHeight="1">
      <c r="B53" s="363"/>
      <c r="C53" s="364"/>
      <c r="D53" s="365"/>
      <c r="E53" s="365"/>
      <c r="F53" s="294"/>
      <c r="G53" s="42"/>
      <c r="H53" s="41"/>
      <c r="I53" s="42"/>
      <c r="J53" s="295" t="s">
        <v>131</v>
      </c>
      <c r="K53" s="324"/>
      <c r="L53" s="294"/>
      <c r="M53" s="294"/>
      <c r="N53" s="294"/>
      <c r="O53" s="294"/>
      <c r="P53" s="12"/>
      <c r="BC53" s="44"/>
      <c r="BD53" s="44"/>
    </row>
    <row r="54" spans="1:57" ht="15.6" customHeight="1">
      <c r="B54" s="45"/>
      <c r="C54" s="11"/>
      <c r="D54" s="11"/>
      <c r="E54" s="46"/>
      <c r="F54" s="294"/>
      <c r="G54" s="42"/>
      <c r="H54" s="41"/>
      <c r="I54" s="42"/>
      <c r="J54" s="346" t="s">
        <v>130</v>
      </c>
      <c r="K54" s="324">
        <f>SUM(K44:K53)</f>
        <v>8</v>
      </c>
      <c r="L54" s="294"/>
      <c r="M54" s="294"/>
      <c r="N54" s="294"/>
      <c r="O54" s="294"/>
      <c r="P54" s="12"/>
    </row>
    <row r="55" spans="1:57" ht="20.25" customHeight="1">
      <c r="B55" s="15" t="s">
        <v>42</v>
      </c>
      <c r="C55" s="1" t="s">
        <v>43</v>
      </c>
      <c r="D55" s="1"/>
      <c r="E55" s="1"/>
      <c r="F55" s="294"/>
      <c r="G55" s="42"/>
      <c r="H55" s="41"/>
      <c r="I55" s="42"/>
      <c r="L55" s="294"/>
      <c r="N55" s="315"/>
      <c r="P55" s="334"/>
    </row>
    <row r="56" spans="1:57" ht="15" customHeight="1" thickBot="1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1"/>
      <c r="O56" s="48"/>
      <c r="P56" s="49"/>
    </row>
    <row r="57" spans="1:57" ht="15" customHeight="1" thickBot="1">
      <c r="B57" s="534" t="s">
        <v>17</v>
      </c>
      <c r="C57" s="534" t="s">
        <v>44</v>
      </c>
      <c r="D57" s="537" t="s">
        <v>45</v>
      </c>
      <c r="E57" s="500" t="s">
        <v>46</v>
      </c>
      <c r="F57" s="509" t="s">
        <v>47</v>
      </c>
      <c r="G57" s="546" t="s">
        <v>48</v>
      </c>
      <c r="H57" s="534" t="s">
        <v>49</v>
      </c>
      <c r="I57" s="534" t="s">
        <v>50</v>
      </c>
      <c r="J57" s="540" t="s">
        <v>28</v>
      </c>
      <c r="K57" s="498" t="s">
        <v>51</v>
      </c>
      <c r="L57" s="549" t="s">
        <v>52</v>
      </c>
      <c r="M57" s="540" t="s">
        <v>53</v>
      </c>
      <c r="N57" s="13"/>
      <c r="O57" s="13"/>
      <c r="P57" s="50"/>
    </row>
    <row r="58" spans="1:57" ht="28.5" customHeight="1" thickTop="1" thickBot="1">
      <c r="B58" s="535"/>
      <c r="C58" s="536"/>
      <c r="D58" s="538"/>
      <c r="E58" s="539"/>
      <c r="F58" s="551"/>
      <c r="G58" s="547"/>
      <c r="H58" s="535"/>
      <c r="I58" s="535"/>
      <c r="J58" s="541"/>
      <c r="K58" s="548"/>
      <c r="L58" s="550"/>
      <c r="M58" s="541"/>
      <c r="N58" s="13"/>
      <c r="O58" s="13"/>
      <c r="P58" s="50"/>
      <c r="Q58" s="355"/>
      <c r="AB58" s="475">
        <v>43474</v>
      </c>
      <c r="AC58" s="475">
        <v>43475</v>
      </c>
      <c r="AD58" s="475">
        <v>43476</v>
      </c>
      <c r="AE58" s="475">
        <v>43477</v>
      </c>
      <c r="AF58" s="475">
        <v>43478</v>
      </c>
      <c r="AG58" s="475">
        <v>43479</v>
      </c>
      <c r="AH58" s="475">
        <v>43480</v>
      </c>
      <c r="AI58" s="475">
        <v>43481</v>
      </c>
      <c r="AJ58" s="475">
        <v>43482</v>
      </c>
      <c r="AK58" s="475">
        <v>43483</v>
      </c>
      <c r="AL58" s="475">
        <v>43484</v>
      </c>
      <c r="AM58" s="475">
        <v>43485</v>
      </c>
      <c r="AN58" s="475">
        <v>43486</v>
      </c>
      <c r="AO58" s="475">
        <v>43487</v>
      </c>
      <c r="AP58" s="475">
        <v>43488</v>
      </c>
      <c r="AQ58" s="475">
        <v>43489</v>
      </c>
      <c r="AR58" s="475">
        <v>43490</v>
      </c>
      <c r="AS58" s="475">
        <v>43491</v>
      </c>
      <c r="AT58" s="475">
        <v>43492</v>
      </c>
      <c r="AU58" s="475">
        <v>43493</v>
      </c>
      <c r="AV58" s="475">
        <v>43494</v>
      </c>
      <c r="AW58" s="475">
        <v>43495</v>
      </c>
      <c r="AX58" s="475">
        <v>43496</v>
      </c>
    </row>
    <row r="59" spans="1:57" s="54" customFormat="1" ht="37.15" customHeight="1" thickBot="1">
      <c r="B59" s="480" t="str">
        <f>I30</f>
        <v>CARIB</v>
      </c>
      <c r="C59" s="479">
        <v>46056</v>
      </c>
      <c r="D59" s="442">
        <f>SUM([29]February_2026!$D$3,[29]February_2026!$F$3,[29]February_2026!$G$3)</f>
        <v>795.62</v>
      </c>
      <c r="E59" s="443"/>
      <c r="F59" s="444"/>
      <c r="G59" s="445">
        <f>SUM([29]February_2026!$D$7,[29]February_2026!$F$7,[29]February_2026!$G$7)</f>
        <v>734.3</v>
      </c>
      <c r="H59" s="446"/>
      <c r="I59" s="447"/>
      <c r="J59" s="448" t="s">
        <v>175</v>
      </c>
      <c r="K59" s="449">
        <f>AVERAGE([30]February_2026!$D$18,[30]February_2026!$F$18:$G$18)</f>
        <v>0.36380116959064329</v>
      </c>
      <c r="L59" s="457">
        <f>(((D59+E59)-G59)/(D59+E59))*100</f>
        <v>7.7071969030441734</v>
      </c>
      <c r="M59" s="455" t="s">
        <v>174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4.25" customHeight="1" thickBot="1">
      <c r="B60" s="480"/>
      <c r="C60" s="479"/>
      <c r="D60" s="442"/>
      <c r="E60" s="443"/>
      <c r="F60" s="444"/>
      <c r="G60" s="445"/>
      <c r="H60" s="446"/>
      <c r="I60" s="447"/>
      <c r="J60" s="476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7.15" hidden="1" customHeight="1" thickBot="1">
      <c r="A61" s="54" t="s">
        <v>170</v>
      </c>
      <c r="B61" s="480"/>
      <c r="C61" s="479"/>
      <c r="D61" s="442"/>
      <c r="E61" s="443"/>
      <c r="F61" s="444"/>
      <c r="G61" s="445"/>
      <c r="H61" s="446"/>
      <c r="I61" s="447"/>
      <c r="J61" s="448" t="s">
        <v>169</v>
      </c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[10]January_2019!L7</f>
        <v>285.8</v>
      </c>
      <c r="AC61" s="57">
        <f>[10]January_2019!M7</f>
        <v>508.1</v>
      </c>
      <c r="AD61" s="57">
        <f>[10]January_2019!N7</f>
        <v>0</v>
      </c>
      <c r="AE61" s="57">
        <f>[10]January_2019!O7</f>
        <v>0</v>
      </c>
      <c r="AF61" s="57">
        <f>[10]January_2019!P7</f>
        <v>109.56666666666666</v>
      </c>
      <c r="AG61" s="57">
        <f>[10]January_2019!Q7</f>
        <v>297.64999999999998</v>
      </c>
      <c r="AH61" s="57">
        <f>[10]January_2019!R7</f>
        <v>122.3</v>
      </c>
      <c r="AI61" s="57">
        <f>[10]January_2019!S7</f>
        <v>0</v>
      </c>
      <c r="AJ61" s="57">
        <f>[10]January_2019!T7</f>
        <v>294.7</v>
      </c>
      <c r="AK61" s="57">
        <f>[10]January_2019!U7</f>
        <v>280.5</v>
      </c>
      <c r="AL61" s="57">
        <f>[10]January_2019!V7</f>
        <v>0</v>
      </c>
      <c r="AM61" s="57">
        <f>[10]January_2019!W7</f>
        <v>0</v>
      </c>
      <c r="AN61" s="57">
        <f>[10]January_2019!X7</f>
        <v>188.25</v>
      </c>
      <c r="AO61" s="57">
        <f>[10]January_2019!Y7</f>
        <v>295.7</v>
      </c>
      <c r="AP61" s="57">
        <f>[10]January_2019!Z7</f>
        <v>257.8</v>
      </c>
      <c r="AQ61" s="57">
        <f>[10]January_2019!AA7</f>
        <v>291.2</v>
      </c>
      <c r="AR61" s="57">
        <f>[10]January_2019!AB7</f>
        <v>187</v>
      </c>
      <c r="AS61" s="57">
        <f>[10]January_2019!AC7</f>
        <v>0</v>
      </c>
      <c r="AT61" s="57">
        <f>[10]January_2019!AD7</f>
        <v>0</v>
      </c>
      <c r="AU61" s="57">
        <f>[10]January_2019!AE7</f>
        <v>485.1</v>
      </c>
      <c r="AV61" s="57">
        <f>[10]January_2019!AF7</f>
        <v>171.55</v>
      </c>
      <c r="AW61" s="57">
        <f>[10]January_2019!AG7</f>
        <v>423.8</v>
      </c>
      <c r="AX61" s="277">
        <f>[10]January_2019!AH7</f>
        <v>0</v>
      </c>
      <c r="AY61" s="277"/>
      <c r="AZ61" s="277"/>
      <c r="BA61" s="277"/>
      <c r="BB61" s="277"/>
      <c r="BC61" s="277"/>
      <c r="BD61" s="277"/>
      <c r="BE61" s="277"/>
    </row>
    <row r="62" spans="1:57" s="54" customFormat="1" ht="19.5" hidden="1" customHeight="1" thickBot="1">
      <c r="B62" s="478"/>
      <c r="C62" s="430"/>
      <c r="D62" s="431"/>
      <c r="E62" s="432"/>
      <c r="F62" s="433"/>
      <c r="G62" s="434"/>
      <c r="H62" s="428"/>
      <c r="I62" s="428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8.450000000000003" hidden="1" customHeight="1" thickBot="1">
      <c r="B63" s="481"/>
      <c r="C63" s="479"/>
      <c r="D63" s="442"/>
      <c r="E63" s="443"/>
      <c r="F63" s="444"/>
      <c r="G63" s="445"/>
      <c r="H63" s="458"/>
      <c r="I63" s="458"/>
      <c r="J63" s="448"/>
      <c r="K63" s="45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15" hidden="1">
      <c r="B64" s="453"/>
      <c r="C64" s="430"/>
      <c r="D64" s="431"/>
      <c r="E64" s="432"/>
      <c r="F64" s="433"/>
      <c r="G64" s="434"/>
      <c r="H64" s="435"/>
      <c r="I64" s="450"/>
      <c r="J64" s="451"/>
      <c r="K64" s="436"/>
      <c r="L64" s="452"/>
      <c r="M64" s="421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hidden="1" customHeight="1" thickBot="1">
      <c r="B65" s="480"/>
      <c r="C65" s="479"/>
      <c r="D65" s="442"/>
      <c r="E65" s="443"/>
      <c r="F65" s="444"/>
      <c r="G65" s="445"/>
      <c r="H65" s="446"/>
      <c r="I65" s="447"/>
      <c r="J65" s="448"/>
      <c r="K65" s="449"/>
      <c r="L65" s="457"/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6.5" hidden="1" customHeight="1" thickBot="1">
      <c r="B66" s="437"/>
      <c r="C66" s="423"/>
      <c r="D66" s="424"/>
      <c r="E66" s="425"/>
      <c r="F66" s="426"/>
      <c r="G66" s="427"/>
      <c r="H66" s="428"/>
      <c r="I66" s="438"/>
      <c r="J66" s="439"/>
      <c r="K66" s="429"/>
      <c r="L66" s="440"/>
      <c r="M66" s="422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15"/>
      <c r="AC66" s="415"/>
      <c r="AD66" s="415"/>
      <c r="AE66" s="415"/>
      <c r="AF66" s="415"/>
      <c r="AG66" s="415"/>
      <c r="AH66" s="415"/>
      <c r="AI66" s="415"/>
      <c r="AJ66" s="415"/>
      <c r="AK66" s="415"/>
      <c r="AL66" s="415"/>
      <c r="AM66" s="415"/>
      <c r="AN66" s="415"/>
      <c r="AO66" s="415"/>
      <c r="AP66" s="415"/>
      <c r="AQ66" s="415"/>
      <c r="AR66" s="415"/>
      <c r="AS66" s="415"/>
      <c r="AT66" s="415"/>
      <c r="AU66" s="415"/>
      <c r="AV66" s="415"/>
      <c r="AW66" s="415"/>
    </row>
    <row r="67" spans="2:57" s="54" customFormat="1" ht="37.15" hidden="1" customHeight="1" thickBot="1">
      <c r="B67" s="456"/>
      <c r="C67" s="441"/>
      <c r="D67" s="442"/>
      <c r="E67" s="443"/>
      <c r="F67" s="444"/>
      <c r="G67" s="445"/>
      <c r="H67" s="446"/>
      <c r="I67" s="447"/>
      <c r="J67" s="448"/>
      <c r="K67" s="449"/>
      <c r="L67" s="457"/>
      <c r="M67" s="454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7.15" customHeight="1">
      <c r="B68" s="466"/>
      <c r="C68" s="430"/>
      <c r="D68" s="460"/>
      <c r="E68" s="461"/>
      <c r="F68" s="462"/>
      <c r="G68" s="460"/>
      <c r="H68" s="463"/>
      <c r="I68" s="463"/>
      <c r="J68" s="463"/>
      <c r="K68" s="464"/>
      <c r="L68" s="465"/>
      <c r="M68" s="50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5.75" thickBot="1">
      <c r="B70" s="542" t="s">
        <v>55</v>
      </c>
      <c r="C70" s="543"/>
      <c r="D70" s="543"/>
      <c r="E70" s="543"/>
      <c r="F70" s="544"/>
      <c r="G70" s="542" t="s">
        <v>56</v>
      </c>
      <c r="H70" s="543"/>
      <c r="I70" s="543"/>
      <c r="J70" s="544"/>
      <c r="K70" s="542" t="s">
        <v>51</v>
      </c>
      <c r="L70" s="543"/>
      <c r="M70" s="543"/>
      <c r="N70" s="545"/>
      <c r="O70" s="56"/>
      <c r="P70" s="50"/>
    </row>
    <row r="71" spans="2:57" ht="15">
      <c r="B71" s="61" t="s">
        <v>17</v>
      </c>
      <c r="C71" s="62" t="s">
        <v>36</v>
      </c>
      <c r="D71" s="62" t="s">
        <v>37</v>
      </c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 t="s">
        <v>36</v>
      </c>
      <c r="L71" s="62" t="s">
        <v>37</v>
      </c>
      <c r="M71" s="62" t="s">
        <v>38</v>
      </c>
      <c r="N71" s="63" t="s">
        <v>39</v>
      </c>
      <c r="O71" s="56"/>
      <c r="P71" s="64"/>
    </row>
    <row r="72" spans="2:57" ht="15">
      <c r="B72" s="29" t="s">
        <v>6</v>
      </c>
      <c r="C72" s="282">
        <f>L59</f>
        <v>7.7071969030441734</v>
      </c>
      <c r="D72" s="76">
        <v>6.8685197717455804</v>
      </c>
      <c r="E72" s="76">
        <v>8.3417227933357125</v>
      </c>
      <c r="F72" s="66">
        <v>4.8</v>
      </c>
      <c r="G72" s="65">
        <f>AVERAGE([29]February_2026!$D$11,[29]February_2026!$F$11:$G$11)</f>
        <v>8.0717083028647441</v>
      </c>
      <c r="H72" s="477">
        <v>7.1447612962511311</v>
      </c>
      <c r="I72" s="477">
        <v>8.3343100277395674</v>
      </c>
      <c r="J72" s="66">
        <v>4.8</v>
      </c>
      <c r="K72" s="67">
        <f>K59</f>
        <v>0.36380116959064329</v>
      </c>
      <c r="L72" s="194">
        <v>0.3889473684210526</v>
      </c>
      <c r="M72" s="194">
        <v>0.40460155945419102</v>
      </c>
      <c r="N72" s="68">
        <v>1</v>
      </c>
      <c r="O72" s="56"/>
      <c r="P72" s="69"/>
    </row>
    <row r="73" spans="2:57" ht="15">
      <c r="B73" s="33" t="s">
        <v>9</v>
      </c>
      <c r="C73" s="65"/>
      <c r="D73" s="76"/>
      <c r="E73" s="76">
        <v>6.0460527097870944</v>
      </c>
      <c r="F73" s="66">
        <v>4.8</v>
      </c>
      <c r="G73" s="65"/>
      <c r="H73" s="76"/>
      <c r="I73" s="76">
        <v>6.6612521752018941</v>
      </c>
      <c r="J73" s="66">
        <v>4.8</v>
      </c>
      <c r="K73" s="67"/>
      <c r="L73" s="194"/>
      <c r="M73" s="194">
        <v>0.60344005847953208</v>
      </c>
      <c r="N73" s="68">
        <v>1</v>
      </c>
      <c r="P73" s="69"/>
    </row>
    <row r="74" spans="2:57" ht="15">
      <c r="B74" s="34" t="s">
        <v>40</v>
      </c>
      <c r="C74" s="65"/>
      <c r="D74" s="76"/>
      <c r="E74" s="76">
        <v>10.608139003200726</v>
      </c>
      <c r="F74" s="66">
        <v>5.5</v>
      </c>
      <c r="G74" s="65"/>
      <c r="H74" s="76"/>
      <c r="I74" s="76">
        <v>11.382808901098844</v>
      </c>
      <c r="J74" s="66">
        <v>5.5</v>
      </c>
      <c r="K74" s="67"/>
      <c r="L74" s="194"/>
      <c r="M74" s="194">
        <v>0.68596491228070178</v>
      </c>
      <c r="N74" s="68">
        <v>1</v>
      </c>
      <c r="P74" s="69"/>
    </row>
    <row r="75" spans="2:57" ht="15">
      <c r="B75" s="22" t="s">
        <v>33</v>
      </c>
      <c r="C75" s="65"/>
      <c r="D75" s="76"/>
      <c r="E75" s="76">
        <v>5.0755456997699637</v>
      </c>
      <c r="F75" s="66">
        <v>3.3</v>
      </c>
      <c r="G75" s="65"/>
      <c r="H75" s="76"/>
      <c r="I75" s="76">
        <v>4.6359882890480018</v>
      </c>
      <c r="J75" s="66">
        <v>3.3</v>
      </c>
      <c r="K75" s="67"/>
      <c r="L75" s="194"/>
      <c r="M75" s="194">
        <v>0.66833333333333345</v>
      </c>
      <c r="N75" s="68">
        <v>1</v>
      </c>
      <c r="P75" s="69"/>
    </row>
    <row r="76" spans="2:57" ht="15">
      <c r="B76" s="35" t="s">
        <v>164</v>
      </c>
      <c r="C76" s="65"/>
      <c r="D76" s="76"/>
      <c r="E76" s="76"/>
      <c r="F76" s="66">
        <v>3.3</v>
      </c>
      <c r="G76" s="282"/>
      <c r="H76" s="76"/>
      <c r="I76" s="76"/>
      <c r="J76" s="66">
        <v>3</v>
      </c>
      <c r="K76" s="67"/>
      <c r="L76" s="194"/>
      <c r="M76" s="194"/>
      <c r="N76" s="68">
        <v>1</v>
      </c>
      <c r="P76" s="69"/>
    </row>
    <row r="77" spans="2:57" ht="15">
      <c r="B77" s="36" t="s">
        <v>15</v>
      </c>
      <c r="C77" s="65"/>
      <c r="D77" s="76"/>
      <c r="E77" s="76">
        <v>5.1105651105651271</v>
      </c>
      <c r="F77" s="70">
        <f>[11]May_2022!$M$43</f>
        <v>3.4878406700073312</v>
      </c>
      <c r="G77" s="282"/>
      <c r="H77" s="76"/>
      <c r="I77" s="76">
        <v>7.9131369535794072</v>
      </c>
      <c r="J77" s="66">
        <v>5.5</v>
      </c>
      <c r="K77" s="67"/>
      <c r="L77" s="194"/>
      <c r="M77" s="194">
        <v>1.3550877192982456</v>
      </c>
      <c r="N77" s="68">
        <v>1</v>
      </c>
      <c r="P77" s="69"/>
    </row>
    <row r="78" spans="2:57" ht="15">
      <c r="B78" s="37" t="s">
        <v>16</v>
      </c>
      <c r="C78" s="65"/>
      <c r="D78" s="76"/>
      <c r="E78" s="76">
        <v>2.0590520590520631</v>
      </c>
      <c r="F78" s="66">
        <v>3.3</v>
      </c>
      <c r="G78" s="282"/>
      <c r="H78" s="76"/>
      <c r="I78" s="76">
        <v>2.1755040108015784</v>
      </c>
      <c r="J78" s="66">
        <v>3.3</v>
      </c>
      <c r="K78" s="67"/>
      <c r="L78" s="194"/>
      <c r="M78" s="194">
        <v>0.88456140350877199</v>
      </c>
      <c r="N78" s="71">
        <v>1</v>
      </c>
      <c r="P78" s="69"/>
    </row>
    <row r="79" spans="2:57" ht="15.75" thickBot="1">
      <c r="B79" s="38" t="s">
        <v>163</v>
      </c>
      <c r="C79" s="65"/>
      <c r="D79" s="76"/>
      <c r="E79" s="76"/>
      <c r="F79" s="66">
        <v>7.5</v>
      </c>
      <c r="G79" s="282"/>
      <c r="H79" s="76"/>
      <c r="I79" s="76"/>
      <c r="J79" s="66">
        <v>7.5</v>
      </c>
      <c r="K79" s="67"/>
      <c r="L79" s="194"/>
      <c r="M79" s="194"/>
      <c r="N79" s="71">
        <v>1</v>
      </c>
      <c r="P79" s="69"/>
    </row>
    <row r="80" spans="2:57" ht="15.75" thickBot="1">
      <c r="B80" s="414" t="s">
        <v>161</v>
      </c>
      <c r="C80" s="65"/>
      <c r="D80" s="76"/>
      <c r="E80" s="76"/>
      <c r="F80" s="66">
        <v>4.8</v>
      </c>
      <c r="G80" s="282"/>
      <c r="H80" s="76"/>
      <c r="I80" s="76"/>
      <c r="J80" s="66">
        <v>4.8</v>
      </c>
      <c r="K80" s="67"/>
      <c r="L80" s="194"/>
      <c r="M80" s="194"/>
      <c r="N80" s="71">
        <v>1</v>
      </c>
      <c r="O80" s="74"/>
      <c r="P80" s="75"/>
    </row>
    <row r="81" spans="4:14" ht="15">
      <c r="D81" s="76">
        <v>6.8685197717455804</v>
      </c>
      <c r="E81" s="76">
        <v>6.9194528175982013</v>
      </c>
      <c r="F81" s="341">
        <v>5.5</v>
      </c>
      <c r="H81" s="76">
        <v>7.1447612962511311</v>
      </c>
      <c r="I81" s="76">
        <v>7.0765031639423475</v>
      </c>
      <c r="J81" s="341">
        <v>5.5</v>
      </c>
      <c r="L81" s="194">
        <v>0.3889473684210526</v>
      </c>
      <c r="M81" s="194">
        <v>0.3889473684210526</v>
      </c>
      <c r="N81" s="386">
        <v>1</v>
      </c>
    </row>
  </sheetData>
  <mergeCells count="51">
    <mergeCell ref="M57:M58"/>
    <mergeCell ref="B70:F70"/>
    <mergeCell ref="G70:J70"/>
    <mergeCell ref="K70:N70"/>
    <mergeCell ref="G57:G58"/>
    <mergeCell ref="H57:H58"/>
    <mergeCell ref="I57:I58"/>
    <mergeCell ref="J57:J58"/>
    <mergeCell ref="K57:K58"/>
    <mergeCell ref="L57:L58"/>
    <mergeCell ref="F57:F58"/>
    <mergeCell ref="D52:E52"/>
    <mergeCell ref="B57:B58"/>
    <mergeCell ref="C57:C58"/>
    <mergeCell ref="D57:D58"/>
    <mergeCell ref="E57:E58"/>
    <mergeCell ref="B42:B51"/>
    <mergeCell ref="D42:E43"/>
    <mergeCell ref="J42:K42"/>
    <mergeCell ref="L43:N43"/>
    <mergeCell ref="D44:E45"/>
    <mergeCell ref="D46:E47"/>
    <mergeCell ref="D48:E49"/>
    <mergeCell ref="D50:E51"/>
    <mergeCell ref="I28:N28"/>
    <mergeCell ref="D29:E29"/>
    <mergeCell ref="B30:B41"/>
    <mergeCell ref="D30:E31"/>
    <mergeCell ref="D32:E33"/>
    <mergeCell ref="D34:E35"/>
    <mergeCell ref="D36:E37"/>
    <mergeCell ref="D38:E39"/>
    <mergeCell ref="D40:E41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2:B53">
    <cfRule type="cellIs" dxfId="3156" priority="75" operator="notBetween">
      <formula>#REF!</formula>
      <formula>#REF!</formula>
    </cfRule>
  </conditionalFormatting>
  <conditionalFormatting sqref="C56">
    <cfRule type="cellIs" dxfId="3155" priority="203" stopIfTrue="1" operator="greaterThan">
      <formula>100</formula>
    </cfRule>
    <cfRule type="cellIs" dxfId="3154" priority="202" stopIfTrue="1" operator="lessThan">
      <formula>96</formula>
    </cfRule>
  </conditionalFormatting>
  <conditionalFormatting sqref="C72:C76">
    <cfRule type="cellIs" dxfId="3153" priority="160" stopIfTrue="1" operator="lessThanOrEqual">
      <formula>0</formula>
    </cfRule>
  </conditionalFormatting>
  <conditionalFormatting sqref="C72:C80">
    <cfRule type="cellIs" dxfId="3152" priority="159" stopIfTrue="1" operator="greaterThan">
      <formula>$F72</formula>
    </cfRule>
  </conditionalFormatting>
  <conditionalFormatting sqref="C73">
    <cfRule type="cellIs" dxfId="3151" priority="206" stopIfTrue="1" operator="greaterThan">
      <formula>$F72</formula>
    </cfRule>
  </conditionalFormatting>
  <conditionalFormatting sqref="C77">
    <cfRule type="cellIs" dxfId="3150" priority="99" stopIfTrue="1" operator="lessThanOrEqual">
      <formula>0</formula>
    </cfRule>
    <cfRule type="cellIs" dxfId="3149" priority="100" stopIfTrue="1" operator="greaterThan">
      <formula>$F76</formula>
    </cfRule>
  </conditionalFormatting>
  <conditionalFormatting sqref="C83:C87">
    <cfRule type="cellIs" dxfId="3148" priority="194" stopIfTrue="1" operator="lessThanOrEqual">
      <formula>0</formula>
    </cfRule>
  </conditionalFormatting>
  <conditionalFormatting sqref="C84:C87">
    <cfRule type="cellIs" dxfId="3147" priority="193" stopIfTrue="1" operator="greaterThan">
      <formula>$F$83</formula>
    </cfRule>
  </conditionalFormatting>
  <conditionalFormatting sqref="C89">
    <cfRule type="cellIs" dxfId="3146" priority="196" stopIfTrue="1" operator="lessThanOrEqual">
      <formula>0</formula>
    </cfRule>
    <cfRule type="cellIs" dxfId="3145" priority="195" stopIfTrue="1" operator="greaterThan">
      <formula>$F$83</formula>
    </cfRule>
  </conditionalFormatting>
  <conditionalFormatting sqref="C83:D83 D85:D91">
    <cfRule type="cellIs" dxfId="3144" priority="188" stopIfTrue="1" operator="greaterThan">
      <formula>4.5</formula>
    </cfRule>
  </conditionalFormatting>
  <conditionalFormatting sqref="D52:D53">
    <cfRule type="cellIs" dxfId="3143" priority="76" operator="notBetween">
      <formula>#REF!</formula>
      <formula>#REF!</formula>
    </cfRule>
  </conditionalFormatting>
  <conditionalFormatting sqref="D72:D79">
    <cfRule type="cellIs" dxfId="3142" priority="168" stopIfTrue="1" operator="lessThanOrEqual">
      <formula>0</formula>
    </cfRule>
  </conditionalFormatting>
  <conditionalFormatting sqref="D83 D85:D91">
    <cfRule type="cellIs" dxfId="3141" priority="189" stopIfTrue="1" operator="lessThanOrEqual">
      <formula>0</formula>
    </cfRule>
  </conditionalFormatting>
  <conditionalFormatting sqref="D84">
    <cfRule type="cellIs" dxfId="3140" priority="180" stopIfTrue="1" operator="greaterThan">
      <formula>$F$83</formula>
    </cfRule>
    <cfRule type="cellIs" dxfId="3139" priority="181" stopIfTrue="1" operator="lessThanOrEqual">
      <formula>0</formula>
    </cfRule>
  </conditionalFormatting>
  <conditionalFormatting sqref="D72:E81">
    <cfRule type="cellIs" dxfId="3138" priority="157" stopIfTrue="1" operator="greaterThan">
      <formula>$F72</formula>
    </cfRule>
  </conditionalFormatting>
  <conditionalFormatting sqref="D80:E80">
    <cfRule type="cellIs" dxfId="3137" priority="167" stopIfTrue="1" operator="lessThanOrEqual">
      <formula>0</formula>
    </cfRule>
  </conditionalFormatting>
  <conditionalFormatting sqref="D81:E81">
    <cfRule type="cellIs" dxfId="3136" priority="158" stopIfTrue="1" operator="lessThanOrEqual">
      <formula>0</formula>
    </cfRule>
  </conditionalFormatting>
  <conditionalFormatting sqref="E10:E27">
    <cfRule type="cellIs" dxfId="3135" priority="34" operator="lessThan">
      <formula>48</formula>
    </cfRule>
  </conditionalFormatting>
  <conditionalFormatting sqref="E55 E56:F56">
    <cfRule type="cellIs" dxfId="3134" priority="185" stopIfTrue="1" operator="greaterThan">
      <formula>100</formula>
    </cfRule>
  </conditionalFormatting>
  <conditionalFormatting sqref="E56">
    <cfRule type="cellIs" dxfId="3133" priority="182" stopIfTrue="1" operator="lessThan">
      <formula>96.8</formula>
    </cfRule>
    <cfRule type="cellIs" dxfId="3132" priority="183" stopIfTrue="1" operator="greaterThan">
      <formula>100</formula>
    </cfRule>
  </conditionalFormatting>
  <conditionalFormatting sqref="E72:E79">
    <cfRule type="cellIs" dxfId="3131" priority="13" stopIfTrue="1" operator="lessThanOrEqual">
      <formula>0</formula>
    </cfRule>
  </conditionalFormatting>
  <conditionalFormatting sqref="E72:E80">
    <cfRule type="cellIs" dxfId="3130" priority="164" stopIfTrue="1" operator="lessThanOrEqual">
      <formula>0</formula>
    </cfRule>
  </conditionalFormatting>
  <conditionalFormatting sqref="E83:E91">
    <cfRule type="cellIs" dxfId="3129" priority="175" stopIfTrue="1" operator="lessThanOrEqual">
      <formula>0</formula>
    </cfRule>
    <cfRule type="cellIs" dxfId="3128" priority="174" stopIfTrue="1" operator="greaterThan">
      <formula>4.5</formula>
    </cfRule>
  </conditionalFormatting>
  <conditionalFormatting sqref="E56:F56 E55">
    <cfRule type="cellIs" dxfId="3127" priority="184" stopIfTrue="1" operator="lessThan">
      <formula>96.5</formula>
    </cfRule>
  </conditionalFormatting>
  <conditionalFormatting sqref="F10:F24 F26:F27">
    <cfRule type="cellIs" dxfId="3126" priority="35" operator="greaterThan">
      <formula>60</formula>
    </cfRule>
  </conditionalFormatting>
  <conditionalFormatting sqref="F56">
    <cfRule type="cellIs" dxfId="3125" priority="200" stopIfTrue="1" operator="lessThan">
      <formula>96.8</formula>
    </cfRule>
    <cfRule type="cellIs" dxfId="3124" priority="201" stopIfTrue="1" operator="greaterThan">
      <formula>100</formula>
    </cfRule>
  </conditionalFormatting>
  <conditionalFormatting sqref="F81">
    <cfRule type="cellIs" dxfId="3123" priority="166" stopIfTrue="1" operator="lessThanOrEqual">
      <formula>0</formula>
    </cfRule>
    <cfRule type="cellIs" dxfId="3122" priority="165" stopIfTrue="1" operator="greaterThan">
      <formula>$F81</formula>
    </cfRule>
  </conditionalFormatting>
  <conditionalFormatting sqref="G10:G26">
    <cfRule type="expression" dxfId="3121" priority="37">
      <formula>IF(+(IF(G10&lt;S10,0,IF(G10&gt;T10,0,1)))=0,1)</formula>
    </cfRule>
  </conditionalFormatting>
  <conditionalFormatting sqref="G72:G73 C78:C80">
    <cfRule type="cellIs" dxfId="3120" priority="170" stopIfTrue="1" operator="lessThanOrEqual">
      <formula>0</formula>
    </cfRule>
  </conditionalFormatting>
  <conditionalFormatting sqref="G72:G73">
    <cfRule type="cellIs" dxfId="3119" priority="169" stopIfTrue="1" operator="greaterThan">
      <formula>$F72</formula>
    </cfRule>
    <cfRule type="cellIs" dxfId="3118" priority="162" stopIfTrue="1" operator="lessThanOrEqual">
      <formula>0</formula>
    </cfRule>
    <cfRule type="cellIs" dxfId="3117" priority="161" stopIfTrue="1" operator="greaterThan">
      <formula>$F72</formula>
    </cfRule>
  </conditionalFormatting>
  <conditionalFormatting sqref="G74">
    <cfRule type="cellIs" dxfId="3116" priority="205" stopIfTrue="1" operator="lessThanOrEqual">
      <formula>0</formula>
    </cfRule>
    <cfRule type="cellIs" dxfId="3115" priority="204" stopIfTrue="1" operator="greaterThan">
      <formula>$F73</formula>
    </cfRule>
  </conditionalFormatting>
  <conditionalFormatting sqref="G75">
    <cfRule type="cellIs" dxfId="3114" priority="71" stopIfTrue="1" operator="greaterThan">
      <formula>$F75</formula>
    </cfRule>
    <cfRule type="cellIs" dxfId="3113" priority="73" stopIfTrue="1" operator="greaterThan">
      <formula>$F75</formula>
    </cfRule>
    <cfRule type="cellIs" dxfId="3112" priority="72" stopIfTrue="1" operator="lessThanOrEqual">
      <formula>0</formula>
    </cfRule>
    <cfRule type="cellIs" dxfId="3111" priority="74" stopIfTrue="1" operator="lessThanOrEqual">
      <formula>0</formula>
    </cfRule>
  </conditionalFormatting>
  <conditionalFormatting sqref="G76:G80">
    <cfRule type="cellIs" dxfId="3110" priority="172" stopIfTrue="1" operator="lessThanOrEqual">
      <formula>0</formula>
    </cfRule>
    <cfRule type="cellIs" dxfId="3109" priority="171" stopIfTrue="1" operator="greaterThan">
      <formula>$J76</formula>
    </cfRule>
  </conditionalFormatting>
  <conditionalFormatting sqref="G85:G90 C88 C90">
    <cfRule type="cellIs" dxfId="3108" priority="198" stopIfTrue="1" operator="lessThanOrEqual">
      <formula>0</formula>
    </cfRule>
    <cfRule type="cellIs" dxfId="3107" priority="197" stopIfTrue="1" operator="greaterThan">
      <formula>4.5</formula>
    </cfRule>
  </conditionalFormatting>
  <conditionalFormatting sqref="G84:H84">
    <cfRule type="cellIs" dxfId="3106" priority="178" stopIfTrue="1" operator="greaterThan">
      <formula>$F$83</formula>
    </cfRule>
    <cfRule type="cellIs" dxfId="3105" priority="179" stopIfTrue="1" operator="lessThanOrEqual">
      <formula>0</formula>
    </cfRule>
  </conditionalFormatting>
  <conditionalFormatting sqref="H10:H26 G27:H27">
    <cfRule type="expression" dxfId="3104" priority="68">
      <formula>IF(+(IF(G10&lt;#REF!,0,IF(G10&gt;#REF!,0,1)))=0,1)</formula>
    </cfRule>
  </conditionalFormatting>
  <conditionalFormatting sqref="H41:H55">
    <cfRule type="cellIs" dxfId="3103" priority="176" stopIfTrue="1" operator="greaterThan">
      <formula>0</formula>
    </cfRule>
  </conditionalFormatting>
  <conditionalFormatting sqref="H59:H60">
    <cfRule type="cellIs" dxfId="3102" priority="15" stopIfTrue="1" operator="lessThanOrEqual">
      <formula>0</formula>
    </cfRule>
    <cfRule type="cellIs" dxfId="3101" priority="16" stopIfTrue="1" operator="greaterThan">
      <formula>#REF!</formula>
    </cfRule>
    <cfRule type="cellIs" dxfId="3100" priority="24" stopIfTrue="1" operator="greaterThan">
      <formula>$F$27</formula>
    </cfRule>
    <cfRule type="cellIs" dxfId="3099" priority="25" stopIfTrue="1" operator="lessThanOrEqual">
      <formula>0</formula>
    </cfRule>
    <cfRule type="cellIs" dxfId="3098" priority="26" stopIfTrue="1" operator="greaterThan">
      <formula>#REF!</formula>
    </cfRule>
  </conditionalFormatting>
  <conditionalFormatting sqref="H59:H61">
    <cfRule type="cellIs" dxfId="3097" priority="27" stopIfTrue="1" operator="lessThanOrEqual">
      <formula>0</formula>
    </cfRule>
  </conditionalFormatting>
  <conditionalFormatting sqref="H61">
    <cfRule type="cellIs" dxfId="3096" priority="51" stopIfTrue="1" operator="lessThanOrEqual">
      <formula>0</formula>
    </cfRule>
    <cfRule type="cellIs" dxfId="3095" priority="40" stopIfTrue="1" operator="greaterThan">
      <formula>#REF!</formula>
    </cfRule>
    <cfRule type="cellIs" dxfId="3094" priority="48" stopIfTrue="1" operator="greaterThan">
      <formula>$F$27</formula>
    </cfRule>
    <cfRule type="cellIs" dxfId="3093" priority="49" stopIfTrue="1" operator="lessThanOrEqual">
      <formula>0</formula>
    </cfRule>
    <cfRule type="cellIs" dxfId="3092" priority="50" stopIfTrue="1" operator="greaterThan">
      <formula>#REF!</formula>
    </cfRule>
  </conditionalFormatting>
  <conditionalFormatting sqref="H62">
    <cfRule type="cellIs" dxfId="3091" priority="126" stopIfTrue="1" operator="lessThanOrEqual">
      <formula>0</formula>
    </cfRule>
    <cfRule type="cellIs" dxfId="3090" priority="127" stopIfTrue="1" operator="greaterThan">
      <formula>#REF!</formula>
    </cfRule>
    <cfRule type="cellIs" dxfId="3089" priority="128" stopIfTrue="1" operator="lessThanOrEqual">
      <formula>0</formula>
    </cfRule>
    <cfRule type="cellIs" dxfId="3088" priority="125" stopIfTrue="1" operator="greaterThan">
      <formula>$F$28</formula>
    </cfRule>
    <cfRule type="cellIs" dxfId="3087" priority="117" stopIfTrue="1" operator="greaterThan">
      <formula>#REF!</formula>
    </cfRule>
    <cfRule type="cellIs" dxfId="3086" priority="116" stopIfTrue="1" operator="lessThanOrEqual">
      <formula>0</formula>
    </cfRule>
  </conditionalFormatting>
  <conditionalFormatting sqref="H63">
    <cfRule type="cellIs" dxfId="3085" priority="62" stopIfTrue="1" operator="greaterThan">
      <formula>$F$75</formula>
    </cfRule>
    <cfRule type="cellIs" dxfId="3084" priority="53" stopIfTrue="1" operator="lessThanOrEqual">
      <formula>0</formula>
    </cfRule>
    <cfRule type="cellIs" dxfId="3083" priority="54" stopIfTrue="1" operator="greaterThan">
      <formula>$F$72</formula>
    </cfRule>
    <cfRule type="cellIs" dxfId="3082" priority="63" stopIfTrue="1" operator="lessThanOrEqual">
      <formula>0</formula>
    </cfRule>
    <cfRule type="cellIs" dxfId="3081" priority="65" stopIfTrue="1" operator="lessThanOrEqual">
      <formula>0</formula>
    </cfRule>
    <cfRule type="cellIs" dxfId="3080" priority="64" stopIfTrue="1" operator="greaterThan">
      <formula>$F$73</formula>
    </cfRule>
  </conditionalFormatting>
  <conditionalFormatting sqref="H64:H65">
    <cfRule type="cellIs" dxfId="3079" priority="114" stopIfTrue="1" operator="lessThanOrEqual">
      <formula>0</formula>
    </cfRule>
    <cfRule type="cellIs" dxfId="3078" priority="113" stopIfTrue="1" operator="greaterThan">
      <formula>#REF!</formula>
    </cfRule>
    <cfRule type="cellIs" dxfId="3077" priority="103" stopIfTrue="1" operator="greaterThan">
      <formula>#REF!</formula>
    </cfRule>
    <cfRule type="cellIs" dxfId="3076" priority="111" stopIfTrue="1" operator="greaterThan">
      <formula>$F$27</formula>
    </cfRule>
    <cfRule type="cellIs" dxfId="3075" priority="112" stopIfTrue="1" operator="lessThanOrEqual">
      <formula>0</formula>
    </cfRule>
    <cfRule type="cellIs" dxfId="3074" priority="102" stopIfTrue="1" operator="lessThanOrEqual">
      <formula>0</formula>
    </cfRule>
  </conditionalFormatting>
  <conditionalFormatting sqref="H66">
    <cfRule type="cellIs" dxfId="3073" priority="131" stopIfTrue="1" operator="lessThanOrEqual">
      <formula>0</formula>
    </cfRule>
    <cfRule type="cellIs" dxfId="3072" priority="132" stopIfTrue="1" operator="greaterThan">
      <formula>$F$40</formula>
    </cfRule>
    <cfRule type="cellIs" dxfId="3071" priority="143" stopIfTrue="1" operator="lessThanOrEqual">
      <formula>0</formula>
    </cfRule>
    <cfRule type="cellIs" dxfId="3070" priority="140" stopIfTrue="1" operator="greaterThan">
      <formula>$F$43</formula>
    </cfRule>
    <cfRule type="cellIs" dxfId="3069" priority="141" stopIfTrue="1" operator="lessThanOrEqual">
      <formula>0</formula>
    </cfRule>
    <cfRule type="cellIs" dxfId="3068" priority="142" stopIfTrue="1" operator="greaterThan">
      <formula>$F$41</formula>
    </cfRule>
  </conditionalFormatting>
  <conditionalFormatting sqref="H67:H68">
    <cfRule type="cellIs" dxfId="3067" priority="87" stopIfTrue="1" operator="greaterThan">
      <formula>#REF!</formula>
    </cfRule>
    <cfRule type="cellIs" dxfId="3066" priority="96" stopIfTrue="1" operator="lessThanOrEqual">
      <formula>0</formula>
    </cfRule>
    <cfRule type="cellIs" dxfId="3065" priority="95" stopIfTrue="1" operator="greaterThan">
      <formula>$F$27</formula>
    </cfRule>
    <cfRule type="cellIs" dxfId="3064" priority="98" stopIfTrue="1" operator="lessThanOrEqual">
      <formula>0</formula>
    </cfRule>
    <cfRule type="cellIs" dxfId="3063" priority="97" stopIfTrue="1" operator="greaterThan">
      <formula>#REF!</formula>
    </cfRule>
    <cfRule type="cellIs" dxfId="3062" priority="86" stopIfTrue="1" operator="lessThanOrEqual">
      <formula>0</formula>
    </cfRule>
  </conditionalFormatting>
  <conditionalFormatting sqref="H83 H85:H91">
    <cfRule type="cellIs" dxfId="3061" priority="191" stopIfTrue="1" operator="lessThanOrEqual">
      <formula>0</formula>
    </cfRule>
    <cfRule type="cellIs" dxfId="3060" priority="190" stopIfTrue="1" operator="greaterThan">
      <formula>4.5</formula>
    </cfRule>
  </conditionalFormatting>
  <conditionalFormatting sqref="H59:I60">
    <cfRule type="cellIs" dxfId="3059" priority="17" stopIfTrue="1" operator="lessThanOrEqual">
      <formula>0</formula>
    </cfRule>
  </conditionalFormatting>
  <conditionalFormatting sqref="H59:I61">
    <cfRule type="cellIs" dxfId="3058" priority="14" stopIfTrue="1" operator="greaterThan">
      <formula>#REF!</formula>
    </cfRule>
  </conditionalFormatting>
  <conditionalFormatting sqref="H61:I61">
    <cfRule type="cellIs" dxfId="3057" priority="41" stopIfTrue="1" operator="lessThanOrEqual">
      <formula>0</formula>
    </cfRule>
  </conditionalFormatting>
  <conditionalFormatting sqref="H62:I62">
    <cfRule type="cellIs" dxfId="3056" priority="118" stopIfTrue="1" operator="lessThanOrEqual">
      <formula>0</formula>
    </cfRule>
    <cfRule type="cellIs" dxfId="3055" priority="115" stopIfTrue="1" operator="greaterThan">
      <formula>$F$27</formula>
    </cfRule>
  </conditionalFormatting>
  <conditionalFormatting sqref="H63:I63">
    <cfRule type="cellIs" dxfId="3054" priority="55" stopIfTrue="1" operator="lessThanOrEqual">
      <formula>0</formula>
    </cfRule>
    <cfRule type="cellIs" dxfId="3053" priority="52" stopIfTrue="1" operator="greaterThan">
      <formula>$F$74</formula>
    </cfRule>
  </conditionalFormatting>
  <conditionalFormatting sqref="H64:I65">
    <cfRule type="cellIs" dxfId="3052" priority="101" stopIfTrue="1" operator="greaterThan">
      <formula>#REF!</formula>
    </cfRule>
    <cfRule type="cellIs" dxfId="3051" priority="104" stopIfTrue="1" operator="lessThanOrEqual">
      <formula>0</formula>
    </cfRule>
  </conditionalFormatting>
  <conditionalFormatting sqref="H66:I66">
    <cfRule type="cellIs" dxfId="3050" priority="133" stopIfTrue="1" operator="lessThanOrEqual">
      <formula>0</formula>
    </cfRule>
    <cfRule type="cellIs" dxfId="3049" priority="130" stopIfTrue="1" operator="greaterThan">
      <formula>$F$42</formula>
    </cfRule>
  </conditionalFormatting>
  <conditionalFormatting sqref="H67:I68">
    <cfRule type="cellIs" dxfId="3048" priority="88" stopIfTrue="1" operator="lessThanOrEqual">
      <formula>0</formula>
    </cfRule>
    <cfRule type="cellIs" dxfId="3047" priority="85" stopIfTrue="1" operator="greaterThan">
      <formula>#REF!</formula>
    </cfRule>
  </conditionalFormatting>
  <conditionalFormatting sqref="H72:I79">
    <cfRule type="cellIs" dxfId="3046" priority="66" stopIfTrue="1" operator="greaterThan">
      <formula>$J72</formula>
    </cfRule>
    <cfRule type="cellIs" dxfId="3045" priority="67" stopIfTrue="1" operator="lessThanOrEqual">
      <formula>0</formula>
    </cfRule>
  </conditionalFormatting>
  <conditionalFormatting sqref="H80:I80">
    <cfRule type="cellIs" dxfId="3044" priority="163" operator="greaterThan">
      <formula>5.3</formula>
    </cfRule>
  </conditionalFormatting>
  <conditionalFormatting sqref="H81:I81">
    <cfRule type="cellIs" dxfId="3043" priority="155" stopIfTrue="1" operator="greaterThan">
      <formula>$J81</formula>
    </cfRule>
    <cfRule type="cellIs" dxfId="3042" priority="156" stopIfTrue="1" operator="lessThanOrEqual">
      <formula>0</formula>
    </cfRule>
  </conditionalFormatting>
  <conditionalFormatting sqref="I59:I60">
    <cfRule type="cellIs" dxfId="3041" priority="19" stopIfTrue="1" operator="lessThanOrEqual">
      <formula>0</formula>
    </cfRule>
    <cfRule type="cellIs" dxfId="3040" priority="20" stopIfTrue="1" operator="greaterThan">
      <formula>#REF!</formula>
    </cfRule>
    <cfRule type="cellIs" dxfId="3039" priority="21" stopIfTrue="1" operator="lessThanOrEqual">
      <formula>0</formula>
    </cfRule>
    <cfRule type="cellIs" dxfId="3038" priority="22" stopIfTrue="1" operator="greaterThan">
      <formula>#REF!</formula>
    </cfRule>
    <cfRule type="cellIs" dxfId="3037" priority="23" stopIfTrue="1" operator="lessThanOrEqual">
      <formula>0</formula>
    </cfRule>
    <cfRule type="cellIs" dxfId="3036" priority="18" stopIfTrue="1" operator="greaterThan">
      <formula>#REF!</formula>
    </cfRule>
  </conditionalFormatting>
  <conditionalFormatting sqref="I61">
    <cfRule type="cellIs" dxfId="3035" priority="46" stopIfTrue="1" operator="greaterThan">
      <formula>#REF!</formula>
    </cfRule>
    <cfRule type="cellIs" dxfId="3034" priority="45" stopIfTrue="1" operator="lessThanOrEqual">
      <formula>0</formula>
    </cfRule>
    <cfRule type="cellIs" dxfId="3033" priority="44" stopIfTrue="1" operator="greaterThan">
      <formula>#REF!</formula>
    </cfRule>
    <cfRule type="cellIs" dxfId="3032" priority="47" stopIfTrue="1" operator="lessThanOrEqual">
      <formula>0</formula>
    </cfRule>
    <cfRule type="cellIs" dxfId="3031" priority="42" stopIfTrue="1" operator="greaterThan">
      <formula>#REF!</formula>
    </cfRule>
    <cfRule type="cellIs" dxfId="3030" priority="43" stopIfTrue="1" operator="lessThanOrEqual">
      <formula>0</formula>
    </cfRule>
  </conditionalFormatting>
  <conditionalFormatting sqref="I62">
    <cfRule type="cellIs" dxfId="3029" priority="119" stopIfTrue="1" operator="greaterThan">
      <formula>#REF!</formula>
    </cfRule>
    <cfRule type="cellIs" dxfId="3028" priority="121" stopIfTrue="1" operator="greaterThan">
      <formula>$F$27</formula>
    </cfRule>
    <cfRule type="cellIs" dxfId="3027" priority="122" stopIfTrue="1" operator="lessThanOrEqual">
      <formula>0</formula>
    </cfRule>
    <cfRule type="cellIs" dxfId="3026" priority="123" stopIfTrue="1" operator="greaterThan">
      <formula>#REF!</formula>
    </cfRule>
    <cfRule type="cellIs" dxfId="3025" priority="124" stopIfTrue="1" operator="lessThanOrEqual">
      <formula>0</formula>
    </cfRule>
    <cfRule type="cellIs" dxfId="3024" priority="120" stopIfTrue="1" operator="lessThanOrEqual">
      <formula>0</formula>
    </cfRule>
  </conditionalFormatting>
  <conditionalFormatting sqref="I63">
    <cfRule type="cellIs" dxfId="3023" priority="61" stopIfTrue="1" operator="lessThanOrEqual">
      <formula>0</formula>
    </cfRule>
    <cfRule type="cellIs" dxfId="3022" priority="60" stopIfTrue="1" operator="greaterThan">
      <formula>$F$72</formula>
    </cfRule>
    <cfRule type="cellIs" dxfId="3021" priority="56" stopIfTrue="1" operator="greaterThan">
      <formula>$F$72</formula>
    </cfRule>
    <cfRule type="cellIs" dxfId="3020" priority="57" stopIfTrue="1" operator="lessThanOrEqual">
      <formula>0</formula>
    </cfRule>
    <cfRule type="cellIs" dxfId="3019" priority="58" stopIfTrue="1" operator="greaterThan">
      <formula>$F$74</formula>
    </cfRule>
    <cfRule type="cellIs" dxfId="3018" priority="59" stopIfTrue="1" operator="lessThanOrEqual">
      <formula>0</formula>
    </cfRule>
  </conditionalFormatting>
  <conditionalFormatting sqref="I64:I65">
    <cfRule type="cellIs" dxfId="3017" priority="105" stopIfTrue="1" operator="greaterThan">
      <formula>#REF!</formula>
    </cfRule>
    <cfRule type="cellIs" dxfId="3016" priority="110" stopIfTrue="1" operator="lessThanOrEqual">
      <formula>0</formula>
    </cfRule>
    <cfRule type="cellIs" dxfId="3015" priority="106" stopIfTrue="1" operator="lessThanOrEqual">
      <formula>0</formula>
    </cfRule>
    <cfRule type="cellIs" dxfId="3014" priority="107" stopIfTrue="1" operator="greaterThan">
      <formula>#REF!</formula>
    </cfRule>
    <cfRule type="cellIs" dxfId="3013" priority="108" stopIfTrue="1" operator="lessThanOrEqual">
      <formula>0</formula>
    </cfRule>
    <cfRule type="cellIs" dxfId="3012" priority="109" stopIfTrue="1" operator="greaterThan">
      <formula>#REF!</formula>
    </cfRule>
  </conditionalFormatting>
  <conditionalFormatting sqref="I66">
    <cfRule type="cellIs" dxfId="3011" priority="138" stopIfTrue="1" operator="greaterThan">
      <formula>$F$40</formula>
    </cfRule>
    <cfRule type="cellIs" dxfId="3010" priority="139" stopIfTrue="1" operator="lessThanOrEqual">
      <formula>0</formula>
    </cfRule>
    <cfRule type="cellIs" dxfId="3009" priority="134" stopIfTrue="1" operator="greaterThan">
      <formula>$F$40</formula>
    </cfRule>
    <cfRule type="cellIs" dxfId="3008" priority="135" stopIfTrue="1" operator="lessThanOrEqual">
      <formula>0</formula>
    </cfRule>
    <cfRule type="cellIs" dxfId="3007" priority="136" stopIfTrue="1" operator="greaterThan">
      <formula>$F$42</formula>
    </cfRule>
    <cfRule type="cellIs" dxfId="3006" priority="137" stopIfTrue="1" operator="lessThanOrEqual">
      <formula>0</formula>
    </cfRule>
  </conditionalFormatting>
  <conditionalFormatting sqref="I67:I68">
    <cfRule type="cellIs" dxfId="3005" priority="90" stopIfTrue="1" operator="lessThanOrEqual">
      <formula>0</formula>
    </cfRule>
    <cfRule type="cellIs" dxfId="3004" priority="94" stopIfTrue="1" operator="lessThanOrEqual">
      <formula>0</formula>
    </cfRule>
    <cfRule type="cellIs" dxfId="3003" priority="91" stopIfTrue="1" operator="greaterThan">
      <formula>#REF!</formula>
    </cfRule>
    <cfRule type="cellIs" dxfId="3002" priority="89" stopIfTrue="1" operator="greaterThan">
      <formula>#REF!</formula>
    </cfRule>
    <cfRule type="cellIs" dxfId="3001" priority="93" stopIfTrue="1" operator="greaterThan">
      <formula>#REF!</formula>
    </cfRule>
    <cfRule type="cellIs" dxfId="3000" priority="92" stopIfTrue="1" operator="lessThanOrEqual">
      <formula>0</formula>
    </cfRule>
  </conditionalFormatting>
  <conditionalFormatting sqref="I83:I91">
    <cfRule type="cellIs" dxfId="2999" priority="186" stopIfTrue="1" operator="greaterThan">
      <formula>4.5</formula>
    </cfRule>
    <cfRule type="cellIs" dxfId="2998" priority="187" stopIfTrue="1" operator="lessThanOrEqual">
      <formula>0</formula>
    </cfRule>
  </conditionalFormatting>
  <conditionalFormatting sqref="I10:J27">
    <cfRule type="cellIs" dxfId="2997" priority="30" operator="lessThan">
      <formula>97.9</formula>
    </cfRule>
  </conditionalFormatting>
  <conditionalFormatting sqref="J32">
    <cfRule type="cellIs" dxfId="2996" priority="145" stopIfTrue="1" operator="lessThan">
      <formula>96.8</formula>
    </cfRule>
    <cfRule type="cellIs" dxfId="2995" priority="146" stopIfTrue="1" operator="greaterThan">
      <formula>100</formula>
    </cfRule>
    <cfRule type="cellIs" dxfId="2994" priority="147" operator="lessThan">
      <formula>98</formula>
    </cfRule>
  </conditionalFormatting>
  <conditionalFormatting sqref="J32:J34">
    <cfRule type="cellIs" dxfId="2993" priority="144" operator="lessThan">
      <formula>97.4</formula>
    </cfRule>
  </conditionalFormatting>
  <conditionalFormatting sqref="J35:J36">
    <cfRule type="cellIs" dxfId="2992" priority="148" operator="lessThan">
      <formula>98</formula>
    </cfRule>
  </conditionalFormatting>
  <conditionalFormatting sqref="J37:J38">
    <cfRule type="cellIs" dxfId="2991" priority="149" stopIfTrue="1" operator="lessThan">
      <formula>96.8</formula>
    </cfRule>
    <cfRule type="cellIs" dxfId="2990" priority="150" stopIfTrue="1" operator="greaterThan">
      <formula>100</formula>
    </cfRule>
  </conditionalFormatting>
  <conditionalFormatting sqref="J37:J39">
    <cfRule type="cellIs" dxfId="2989" priority="151" operator="lessThan">
      <formula>98</formula>
    </cfRule>
  </conditionalFormatting>
  <conditionalFormatting sqref="J68">
    <cfRule type="cellIs" dxfId="2988" priority="77" stopIfTrue="1" operator="greaterThan">
      <formula>#REF!</formula>
    </cfRule>
    <cfRule type="cellIs" dxfId="2987" priority="79" stopIfTrue="1" operator="greaterThan">
      <formula>#REF!</formula>
    </cfRule>
    <cfRule type="cellIs" dxfId="2986" priority="84" stopIfTrue="1" operator="lessThanOrEqual">
      <formula>0</formula>
    </cfRule>
    <cfRule type="cellIs" dxfId="2985" priority="83" stopIfTrue="1" operator="greaterThan">
      <formula>#REF!</formula>
    </cfRule>
    <cfRule type="cellIs" dxfId="2984" priority="82" stopIfTrue="1" operator="lessThanOrEqual">
      <formula>0</formula>
    </cfRule>
    <cfRule type="cellIs" dxfId="2983" priority="81" stopIfTrue="1" operator="greaterThan">
      <formula>#REF!</formula>
    </cfRule>
    <cfRule type="cellIs" dxfId="2982" priority="80" stopIfTrue="1" operator="lessThanOrEqual">
      <formula>0</formula>
    </cfRule>
    <cfRule type="cellIs" dxfId="2981" priority="78" stopIfTrue="1" operator="lessThanOrEqual">
      <formula>0</formula>
    </cfRule>
  </conditionalFormatting>
  <conditionalFormatting sqref="J81">
    <cfRule type="cellIs" dxfId="2980" priority="152" stopIfTrue="1" operator="greaterThan">
      <formula>$F81</formula>
    </cfRule>
    <cfRule type="cellIs" dxfId="2979" priority="153" stopIfTrue="1" operator="lessThanOrEqual">
      <formula>0</formula>
    </cfRule>
  </conditionalFormatting>
  <conditionalFormatting sqref="K10:K27">
    <cfRule type="cellIs" dxfId="2978" priority="32" operator="lessThan">
      <formula>4</formula>
    </cfRule>
    <cfRule type="cellIs" dxfId="2977" priority="31" operator="greaterThan">
      <formula>6</formula>
    </cfRule>
    <cfRule type="cellIs" dxfId="2976" priority="33" operator="greaterThan">
      <formula>6.4</formula>
    </cfRule>
  </conditionalFormatting>
  <conditionalFormatting sqref="K59:K68">
    <cfRule type="cellIs" dxfId="2975" priority="28" stopIfTrue="1" operator="lessThan">
      <formula>100%</formula>
    </cfRule>
  </conditionalFormatting>
  <conditionalFormatting sqref="K83:K88">
    <cfRule type="cellIs" dxfId="2974" priority="192" stopIfTrue="1" operator="lessThan">
      <formula>100%</formula>
    </cfRule>
  </conditionalFormatting>
  <conditionalFormatting sqref="K90:K91">
    <cfRule type="cellIs" dxfId="2973" priority="199" stopIfTrue="1" operator="lessThan">
      <formula>100%</formula>
    </cfRule>
  </conditionalFormatting>
  <conditionalFormatting sqref="K72:N80">
    <cfRule type="cellIs" dxfId="2972" priority="129" stopIfTrue="1" operator="lessThan">
      <formula>100%</formula>
    </cfRule>
  </conditionalFormatting>
  <conditionalFormatting sqref="L10:L27">
    <cfRule type="cellIs" dxfId="2971" priority="39" operator="greaterThan">
      <formula>65</formula>
    </cfRule>
    <cfRule type="cellIs" dxfId="2970" priority="38" operator="between">
      <formula>61</formula>
      <formula>65</formula>
    </cfRule>
  </conditionalFormatting>
  <conditionalFormatting sqref="L30:M41">
    <cfRule type="cellIs" dxfId="2969" priority="69" operator="lessThan">
      <formula>97.95</formula>
    </cfRule>
  </conditionalFormatting>
  <conditionalFormatting sqref="L45:N45">
    <cfRule type="cellIs" dxfId="2968" priority="70" operator="notEqual">
      <formula>#REF!</formula>
    </cfRule>
  </conditionalFormatting>
  <conditionalFormatting sqref="L81:N81">
    <cfRule type="cellIs" dxfId="2967" priority="154" stopIfTrue="1" operator="lessThan">
      <formula>100%</formula>
    </cfRule>
  </conditionalFormatting>
  <conditionalFormatting sqref="L83:N91">
    <cfRule type="cellIs" dxfId="2966" priority="177" stopIfTrue="1" operator="lessThan">
      <formula>100%</formula>
    </cfRule>
  </conditionalFormatting>
  <conditionalFormatting sqref="M10:M26">
    <cfRule type="expression" dxfId="2965" priority="36">
      <formula>IF(+(IF(M10&lt;U10,0,IF(M10&gt;V10,0,1)))=0,1)</formula>
    </cfRule>
  </conditionalFormatting>
  <conditionalFormatting sqref="M27:N27">
    <cfRule type="expression" dxfId="2964" priority="207">
      <formula>IF(+(IF(M27&lt;#REF!,0,IF(M27&gt;#REF!,0,1)))=0,1)</formula>
    </cfRule>
  </conditionalFormatting>
  <conditionalFormatting sqref="N10:N26">
    <cfRule type="expression" dxfId="2963" priority="29">
      <formula>IF(+(IF(N10&lt;W10,0,IF(N10&gt;X10,0,1)))=0,1)</formula>
    </cfRule>
  </conditionalFormatting>
  <conditionalFormatting sqref="P6">
    <cfRule type="cellIs" dxfId="2962" priority="173" operator="greaterThanOrEqual">
      <formula>19</formula>
    </cfRule>
  </conditionalFormatting>
  <dataValidations disablePrompts="1" count="1">
    <dataValidation type="list" allowBlank="1" showInputMessage="1" showErrorMessage="1" sqref="R8" xr:uid="{16E762D7-C8AB-4466-983F-2CB8872C929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CC3B-531E-4DA9-A4EB-D4E1BFCA608F}">
  <sheetPr>
    <pageSetUpPr fitToPage="1"/>
  </sheetPr>
  <dimension ref="A1:BE80"/>
  <sheetViews>
    <sheetView topLeftCell="A4" zoomScale="70" zoomScaleNormal="70" workbookViewId="0">
      <selection activeCell="B17" sqref="B17:O1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46058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[3]Brewhouse!$A133</f>
        <v>CA091</v>
      </c>
      <c r="D10" s="279">
        <f>[3]Brewhouse!$AF133</f>
        <v>50.5</v>
      </c>
      <c r="E10" s="279">
        <f>[3]Brewhouse!$AI133</f>
        <v>49.3</v>
      </c>
      <c r="F10" s="278">
        <f>[3]Brewhouse!$V133</f>
        <v>58</v>
      </c>
      <c r="G10" s="279">
        <f>[3]Brewhouse!AG133</f>
        <v>11.6</v>
      </c>
      <c r="H10" s="396">
        <v>11.8</v>
      </c>
      <c r="I10" s="368">
        <f>[3]Brewhouse!$AU133</f>
        <v>93.047268518820289</v>
      </c>
      <c r="J10" s="368">
        <f>[3]Brewhouse!$AV133</f>
        <v>94.406007806489953</v>
      </c>
      <c r="K10" s="281">
        <f>[3]Brewhouse!$Q133</f>
        <v>6.2523540489642189</v>
      </c>
      <c r="L10" s="276">
        <f>[3]Brewhouse!$P133</f>
        <v>63</v>
      </c>
      <c r="M10" s="397">
        <f>[3]Brewhouse!$U133-[3]Brewhouse!$T133</f>
        <v>0.12847222222222221</v>
      </c>
      <c r="N10" s="370">
        <f>[3]Brewhouse!$Z133</f>
        <v>0.29791666666666666</v>
      </c>
      <c r="O10" s="420" t="str">
        <f>[3]Brewhouse!$AX133</f>
        <v>R.Sookram</v>
      </c>
      <c r="P10" s="418"/>
      <c r="R10" s="277" t="str">
        <f t="shared" ref="R10:R40" si="0">B10</f>
        <v>CARIB</v>
      </c>
      <c r="S10" s="472">
        <f t="shared" ref="S10:S40" si="1">VLOOKUP($B10,$R$3:$X$9,2,FALSE)</f>
        <v>11.6</v>
      </c>
      <c r="T10" s="472">
        <f t="shared" ref="T10:T40" si="2">VLOOKUP($B10,$R$3:$X$9,3,FALSE)</f>
        <v>12</v>
      </c>
      <c r="U10" s="297">
        <f t="shared" ref="U10:U40" si="3">VLOOKUP($B10,$R$3:$X$9,4,FALSE)</f>
        <v>0</v>
      </c>
      <c r="V10" s="297">
        <f t="shared" ref="V10:V40" si="4">VLOOKUP($B10,$R$3:$X$9,5,FALSE)</f>
        <v>0.118055555555556</v>
      </c>
      <c r="W10" s="297">
        <f t="shared" ref="W10:W40" si="5">VLOOKUP($B10,$R$3:$X$9,6,FALSE)</f>
        <v>0.22569444444444445</v>
      </c>
      <c r="X10" s="297">
        <f t="shared" ref="X10:X40" si="6">VLOOKUP($B10,$R$3:$X$9,7,FALSE)</f>
        <v>0.2638888888888889</v>
      </c>
      <c r="Y10" s="297">
        <f t="shared" ref="Y10:Y40" si="7">VLOOKUP($B10,$R$3:$Z$9,8,FALSE)</f>
        <v>0</v>
      </c>
      <c r="Z10" s="472">
        <f t="shared" ref="Z10:Z40" si="8">VLOOKUP($B10,$R$3:$Z$9,9,FALSE)</f>
        <v>60</v>
      </c>
    </row>
    <row r="11" spans="2:29" ht="17.25" customHeight="1">
      <c r="B11" s="29" t="s">
        <v>6</v>
      </c>
      <c r="C11" s="366" t="str">
        <f>[3]Brewhouse!$A134</f>
        <v>CA092</v>
      </c>
      <c r="D11" s="279">
        <f>[3]Brewhouse!$AF134</f>
        <v>52.5</v>
      </c>
      <c r="E11" s="279">
        <f>[3]Brewhouse!$AI134</f>
        <v>51</v>
      </c>
      <c r="F11" s="278">
        <f>[3]Brewhouse!$V134</f>
        <v>60</v>
      </c>
      <c r="G11" s="279">
        <f>[3]Brewhouse!AG134</f>
        <v>11.8</v>
      </c>
      <c r="H11" s="396">
        <v>11.8</v>
      </c>
      <c r="I11" s="368">
        <f>[3]Brewhouse!$AU134</f>
        <v>98.00301242081278</v>
      </c>
      <c r="J11" s="368">
        <f>[3]Brewhouse!$AV134</f>
        <v>99.434118840225878</v>
      </c>
      <c r="K11" s="281">
        <f>[3]Brewhouse!$Q134</f>
        <v>2.3018867924528279</v>
      </c>
      <c r="L11" s="276">
        <f>[3]Brewhouse!$P134</f>
        <v>58</v>
      </c>
      <c r="M11" s="397">
        <f>[3]Brewhouse!$U134-[3]Brewhouse!$T134</f>
        <v>0.13124999999999998</v>
      </c>
      <c r="N11" s="370">
        <f>[3]Brewhouse!$Z134</f>
        <v>0.3027777777777777</v>
      </c>
      <c r="O11" s="420" t="str">
        <f>[3]Brewhouse!$AX134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29" t="s">
        <v>6</v>
      </c>
      <c r="C12" s="366" t="str">
        <f>[3]Brewhouse!$A135</f>
        <v>CA093</v>
      </c>
      <c r="D12" s="279">
        <f>[3]Brewhouse!$AF135</f>
        <v>52.7</v>
      </c>
      <c r="E12" s="279">
        <f>[3]Brewhouse!$AI135</f>
        <v>51.2</v>
      </c>
      <c r="F12" s="278">
        <f>[3]Brewhouse!$V135</f>
        <v>61</v>
      </c>
      <c r="G12" s="279">
        <f>[3]Brewhouse!AG135</f>
        <v>11.8</v>
      </c>
      <c r="H12" s="396">
        <v>11.8</v>
      </c>
      <c r="I12" s="368">
        <f>[3]Brewhouse!$AU135</f>
        <v>98.750429944987545</v>
      </c>
      <c r="J12" s="368">
        <f>[3]Brewhouse!$AV135</f>
        <v>100.19210633719513</v>
      </c>
      <c r="K12" s="281">
        <f>[3]Brewhouse!$Q135</f>
        <v>1.9245283018867849</v>
      </c>
      <c r="L12" s="276">
        <f>[3]Brewhouse!$P135</f>
        <v>59</v>
      </c>
      <c r="M12" s="397">
        <f>[3]Brewhouse!$U135-[3]Brewhouse!$T135</f>
        <v>0.12638888888888888</v>
      </c>
      <c r="N12" s="370">
        <f>[3]Brewhouse!$Z135</f>
        <v>0.28263888888888888</v>
      </c>
      <c r="O12" s="420" t="str">
        <f>[3]Brewhouse!$AX135</f>
        <v>K. Benjamin</v>
      </c>
      <c r="P12" s="418"/>
      <c r="R12" s="277" t="str">
        <f t="shared" ref="R12:R22" si="9">B12</f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29" t="s">
        <v>6</v>
      </c>
      <c r="C13" s="366" t="str">
        <f>[3]Brewhouse!$A136</f>
        <v>CA094</v>
      </c>
      <c r="D13" s="279">
        <f>[3]Brewhouse!$AF136</f>
        <v>53.7</v>
      </c>
      <c r="E13" s="279">
        <f>[3]Brewhouse!$AI136</f>
        <v>52</v>
      </c>
      <c r="F13" s="278">
        <f>[3]Brewhouse!$V136</f>
        <v>71</v>
      </c>
      <c r="G13" s="279">
        <f>[3]Brewhouse!AG136</f>
        <v>11.9</v>
      </c>
      <c r="H13" s="396">
        <v>11.9</v>
      </c>
      <c r="I13" s="368">
        <f>[3]Brewhouse!$AU136</f>
        <v>100.69196814542862</v>
      </c>
      <c r="J13" s="368">
        <f>[3]Brewhouse!$AV136</f>
        <v>102.16245697799123</v>
      </c>
      <c r="K13" s="281">
        <f>[3]Brewhouse!$Q136</f>
        <v>3.7735849056596264E-2</v>
      </c>
      <c r="L13" s="276">
        <f>[3]Brewhouse!$P136</f>
        <v>45</v>
      </c>
      <c r="M13" s="397">
        <f>[3]Brewhouse!$U136-[3]Brewhouse!$T136</f>
        <v>0.12777777777777777</v>
      </c>
      <c r="N13" s="370">
        <f>[3]Brewhouse!$Z136</f>
        <v>0.28888888888888892</v>
      </c>
      <c r="O13" s="420" t="str">
        <f>[3]Brewhouse!$AX136</f>
        <v>K. Benjamin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29" t="s">
        <v>6</v>
      </c>
      <c r="C14" s="366" t="str">
        <f>[3]Brewhouse!$A137</f>
        <v>CA095</v>
      </c>
      <c r="D14" s="279">
        <f>[3]Brewhouse!$AF137</f>
        <v>52.9</v>
      </c>
      <c r="E14" s="279">
        <f>[3]Brewhouse!$AI137</f>
        <v>50.6</v>
      </c>
      <c r="F14" s="278">
        <f>[3]Brewhouse!$V137</f>
        <v>61</v>
      </c>
      <c r="G14" s="279">
        <f>[3]Brewhouse!AG137</f>
        <v>11.8</v>
      </c>
      <c r="H14" s="396">
        <v>11.8</v>
      </c>
      <c r="I14" s="368">
        <f>[3]Brewhouse!$AU137</f>
        <v>96.996599085521808</v>
      </c>
      <c r="J14" s="368">
        <f>[3]Brewhouse!$AV137</f>
        <v>98.413233270979717</v>
      </c>
      <c r="K14" s="281">
        <f>[3]Brewhouse!$Q137</f>
        <v>3.4274952919020718</v>
      </c>
      <c r="L14" s="276">
        <f>[3]Brewhouse!$P137</f>
        <v>60</v>
      </c>
      <c r="M14" s="397">
        <f>[3]Brewhouse!$U137-[3]Brewhouse!$T137</f>
        <v>0.12291666666666667</v>
      </c>
      <c r="N14" s="370">
        <f>[3]Brewhouse!$Z137</f>
        <v>0.28888888888888886</v>
      </c>
      <c r="O14" s="420" t="str">
        <f>[3]Brewhouse!$AX137</f>
        <v>R. Regis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29" t="s">
        <v>6</v>
      </c>
      <c r="C15" s="366" t="str">
        <f>[3]Brewhouse!$A138</f>
        <v>CA096</v>
      </c>
      <c r="D15" s="279">
        <f>[3]Brewhouse!$AF138</f>
        <v>52.8</v>
      </c>
      <c r="E15" s="279">
        <f>[3]Brewhouse!$AI138</f>
        <v>50.8</v>
      </c>
      <c r="F15" s="278">
        <f>[3]Brewhouse!$V138</f>
        <v>61</v>
      </c>
      <c r="G15" s="279">
        <f>[3]Brewhouse!AG138</f>
        <v>11.8</v>
      </c>
      <c r="H15" s="396">
        <v>11.7</v>
      </c>
      <c r="I15" s="368">
        <f>[3]Brewhouse!$AU138</f>
        <v>97.499189767162704</v>
      </c>
      <c r="J15" s="368">
        <f>[3]Brewhouse!$AV138</f>
        <v>98.923051792875043</v>
      </c>
      <c r="K15" s="281">
        <f>[3]Brewhouse!$Q138</f>
        <v>3.6158192090395511</v>
      </c>
      <c r="L15" s="276">
        <f>[3]Brewhouse!$P138</f>
        <v>60</v>
      </c>
      <c r="M15" s="397">
        <f>[3]Brewhouse!$U138-[3]Brewhouse!$T138</f>
        <v>0.11597222222222225</v>
      </c>
      <c r="N15" s="370">
        <f>[3]Brewhouse!$Z138</f>
        <v>0.26180555555555562</v>
      </c>
      <c r="O15" s="420" t="str">
        <f>[3]Brewhouse!$AX138</f>
        <v>R. Regis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29" t="s">
        <v>6</v>
      </c>
      <c r="C16" s="366" t="str">
        <f>[3]Brewhouse!$A139</f>
        <v>CA097</v>
      </c>
      <c r="D16" s="279">
        <f>[3]Brewhouse!$AF139</f>
        <v>52.1</v>
      </c>
      <c r="E16" s="279">
        <f>[3]Brewhouse!$AI139</f>
        <v>50.2</v>
      </c>
      <c r="F16" s="278">
        <f>[3]Brewhouse!$V139</f>
        <v>58</v>
      </c>
      <c r="G16" s="279">
        <f>[3]Brewhouse!AG139</f>
        <v>12</v>
      </c>
      <c r="H16" s="396">
        <v>12</v>
      </c>
      <c r="I16" s="368">
        <f>[3]Brewhouse!$AU139</f>
        <v>98.065329347096849</v>
      </c>
      <c r="J16" s="368">
        <f>[3]Brewhouse!$AV139</f>
        <v>99.497459181506343</v>
      </c>
      <c r="K16" s="281">
        <f>[3]Brewhouse!$Q139</f>
        <v>3.2391713747645925</v>
      </c>
      <c r="L16" s="276">
        <f>[3]Brewhouse!$P139</f>
        <v>97</v>
      </c>
      <c r="M16" s="397">
        <f>[3]Brewhouse!$U139-[3]Brewhouse!$T139</f>
        <v>0.12430555555555567</v>
      </c>
      <c r="N16" s="370">
        <f>[3]Brewhouse!$Z139</f>
        <v>0.28194444444444455</v>
      </c>
      <c r="O16" s="420" t="str">
        <f>[3]Brewhouse!$AX139</f>
        <v>R.Sookram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7.25" customHeight="1">
      <c r="B17" s="29" t="s">
        <v>6</v>
      </c>
      <c r="C17" s="366" t="str">
        <f>[3]Brewhouse!$A140</f>
        <v>CA098</v>
      </c>
      <c r="D17" s="279">
        <f>[3]Brewhouse!$AF140</f>
        <v>53.7</v>
      </c>
      <c r="E17" s="279">
        <f>[3]Brewhouse!$AI140</f>
        <v>52</v>
      </c>
      <c r="F17" s="278">
        <f>[3]Brewhouse!$V140</f>
        <v>63</v>
      </c>
      <c r="G17" s="279">
        <f>[3]Brewhouse!AG140</f>
        <v>11.9</v>
      </c>
      <c r="H17" s="396">
        <v>11.8</v>
      </c>
      <c r="I17" s="368">
        <f>[3]Brewhouse!$AU140</f>
        <v>100.56885966131995</v>
      </c>
      <c r="J17" s="368">
        <f>[3]Brewhouse!$AV140</f>
        <v>102.03766667034846</v>
      </c>
      <c r="K17" s="281">
        <f>[3]Brewhouse!$Q140</f>
        <v>1.7325800376647864</v>
      </c>
      <c r="L17" s="276">
        <f>[3]Brewhouse!$P140</f>
        <v>54</v>
      </c>
      <c r="M17" s="397">
        <f>[3]Brewhouse!$U140-[3]Brewhouse!$T140</f>
        <v>0.15347222222222223</v>
      </c>
      <c r="N17" s="370">
        <f>[3]Brewhouse!$Z140</f>
        <v>0.32291666666666663</v>
      </c>
      <c r="O17" s="420" t="str">
        <f>[3]Brewhouse!$AX140</f>
        <v>R.Sookram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7.2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6.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6.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6.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6.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6.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6.5" hidden="1" customHeight="1">
      <c r="B24" s="33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8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0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6.5" hidden="1" customHeight="1">
      <c r="B26" s="22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11"/>
      <c r="J27" s="511"/>
      <c r="K27" s="511"/>
      <c r="L27" s="511"/>
      <c r="M27" s="511"/>
      <c r="N27" s="511"/>
      <c r="O27" s="1"/>
      <c r="P27" s="12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.75" customHeight="1" thickBot="1">
      <c r="B28" s="388" t="s">
        <v>162</v>
      </c>
      <c r="C28" s="388"/>
      <c r="D28" s="512" t="s">
        <v>35</v>
      </c>
      <c r="E28" s="513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0"/>
        <v xml:space="preserve">BRAND 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" customHeight="1">
      <c r="A29" s="28"/>
      <c r="B29" s="580"/>
      <c r="C29" s="362"/>
      <c r="D29" s="517"/>
      <c r="E29" s="518"/>
      <c r="F29" s="294"/>
      <c r="G29" s="294"/>
      <c r="H29" s="348"/>
      <c r="I29" s="29" t="s">
        <v>6</v>
      </c>
      <c r="J29" s="280">
        <f>AVERAGE(I10:I17)</f>
        <v>97.952832111393832</v>
      </c>
      <c r="K29" s="284">
        <f>COUNTA([3]Brewhouse!$A$125:$A$140)</f>
        <v>16</v>
      </c>
      <c r="L29" s="305">
        <f>AVERAGE([3]Brewhouse!$AU$125:$AU$140)</f>
        <v>97.677289058475239</v>
      </c>
      <c r="M29" s="305">
        <f>AVERAGE([3]Brewhouse!$AU$42:$AU$123,[3]Brewhouse!$AU$125:$AU$140)</f>
        <v>97.902963252277985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5" customHeight="1">
      <c r="A30" s="28"/>
      <c r="B30" s="581"/>
      <c r="C30" s="362"/>
      <c r="D30" s="519"/>
      <c r="E30" s="520"/>
      <c r="F30" s="294"/>
      <c r="G30" s="294"/>
      <c r="H30" s="348"/>
      <c r="I30" s="33" t="s">
        <v>9</v>
      </c>
      <c r="J30" s="280"/>
      <c r="K30" s="284">
        <f>COUNTA([4]Brewhouse!$A$83:$A$90)</f>
        <v>8</v>
      </c>
      <c r="L30" s="302">
        <f>AVERAGE([4]Brewhouse!$AS$83:$AS$90)</f>
        <v>97.846634721269027</v>
      </c>
      <c r="M30" s="302">
        <f>AVERAGE([4]Brewhouse!$AS$52:$AS$81,[4]Brewhouse!$AS$83:$AS$90)</f>
        <v>98.777088426856892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81"/>
      <c r="C31" s="362"/>
      <c r="D31" s="521"/>
      <c r="E31" s="522"/>
      <c r="F31" s="294"/>
      <c r="G31" s="294"/>
      <c r="H31" s="348"/>
      <c r="I31" s="34" t="s">
        <v>12</v>
      </c>
      <c r="J31" s="280"/>
      <c r="K31" s="284"/>
      <c r="L31" s="302"/>
      <c r="M31" s="302">
        <f>AVERAGE([6]Brewhouse!$AU$16:$AU$23)</f>
        <v>97.765204759801577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81"/>
      <c r="C32" s="362"/>
      <c r="D32" s="523"/>
      <c r="E32" s="520"/>
      <c r="F32" s="294"/>
      <c r="G32" s="294"/>
      <c r="H32" s="348"/>
      <c r="I32" s="22" t="s">
        <v>33</v>
      </c>
      <c r="J32" s="280"/>
      <c r="K32" s="284"/>
      <c r="L32" s="302"/>
      <c r="M32" s="302">
        <f>AVERAGE([5]Brewhouse!$AV$23:$AV$34)</f>
        <v>98.31387229810305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81"/>
      <c r="C33" s="362"/>
      <c r="D33" s="521"/>
      <c r="E33" s="522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81"/>
      <c r="C34" s="362"/>
      <c r="D34" s="523"/>
      <c r="E34" s="520"/>
      <c r="F34" s="417"/>
      <c r="G34" s="294"/>
      <c r="H34" s="348"/>
      <c r="I34" s="36" t="s">
        <v>15</v>
      </c>
      <c r="J34" s="323"/>
      <c r="K34" s="284"/>
      <c r="L34" s="302"/>
      <c r="M34" s="302">
        <f>AVERAGE([7]Brewhouse!$AT$4:$AT$11)</f>
        <v>92.826224508052405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4.65" customHeight="1">
      <c r="A35" s="28"/>
      <c r="B35" s="581"/>
      <c r="C35" s="362"/>
      <c r="D35" s="521"/>
      <c r="E35" s="522"/>
      <c r="F35" s="417"/>
      <c r="G35" s="294"/>
      <c r="H35" s="348"/>
      <c r="I35" s="37" t="s">
        <v>16</v>
      </c>
      <c r="J35" s="323"/>
      <c r="K35" s="284"/>
      <c r="L35" s="302"/>
      <c r="M35" s="302">
        <f>AVERAGE([8]Brewhouse!$AY$5:$AY$7)</f>
        <v>98.128633252159673</v>
      </c>
      <c r="N35" s="30">
        <v>98</v>
      </c>
      <c r="O35" s="11"/>
      <c r="P35" s="31" t="s">
        <v>41</v>
      </c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4.65" customHeight="1">
      <c r="A36" s="28"/>
      <c r="B36" s="581"/>
      <c r="C36" s="362"/>
      <c r="D36" s="523"/>
      <c r="E36" s="520"/>
      <c r="F36" s="294"/>
      <c r="G36" s="294"/>
      <c r="H36" s="348"/>
      <c r="I36" s="411" t="s">
        <v>158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4.65" customHeight="1">
      <c r="A37" s="28"/>
      <c r="B37" s="581"/>
      <c r="C37" s="349"/>
      <c r="D37" s="521"/>
      <c r="E37" s="522"/>
      <c r="F37" s="294"/>
      <c r="G37" s="294"/>
      <c r="H37" s="348"/>
      <c r="I37" s="410" t="s">
        <v>157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" customHeight="1" thickBot="1">
      <c r="A38" s="28"/>
      <c r="B38" s="581"/>
      <c r="C38" s="349"/>
      <c r="D38" s="523"/>
      <c r="E38" s="520"/>
      <c r="F38" s="294"/>
      <c r="G38" s="294"/>
      <c r="H38" s="348"/>
      <c r="I38" s="406" t="s">
        <v>156</v>
      </c>
      <c r="J38" s="327"/>
      <c r="K38" s="407"/>
      <c r="L38" s="408"/>
      <c r="M38" s="408"/>
      <c r="N38" s="409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" customHeight="1" thickBot="1">
      <c r="A39" s="28"/>
      <c r="B39" s="581"/>
      <c r="C39" s="349"/>
      <c r="D39" s="517"/>
      <c r="E39" s="518"/>
      <c r="F39" s="294"/>
      <c r="G39" s="294"/>
      <c r="H39" s="348"/>
      <c r="I39" s="1"/>
      <c r="J39" s="39"/>
      <c r="K39" s="404">
        <f>SUM(K29:K38)</f>
        <v>24</v>
      </c>
      <c r="L39" s="405">
        <f>((L29*K29)+(L30*K30)+(L31*K31)+(L32*K32)+(L33*K33)+(K36*L36)+(L34*K34)+(L35*K35)+(L38*K38))/(K39)</f>
        <v>97.73373761273983</v>
      </c>
      <c r="M39" s="405">
        <f>L39</f>
        <v>97.73373761273983</v>
      </c>
      <c r="N39" s="4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.75" thickBot="1">
      <c r="B40" s="582"/>
      <c r="C40" s="350"/>
      <c r="D40" s="519"/>
      <c r="E40" s="520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56" ht="15.75" thickBot="1">
      <c r="B41" s="583"/>
      <c r="C41" s="362"/>
      <c r="D41" s="525"/>
      <c r="E41" s="526"/>
      <c r="F41" s="294"/>
      <c r="G41" s="42"/>
      <c r="H41" s="41"/>
      <c r="I41" s="42"/>
      <c r="J41" s="527" t="s">
        <v>129</v>
      </c>
      <c r="K41" s="527"/>
      <c r="L41" s="294"/>
      <c r="M41" s="294"/>
      <c r="N41" s="294"/>
      <c r="O41" s="294"/>
      <c r="P41" s="12"/>
    </row>
    <row r="42" spans="1:56" ht="15.75" thickBot="1">
      <c r="B42" s="584"/>
      <c r="C42" s="362"/>
      <c r="D42" s="523"/>
      <c r="E42" s="520"/>
      <c r="F42" s="294"/>
      <c r="G42" s="42"/>
      <c r="H42" s="41"/>
      <c r="I42" s="42"/>
      <c r="J42" s="292" t="s">
        <v>17</v>
      </c>
      <c r="K42" s="293" t="s">
        <v>147</v>
      </c>
      <c r="L42" s="528" t="s">
        <v>136</v>
      </c>
      <c r="M42" s="528"/>
      <c r="N42" s="529"/>
      <c r="O42" s="294"/>
      <c r="P42" s="12"/>
    </row>
    <row r="43" spans="1:56" ht="15" customHeight="1" thickBot="1">
      <c r="B43" s="584"/>
      <c r="C43" s="349"/>
      <c r="D43" s="521"/>
      <c r="E43" s="522"/>
      <c r="F43" s="294"/>
      <c r="G43" s="42"/>
      <c r="H43" s="41"/>
      <c r="I43" s="42"/>
      <c r="J43" s="287" t="s">
        <v>6</v>
      </c>
      <c r="K43" s="324">
        <v>8</v>
      </c>
      <c r="L43" s="473" t="s">
        <v>37</v>
      </c>
      <c r="M43" s="474" t="s">
        <v>38</v>
      </c>
      <c r="N43" s="474" t="s">
        <v>84</v>
      </c>
      <c r="O43" s="294"/>
      <c r="P43" s="12"/>
    </row>
    <row r="44" spans="1:56" ht="15.75" customHeight="1" thickBot="1">
      <c r="B44" s="584"/>
      <c r="C44" s="349"/>
      <c r="D44" s="523"/>
      <c r="E44" s="520"/>
      <c r="F44" s="294"/>
      <c r="G44" s="42"/>
      <c r="H44" s="41"/>
      <c r="I44" s="42"/>
      <c r="J44" s="345" t="s">
        <v>9</v>
      </c>
      <c r="K44" s="324"/>
      <c r="L44" s="344">
        <f>AVERAGE(K53,'Feb 2nd'!K49,'Feb 3rd'!K54)</f>
        <v>8</v>
      </c>
      <c r="M44" s="325">
        <f>AVERAGE('[9]Jan30th-31st'!$L$47,L44)</f>
        <v>7.0434782608695654</v>
      </c>
      <c r="N44" s="416">
        <v>9.1999999999999993</v>
      </c>
      <c r="O44" s="294"/>
      <c r="P44" s="12"/>
    </row>
    <row r="45" spans="1:56" ht="15" customHeight="1">
      <c r="B45" s="584"/>
      <c r="C45" s="349"/>
      <c r="D45" s="521"/>
      <c r="E45" s="522"/>
      <c r="F45" s="294"/>
      <c r="G45" s="42"/>
      <c r="H45" s="41"/>
      <c r="I45" s="42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84"/>
      <c r="C46" s="349"/>
      <c r="D46" s="523"/>
      <c r="E46" s="520"/>
      <c r="F46" s="294"/>
      <c r="G46" s="42"/>
      <c r="H46" s="41"/>
      <c r="I46" s="42"/>
      <c r="J46" s="289" t="s">
        <v>33</v>
      </c>
      <c r="K46" s="324"/>
      <c r="L46" s="294"/>
      <c r="M46" s="294"/>
      <c r="N46" s="294"/>
      <c r="O46" s="294"/>
      <c r="P46" s="12"/>
    </row>
    <row r="47" spans="1:56" ht="15">
      <c r="B47" s="584"/>
      <c r="C47" s="349"/>
      <c r="D47" s="521"/>
      <c r="E47" s="522"/>
      <c r="F47" s="294"/>
      <c r="G47" s="42"/>
      <c r="H47" s="41"/>
      <c r="I47" s="42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84"/>
      <c r="C48" s="349"/>
      <c r="D48" s="523"/>
      <c r="E48" s="520"/>
      <c r="F48" s="294"/>
      <c r="G48" s="42"/>
      <c r="H48" s="41"/>
      <c r="I48" s="42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1:57" ht="15">
      <c r="B49" s="584"/>
      <c r="C49" s="349"/>
      <c r="D49" s="521"/>
      <c r="E49" s="522"/>
      <c r="F49" s="294"/>
      <c r="G49" s="42"/>
      <c r="H49" s="41"/>
      <c r="I49" s="42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1:57" ht="15.75" thickBot="1">
      <c r="B50" s="585"/>
      <c r="C50" s="350"/>
      <c r="D50" s="530"/>
      <c r="E50" s="531"/>
      <c r="F50" s="294" t="s">
        <v>166</v>
      </c>
      <c r="G50" s="42"/>
      <c r="H50" s="41"/>
      <c r="I50" s="42"/>
      <c r="J50" s="291" t="s">
        <v>148</v>
      </c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1:57" ht="17.649999999999999" customHeight="1" thickBot="1">
      <c r="B51" s="312" t="s">
        <v>139</v>
      </c>
      <c r="C51" s="313"/>
      <c r="D51" s="532"/>
      <c r="E51" s="533"/>
      <c r="F51" s="294"/>
      <c r="H51" s="41"/>
      <c r="I51" s="42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1:57" ht="17.649999999999999" customHeight="1">
      <c r="B52" s="363"/>
      <c r="C52" s="364"/>
      <c r="D52" s="365"/>
      <c r="E52" s="365"/>
      <c r="F52" s="294"/>
      <c r="G52" s="42"/>
      <c r="H52" s="41"/>
      <c r="I52" s="42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1:57" ht="15.6" customHeight="1">
      <c r="B53" s="45"/>
      <c r="C53" s="11"/>
      <c r="D53" s="11"/>
      <c r="E53" s="46"/>
      <c r="F53" s="294"/>
      <c r="G53" s="42"/>
      <c r="H53" s="41"/>
      <c r="I53" s="42"/>
      <c r="J53" s="346" t="s">
        <v>130</v>
      </c>
      <c r="K53" s="324">
        <f>SUM(K43:K52)</f>
        <v>8</v>
      </c>
      <c r="L53" s="294"/>
      <c r="M53" s="294"/>
      <c r="N53" s="294"/>
      <c r="O53" s="294"/>
      <c r="P53" s="12"/>
    </row>
    <row r="54" spans="1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N54" s="315"/>
      <c r="P54" s="334"/>
    </row>
    <row r="55" spans="1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1:57" ht="15" customHeight="1" thickBot="1">
      <c r="B56" s="534" t="s">
        <v>17</v>
      </c>
      <c r="C56" s="534" t="s">
        <v>44</v>
      </c>
      <c r="D56" s="537" t="s">
        <v>45</v>
      </c>
      <c r="E56" s="500" t="s">
        <v>46</v>
      </c>
      <c r="F56" s="509" t="s">
        <v>47</v>
      </c>
      <c r="G56" s="546" t="s">
        <v>48</v>
      </c>
      <c r="H56" s="534" t="s">
        <v>49</v>
      </c>
      <c r="I56" s="534" t="s">
        <v>50</v>
      </c>
      <c r="J56" s="540" t="s">
        <v>28</v>
      </c>
      <c r="K56" s="498" t="s">
        <v>51</v>
      </c>
      <c r="L56" s="549" t="s">
        <v>52</v>
      </c>
      <c r="M56" s="540" t="s">
        <v>53</v>
      </c>
      <c r="N56" s="13"/>
      <c r="O56" s="13"/>
      <c r="P56" s="50"/>
    </row>
    <row r="57" spans="1:57" ht="28.5" customHeight="1" thickTop="1" thickBot="1">
      <c r="B57" s="535"/>
      <c r="C57" s="536"/>
      <c r="D57" s="538"/>
      <c r="E57" s="539"/>
      <c r="F57" s="551"/>
      <c r="G57" s="547"/>
      <c r="H57" s="535"/>
      <c r="I57" s="535"/>
      <c r="J57" s="541"/>
      <c r="K57" s="548"/>
      <c r="L57" s="550"/>
      <c r="M57" s="541"/>
      <c r="N57" s="13"/>
      <c r="O57" s="13"/>
      <c r="P57" s="50"/>
      <c r="Q57" s="355"/>
      <c r="AB57" s="475">
        <v>43474</v>
      </c>
      <c r="AC57" s="475">
        <v>43475</v>
      </c>
      <c r="AD57" s="475">
        <v>43476</v>
      </c>
      <c r="AE57" s="475">
        <v>43477</v>
      </c>
      <c r="AF57" s="475">
        <v>43478</v>
      </c>
      <c r="AG57" s="475">
        <v>43479</v>
      </c>
      <c r="AH57" s="475">
        <v>43480</v>
      </c>
      <c r="AI57" s="475">
        <v>43481</v>
      </c>
      <c r="AJ57" s="475">
        <v>43482</v>
      </c>
      <c r="AK57" s="475">
        <v>43483</v>
      </c>
      <c r="AL57" s="475">
        <v>43484</v>
      </c>
      <c r="AM57" s="475">
        <v>43485</v>
      </c>
      <c r="AN57" s="475">
        <v>43486</v>
      </c>
      <c r="AO57" s="475">
        <v>43487</v>
      </c>
      <c r="AP57" s="475">
        <v>43488</v>
      </c>
      <c r="AQ57" s="475">
        <v>43489</v>
      </c>
      <c r="AR57" s="475">
        <v>43490</v>
      </c>
      <c r="AS57" s="475">
        <v>43491</v>
      </c>
      <c r="AT57" s="475">
        <v>43492</v>
      </c>
      <c r="AU57" s="475">
        <v>43493</v>
      </c>
      <c r="AV57" s="475">
        <v>43494</v>
      </c>
      <c r="AW57" s="475">
        <v>43495</v>
      </c>
      <c r="AX57" s="475">
        <v>43496</v>
      </c>
    </row>
    <row r="58" spans="1:57" s="54" customFormat="1" ht="37.15" customHeight="1" thickBot="1">
      <c r="B58" s="483" t="str">
        <f>I31</f>
        <v>GUINNESS</v>
      </c>
      <c r="C58" s="479">
        <v>46057</v>
      </c>
      <c r="D58" s="442">
        <f>[29]February_2026!$G$23</f>
        <v>206.3</v>
      </c>
      <c r="E58" s="443">
        <f>[31]GUINNESS!$S$6</f>
        <v>4.4000000000000004</v>
      </c>
      <c r="F58" s="444"/>
      <c r="G58" s="445">
        <f>[29]February_2026!$G$28</f>
        <v>186</v>
      </c>
      <c r="H58" s="446"/>
      <c r="I58" s="447"/>
      <c r="J58" s="448" t="s">
        <v>176</v>
      </c>
      <c r="K58" s="449">
        <f>[30]February_2026!$G$32</f>
        <v>0.16315789473684211</v>
      </c>
      <c r="L58" s="457">
        <f>(((D58+E58)-G58)/(D58+E58))*100</f>
        <v>11.722828666350269</v>
      </c>
      <c r="M58" s="455" t="s">
        <v>174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14.25" customHeight="1" thickBot="1">
      <c r="B59" s="480"/>
      <c r="C59" s="479"/>
      <c r="D59" s="442"/>
      <c r="E59" s="443"/>
      <c r="F59" s="444"/>
      <c r="G59" s="445"/>
      <c r="H59" s="446"/>
      <c r="I59" s="447"/>
      <c r="J59" s="476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7.15" hidden="1" customHeight="1" thickBot="1">
      <c r="A60" s="54" t="s">
        <v>170</v>
      </c>
      <c r="B60" s="480"/>
      <c r="C60" s="479"/>
      <c r="D60" s="442"/>
      <c r="E60" s="443"/>
      <c r="F60" s="444"/>
      <c r="G60" s="445"/>
      <c r="H60" s="446"/>
      <c r="I60" s="447"/>
      <c r="J60" s="448" t="s">
        <v>169</v>
      </c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[10]January_2019!L7</f>
        <v>285.8</v>
      </c>
      <c r="AC60" s="57">
        <f>[10]January_2019!M7</f>
        <v>508.1</v>
      </c>
      <c r="AD60" s="57">
        <f>[10]January_2019!N7</f>
        <v>0</v>
      </c>
      <c r="AE60" s="57">
        <f>[10]January_2019!O7</f>
        <v>0</v>
      </c>
      <c r="AF60" s="57">
        <f>[10]January_2019!P7</f>
        <v>109.56666666666666</v>
      </c>
      <c r="AG60" s="57">
        <f>[10]January_2019!Q7</f>
        <v>297.64999999999998</v>
      </c>
      <c r="AH60" s="57">
        <f>[10]January_2019!R7</f>
        <v>122.3</v>
      </c>
      <c r="AI60" s="57">
        <f>[10]January_2019!S7</f>
        <v>0</v>
      </c>
      <c r="AJ60" s="57">
        <f>[10]January_2019!T7</f>
        <v>294.7</v>
      </c>
      <c r="AK60" s="57">
        <f>[10]January_2019!U7</f>
        <v>280.5</v>
      </c>
      <c r="AL60" s="57">
        <f>[10]January_2019!V7</f>
        <v>0</v>
      </c>
      <c r="AM60" s="57">
        <f>[10]January_2019!W7</f>
        <v>0</v>
      </c>
      <c r="AN60" s="57">
        <f>[10]January_2019!X7</f>
        <v>188.25</v>
      </c>
      <c r="AO60" s="57">
        <f>[10]January_2019!Y7</f>
        <v>295.7</v>
      </c>
      <c r="AP60" s="57">
        <f>[10]January_2019!Z7</f>
        <v>257.8</v>
      </c>
      <c r="AQ60" s="57">
        <f>[10]January_2019!AA7</f>
        <v>291.2</v>
      </c>
      <c r="AR60" s="57">
        <f>[10]January_2019!AB7</f>
        <v>187</v>
      </c>
      <c r="AS60" s="57">
        <f>[10]January_2019!AC7</f>
        <v>0</v>
      </c>
      <c r="AT60" s="57">
        <f>[10]January_2019!AD7</f>
        <v>0</v>
      </c>
      <c r="AU60" s="57">
        <f>[10]January_2019!AE7</f>
        <v>485.1</v>
      </c>
      <c r="AV60" s="57">
        <f>[10]January_2019!AF7</f>
        <v>171.55</v>
      </c>
      <c r="AW60" s="57">
        <f>[10]January_2019!AG7</f>
        <v>423.8</v>
      </c>
      <c r="AX60" s="277">
        <f>[10]January_2019!AH7</f>
        <v>0</v>
      </c>
      <c r="AY60" s="277"/>
      <c r="AZ60" s="277"/>
      <c r="BA60" s="277"/>
      <c r="BB60" s="277"/>
      <c r="BC60" s="277"/>
      <c r="BD60" s="277"/>
      <c r="BE60" s="277"/>
    </row>
    <row r="61" spans="1:57" s="54" customFormat="1" ht="19.5" hidden="1" customHeight="1" thickBot="1">
      <c r="B61" s="478"/>
      <c r="C61" s="430"/>
      <c r="D61" s="431"/>
      <c r="E61" s="432"/>
      <c r="F61" s="433"/>
      <c r="G61" s="434"/>
      <c r="H61" s="428"/>
      <c r="I61" s="428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8.450000000000003" hidden="1" customHeight="1" thickBot="1">
      <c r="B62" s="481"/>
      <c r="C62" s="479"/>
      <c r="D62" s="442"/>
      <c r="E62" s="443"/>
      <c r="F62" s="444"/>
      <c r="G62" s="445"/>
      <c r="H62" s="458"/>
      <c r="I62" s="458"/>
      <c r="J62" s="448"/>
      <c r="K62" s="45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15" hidden="1">
      <c r="B63" s="453"/>
      <c r="C63" s="430"/>
      <c r="D63" s="431"/>
      <c r="E63" s="432"/>
      <c r="F63" s="433"/>
      <c r="G63" s="434"/>
      <c r="H63" s="435"/>
      <c r="I63" s="450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7.15" hidden="1" customHeight="1" thickBot="1">
      <c r="B64" s="480"/>
      <c r="C64" s="479"/>
      <c r="D64" s="442"/>
      <c r="E64" s="443"/>
      <c r="F64" s="444"/>
      <c r="G64" s="445"/>
      <c r="H64" s="446"/>
      <c r="I64" s="447"/>
      <c r="J64" s="448"/>
      <c r="K64" s="44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6.5" hidden="1" customHeight="1" thickBot="1">
      <c r="B65" s="437"/>
      <c r="C65" s="423"/>
      <c r="D65" s="424"/>
      <c r="E65" s="425"/>
      <c r="F65" s="426"/>
      <c r="G65" s="427"/>
      <c r="H65" s="428"/>
      <c r="I65" s="438"/>
      <c r="J65" s="439"/>
      <c r="K65" s="429"/>
      <c r="L65" s="440"/>
      <c r="M65" s="422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15"/>
      <c r="AC65" s="415"/>
      <c r="AD65" s="415"/>
      <c r="AE65" s="415"/>
      <c r="AF65" s="415"/>
      <c r="AG65" s="415"/>
      <c r="AH65" s="415"/>
      <c r="AI65" s="415"/>
      <c r="AJ65" s="415"/>
      <c r="AK65" s="415"/>
      <c r="AL65" s="415"/>
      <c r="AM65" s="415"/>
      <c r="AN65" s="415"/>
      <c r="AO65" s="415"/>
      <c r="AP65" s="415"/>
      <c r="AQ65" s="415"/>
      <c r="AR65" s="415"/>
      <c r="AS65" s="415"/>
      <c r="AT65" s="415"/>
      <c r="AU65" s="415"/>
      <c r="AV65" s="415"/>
      <c r="AW65" s="415"/>
    </row>
    <row r="66" spans="2:57" s="54" customFormat="1" ht="37.15" hidden="1" customHeight="1" thickBot="1">
      <c r="B66" s="456"/>
      <c r="C66" s="441"/>
      <c r="D66" s="442"/>
      <c r="E66" s="443"/>
      <c r="F66" s="444"/>
      <c r="G66" s="445"/>
      <c r="H66" s="446"/>
      <c r="I66" s="447"/>
      <c r="J66" s="448"/>
      <c r="K66" s="449"/>
      <c r="L66" s="457"/>
      <c r="M66" s="454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7.15" customHeight="1">
      <c r="B67" s="466"/>
      <c r="C67" s="430"/>
      <c r="D67" s="460"/>
      <c r="E67" s="461"/>
      <c r="F67" s="462"/>
      <c r="G67" s="460"/>
      <c r="H67" s="463"/>
      <c r="I67" s="463"/>
      <c r="J67" s="463"/>
      <c r="K67" s="464"/>
      <c r="L67" s="465"/>
      <c r="M67" s="50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ht="18" customHeight="1" thickBot="1">
      <c r="B68" s="59"/>
      <c r="C68" s="30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 t="s">
        <v>41</v>
      </c>
      <c r="O68" s="56"/>
      <c r="P68" s="60"/>
    </row>
    <row r="69" spans="2:57" ht="15.75" thickBot="1">
      <c r="B69" s="542" t="s">
        <v>55</v>
      </c>
      <c r="C69" s="543"/>
      <c r="D69" s="543"/>
      <c r="E69" s="543"/>
      <c r="F69" s="544"/>
      <c r="G69" s="542" t="s">
        <v>56</v>
      </c>
      <c r="H69" s="543"/>
      <c r="I69" s="543"/>
      <c r="J69" s="544"/>
      <c r="K69" s="542" t="s">
        <v>51</v>
      </c>
      <c r="L69" s="543"/>
      <c r="M69" s="543"/>
      <c r="N69" s="545"/>
      <c r="O69" s="56"/>
      <c r="P69" s="50"/>
    </row>
    <row r="70" spans="2:57" ht="15">
      <c r="B70" s="61" t="s">
        <v>17</v>
      </c>
      <c r="C70" s="62" t="s">
        <v>36</v>
      </c>
      <c r="D70" s="62" t="s">
        <v>37</v>
      </c>
      <c r="E70" s="62" t="s">
        <v>38</v>
      </c>
      <c r="F70" s="63" t="s">
        <v>39</v>
      </c>
      <c r="G70" s="62" t="s">
        <v>36</v>
      </c>
      <c r="H70" s="62" t="s">
        <v>37</v>
      </c>
      <c r="I70" s="62" t="s">
        <v>38</v>
      </c>
      <c r="J70" s="63" t="s">
        <v>39</v>
      </c>
      <c r="K70" s="62" t="s">
        <v>36</v>
      </c>
      <c r="L70" s="62" t="s">
        <v>37</v>
      </c>
      <c r="M70" s="62" t="s">
        <v>38</v>
      </c>
      <c r="N70" s="63" t="s">
        <v>39</v>
      </c>
      <c r="O70" s="56"/>
      <c r="P70" s="64"/>
    </row>
    <row r="71" spans="2:57" ht="15">
      <c r="B71" s="29" t="s">
        <v>6</v>
      </c>
      <c r="C71" s="282"/>
      <c r="D71" s="76">
        <v>6.8685197717455804</v>
      </c>
      <c r="E71" s="76">
        <v>8.3417227933357125</v>
      </c>
      <c r="F71" s="66">
        <v>4.8</v>
      </c>
      <c r="G71" s="65"/>
      <c r="H71" s="477">
        <v>7.1447612962511311</v>
      </c>
      <c r="I71" s="477">
        <v>8.3343100277395674</v>
      </c>
      <c r="J71" s="66">
        <v>4.8</v>
      </c>
      <c r="K71" s="67"/>
      <c r="L71" s="194">
        <v>0.3889473684210526</v>
      </c>
      <c r="M71" s="194">
        <v>0.40460155945419102</v>
      </c>
      <c r="N71" s="68">
        <v>1</v>
      </c>
      <c r="O71" s="56"/>
      <c r="P71" s="69"/>
    </row>
    <row r="72" spans="2:57" ht="15">
      <c r="B72" s="33" t="s">
        <v>9</v>
      </c>
      <c r="C72" s="65"/>
      <c r="D72" s="76"/>
      <c r="E72" s="76">
        <v>6.0460527097870944</v>
      </c>
      <c r="F72" s="66">
        <v>4.8</v>
      </c>
      <c r="G72" s="65"/>
      <c r="H72" s="76"/>
      <c r="I72" s="76">
        <v>6.6612521752018941</v>
      </c>
      <c r="J72" s="66">
        <v>4.8</v>
      </c>
      <c r="K72" s="67"/>
      <c r="L72" s="194"/>
      <c r="M72" s="194">
        <v>0.60344005847953208</v>
      </c>
      <c r="N72" s="68">
        <v>1</v>
      </c>
      <c r="P72" s="69"/>
    </row>
    <row r="73" spans="2:57" ht="15">
      <c r="B73" s="34" t="s">
        <v>40</v>
      </c>
      <c r="C73" s="65">
        <f>L58</f>
        <v>11.722828666350269</v>
      </c>
      <c r="D73" s="76">
        <v>11.722828666350269</v>
      </c>
      <c r="E73" s="76">
        <v>11.155100139729852</v>
      </c>
      <c r="F73" s="66">
        <v>5.5</v>
      </c>
      <c r="G73" s="65">
        <f>[29]February_2026!$G$32</f>
        <v>12.537121640099599</v>
      </c>
      <c r="H73" s="76">
        <v>12.537121640099599</v>
      </c>
      <c r="I73" s="76">
        <v>11.952951274961968</v>
      </c>
      <c r="J73" s="66">
        <v>5.5</v>
      </c>
      <c r="K73" s="67">
        <f>K58</f>
        <v>0.16315789473684211</v>
      </c>
      <c r="L73" s="194">
        <v>0.16315789473684211</v>
      </c>
      <c r="M73" s="194">
        <v>0.42456140350877192</v>
      </c>
      <c r="N73" s="68">
        <v>1</v>
      </c>
      <c r="P73" s="69"/>
    </row>
    <row r="74" spans="2:57" ht="15">
      <c r="B74" s="22" t="s">
        <v>33</v>
      </c>
      <c r="C74" s="65"/>
      <c r="D74" s="76"/>
      <c r="E74" s="76">
        <v>5.0755456997699637</v>
      </c>
      <c r="F74" s="66">
        <v>3.3</v>
      </c>
      <c r="G74" s="65"/>
      <c r="H74" s="76"/>
      <c r="I74" s="76">
        <v>4.6359882890480018</v>
      </c>
      <c r="J74" s="66">
        <v>3.3</v>
      </c>
      <c r="K74" s="67"/>
      <c r="L74" s="194"/>
      <c r="M74" s="194">
        <v>0.66833333333333345</v>
      </c>
      <c r="N74" s="68">
        <v>1</v>
      </c>
      <c r="P74" s="69"/>
    </row>
    <row r="75" spans="2:57" ht="15">
      <c r="B75" s="35" t="s">
        <v>164</v>
      </c>
      <c r="C75" s="65"/>
      <c r="D75" s="76"/>
      <c r="E75" s="76"/>
      <c r="F75" s="66">
        <v>3.3</v>
      </c>
      <c r="G75" s="282"/>
      <c r="H75" s="76"/>
      <c r="I75" s="76"/>
      <c r="J75" s="66">
        <v>3</v>
      </c>
      <c r="K75" s="67"/>
      <c r="L75" s="194"/>
      <c r="M75" s="194"/>
      <c r="N75" s="68">
        <v>1</v>
      </c>
      <c r="P75" s="69"/>
    </row>
    <row r="76" spans="2:57" ht="15">
      <c r="B76" s="36" t="s">
        <v>15</v>
      </c>
      <c r="C76" s="65"/>
      <c r="D76" s="76"/>
      <c r="E76" s="76">
        <v>5.1105651105651271</v>
      </c>
      <c r="F76" s="70">
        <f>[11]May_2022!$M$43</f>
        <v>3.4878406700073312</v>
      </c>
      <c r="G76" s="282"/>
      <c r="H76" s="76"/>
      <c r="I76" s="76">
        <v>7.9131369535794072</v>
      </c>
      <c r="J76" s="66">
        <v>5.5</v>
      </c>
      <c r="K76" s="67"/>
      <c r="L76" s="194"/>
      <c r="M76" s="194">
        <v>1.3550877192982456</v>
      </c>
      <c r="N76" s="68">
        <v>1</v>
      </c>
      <c r="P76" s="69"/>
    </row>
    <row r="77" spans="2:57" ht="15">
      <c r="B77" s="37" t="s">
        <v>16</v>
      </c>
      <c r="C77" s="65"/>
      <c r="D77" s="76"/>
      <c r="E77" s="76">
        <v>2.0590520590520631</v>
      </c>
      <c r="F77" s="66">
        <v>3.3</v>
      </c>
      <c r="G77" s="282"/>
      <c r="H77" s="76"/>
      <c r="I77" s="76">
        <v>2.1755040108015784</v>
      </c>
      <c r="J77" s="66">
        <v>3.3</v>
      </c>
      <c r="K77" s="67"/>
      <c r="L77" s="194"/>
      <c r="M77" s="194">
        <v>0.88456140350877199</v>
      </c>
      <c r="N77" s="71">
        <v>1</v>
      </c>
      <c r="P77" s="69"/>
    </row>
    <row r="78" spans="2:57" ht="15.75" thickBot="1">
      <c r="B78" s="38" t="s">
        <v>163</v>
      </c>
      <c r="C78" s="65"/>
      <c r="D78" s="76"/>
      <c r="E78" s="76"/>
      <c r="F78" s="66">
        <v>7.5</v>
      </c>
      <c r="G78" s="282"/>
      <c r="H78" s="76"/>
      <c r="I78" s="76"/>
      <c r="J78" s="66">
        <v>7.5</v>
      </c>
      <c r="K78" s="67"/>
      <c r="L78" s="194"/>
      <c r="M78" s="194"/>
      <c r="N78" s="71">
        <v>1</v>
      </c>
      <c r="P78" s="69"/>
    </row>
    <row r="79" spans="2:57" ht="15.75" thickBot="1">
      <c r="B79" s="414" t="s">
        <v>161</v>
      </c>
      <c r="C79" s="65"/>
      <c r="D79" s="76"/>
      <c r="E79" s="76"/>
      <c r="F79" s="66">
        <v>4.8</v>
      </c>
      <c r="G79" s="282"/>
      <c r="H79" s="76"/>
      <c r="I79" s="76"/>
      <c r="J79" s="66">
        <v>4.8</v>
      </c>
      <c r="K79" s="67"/>
      <c r="L79" s="194"/>
      <c r="M79" s="194"/>
      <c r="N79" s="71">
        <v>1</v>
      </c>
      <c r="O79" s="74"/>
      <c r="P79" s="75"/>
    </row>
    <row r="80" spans="2:57" ht="15">
      <c r="D80" s="76">
        <v>7.5951435411797359</v>
      </c>
      <c r="E80" s="76">
        <v>7.0607218731068926</v>
      </c>
      <c r="F80" s="341">
        <v>5.5</v>
      </c>
      <c r="H80" s="76">
        <v>8.2823084919826631</v>
      </c>
      <c r="I80" s="76">
        <v>7.2912851282385214</v>
      </c>
      <c r="J80" s="341">
        <v>5.5</v>
      </c>
      <c r="L80" s="194">
        <v>0.34378947368421053</v>
      </c>
      <c r="M80" s="194">
        <v>0.34378947368421053</v>
      </c>
      <c r="N80" s="386">
        <v>1</v>
      </c>
    </row>
  </sheetData>
  <mergeCells count="51">
    <mergeCell ref="M56:M57"/>
    <mergeCell ref="B69:F69"/>
    <mergeCell ref="G69:J69"/>
    <mergeCell ref="K69:N69"/>
    <mergeCell ref="G56:G57"/>
    <mergeCell ref="H56:H57"/>
    <mergeCell ref="I56:I57"/>
    <mergeCell ref="J56:J57"/>
    <mergeCell ref="K56:K57"/>
    <mergeCell ref="L56:L57"/>
    <mergeCell ref="F56:F57"/>
    <mergeCell ref="D51:E51"/>
    <mergeCell ref="B56:B57"/>
    <mergeCell ref="C56:C57"/>
    <mergeCell ref="D56:D57"/>
    <mergeCell ref="E56:E57"/>
    <mergeCell ref="B41:B50"/>
    <mergeCell ref="D41:E42"/>
    <mergeCell ref="J41:K41"/>
    <mergeCell ref="L42:N42"/>
    <mergeCell ref="D43:E44"/>
    <mergeCell ref="D45:E46"/>
    <mergeCell ref="D47:E48"/>
    <mergeCell ref="D49:E50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1:B52">
    <cfRule type="cellIs" dxfId="2961" priority="63" operator="notBetween">
      <formula>#REF!</formula>
      <formula>#REF!</formula>
    </cfRule>
  </conditionalFormatting>
  <conditionalFormatting sqref="C55">
    <cfRule type="cellIs" dxfId="2960" priority="191" stopIfTrue="1" operator="greaterThan">
      <formula>100</formula>
    </cfRule>
    <cfRule type="cellIs" dxfId="2959" priority="190" stopIfTrue="1" operator="lessThan">
      <formula>96</formula>
    </cfRule>
  </conditionalFormatting>
  <conditionalFormatting sqref="C71:C75">
    <cfRule type="cellIs" dxfId="2958" priority="148" stopIfTrue="1" operator="lessThanOrEqual">
      <formula>0</formula>
    </cfRule>
  </conditionalFormatting>
  <conditionalFormatting sqref="C71:C79">
    <cfRule type="cellIs" dxfId="2957" priority="147" stopIfTrue="1" operator="greaterThan">
      <formula>$F71</formula>
    </cfRule>
  </conditionalFormatting>
  <conditionalFormatting sqref="C72">
    <cfRule type="cellIs" dxfId="2956" priority="194" stopIfTrue="1" operator="greaterThan">
      <formula>$F71</formula>
    </cfRule>
  </conditionalFormatting>
  <conditionalFormatting sqref="C76">
    <cfRule type="cellIs" dxfId="2955" priority="87" stopIfTrue="1" operator="lessThanOrEqual">
      <formula>0</formula>
    </cfRule>
    <cfRule type="cellIs" dxfId="2954" priority="88" stopIfTrue="1" operator="greaterThan">
      <formula>$F75</formula>
    </cfRule>
  </conditionalFormatting>
  <conditionalFormatting sqref="C82:C86">
    <cfRule type="cellIs" dxfId="2953" priority="182" stopIfTrue="1" operator="lessThanOrEqual">
      <formula>0</formula>
    </cfRule>
  </conditionalFormatting>
  <conditionalFormatting sqref="C83:C86">
    <cfRule type="cellIs" dxfId="2952" priority="181" stopIfTrue="1" operator="greaterThan">
      <formula>$F$82</formula>
    </cfRule>
  </conditionalFormatting>
  <conditionalFormatting sqref="C88">
    <cfRule type="cellIs" dxfId="2951" priority="184" stopIfTrue="1" operator="lessThanOrEqual">
      <formula>0</formula>
    </cfRule>
    <cfRule type="cellIs" dxfId="2950" priority="183" stopIfTrue="1" operator="greaterThan">
      <formula>$F$82</formula>
    </cfRule>
  </conditionalFormatting>
  <conditionalFormatting sqref="C82:D82 D84:D90">
    <cfRule type="cellIs" dxfId="2949" priority="176" stopIfTrue="1" operator="greaterThan">
      <formula>4.5</formula>
    </cfRule>
  </conditionalFormatting>
  <conditionalFormatting sqref="D51:D52">
    <cfRule type="cellIs" dxfId="2948" priority="64" operator="notBetween">
      <formula>#REF!</formula>
      <formula>#REF!</formula>
    </cfRule>
  </conditionalFormatting>
  <conditionalFormatting sqref="D71:D78">
    <cfRule type="cellIs" dxfId="2947" priority="156" stopIfTrue="1" operator="lessThanOrEqual">
      <formula>0</formula>
    </cfRule>
  </conditionalFormatting>
  <conditionalFormatting sqref="D82 D84:D90">
    <cfRule type="cellIs" dxfId="2946" priority="177" stopIfTrue="1" operator="lessThanOrEqual">
      <formula>0</formula>
    </cfRule>
  </conditionalFormatting>
  <conditionalFormatting sqref="D83">
    <cfRule type="cellIs" dxfId="2945" priority="168" stopIfTrue="1" operator="greaterThan">
      <formula>$F$82</formula>
    </cfRule>
    <cfRule type="cellIs" dxfId="2944" priority="169" stopIfTrue="1" operator="lessThanOrEqual">
      <formula>0</formula>
    </cfRule>
  </conditionalFormatting>
  <conditionalFormatting sqref="D71:E80">
    <cfRule type="cellIs" dxfId="2943" priority="145" stopIfTrue="1" operator="greaterThan">
      <formula>$F71</formula>
    </cfRule>
  </conditionalFormatting>
  <conditionalFormatting sqref="D79:E79">
    <cfRule type="cellIs" dxfId="2942" priority="155" stopIfTrue="1" operator="lessThanOrEqual">
      <formula>0</formula>
    </cfRule>
  </conditionalFormatting>
  <conditionalFormatting sqref="D80:E80">
    <cfRule type="cellIs" dxfId="2941" priority="146" stopIfTrue="1" operator="lessThanOrEqual">
      <formula>0</formula>
    </cfRule>
  </conditionalFormatting>
  <conditionalFormatting sqref="E10:E26">
    <cfRule type="cellIs" dxfId="2940" priority="22" operator="lessThan">
      <formula>48</formula>
    </cfRule>
  </conditionalFormatting>
  <conditionalFormatting sqref="E54 E55:F55">
    <cfRule type="cellIs" dxfId="2939" priority="173" stopIfTrue="1" operator="greaterThan">
      <formula>100</formula>
    </cfRule>
  </conditionalFormatting>
  <conditionalFormatting sqref="E55">
    <cfRule type="cellIs" dxfId="2938" priority="170" stopIfTrue="1" operator="lessThan">
      <formula>96.8</formula>
    </cfRule>
    <cfRule type="cellIs" dxfId="2937" priority="171" stopIfTrue="1" operator="greaterThan">
      <formula>100</formula>
    </cfRule>
  </conditionalFormatting>
  <conditionalFormatting sqref="E71:E78">
    <cfRule type="cellIs" dxfId="2936" priority="1" stopIfTrue="1" operator="lessThanOrEqual">
      <formula>0</formula>
    </cfRule>
  </conditionalFormatting>
  <conditionalFormatting sqref="E71:E79">
    <cfRule type="cellIs" dxfId="2935" priority="152" stopIfTrue="1" operator="lessThanOrEqual">
      <formula>0</formula>
    </cfRule>
  </conditionalFormatting>
  <conditionalFormatting sqref="E82:E90">
    <cfRule type="cellIs" dxfId="2934" priority="163" stopIfTrue="1" operator="lessThanOrEqual">
      <formula>0</formula>
    </cfRule>
    <cfRule type="cellIs" dxfId="2933" priority="162" stopIfTrue="1" operator="greaterThan">
      <formula>4.5</formula>
    </cfRule>
  </conditionalFormatting>
  <conditionalFormatting sqref="E55:F55 E54">
    <cfRule type="cellIs" dxfId="2932" priority="172" stopIfTrue="1" operator="lessThan">
      <formula>96.5</formula>
    </cfRule>
  </conditionalFormatting>
  <conditionalFormatting sqref="F10:F23 F25:F26">
    <cfRule type="cellIs" dxfId="2931" priority="23" operator="greaterThan">
      <formula>60</formula>
    </cfRule>
  </conditionalFormatting>
  <conditionalFormatting sqref="F55">
    <cfRule type="cellIs" dxfId="2930" priority="188" stopIfTrue="1" operator="lessThan">
      <formula>96.8</formula>
    </cfRule>
    <cfRule type="cellIs" dxfId="2929" priority="189" stopIfTrue="1" operator="greaterThan">
      <formula>100</formula>
    </cfRule>
  </conditionalFormatting>
  <conditionalFormatting sqref="F80">
    <cfRule type="cellIs" dxfId="2928" priority="154" stopIfTrue="1" operator="lessThanOrEqual">
      <formula>0</formula>
    </cfRule>
    <cfRule type="cellIs" dxfId="2927" priority="153" stopIfTrue="1" operator="greaterThan">
      <formula>$F80</formula>
    </cfRule>
  </conditionalFormatting>
  <conditionalFormatting sqref="G10:G25">
    <cfRule type="expression" dxfId="2926" priority="25">
      <formula>IF(+(IF(G10&lt;S10,0,IF(G10&gt;T10,0,1)))=0,1)</formula>
    </cfRule>
  </conditionalFormatting>
  <conditionalFormatting sqref="G71:G72 C77:C79">
    <cfRule type="cellIs" dxfId="2925" priority="158" stopIfTrue="1" operator="lessThanOrEqual">
      <formula>0</formula>
    </cfRule>
  </conditionalFormatting>
  <conditionalFormatting sqref="G71:G72">
    <cfRule type="cellIs" dxfId="2924" priority="157" stopIfTrue="1" operator="greaterThan">
      <formula>$F71</formula>
    </cfRule>
    <cfRule type="cellIs" dxfId="2923" priority="150" stopIfTrue="1" operator="lessThanOrEqual">
      <formula>0</formula>
    </cfRule>
    <cfRule type="cellIs" dxfId="2922" priority="149" stopIfTrue="1" operator="greaterThan">
      <formula>$F71</formula>
    </cfRule>
  </conditionalFormatting>
  <conditionalFormatting sqref="G73">
    <cfRule type="cellIs" dxfId="2921" priority="193" stopIfTrue="1" operator="lessThanOrEqual">
      <formula>0</formula>
    </cfRule>
    <cfRule type="cellIs" dxfId="2920" priority="192" stopIfTrue="1" operator="greaterThan">
      <formula>$F72</formula>
    </cfRule>
  </conditionalFormatting>
  <conditionalFormatting sqref="G74">
    <cfRule type="cellIs" dxfId="2919" priority="59" stopIfTrue="1" operator="greaterThan">
      <formula>$F74</formula>
    </cfRule>
    <cfRule type="cellIs" dxfId="2918" priority="61" stopIfTrue="1" operator="greaterThan">
      <formula>$F74</formula>
    </cfRule>
    <cfRule type="cellIs" dxfId="2917" priority="60" stopIfTrue="1" operator="lessThanOrEqual">
      <formula>0</formula>
    </cfRule>
    <cfRule type="cellIs" dxfId="2916" priority="62" stopIfTrue="1" operator="lessThanOrEqual">
      <formula>0</formula>
    </cfRule>
  </conditionalFormatting>
  <conditionalFormatting sqref="G75:G79">
    <cfRule type="cellIs" dxfId="2915" priority="160" stopIfTrue="1" operator="lessThanOrEqual">
      <formula>0</formula>
    </cfRule>
    <cfRule type="cellIs" dxfId="2914" priority="159" stopIfTrue="1" operator="greaterThan">
      <formula>$J75</formula>
    </cfRule>
  </conditionalFormatting>
  <conditionalFormatting sqref="G84:G89 C87 C89">
    <cfRule type="cellIs" dxfId="2913" priority="186" stopIfTrue="1" operator="lessThanOrEqual">
      <formula>0</formula>
    </cfRule>
    <cfRule type="cellIs" dxfId="2912" priority="185" stopIfTrue="1" operator="greaterThan">
      <formula>4.5</formula>
    </cfRule>
  </conditionalFormatting>
  <conditionalFormatting sqref="G83:H83">
    <cfRule type="cellIs" dxfId="2911" priority="166" stopIfTrue="1" operator="greaterThan">
      <formula>$F$82</formula>
    </cfRule>
    <cfRule type="cellIs" dxfId="2910" priority="167" stopIfTrue="1" operator="lessThanOrEqual">
      <formula>0</formula>
    </cfRule>
  </conditionalFormatting>
  <conditionalFormatting sqref="H10:H25 G26:H26">
    <cfRule type="expression" dxfId="2909" priority="56">
      <formula>IF(+(IF(G10&lt;#REF!,0,IF(G10&gt;#REF!,0,1)))=0,1)</formula>
    </cfRule>
  </conditionalFormatting>
  <conditionalFormatting sqref="H40:H54">
    <cfRule type="cellIs" dxfId="2908" priority="164" stopIfTrue="1" operator="greaterThan">
      <formula>0</formula>
    </cfRule>
  </conditionalFormatting>
  <conditionalFormatting sqref="H58:H59">
    <cfRule type="cellIs" dxfId="2907" priority="3" stopIfTrue="1" operator="lessThanOrEqual">
      <formula>0</formula>
    </cfRule>
    <cfRule type="cellIs" dxfId="2906" priority="4" stopIfTrue="1" operator="greaterThan">
      <formula>#REF!</formula>
    </cfRule>
    <cfRule type="cellIs" dxfId="2905" priority="12" stopIfTrue="1" operator="greaterThan">
      <formula>$F$26</formula>
    </cfRule>
    <cfRule type="cellIs" dxfId="2904" priority="13" stopIfTrue="1" operator="lessThanOrEqual">
      <formula>0</formula>
    </cfRule>
    <cfRule type="cellIs" dxfId="2903" priority="14" stopIfTrue="1" operator="greaterThan">
      <formula>#REF!</formula>
    </cfRule>
  </conditionalFormatting>
  <conditionalFormatting sqref="H58:H60">
    <cfRule type="cellIs" dxfId="2902" priority="15" stopIfTrue="1" operator="lessThanOrEqual">
      <formula>0</formula>
    </cfRule>
  </conditionalFormatting>
  <conditionalFormatting sqref="H60">
    <cfRule type="cellIs" dxfId="2901" priority="39" stopIfTrue="1" operator="lessThanOrEqual">
      <formula>0</formula>
    </cfRule>
    <cfRule type="cellIs" dxfId="2900" priority="28" stopIfTrue="1" operator="greaterThan">
      <formula>#REF!</formula>
    </cfRule>
    <cfRule type="cellIs" dxfId="2899" priority="36" stopIfTrue="1" operator="greaterThan">
      <formula>$F$26</formula>
    </cfRule>
    <cfRule type="cellIs" dxfId="2898" priority="37" stopIfTrue="1" operator="lessThanOrEqual">
      <formula>0</formula>
    </cfRule>
    <cfRule type="cellIs" dxfId="2897" priority="38" stopIfTrue="1" operator="greaterThan">
      <formula>#REF!</formula>
    </cfRule>
  </conditionalFormatting>
  <conditionalFormatting sqref="H61">
    <cfRule type="cellIs" dxfId="2896" priority="114" stopIfTrue="1" operator="lessThanOrEqual">
      <formula>0</formula>
    </cfRule>
    <cfRule type="cellIs" dxfId="2895" priority="115" stopIfTrue="1" operator="greaterThan">
      <formula>#REF!</formula>
    </cfRule>
    <cfRule type="cellIs" dxfId="2894" priority="116" stopIfTrue="1" operator="lessThanOrEqual">
      <formula>0</formula>
    </cfRule>
    <cfRule type="cellIs" dxfId="2893" priority="113" stopIfTrue="1" operator="greaterThan">
      <formula>$F$27</formula>
    </cfRule>
    <cfRule type="cellIs" dxfId="2892" priority="105" stopIfTrue="1" operator="greaterThan">
      <formula>#REF!</formula>
    </cfRule>
    <cfRule type="cellIs" dxfId="2891" priority="104" stopIfTrue="1" operator="lessThanOrEqual">
      <formula>0</formula>
    </cfRule>
  </conditionalFormatting>
  <conditionalFormatting sqref="H62">
    <cfRule type="cellIs" dxfId="2890" priority="50" stopIfTrue="1" operator="greaterThan">
      <formula>$F$74</formula>
    </cfRule>
    <cfRule type="cellIs" dxfId="2889" priority="41" stopIfTrue="1" operator="lessThanOrEqual">
      <formula>0</formula>
    </cfRule>
    <cfRule type="cellIs" dxfId="2888" priority="42" stopIfTrue="1" operator="greaterThan">
      <formula>$F$71</formula>
    </cfRule>
    <cfRule type="cellIs" dxfId="2887" priority="51" stopIfTrue="1" operator="lessThanOrEqual">
      <formula>0</formula>
    </cfRule>
    <cfRule type="cellIs" dxfId="2886" priority="53" stopIfTrue="1" operator="lessThanOrEqual">
      <formula>0</formula>
    </cfRule>
    <cfRule type="cellIs" dxfId="2885" priority="52" stopIfTrue="1" operator="greaterThan">
      <formula>$F$72</formula>
    </cfRule>
  </conditionalFormatting>
  <conditionalFormatting sqref="H63:H64">
    <cfRule type="cellIs" dxfId="2884" priority="102" stopIfTrue="1" operator="lessThanOrEqual">
      <formula>0</formula>
    </cfRule>
    <cfRule type="cellIs" dxfId="2883" priority="101" stopIfTrue="1" operator="greaterThan">
      <formula>#REF!</formula>
    </cfRule>
    <cfRule type="cellIs" dxfId="2882" priority="91" stopIfTrue="1" operator="greaterThan">
      <formula>#REF!</formula>
    </cfRule>
    <cfRule type="cellIs" dxfId="2881" priority="99" stopIfTrue="1" operator="greaterThan">
      <formula>$F$26</formula>
    </cfRule>
    <cfRule type="cellIs" dxfId="2880" priority="100" stopIfTrue="1" operator="lessThanOrEqual">
      <formula>0</formula>
    </cfRule>
    <cfRule type="cellIs" dxfId="2879" priority="90" stopIfTrue="1" operator="lessThanOrEqual">
      <formula>0</formula>
    </cfRule>
  </conditionalFormatting>
  <conditionalFormatting sqref="H65">
    <cfRule type="cellIs" dxfId="2878" priority="119" stopIfTrue="1" operator="lessThanOrEqual">
      <formula>0</formula>
    </cfRule>
    <cfRule type="cellIs" dxfId="2877" priority="120" stopIfTrue="1" operator="greaterThan">
      <formula>$F$39</formula>
    </cfRule>
    <cfRule type="cellIs" dxfId="2876" priority="131" stopIfTrue="1" operator="lessThanOrEqual">
      <formula>0</formula>
    </cfRule>
    <cfRule type="cellIs" dxfId="2875" priority="128" stopIfTrue="1" operator="greaterThan">
      <formula>$F$42</formula>
    </cfRule>
    <cfRule type="cellIs" dxfId="2874" priority="129" stopIfTrue="1" operator="lessThanOrEqual">
      <formula>0</formula>
    </cfRule>
    <cfRule type="cellIs" dxfId="2873" priority="130" stopIfTrue="1" operator="greaterThan">
      <formula>$F$40</formula>
    </cfRule>
  </conditionalFormatting>
  <conditionalFormatting sqref="H66:H67">
    <cfRule type="cellIs" dxfId="2872" priority="75" stopIfTrue="1" operator="greaterThan">
      <formula>#REF!</formula>
    </cfRule>
    <cfRule type="cellIs" dxfId="2871" priority="84" stopIfTrue="1" operator="lessThanOrEqual">
      <formula>0</formula>
    </cfRule>
    <cfRule type="cellIs" dxfId="2870" priority="83" stopIfTrue="1" operator="greaterThan">
      <formula>$F$26</formula>
    </cfRule>
    <cfRule type="cellIs" dxfId="2869" priority="86" stopIfTrue="1" operator="lessThanOrEqual">
      <formula>0</formula>
    </cfRule>
    <cfRule type="cellIs" dxfId="2868" priority="85" stopIfTrue="1" operator="greaterThan">
      <formula>#REF!</formula>
    </cfRule>
    <cfRule type="cellIs" dxfId="2867" priority="74" stopIfTrue="1" operator="lessThanOrEqual">
      <formula>0</formula>
    </cfRule>
  </conditionalFormatting>
  <conditionalFormatting sqref="H82 H84:H90">
    <cfRule type="cellIs" dxfId="2866" priority="179" stopIfTrue="1" operator="lessThanOrEqual">
      <formula>0</formula>
    </cfRule>
    <cfRule type="cellIs" dxfId="2865" priority="178" stopIfTrue="1" operator="greaterThan">
      <formula>4.5</formula>
    </cfRule>
  </conditionalFormatting>
  <conditionalFormatting sqref="H58:I59">
    <cfRule type="cellIs" dxfId="2864" priority="5" stopIfTrue="1" operator="lessThanOrEqual">
      <formula>0</formula>
    </cfRule>
  </conditionalFormatting>
  <conditionalFormatting sqref="H58:I60">
    <cfRule type="cellIs" dxfId="2863" priority="2" stopIfTrue="1" operator="greaterThan">
      <formula>#REF!</formula>
    </cfRule>
  </conditionalFormatting>
  <conditionalFormatting sqref="H60:I60">
    <cfRule type="cellIs" dxfId="2862" priority="29" stopIfTrue="1" operator="lessThanOrEqual">
      <formula>0</formula>
    </cfRule>
  </conditionalFormatting>
  <conditionalFormatting sqref="H61:I61">
    <cfRule type="cellIs" dxfId="2861" priority="106" stopIfTrue="1" operator="lessThanOrEqual">
      <formula>0</formula>
    </cfRule>
    <cfRule type="cellIs" dxfId="2860" priority="103" stopIfTrue="1" operator="greaterThan">
      <formula>$F$26</formula>
    </cfRule>
  </conditionalFormatting>
  <conditionalFormatting sqref="H62:I62">
    <cfRule type="cellIs" dxfId="2859" priority="43" stopIfTrue="1" operator="lessThanOrEqual">
      <formula>0</formula>
    </cfRule>
    <cfRule type="cellIs" dxfId="2858" priority="40" stopIfTrue="1" operator="greaterThan">
      <formula>$F$73</formula>
    </cfRule>
  </conditionalFormatting>
  <conditionalFormatting sqref="H63:I64">
    <cfRule type="cellIs" dxfId="2857" priority="89" stopIfTrue="1" operator="greaterThan">
      <formula>#REF!</formula>
    </cfRule>
    <cfRule type="cellIs" dxfId="2856" priority="92" stopIfTrue="1" operator="lessThanOrEqual">
      <formula>0</formula>
    </cfRule>
  </conditionalFormatting>
  <conditionalFormatting sqref="H65:I65">
    <cfRule type="cellIs" dxfId="2855" priority="121" stopIfTrue="1" operator="lessThanOrEqual">
      <formula>0</formula>
    </cfRule>
    <cfRule type="cellIs" dxfId="2854" priority="118" stopIfTrue="1" operator="greaterThan">
      <formula>$F$41</formula>
    </cfRule>
  </conditionalFormatting>
  <conditionalFormatting sqref="H66:I67">
    <cfRule type="cellIs" dxfId="2853" priority="76" stopIfTrue="1" operator="lessThanOrEqual">
      <formula>0</formula>
    </cfRule>
    <cfRule type="cellIs" dxfId="2852" priority="73" stopIfTrue="1" operator="greaterThan">
      <formula>#REF!</formula>
    </cfRule>
  </conditionalFormatting>
  <conditionalFormatting sqref="H71:I78">
    <cfRule type="cellIs" dxfId="2851" priority="54" stopIfTrue="1" operator="greaterThan">
      <formula>$J71</formula>
    </cfRule>
    <cfRule type="cellIs" dxfId="2850" priority="55" stopIfTrue="1" operator="lessThanOrEqual">
      <formula>0</formula>
    </cfRule>
  </conditionalFormatting>
  <conditionalFormatting sqref="H79:I79">
    <cfRule type="cellIs" dxfId="2849" priority="151" operator="greaterThan">
      <formula>5.3</formula>
    </cfRule>
  </conditionalFormatting>
  <conditionalFormatting sqref="H80:I80">
    <cfRule type="cellIs" dxfId="2848" priority="143" stopIfTrue="1" operator="greaterThan">
      <formula>$J80</formula>
    </cfRule>
    <cfRule type="cellIs" dxfId="2847" priority="144" stopIfTrue="1" operator="lessThanOrEqual">
      <formula>0</formula>
    </cfRule>
  </conditionalFormatting>
  <conditionalFormatting sqref="I58:I59">
    <cfRule type="cellIs" dxfId="2846" priority="7" stopIfTrue="1" operator="lessThanOrEqual">
      <formula>0</formula>
    </cfRule>
    <cfRule type="cellIs" dxfId="2845" priority="8" stopIfTrue="1" operator="greaterThan">
      <formula>#REF!</formula>
    </cfRule>
    <cfRule type="cellIs" dxfId="2844" priority="9" stopIfTrue="1" operator="lessThanOrEqual">
      <formula>0</formula>
    </cfRule>
    <cfRule type="cellIs" dxfId="2843" priority="10" stopIfTrue="1" operator="greaterThan">
      <formula>#REF!</formula>
    </cfRule>
    <cfRule type="cellIs" dxfId="2842" priority="11" stopIfTrue="1" operator="lessThanOrEqual">
      <formula>0</formula>
    </cfRule>
    <cfRule type="cellIs" dxfId="2841" priority="6" stopIfTrue="1" operator="greaterThan">
      <formula>#REF!</formula>
    </cfRule>
  </conditionalFormatting>
  <conditionalFormatting sqref="I60">
    <cfRule type="cellIs" dxfId="2840" priority="34" stopIfTrue="1" operator="greaterThan">
      <formula>#REF!</formula>
    </cfRule>
    <cfRule type="cellIs" dxfId="2839" priority="33" stopIfTrue="1" operator="lessThanOrEqual">
      <formula>0</formula>
    </cfRule>
    <cfRule type="cellIs" dxfId="2838" priority="32" stopIfTrue="1" operator="greaterThan">
      <formula>#REF!</formula>
    </cfRule>
    <cfRule type="cellIs" dxfId="2837" priority="35" stopIfTrue="1" operator="lessThanOrEqual">
      <formula>0</formula>
    </cfRule>
    <cfRule type="cellIs" dxfId="2836" priority="30" stopIfTrue="1" operator="greaterThan">
      <formula>#REF!</formula>
    </cfRule>
    <cfRule type="cellIs" dxfId="2835" priority="31" stopIfTrue="1" operator="lessThanOrEqual">
      <formula>0</formula>
    </cfRule>
  </conditionalFormatting>
  <conditionalFormatting sqref="I61">
    <cfRule type="cellIs" dxfId="2834" priority="107" stopIfTrue="1" operator="greaterThan">
      <formula>#REF!</formula>
    </cfRule>
    <cfRule type="cellIs" dxfId="2833" priority="109" stopIfTrue="1" operator="greaterThan">
      <formula>$F$26</formula>
    </cfRule>
    <cfRule type="cellIs" dxfId="2832" priority="110" stopIfTrue="1" operator="lessThanOrEqual">
      <formula>0</formula>
    </cfRule>
    <cfRule type="cellIs" dxfId="2831" priority="111" stopIfTrue="1" operator="greaterThan">
      <formula>#REF!</formula>
    </cfRule>
    <cfRule type="cellIs" dxfId="2830" priority="112" stopIfTrue="1" operator="lessThanOrEqual">
      <formula>0</formula>
    </cfRule>
    <cfRule type="cellIs" dxfId="2829" priority="108" stopIfTrue="1" operator="lessThanOrEqual">
      <formula>0</formula>
    </cfRule>
  </conditionalFormatting>
  <conditionalFormatting sqref="I62">
    <cfRule type="cellIs" dxfId="2828" priority="49" stopIfTrue="1" operator="lessThanOrEqual">
      <formula>0</formula>
    </cfRule>
    <cfRule type="cellIs" dxfId="2827" priority="48" stopIfTrue="1" operator="greaterThan">
      <formula>$F$71</formula>
    </cfRule>
    <cfRule type="cellIs" dxfId="2826" priority="44" stopIfTrue="1" operator="greaterThan">
      <formula>$F$71</formula>
    </cfRule>
    <cfRule type="cellIs" dxfId="2825" priority="45" stopIfTrue="1" operator="lessThanOrEqual">
      <formula>0</formula>
    </cfRule>
    <cfRule type="cellIs" dxfId="2824" priority="46" stopIfTrue="1" operator="greaterThan">
      <formula>$F$73</formula>
    </cfRule>
    <cfRule type="cellIs" dxfId="2823" priority="47" stopIfTrue="1" operator="lessThanOrEqual">
      <formula>0</formula>
    </cfRule>
  </conditionalFormatting>
  <conditionalFormatting sqref="I63:I64">
    <cfRule type="cellIs" dxfId="2822" priority="93" stopIfTrue="1" operator="greaterThan">
      <formula>#REF!</formula>
    </cfRule>
    <cfRule type="cellIs" dxfId="2821" priority="98" stopIfTrue="1" operator="lessThanOrEqual">
      <formula>0</formula>
    </cfRule>
    <cfRule type="cellIs" dxfId="2820" priority="94" stopIfTrue="1" operator="lessThanOrEqual">
      <formula>0</formula>
    </cfRule>
    <cfRule type="cellIs" dxfId="2819" priority="95" stopIfTrue="1" operator="greaterThan">
      <formula>#REF!</formula>
    </cfRule>
    <cfRule type="cellIs" dxfId="2818" priority="96" stopIfTrue="1" operator="lessThanOrEqual">
      <formula>0</formula>
    </cfRule>
    <cfRule type="cellIs" dxfId="2817" priority="97" stopIfTrue="1" operator="greaterThan">
      <formula>#REF!</formula>
    </cfRule>
  </conditionalFormatting>
  <conditionalFormatting sqref="I65">
    <cfRule type="cellIs" dxfId="2816" priority="126" stopIfTrue="1" operator="greaterThan">
      <formula>$F$39</formula>
    </cfRule>
    <cfRule type="cellIs" dxfId="2815" priority="127" stopIfTrue="1" operator="lessThanOrEqual">
      <formula>0</formula>
    </cfRule>
    <cfRule type="cellIs" dxfId="2814" priority="122" stopIfTrue="1" operator="greaterThan">
      <formula>$F$39</formula>
    </cfRule>
    <cfRule type="cellIs" dxfId="2813" priority="123" stopIfTrue="1" operator="lessThanOrEqual">
      <formula>0</formula>
    </cfRule>
    <cfRule type="cellIs" dxfId="2812" priority="124" stopIfTrue="1" operator="greaterThan">
      <formula>$F$41</formula>
    </cfRule>
    <cfRule type="cellIs" dxfId="2811" priority="125" stopIfTrue="1" operator="lessThanOrEqual">
      <formula>0</formula>
    </cfRule>
  </conditionalFormatting>
  <conditionalFormatting sqref="I66:I67">
    <cfRule type="cellIs" dxfId="2810" priority="78" stopIfTrue="1" operator="lessThanOrEqual">
      <formula>0</formula>
    </cfRule>
    <cfRule type="cellIs" dxfId="2809" priority="82" stopIfTrue="1" operator="lessThanOrEqual">
      <formula>0</formula>
    </cfRule>
    <cfRule type="cellIs" dxfId="2808" priority="79" stopIfTrue="1" operator="greaterThan">
      <formula>#REF!</formula>
    </cfRule>
    <cfRule type="cellIs" dxfId="2807" priority="77" stopIfTrue="1" operator="greaterThan">
      <formula>#REF!</formula>
    </cfRule>
    <cfRule type="cellIs" dxfId="2806" priority="81" stopIfTrue="1" operator="greaterThan">
      <formula>#REF!</formula>
    </cfRule>
    <cfRule type="cellIs" dxfId="2805" priority="80" stopIfTrue="1" operator="lessThanOrEqual">
      <formula>0</formula>
    </cfRule>
  </conditionalFormatting>
  <conditionalFormatting sqref="I82:I90">
    <cfRule type="cellIs" dxfId="2804" priority="174" stopIfTrue="1" operator="greaterThan">
      <formula>4.5</formula>
    </cfRule>
    <cfRule type="cellIs" dxfId="2803" priority="175" stopIfTrue="1" operator="lessThanOrEqual">
      <formula>0</formula>
    </cfRule>
  </conditionalFormatting>
  <conditionalFormatting sqref="I10:J26">
    <cfRule type="cellIs" dxfId="2802" priority="18" operator="lessThan">
      <formula>97.9</formula>
    </cfRule>
  </conditionalFormatting>
  <conditionalFormatting sqref="J31">
    <cfRule type="cellIs" dxfId="2801" priority="133" stopIfTrue="1" operator="lessThan">
      <formula>96.8</formula>
    </cfRule>
    <cfRule type="cellIs" dxfId="2800" priority="134" stopIfTrue="1" operator="greaterThan">
      <formula>100</formula>
    </cfRule>
    <cfRule type="cellIs" dxfId="2799" priority="135" operator="lessThan">
      <formula>98</formula>
    </cfRule>
  </conditionalFormatting>
  <conditionalFormatting sqref="J31:J33">
    <cfRule type="cellIs" dxfId="2798" priority="132" operator="lessThan">
      <formula>97.4</formula>
    </cfRule>
  </conditionalFormatting>
  <conditionalFormatting sqref="J34:J35">
    <cfRule type="cellIs" dxfId="2797" priority="136" operator="lessThan">
      <formula>98</formula>
    </cfRule>
  </conditionalFormatting>
  <conditionalFormatting sqref="J36:J37">
    <cfRule type="cellIs" dxfId="2796" priority="137" stopIfTrue="1" operator="lessThan">
      <formula>96.8</formula>
    </cfRule>
    <cfRule type="cellIs" dxfId="2795" priority="138" stopIfTrue="1" operator="greaterThan">
      <formula>100</formula>
    </cfRule>
  </conditionalFormatting>
  <conditionalFormatting sqref="J36:J38">
    <cfRule type="cellIs" dxfId="2794" priority="139" operator="lessThan">
      <formula>98</formula>
    </cfRule>
  </conditionalFormatting>
  <conditionalFormatting sqref="J67">
    <cfRule type="cellIs" dxfId="2793" priority="65" stopIfTrue="1" operator="greaterThan">
      <formula>#REF!</formula>
    </cfRule>
    <cfRule type="cellIs" dxfId="2792" priority="67" stopIfTrue="1" operator="greaterThan">
      <formula>#REF!</formula>
    </cfRule>
    <cfRule type="cellIs" dxfId="2791" priority="72" stopIfTrue="1" operator="lessThanOrEqual">
      <formula>0</formula>
    </cfRule>
    <cfRule type="cellIs" dxfId="2790" priority="71" stopIfTrue="1" operator="greaterThan">
      <formula>#REF!</formula>
    </cfRule>
    <cfRule type="cellIs" dxfId="2789" priority="70" stopIfTrue="1" operator="lessThanOrEqual">
      <formula>0</formula>
    </cfRule>
    <cfRule type="cellIs" dxfId="2788" priority="69" stopIfTrue="1" operator="greaterThan">
      <formula>#REF!</formula>
    </cfRule>
    <cfRule type="cellIs" dxfId="2787" priority="68" stopIfTrue="1" operator="lessThanOrEqual">
      <formula>0</formula>
    </cfRule>
    <cfRule type="cellIs" dxfId="2786" priority="66" stopIfTrue="1" operator="lessThanOrEqual">
      <formula>0</formula>
    </cfRule>
  </conditionalFormatting>
  <conditionalFormatting sqref="J80">
    <cfRule type="cellIs" dxfId="2785" priority="140" stopIfTrue="1" operator="greaterThan">
      <formula>$F80</formula>
    </cfRule>
    <cfRule type="cellIs" dxfId="2784" priority="141" stopIfTrue="1" operator="lessThanOrEqual">
      <formula>0</formula>
    </cfRule>
  </conditionalFormatting>
  <conditionalFormatting sqref="K10:K26">
    <cfRule type="cellIs" dxfId="2783" priority="20" operator="lessThan">
      <formula>4</formula>
    </cfRule>
    <cfRule type="cellIs" dxfId="2782" priority="19" operator="greaterThan">
      <formula>6</formula>
    </cfRule>
    <cfRule type="cellIs" dxfId="2781" priority="21" operator="greaterThan">
      <formula>6.4</formula>
    </cfRule>
  </conditionalFormatting>
  <conditionalFormatting sqref="K58:K67">
    <cfRule type="cellIs" dxfId="2780" priority="16" stopIfTrue="1" operator="lessThan">
      <formula>100%</formula>
    </cfRule>
  </conditionalFormatting>
  <conditionalFormatting sqref="K82:K87">
    <cfRule type="cellIs" dxfId="2779" priority="180" stopIfTrue="1" operator="lessThan">
      <formula>100%</formula>
    </cfRule>
  </conditionalFormatting>
  <conditionalFormatting sqref="K89:K90">
    <cfRule type="cellIs" dxfId="2778" priority="187" stopIfTrue="1" operator="lessThan">
      <formula>100%</formula>
    </cfRule>
  </conditionalFormatting>
  <conditionalFormatting sqref="K71:N79">
    <cfRule type="cellIs" dxfId="2777" priority="117" stopIfTrue="1" operator="lessThan">
      <formula>100%</formula>
    </cfRule>
  </conditionalFormatting>
  <conditionalFormatting sqref="L10:L26">
    <cfRule type="cellIs" dxfId="2776" priority="27" operator="greaterThan">
      <formula>65</formula>
    </cfRule>
    <cfRule type="cellIs" dxfId="2775" priority="26" operator="between">
      <formula>61</formula>
      <formula>65</formula>
    </cfRule>
  </conditionalFormatting>
  <conditionalFormatting sqref="L29:M40">
    <cfRule type="cellIs" dxfId="2774" priority="57" operator="lessThan">
      <formula>97.95</formula>
    </cfRule>
  </conditionalFormatting>
  <conditionalFormatting sqref="L44:N44">
    <cfRule type="cellIs" dxfId="2773" priority="58" operator="notEqual">
      <formula>#REF!</formula>
    </cfRule>
  </conditionalFormatting>
  <conditionalFormatting sqref="L80:N80">
    <cfRule type="cellIs" dxfId="2772" priority="142" stopIfTrue="1" operator="lessThan">
      <formula>100%</formula>
    </cfRule>
  </conditionalFormatting>
  <conditionalFormatting sqref="L82:N90">
    <cfRule type="cellIs" dxfId="2771" priority="165" stopIfTrue="1" operator="lessThan">
      <formula>100%</formula>
    </cfRule>
  </conditionalFormatting>
  <conditionalFormatting sqref="M10:M25">
    <cfRule type="expression" dxfId="2770" priority="24">
      <formula>IF(+(IF(M10&lt;U10,0,IF(M10&gt;V10,0,1)))=0,1)</formula>
    </cfRule>
  </conditionalFormatting>
  <conditionalFormatting sqref="M26:N26">
    <cfRule type="expression" dxfId="2769" priority="195">
      <formula>IF(+(IF(M26&lt;#REF!,0,IF(M26&gt;#REF!,0,1)))=0,1)</formula>
    </cfRule>
  </conditionalFormatting>
  <conditionalFormatting sqref="N10:N25">
    <cfRule type="expression" dxfId="2768" priority="17">
      <formula>IF(+(IF(N10&lt;W10,0,IF(N10&gt;X10,0,1)))=0,1)</formula>
    </cfRule>
  </conditionalFormatting>
  <conditionalFormatting sqref="P6">
    <cfRule type="cellIs" dxfId="2767" priority="161" operator="greaterThanOrEqual">
      <formula>19</formula>
    </cfRule>
  </conditionalFormatting>
  <dataValidations count="1">
    <dataValidation type="list" allowBlank="1" showInputMessage="1" showErrorMessage="1" sqref="R8" xr:uid="{CDB70E1D-4237-4A69-8A48-68AAF201A4B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4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A53D-3356-4484-9204-35943FF6C465}">
  <sheetPr>
    <pageSetUpPr fitToPage="1"/>
  </sheetPr>
  <dimension ref="A1:BE76"/>
  <sheetViews>
    <sheetView topLeftCell="A3" zoomScale="80" zoomScaleNormal="80" workbookViewId="0">
      <selection activeCell="L54" sqref="L54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46059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7.25" customHeight="1">
      <c r="B10" s="33" t="s">
        <v>9</v>
      </c>
      <c r="C10" s="366" t="str">
        <f>[4]Brewhouse!$A91</f>
        <v>ST040</v>
      </c>
      <c r="D10" s="279">
        <f>[4]Brewhouse!$AB91</f>
        <v>52</v>
      </c>
      <c r="E10" s="279">
        <f>[4]Brewhouse!$AG91</f>
        <v>47.8</v>
      </c>
      <c r="F10" s="278">
        <f>[4]Brewhouse!$V91</f>
        <v>55</v>
      </c>
      <c r="G10" s="279">
        <f>[4]Brewhouse!$AE91</f>
        <v>12</v>
      </c>
      <c r="H10" s="396">
        <v>12</v>
      </c>
      <c r="I10" s="368">
        <f>[4]Brewhouse!$AS91</f>
        <v>95.88635207026536</v>
      </c>
      <c r="J10" s="368">
        <f>[4]Brewhouse!$AT91</f>
        <v>97.066985092665419</v>
      </c>
      <c r="K10" s="281">
        <f>[4]Brewhouse!$Q91</f>
        <v>6.1057692307692246</v>
      </c>
      <c r="L10" s="276">
        <f>[4]Brewhouse!$P91</f>
        <v>60</v>
      </c>
      <c r="M10" s="374">
        <f>[4]Brewhouse!$U91-[4]Brewhouse!$T91</f>
        <v>0.12013888888888885</v>
      </c>
      <c r="N10" s="370">
        <f>[4]Brewhouse!$AW91</f>
        <v>0.26180555555555551</v>
      </c>
      <c r="O10" s="371" t="str">
        <f>[4]Brewhouse!$AV91</f>
        <v>K. Benjamin</v>
      </c>
      <c r="P10" s="418"/>
      <c r="R10" s="277" t="str">
        <f t="shared" ref="R10:R16" si="0">B10</f>
        <v>STAG</v>
      </c>
      <c r="S10" s="472">
        <f t="shared" ref="S10:S16" si="1">VLOOKUP($B10,$R$3:$X$9,2,FALSE)</f>
        <v>11.6</v>
      </c>
      <c r="T10" s="472">
        <f t="shared" ref="T10:T16" si="2">VLOOKUP($B10,$R$3:$X$9,3,FALSE)</f>
        <v>12</v>
      </c>
      <c r="U10" s="297">
        <f t="shared" ref="U10:U16" si="3">VLOOKUP($B10,$R$3:$X$9,4,FALSE)</f>
        <v>0</v>
      </c>
      <c r="V10" s="297">
        <f t="shared" ref="V10:V16" si="4">VLOOKUP($B10,$R$3:$X$9,5,FALSE)</f>
        <v>0.118055555555556</v>
      </c>
      <c r="W10" s="297">
        <f t="shared" ref="W10:W16" si="5">VLOOKUP($B10,$R$3:$X$9,6,FALSE)</f>
        <v>0.22569444444444445</v>
      </c>
      <c r="X10" s="297">
        <f t="shared" ref="X10:X16" si="6">VLOOKUP($B10,$R$3:$X$9,7,FALSE)</f>
        <v>0.2638888888888889</v>
      </c>
      <c r="Y10" s="297">
        <f t="shared" ref="Y10:Y16" si="7">VLOOKUP($B10,$R$3:$Z$9,8,FALSE)</f>
        <v>0</v>
      </c>
      <c r="Z10" s="472">
        <f t="shared" ref="Z10:Z16" si="8">VLOOKUP($B10,$R$3:$Z$9,9,FALSE)</f>
        <v>60</v>
      </c>
    </row>
    <row r="11" spans="2:29" ht="17.25" customHeight="1">
      <c r="B11" s="33" t="s">
        <v>9</v>
      </c>
      <c r="C11" s="366" t="str">
        <f>[4]Brewhouse!$A92</f>
        <v>ST041</v>
      </c>
      <c r="D11" s="279">
        <f>[4]Brewhouse!$AB92</f>
        <v>52</v>
      </c>
      <c r="E11" s="279">
        <f>[4]Brewhouse!$AG92</f>
        <v>49</v>
      </c>
      <c r="F11" s="278">
        <f>[4]Brewhouse!$V92</f>
        <v>59</v>
      </c>
      <c r="G11" s="279">
        <f>[4]Brewhouse!$AE92</f>
        <v>11.9</v>
      </c>
      <c r="H11" s="396">
        <v>11.9</v>
      </c>
      <c r="I11" s="368">
        <f>[4]Brewhouse!$AS92</f>
        <v>97.555318567088662</v>
      </c>
      <c r="J11" s="368">
        <f>[4]Brewhouse!$AT92</f>
        <v>98.756105298144831</v>
      </c>
      <c r="K11" s="281">
        <f>[4]Brewhouse!$Q92</f>
        <v>3.9903846153846074</v>
      </c>
      <c r="L11" s="276">
        <f>[4]Brewhouse!$P92</f>
        <v>58</v>
      </c>
      <c r="M11" s="374">
        <f>[4]Brewhouse!$U92-[4]Brewhouse!$T92</f>
        <v>0.1159722222222222</v>
      </c>
      <c r="N11" s="370">
        <f>[4]Brewhouse!$AW92</f>
        <v>0.26180555555555551</v>
      </c>
      <c r="O11" s="371" t="str">
        <f>[4]Brewhouse!$AV92</f>
        <v>K. Benjamin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7.25" customHeight="1">
      <c r="B12" s="33" t="s">
        <v>9</v>
      </c>
      <c r="C12" s="366" t="str">
        <f>[4]Brewhouse!$A93</f>
        <v>ST042</v>
      </c>
      <c r="D12" s="279">
        <f>[4]Brewhouse!$AB93</f>
        <v>52</v>
      </c>
      <c r="E12" s="279">
        <f>[4]Brewhouse!$AG93</f>
        <v>49.8</v>
      </c>
      <c r="F12" s="278">
        <f>[4]Brewhouse!$V93</f>
        <v>62</v>
      </c>
      <c r="G12" s="279">
        <f>[4]Brewhouse!$AE93</f>
        <v>11.9</v>
      </c>
      <c r="H12" s="396">
        <v>11.9</v>
      </c>
      <c r="I12" s="368">
        <f>[4]Brewhouse!$AS93</f>
        <v>98.651407682761771</v>
      </c>
      <c r="J12" s="368">
        <f>[4]Brewhouse!$AT93</f>
        <v>99.86728174470349</v>
      </c>
      <c r="K12" s="281">
        <f>[4]Brewhouse!$Q93</f>
        <v>2.8365384615384643</v>
      </c>
      <c r="L12" s="276">
        <f>[4]Brewhouse!$P93</f>
        <v>60</v>
      </c>
      <c r="M12" s="374">
        <f>[4]Brewhouse!$U93-[4]Brewhouse!$T93</f>
        <v>0.14930555555555558</v>
      </c>
      <c r="N12" s="370">
        <f>[4]Brewhouse!$AW93</f>
        <v>0.3034722222222222</v>
      </c>
      <c r="O12" s="371" t="str">
        <f>[4]Brewhouse!$AV93</f>
        <v>K. Benjamin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7.25" customHeight="1">
      <c r="B13" s="33" t="s">
        <v>9</v>
      </c>
      <c r="C13" s="366" t="str">
        <f>[4]Brewhouse!$A94</f>
        <v>ST043</v>
      </c>
      <c r="D13" s="279">
        <f>[4]Brewhouse!$AB94</f>
        <v>52.1</v>
      </c>
      <c r="E13" s="279">
        <f>[4]Brewhouse!$AG94</f>
        <v>50.3</v>
      </c>
      <c r="F13" s="278">
        <f>[4]Brewhouse!$V94</f>
        <v>62</v>
      </c>
      <c r="G13" s="279">
        <f>[4]Brewhouse!$AE94</f>
        <v>11.8</v>
      </c>
      <c r="H13" s="396">
        <v>11.8</v>
      </c>
      <c r="I13" s="368">
        <f>[4]Brewhouse!$AS94</f>
        <v>98.885347309806249</v>
      </c>
      <c r="J13" s="368">
        <f>[4]Brewhouse!$AT94</f>
        <v>100.10370626690079</v>
      </c>
      <c r="K13" s="281">
        <f>[4]Brewhouse!$Q94</f>
        <v>3.4069097888675599</v>
      </c>
      <c r="L13" s="276">
        <f>[4]Brewhouse!$P94</f>
        <v>61</v>
      </c>
      <c r="M13" s="374">
        <f>[4]Brewhouse!$U94-[4]Brewhouse!$T94</f>
        <v>0.12152777777777779</v>
      </c>
      <c r="N13" s="370">
        <f>[4]Brewhouse!$AW94</f>
        <v>0.29166666666666663</v>
      </c>
      <c r="O13" s="371" t="str">
        <f>[4]Brewhouse!$AV94</f>
        <v>R. Regis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7.25" customHeight="1">
      <c r="B14" s="33" t="s">
        <v>9</v>
      </c>
      <c r="C14" s="366" t="str">
        <f>[4]Brewhouse!$A95</f>
        <v>ST044</v>
      </c>
      <c r="D14" s="279">
        <f>[4]Brewhouse!$AB95</f>
        <v>52.1</v>
      </c>
      <c r="E14" s="279">
        <f>[4]Brewhouse!$AG95</f>
        <v>49.4</v>
      </c>
      <c r="F14" s="278">
        <f>[4]Brewhouse!$V95</f>
        <v>61</v>
      </c>
      <c r="G14" s="279">
        <f>[4]Brewhouse!$AE95</f>
        <v>11.8</v>
      </c>
      <c r="H14" s="396">
        <v>11.7</v>
      </c>
      <c r="I14" s="368">
        <f>[4]Brewhouse!$AS95</f>
        <v>97.116026980207323</v>
      </c>
      <c r="J14" s="368">
        <f>[4]Brewhouse!$AT95</f>
        <v>98.312586274053672</v>
      </c>
      <c r="K14" s="281">
        <f>[4]Brewhouse!$Q95</f>
        <v>3.0230326295585468</v>
      </c>
      <c r="L14" s="276">
        <f>[4]Brewhouse!$P95</f>
        <v>59</v>
      </c>
      <c r="M14" s="374">
        <f>[4]Brewhouse!$U95-[4]Brewhouse!$T95</f>
        <v>0.1333333333333333</v>
      </c>
      <c r="N14" s="370">
        <f>[4]Brewhouse!$AW95</f>
        <v>0.28055555555555556</v>
      </c>
      <c r="O14" s="371" t="str">
        <f>[4]Brewhouse!$AV95</f>
        <v>R. Regis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7.25" customHeight="1">
      <c r="B15" s="33" t="s">
        <v>9</v>
      </c>
      <c r="C15" s="366" t="str">
        <f>[4]Brewhouse!$A96</f>
        <v>ST045</v>
      </c>
      <c r="D15" s="279">
        <f>[4]Brewhouse!$AB96</f>
        <v>52.1</v>
      </c>
      <c r="E15" s="279">
        <f>[4]Brewhouse!$AG96</f>
        <v>49</v>
      </c>
      <c r="F15" s="278">
        <f>[4]Brewhouse!$V96</f>
        <v>61</v>
      </c>
      <c r="G15" s="279">
        <f>[4]Brewhouse!$AE96</f>
        <v>12</v>
      </c>
      <c r="H15" s="396">
        <v>12</v>
      </c>
      <c r="I15" s="368">
        <f>[4]Brewhouse!$AS96</f>
        <v>98.047046969958473</v>
      </c>
      <c r="J15" s="368">
        <f>[4]Brewhouse!$AT96</f>
        <v>99.255077291359513</v>
      </c>
      <c r="K15" s="281">
        <f>[4]Brewhouse!$Q96</f>
        <v>4.174664107485599</v>
      </c>
      <c r="L15" s="276">
        <f>[4]Brewhouse!$P96</f>
        <v>60</v>
      </c>
      <c r="M15" s="374">
        <f>[4]Brewhouse!$U96-[4]Brewhouse!$T96</f>
        <v>0.11875000000000013</v>
      </c>
      <c r="N15" s="370">
        <f>[4]Brewhouse!$AW96</f>
        <v>0.26597222222222228</v>
      </c>
      <c r="O15" s="371" t="str">
        <f>[4]Brewhouse!$AV96</f>
        <v>R.Sookram</v>
      </c>
      <c r="P15" s="418"/>
      <c r="R15" s="277" t="str">
        <f t="shared" si="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7.25" customHeight="1">
      <c r="B16" s="33" t="s">
        <v>9</v>
      </c>
      <c r="C16" s="366" t="str">
        <f>[4]Brewhouse!$A97</f>
        <v>ST046</v>
      </c>
      <c r="D16" s="279">
        <f>[4]Brewhouse!$AB97</f>
        <v>52</v>
      </c>
      <c r="E16" s="279">
        <f>[4]Brewhouse!$AG97</f>
        <v>50.1</v>
      </c>
      <c r="F16" s="278">
        <f>[4]Brewhouse!$V97</f>
        <v>62</v>
      </c>
      <c r="G16" s="279">
        <f>[4]Brewhouse!$AE97</f>
        <v>11.8</v>
      </c>
      <c r="H16" s="396">
        <v>11.8</v>
      </c>
      <c r="I16" s="368">
        <f>[4]Brewhouse!$AS97</f>
        <v>98.368823692109089</v>
      </c>
      <c r="J16" s="368">
        <f>[4]Brewhouse!$AT97</f>
        <v>99.581214919364271</v>
      </c>
      <c r="K16" s="281">
        <f>[4]Brewhouse!$Q97</f>
        <v>2.0673076923076841</v>
      </c>
      <c r="L16" s="276">
        <f>[4]Brewhouse!$P97</f>
        <v>58</v>
      </c>
      <c r="M16" s="374">
        <f>[4]Brewhouse!$U97-[4]Brewhouse!$T97</f>
        <v>0.1166666666666667</v>
      </c>
      <c r="N16" s="370">
        <f>[4]Brewhouse!$AW97</f>
        <v>0.27361111111111114</v>
      </c>
      <c r="O16" s="371" t="str">
        <f>[4]Brewhouse!$AV97</f>
        <v>R.Sookram</v>
      </c>
      <c r="P16" s="418"/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6.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ref="R17:R36" si="9">B17</f>
        <v>0</v>
      </c>
      <c r="S17" s="472" t="e">
        <f t="shared" ref="S17:S36" si="10">VLOOKUP($B17,$R$3:$X$9,2,FALSE)</f>
        <v>#N/A</v>
      </c>
      <c r="T17" s="472" t="e">
        <f t="shared" ref="T17:T36" si="11">VLOOKUP($B17,$R$3:$X$9,3,FALSE)</f>
        <v>#N/A</v>
      </c>
      <c r="U17" s="297" t="e">
        <f t="shared" ref="U17:U36" si="12">VLOOKUP($B17,$R$3:$X$9,4,FALSE)</f>
        <v>#N/A</v>
      </c>
      <c r="V17" s="297" t="e">
        <f t="shared" ref="V17:V36" si="13">VLOOKUP($B17,$R$3:$X$9,5,FALSE)</f>
        <v>#N/A</v>
      </c>
      <c r="W17" s="297" t="e">
        <f t="shared" ref="W17:W36" si="14">VLOOKUP($B17,$R$3:$X$9,6,FALSE)</f>
        <v>#N/A</v>
      </c>
      <c r="X17" s="297" t="e">
        <f t="shared" ref="X17:X36" si="15">VLOOKUP($B17,$R$3:$X$9,7,FALSE)</f>
        <v>#N/A</v>
      </c>
      <c r="Y17" s="297" t="e">
        <f t="shared" ref="Y17:Y36" si="16">VLOOKUP($B17,$R$3:$Z$9,8,FALSE)</f>
        <v>#N/A</v>
      </c>
      <c r="Z17" s="472" t="e">
        <f t="shared" ref="Z17:Z36" si="17">VLOOKUP($B17,$R$3:$Z$9,9,FALSE)</f>
        <v>#N/A</v>
      </c>
    </row>
    <row r="18" spans="1:27" ht="16.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0"/>
        <v>#N/A</v>
      </c>
      <c r="T18" s="472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472" t="e">
        <f t="shared" si="17"/>
        <v>#N/A</v>
      </c>
    </row>
    <row r="19" spans="1:27" ht="16.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0"/>
        <v>#N/A</v>
      </c>
      <c r="T19" s="472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472" t="e">
        <f t="shared" si="17"/>
        <v>#N/A</v>
      </c>
    </row>
    <row r="20" spans="1:27" ht="16.5" hidden="1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7" ht="18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7" ht="16.5" hidden="1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11"/>
      <c r="J23" s="511"/>
      <c r="K23" s="511"/>
      <c r="L23" s="511"/>
      <c r="M23" s="511"/>
      <c r="N23" s="511"/>
      <c r="O23" s="1"/>
      <c r="P23" s="12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7" ht="15.75" customHeight="1" thickBot="1">
      <c r="B24" s="388" t="s">
        <v>162</v>
      </c>
      <c r="C24" s="388"/>
      <c r="D24" s="512" t="s">
        <v>35</v>
      </c>
      <c r="E24" s="513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9"/>
        <v xml:space="preserve">BRAND 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7" ht="15" customHeight="1">
      <c r="A25" s="28"/>
      <c r="B25" s="580" t="str">
        <f>I25</f>
        <v>CARIB</v>
      </c>
      <c r="C25" s="362">
        <f>[3]Process!D89</f>
        <v>11.7</v>
      </c>
      <c r="D25" s="517">
        <v>11.9</v>
      </c>
      <c r="E25" s="518"/>
      <c r="F25" s="294"/>
      <c r="G25" s="294"/>
      <c r="H25" s="348"/>
      <c r="I25" s="29" t="s">
        <v>6</v>
      </c>
      <c r="J25" s="280"/>
      <c r="K25" s="284">
        <f>COUNTA([3]Brewhouse!$A$125:$A$140)</f>
        <v>16</v>
      </c>
      <c r="L25" s="305">
        <f>AVERAGE([3]Brewhouse!$AU$125:$AU$140)</f>
        <v>97.677289058475239</v>
      </c>
      <c r="M25" s="305">
        <f>AVERAGE([3]Brewhouse!$AU$42:$AU$123,[3]Brewhouse!$AU$125:$AU$140)</f>
        <v>97.902963252277985</v>
      </c>
      <c r="N25" s="30">
        <v>98</v>
      </c>
      <c r="O25" s="11"/>
      <c r="P25" s="31"/>
      <c r="R25" s="277" t="str">
        <f t="shared" si="9"/>
        <v>CARIB</v>
      </c>
      <c r="S25" s="472">
        <f t="shared" si="10"/>
        <v>11.6</v>
      </c>
      <c r="T25" s="472">
        <f t="shared" si="11"/>
        <v>12</v>
      </c>
      <c r="U25" s="297">
        <f t="shared" si="12"/>
        <v>0</v>
      </c>
      <c r="V25" s="297">
        <f t="shared" si="13"/>
        <v>0.118055555555556</v>
      </c>
      <c r="W25" s="297">
        <f t="shared" si="14"/>
        <v>0.22569444444444445</v>
      </c>
      <c r="X25" s="297">
        <f t="shared" si="15"/>
        <v>0.2638888888888889</v>
      </c>
      <c r="Y25" s="297">
        <f t="shared" si="16"/>
        <v>0</v>
      </c>
      <c r="Z25" s="472">
        <f t="shared" si="17"/>
        <v>60</v>
      </c>
    </row>
    <row r="26" spans="1:27" ht="15" customHeight="1">
      <c r="A26" s="28"/>
      <c r="B26" s="581"/>
      <c r="C26" s="362">
        <f>[3]Process!D90</f>
        <v>12.1</v>
      </c>
      <c r="D26" s="519"/>
      <c r="E26" s="520"/>
      <c r="F26" s="294"/>
      <c r="G26" s="294"/>
      <c r="H26" s="348"/>
      <c r="I26" s="33" t="s">
        <v>9</v>
      </c>
      <c r="J26" s="280">
        <f>AVERAGE(I10:I16)</f>
        <v>97.787189038885273</v>
      </c>
      <c r="K26" s="284">
        <f>COUNTA([4]Brewhouse!$A$83:$A$97)</f>
        <v>15</v>
      </c>
      <c r="L26" s="302">
        <f>AVERAGE([4]Brewhouse!$AS$83:$AS$97)</f>
        <v>97.818893402823292</v>
      </c>
      <c r="M26" s="302">
        <f>AVERAGE([4]Brewhouse!$AS$52:$AS$81,[4]Brewhouse!$AS$83:$AS$97)</f>
        <v>98.623104077616858</v>
      </c>
      <c r="N26" s="30">
        <v>98</v>
      </c>
      <c r="O26" s="11"/>
      <c r="P26" s="31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7" ht="14.65" customHeight="1">
      <c r="A27" s="28"/>
      <c r="B27" s="581"/>
      <c r="C27" s="362">
        <f>[3]Process!D91</f>
        <v>11.8</v>
      </c>
      <c r="D27" s="521">
        <v>11.88</v>
      </c>
      <c r="E27" s="522"/>
      <c r="F27" s="294"/>
      <c r="G27" s="294"/>
      <c r="H27" s="348"/>
      <c r="I27" s="34" t="s">
        <v>12</v>
      </c>
      <c r="J27" s="280"/>
      <c r="K27" s="284"/>
      <c r="L27" s="302"/>
      <c r="M27" s="302">
        <f>AVERAGE([6]Brewhouse!$AU$16:$AU$23)</f>
        <v>97.765204759801577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7" ht="14.65" customHeight="1">
      <c r="A28" s="28"/>
      <c r="B28" s="581"/>
      <c r="C28" s="362">
        <f>[3]Process!D92</f>
        <v>11.9</v>
      </c>
      <c r="D28" s="523"/>
      <c r="E28" s="520"/>
      <c r="F28" s="294"/>
      <c r="G28" s="294"/>
      <c r="H28" s="348"/>
      <c r="I28" s="22" t="s">
        <v>33</v>
      </c>
      <c r="J28" s="280"/>
      <c r="K28" s="284"/>
      <c r="L28" s="302"/>
      <c r="M28" s="302">
        <f>AVERAGE([5]Brewhouse!$AV$23:$AV$34)</f>
        <v>98.31387229810305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7" ht="14.65" customHeight="1">
      <c r="A29" s="28"/>
      <c r="B29" s="581"/>
      <c r="C29" s="362">
        <f>[3]Process!D93</f>
        <v>11.9</v>
      </c>
      <c r="D29" s="521">
        <v>11.83</v>
      </c>
      <c r="E29" s="522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7" ht="14.65" customHeight="1">
      <c r="A30" s="28"/>
      <c r="B30" s="581"/>
      <c r="C30" s="362">
        <f>[3]Process!D94</f>
        <v>11.8</v>
      </c>
      <c r="D30" s="523"/>
      <c r="E30" s="520"/>
      <c r="F30" s="417"/>
      <c r="G30" s="294"/>
      <c r="H30" s="348"/>
      <c r="I30" s="36" t="s">
        <v>15</v>
      </c>
      <c r="J30" s="323"/>
      <c r="K30" s="284"/>
      <c r="L30" s="302"/>
      <c r="M30" s="302">
        <f>AVERAGE([7]Brewhouse!$AT$4:$AT$11)</f>
        <v>92.826224508052405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  <c r="AA30" s="472"/>
    </row>
    <row r="31" spans="1:27" ht="14.65" customHeight="1">
      <c r="A31" s="28"/>
      <c r="B31" s="581"/>
      <c r="C31" s="362">
        <f>[3]Process!D95</f>
        <v>11.7</v>
      </c>
      <c r="D31" s="521">
        <v>11.9</v>
      </c>
      <c r="E31" s="522"/>
      <c r="F31" s="417"/>
      <c r="G31" s="294"/>
      <c r="H31" s="348"/>
      <c r="I31" s="37" t="s">
        <v>16</v>
      </c>
      <c r="J31" s="323"/>
      <c r="K31" s="284"/>
      <c r="L31" s="302"/>
      <c r="M31" s="302">
        <f>AVERAGE([8]Brewhouse!$AY$5:$AY$7)</f>
        <v>98.128633252159673</v>
      </c>
      <c r="N31" s="30">
        <v>98</v>
      </c>
      <c r="O31" s="11"/>
      <c r="P31" s="31" t="s">
        <v>41</v>
      </c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  <c r="AA31" s="472"/>
    </row>
    <row r="32" spans="1:27" ht="14.65" customHeight="1">
      <c r="A32" s="28"/>
      <c r="B32" s="581"/>
      <c r="C32" s="362">
        <f>[3]Process!D96</f>
        <v>11.7</v>
      </c>
      <c r="D32" s="523"/>
      <c r="E32" s="520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  <c r="AA32" s="472"/>
    </row>
    <row r="33" spans="1:56" ht="14.65" customHeight="1">
      <c r="A33" s="28"/>
      <c r="B33" s="581"/>
      <c r="C33" s="349">
        <f>[3]Process!D97</f>
        <v>11.7</v>
      </c>
      <c r="D33" s="521">
        <v>11.97</v>
      </c>
      <c r="E33" s="522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  <c r="AA33" s="472"/>
    </row>
    <row r="34" spans="1:56" ht="15" customHeight="1" thickBot="1">
      <c r="A34" s="28"/>
      <c r="B34" s="581"/>
      <c r="C34" s="349">
        <f>[3]Process!D98</f>
        <v>11.6</v>
      </c>
      <c r="D34" s="523"/>
      <c r="E34" s="520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  <c r="AA34" s="472"/>
    </row>
    <row r="35" spans="1:56" ht="15" customHeight="1" thickBot="1">
      <c r="A35" s="28"/>
      <c r="B35" s="581"/>
      <c r="C35" s="349"/>
      <c r="D35" s="517"/>
      <c r="E35" s="518"/>
      <c r="F35" s="294"/>
      <c r="G35" s="294"/>
      <c r="H35" s="348"/>
      <c r="I35" s="1"/>
      <c r="J35" s="39"/>
      <c r="K35" s="404">
        <f>SUM(K25:K34)</f>
        <v>31</v>
      </c>
      <c r="L35" s="405">
        <f>((L25*K25)+(L26*K26)+(L27*K27)+(L28*K28)+(L29*K29)+(K32*L32)+(L30*K30)+(L31*K31)+(L34*K34))/(K35)</f>
        <v>97.745807289611406</v>
      </c>
      <c r="M35" s="405">
        <f>L35</f>
        <v>97.745807289611406</v>
      </c>
      <c r="N35" s="4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.75" thickBot="1">
      <c r="B36" s="582"/>
      <c r="C36" s="350"/>
      <c r="D36" s="519"/>
      <c r="E36" s="520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.75" thickBot="1">
      <c r="B37" s="583"/>
      <c r="C37" s="362"/>
      <c r="D37" s="525"/>
      <c r="E37" s="526"/>
      <c r="F37" s="294"/>
      <c r="G37" s="42"/>
      <c r="H37" s="41"/>
      <c r="I37" s="42"/>
      <c r="J37" s="527" t="s">
        <v>129</v>
      </c>
      <c r="K37" s="527"/>
      <c r="L37" s="294"/>
      <c r="M37" s="294"/>
      <c r="N37" s="294"/>
      <c r="O37" s="294"/>
      <c r="P37" s="12"/>
    </row>
    <row r="38" spans="1:56" ht="15.75" thickBot="1">
      <c r="B38" s="584"/>
      <c r="C38" s="362"/>
      <c r="D38" s="523"/>
      <c r="E38" s="520"/>
      <c r="F38" s="294"/>
      <c r="G38" s="42"/>
      <c r="H38" s="41"/>
      <c r="I38" s="42"/>
      <c r="J38" s="292" t="s">
        <v>17</v>
      </c>
      <c r="K38" s="293" t="s">
        <v>147</v>
      </c>
      <c r="L38" s="528" t="s">
        <v>136</v>
      </c>
      <c r="M38" s="528"/>
      <c r="N38" s="529"/>
      <c r="O38" s="294"/>
      <c r="P38" s="12"/>
    </row>
    <row r="39" spans="1:56" ht="15" customHeight="1" thickBot="1">
      <c r="B39" s="584"/>
      <c r="C39" s="349"/>
      <c r="D39" s="521"/>
      <c r="E39" s="522"/>
      <c r="F39" s="294"/>
      <c r="G39" s="42"/>
      <c r="H39" s="41"/>
      <c r="I39" s="42"/>
      <c r="J39" s="287" t="s">
        <v>6</v>
      </c>
      <c r="K39" s="324"/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84"/>
      <c r="C40" s="349"/>
      <c r="D40" s="523"/>
      <c r="E40" s="520"/>
      <c r="F40" s="294"/>
      <c r="G40" s="42"/>
      <c r="H40" s="41"/>
      <c r="I40" s="42"/>
      <c r="J40" s="345" t="s">
        <v>9</v>
      </c>
      <c r="K40" s="324">
        <v>7</v>
      </c>
      <c r="L40" s="344">
        <f>AVERAGE(K49,'Feb 2nd'!K49,'Feb 3rd'!K54,'Feb 4th'!K53,'Feb 4th'!K53)</f>
        <v>7.8</v>
      </c>
      <c r="M40" s="325">
        <f>AVERAGE('[9]Jan30th-31st'!$L$47,L40)</f>
        <v>6.9434782608695649</v>
      </c>
      <c r="N40" s="416">
        <v>9.1999999999999993</v>
      </c>
      <c r="O40" s="294"/>
      <c r="P40" s="12"/>
    </row>
    <row r="41" spans="1:56" ht="15" customHeight="1">
      <c r="B41" s="584"/>
      <c r="C41" s="349"/>
      <c r="D41" s="521"/>
      <c r="E41" s="522"/>
      <c r="F41" s="294"/>
      <c r="G41" s="42"/>
      <c r="H41" s="41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84"/>
      <c r="C42" s="349"/>
      <c r="D42" s="523"/>
      <c r="E42" s="520"/>
      <c r="F42" s="294"/>
      <c r="G42" s="42"/>
      <c r="H42" s="41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84"/>
      <c r="C43" s="349"/>
      <c r="D43" s="521"/>
      <c r="E43" s="522"/>
      <c r="F43" s="294"/>
      <c r="G43" s="42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84"/>
      <c r="C44" s="349"/>
      <c r="D44" s="523"/>
      <c r="E44" s="520"/>
      <c r="F44" s="294"/>
      <c r="G44" s="42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84"/>
      <c r="C45" s="349"/>
      <c r="D45" s="521"/>
      <c r="E45" s="522"/>
      <c r="F45" s="294"/>
      <c r="G45" s="42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85"/>
      <c r="C46" s="350"/>
      <c r="D46" s="530"/>
      <c r="E46" s="531"/>
      <c r="F46" s="294" t="s">
        <v>166</v>
      </c>
      <c r="G46" s="42"/>
      <c r="H46" s="41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32"/>
      <c r="E47" s="533"/>
      <c r="F47" s="294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1:57" ht="15.6" customHeight="1">
      <c r="B49" s="45"/>
      <c r="C49" s="11"/>
      <c r="D49" s="11"/>
      <c r="E49" s="46"/>
      <c r="F49" s="294"/>
      <c r="G49" s="42"/>
      <c r="H49" s="41"/>
      <c r="I49" s="42"/>
      <c r="J49" s="346" t="s">
        <v>130</v>
      </c>
      <c r="K49" s="324">
        <f>SUM(K39:K48)</f>
        <v>7</v>
      </c>
      <c r="L49" s="294"/>
      <c r="M49" s="294"/>
      <c r="N49" s="294"/>
      <c r="O49" s="294"/>
      <c r="P49" s="12"/>
    </row>
    <row r="50" spans="1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1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1:57" ht="15" customHeight="1" thickBot="1">
      <c r="B52" s="534" t="s">
        <v>17</v>
      </c>
      <c r="C52" s="534" t="s">
        <v>44</v>
      </c>
      <c r="D52" s="537" t="s">
        <v>45</v>
      </c>
      <c r="E52" s="500" t="s">
        <v>46</v>
      </c>
      <c r="F52" s="509" t="s">
        <v>47</v>
      </c>
      <c r="G52" s="546" t="s">
        <v>48</v>
      </c>
      <c r="H52" s="534" t="s">
        <v>49</v>
      </c>
      <c r="I52" s="534" t="s">
        <v>50</v>
      </c>
      <c r="J52" s="540" t="s">
        <v>28</v>
      </c>
      <c r="K52" s="498" t="s">
        <v>51</v>
      </c>
      <c r="L52" s="549" t="s">
        <v>52</v>
      </c>
      <c r="M52" s="540" t="s">
        <v>53</v>
      </c>
      <c r="N52" s="13"/>
      <c r="O52" s="13"/>
      <c r="P52" s="50"/>
    </row>
    <row r="53" spans="1:57" ht="28.5" customHeight="1" thickTop="1" thickBot="1">
      <c r="B53" s="535"/>
      <c r="C53" s="536"/>
      <c r="D53" s="538"/>
      <c r="E53" s="539"/>
      <c r="F53" s="551"/>
      <c r="G53" s="547"/>
      <c r="H53" s="535"/>
      <c r="I53" s="535"/>
      <c r="J53" s="541"/>
      <c r="K53" s="548"/>
      <c r="L53" s="550"/>
      <c r="M53" s="541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1:57" s="54" customFormat="1" ht="37.15" customHeight="1" thickBot="1">
      <c r="B54" s="480" t="str">
        <f>I25</f>
        <v>CARIB</v>
      </c>
      <c r="C54" s="479">
        <v>46058</v>
      </c>
      <c r="D54" s="442">
        <f>[29]February_2026!$H$3</f>
        <v>507.07</v>
      </c>
      <c r="E54" s="443"/>
      <c r="F54" s="444"/>
      <c r="G54" s="445">
        <f>[29]February_2026!$H$7</f>
        <v>477.3</v>
      </c>
      <c r="H54" s="446"/>
      <c r="I54" s="447"/>
      <c r="J54" s="448" t="s">
        <v>177</v>
      </c>
      <c r="K54" s="449">
        <f>[30]February_2026!$H$18</f>
        <v>0.55824561403508766</v>
      </c>
      <c r="L54" s="457">
        <f>(((D54+E54)-G54)/(D54+E54))*100</f>
        <v>5.8709842822489957</v>
      </c>
      <c r="M54" s="455" t="s">
        <v>174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1:57" s="54" customFormat="1" ht="14.25" customHeight="1" thickBot="1">
      <c r="B55" s="480"/>
      <c r="C55" s="479"/>
      <c r="D55" s="442"/>
      <c r="E55" s="443"/>
      <c r="F55" s="444"/>
      <c r="G55" s="445"/>
      <c r="H55" s="446"/>
      <c r="I55" s="447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37.15" hidden="1" customHeight="1" thickBot="1">
      <c r="A56" s="54" t="s">
        <v>170</v>
      </c>
      <c r="B56" s="480"/>
      <c r="C56" s="479"/>
      <c r="D56" s="442"/>
      <c r="E56" s="443"/>
      <c r="F56" s="444"/>
      <c r="G56" s="445"/>
      <c r="H56" s="446"/>
      <c r="I56" s="447"/>
      <c r="J56" s="448" t="s">
        <v>169</v>
      </c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[10]January_2019!L7</f>
        <v>285.8</v>
      </c>
      <c r="AC56" s="57">
        <f>[10]January_2019!M7</f>
        <v>508.1</v>
      </c>
      <c r="AD56" s="57">
        <f>[10]January_2019!N7</f>
        <v>0</v>
      </c>
      <c r="AE56" s="57">
        <f>[10]January_2019!O7</f>
        <v>0</v>
      </c>
      <c r="AF56" s="57">
        <f>[10]January_2019!P7</f>
        <v>109.56666666666666</v>
      </c>
      <c r="AG56" s="57">
        <f>[10]January_2019!Q7</f>
        <v>297.64999999999998</v>
      </c>
      <c r="AH56" s="57">
        <f>[10]January_2019!R7</f>
        <v>122.3</v>
      </c>
      <c r="AI56" s="57">
        <f>[10]January_2019!S7</f>
        <v>0</v>
      </c>
      <c r="AJ56" s="57">
        <f>[10]January_2019!T7</f>
        <v>294.7</v>
      </c>
      <c r="AK56" s="57">
        <f>[10]January_2019!U7</f>
        <v>280.5</v>
      </c>
      <c r="AL56" s="57">
        <f>[10]January_2019!V7</f>
        <v>0</v>
      </c>
      <c r="AM56" s="57">
        <f>[10]January_2019!W7</f>
        <v>0</v>
      </c>
      <c r="AN56" s="57">
        <f>[10]January_2019!X7</f>
        <v>188.25</v>
      </c>
      <c r="AO56" s="57">
        <f>[10]January_2019!Y7</f>
        <v>295.7</v>
      </c>
      <c r="AP56" s="57">
        <f>[10]January_2019!Z7</f>
        <v>257.8</v>
      </c>
      <c r="AQ56" s="57">
        <f>[10]January_2019!AA7</f>
        <v>291.2</v>
      </c>
      <c r="AR56" s="57">
        <f>[10]January_2019!AB7</f>
        <v>187</v>
      </c>
      <c r="AS56" s="57">
        <f>[10]January_2019!AC7</f>
        <v>0</v>
      </c>
      <c r="AT56" s="57">
        <f>[10]January_2019!AD7</f>
        <v>0</v>
      </c>
      <c r="AU56" s="57">
        <f>[10]January_2019!AE7</f>
        <v>485.1</v>
      </c>
      <c r="AV56" s="57">
        <f>[10]January_2019!AF7</f>
        <v>171.55</v>
      </c>
      <c r="AW56" s="57">
        <f>[10]January_2019!AG7</f>
        <v>423.8</v>
      </c>
      <c r="AX56" s="277">
        <f>[10]January_2019!AH7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19.5" hidden="1" customHeight="1" thickBot="1">
      <c r="B57" s="478"/>
      <c r="C57" s="430"/>
      <c r="D57" s="431"/>
      <c r="E57" s="432"/>
      <c r="F57" s="433"/>
      <c r="G57" s="434"/>
      <c r="H57" s="428"/>
      <c r="I57" s="42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38.450000000000003" hidden="1" customHeight="1" thickBot="1">
      <c r="B58" s="481"/>
      <c r="C58" s="479"/>
      <c r="D58" s="442"/>
      <c r="E58" s="443"/>
      <c r="F58" s="444"/>
      <c r="G58" s="445"/>
      <c r="H58" s="458"/>
      <c r="I58" s="458"/>
      <c r="J58" s="448"/>
      <c r="K58" s="45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7.15" hidden="1" customHeight="1" thickBot="1">
      <c r="B60" s="480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1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42" t="s">
        <v>55</v>
      </c>
      <c r="C65" s="543"/>
      <c r="D65" s="543"/>
      <c r="E65" s="543"/>
      <c r="F65" s="544"/>
      <c r="G65" s="542" t="s">
        <v>56</v>
      </c>
      <c r="H65" s="543"/>
      <c r="I65" s="543"/>
      <c r="J65" s="544"/>
      <c r="K65" s="542" t="s">
        <v>51</v>
      </c>
      <c r="L65" s="543"/>
      <c r="M65" s="543"/>
      <c r="N65" s="545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282">
        <f>L54</f>
        <v>5.8709842822489957</v>
      </c>
      <c r="D67" s="76">
        <v>6.5716733764480937</v>
      </c>
      <c r="E67" s="76">
        <v>8.0311009292592725</v>
      </c>
      <c r="F67" s="66">
        <v>4.8</v>
      </c>
      <c r="G67" s="65">
        <f>[29]February_2026!$H$11</f>
        <v>4.9548868056772095</v>
      </c>
      <c r="H67" s="477">
        <v>6.4959621173167532</v>
      </c>
      <c r="I67" s="477">
        <v>7.9302556552194829</v>
      </c>
      <c r="J67" s="66">
        <v>4.8</v>
      </c>
      <c r="K67" s="67">
        <f>K54</f>
        <v>0.55824561403508766</v>
      </c>
      <c r="L67" s="194">
        <v>0.42280701754385963</v>
      </c>
      <c r="M67" s="194">
        <v>0.41420431286549708</v>
      </c>
      <c r="N67" s="68">
        <v>1</v>
      </c>
      <c r="O67" s="56"/>
      <c r="P67" s="69"/>
    </row>
    <row r="68" spans="2:16" ht="15">
      <c r="B68" s="33" t="s">
        <v>9</v>
      </c>
      <c r="C68" s="65"/>
      <c r="D68" s="76"/>
      <c r="E68" s="76">
        <v>6.0460527097870944</v>
      </c>
      <c r="F68" s="66">
        <v>4.8</v>
      </c>
      <c r="G68" s="65"/>
      <c r="H68" s="76"/>
      <c r="I68" s="76">
        <v>6.6612521752018941</v>
      </c>
      <c r="J68" s="66">
        <v>4.8</v>
      </c>
      <c r="K68" s="67"/>
      <c r="L68" s="194"/>
      <c r="M68" s="194">
        <v>0.60344005847953208</v>
      </c>
      <c r="N68" s="68">
        <v>1</v>
      </c>
      <c r="P68" s="69"/>
    </row>
    <row r="69" spans="2:16" ht="15">
      <c r="B69" s="34" t="s">
        <v>40</v>
      </c>
      <c r="C69" s="65"/>
      <c r="D69" s="76">
        <v>11.722828666350269</v>
      </c>
      <c r="E69" s="76">
        <v>11.155100139729852</v>
      </c>
      <c r="F69" s="66">
        <v>5.5</v>
      </c>
      <c r="G69" s="65"/>
      <c r="H69" s="76">
        <v>12.537121640099599</v>
      </c>
      <c r="I69" s="76">
        <v>11.952951274961968</v>
      </c>
      <c r="J69" s="66">
        <v>5.5</v>
      </c>
      <c r="K69" s="67"/>
      <c r="L69" s="194">
        <v>0.16315789473684211</v>
      </c>
      <c r="M69" s="194">
        <v>0.42456140350877192</v>
      </c>
      <c r="N69" s="68">
        <v>1</v>
      </c>
      <c r="P69" s="69"/>
    </row>
    <row r="70" spans="2:16" ht="15">
      <c r="B70" s="22" t="s">
        <v>33</v>
      </c>
      <c r="C70" s="65"/>
      <c r="D70" s="76"/>
      <c r="E70" s="76">
        <v>5.0755456997699637</v>
      </c>
      <c r="F70" s="66">
        <v>3.3</v>
      </c>
      <c r="G70" s="65"/>
      <c r="H70" s="76"/>
      <c r="I70" s="76">
        <v>4.6359882890480018</v>
      </c>
      <c r="J70" s="66">
        <v>3.3</v>
      </c>
      <c r="K70" s="67"/>
      <c r="L70" s="194"/>
      <c r="M70" s="194">
        <v>0.66833333333333345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65"/>
      <c r="D72" s="76"/>
      <c r="E72" s="76">
        <v>5.1105651105651271</v>
      </c>
      <c r="F72" s="70">
        <f>[11]May_2022!$M$43</f>
        <v>3.4878406700073312</v>
      </c>
      <c r="G72" s="282"/>
      <c r="H72" s="76"/>
      <c r="I72" s="76">
        <v>7.9131369535794072</v>
      </c>
      <c r="J72" s="66">
        <v>5.5</v>
      </c>
      <c r="K72" s="67"/>
      <c r="L72" s="194"/>
      <c r="M72" s="194">
        <v>1.3550877192982456</v>
      </c>
      <c r="N72" s="68">
        <v>1</v>
      </c>
      <c r="P72" s="69"/>
    </row>
    <row r="73" spans="2:16" ht="15">
      <c r="B73" s="37" t="s">
        <v>16</v>
      </c>
      <c r="C73" s="65"/>
      <c r="D73" s="76"/>
      <c r="E73" s="76">
        <v>2.0590520590520631</v>
      </c>
      <c r="F73" s="66">
        <v>3.3</v>
      </c>
      <c r="G73" s="282"/>
      <c r="H73" s="76"/>
      <c r="I73" s="76">
        <v>2.1755040108015784</v>
      </c>
      <c r="J73" s="66">
        <v>3.3</v>
      </c>
      <c r="K73" s="67"/>
      <c r="L73" s="194"/>
      <c r="M73" s="194">
        <v>0.88456140350877199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7.1385296759772014</v>
      </c>
      <c r="E76" s="76">
        <v>6.9820797501306915</v>
      </c>
      <c r="F76" s="341">
        <v>5.5</v>
      </c>
      <c r="H76" s="76">
        <v>7.4525927607108109</v>
      </c>
      <c r="I76" s="76">
        <v>7.1550147652077092</v>
      </c>
      <c r="J76" s="341">
        <v>5.5</v>
      </c>
      <c r="L76" s="194">
        <v>0.37953216374269005</v>
      </c>
      <c r="M76" s="194">
        <v>0.37953216374269005</v>
      </c>
      <c r="N76" s="386">
        <v>1</v>
      </c>
    </row>
  </sheetData>
  <mergeCells count="51"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2766" priority="74" operator="notBetween">
      <formula>#REF!</formula>
      <formula>#REF!</formula>
    </cfRule>
  </conditionalFormatting>
  <conditionalFormatting sqref="C51">
    <cfRule type="cellIs" dxfId="2765" priority="202" stopIfTrue="1" operator="greaterThan">
      <formula>100</formula>
    </cfRule>
    <cfRule type="cellIs" dxfId="2764" priority="201" stopIfTrue="1" operator="lessThan">
      <formula>96</formula>
    </cfRule>
  </conditionalFormatting>
  <conditionalFormatting sqref="C67:C71">
    <cfRule type="cellIs" dxfId="2763" priority="159" stopIfTrue="1" operator="lessThanOrEqual">
      <formula>0</formula>
    </cfRule>
  </conditionalFormatting>
  <conditionalFormatting sqref="C67:C75">
    <cfRule type="cellIs" dxfId="2762" priority="158" stopIfTrue="1" operator="greaterThan">
      <formula>$F67</formula>
    </cfRule>
  </conditionalFormatting>
  <conditionalFormatting sqref="C68">
    <cfRule type="cellIs" dxfId="2761" priority="205" stopIfTrue="1" operator="greaterThan">
      <formula>$F67</formula>
    </cfRule>
  </conditionalFormatting>
  <conditionalFormatting sqref="C72">
    <cfRule type="cellIs" dxfId="2760" priority="98" stopIfTrue="1" operator="lessThanOrEqual">
      <formula>0</formula>
    </cfRule>
    <cfRule type="cellIs" dxfId="2759" priority="99" stopIfTrue="1" operator="greaterThan">
      <formula>$F71</formula>
    </cfRule>
  </conditionalFormatting>
  <conditionalFormatting sqref="C78:C82">
    <cfRule type="cellIs" dxfId="2758" priority="193" stopIfTrue="1" operator="lessThanOrEqual">
      <formula>0</formula>
    </cfRule>
  </conditionalFormatting>
  <conditionalFormatting sqref="C79:C82">
    <cfRule type="cellIs" dxfId="2757" priority="192" stopIfTrue="1" operator="greaterThan">
      <formula>$F$78</formula>
    </cfRule>
  </conditionalFormatting>
  <conditionalFormatting sqref="C84">
    <cfRule type="cellIs" dxfId="2756" priority="195" stopIfTrue="1" operator="lessThanOrEqual">
      <formula>0</formula>
    </cfRule>
    <cfRule type="cellIs" dxfId="2755" priority="194" stopIfTrue="1" operator="greaterThan">
      <formula>$F$78</formula>
    </cfRule>
  </conditionalFormatting>
  <conditionalFormatting sqref="C78:D78 D80:D86">
    <cfRule type="cellIs" dxfId="2754" priority="187" stopIfTrue="1" operator="greaterThan">
      <formula>4.5</formula>
    </cfRule>
  </conditionalFormatting>
  <conditionalFormatting sqref="D47:D48">
    <cfRule type="cellIs" dxfId="2753" priority="75" operator="notBetween">
      <formula>#REF!</formula>
      <formula>#REF!</formula>
    </cfRule>
  </conditionalFormatting>
  <conditionalFormatting sqref="D67:D74">
    <cfRule type="cellIs" dxfId="2752" priority="167" stopIfTrue="1" operator="lessThanOrEqual">
      <formula>0</formula>
    </cfRule>
  </conditionalFormatting>
  <conditionalFormatting sqref="D78 D80:D86">
    <cfRule type="cellIs" dxfId="2751" priority="188" stopIfTrue="1" operator="lessThanOrEqual">
      <formula>0</formula>
    </cfRule>
  </conditionalFormatting>
  <conditionalFormatting sqref="D79">
    <cfRule type="cellIs" dxfId="2750" priority="179" stopIfTrue="1" operator="greaterThan">
      <formula>$F$78</formula>
    </cfRule>
    <cfRule type="cellIs" dxfId="2749" priority="180" stopIfTrue="1" operator="lessThanOrEqual">
      <formula>0</formula>
    </cfRule>
  </conditionalFormatting>
  <conditionalFormatting sqref="D67:E76">
    <cfRule type="cellIs" dxfId="2748" priority="156" stopIfTrue="1" operator="greaterThan">
      <formula>$F67</formula>
    </cfRule>
  </conditionalFormatting>
  <conditionalFormatting sqref="D75:E75">
    <cfRule type="cellIs" dxfId="2747" priority="166" stopIfTrue="1" operator="lessThanOrEqual">
      <formula>0</formula>
    </cfRule>
  </conditionalFormatting>
  <conditionalFormatting sqref="D76:E76">
    <cfRule type="cellIs" dxfId="2746" priority="157" stopIfTrue="1" operator="lessThanOrEqual">
      <formula>0</formula>
    </cfRule>
  </conditionalFormatting>
  <conditionalFormatting sqref="E10:E22">
    <cfRule type="cellIs" dxfId="2745" priority="33" operator="lessThan">
      <formula>48</formula>
    </cfRule>
  </conditionalFormatting>
  <conditionalFormatting sqref="E50 E51:F51">
    <cfRule type="cellIs" dxfId="2744" priority="184" stopIfTrue="1" operator="greaterThan">
      <formula>100</formula>
    </cfRule>
  </conditionalFormatting>
  <conditionalFormatting sqref="E51">
    <cfRule type="cellIs" dxfId="2743" priority="181" stopIfTrue="1" operator="lessThan">
      <formula>96.8</formula>
    </cfRule>
    <cfRule type="cellIs" dxfId="2742" priority="182" stopIfTrue="1" operator="greaterThan">
      <formula>100</formula>
    </cfRule>
  </conditionalFormatting>
  <conditionalFormatting sqref="E67:E74">
    <cfRule type="cellIs" dxfId="2741" priority="12" stopIfTrue="1" operator="lessThanOrEqual">
      <formula>0</formula>
    </cfRule>
  </conditionalFormatting>
  <conditionalFormatting sqref="E67:E75">
    <cfRule type="cellIs" dxfId="2740" priority="163" stopIfTrue="1" operator="lessThanOrEqual">
      <formula>0</formula>
    </cfRule>
  </conditionalFormatting>
  <conditionalFormatting sqref="E78:E86">
    <cfRule type="cellIs" dxfId="2739" priority="174" stopIfTrue="1" operator="lessThanOrEqual">
      <formula>0</formula>
    </cfRule>
    <cfRule type="cellIs" dxfId="2738" priority="173" stopIfTrue="1" operator="greaterThan">
      <formula>4.5</formula>
    </cfRule>
  </conditionalFormatting>
  <conditionalFormatting sqref="E51:F51 E50">
    <cfRule type="cellIs" dxfId="2737" priority="183" stopIfTrue="1" operator="lessThan">
      <formula>96.5</formula>
    </cfRule>
  </conditionalFormatting>
  <conditionalFormatting sqref="F17:F19 F21:F22">
    <cfRule type="cellIs" dxfId="2736" priority="34" operator="greaterThan">
      <formula>60</formula>
    </cfRule>
  </conditionalFormatting>
  <conditionalFormatting sqref="F51">
    <cfRule type="cellIs" dxfId="2735" priority="199" stopIfTrue="1" operator="lessThan">
      <formula>96.8</formula>
    </cfRule>
    <cfRule type="cellIs" dxfId="2734" priority="200" stopIfTrue="1" operator="greaterThan">
      <formula>100</formula>
    </cfRule>
  </conditionalFormatting>
  <conditionalFormatting sqref="F76">
    <cfRule type="cellIs" dxfId="2733" priority="165" stopIfTrue="1" operator="lessThanOrEqual">
      <formula>0</formula>
    </cfRule>
    <cfRule type="cellIs" dxfId="2732" priority="164" stopIfTrue="1" operator="greaterThan">
      <formula>$F76</formula>
    </cfRule>
  </conditionalFormatting>
  <conditionalFormatting sqref="G10:G21">
    <cfRule type="expression" dxfId="2731" priority="36">
      <formula>IF(+(IF(G10&lt;S10,0,IF(G10&gt;T10,0,1)))=0,1)</formula>
    </cfRule>
  </conditionalFormatting>
  <conditionalFormatting sqref="G67:G68 C73:C75">
    <cfRule type="cellIs" dxfId="2730" priority="169" stopIfTrue="1" operator="lessThanOrEqual">
      <formula>0</formula>
    </cfRule>
  </conditionalFormatting>
  <conditionalFormatting sqref="G67:G68">
    <cfRule type="cellIs" dxfId="2729" priority="168" stopIfTrue="1" operator="greaterThan">
      <formula>$F67</formula>
    </cfRule>
    <cfRule type="cellIs" dxfId="2728" priority="161" stopIfTrue="1" operator="lessThanOrEqual">
      <formula>0</formula>
    </cfRule>
    <cfRule type="cellIs" dxfId="2727" priority="160" stopIfTrue="1" operator="greaterThan">
      <formula>$F67</formula>
    </cfRule>
  </conditionalFormatting>
  <conditionalFormatting sqref="G69">
    <cfRule type="cellIs" dxfId="2726" priority="204" stopIfTrue="1" operator="lessThanOrEqual">
      <formula>0</formula>
    </cfRule>
    <cfRule type="cellIs" dxfId="2725" priority="203" stopIfTrue="1" operator="greaterThan">
      <formula>$F68</formula>
    </cfRule>
  </conditionalFormatting>
  <conditionalFormatting sqref="G70">
    <cfRule type="cellIs" dxfId="2724" priority="70" stopIfTrue="1" operator="greaterThan">
      <formula>$F70</formula>
    </cfRule>
    <cfRule type="cellIs" dxfId="2723" priority="72" stopIfTrue="1" operator="greaterThan">
      <formula>$F70</formula>
    </cfRule>
    <cfRule type="cellIs" dxfId="2722" priority="71" stopIfTrue="1" operator="lessThanOrEqual">
      <formula>0</formula>
    </cfRule>
    <cfRule type="cellIs" dxfId="2721" priority="73" stopIfTrue="1" operator="lessThanOrEqual">
      <formula>0</formula>
    </cfRule>
  </conditionalFormatting>
  <conditionalFormatting sqref="G71:G75">
    <cfRule type="cellIs" dxfId="2720" priority="171" stopIfTrue="1" operator="lessThanOrEqual">
      <formula>0</formula>
    </cfRule>
    <cfRule type="cellIs" dxfId="2719" priority="170" stopIfTrue="1" operator="greaterThan">
      <formula>$J71</formula>
    </cfRule>
  </conditionalFormatting>
  <conditionalFormatting sqref="G80:G85 C83 C85">
    <cfRule type="cellIs" dxfId="2718" priority="197" stopIfTrue="1" operator="lessThanOrEqual">
      <formula>0</formula>
    </cfRule>
    <cfRule type="cellIs" dxfId="2717" priority="196" stopIfTrue="1" operator="greaterThan">
      <formula>4.5</formula>
    </cfRule>
  </conditionalFormatting>
  <conditionalFormatting sqref="G79:H79">
    <cfRule type="cellIs" dxfId="2716" priority="177" stopIfTrue="1" operator="greaterThan">
      <formula>$F$78</formula>
    </cfRule>
    <cfRule type="cellIs" dxfId="2715" priority="178" stopIfTrue="1" operator="lessThanOrEqual">
      <formula>0</formula>
    </cfRule>
  </conditionalFormatting>
  <conditionalFormatting sqref="H10:H21 G22:H22">
    <cfRule type="expression" dxfId="2714" priority="67">
      <formula>IF(+(IF(G10&lt;#REF!,0,IF(G10&gt;#REF!,0,1)))=0,1)</formula>
    </cfRule>
  </conditionalFormatting>
  <conditionalFormatting sqref="H36:H50">
    <cfRule type="cellIs" dxfId="2713" priority="175" stopIfTrue="1" operator="greaterThan">
      <formula>0</formula>
    </cfRule>
  </conditionalFormatting>
  <conditionalFormatting sqref="H54:H55">
    <cfRule type="cellIs" dxfId="2712" priority="14" stopIfTrue="1" operator="lessThanOrEqual">
      <formula>0</formula>
    </cfRule>
    <cfRule type="cellIs" dxfId="2711" priority="15" stopIfTrue="1" operator="greaterThan">
      <formula>#REF!</formula>
    </cfRule>
    <cfRule type="cellIs" dxfId="2710" priority="23" stopIfTrue="1" operator="greaterThan">
      <formula>$F$22</formula>
    </cfRule>
    <cfRule type="cellIs" dxfId="2709" priority="24" stopIfTrue="1" operator="lessThanOrEqual">
      <formula>0</formula>
    </cfRule>
    <cfRule type="cellIs" dxfId="2708" priority="25" stopIfTrue="1" operator="greaterThan">
      <formula>#REF!</formula>
    </cfRule>
  </conditionalFormatting>
  <conditionalFormatting sqref="H54:H56">
    <cfRule type="cellIs" dxfId="2707" priority="26" stopIfTrue="1" operator="lessThanOrEqual">
      <formula>0</formula>
    </cfRule>
  </conditionalFormatting>
  <conditionalFormatting sqref="H56">
    <cfRule type="cellIs" dxfId="2706" priority="50" stopIfTrue="1" operator="lessThanOrEqual">
      <formula>0</formula>
    </cfRule>
    <cfRule type="cellIs" dxfId="2705" priority="39" stopIfTrue="1" operator="greaterThan">
      <formula>#REF!</formula>
    </cfRule>
    <cfRule type="cellIs" dxfId="2704" priority="47" stopIfTrue="1" operator="greaterThan">
      <formula>$F$22</formula>
    </cfRule>
    <cfRule type="cellIs" dxfId="2703" priority="48" stopIfTrue="1" operator="lessThanOrEqual">
      <formula>0</formula>
    </cfRule>
    <cfRule type="cellIs" dxfId="2702" priority="49" stopIfTrue="1" operator="greaterThan">
      <formula>#REF!</formula>
    </cfRule>
  </conditionalFormatting>
  <conditionalFormatting sqref="H57">
    <cfRule type="cellIs" dxfId="2701" priority="125" stopIfTrue="1" operator="lessThanOrEqual">
      <formula>0</formula>
    </cfRule>
    <cfRule type="cellIs" dxfId="2700" priority="126" stopIfTrue="1" operator="greaterThan">
      <formula>#REF!</formula>
    </cfRule>
    <cfRule type="cellIs" dxfId="2699" priority="127" stopIfTrue="1" operator="lessThanOrEqual">
      <formula>0</formula>
    </cfRule>
    <cfRule type="cellIs" dxfId="2698" priority="124" stopIfTrue="1" operator="greaterThan">
      <formula>$F$23</formula>
    </cfRule>
    <cfRule type="cellIs" dxfId="2697" priority="116" stopIfTrue="1" operator="greaterThan">
      <formula>#REF!</formula>
    </cfRule>
    <cfRule type="cellIs" dxfId="2696" priority="115" stopIfTrue="1" operator="lessThanOrEqual">
      <formula>0</formula>
    </cfRule>
  </conditionalFormatting>
  <conditionalFormatting sqref="H58">
    <cfRule type="cellIs" dxfId="2695" priority="61" stopIfTrue="1" operator="greaterThan">
      <formula>$F$70</formula>
    </cfRule>
    <cfRule type="cellIs" dxfId="2694" priority="52" stopIfTrue="1" operator="lessThanOrEqual">
      <formula>0</formula>
    </cfRule>
    <cfRule type="cellIs" dxfId="2693" priority="53" stopIfTrue="1" operator="greaterThan">
      <formula>$F$67</formula>
    </cfRule>
    <cfRule type="cellIs" dxfId="2692" priority="62" stopIfTrue="1" operator="lessThanOrEqual">
      <formula>0</formula>
    </cfRule>
    <cfRule type="cellIs" dxfId="2691" priority="64" stopIfTrue="1" operator="lessThanOrEqual">
      <formula>0</formula>
    </cfRule>
    <cfRule type="cellIs" dxfId="2690" priority="63" stopIfTrue="1" operator="greaterThan">
      <formula>$F$68</formula>
    </cfRule>
  </conditionalFormatting>
  <conditionalFormatting sqref="H59:H60">
    <cfRule type="cellIs" dxfId="2689" priority="113" stopIfTrue="1" operator="lessThanOrEqual">
      <formula>0</formula>
    </cfRule>
    <cfRule type="cellIs" dxfId="2688" priority="112" stopIfTrue="1" operator="greaterThan">
      <formula>#REF!</formula>
    </cfRule>
    <cfRule type="cellIs" dxfId="2687" priority="102" stopIfTrue="1" operator="greaterThan">
      <formula>#REF!</formula>
    </cfRule>
    <cfRule type="cellIs" dxfId="2686" priority="110" stopIfTrue="1" operator="greaterThan">
      <formula>$F$22</formula>
    </cfRule>
    <cfRule type="cellIs" dxfId="2685" priority="111" stopIfTrue="1" operator="lessThanOrEqual">
      <formula>0</formula>
    </cfRule>
    <cfRule type="cellIs" dxfId="2684" priority="101" stopIfTrue="1" operator="lessThanOrEqual">
      <formula>0</formula>
    </cfRule>
  </conditionalFormatting>
  <conditionalFormatting sqref="H61">
    <cfRule type="cellIs" dxfId="2683" priority="130" stopIfTrue="1" operator="lessThanOrEqual">
      <formula>0</formula>
    </cfRule>
    <cfRule type="cellIs" dxfId="2682" priority="131" stopIfTrue="1" operator="greaterThan">
      <formula>$F$35</formula>
    </cfRule>
    <cfRule type="cellIs" dxfId="2681" priority="142" stopIfTrue="1" operator="lessThanOrEqual">
      <formula>0</formula>
    </cfRule>
    <cfRule type="cellIs" dxfId="2680" priority="139" stopIfTrue="1" operator="greaterThan">
      <formula>$F$38</formula>
    </cfRule>
    <cfRule type="cellIs" dxfId="2679" priority="140" stopIfTrue="1" operator="lessThanOrEqual">
      <formula>0</formula>
    </cfRule>
    <cfRule type="cellIs" dxfId="2678" priority="141" stopIfTrue="1" operator="greaterThan">
      <formula>$F$36</formula>
    </cfRule>
  </conditionalFormatting>
  <conditionalFormatting sqref="H62:H63">
    <cfRule type="cellIs" dxfId="2677" priority="86" stopIfTrue="1" operator="greaterThan">
      <formula>#REF!</formula>
    </cfRule>
    <cfRule type="cellIs" dxfId="2676" priority="95" stopIfTrue="1" operator="lessThanOrEqual">
      <formula>0</formula>
    </cfRule>
    <cfRule type="cellIs" dxfId="2675" priority="94" stopIfTrue="1" operator="greaterThan">
      <formula>$F$22</formula>
    </cfRule>
    <cfRule type="cellIs" dxfId="2674" priority="97" stopIfTrue="1" operator="lessThanOrEqual">
      <formula>0</formula>
    </cfRule>
    <cfRule type="cellIs" dxfId="2673" priority="96" stopIfTrue="1" operator="greaterThan">
      <formula>#REF!</formula>
    </cfRule>
    <cfRule type="cellIs" dxfId="2672" priority="85" stopIfTrue="1" operator="lessThanOrEqual">
      <formula>0</formula>
    </cfRule>
  </conditionalFormatting>
  <conditionalFormatting sqref="H78 H80:H86">
    <cfRule type="cellIs" dxfId="2671" priority="190" stopIfTrue="1" operator="lessThanOrEqual">
      <formula>0</formula>
    </cfRule>
    <cfRule type="cellIs" dxfId="2670" priority="189" stopIfTrue="1" operator="greaterThan">
      <formula>4.5</formula>
    </cfRule>
  </conditionalFormatting>
  <conditionalFormatting sqref="H54:I55">
    <cfRule type="cellIs" dxfId="2669" priority="16" stopIfTrue="1" operator="lessThanOrEqual">
      <formula>0</formula>
    </cfRule>
  </conditionalFormatting>
  <conditionalFormatting sqref="H54:I56">
    <cfRule type="cellIs" dxfId="2668" priority="13" stopIfTrue="1" operator="greaterThan">
      <formula>#REF!</formula>
    </cfRule>
  </conditionalFormatting>
  <conditionalFormatting sqref="H56:I56">
    <cfRule type="cellIs" dxfId="2667" priority="40" stopIfTrue="1" operator="lessThanOrEqual">
      <formula>0</formula>
    </cfRule>
  </conditionalFormatting>
  <conditionalFormatting sqref="H57:I57">
    <cfRule type="cellIs" dxfId="2666" priority="117" stopIfTrue="1" operator="lessThanOrEqual">
      <formula>0</formula>
    </cfRule>
    <cfRule type="cellIs" dxfId="2665" priority="114" stopIfTrue="1" operator="greaterThan">
      <formula>$F$22</formula>
    </cfRule>
  </conditionalFormatting>
  <conditionalFormatting sqref="H58:I58">
    <cfRule type="cellIs" dxfId="2664" priority="54" stopIfTrue="1" operator="lessThanOrEqual">
      <formula>0</formula>
    </cfRule>
    <cfRule type="cellIs" dxfId="2663" priority="51" stopIfTrue="1" operator="greaterThan">
      <formula>$F$69</formula>
    </cfRule>
  </conditionalFormatting>
  <conditionalFormatting sqref="H59:I60">
    <cfRule type="cellIs" dxfId="2662" priority="100" stopIfTrue="1" operator="greaterThan">
      <formula>#REF!</formula>
    </cfRule>
    <cfRule type="cellIs" dxfId="2661" priority="103" stopIfTrue="1" operator="lessThanOrEqual">
      <formula>0</formula>
    </cfRule>
  </conditionalFormatting>
  <conditionalFormatting sqref="H61:I61">
    <cfRule type="cellIs" dxfId="2660" priority="132" stopIfTrue="1" operator="lessThanOrEqual">
      <formula>0</formula>
    </cfRule>
    <cfRule type="cellIs" dxfId="2659" priority="129" stopIfTrue="1" operator="greaterThan">
      <formula>$F$37</formula>
    </cfRule>
  </conditionalFormatting>
  <conditionalFormatting sqref="H62:I63">
    <cfRule type="cellIs" dxfId="2658" priority="87" stopIfTrue="1" operator="lessThanOrEqual">
      <formula>0</formula>
    </cfRule>
    <cfRule type="cellIs" dxfId="2657" priority="84" stopIfTrue="1" operator="greaterThan">
      <formula>#REF!</formula>
    </cfRule>
  </conditionalFormatting>
  <conditionalFormatting sqref="H67:I74">
    <cfRule type="cellIs" dxfId="2656" priority="65" stopIfTrue="1" operator="greaterThan">
      <formula>$J67</formula>
    </cfRule>
    <cfRule type="cellIs" dxfId="2655" priority="66" stopIfTrue="1" operator="lessThanOrEqual">
      <formula>0</formula>
    </cfRule>
  </conditionalFormatting>
  <conditionalFormatting sqref="H75:I75">
    <cfRule type="cellIs" dxfId="2654" priority="162" operator="greaterThan">
      <formula>5.3</formula>
    </cfRule>
  </conditionalFormatting>
  <conditionalFormatting sqref="H76:I76">
    <cfRule type="cellIs" dxfId="2653" priority="154" stopIfTrue="1" operator="greaterThan">
      <formula>$J76</formula>
    </cfRule>
    <cfRule type="cellIs" dxfId="2652" priority="155" stopIfTrue="1" operator="lessThanOrEqual">
      <formula>0</formula>
    </cfRule>
  </conditionalFormatting>
  <conditionalFormatting sqref="I54:I55">
    <cfRule type="cellIs" dxfId="2651" priority="18" stopIfTrue="1" operator="lessThanOrEqual">
      <formula>0</formula>
    </cfRule>
    <cfRule type="cellIs" dxfId="2650" priority="19" stopIfTrue="1" operator="greaterThan">
      <formula>#REF!</formula>
    </cfRule>
    <cfRule type="cellIs" dxfId="2649" priority="20" stopIfTrue="1" operator="lessThanOrEqual">
      <formula>0</formula>
    </cfRule>
    <cfRule type="cellIs" dxfId="2648" priority="21" stopIfTrue="1" operator="greaterThan">
      <formula>#REF!</formula>
    </cfRule>
    <cfRule type="cellIs" dxfId="2647" priority="22" stopIfTrue="1" operator="lessThanOrEqual">
      <formula>0</formula>
    </cfRule>
    <cfRule type="cellIs" dxfId="2646" priority="17" stopIfTrue="1" operator="greaterThan">
      <formula>#REF!</formula>
    </cfRule>
  </conditionalFormatting>
  <conditionalFormatting sqref="I56">
    <cfRule type="cellIs" dxfId="2645" priority="45" stopIfTrue="1" operator="greaterThan">
      <formula>#REF!</formula>
    </cfRule>
    <cfRule type="cellIs" dxfId="2644" priority="44" stopIfTrue="1" operator="lessThanOrEqual">
      <formula>0</formula>
    </cfRule>
    <cfRule type="cellIs" dxfId="2643" priority="43" stopIfTrue="1" operator="greaterThan">
      <formula>#REF!</formula>
    </cfRule>
    <cfRule type="cellIs" dxfId="2642" priority="46" stopIfTrue="1" operator="lessThanOrEqual">
      <formula>0</formula>
    </cfRule>
    <cfRule type="cellIs" dxfId="2641" priority="41" stopIfTrue="1" operator="greaterThan">
      <formula>#REF!</formula>
    </cfRule>
    <cfRule type="cellIs" dxfId="2640" priority="42" stopIfTrue="1" operator="lessThanOrEqual">
      <formula>0</formula>
    </cfRule>
  </conditionalFormatting>
  <conditionalFormatting sqref="I57">
    <cfRule type="cellIs" dxfId="2639" priority="118" stopIfTrue="1" operator="greaterThan">
      <formula>#REF!</formula>
    </cfRule>
    <cfRule type="cellIs" dxfId="2638" priority="120" stopIfTrue="1" operator="greaterThan">
      <formula>$F$22</formula>
    </cfRule>
    <cfRule type="cellIs" dxfId="2637" priority="121" stopIfTrue="1" operator="lessThanOrEqual">
      <formula>0</formula>
    </cfRule>
    <cfRule type="cellIs" dxfId="2636" priority="122" stopIfTrue="1" operator="greaterThan">
      <formula>#REF!</formula>
    </cfRule>
    <cfRule type="cellIs" dxfId="2635" priority="123" stopIfTrue="1" operator="lessThanOrEqual">
      <formula>0</formula>
    </cfRule>
    <cfRule type="cellIs" dxfId="2634" priority="119" stopIfTrue="1" operator="lessThanOrEqual">
      <formula>0</formula>
    </cfRule>
  </conditionalFormatting>
  <conditionalFormatting sqref="I58">
    <cfRule type="cellIs" dxfId="2633" priority="60" stopIfTrue="1" operator="lessThanOrEqual">
      <formula>0</formula>
    </cfRule>
    <cfRule type="cellIs" dxfId="2632" priority="59" stopIfTrue="1" operator="greaterThan">
      <formula>$F$67</formula>
    </cfRule>
    <cfRule type="cellIs" dxfId="2631" priority="55" stopIfTrue="1" operator="greaterThan">
      <formula>$F$67</formula>
    </cfRule>
    <cfRule type="cellIs" dxfId="2630" priority="56" stopIfTrue="1" operator="lessThanOrEqual">
      <formula>0</formula>
    </cfRule>
    <cfRule type="cellIs" dxfId="2629" priority="57" stopIfTrue="1" operator="greaterThan">
      <formula>$F$69</formula>
    </cfRule>
    <cfRule type="cellIs" dxfId="2628" priority="58" stopIfTrue="1" operator="lessThanOrEqual">
      <formula>0</formula>
    </cfRule>
  </conditionalFormatting>
  <conditionalFormatting sqref="I59:I60">
    <cfRule type="cellIs" dxfId="2627" priority="104" stopIfTrue="1" operator="greaterThan">
      <formula>#REF!</formula>
    </cfRule>
    <cfRule type="cellIs" dxfId="2626" priority="109" stopIfTrue="1" operator="lessThanOrEqual">
      <formula>0</formula>
    </cfRule>
    <cfRule type="cellIs" dxfId="2625" priority="105" stopIfTrue="1" operator="lessThanOrEqual">
      <formula>0</formula>
    </cfRule>
    <cfRule type="cellIs" dxfId="2624" priority="106" stopIfTrue="1" operator="greaterThan">
      <formula>#REF!</formula>
    </cfRule>
    <cfRule type="cellIs" dxfId="2623" priority="107" stopIfTrue="1" operator="lessThanOrEqual">
      <formula>0</formula>
    </cfRule>
    <cfRule type="cellIs" dxfId="2622" priority="108" stopIfTrue="1" operator="greaterThan">
      <formula>#REF!</formula>
    </cfRule>
  </conditionalFormatting>
  <conditionalFormatting sqref="I61">
    <cfRule type="cellIs" dxfId="2621" priority="137" stopIfTrue="1" operator="greaterThan">
      <formula>$F$35</formula>
    </cfRule>
    <cfRule type="cellIs" dxfId="2620" priority="138" stopIfTrue="1" operator="lessThanOrEqual">
      <formula>0</formula>
    </cfRule>
    <cfRule type="cellIs" dxfId="2619" priority="133" stopIfTrue="1" operator="greaterThan">
      <formula>$F$35</formula>
    </cfRule>
    <cfRule type="cellIs" dxfId="2618" priority="134" stopIfTrue="1" operator="lessThanOrEqual">
      <formula>0</formula>
    </cfRule>
    <cfRule type="cellIs" dxfId="2617" priority="135" stopIfTrue="1" operator="greaterThan">
      <formula>$F$37</formula>
    </cfRule>
    <cfRule type="cellIs" dxfId="2616" priority="136" stopIfTrue="1" operator="lessThanOrEqual">
      <formula>0</formula>
    </cfRule>
  </conditionalFormatting>
  <conditionalFormatting sqref="I62:I63">
    <cfRule type="cellIs" dxfId="2615" priority="89" stopIfTrue="1" operator="lessThanOrEqual">
      <formula>0</formula>
    </cfRule>
    <cfRule type="cellIs" dxfId="2614" priority="93" stopIfTrue="1" operator="lessThanOrEqual">
      <formula>0</formula>
    </cfRule>
    <cfRule type="cellIs" dxfId="2613" priority="90" stopIfTrue="1" operator="greaterThan">
      <formula>#REF!</formula>
    </cfRule>
    <cfRule type="cellIs" dxfId="2612" priority="88" stopIfTrue="1" operator="greaterThan">
      <formula>#REF!</formula>
    </cfRule>
    <cfRule type="cellIs" dxfId="2611" priority="92" stopIfTrue="1" operator="greaterThan">
      <formula>#REF!</formula>
    </cfRule>
    <cfRule type="cellIs" dxfId="2610" priority="91" stopIfTrue="1" operator="lessThanOrEqual">
      <formula>0</formula>
    </cfRule>
  </conditionalFormatting>
  <conditionalFormatting sqref="I78:I86">
    <cfRule type="cellIs" dxfId="2609" priority="185" stopIfTrue="1" operator="greaterThan">
      <formula>4.5</formula>
    </cfRule>
    <cfRule type="cellIs" dxfId="2608" priority="186" stopIfTrue="1" operator="lessThanOrEqual">
      <formula>0</formula>
    </cfRule>
  </conditionalFormatting>
  <conditionalFormatting sqref="I10:J22">
    <cfRule type="cellIs" dxfId="2607" priority="29" operator="lessThan">
      <formula>97.9</formula>
    </cfRule>
  </conditionalFormatting>
  <conditionalFormatting sqref="J27">
    <cfRule type="cellIs" dxfId="2606" priority="144" stopIfTrue="1" operator="lessThan">
      <formula>96.8</formula>
    </cfRule>
    <cfRule type="cellIs" dxfId="2605" priority="145" stopIfTrue="1" operator="greaterThan">
      <formula>100</formula>
    </cfRule>
    <cfRule type="cellIs" dxfId="2604" priority="146" operator="lessThan">
      <formula>98</formula>
    </cfRule>
  </conditionalFormatting>
  <conditionalFormatting sqref="J27:J29">
    <cfRule type="cellIs" dxfId="2603" priority="143" operator="lessThan">
      <formula>97.4</formula>
    </cfRule>
  </conditionalFormatting>
  <conditionalFormatting sqref="J30:J31">
    <cfRule type="cellIs" dxfId="2602" priority="147" operator="lessThan">
      <formula>98</formula>
    </cfRule>
  </conditionalFormatting>
  <conditionalFormatting sqref="J32:J33">
    <cfRule type="cellIs" dxfId="2601" priority="148" stopIfTrue="1" operator="lessThan">
      <formula>96.8</formula>
    </cfRule>
    <cfRule type="cellIs" dxfId="2600" priority="149" stopIfTrue="1" operator="greaterThan">
      <formula>100</formula>
    </cfRule>
  </conditionalFormatting>
  <conditionalFormatting sqref="J32:J34">
    <cfRule type="cellIs" dxfId="2599" priority="150" operator="lessThan">
      <formula>98</formula>
    </cfRule>
  </conditionalFormatting>
  <conditionalFormatting sqref="J63">
    <cfRule type="cellIs" dxfId="2598" priority="76" stopIfTrue="1" operator="greaterThan">
      <formula>#REF!</formula>
    </cfRule>
    <cfRule type="cellIs" dxfId="2597" priority="78" stopIfTrue="1" operator="greaterThan">
      <formula>#REF!</formula>
    </cfRule>
    <cfRule type="cellIs" dxfId="2596" priority="83" stopIfTrue="1" operator="lessThanOrEqual">
      <formula>0</formula>
    </cfRule>
    <cfRule type="cellIs" dxfId="2595" priority="82" stopIfTrue="1" operator="greaterThan">
      <formula>#REF!</formula>
    </cfRule>
    <cfRule type="cellIs" dxfId="2594" priority="81" stopIfTrue="1" operator="lessThanOrEqual">
      <formula>0</formula>
    </cfRule>
    <cfRule type="cellIs" dxfId="2593" priority="80" stopIfTrue="1" operator="greaterThan">
      <formula>#REF!</formula>
    </cfRule>
    <cfRule type="cellIs" dxfId="2592" priority="79" stopIfTrue="1" operator="lessThanOrEqual">
      <formula>0</formula>
    </cfRule>
    <cfRule type="cellIs" dxfId="2591" priority="77" stopIfTrue="1" operator="lessThanOrEqual">
      <formula>0</formula>
    </cfRule>
  </conditionalFormatting>
  <conditionalFormatting sqref="J76">
    <cfRule type="cellIs" dxfId="2590" priority="151" stopIfTrue="1" operator="greaterThan">
      <formula>$F76</formula>
    </cfRule>
    <cfRule type="cellIs" dxfId="2589" priority="152" stopIfTrue="1" operator="lessThanOrEqual">
      <formula>0</formula>
    </cfRule>
  </conditionalFormatting>
  <conditionalFormatting sqref="K10:K22">
    <cfRule type="cellIs" dxfId="2588" priority="31" operator="lessThan">
      <formula>4</formula>
    </cfRule>
    <cfRule type="cellIs" dxfId="2587" priority="30" operator="greaterThan">
      <formula>6</formula>
    </cfRule>
    <cfRule type="cellIs" dxfId="2586" priority="32" operator="greaterThan">
      <formula>6.4</formula>
    </cfRule>
  </conditionalFormatting>
  <conditionalFormatting sqref="K54:K63">
    <cfRule type="cellIs" dxfId="2585" priority="27" stopIfTrue="1" operator="lessThan">
      <formula>100%</formula>
    </cfRule>
  </conditionalFormatting>
  <conditionalFormatting sqref="K78:K83">
    <cfRule type="cellIs" dxfId="2584" priority="191" stopIfTrue="1" operator="lessThan">
      <formula>100%</formula>
    </cfRule>
  </conditionalFormatting>
  <conditionalFormatting sqref="K85:K86">
    <cfRule type="cellIs" dxfId="2583" priority="198" stopIfTrue="1" operator="lessThan">
      <formula>100%</formula>
    </cfRule>
  </conditionalFormatting>
  <conditionalFormatting sqref="K67:N75">
    <cfRule type="cellIs" dxfId="2582" priority="128" stopIfTrue="1" operator="lessThan">
      <formula>100%</formula>
    </cfRule>
  </conditionalFormatting>
  <conditionalFormatting sqref="L10:L22">
    <cfRule type="cellIs" dxfId="2581" priority="38" operator="greaterThan">
      <formula>65</formula>
    </cfRule>
    <cfRule type="cellIs" dxfId="2580" priority="37" operator="between">
      <formula>61</formula>
      <formula>65</formula>
    </cfRule>
  </conditionalFormatting>
  <conditionalFormatting sqref="L25:M36">
    <cfRule type="cellIs" dxfId="2579" priority="68" operator="lessThan">
      <formula>97.95</formula>
    </cfRule>
  </conditionalFormatting>
  <conditionalFormatting sqref="L40:N40">
    <cfRule type="cellIs" dxfId="2578" priority="69" operator="notEqual">
      <formula>#REF!</formula>
    </cfRule>
  </conditionalFormatting>
  <conditionalFormatting sqref="L76:N76">
    <cfRule type="cellIs" dxfId="2577" priority="153" stopIfTrue="1" operator="lessThan">
      <formula>100%</formula>
    </cfRule>
  </conditionalFormatting>
  <conditionalFormatting sqref="L78:N86">
    <cfRule type="cellIs" dxfId="2576" priority="176" stopIfTrue="1" operator="lessThan">
      <formula>100%</formula>
    </cfRule>
  </conditionalFormatting>
  <conditionalFormatting sqref="M10:M21">
    <cfRule type="expression" dxfId="2575" priority="35">
      <formula>IF(+(IF(M10&lt;U10,0,IF(M10&gt;V10,0,1)))=0,1)</formula>
    </cfRule>
  </conditionalFormatting>
  <conditionalFormatting sqref="M22:N22">
    <cfRule type="expression" dxfId="2574" priority="206">
      <formula>IF(+(IF(M22&lt;#REF!,0,IF(M22&gt;#REF!,0,1)))=0,1)</formula>
    </cfRule>
  </conditionalFormatting>
  <conditionalFormatting sqref="N10:N21">
    <cfRule type="expression" dxfId="2573" priority="28">
      <formula>IF(+(IF(N10&lt;W10,0,IF(N10&gt;X10,0,1)))=0,1)</formula>
    </cfRule>
  </conditionalFormatting>
  <conditionalFormatting sqref="P6">
    <cfRule type="cellIs" dxfId="2572" priority="172" operator="greaterThanOrEqual">
      <formula>19</formula>
    </cfRule>
  </conditionalFormatting>
  <dataValidations count="1">
    <dataValidation type="list" allowBlank="1" showInputMessage="1" showErrorMessage="1" sqref="R8" xr:uid="{039D44BE-4223-4A55-9F1D-49911827823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CBEE5-7F93-4B17-97B7-40CA51339F24}">
  <sheetPr>
    <pageSetUpPr fitToPage="1"/>
  </sheetPr>
  <dimension ref="A1:BE76"/>
  <sheetViews>
    <sheetView topLeftCell="A2" zoomScale="70" zoomScaleNormal="70" workbookViewId="0">
      <selection activeCell="K27" sqref="K2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46059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33" t="s">
        <v>9</v>
      </c>
      <c r="C10" s="366" t="str">
        <f>[4]Brewhouse!$A98</f>
        <v>ST047</v>
      </c>
      <c r="D10" s="279">
        <f>[4]Brewhouse!$AB98</f>
        <v>52.1</v>
      </c>
      <c r="E10" s="279">
        <f>[4]Brewhouse!$AG98</f>
        <v>49.9</v>
      </c>
      <c r="F10" s="278">
        <f>[4]Brewhouse!$V98</f>
        <v>60</v>
      </c>
      <c r="G10" s="279">
        <f>[4]Brewhouse!$AE98</f>
        <v>11.6</v>
      </c>
      <c r="H10" s="396">
        <v>11.8</v>
      </c>
      <c r="I10" s="368">
        <f>[4]Brewhouse!$AS98</f>
        <v>96.689071563521296</v>
      </c>
      <c r="J10" s="368">
        <f>[4]Brewhouse!$AT98</f>
        <v>97.90428229006541</v>
      </c>
      <c r="K10" s="281">
        <f>[4]Brewhouse!$Q98</f>
        <v>2.4472168905950067</v>
      </c>
      <c r="L10" s="276">
        <f>[4]Brewhouse!$P98</f>
        <v>57</v>
      </c>
      <c r="M10" s="374">
        <f>[4]Brewhouse!$U98-[4]Brewhouse!$T98</f>
        <v>0.11666666666666667</v>
      </c>
      <c r="N10" s="370">
        <f>[4]Brewhouse!$AW98</f>
        <v>0.28541666666666665</v>
      </c>
      <c r="O10" s="371" t="str">
        <f>[4]Brewhouse!$AV98</f>
        <v>R.Sookram</v>
      </c>
      <c r="P10" s="418"/>
      <c r="R10" s="277" t="str">
        <f t="shared" ref="R10:R36" si="0">B10</f>
        <v>STAG</v>
      </c>
      <c r="S10" s="472">
        <f t="shared" ref="S10:S36" si="1">VLOOKUP($B10,$R$3:$X$9,2,FALSE)</f>
        <v>11.6</v>
      </c>
      <c r="T10" s="472">
        <f t="shared" ref="T10:T36" si="2">VLOOKUP($B10,$R$3:$X$9,3,FALSE)</f>
        <v>12</v>
      </c>
      <c r="U10" s="297">
        <f t="shared" ref="U10:U36" si="3">VLOOKUP($B10,$R$3:$X$9,4,FALSE)</f>
        <v>0</v>
      </c>
      <c r="V10" s="297">
        <f t="shared" ref="V10:V36" si="4">VLOOKUP($B10,$R$3:$X$9,5,FALSE)</f>
        <v>0.118055555555556</v>
      </c>
      <c r="W10" s="297">
        <f t="shared" ref="W10:W36" si="5">VLOOKUP($B10,$R$3:$X$9,6,FALSE)</f>
        <v>0.22569444444444445</v>
      </c>
      <c r="X10" s="297">
        <f t="shared" ref="X10:X36" si="6">VLOOKUP($B10,$R$3:$X$9,7,FALSE)</f>
        <v>0.2638888888888889</v>
      </c>
      <c r="Y10" s="297">
        <f t="shared" ref="Y10:Y36" si="7">VLOOKUP($B10,$R$3:$Z$9,8,FALSE)</f>
        <v>0</v>
      </c>
      <c r="Z10" s="472">
        <f t="shared" ref="Z10:Z36" si="8">VLOOKUP($B10,$R$3:$Z$9,9,FALSE)</f>
        <v>60</v>
      </c>
    </row>
    <row r="11" spans="2:29" ht="16.5" customHeight="1">
      <c r="B11" s="33" t="s">
        <v>9</v>
      </c>
      <c r="C11" s="366" t="str">
        <f>[4]Brewhouse!$A99</f>
        <v>ST048</v>
      </c>
      <c r="D11" s="279">
        <f>[4]Brewhouse!$AB99</f>
        <v>52</v>
      </c>
      <c r="E11" s="279">
        <f>[4]Brewhouse!$AG99</f>
        <v>50.1</v>
      </c>
      <c r="F11" s="278">
        <f>[4]Brewhouse!$V99</f>
        <v>55</v>
      </c>
      <c r="G11" s="279">
        <f>[4]Brewhouse!$AE99</f>
        <v>11.9</v>
      </c>
      <c r="H11" s="396">
        <v>11.7</v>
      </c>
      <c r="I11" s="368">
        <f>[4]Brewhouse!$AS99</f>
        <v>99.344647215577908</v>
      </c>
      <c r="J11" s="368">
        <f>[4]Brewhouse!$AT99</f>
        <v>100.59446604884155</v>
      </c>
      <c r="K11" s="281">
        <f>[4]Brewhouse!$Q99</f>
        <v>2.0673076923076841</v>
      </c>
      <c r="L11" s="276">
        <f>[4]Brewhouse!$P99</f>
        <v>57</v>
      </c>
      <c r="M11" s="374">
        <f>[4]Brewhouse!$U99-[4]Brewhouse!$T99</f>
        <v>0.12083333333333335</v>
      </c>
      <c r="N11" s="370">
        <f>[4]Brewhouse!$AW99</f>
        <v>0.27013888888888887</v>
      </c>
      <c r="O11" s="371" t="str">
        <f>[4]Brewhouse!$AV99</f>
        <v>K. Benjamin</v>
      </c>
      <c r="P11" s="418"/>
      <c r="R11" s="277" t="str">
        <f t="shared" ref="R11:R21" si="9">B11</f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33" t="s">
        <v>9</v>
      </c>
      <c r="C12" s="366" t="str">
        <f>[4]Brewhouse!$A100</f>
        <v>ST049</v>
      </c>
      <c r="D12" s="279">
        <f>[4]Brewhouse!$AB100</f>
        <v>52</v>
      </c>
      <c r="E12" s="279">
        <f>[4]Brewhouse!$AG100</f>
        <v>50</v>
      </c>
      <c r="F12" s="278">
        <f>[4]Brewhouse!$V100</f>
        <v>61</v>
      </c>
      <c r="G12" s="279">
        <f>[4]Brewhouse!$AE100</f>
        <v>11.9</v>
      </c>
      <c r="H12" s="396">
        <v>11.8</v>
      </c>
      <c r="I12" s="368">
        <f>[4]Brewhouse!$AS100</f>
        <v>99.146354506564776</v>
      </c>
      <c r="J12" s="368">
        <f>[4]Brewhouse!$AT100</f>
        <v>100.3936786914586</v>
      </c>
      <c r="K12" s="281">
        <f>[4]Brewhouse!$Q100</f>
        <v>2.0673076923076841</v>
      </c>
      <c r="L12" s="276">
        <f>[4]Brewhouse!$P100</f>
        <v>61</v>
      </c>
      <c r="M12" s="374">
        <f>[4]Brewhouse!$U100-[4]Brewhouse!$T100</f>
        <v>0.12222222222222223</v>
      </c>
      <c r="N12" s="370">
        <f>[4]Brewhouse!$AW100</f>
        <v>0.2729166666666667</v>
      </c>
      <c r="O12" s="371" t="str">
        <f>[4]Brewhouse!$AV100</f>
        <v>K. Benjamin</v>
      </c>
      <c r="P12" s="418"/>
      <c r="R12" s="277" t="str">
        <f t="shared" si="9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33" t="s">
        <v>9</v>
      </c>
      <c r="C13" s="366" t="str">
        <f>[4]Brewhouse!$A101</f>
        <v>ST050</v>
      </c>
      <c r="D13" s="279">
        <f>[4]Brewhouse!$AB101</f>
        <v>52.1</v>
      </c>
      <c r="E13" s="279">
        <f>[4]Brewhouse!$AG101</f>
        <v>50</v>
      </c>
      <c r="F13" s="278">
        <f>[4]Brewhouse!$V101</f>
        <v>79</v>
      </c>
      <c r="G13" s="279">
        <f>[4]Brewhouse!$AE101</f>
        <v>11.7</v>
      </c>
      <c r="H13" s="396">
        <v>11.8</v>
      </c>
      <c r="I13" s="368">
        <f>[4]Brewhouse!$AS101</f>
        <v>96.667077258035434</v>
      </c>
      <c r="J13" s="368">
        <f>[4]Brewhouse!$AT101</f>
        <v>97.885581791559375</v>
      </c>
      <c r="K13" s="281">
        <f>[4]Brewhouse!$Q101</f>
        <v>2.2552783109404935</v>
      </c>
      <c r="L13" s="276">
        <f>[4]Brewhouse!$P101</f>
        <v>60</v>
      </c>
      <c r="M13" s="374">
        <f>[4]Brewhouse!$U101-[4]Brewhouse!$T101</f>
        <v>0.14027777777777772</v>
      </c>
      <c r="N13" s="370">
        <f>[4]Brewhouse!$AW101</f>
        <v>0.3027777777777777</v>
      </c>
      <c r="O13" s="371" t="str">
        <f>[4]Brewhouse!$AV101</f>
        <v>R. Regis</v>
      </c>
      <c r="P13" s="418"/>
      <c r="R13" s="277" t="str">
        <f t="shared" si="9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33" t="s">
        <v>9</v>
      </c>
      <c r="C14" s="366" t="str">
        <f>[4]Brewhouse!$A102</f>
        <v>ST051</v>
      </c>
      <c r="D14" s="279">
        <f>[4]Brewhouse!$AB102</f>
        <v>52.1</v>
      </c>
      <c r="E14" s="279">
        <f>[4]Brewhouse!$AG102</f>
        <v>50.4</v>
      </c>
      <c r="F14" s="278">
        <f>[4]Brewhouse!$V102</f>
        <v>62</v>
      </c>
      <c r="G14" s="279">
        <f>[4]Brewhouse!$AE102</f>
        <v>11.7</v>
      </c>
      <c r="H14" s="396">
        <v>11.7</v>
      </c>
      <c r="I14" s="368">
        <f>[4]Brewhouse!$AS102</f>
        <v>97.440413876099711</v>
      </c>
      <c r="J14" s="368">
        <f>[4]Brewhouse!$AT102</f>
        <v>98.668666445891859</v>
      </c>
      <c r="K14" s="281">
        <f>[4]Brewhouse!$Q102</f>
        <v>1.4875239923224541</v>
      </c>
      <c r="L14" s="276">
        <f>[4]Brewhouse!$P102</f>
        <v>61</v>
      </c>
      <c r="M14" s="374">
        <f>[4]Brewhouse!$U102-[4]Brewhouse!$T102</f>
        <v>0.11597222222222225</v>
      </c>
      <c r="N14" s="370">
        <f>[4]Brewhouse!$AW102</f>
        <v>0.29027777777777775</v>
      </c>
      <c r="O14" s="371" t="str">
        <f>[4]Brewhouse!$AV102</f>
        <v>R. Regis</v>
      </c>
      <c r="P14" s="418"/>
      <c r="R14" s="277" t="str">
        <f t="shared" si="9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9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6.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6.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6.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6.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6.5" hidden="1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8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6.5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11"/>
      <c r="J23" s="511"/>
      <c r="K23" s="511"/>
      <c r="L23" s="511"/>
      <c r="M23" s="511"/>
      <c r="N23" s="511"/>
      <c r="O23" s="1"/>
      <c r="P23" s="12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.75" customHeight="1" thickBot="1">
      <c r="B24" s="388" t="s">
        <v>162</v>
      </c>
      <c r="C24" s="388"/>
      <c r="D24" s="512" t="s">
        <v>35</v>
      </c>
      <c r="E24" s="513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0"/>
        <v xml:space="preserve">BRAND 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" customHeight="1">
      <c r="A25" s="28"/>
      <c r="B25" s="580"/>
      <c r="C25" s="362"/>
      <c r="D25" s="517"/>
      <c r="E25" s="518"/>
      <c r="F25" s="294"/>
      <c r="G25" s="294"/>
      <c r="H25" s="348"/>
      <c r="I25" s="29" t="s">
        <v>6</v>
      </c>
      <c r="J25" s="280"/>
      <c r="K25" s="284">
        <f>COUNTA([3]Brewhouse!$A$125:$A$140)</f>
        <v>16</v>
      </c>
      <c r="L25" s="305">
        <f>AVERAGE([3]Brewhouse!$AU$125:$AU$140)</f>
        <v>97.677289058475239</v>
      </c>
      <c r="M25" s="305">
        <f>AVERAGE([3]Brewhouse!$AU$42:$AU$123,[3]Brewhouse!$AU$125:$AU$140)</f>
        <v>97.902963252277985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5" customHeight="1">
      <c r="A26" s="28"/>
      <c r="B26" s="581"/>
      <c r="C26" s="362"/>
      <c r="D26" s="519"/>
      <c r="E26" s="520"/>
      <c r="F26" s="294"/>
      <c r="G26" s="294"/>
      <c r="H26" s="348"/>
      <c r="I26" s="33" t="s">
        <v>9</v>
      </c>
      <c r="J26" s="280">
        <f>AVERAGE(I10:I14)</f>
        <v>97.857512883959814</v>
      </c>
      <c r="K26" s="284">
        <f>COUNTA([4]Brewhouse!$A$83:$A$102)</f>
        <v>20</v>
      </c>
      <c r="L26" s="302">
        <f>AVERAGE([4]Brewhouse!$AS$83:$AS$102)</f>
        <v>97.82854827310743</v>
      </c>
      <c r="M26" s="302">
        <f>AVERAGE([4]Brewhouse!$AS$52:$AS$81,[4]Brewhouse!$AS$83:$AS$102)</f>
        <v>98.546544958251161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81"/>
      <c r="C27" s="362"/>
      <c r="D27" s="521"/>
      <c r="E27" s="522"/>
      <c r="F27" s="294"/>
      <c r="G27" s="294"/>
      <c r="H27" s="348"/>
      <c r="I27" s="34" t="s">
        <v>12</v>
      </c>
      <c r="J27" s="280"/>
      <c r="K27" s="284"/>
      <c r="L27" s="302"/>
      <c r="M27" s="302">
        <f>AVERAGE([6]Brewhouse!$AU$16:$AU$23)</f>
        <v>97.765204759801577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81"/>
      <c r="C28" s="362"/>
      <c r="D28" s="523"/>
      <c r="E28" s="520"/>
      <c r="F28" s="294"/>
      <c r="G28" s="294"/>
      <c r="H28" s="348"/>
      <c r="I28" s="22" t="s">
        <v>33</v>
      </c>
      <c r="J28" s="280"/>
      <c r="K28" s="284"/>
      <c r="L28" s="302"/>
      <c r="M28" s="302">
        <f>AVERAGE([5]Brewhouse!$AV$23:$AV$34)</f>
        <v>98.31387229810305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81"/>
      <c r="C29" s="362"/>
      <c r="D29" s="521"/>
      <c r="E29" s="522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81"/>
      <c r="C30" s="362"/>
      <c r="D30" s="523"/>
      <c r="E30" s="520"/>
      <c r="F30" s="417"/>
      <c r="G30" s="294"/>
      <c r="H30" s="348"/>
      <c r="I30" s="36" t="s">
        <v>15</v>
      </c>
      <c r="J30" s="323"/>
      <c r="K30" s="284"/>
      <c r="L30" s="302"/>
      <c r="M30" s="302">
        <f>AVERAGE([7]Brewhouse!$AT$4:$AT$11)</f>
        <v>92.826224508052405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4.65" customHeight="1">
      <c r="A31" s="28"/>
      <c r="B31" s="581"/>
      <c r="C31" s="362"/>
      <c r="D31" s="521"/>
      <c r="E31" s="522"/>
      <c r="F31" s="417"/>
      <c r="G31" s="294"/>
      <c r="H31" s="348"/>
      <c r="I31" s="37" t="s">
        <v>16</v>
      </c>
      <c r="J31" s="323"/>
      <c r="K31" s="284"/>
      <c r="L31" s="302"/>
      <c r="M31" s="302">
        <f>AVERAGE([8]Brewhouse!$AY$5:$AY$7)</f>
        <v>98.128633252159673</v>
      </c>
      <c r="N31" s="30">
        <v>98</v>
      </c>
      <c r="O31" s="11"/>
      <c r="P31" s="31" t="s">
        <v>41</v>
      </c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4.65" customHeight="1">
      <c r="A32" s="28"/>
      <c r="B32" s="581"/>
      <c r="C32" s="362"/>
      <c r="D32" s="523"/>
      <c r="E32" s="520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4.65" customHeight="1">
      <c r="A33" s="28"/>
      <c r="B33" s="581"/>
      <c r="C33" s="349"/>
      <c r="D33" s="521"/>
      <c r="E33" s="522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81"/>
      <c r="C34" s="349"/>
      <c r="D34" s="523"/>
      <c r="E34" s="520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81"/>
      <c r="C35" s="349"/>
      <c r="D35" s="517"/>
      <c r="E35" s="518"/>
      <c r="F35" s="294"/>
      <c r="G35" s="294"/>
      <c r="H35" s="348"/>
      <c r="I35" s="1"/>
      <c r="J35" s="39"/>
      <c r="K35" s="404">
        <f>SUM(K25:K34)</f>
        <v>36</v>
      </c>
      <c r="L35" s="405">
        <f>((L25*K25)+(L26*K26)+(L27*K27)+(L28*K28)+(L29*K29)+(K32*L32)+(L30*K30)+(L31*K31)+(L34*K34))/(K35)</f>
        <v>97.761321955493131</v>
      </c>
      <c r="M35" s="405">
        <f>L35</f>
        <v>97.761321955493131</v>
      </c>
      <c r="N35" s="4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82"/>
      <c r="C36" s="350"/>
      <c r="D36" s="519"/>
      <c r="E36" s="520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83"/>
      <c r="C37" s="362"/>
      <c r="D37" s="525"/>
      <c r="E37" s="526"/>
      <c r="F37" s="294"/>
      <c r="G37" s="42"/>
      <c r="H37" s="41"/>
      <c r="I37" s="42"/>
      <c r="J37" s="527" t="s">
        <v>129</v>
      </c>
      <c r="K37" s="527"/>
      <c r="L37" s="294"/>
      <c r="M37" s="294"/>
      <c r="N37" s="294"/>
      <c r="O37" s="294"/>
      <c r="P37" s="12"/>
    </row>
    <row r="38" spans="1:56" ht="15.75" thickBot="1">
      <c r="B38" s="584"/>
      <c r="C38" s="362"/>
      <c r="D38" s="523"/>
      <c r="E38" s="520"/>
      <c r="F38" s="294"/>
      <c r="G38" s="42"/>
      <c r="H38" s="41"/>
      <c r="I38" s="42"/>
      <c r="J38" s="292" t="s">
        <v>17</v>
      </c>
      <c r="K38" s="293" t="s">
        <v>147</v>
      </c>
      <c r="L38" s="528" t="s">
        <v>136</v>
      </c>
      <c r="M38" s="528"/>
      <c r="N38" s="529"/>
      <c r="O38" s="294"/>
      <c r="P38" s="12"/>
    </row>
    <row r="39" spans="1:56" ht="15" customHeight="1" thickBot="1">
      <c r="B39" s="584"/>
      <c r="C39" s="349"/>
      <c r="D39" s="521"/>
      <c r="E39" s="522"/>
      <c r="F39" s="294"/>
      <c r="G39" s="42"/>
      <c r="H39" s="41"/>
      <c r="I39" s="42"/>
      <c r="J39" s="287" t="s">
        <v>6</v>
      </c>
      <c r="K39" s="324"/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84"/>
      <c r="C40" s="349"/>
      <c r="D40" s="523"/>
      <c r="E40" s="520"/>
      <c r="F40" s="294"/>
      <c r="G40" s="42"/>
      <c r="H40" s="41"/>
      <c r="I40" s="42"/>
      <c r="J40" s="345" t="s">
        <v>9</v>
      </c>
      <c r="K40" s="324">
        <v>5</v>
      </c>
      <c r="L40" s="344">
        <f>AVERAGE(K49,'Feb 2nd'!K49,'Feb 3rd'!K54,'Feb 4th'!K53,'Feb 4th'!K53,'Feb 5th'!K49)</f>
        <v>7.333333333333333</v>
      </c>
      <c r="M40" s="325">
        <f>AVERAGE('[9]Jan30th-31st'!$L$47,L40)</f>
        <v>6.7101449275362324</v>
      </c>
      <c r="N40" s="416">
        <v>9.1999999999999993</v>
      </c>
      <c r="O40" s="294"/>
      <c r="P40" s="12"/>
    </row>
    <row r="41" spans="1:56" ht="15" customHeight="1">
      <c r="B41" s="584"/>
      <c r="C41" s="349"/>
      <c r="D41" s="521"/>
      <c r="E41" s="522"/>
      <c r="F41" s="294"/>
      <c r="G41" s="42"/>
      <c r="H41" s="41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84"/>
      <c r="C42" s="349"/>
      <c r="D42" s="523"/>
      <c r="E42" s="520"/>
      <c r="F42" s="294"/>
      <c r="G42" s="42"/>
      <c r="H42" s="41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84"/>
      <c r="C43" s="349"/>
      <c r="D43" s="521"/>
      <c r="E43" s="522"/>
      <c r="F43" s="294"/>
      <c r="G43" s="42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84"/>
      <c r="C44" s="349"/>
      <c r="D44" s="523"/>
      <c r="E44" s="520"/>
      <c r="F44" s="294"/>
      <c r="G44" s="42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84"/>
      <c r="C45" s="349"/>
      <c r="D45" s="521"/>
      <c r="E45" s="522"/>
      <c r="F45" s="294"/>
      <c r="G45" s="42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85"/>
      <c r="C46" s="350"/>
      <c r="D46" s="530"/>
      <c r="E46" s="531"/>
      <c r="F46" s="294" t="s">
        <v>166</v>
      </c>
      <c r="G46" s="42"/>
      <c r="H46" s="41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32"/>
      <c r="E47" s="533"/>
      <c r="F47" s="294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1:57" ht="15.6" customHeight="1">
      <c r="B49" s="45"/>
      <c r="C49" s="11"/>
      <c r="D49" s="11"/>
      <c r="E49" s="46"/>
      <c r="F49" s="294"/>
      <c r="G49" s="42"/>
      <c r="H49" s="41"/>
      <c r="I49" s="42"/>
      <c r="J49" s="346" t="s">
        <v>130</v>
      </c>
      <c r="K49" s="324">
        <f>SUM(K39:K48)</f>
        <v>5</v>
      </c>
      <c r="L49" s="294"/>
      <c r="M49" s="294"/>
      <c r="N49" s="294"/>
      <c r="O49" s="294"/>
      <c r="P49" s="12"/>
    </row>
    <row r="50" spans="1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1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1:57" ht="15" customHeight="1" thickBot="1">
      <c r="B52" s="534" t="s">
        <v>17</v>
      </c>
      <c r="C52" s="534" t="s">
        <v>44</v>
      </c>
      <c r="D52" s="537" t="s">
        <v>45</v>
      </c>
      <c r="E52" s="500" t="s">
        <v>46</v>
      </c>
      <c r="F52" s="509" t="s">
        <v>47</v>
      </c>
      <c r="G52" s="546" t="s">
        <v>48</v>
      </c>
      <c r="H52" s="534" t="s">
        <v>49</v>
      </c>
      <c r="I52" s="534" t="s">
        <v>50</v>
      </c>
      <c r="J52" s="540" t="s">
        <v>28</v>
      </c>
      <c r="K52" s="498" t="s">
        <v>51</v>
      </c>
      <c r="L52" s="549" t="s">
        <v>52</v>
      </c>
      <c r="M52" s="540" t="s">
        <v>53</v>
      </c>
      <c r="N52" s="13"/>
      <c r="O52" s="13"/>
      <c r="P52" s="50"/>
    </row>
    <row r="53" spans="1:57" ht="28.5" customHeight="1" thickTop="1" thickBot="1">
      <c r="B53" s="535"/>
      <c r="C53" s="536"/>
      <c r="D53" s="538"/>
      <c r="E53" s="539"/>
      <c r="F53" s="551"/>
      <c r="G53" s="547"/>
      <c r="H53" s="535"/>
      <c r="I53" s="535"/>
      <c r="J53" s="541"/>
      <c r="K53" s="548"/>
      <c r="L53" s="550"/>
      <c r="M53" s="541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1:57" s="54" customFormat="1" ht="37.15" customHeight="1" thickBot="1">
      <c r="B54" s="480"/>
      <c r="C54" s="479"/>
      <c r="D54" s="442"/>
      <c r="E54" s="443"/>
      <c r="F54" s="444"/>
      <c r="G54" s="445"/>
      <c r="H54" s="446"/>
      <c r="I54" s="447"/>
      <c r="J54" s="448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1:57" s="54" customFormat="1" ht="14.25" customHeight="1" thickBot="1">
      <c r="B55" s="480"/>
      <c r="C55" s="479"/>
      <c r="D55" s="442"/>
      <c r="E55" s="443"/>
      <c r="F55" s="444"/>
      <c r="G55" s="445"/>
      <c r="H55" s="446"/>
      <c r="I55" s="447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37.15" hidden="1" customHeight="1" thickBot="1">
      <c r="A56" s="54" t="s">
        <v>170</v>
      </c>
      <c r="B56" s="480"/>
      <c r="C56" s="479"/>
      <c r="D56" s="442"/>
      <c r="E56" s="443"/>
      <c r="F56" s="444"/>
      <c r="G56" s="445"/>
      <c r="H56" s="446"/>
      <c r="I56" s="447"/>
      <c r="J56" s="448" t="s">
        <v>169</v>
      </c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[10]January_2019!L7</f>
        <v>285.8</v>
      </c>
      <c r="AC56" s="57">
        <f>[10]January_2019!M7</f>
        <v>508.1</v>
      </c>
      <c r="AD56" s="57">
        <f>[10]January_2019!N7</f>
        <v>0</v>
      </c>
      <c r="AE56" s="57">
        <f>[10]January_2019!O7</f>
        <v>0</v>
      </c>
      <c r="AF56" s="57">
        <f>[10]January_2019!P7</f>
        <v>109.56666666666666</v>
      </c>
      <c r="AG56" s="57">
        <f>[10]January_2019!Q7</f>
        <v>297.64999999999998</v>
      </c>
      <c r="AH56" s="57">
        <f>[10]January_2019!R7</f>
        <v>122.3</v>
      </c>
      <c r="AI56" s="57">
        <f>[10]January_2019!S7</f>
        <v>0</v>
      </c>
      <c r="AJ56" s="57">
        <f>[10]January_2019!T7</f>
        <v>294.7</v>
      </c>
      <c r="AK56" s="57">
        <f>[10]January_2019!U7</f>
        <v>280.5</v>
      </c>
      <c r="AL56" s="57">
        <f>[10]January_2019!V7</f>
        <v>0</v>
      </c>
      <c r="AM56" s="57">
        <f>[10]January_2019!W7</f>
        <v>0</v>
      </c>
      <c r="AN56" s="57">
        <f>[10]January_2019!X7</f>
        <v>188.25</v>
      </c>
      <c r="AO56" s="57">
        <f>[10]January_2019!Y7</f>
        <v>295.7</v>
      </c>
      <c r="AP56" s="57">
        <f>[10]January_2019!Z7</f>
        <v>257.8</v>
      </c>
      <c r="AQ56" s="57">
        <f>[10]January_2019!AA7</f>
        <v>291.2</v>
      </c>
      <c r="AR56" s="57">
        <f>[10]January_2019!AB7</f>
        <v>187</v>
      </c>
      <c r="AS56" s="57">
        <f>[10]January_2019!AC7</f>
        <v>0</v>
      </c>
      <c r="AT56" s="57">
        <f>[10]January_2019!AD7</f>
        <v>0</v>
      </c>
      <c r="AU56" s="57">
        <f>[10]January_2019!AE7</f>
        <v>485.1</v>
      </c>
      <c r="AV56" s="57">
        <f>[10]January_2019!AF7</f>
        <v>171.55</v>
      </c>
      <c r="AW56" s="57">
        <f>[10]January_2019!AG7</f>
        <v>423.8</v>
      </c>
      <c r="AX56" s="277">
        <f>[10]January_2019!AH7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19.5" hidden="1" customHeight="1" thickBot="1">
      <c r="B57" s="478"/>
      <c r="C57" s="430"/>
      <c r="D57" s="431"/>
      <c r="E57" s="432"/>
      <c r="F57" s="433"/>
      <c r="G57" s="434"/>
      <c r="H57" s="428"/>
      <c r="I57" s="42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38.450000000000003" hidden="1" customHeight="1" thickBot="1">
      <c r="B58" s="481"/>
      <c r="C58" s="479"/>
      <c r="D58" s="442"/>
      <c r="E58" s="443"/>
      <c r="F58" s="444"/>
      <c r="G58" s="445"/>
      <c r="H58" s="458"/>
      <c r="I58" s="458"/>
      <c r="J58" s="448"/>
      <c r="K58" s="45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15" hidden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7.15" hidden="1" customHeight="1" thickBot="1">
      <c r="B60" s="480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1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42" t="s">
        <v>55</v>
      </c>
      <c r="C65" s="543"/>
      <c r="D65" s="543"/>
      <c r="E65" s="543"/>
      <c r="F65" s="544"/>
      <c r="G65" s="542" t="s">
        <v>56</v>
      </c>
      <c r="H65" s="543"/>
      <c r="I65" s="543"/>
      <c r="J65" s="544"/>
      <c r="K65" s="542" t="s">
        <v>51</v>
      </c>
      <c r="L65" s="543"/>
      <c r="M65" s="543"/>
      <c r="N65" s="545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282"/>
      <c r="D67" s="76">
        <v>6.5716733764480937</v>
      </c>
      <c r="E67" s="76">
        <v>8.0311009292592725</v>
      </c>
      <c r="F67" s="66">
        <v>4.8</v>
      </c>
      <c r="G67" s="65"/>
      <c r="H67" s="477">
        <v>6.4959621173167532</v>
      </c>
      <c r="I67" s="477">
        <v>7.9302556552194829</v>
      </c>
      <c r="J67" s="66">
        <v>4.8</v>
      </c>
      <c r="K67" s="67"/>
      <c r="L67" s="194">
        <v>0.42280701754385963</v>
      </c>
      <c r="M67" s="194">
        <v>0.41420431286549708</v>
      </c>
      <c r="N67" s="68">
        <v>1</v>
      </c>
      <c r="O67" s="56"/>
      <c r="P67" s="69"/>
    </row>
    <row r="68" spans="2:16" ht="15">
      <c r="B68" s="33" t="s">
        <v>9</v>
      </c>
      <c r="C68" s="65"/>
      <c r="D68" s="76"/>
      <c r="E68" s="76">
        <v>6.0460527097870944</v>
      </c>
      <c r="F68" s="66">
        <v>4.8</v>
      </c>
      <c r="G68" s="65"/>
      <c r="H68" s="76"/>
      <c r="I68" s="76">
        <v>6.6612521752018941</v>
      </c>
      <c r="J68" s="66">
        <v>4.8</v>
      </c>
      <c r="K68" s="67"/>
      <c r="L68" s="194"/>
      <c r="M68" s="194">
        <v>0.60344005847953208</v>
      </c>
      <c r="N68" s="68">
        <v>1</v>
      </c>
      <c r="P68" s="69"/>
    </row>
    <row r="69" spans="2:16" ht="15">
      <c r="B69" s="34" t="s">
        <v>40</v>
      </c>
      <c r="C69" s="65"/>
      <c r="D69" s="76">
        <v>11.722828666350269</v>
      </c>
      <c r="E69" s="76">
        <v>11.155100139729852</v>
      </c>
      <c r="F69" s="66">
        <v>5.5</v>
      </c>
      <c r="G69" s="65"/>
      <c r="H69" s="76">
        <v>12.537121640099599</v>
      </c>
      <c r="I69" s="76">
        <v>11.952951274961968</v>
      </c>
      <c r="J69" s="66">
        <v>5.5</v>
      </c>
      <c r="K69" s="67"/>
      <c r="L69" s="194">
        <v>0.16315789473684211</v>
      </c>
      <c r="M69" s="194">
        <v>0.42456140350877192</v>
      </c>
      <c r="N69" s="68">
        <v>1</v>
      </c>
      <c r="P69" s="69"/>
    </row>
    <row r="70" spans="2:16" ht="15">
      <c r="B70" s="22" t="s">
        <v>33</v>
      </c>
      <c r="C70" s="65"/>
      <c r="D70" s="76"/>
      <c r="E70" s="76">
        <v>5.0755456997699637</v>
      </c>
      <c r="F70" s="66">
        <v>3.3</v>
      </c>
      <c r="G70" s="65"/>
      <c r="H70" s="76"/>
      <c r="I70" s="76">
        <v>4.6359882890480018</v>
      </c>
      <c r="J70" s="66">
        <v>3.3</v>
      </c>
      <c r="K70" s="67"/>
      <c r="L70" s="194"/>
      <c r="M70" s="194">
        <v>0.66833333333333345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65"/>
      <c r="D72" s="76"/>
      <c r="E72" s="76">
        <v>5.1105651105651271</v>
      </c>
      <c r="F72" s="70">
        <f>[11]May_2022!$M$43</f>
        <v>3.4878406700073312</v>
      </c>
      <c r="G72" s="282"/>
      <c r="H72" s="76"/>
      <c r="I72" s="76">
        <v>7.9131369535794072</v>
      </c>
      <c r="J72" s="66">
        <v>5.5</v>
      </c>
      <c r="K72" s="67"/>
      <c r="L72" s="194"/>
      <c r="M72" s="194">
        <v>1.3550877192982456</v>
      </c>
      <c r="N72" s="68">
        <v>1</v>
      </c>
      <c r="P72" s="69"/>
    </row>
    <row r="73" spans="2:16" ht="15">
      <c r="B73" s="37" t="s">
        <v>16</v>
      </c>
      <c r="C73" s="65"/>
      <c r="D73" s="76"/>
      <c r="E73" s="76">
        <v>2.0590520590520631</v>
      </c>
      <c r="F73" s="66">
        <v>3.3</v>
      </c>
      <c r="G73" s="282"/>
      <c r="H73" s="76"/>
      <c r="I73" s="76">
        <v>2.1755040108015784</v>
      </c>
      <c r="J73" s="66">
        <v>3.3</v>
      </c>
      <c r="K73" s="67"/>
      <c r="L73" s="194"/>
      <c r="M73" s="194">
        <v>0.88456140350877199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7.1385296759772014</v>
      </c>
      <c r="E76" s="76">
        <v>6.9820797501306915</v>
      </c>
      <c r="F76" s="341">
        <v>5.5</v>
      </c>
      <c r="H76" s="76">
        <v>7.4525927607108109</v>
      </c>
      <c r="I76" s="76">
        <v>7.1550147652077092</v>
      </c>
      <c r="J76" s="341">
        <v>5.5</v>
      </c>
      <c r="L76" s="194">
        <v>0.37953216374269005</v>
      </c>
      <c r="M76" s="194">
        <v>0.37953216374269005</v>
      </c>
      <c r="N76" s="386">
        <v>1</v>
      </c>
    </row>
  </sheetData>
  <mergeCells count="51"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2571" priority="63" operator="notBetween">
      <formula>#REF!</formula>
      <formula>#REF!</formula>
    </cfRule>
  </conditionalFormatting>
  <conditionalFormatting sqref="C51">
    <cfRule type="cellIs" dxfId="2570" priority="191" stopIfTrue="1" operator="greaterThan">
      <formula>100</formula>
    </cfRule>
    <cfRule type="cellIs" dxfId="2569" priority="190" stopIfTrue="1" operator="lessThan">
      <formula>96</formula>
    </cfRule>
  </conditionalFormatting>
  <conditionalFormatting sqref="C67:C71">
    <cfRule type="cellIs" dxfId="2568" priority="148" stopIfTrue="1" operator="lessThanOrEqual">
      <formula>0</formula>
    </cfRule>
  </conditionalFormatting>
  <conditionalFormatting sqref="C67:C75">
    <cfRule type="cellIs" dxfId="2567" priority="147" stopIfTrue="1" operator="greaterThan">
      <formula>$F67</formula>
    </cfRule>
  </conditionalFormatting>
  <conditionalFormatting sqref="C68">
    <cfRule type="cellIs" dxfId="2566" priority="194" stopIfTrue="1" operator="greaterThan">
      <formula>$F67</formula>
    </cfRule>
  </conditionalFormatting>
  <conditionalFormatting sqref="C72">
    <cfRule type="cellIs" dxfId="2565" priority="87" stopIfTrue="1" operator="lessThanOrEqual">
      <formula>0</formula>
    </cfRule>
    <cfRule type="cellIs" dxfId="2564" priority="88" stopIfTrue="1" operator="greaterThan">
      <formula>$F71</formula>
    </cfRule>
  </conditionalFormatting>
  <conditionalFormatting sqref="C78:C82">
    <cfRule type="cellIs" dxfId="2563" priority="182" stopIfTrue="1" operator="lessThanOrEqual">
      <formula>0</formula>
    </cfRule>
  </conditionalFormatting>
  <conditionalFormatting sqref="C79:C82">
    <cfRule type="cellIs" dxfId="2562" priority="181" stopIfTrue="1" operator="greaterThan">
      <formula>$F$78</formula>
    </cfRule>
  </conditionalFormatting>
  <conditionalFormatting sqref="C84">
    <cfRule type="cellIs" dxfId="2561" priority="184" stopIfTrue="1" operator="lessThanOrEqual">
      <formula>0</formula>
    </cfRule>
    <cfRule type="cellIs" dxfId="2560" priority="183" stopIfTrue="1" operator="greaterThan">
      <formula>$F$78</formula>
    </cfRule>
  </conditionalFormatting>
  <conditionalFormatting sqref="C78:D78 D80:D86">
    <cfRule type="cellIs" dxfId="2559" priority="176" stopIfTrue="1" operator="greaterThan">
      <formula>4.5</formula>
    </cfRule>
  </conditionalFormatting>
  <conditionalFormatting sqref="D47:D48">
    <cfRule type="cellIs" dxfId="2558" priority="64" operator="notBetween">
      <formula>#REF!</formula>
      <formula>#REF!</formula>
    </cfRule>
  </conditionalFormatting>
  <conditionalFormatting sqref="D67:D74">
    <cfRule type="cellIs" dxfId="2557" priority="156" stopIfTrue="1" operator="lessThanOrEqual">
      <formula>0</formula>
    </cfRule>
  </conditionalFormatting>
  <conditionalFormatting sqref="D78 D80:D86">
    <cfRule type="cellIs" dxfId="2556" priority="177" stopIfTrue="1" operator="lessThanOrEqual">
      <formula>0</formula>
    </cfRule>
  </conditionalFormatting>
  <conditionalFormatting sqref="D79">
    <cfRule type="cellIs" dxfId="2555" priority="168" stopIfTrue="1" operator="greaterThan">
      <formula>$F$78</formula>
    </cfRule>
    <cfRule type="cellIs" dxfId="2554" priority="169" stopIfTrue="1" operator="lessThanOrEqual">
      <formula>0</formula>
    </cfRule>
  </conditionalFormatting>
  <conditionalFormatting sqref="D67:E76">
    <cfRule type="cellIs" dxfId="2553" priority="145" stopIfTrue="1" operator="greaterThan">
      <formula>$F67</formula>
    </cfRule>
  </conditionalFormatting>
  <conditionalFormatting sqref="D75:E75">
    <cfRule type="cellIs" dxfId="2552" priority="155" stopIfTrue="1" operator="lessThanOrEqual">
      <formula>0</formula>
    </cfRule>
  </conditionalFormatting>
  <conditionalFormatting sqref="D76:E76">
    <cfRule type="cellIs" dxfId="2551" priority="146" stopIfTrue="1" operator="lessThanOrEqual">
      <formula>0</formula>
    </cfRule>
  </conditionalFormatting>
  <conditionalFormatting sqref="E10:E22">
    <cfRule type="cellIs" dxfId="2550" priority="22" operator="lessThan">
      <formula>48</formula>
    </cfRule>
  </conditionalFormatting>
  <conditionalFormatting sqref="E50 E51:F51">
    <cfRule type="cellIs" dxfId="2549" priority="173" stopIfTrue="1" operator="greaterThan">
      <formula>100</formula>
    </cfRule>
  </conditionalFormatting>
  <conditionalFormatting sqref="E51">
    <cfRule type="cellIs" dxfId="2548" priority="170" stopIfTrue="1" operator="lessThan">
      <formula>96.8</formula>
    </cfRule>
    <cfRule type="cellIs" dxfId="2547" priority="171" stopIfTrue="1" operator="greaterThan">
      <formula>100</formula>
    </cfRule>
  </conditionalFormatting>
  <conditionalFormatting sqref="E67:E74">
    <cfRule type="cellIs" dxfId="2546" priority="1" stopIfTrue="1" operator="lessThanOrEqual">
      <formula>0</formula>
    </cfRule>
  </conditionalFormatting>
  <conditionalFormatting sqref="E67:E75">
    <cfRule type="cellIs" dxfId="2545" priority="152" stopIfTrue="1" operator="lessThanOrEqual">
      <formula>0</formula>
    </cfRule>
  </conditionalFormatting>
  <conditionalFormatting sqref="E78:E86">
    <cfRule type="cellIs" dxfId="2544" priority="163" stopIfTrue="1" operator="lessThanOrEqual">
      <formula>0</formula>
    </cfRule>
    <cfRule type="cellIs" dxfId="2543" priority="162" stopIfTrue="1" operator="greaterThan">
      <formula>4.5</formula>
    </cfRule>
  </conditionalFormatting>
  <conditionalFormatting sqref="E51:F51 E50">
    <cfRule type="cellIs" dxfId="2542" priority="172" stopIfTrue="1" operator="lessThan">
      <formula>96.5</formula>
    </cfRule>
  </conditionalFormatting>
  <conditionalFormatting sqref="F15:F19 F21:F22">
    <cfRule type="cellIs" dxfId="2541" priority="23" operator="greaterThan">
      <formula>60</formula>
    </cfRule>
  </conditionalFormatting>
  <conditionalFormatting sqref="F51">
    <cfRule type="cellIs" dxfId="2540" priority="188" stopIfTrue="1" operator="lessThan">
      <formula>96.8</formula>
    </cfRule>
    <cfRule type="cellIs" dxfId="2539" priority="189" stopIfTrue="1" operator="greaterThan">
      <formula>100</formula>
    </cfRule>
  </conditionalFormatting>
  <conditionalFormatting sqref="F76">
    <cfRule type="cellIs" dxfId="2538" priority="154" stopIfTrue="1" operator="lessThanOrEqual">
      <formula>0</formula>
    </cfRule>
    <cfRule type="cellIs" dxfId="2537" priority="153" stopIfTrue="1" operator="greaterThan">
      <formula>$F76</formula>
    </cfRule>
  </conditionalFormatting>
  <conditionalFormatting sqref="G10:G21">
    <cfRule type="expression" dxfId="2536" priority="25">
      <formula>IF(+(IF(G10&lt;S10,0,IF(G10&gt;T10,0,1)))=0,1)</formula>
    </cfRule>
  </conditionalFormatting>
  <conditionalFormatting sqref="G67:G68 C73:C75">
    <cfRule type="cellIs" dxfId="2535" priority="158" stopIfTrue="1" operator="lessThanOrEqual">
      <formula>0</formula>
    </cfRule>
  </conditionalFormatting>
  <conditionalFormatting sqref="G67:G68">
    <cfRule type="cellIs" dxfId="2534" priority="157" stopIfTrue="1" operator="greaterThan">
      <formula>$F67</formula>
    </cfRule>
    <cfRule type="cellIs" dxfId="2533" priority="150" stopIfTrue="1" operator="lessThanOrEqual">
      <formula>0</formula>
    </cfRule>
    <cfRule type="cellIs" dxfId="2532" priority="149" stopIfTrue="1" operator="greaterThan">
      <formula>$F67</formula>
    </cfRule>
  </conditionalFormatting>
  <conditionalFormatting sqref="G69">
    <cfRule type="cellIs" dxfId="2531" priority="193" stopIfTrue="1" operator="lessThanOrEqual">
      <formula>0</formula>
    </cfRule>
    <cfRule type="cellIs" dxfId="2530" priority="192" stopIfTrue="1" operator="greaterThan">
      <formula>$F68</formula>
    </cfRule>
  </conditionalFormatting>
  <conditionalFormatting sqref="G70">
    <cfRule type="cellIs" dxfId="2529" priority="59" stopIfTrue="1" operator="greaterThan">
      <formula>$F70</formula>
    </cfRule>
    <cfRule type="cellIs" dxfId="2528" priority="61" stopIfTrue="1" operator="greaterThan">
      <formula>$F70</formula>
    </cfRule>
    <cfRule type="cellIs" dxfId="2527" priority="60" stopIfTrue="1" operator="lessThanOrEqual">
      <formula>0</formula>
    </cfRule>
    <cfRule type="cellIs" dxfId="2526" priority="62" stopIfTrue="1" operator="lessThanOrEqual">
      <formula>0</formula>
    </cfRule>
  </conditionalFormatting>
  <conditionalFormatting sqref="G71:G75">
    <cfRule type="cellIs" dxfId="2525" priority="160" stopIfTrue="1" operator="lessThanOrEqual">
      <formula>0</formula>
    </cfRule>
    <cfRule type="cellIs" dxfId="2524" priority="159" stopIfTrue="1" operator="greaterThan">
      <formula>$J71</formula>
    </cfRule>
  </conditionalFormatting>
  <conditionalFormatting sqref="G80:G85 C83 C85">
    <cfRule type="cellIs" dxfId="2523" priority="186" stopIfTrue="1" operator="lessThanOrEqual">
      <formula>0</formula>
    </cfRule>
    <cfRule type="cellIs" dxfId="2522" priority="185" stopIfTrue="1" operator="greaterThan">
      <formula>4.5</formula>
    </cfRule>
  </conditionalFormatting>
  <conditionalFormatting sqref="G79:H79">
    <cfRule type="cellIs" dxfId="2521" priority="166" stopIfTrue="1" operator="greaterThan">
      <formula>$F$78</formula>
    </cfRule>
    <cfRule type="cellIs" dxfId="2520" priority="167" stopIfTrue="1" operator="lessThanOrEqual">
      <formula>0</formula>
    </cfRule>
  </conditionalFormatting>
  <conditionalFormatting sqref="H10:H21 G22:H22">
    <cfRule type="expression" dxfId="2519" priority="56">
      <formula>IF(+(IF(G10&lt;#REF!,0,IF(G10&gt;#REF!,0,1)))=0,1)</formula>
    </cfRule>
  </conditionalFormatting>
  <conditionalFormatting sqref="H36:H50">
    <cfRule type="cellIs" dxfId="2518" priority="164" stopIfTrue="1" operator="greaterThan">
      <formula>0</formula>
    </cfRule>
  </conditionalFormatting>
  <conditionalFormatting sqref="H54:H55">
    <cfRule type="cellIs" dxfId="2517" priority="3" stopIfTrue="1" operator="lessThanOrEqual">
      <formula>0</formula>
    </cfRule>
    <cfRule type="cellIs" dxfId="2516" priority="4" stopIfTrue="1" operator="greaterThan">
      <formula>#REF!</formula>
    </cfRule>
    <cfRule type="cellIs" dxfId="2515" priority="12" stopIfTrue="1" operator="greaterThan">
      <formula>$F$22</formula>
    </cfRule>
    <cfRule type="cellIs" dxfId="2514" priority="13" stopIfTrue="1" operator="lessThanOrEqual">
      <formula>0</formula>
    </cfRule>
    <cfRule type="cellIs" dxfId="2513" priority="14" stopIfTrue="1" operator="greaterThan">
      <formula>#REF!</formula>
    </cfRule>
  </conditionalFormatting>
  <conditionalFormatting sqref="H54:H56">
    <cfRule type="cellIs" dxfId="2512" priority="15" stopIfTrue="1" operator="lessThanOrEqual">
      <formula>0</formula>
    </cfRule>
  </conditionalFormatting>
  <conditionalFormatting sqref="H56">
    <cfRule type="cellIs" dxfId="2511" priority="39" stopIfTrue="1" operator="lessThanOrEqual">
      <formula>0</formula>
    </cfRule>
    <cfRule type="cellIs" dxfId="2510" priority="28" stopIfTrue="1" operator="greaterThan">
      <formula>#REF!</formula>
    </cfRule>
    <cfRule type="cellIs" dxfId="2509" priority="36" stopIfTrue="1" operator="greaterThan">
      <formula>$F$22</formula>
    </cfRule>
    <cfRule type="cellIs" dxfId="2508" priority="37" stopIfTrue="1" operator="lessThanOrEqual">
      <formula>0</formula>
    </cfRule>
    <cfRule type="cellIs" dxfId="2507" priority="38" stopIfTrue="1" operator="greaterThan">
      <formula>#REF!</formula>
    </cfRule>
  </conditionalFormatting>
  <conditionalFormatting sqref="H57">
    <cfRule type="cellIs" dxfId="2506" priority="114" stopIfTrue="1" operator="lessThanOrEqual">
      <formula>0</formula>
    </cfRule>
    <cfRule type="cellIs" dxfId="2505" priority="115" stopIfTrue="1" operator="greaterThan">
      <formula>#REF!</formula>
    </cfRule>
    <cfRule type="cellIs" dxfId="2504" priority="116" stopIfTrue="1" operator="lessThanOrEqual">
      <formula>0</formula>
    </cfRule>
    <cfRule type="cellIs" dxfId="2503" priority="113" stopIfTrue="1" operator="greaterThan">
      <formula>$F$23</formula>
    </cfRule>
    <cfRule type="cellIs" dxfId="2502" priority="105" stopIfTrue="1" operator="greaterThan">
      <formula>#REF!</formula>
    </cfRule>
    <cfRule type="cellIs" dxfId="2501" priority="104" stopIfTrue="1" operator="lessThanOrEqual">
      <formula>0</formula>
    </cfRule>
  </conditionalFormatting>
  <conditionalFormatting sqref="H58">
    <cfRule type="cellIs" dxfId="2500" priority="50" stopIfTrue="1" operator="greaterThan">
      <formula>$F$70</formula>
    </cfRule>
    <cfRule type="cellIs" dxfId="2499" priority="41" stopIfTrue="1" operator="lessThanOrEqual">
      <formula>0</formula>
    </cfRule>
    <cfRule type="cellIs" dxfId="2498" priority="42" stopIfTrue="1" operator="greaterThan">
      <formula>$F$67</formula>
    </cfRule>
    <cfRule type="cellIs" dxfId="2497" priority="51" stopIfTrue="1" operator="lessThanOrEqual">
      <formula>0</formula>
    </cfRule>
    <cfRule type="cellIs" dxfId="2496" priority="53" stopIfTrue="1" operator="lessThanOrEqual">
      <formula>0</formula>
    </cfRule>
    <cfRule type="cellIs" dxfId="2495" priority="52" stopIfTrue="1" operator="greaterThan">
      <formula>$F$68</formula>
    </cfRule>
  </conditionalFormatting>
  <conditionalFormatting sqref="H59:H60">
    <cfRule type="cellIs" dxfId="2494" priority="102" stopIfTrue="1" operator="lessThanOrEqual">
      <formula>0</formula>
    </cfRule>
    <cfRule type="cellIs" dxfId="2493" priority="101" stopIfTrue="1" operator="greaterThan">
      <formula>#REF!</formula>
    </cfRule>
    <cfRule type="cellIs" dxfId="2492" priority="91" stopIfTrue="1" operator="greaterThan">
      <formula>#REF!</formula>
    </cfRule>
    <cfRule type="cellIs" dxfId="2491" priority="99" stopIfTrue="1" operator="greaterThan">
      <formula>$F$22</formula>
    </cfRule>
    <cfRule type="cellIs" dxfId="2490" priority="100" stopIfTrue="1" operator="lessThanOrEqual">
      <formula>0</formula>
    </cfRule>
    <cfRule type="cellIs" dxfId="2489" priority="90" stopIfTrue="1" operator="lessThanOrEqual">
      <formula>0</formula>
    </cfRule>
  </conditionalFormatting>
  <conditionalFormatting sqref="H61">
    <cfRule type="cellIs" dxfId="2488" priority="119" stopIfTrue="1" operator="lessThanOrEqual">
      <formula>0</formula>
    </cfRule>
    <cfRule type="cellIs" dxfId="2487" priority="120" stopIfTrue="1" operator="greaterThan">
      <formula>$F$35</formula>
    </cfRule>
    <cfRule type="cellIs" dxfId="2486" priority="131" stopIfTrue="1" operator="lessThanOrEqual">
      <formula>0</formula>
    </cfRule>
    <cfRule type="cellIs" dxfId="2485" priority="128" stopIfTrue="1" operator="greaterThan">
      <formula>$F$38</formula>
    </cfRule>
    <cfRule type="cellIs" dxfId="2484" priority="129" stopIfTrue="1" operator="lessThanOrEqual">
      <formula>0</formula>
    </cfRule>
    <cfRule type="cellIs" dxfId="2483" priority="130" stopIfTrue="1" operator="greaterThan">
      <formula>$F$36</formula>
    </cfRule>
  </conditionalFormatting>
  <conditionalFormatting sqref="H62:H63">
    <cfRule type="cellIs" dxfId="2482" priority="75" stopIfTrue="1" operator="greaterThan">
      <formula>#REF!</formula>
    </cfRule>
    <cfRule type="cellIs" dxfId="2481" priority="84" stopIfTrue="1" operator="lessThanOrEqual">
      <formula>0</formula>
    </cfRule>
    <cfRule type="cellIs" dxfId="2480" priority="83" stopIfTrue="1" operator="greaterThan">
      <formula>$F$22</formula>
    </cfRule>
    <cfRule type="cellIs" dxfId="2479" priority="86" stopIfTrue="1" operator="lessThanOrEqual">
      <formula>0</formula>
    </cfRule>
    <cfRule type="cellIs" dxfId="2478" priority="85" stopIfTrue="1" operator="greaterThan">
      <formula>#REF!</formula>
    </cfRule>
    <cfRule type="cellIs" dxfId="2477" priority="74" stopIfTrue="1" operator="lessThanOrEqual">
      <formula>0</formula>
    </cfRule>
  </conditionalFormatting>
  <conditionalFormatting sqref="H78 H80:H86">
    <cfRule type="cellIs" dxfId="2476" priority="179" stopIfTrue="1" operator="lessThanOrEqual">
      <formula>0</formula>
    </cfRule>
    <cfRule type="cellIs" dxfId="2475" priority="178" stopIfTrue="1" operator="greaterThan">
      <formula>4.5</formula>
    </cfRule>
  </conditionalFormatting>
  <conditionalFormatting sqref="H54:I55">
    <cfRule type="cellIs" dxfId="2474" priority="5" stopIfTrue="1" operator="lessThanOrEqual">
      <formula>0</formula>
    </cfRule>
  </conditionalFormatting>
  <conditionalFormatting sqref="H54:I56">
    <cfRule type="cellIs" dxfId="2473" priority="2" stopIfTrue="1" operator="greaterThan">
      <formula>#REF!</formula>
    </cfRule>
  </conditionalFormatting>
  <conditionalFormatting sqref="H56:I56">
    <cfRule type="cellIs" dxfId="2472" priority="29" stopIfTrue="1" operator="lessThanOrEqual">
      <formula>0</formula>
    </cfRule>
  </conditionalFormatting>
  <conditionalFormatting sqref="H57:I57">
    <cfRule type="cellIs" dxfId="2471" priority="106" stopIfTrue="1" operator="lessThanOrEqual">
      <formula>0</formula>
    </cfRule>
    <cfRule type="cellIs" dxfId="2470" priority="103" stopIfTrue="1" operator="greaterThan">
      <formula>$F$22</formula>
    </cfRule>
  </conditionalFormatting>
  <conditionalFormatting sqref="H58:I58">
    <cfRule type="cellIs" dxfId="2469" priority="43" stopIfTrue="1" operator="lessThanOrEqual">
      <formula>0</formula>
    </cfRule>
    <cfRule type="cellIs" dxfId="2468" priority="40" stopIfTrue="1" operator="greaterThan">
      <formula>$F$69</formula>
    </cfRule>
  </conditionalFormatting>
  <conditionalFormatting sqref="H59:I60">
    <cfRule type="cellIs" dxfId="2467" priority="89" stopIfTrue="1" operator="greaterThan">
      <formula>#REF!</formula>
    </cfRule>
    <cfRule type="cellIs" dxfId="2466" priority="92" stopIfTrue="1" operator="lessThanOrEqual">
      <formula>0</formula>
    </cfRule>
  </conditionalFormatting>
  <conditionalFormatting sqref="H61:I61">
    <cfRule type="cellIs" dxfId="2465" priority="121" stopIfTrue="1" operator="lessThanOrEqual">
      <formula>0</formula>
    </cfRule>
    <cfRule type="cellIs" dxfId="2464" priority="118" stopIfTrue="1" operator="greaterThan">
      <formula>$F$37</formula>
    </cfRule>
  </conditionalFormatting>
  <conditionalFormatting sqref="H62:I63">
    <cfRule type="cellIs" dxfId="2463" priority="76" stopIfTrue="1" operator="lessThanOrEqual">
      <formula>0</formula>
    </cfRule>
    <cfRule type="cellIs" dxfId="2462" priority="73" stopIfTrue="1" operator="greaterThan">
      <formula>#REF!</formula>
    </cfRule>
  </conditionalFormatting>
  <conditionalFormatting sqref="H67:I74">
    <cfRule type="cellIs" dxfId="2461" priority="54" stopIfTrue="1" operator="greaterThan">
      <formula>$J67</formula>
    </cfRule>
    <cfRule type="cellIs" dxfId="2460" priority="55" stopIfTrue="1" operator="lessThanOrEqual">
      <formula>0</formula>
    </cfRule>
  </conditionalFormatting>
  <conditionalFormatting sqref="H75:I75">
    <cfRule type="cellIs" dxfId="2459" priority="151" operator="greaterThan">
      <formula>5.3</formula>
    </cfRule>
  </conditionalFormatting>
  <conditionalFormatting sqref="H76:I76">
    <cfRule type="cellIs" dxfId="2458" priority="143" stopIfTrue="1" operator="greaterThan">
      <formula>$J76</formula>
    </cfRule>
    <cfRule type="cellIs" dxfId="2457" priority="144" stopIfTrue="1" operator="lessThanOrEqual">
      <formula>0</formula>
    </cfRule>
  </conditionalFormatting>
  <conditionalFormatting sqref="I54:I55">
    <cfRule type="cellIs" dxfId="2456" priority="7" stopIfTrue="1" operator="lessThanOrEqual">
      <formula>0</formula>
    </cfRule>
    <cfRule type="cellIs" dxfId="2455" priority="8" stopIfTrue="1" operator="greaterThan">
      <formula>#REF!</formula>
    </cfRule>
    <cfRule type="cellIs" dxfId="2454" priority="9" stopIfTrue="1" operator="lessThanOrEqual">
      <formula>0</formula>
    </cfRule>
    <cfRule type="cellIs" dxfId="2453" priority="10" stopIfTrue="1" operator="greaterThan">
      <formula>#REF!</formula>
    </cfRule>
    <cfRule type="cellIs" dxfId="2452" priority="11" stopIfTrue="1" operator="lessThanOrEqual">
      <formula>0</formula>
    </cfRule>
    <cfRule type="cellIs" dxfId="2451" priority="6" stopIfTrue="1" operator="greaterThan">
      <formula>#REF!</formula>
    </cfRule>
  </conditionalFormatting>
  <conditionalFormatting sqref="I56">
    <cfRule type="cellIs" dxfId="2450" priority="34" stopIfTrue="1" operator="greaterThan">
      <formula>#REF!</formula>
    </cfRule>
    <cfRule type="cellIs" dxfId="2449" priority="33" stopIfTrue="1" operator="lessThanOrEqual">
      <formula>0</formula>
    </cfRule>
    <cfRule type="cellIs" dxfId="2448" priority="32" stopIfTrue="1" operator="greaterThan">
      <formula>#REF!</formula>
    </cfRule>
    <cfRule type="cellIs" dxfId="2447" priority="35" stopIfTrue="1" operator="lessThanOrEqual">
      <formula>0</formula>
    </cfRule>
    <cfRule type="cellIs" dxfId="2446" priority="30" stopIfTrue="1" operator="greaterThan">
      <formula>#REF!</formula>
    </cfRule>
    <cfRule type="cellIs" dxfId="2445" priority="31" stopIfTrue="1" operator="lessThanOrEqual">
      <formula>0</formula>
    </cfRule>
  </conditionalFormatting>
  <conditionalFormatting sqref="I57">
    <cfRule type="cellIs" dxfId="2444" priority="107" stopIfTrue="1" operator="greaterThan">
      <formula>#REF!</formula>
    </cfRule>
    <cfRule type="cellIs" dxfId="2443" priority="109" stopIfTrue="1" operator="greaterThan">
      <formula>$F$22</formula>
    </cfRule>
    <cfRule type="cellIs" dxfId="2442" priority="110" stopIfTrue="1" operator="lessThanOrEqual">
      <formula>0</formula>
    </cfRule>
    <cfRule type="cellIs" dxfId="2441" priority="111" stopIfTrue="1" operator="greaterThan">
      <formula>#REF!</formula>
    </cfRule>
    <cfRule type="cellIs" dxfId="2440" priority="112" stopIfTrue="1" operator="lessThanOrEqual">
      <formula>0</formula>
    </cfRule>
    <cfRule type="cellIs" dxfId="2439" priority="108" stopIfTrue="1" operator="lessThanOrEqual">
      <formula>0</formula>
    </cfRule>
  </conditionalFormatting>
  <conditionalFormatting sqref="I58">
    <cfRule type="cellIs" dxfId="2438" priority="49" stopIfTrue="1" operator="lessThanOrEqual">
      <formula>0</formula>
    </cfRule>
    <cfRule type="cellIs" dxfId="2437" priority="48" stopIfTrue="1" operator="greaterThan">
      <formula>$F$67</formula>
    </cfRule>
    <cfRule type="cellIs" dxfId="2436" priority="44" stopIfTrue="1" operator="greaterThan">
      <formula>$F$67</formula>
    </cfRule>
    <cfRule type="cellIs" dxfId="2435" priority="45" stopIfTrue="1" operator="lessThanOrEqual">
      <formula>0</formula>
    </cfRule>
    <cfRule type="cellIs" dxfId="2434" priority="46" stopIfTrue="1" operator="greaterThan">
      <formula>$F$69</formula>
    </cfRule>
    <cfRule type="cellIs" dxfId="2433" priority="47" stopIfTrue="1" operator="lessThanOrEqual">
      <formula>0</formula>
    </cfRule>
  </conditionalFormatting>
  <conditionalFormatting sqref="I59:I60">
    <cfRule type="cellIs" dxfId="2432" priority="93" stopIfTrue="1" operator="greaterThan">
      <formula>#REF!</formula>
    </cfRule>
    <cfRule type="cellIs" dxfId="2431" priority="98" stopIfTrue="1" operator="lessThanOrEqual">
      <formula>0</formula>
    </cfRule>
    <cfRule type="cellIs" dxfId="2430" priority="94" stopIfTrue="1" operator="lessThanOrEqual">
      <formula>0</formula>
    </cfRule>
    <cfRule type="cellIs" dxfId="2429" priority="95" stopIfTrue="1" operator="greaterThan">
      <formula>#REF!</formula>
    </cfRule>
    <cfRule type="cellIs" dxfId="2428" priority="96" stopIfTrue="1" operator="lessThanOrEqual">
      <formula>0</formula>
    </cfRule>
    <cfRule type="cellIs" dxfId="2427" priority="97" stopIfTrue="1" operator="greaterThan">
      <formula>#REF!</formula>
    </cfRule>
  </conditionalFormatting>
  <conditionalFormatting sqref="I61">
    <cfRule type="cellIs" dxfId="2426" priority="126" stopIfTrue="1" operator="greaterThan">
      <formula>$F$35</formula>
    </cfRule>
    <cfRule type="cellIs" dxfId="2425" priority="127" stopIfTrue="1" operator="lessThanOrEqual">
      <formula>0</formula>
    </cfRule>
    <cfRule type="cellIs" dxfId="2424" priority="122" stopIfTrue="1" operator="greaterThan">
      <formula>$F$35</formula>
    </cfRule>
    <cfRule type="cellIs" dxfId="2423" priority="123" stopIfTrue="1" operator="lessThanOrEqual">
      <formula>0</formula>
    </cfRule>
    <cfRule type="cellIs" dxfId="2422" priority="124" stopIfTrue="1" operator="greaterThan">
      <formula>$F$37</formula>
    </cfRule>
    <cfRule type="cellIs" dxfId="2421" priority="125" stopIfTrue="1" operator="lessThanOrEqual">
      <formula>0</formula>
    </cfRule>
  </conditionalFormatting>
  <conditionalFormatting sqref="I62:I63">
    <cfRule type="cellIs" dxfId="2420" priority="78" stopIfTrue="1" operator="lessThanOrEqual">
      <formula>0</formula>
    </cfRule>
    <cfRule type="cellIs" dxfId="2419" priority="82" stopIfTrue="1" operator="lessThanOrEqual">
      <formula>0</formula>
    </cfRule>
    <cfRule type="cellIs" dxfId="2418" priority="79" stopIfTrue="1" operator="greaterThan">
      <formula>#REF!</formula>
    </cfRule>
    <cfRule type="cellIs" dxfId="2417" priority="77" stopIfTrue="1" operator="greaterThan">
      <formula>#REF!</formula>
    </cfRule>
    <cfRule type="cellIs" dxfId="2416" priority="81" stopIfTrue="1" operator="greaterThan">
      <formula>#REF!</formula>
    </cfRule>
    <cfRule type="cellIs" dxfId="2415" priority="80" stopIfTrue="1" operator="lessThanOrEqual">
      <formula>0</formula>
    </cfRule>
  </conditionalFormatting>
  <conditionalFormatting sqref="I78:I86">
    <cfRule type="cellIs" dxfId="2414" priority="174" stopIfTrue="1" operator="greaterThan">
      <formula>4.5</formula>
    </cfRule>
    <cfRule type="cellIs" dxfId="2413" priority="175" stopIfTrue="1" operator="lessThanOrEqual">
      <formula>0</formula>
    </cfRule>
  </conditionalFormatting>
  <conditionalFormatting sqref="I10:J22">
    <cfRule type="cellIs" dxfId="2412" priority="18" operator="lessThan">
      <formula>97.9</formula>
    </cfRule>
  </conditionalFormatting>
  <conditionalFormatting sqref="J27">
    <cfRule type="cellIs" dxfId="2411" priority="133" stopIfTrue="1" operator="lessThan">
      <formula>96.8</formula>
    </cfRule>
    <cfRule type="cellIs" dxfId="2410" priority="134" stopIfTrue="1" operator="greaterThan">
      <formula>100</formula>
    </cfRule>
    <cfRule type="cellIs" dxfId="2409" priority="135" operator="lessThan">
      <formula>98</formula>
    </cfRule>
  </conditionalFormatting>
  <conditionalFormatting sqref="J27:J29">
    <cfRule type="cellIs" dxfId="2408" priority="132" operator="lessThan">
      <formula>97.4</formula>
    </cfRule>
  </conditionalFormatting>
  <conditionalFormatting sqref="J30:J31">
    <cfRule type="cellIs" dxfId="2407" priority="136" operator="lessThan">
      <formula>98</formula>
    </cfRule>
  </conditionalFormatting>
  <conditionalFormatting sqref="J32:J33">
    <cfRule type="cellIs" dxfId="2406" priority="137" stopIfTrue="1" operator="lessThan">
      <formula>96.8</formula>
    </cfRule>
    <cfRule type="cellIs" dxfId="2405" priority="138" stopIfTrue="1" operator="greaterThan">
      <formula>100</formula>
    </cfRule>
  </conditionalFormatting>
  <conditionalFormatting sqref="J32:J34">
    <cfRule type="cellIs" dxfId="2404" priority="139" operator="lessThan">
      <formula>98</formula>
    </cfRule>
  </conditionalFormatting>
  <conditionalFormatting sqref="J63">
    <cfRule type="cellIs" dxfId="2403" priority="65" stopIfTrue="1" operator="greaterThan">
      <formula>#REF!</formula>
    </cfRule>
    <cfRule type="cellIs" dxfId="2402" priority="67" stopIfTrue="1" operator="greaterThan">
      <formula>#REF!</formula>
    </cfRule>
    <cfRule type="cellIs" dxfId="2401" priority="72" stopIfTrue="1" operator="lessThanOrEqual">
      <formula>0</formula>
    </cfRule>
    <cfRule type="cellIs" dxfId="2400" priority="71" stopIfTrue="1" operator="greaterThan">
      <formula>#REF!</formula>
    </cfRule>
    <cfRule type="cellIs" dxfId="2399" priority="70" stopIfTrue="1" operator="lessThanOrEqual">
      <formula>0</formula>
    </cfRule>
    <cfRule type="cellIs" dxfId="2398" priority="69" stopIfTrue="1" operator="greaterThan">
      <formula>#REF!</formula>
    </cfRule>
    <cfRule type="cellIs" dxfId="2397" priority="68" stopIfTrue="1" operator="lessThanOrEqual">
      <formula>0</formula>
    </cfRule>
    <cfRule type="cellIs" dxfId="2396" priority="66" stopIfTrue="1" operator="lessThanOrEqual">
      <formula>0</formula>
    </cfRule>
  </conditionalFormatting>
  <conditionalFormatting sqref="J76">
    <cfRule type="cellIs" dxfId="2395" priority="140" stopIfTrue="1" operator="greaterThan">
      <formula>$F76</formula>
    </cfRule>
    <cfRule type="cellIs" dxfId="2394" priority="141" stopIfTrue="1" operator="lessThanOrEqual">
      <formula>0</formula>
    </cfRule>
  </conditionalFormatting>
  <conditionalFormatting sqref="K10:K22">
    <cfRule type="cellIs" dxfId="2393" priority="20" operator="lessThan">
      <formula>4</formula>
    </cfRule>
    <cfRule type="cellIs" dxfId="2392" priority="19" operator="greaterThan">
      <formula>6</formula>
    </cfRule>
    <cfRule type="cellIs" dxfId="2391" priority="21" operator="greaterThan">
      <formula>6.4</formula>
    </cfRule>
  </conditionalFormatting>
  <conditionalFormatting sqref="K54:K63">
    <cfRule type="cellIs" dxfId="2390" priority="16" stopIfTrue="1" operator="lessThan">
      <formula>100%</formula>
    </cfRule>
  </conditionalFormatting>
  <conditionalFormatting sqref="K78:K83">
    <cfRule type="cellIs" dxfId="2389" priority="180" stopIfTrue="1" operator="lessThan">
      <formula>100%</formula>
    </cfRule>
  </conditionalFormatting>
  <conditionalFormatting sqref="K85:K86">
    <cfRule type="cellIs" dxfId="2388" priority="187" stopIfTrue="1" operator="lessThan">
      <formula>100%</formula>
    </cfRule>
  </conditionalFormatting>
  <conditionalFormatting sqref="K67:N75">
    <cfRule type="cellIs" dxfId="2387" priority="117" stopIfTrue="1" operator="lessThan">
      <formula>100%</formula>
    </cfRule>
  </conditionalFormatting>
  <conditionalFormatting sqref="L10:L22">
    <cfRule type="cellIs" dxfId="2386" priority="27" operator="greaterThan">
      <formula>65</formula>
    </cfRule>
    <cfRule type="cellIs" dxfId="2385" priority="26" operator="between">
      <formula>61</formula>
      <formula>65</formula>
    </cfRule>
  </conditionalFormatting>
  <conditionalFormatting sqref="L25:M36">
    <cfRule type="cellIs" dxfId="2384" priority="57" operator="lessThan">
      <formula>97.95</formula>
    </cfRule>
  </conditionalFormatting>
  <conditionalFormatting sqref="L40:N40">
    <cfRule type="cellIs" dxfId="2383" priority="58" operator="notEqual">
      <formula>#REF!</formula>
    </cfRule>
  </conditionalFormatting>
  <conditionalFormatting sqref="L76:N76">
    <cfRule type="cellIs" dxfId="2382" priority="142" stopIfTrue="1" operator="lessThan">
      <formula>100%</formula>
    </cfRule>
  </conditionalFormatting>
  <conditionalFormatting sqref="L78:N86">
    <cfRule type="cellIs" dxfId="2381" priority="165" stopIfTrue="1" operator="lessThan">
      <formula>100%</formula>
    </cfRule>
  </conditionalFormatting>
  <conditionalFormatting sqref="M10:M21">
    <cfRule type="expression" dxfId="2380" priority="24">
      <formula>IF(+(IF(M10&lt;U10,0,IF(M10&gt;V10,0,1)))=0,1)</formula>
    </cfRule>
  </conditionalFormatting>
  <conditionalFormatting sqref="M22:N22">
    <cfRule type="expression" dxfId="2379" priority="195">
      <formula>IF(+(IF(M22&lt;#REF!,0,IF(M22&gt;#REF!,0,1)))=0,1)</formula>
    </cfRule>
  </conditionalFormatting>
  <conditionalFormatting sqref="N10:N21">
    <cfRule type="expression" dxfId="2378" priority="17">
      <formula>IF(+(IF(N10&lt;W10,0,IF(N10&gt;X10,0,1)))=0,1)</formula>
    </cfRule>
  </conditionalFormatting>
  <conditionalFormatting sqref="P6">
    <cfRule type="cellIs" dxfId="2377" priority="161" operator="greaterThanOrEqual">
      <formula>19</formula>
    </cfRule>
  </conditionalFormatting>
  <dataValidations count="1">
    <dataValidation type="list" allowBlank="1" showInputMessage="1" showErrorMessage="1" sqref="R8" xr:uid="{6C8CB264-11A3-4A4E-9A3E-DA1EF3F398EC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81C1-46AC-4A46-B6D2-39ABA98B8352}">
  <sheetPr>
    <pageSetUpPr fitToPage="1"/>
  </sheetPr>
  <dimension ref="A1:BE79"/>
  <sheetViews>
    <sheetView topLeftCell="A8" zoomScale="80" zoomScaleNormal="80" workbookViewId="0">
      <selection activeCell="B10" sqref="B10:O10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46063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[3]Brewhouse!$A141</f>
        <v>CA099</v>
      </c>
      <c r="D10" s="279">
        <f>[3]Brewhouse!$AF141</f>
        <v>50.3</v>
      </c>
      <c r="E10" s="279">
        <f>[3]Brewhouse!$AI141</f>
        <v>47.3</v>
      </c>
      <c r="F10" s="278">
        <f>[3]Brewhouse!$V141</f>
        <v>86</v>
      </c>
      <c r="G10" s="279">
        <f>[3]Brewhouse!AG141</f>
        <v>11.4</v>
      </c>
      <c r="H10" s="482">
        <v>11.4</v>
      </c>
      <c r="I10" s="368">
        <f>[3]Brewhouse!$AU141</f>
        <v>99.310564104752999</v>
      </c>
      <c r="J10" s="368">
        <f>[3]Brewhouse!$AV141</f>
        <v>100.7785582732287</v>
      </c>
      <c r="K10" s="281">
        <f>[3]Brewhouse!$Q141</f>
        <v>0.84000000000000341</v>
      </c>
      <c r="L10" s="276">
        <f>[3]Brewhouse!$P141</f>
        <v>60</v>
      </c>
      <c r="M10" s="397">
        <f>[3]Brewhouse!$U141-[3]Brewhouse!$T141</f>
        <v>0.16111111111111109</v>
      </c>
      <c r="N10" s="370">
        <f>[3]Brewhouse!$Z141</f>
        <v>0.38541666666666663</v>
      </c>
      <c r="O10" s="420" t="str">
        <f>[3]Brewhouse!$AX141</f>
        <v>R. Regis</v>
      </c>
      <c r="P10" s="418" t="s">
        <v>179</v>
      </c>
      <c r="R10" s="277" t="str">
        <f t="shared" ref="R10:R39" si="0">B10</f>
        <v>CARIB</v>
      </c>
      <c r="S10" s="472">
        <f t="shared" ref="S10:S39" si="1">VLOOKUP($B10,$R$3:$X$9,2,FALSE)</f>
        <v>11.6</v>
      </c>
      <c r="T10" s="472">
        <f t="shared" ref="T10:T39" si="2">VLOOKUP($B10,$R$3:$X$9,3,FALSE)</f>
        <v>12</v>
      </c>
      <c r="U10" s="297">
        <f t="shared" ref="U10:U39" si="3">VLOOKUP($B10,$R$3:$X$9,4,FALSE)</f>
        <v>0</v>
      </c>
      <c r="V10" s="297">
        <f t="shared" ref="V10:V39" si="4">VLOOKUP($B10,$R$3:$X$9,5,FALSE)</f>
        <v>0.118055555555556</v>
      </c>
      <c r="W10" s="297">
        <f t="shared" ref="W10:W39" si="5">VLOOKUP($B10,$R$3:$X$9,6,FALSE)</f>
        <v>0.22569444444444445</v>
      </c>
      <c r="X10" s="297">
        <f t="shared" ref="X10:X39" si="6">VLOOKUP($B10,$R$3:$X$9,7,FALSE)</f>
        <v>0.2638888888888889</v>
      </c>
      <c r="Y10" s="297">
        <f t="shared" ref="Y10:Y39" si="7">VLOOKUP($B10,$R$3:$Z$9,8,FALSE)</f>
        <v>0</v>
      </c>
      <c r="Z10" s="472">
        <f t="shared" ref="Z10:Z39" si="8">VLOOKUP($B10,$R$3:$Z$9,9,FALSE)</f>
        <v>60</v>
      </c>
    </row>
    <row r="11" spans="2:29" ht="16.5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420"/>
      <c r="P11" s="418"/>
      <c r="R11" s="277">
        <f t="shared" ref="R11:R27" si="9">B11</f>
        <v>0</v>
      </c>
      <c r="S11" s="472" t="e">
        <f t="shared" si="1"/>
        <v>#N/A</v>
      </c>
      <c r="T11" s="472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2" t="e">
        <f t="shared" si="8"/>
        <v>#N/A</v>
      </c>
    </row>
    <row r="12" spans="2:29" ht="16.5" customHeight="1">
      <c r="B12" s="33" t="s">
        <v>9</v>
      </c>
      <c r="C12" s="366" t="str">
        <f>[4]Brewhouse!$A103</f>
        <v>ST052</v>
      </c>
      <c r="D12" s="279">
        <f>[4]Brewhouse!$AB103</f>
        <v>52.1</v>
      </c>
      <c r="E12" s="279">
        <f>[4]Brewhouse!$AG103</f>
        <v>49.8</v>
      </c>
      <c r="F12" s="278">
        <f>[4]Brewhouse!$V103</f>
        <v>67</v>
      </c>
      <c r="G12" s="279">
        <f>[4]Brewhouse!$AE103</f>
        <v>11.9</v>
      </c>
      <c r="H12" s="396">
        <v>11.9</v>
      </c>
      <c r="I12" s="368">
        <f>[4]Brewhouse!$AS103</f>
        <v>98.7497690885385</v>
      </c>
      <c r="J12" s="368">
        <f>[4]Brewhouse!$AT103</f>
        <v>99.992103976692775</v>
      </c>
      <c r="K12" s="281">
        <f>[4]Brewhouse!$Q103</f>
        <v>2.4472168905950067</v>
      </c>
      <c r="L12" s="276">
        <f>[4]Brewhouse!$P103</f>
        <v>57</v>
      </c>
      <c r="M12" s="374">
        <f>[4]Brewhouse!$U103-[4]Brewhouse!$T103</f>
        <v>0.1333333333333333</v>
      </c>
      <c r="N12" s="370">
        <f>[4]Brewhouse!$AW103</f>
        <v>0.28611111111111109</v>
      </c>
      <c r="O12" s="371" t="str">
        <f>[4]Brewhouse!$AV103</f>
        <v>R.Sookram</v>
      </c>
      <c r="P12" s="418"/>
      <c r="R12" s="277" t="str">
        <f t="shared" si="9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33" t="s">
        <v>9</v>
      </c>
      <c r="C13" s="366" t="str">
        <f>[4]Brewhouse!$A104</f>
        <v>ST053</v>
      </c>
      <c r="D13" s="279">
        <f>[4]Brewhouse!$AB104</f>
        <v>52.1</v>
      </c>
      <c r="E13" s="279">
        <f>[4]Brewhouse!$AG104</f>
        <v>49.9</v>
      </c>
      <c r="F13" s="278">
        <f>[4]Brewhouse!$V104</f>
        <v>59</v>
      </c>
      <c r="G13" s="279">
        <f>[4]Brewhouse!$AE104</f>
        <v>11.8</v>
      </c>
      <c r="H13" s="396">
        <v>11.7</v>
      </c>
      <c r="I13" s="368">
        <f>[4]Brewhouse!$AS104</f>
        <v>99.321694799161747</v>
      </c>
      <c r="J13" s="368">
        <f>[4]Brewhouse!$AT104</f>
        <v>100.56999294647811</v>
      </c>
      <c r="K13" s="281">
        <f>[4]Brewhouse!$Q104</f>
        <v>2.2552783109404935</v>
      </c>
      <c r="L13" s="276">
        <f>[4]Brewhouse!$P104</f>
        <v>59</v>
      </c>
      <c r="M13" s="374">
        <f>[4]Brewhouse!$U104-[4]Brewhouse!$T104</f>
        <v>0.11597222222222225</v>
      </c>
      <c r="N13" s="370">
        <f>[4]Brewhouse!$AW104</f>
        <v>0.27638888888888885</v>
      </c>
      <c r="O13" s="371" t="str">
        <f>[4]Brewhouse!$AV104</f>
        <v>R.Sookram</v>
      </c>
      <c r="P13" s="418"/>
      <c r="R13" s="277" t="str">
        <f t="shared" si="9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33" t="s">
        <v>9</v>
      </c>
      <c r="C14" s="366" t="str">
        <f>[4]Brewhouse!$A105</f>
        <v>ST054</v>
      </c>
      <c r="D14" s="279">
        <f>[4]Brewhouse!$AB105</f>
        <v>52</v>
      </c>
      <c r="E14" s="279">
        <f>[4]Brewhouse!$AG105</f>
        <v>50.6</v>
      </c>
      <c r="F14" s="278">
        <f>[4]Brewhouse!$V105</f>
        <v>60</v>
      </c>
      <c r="G14" s="279">
        <f>[4]Brewhouse!$AE105</f>
        <v>11.9</v>
      </c>
      <c r="H14" s="396">
        <v>11.9</v>
      </c>
      <c r="I14" s="368">
        <f>[4]Brewhouse!$AS105</f>
        <v>100.46208508570412</v>
      </c>
      <c r="J14" s="368">
        <f>[4]Brewhouse!$AT105</f>
        <v>101.72554767929076</v>
      </c>
      <c r="K14" s="281">
        <f>[4]Brewhouse!$Q105</f>
        <v>1.6826923076923077</v>
      </c>
      <c r="L14" s="276">
        <f>[4]Brewhouse!$P105</f>
        <v>61</v>
      </c>
      <c r="M14" s="374">
        <f>[4]Brewhouse!$U105-[4]Brewhouse!$T105</f>
        <v>8.333333333333337E-2</v>
      </c>
      <c r="N14" s="370">
        <f>[4]Brewhouse!$AW105</f>
        <v>0.29444444444444445</v>
      </c>
      <c r="O14" s="371" t="str">
        <f>[4]Brewhouse!$AV105</f>
        <v>K. Benjamin</v>
      </c>
      <c r="P14" s="418"/>
      <c r="R14" s="277" t="str">
        <f t="shared" si="9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33" t="s">
        <v>9</v>
      </c>
      <c r="C15" s="366" t="str">
        <f>[4]Brewhouse!$A106</f>
        <v>ST055</v>
      </c>
      <c r="D15" s="279">
        <f>[4]Brewhouse!$AB106</f>
        <v>52</v>
      </c>
      <c r="E15" s="279">
        <f>[4]Brewhouse!$AG106</f>
        <v>51.1</v>
      </c>
      <c r="F15" s="278">
        <f>[4]Brewhouse!$V106</f>
        <v>62</v>
      </c>
      <c r="G15" s="279">
        <f>[4]Brewhouse!$AE106</f>
        <v>11.8</v>
      </c>
      <c r="H15" s="396">
        <v>11.8</v>
      </c>
      <c r="I15" s="368">
        <f>[4]Brewhouse!$AS106</f>
        <v>100.43231059698405</v>
      </c>
      <c r="J15" s="368">
        <f>[4]Brewhouse!$AT106</f>
        <v>101.69581292720935</v>
      </c>
      <c r="K15" s="281">
        <f>[4]Brewhouse!$Q106</f>
        <v>-4.8076923076920339E-2</v>
      </c>
      <c r="L15" s="276">
        <f>[4]Brewhouse!$P106</f>
        <v>60</v>
      </c>
      <c r="M15" s="374">
        <f>[4]Brewhouse!$U106-[4]Brewhouse!$T106</f>
        <v>0.12569444444444444</v>
      </c>
      <c r="N15" s="370">
        <f>[4]Brewhouse!$AW106</f>
        <v>0.28541666666666665</v>
      </c>
      <c r="O15" s="371" t="str">
        <f>[4]Brewhouse!$AV106</f>
        <v>K. Benjamin</v>
      </c>
      <c r="P15" s="418"/>
      <c r="R15" s="277" t="str">
        <f t="shared" si="9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6.5" customHeight="1">
      <c r="B16" s="33" t="s">
        <v>9</v>
      </c>
      <c r="C16" s="366" t="str">
        <f>[4]Brewhouse!$A107</f>
        <v>ST056</v>
      </c>
      <c r="D16" s="279">
        <f>[4]Brewhouse!$AB107</f>
        <v>52.1</v>
      </c>
      <c r="E16" s="279">
        <f>[4]Brewhouse!$AG107</f>
        <v>48.7</v>
      </c>
      <c r="F16" s="278">
        <f>[4]Brewhouse!$V107</f>
        <v>64</v>
      </c>
      <c r="G16" s="279">
        <f>[4]Brewhouse!$AE107</f>
        <v>11.8</v>
      </c>
      <c r="H16" s="396">
        <v>11.8</v>
      </c>
      <c r="I16" s="368">
        <f>[4]Brewhouse!$AS107</f>
        <v>95.835506022405141</v>
      </c>
      <c r="J16" s="368">
        <f>[4]Brewhouse!$AT107</f>
        <v>97.040782390036384</v>
      </c>
      <c r="K16" s="281">
        <f>[4]Brewhouse!$Q107</f>
        <v>4.3666026871401122</v>
      </c>
      <c r="L16" s="276">
        <f>[4]Brewhouse!$P107</f>
        <v>60</v>
      </c>
      <c r="M16" s="374">
        <f>[4]Brewhouse!$U107-[4]Brewhouse!$T107</f>
        <v>0.12638888888888888</v>
      </c>
      <c r="N16" s="370">
        <f>[4]Brewhouse!$AW107</f>
        <v>0.34166666666666667</v>
      </c>
      <c r="O16" s="371" t="str">
        <f>[4]Brewhouse!$AV107</f>
        <v>R. Regis</v>
      </c>
      <c r="P16" s="418" t="s">
        <v>180</v>
      </c>
      <c r="R16" s="277" t="str">
        <f t="shared" si="9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6.5" customHeight="1">
      <c r="B17" s="33" t="s">
        <v>9</v>
      </c>
      <c r="C17" s="366" t="str">
        <f>[4]Brewhouse!$A108</f>
        <v>ST057</v>
      </c>
      <c r="D17" s="279">
        <f>[4]Brewhouse!$AB108</f>
        <v>52.1</v>
      </c>
      <c r="E17" s="279">
        <f>[4]Brewhouse!$AG108</f>
        <v>49.8</v>
      </c>
      <c r="F17" s="278">
        <f>[4]Brewhouse!$V108</f>
        <v>63</v>
      </c>
      <c r="G17" s="279">
        <f>[4]Brewhouse!$AE108</f>
        <v>11.7</v>
      </c>
      <c r="H17" s="396">
        <v>11.7</v>
      </c>
      <c r="I17" s="368">
        <f>[4]Brewhouse!$AS108</f>
        <v>96.762123724352961</v>
      </c>
      <c r="J17" s="368">
        <f>[4]Brewhouse!$AT108</f>
        <v>97.980247903762489</v>
      </c>
      <c r="K17" s="281">
        <f>[4]Brewhouse!$Q108</f>
        <v>4.3666026871401122</v>
      </c>
      <c r="L17" s="276">
        <f>[4]Brewhouse!$P108</f>
        <v>61</v>
      </c>
      <c r="M17" s="374">
        <f>[4]Brewhouse!$U108-[4]Brewhouse!$T108</f>
        <v>0.15138888888888902</v>
      </c>
      <c r="N17" s="370">
        <f>[4]Brewhouse!$AW108</f>
        <v>0.46319444444444458</v>
      </c>
      <c r="O17" s="371" t="str">
        <f>[4]Brewhouse!$AV108</f>
        <v>R. Regis</v>
      </c>
      <c r="P17" s="418"/>
      <c r="R17" s="277" t="str">
        <f>B17</f>
        <v>STAG</v>
      </c>
      <c r="S17" s="472">
        <f>VLOOKUP($B17,'Feb 10th'!$R$3:$X$9,2,FALSE)</f>
        <v>11.6</v>
      </c>
      <c r="T17" s="472">
        <f>VLOOKUP($B17,'Feb 10th'!$R$3:$X$9,3,FALSE)</f>
        <v>12</v>
      </c>
      <c r="U17" s="297">
        <f>VLOOKUP($B17,'Feb 10th'!$R$3:$X$9,4,FALSE)</f>
        <v>0</v>
      </c>
      <c r="V17" s="297">
        <f>VLOOKUP($B17,'Feb 10th'!$R$3:$X$9,5,FALSE)</f>
        <v>0.118055555555556</v>
      </c>
      <c r="W17" s="297">
        <f>VLOOKUP($B17,'Feb 10th'!$R$3:$X$9,6,FALSE)</f>
        <v>0.22569444444444445</v>
      </c>
      <c r="X17" s="297">
        <f>VLOOKUP($B17,'Feb 10th'!$R$3:$X$9,7,FALSE)</f>
        <v>0.2638888888888889</v>
      </c>
      <c r="Y17" s="297">
        <f>VLOOKUP($B17,'Feb 10th'!$R$3:$Z$9,8,FALSE)</f>
        <v>0</v>
      </c>
      <c r="Z17" s="472">
        <f>VLOOKUP($B17,'Feb 10th'!$R$3:$Z$9,9,FALSE)</f>
        <v>60</v>
      </c>
    </row>
    <row r="18" spans="1:26" ht="15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6.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6.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6.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6.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6.5" hidden="1" customHeight="1">
      <c r="B23" s="33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8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6.5" hidden="1" customHeight="1">
      <c r="B25" s="22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.75" customHeight="1" thickBot="1">
      <c r="B26" s="358"/>
      <c r="C26" s="358"/>
      <c r="D26" s="358"/>
      <c r="E26" s="358"/>
      <c r="F26" s="294"/>
      <c r="G26" s="294"/>
      <c r="H26" s="348"/>
      <c r="I26" s="511"/>
      <c r="J26" s="511"/>
      <c r="K26" s="511"/>
      <c r="L26" s="511"/>
      <c r="M26" s="511"/>
      <c r="N26" s="511"/>
      <c r="O26" s="1"/>
      <c r="P26" s="12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.75" customHeight="1" thickBot="1">
      <c r="B27" s="388" t="s">
        <v>162</v>
      </c>
      <c r="C27" s="388"/>
      <c r="D27" s="512" t="s">
        <v>35</v>
      </c>
      <c r="E27" s="513"/>
      <c r="F27" s="294"/>
      <c r="G27" s="294"/>
      <c r="H27" s="348"/>
      <c r="I27" s="24" t="s">
        <v>17</v>
      </c>
      <c r="J27" s="25"/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9"/>
        <v xml:space="preserve">BRAND 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" customHeight="1">
      <c r="A28" s="28"/>
      <c r="B28" s="580" t="str">
        <f>I28</f>
        <v>CARIB</v>
      </c>
      <c r="C28" s="362" cm="1">
        <f t="array" ref="C28:C35">[3]Process!$D$99:$D$106</f>
        <v>11.8</v>
      </c>
      <c r="D28" s="517">
        <v>12.07</v>
      </c>
      <c r="E28" s="518"/>
      <c r="F28" s="294"/>
      <c r="G28" s="294"/>
      <c r="H28" s="348"/>
      <c r="I28" s="29" t="s">
        <v>6</v>
      </c>
      <c r="J28" s="280">
        <f>I10</f>
        <v>99.310564104752999</v>
      </c>
      <c r="K28" s="284">
        <f>COUNTA([3]Brewhouse!$A$125:$A$140)</f>
        <v>16</v>
      </c>
      <c r="L28" s="305">
        <f>AVERAGE([3]Brewhouse!$AU$125:$AU$140)</f>
        <v>97.677289058475239</v>
      </c>
      <c r="M28" s="305">
        <f>AVERAGE([3]Brewhouse!$AU$42:$AU$123,[3]Brewhouse!$AU$125:$AU$140)</f>
        <v>97.902963252277985</v>
      </c>
      <c r="N28" s="30">
        <v>98</v>
      </c>
      <c r="O28" s="11"/>
      <c r="P28" s="31"/>
      <c r="R28" s="277" t="str">
        <f t="shared" si="0"/>
        <v>CARIB</v>
      </c>
      <c r="S28" s="472">
        <f t="shared" si="1"/>
        <v>11.6</v>
      </c>
      <c r="T28" s="472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472">
        <f t="shared" si="8"/>
        <v>60</v>
      </c>
    </row>
    <row r="29" spans="1:26" ht="15" customHeight="1">
      <c r="A29" s="28"/>
      <c r="B29" s="581"/>
      <c r="C29" s="362">
        <v>11.8</v>
      </c>
      <c r="D29" s="519"/>
      <c r="E29" s="520"/>
      <c r="F29" s="294"/>
      <c r="G29" s="294"/>
      <c r="H29" s="348"/>
      <c r="I29" s="33" t="s">
        <v>9</v>
      </c>
      <c r="J29" s="280">
        <f>AVERAGE(I12:I16)</f>
        <v>98.960273118558717</v>
      </c>
      <c r="K29" s="284">
        <f>COUNTA([4]Brewhouse!$A$83:$A$102)</f>
        <v>20</v>
      </c>
      <c r="L29" s="302">
        <f>AVERAGE([4]Brewhouse!$AS$83:$AS$102)</f>
        <v>97.82854827310743</v>
      </c>
      <c r="M29" s="302">
        <f>AVERAGE([4]Brewhouse!$AS$52:$AS$81,[4]Brewhouse!$AS$83:$AS$102)</f>
        <v>98.546544958251161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81"/>
      <c r="C30" s="362">
        <v>12</v>
      </c>
      <c r="D30" s="521">
        <v>11.99</v>
      </c>
      <c r="E30" s="522"/>
      <c r="F30" s="294"/>
      <c r="G30" s="294"/>
      <c r="H30" s="348"/>
      <c r="I30" s="34" t="s">
        <v>12</v>
      </c>
      <c r="J30" s="280"/>
      <c r="K30" s="284"/>
      <c r="L30" s="302"/>
      <c r="M30" s="302">
        <f>AVERAGE([6]Brewhouse!$AU$16:$AU$23)</f>
        <v>97.765204759801577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81"/>
      <c r="C31" s="362">
        <v>11.8</v>
      </c>
      <c r="D31" s="523"/>
      <c r="E31" s="520"/>
      <c r="F31" s="294"/>
      <c r="G31" s="294"/>
      <c r="H31" s="348"/>
      <c r="I31" s="22" t="s">
        <v>33</v>
      </c>
      <c r="J31" s="280"/>
      <c r="K31" s="284"/>
      <c r="L31" s="302"/>
      <c r="M31" s="302">
        <f>AVERAGE([5]Brewhouse!$AV$23:$AV$34)</f>
        <v>98.31387229810305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81"/>
      <c r="C32" s="362">
        <v>11.8</v>
      </c>
      <c r="D32" s="521">
        <v>11.94</v>
      </c>
      <c r="E32" s="522"/>
      <c r="F32" s="417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81"/>
      <c r="C33" s="362">
        <v>11.9</v>
      </c>
      <c r="D33" s="523"/>
      <c r="E33" s="520"/>
      <c r="F33" s="417"/>
      <c r="G33" s="294"/>
      <c r="H33" s="348"/>
      <c r="I33" s="36" t="s">
        <v>15</v>
      </c>
      <c r="J33" s="323"/>
      <c r="K33" s="284"/>
      <c r="L33" s="302"/>
      <c r="M33" s="302">
        <f>AVERAGE([7]Brewhouse!$AT$4:$AT$11)</f>
        <v>92.826224508052405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4.65" customHeight="1">
      <c r="A34" s="28"/>
      <c r="B34" s="581"/>
      <c r="C34" s="362">
        <v>12</v>
      </c>
      <c r="D34" s="521">
        <v>11.93</v>
      </c>
      <c r="E34" s="522"/>
      <c r="F34" s="417"/>
      <c r="G34" s="294"/>
      <c r="H34" s="348"/>
      <c r="I34" s="37" t="s">
        <v>16</v>
      </c>
      <c r="J34" s="323"/>
      <c r="K34" s="284"/>
      <c r="L34" s="302"/>
      <c r="M34" s="302">
        <f>AVERAGE([8]Brewhouse!$AY$5:$AY$7)</f>
        <v>98.128633252159673</v>
      </c>
      <c r="N34" s="30">
        <v>98</v>
      </c>
      <c r="O34" s="11"/>
      <c r="P34" s="31" t="s">
        <v>41</v>
      </c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4.65" customHeight="1">
      <c r="A35" s="28"/>
      <c r="B35" s="581"/>
      <c r="C35" s="362">
        <v>11.9</v>
      </c>
      <c r="D35" s="523"/>
      <c r="E35" s="520"/>
      <c r="F35" s="294"/>
      <c r="G35" s="294"/>
      <c r="H35" s="348"/>
      <c r="I35" s="411" t="s">
        <v>158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4.65" customHeight="1">
      <c r="A36" s="28"/>
      <c r="B36" s="581"/>
      <c r="C36" s="349"/>
      <c r="D36" s="521"/>
      <c r="E36" s="522"/>
      <c r="F36" s="294"/>
      <c r="G36" s="294"/>
      <c r="H36" s="348"/>
      <c r="I36" s="410" t="s">
        <v>157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81"/>
      <c r="C37" s="349"/>
      <c r="D37" s="523"/>
      <c r="E37" s="520"/>
      <c r="F37" s="294"/>
      <c r="G37" s="294"/>
      <c r="H37" s="348"/>
      <c r="I37" s="406" t="s">
        <v>156</v>
      </c>
      <c r="J37" s="327"/>
      <c r="K37" s="407"/>
      <c r="L37" s="408"/>
      <c r="M37" s="408"/>
      <c r="N37" s="409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" customHeight="1" thickBot="1">
      <c r="A38" s="28"/>
      <c r="B38" s="581"/>
      <c r="C38" s="349"/>
      <c r="D38" s="517"/>
      <c r="E38" s="518"/>
      <c r="F38" s="294"/>
      <c r="G38" s="294"/>
      <c r="H38" s="348"/>
      <c r="I38" s="1"/>
      <c r="J38" s="39"/>
      <c r="K38" s="404">
        <f>SUM(K28:K37)</f>
        <v>36</v>
      </c>
      <c r="L38" s="405">
        <f>((L28*K28)+(L29*K29)+(L30*K30)+(L31*K31)+(L32*K32)+(K35*L35)+(L33*K33)+(L34*K34)+(L37*K37))/(K38)</f>
        <v>97.761321955493131</v>
      </c>
      <c r="M38" s="405">
        <f>L38</f>
        <v>97.761321955493131</v>
      </c>
      <c r="N38" s="4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582"/>
      <c r="C39" s="350"/>
      <c r="D39" s="519"/>
      <c r="E39" s="520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.75" thickBot="1">
      <c r="B40" s="514" t="str">
        <f>I29</f>
        <v>STAG</v>
      </c>
      <c r="C40" s="362" cm="1">
        <f t="array" ref="C40:C43">[4]Process!$D$62:$D$65</f>
        <v>12</v>
      </c>
      <c r="D40" s="525">
        <v>11.86</v>
      </c>
      <c r="E40" s="526"/>
      <c r="F40" s="294"/>
      <c r="G40" s="42"/>
      <c r="H40" s="41"/>
      <c r="I40" s="42"/>
      <c r="J40" s="527" t="s">
        <v>129</v>
      </c>
      <c r="K40" s="527"/>
      <c r="L40" s="294"/>
      <c r="M40" s="294"/>
      <c r="N40" s="294"/>
      <c r="O40" s="294"/>
      <c r="P40" s="12"/>
    </row>
    <row r="41" spans="1:56" ht="15.75" thickBot="1">
      <c r="B41" s="515"/>
      <c r="C41" s="362">
        <v>11.8</v>
      </c>
      <c r="D41" s="523"/>
      <c r="E41" s="520"/>
      <c r="F41" s="294"/>
      <c r="G41" s="42"/>
      <c r="H41" s="41"/>
      <c r="I41" s="42"/>
      <c r="J41" s="292" t="s">
        <v>17</v>
      </c>
      <c r="K41" s="293" t="s">
        <v>147</v>
      </c>
      <c r="L41" s="528" t="s">
        <v>136</v>
      </c>
      <c r="M41" s="528"/>
      <c r="N41" s="529"/>
      <c r="O41" s="294"/>
      <c r="P41" s="12"/>
    </row>
    <row r="42" spans="1:56" ht="15" customHeight="1" thickBot="1">
      <c r="B42" s="515"/>
      <c r="C42" s="349">
        <v>12</v>
      </c>
      <c r="D42" s="521">
        <v>11.94</v>
      </c>
      <c r="E42" s="522"/>
      <c r="F42" s="294"/>
      <c r="G42" s="42"/>
      <c r="H42" s="41"/>
      <c r="I42" s="42"/>
      <c r="J42" s="287" t="s">
        <v>6</v>
      </c>
      <c r="K42" s="324">
        <v>1</v>
      </c>
      <c r="L42" s="473" t="s">
        <v>37</v>
      </c>
      <c r="M42" s="474" t="s">
        <v>38</v>
      </c>
      <c r="N42" s="474" t="s">
        <v>84</v>
      </c>
      <c r="O42" s="294"/>
      <c r="P42" s="12"/>
    </row>
    <row r="43" spans="1:56" ht="15.75" customHeight="1" thickBot="1">
      <c r="B43" s="515"/>
      <c r="C43" s="349">
        <v>12</v>
      </c>
      <c r="D43" s="523"/>
      <c r="E43" s="520"/>
      <c r="F43" s="294"/>
      <c r="G43" s="42"/>
      <c r="H43" s="41"/>
      <c r="I43" s="42"/>
      <c r="J43" s="345" t="s">
        <v>9</v>
      </c>
      <c r="K43" s="324">
        <v>6</v>
      </c>
      <c r="L43" s="344">
        <f>AVERAGE(K52,'Feb 2nd'!K49,'Feb 3rd'!K54,'Feb 4th'!K53,'Feb 4th'!K53,'Feb 5th'!K49,'Feb 6th'!K49)</f>
        <v>7.2857142857142856</v>
      </c>
      <c r="M43" s="325">
        <f>AVERAGE('[9]Jan30th-31st'!$L$47,L43)</f>
        <v>6.6863354037267086</v>
      </c>
      <c r="N43" s="416">
        <v>9.1999999999999993</v>
      </c>
      <c r="O43" s="294"/>
      <c r="P43" s="12"/>
    </row>
    <row r="44" spans="1:56" ht="15" customHeight="1">
      <c r="B44" s="515"/>
      <c r="C44" s="349"/>
      <c r="D44" s="521"/>
      <c r="E44" s="522"/>
      <c r="F44" s="294"/>
      <c r="G44" s="42"/>
      <c r="H44" s="41"/>
      <c r="I44" s="42"/>
      <c r="J44" s="288" t="s">
        <v>40</v>
      </c>
      <c r="K44" s="324"/>
      <c r="L44" s="294"/>
      <c r="M44" s="294"/>
      <c r="N44" s="294"/>
      <c r="O44" s="294"/>
      <c r="P44" s="12"/>
    </row>
    <row r="45" spans="1:56" ht="15" customHeight="1">
      <c r="B45" s="515"/>
      <c r="C45" s="349"/>
      <c r="D45" s="523"/>
      <c r="E45" s="520"/>
      <c r="F45" s="294"/>
      <c r="G45" s="42"/>
      <c r="H45" s="41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515"/>
      <c r="C46" s="349"/>
      <c r="D46" s="521"/>
      <c r="E46" s="522"/>
      <c r="F46" s="294"/>
      <c r="G46" s="42"/>
      <c r="H46" s="41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15"/>
      <c r="C47" s="349"/>
      <c r="D47" s="523"/>
      <c r="E47" s="520"/>
      <c r="F47" s="294"/>
      <c r="G47" s="42"/>
      <c r="H47" s="41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15"/>
      <c r="C48" s="349"/>
      <c r="D48" s="521"/>
      <c r="E48" s="522"/>
      <c r="F48" s="294"/>
      <c r="G48" s="42"/>
      <c r="H48" s="41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1:57" ht="15.75" thickBot="1">
      <c r="B49" s="524"/>
      <c r="C49" s="350"/>
      <c r="D49" s="530"/>
      <c r="E49" s="531"/>
      <c r="F49" s="294" t="s">
        <v>166</v>
      </c>
      <c r="G49" s="42"/>
      <c r="H49" s="41"/>
      <c r="I49" s="42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1:57" ht="17.649999999999999" customHeight="1" thickBot="1">
      <c r="B50" s="312" t="s">
        <v>139</v>
      </c>
      <c r="C50" s="313"/>
      <c r="D50" s="532"/>
      <c r="E50" s="533"/>
      <c r="F50" s="294"/>
      <c r="H50" s="41"/>
      <c r="I50" s="42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1:57" ht="17.649999999999999" customHeight="1">
      <c r="B51" s="363"/>
      <c r="C51" s="364"/>
      <c r="D51" s="365"/>
      <c r="E51" s="365"/>
      <c r="F51" s="294"/>
      <c r="G51" s="42"/>
      <c r="H51" s="41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1:57" ht="15.6" customHeight="1">
      <c r="B52" s="45"/>
      <c r="C52" s="11"/>
      <c r="D52" s="11"/>
      <c r="E52" s="46"/>
      <c r="F52" s="294"/>
      <c r="G52" s="42"/>
      <c r="H52" s="41"/>
      <c r="I52" s="42"/>
      <c r="J52" s="346" t="s">
        <v>130</v>
      </c>
      <c r="K52" s="324">
        <f>SUM(K42:K51)</f>
        <v>7</v>
      </c>
      <c r="L52" s="294"/>
      <c r="M52" s="294"/>
      <c r="N52" s="294"/>
      <c r="O52" s="294"/>
      <c r="P52" s="12"/>
    </row>
    <row r="53" spans="1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294"/>
      <c r="N53" s="315"/>
      <c r="P53" s="334"/>
    </row>
    <row r="54" spans="1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1:57" ht="15" customHeight="1" thickBot="1">
      <c r="B55" s="534" t="s">
        <v>17</v>
      </c>
      <c r="C55" s="534" t="s">
        <v>44</v>
      </c>
      <c r="D55" s="537" t="s">
        <v>45</v>
      </c>
      <c r="E55" s="500" t="s">
        <v>46</v>
      </c>
      <c r="F55" s="509" t="s">
        <v>47</v>
      </c>
      <c r="G55" s="546" t="s">
        <v>48</v>
      </c>
      <c r="H55" s="534" t="s">
        <v>49</v>
      </c>
      <c r="I55" s="534" t="s">
        <v>50</v>
      </c>
      <c r="J55" s="540" t="s">
        <v>28</v>
      </c>
      <c r="K55" s="498" t="s">
        <v>51</v>
      </c>
      <c r="L55" s="549" t="s">
        <v>52</v>
      </c>
      <c r="M55" s="540" t="s">
        <v>53</v>
      </c>
      <c r="N55" s="13"/>
      <c r="O55" s="13"/>
      <c r="P55" s="50"/>
    </row>
    <row r="56" spans="1:57" ht="28.5" customHeight="1" thickTop="1" thickBot="1">
      <c r="B56" s="535"/>
      <c r="C56" s="536"/>
      <c r="D56" s="538"/>
      <c r="E56" s="539"/>
      <c r="F56" s="551"/>
      <c r="G56" s="547"/>
      <c r="H56" s="535"/>
      <c r="I56" s="535"/>
      <c r="J56" s="541"/>
      <c r="K56" s="548"/>
      <c r="L56" s="550"/>
      <c r="M56" s="541"/>
      <c r="N56" s="13"/>
      <c r="O56" s="13"/>
      <c r="P56" s="50"/>
      <c r="Q56" s="355"/>
      <c r="AB56" s="475">
        <v>43474</v>
      </c>
      <c r="AC56" s="475">
        <v>43475</v>
      </c>
      <c r="AD56" s="475">
        <v>43476</v>
      </c>
      <c r="AE56" s="475">
        <v>43477</v>
      </c>
      <c r="AF56" s="475">
        <v>43478</v>
      </c>
      <c r="AG56" s="475">
        <v>43479</v>
      </c>
      <c r="AH56" s="475">
        <v>43480</v>
      </c>
      <c r="AI56" s="475">
        <v>43481</v>
      </c>
      <c r="AJ56" s="475">
        <v>43482</v>
      </c>
      <c r="AK56" s="475">
        <v>43483</v>
      </c>
      <c r="AL56" s="475">
        <v>43484</v>
      </c>
      <c r="AM56" s="475">
        <v>43485</v>
      </c>
      <c r="AN56" s="475">
        <v>43486</v>
      </c>
      <c r="AO56" s="475">
        <v>43487</v>
      </c>
      <c r="AP56" s="475">
        <v>43488</v>
      </c>
      <c r="AQ56" s="475">
        <v>43489</v>
      </c>
      <c r="AR56" s="475">
        <v>43490</v>
      </c>
      <c r="AS56" s="475">
        <v>43491</v>
      </c>
      <c r="AT56" s="475">
        <v>43492</v>
      </c>
      <c r="AU56" s="475">
        <v>43493</v>
      </c>
      <c r="AV56" s="475">
        <v>43494</v>
      </c>
      <c r="AW56" s="475">
        <v>43495</v>
      </c>
      <c r="AX56" s="475">
        <v>43496</v>
      </c>
    </row>
    <row r="57" spans="1:57" s="54" customFormat="1" ht="37.15" customHeight="1" thickBot="1">
      <c r="B57" s="481" t="str">
        <f>J43</f>
        <v>STAG</v>
      </c>
      <c r="C57" s="479">
        <v>46062</v>
      </c>
      <c r="D57" s="442">
        <f>[29]February_2026!$L$13</f>
        <v>199.15</v>
      </c>
      <c r="E57" s="443"/>
      <c r="F57" s="444">
        <f>SUM([31]STAG!$L$6:$L$9)</f>
        <v>196.7</v>
      </c>
      <c r="G57" s="445">
        <f>[29]February_2026!$L$17</f>
        <v>188.10000000000002</v>
      </c>
      <c r="H57" s="458">
        <f>(D57-F57)/D57*100</f>
        <v>1.2302284710017659</v>
      </c>
      <c r="I57" s="458">
        <f>((F57+E57)-G57)/(F57+E57)*100</f>
        <v>4.372140315200796</v>
      </c>
      <c r="J57" s="448" t="s">
        <v>182</v>
      </c>
      <c r="K57" s="449">
        <f>[30]February_2026!$L$25</f>
        <v>0.50017543859649127</v>
      </c>
      <c r="L57" s="457">
        <f>(((D57+E57)-G57)/(D57+E57))*100</f>
        <v>5.5485814712528159</v>
      </c>
      <c r="M57" s="455" t="s">
        <v>181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[10]January_2019!L5</f>
        <v>0</v>
      </c>
      <c r="AC57" s="57">
        <f>[10]January_2019!M5</f>
        <v>0</v>
      </c>
      <c r="AD57" s="57">
        <f>[10]January_2019!N5</f>
        <v>0</v>
      </c>
      <c r="AE57" s="57">
        <f>[10]January_2019!O5</f>
        <v>0</v>
      </c>
      <c r="AF57" s="57">
        <f>[10]January_2019!P5</f>
        <v>0</v>
      </c>
      <c r="AG57" s="57">
        <f>[10]January_2019!Q5</f>
        <v>0</v>
      </c>
      <c r="AH57" s="57">
        <f>[10]January_2019!R5</f>
        <v>0</v>
      </c>
      <c r="AI57" s="57">
        <f>[10]January_2019!S5</f>
        <v>0</v>
      </c>
      <c r="AJ57" s="57">
        <f>[10]January_2019!T5</f>
        <v>0</v>
      </c>
      <c r="AK57" s="57">
        <f>[10]January_2019!U5</f>
        <v>0</v>
      </c>
      <c r="AL57" s="57">
        <f>[10]January_2019!V5</f>
        <v>0</v>
      </c>
      <c r="AM57" s="57">
        <f>[10]January_2019!W5</f>
        <v>0</v>
      </c>
      <c r="AN57" s="57">
        <f>[10]January_2019!X5</f>
        <v>0</v>
      </c>
      <c r="AO57" s="57">
        <f>[10]January_2019!Y5</f>
        <v>0</v>
      </c>
      <c r="AP57" s="57">
        <f>[10]January_2019!Z5</f>
        <v>0</v>
      </c>
      <c r="AQ57" s="57">
        <f>[10]January_2019!AA5</f>
        <v>0</v>
      </c>
      <c r="AR57" s="57">
        <f>[10]January_2019!AB5</f>
        <v>0</v>
      </c>
      <c r="AS57" s="57">
        <f>[10]January_2019!AC5</f>
        <v>0</v>
      </c>
      <c r="AT57" s="57">
        <f>[10]January_2019!AD5</f>
        <v>0</v>
      </c>
      <c r="AU57" s="57">
        <f>[10]January_2019!AE5</f>
        <v>0</v>
      </c>
      <c r="AV57" s="57">
        <f>[10]January_2019!AF5</f>
        <v>0</v>
      </c>
      <c r="AW57" s="57">
        <f>[10]January_2019!AG5</f>
        <v>0</v>
      </c>
      <c r="AX57" s="277">
        <f>[10]January_2019!AH5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14.25" customHeight="1" thickBot="1">
      <c r="B58" s="480"/>
      <c r="C58" s="479"/>
      <c r="D58" s="442"/>
      <c r="E58" s="443"/>
      <c r="F58" s="444"/>
      <c r="G58" s="445"/>
      <c r="H58" s="458"/>
      <c r="I58" s="458"/>
      <c r="J58" s="476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[10]January_2019!L6</f>
        <v>0</v>
      </c>
      <c r="AC58" s="57">
        <f>[10]January_2019!M6</f>
        <v>0</v>
      </c>
      <c r="AD58" s="57">
        <f>[10]January_2019!N6</f>
        <v>0</v>
      </c>
      <c r="AE58" s="57">
        <f>[10]January_2019!O6</f>
        <v>0</v>
      </c>
      <c r="AF58" s="57">
        <f>[10]January_2019!P6</f>
        <v>0</v>
      </c>
      <c r="AG58" s="57">
        <f>[10]January_2019!Q6</f>
        <v>0</v>
      </c>
      <c r="AH58" s="57">
        <f>[10]January_2019!R6</f>
        <v>0</v>
      </c>
      <c r="AI58" s="57">
        <f>[10]January_2019!S6</f>
        <v>0</v>
      </c>
      <c r="AJ58" s="57">
        <f>[10]January_2019!T6</f>
        <v>0</v>
      </c>
      <c r="AK58" s="57">
        <f>[10]January_2019!U6</f>
        <v>0</v>
      </c>
      <c r="AL58" s="57">
        <f>[10]January_2019!V6</f>
        <v>0</v>
      </c>
      <c r="AM58" s="57">
        <f>[10]January_2019!W6</f>
        <v>0</v>
      </c>
      <c r="AN58" s="57">
        <f>[10]January_2019!X6</f>
        <v>0</v>
      </c>
      <c r="AO58" s="57">
        <f>[10]January_2019!Y6</f>
        <v>0</v>
      </c>
      <c r="AP58" s="57">
        <f>[10]January_2019!Z6</f>
        <v>0</v>
      </c>
      <c r="AQ58" s="57">
        <f>[10]January_2019!AA6</f>
        <v>0</v>
      </c>
      <c r="AR58" s="57">
        <f>[10]January_2019!AB6</f>
        <v>0</v>
      </c>
      <c r="AS58" s="57">
        <f>[10]January_2019!AC6</f>
        <v>0</v>
      </c>
      <c r="AT58" s="57">
        <f>[10]January_2019!AD6</f>
        <v>0</v>
      </c>
      <c r="AU58" s="57">
        <f>[10]January_2019!AE6</f>
        <v>0</v>
      </c>
      <c r="AV58" s="57">
        <f>[10]January_2019!AF6</f>
        <v>0</v>
      </c>
      <c r="AW58" s="57">
        <f>[10]January_2019!AG6</f>
        <v>0</v>
      </c>
      <c r="AX58" s="277">
        <f>[10]January_2019!AH6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37.15" customHeight="1" thickBot="1">
      <c r="A59" s="54" t="s">
        <v>170</v>
      </c>
      <c r="B59" s="480" t="str">
        <f>J42</f>
        <v>CARIB</v>
      </c>
      <c r="C59" s="479">
        <v>46062</v>
      </c>
      <c r="D59" s="442">
        <f>[29]February_2026!$K$3</f>
        <v>101.1</v>
      </c>
      <c r="E59" s="443"/>
      <c r="F59" s="444">
        <f>SUM([31]CARIB!$L$108:$L$109)</f>
        <v>0</v>
      </c>
      <c r="G59" s="445">
        <f>[29]February_2026!$K$7</f>
        <v>97</v>
      </c>
      <c r="H59" s="458">
        <f>(D59-F59)/D59*100</f>
        <v>100</v>
      </c>
      <c r="I59" s="458" t="e">
        <f>((F59+E59)-G59)/(F59+E59)*100</f>
        <v>#DIV/0!</v>
      </c>
      <c r="J59" s="448" t="s">
        <v>182</v>
      </c>
      <c r="K59" s="449">
        <f>[30]February_2026!$K$18</f>
        <v>0.50017543859649127</v>
      </c>
      <c r="L59" s="457">
        <f>(((D59+E59)-G59)/(D59+E59))*100</f>
        <v>4.0553907022749698</v>
      </c>
      <c r="M59" s="455" t="s">
        <v>181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[10]January_2019!L7</f>
        <v>285.8</v>
      </c>
      <c r="AC59" s="57">
        <f>[10]January_2019!M7</f>
        <v>508.1</v>
      </c>
      <c r="AD59" s="57">
        <f>[10]January_2019!N7</f>
        <v>0</v>
      </c>
      <c r="AE59" s="57">
        <f>[10]January_2019!O7</f>
        <v>0</v>
      </c>
      <c r="AF59" s="57">
        <f>[10]January_2019!P7</f>
        <v>109.56666666666666</v>
      </c>
      <c r="AG59" s="57">
        <f>[10]January_2019!Q7</f>
        <v>297.64999999999998</v>
      </c>
      <c r="AH59" s="57">
        <f>[10]January_2019!R7</f>
        <v>122.3</v>
      </c>
      <c r="AI59" s="57">
        <f>[10]January_2019!S7</f>
        <v>0</v>
      </c>
      <c r="AJ59" s="57">
        <f>[10]January_2019!T7</f>
        <v>294.7</v>
      </c>
      <c r="AK59" s="57">
        <f>[10]January_2019!U7</f>
        <v>280.5</v>
      </c>
      <c r="AL59" s="57">
        <f>[10]January_2019!V7</f>
        <v>0</v>
      </c>
      <c r="AM59" s="57">
        <f>[10]January_2019!W7</f>
        <v>0</v>
      </c>
      <c r="AN59" s="57">
        <f>[10]January_2019!X7</f>
        <v>188.25</v>
      </c>
      <c r="AO59" s="57">
        <f>[10]January_2019!Y7</f>
        <v>295.7</v>
      </c>
      <c r="AP59" s="57">
        <f>[10]January_2019!Z7</f>
        <v>257.8</v>
      </c>
      <c r="AQ59" s="57">
        <f>[10]January_2019!AA7</f>
        <v>291.2</v>
      </c>
      <c r="AR59" s="57">
        <f>[10]January_2019!AB7</f>
        <v>187</v>
      </c>
      <c r="AS59" s="57">
        <f>[10]January_2019!AC7</f>
        <v>0</v>
      </c>
      <c r="AT59" s="57">
        <f>[10]January_2019!AD7</f>
        <v>0</v>
      </c>
      <c r="AU59" s="57">
        <f>[10]January_2019!AE7</f>
        <v>485.1</v>
      </c>
      <c r="AV59" s="57">
        <f>[10]January_2019!AF7</f>
        <v>171.55</v>
      </c>
      <c r="AW59" s="57">
        <f>[10]January_2019!AG7</f>
        <v>423.8</v>
      </c>
      <c r="AX59" s="277">
        <f>[10]January_2019!AH7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1:57" s="54" customFormat="1" ht="19.5" customHeight="1" thickBot="1">
      <c r="B60" s="478"/>
      <c r="C60" s="430"/>
      <c r="D60" s="431"/>
      <c r="E60" s="432"/>
      <c r="F60" s="433"/>
      <c r="G60" s="434"/>
      <c r="H60" s="458"/>
      <c r="I60" s="458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8.450000000000003" customHeight="1" thickBot="1">
      <c r="B61" s="480" t="str">
        <f>B59</f>
        <v>CARIB</v>
      </c>
      <c r="C61" s="479">
        <v>46062</v>
      </c>
      <c r="D61" s="442">
        <f>[29]February_2026!$L$3</f>
        <v>295.2</v>
      </c>
      <c r="E61" s="443"/>
      <c r="F61" s="444">
        <f>SUM([31]CARIB!$L$110:$L$115)</f>
        <v>0</v>
      </c>
      <c r="G61" s="445">
        <f>[29]February_2026!$L$7</f>
        <v>278.8</v>
      </c>
      <c r="H61" s="458">
        <f>(D61-F61)/D61*100</f>
        <v>100</v>
      </c>
      <c r="I61" s="458" t="e">
        <f>((F61+E61)-G61)/(F61+E61)*100</f>
        <v>#DIV/0!</v>
      </c>
      <c r="J61" s="448" t="s">
        <v>182</v>
      </c>
      <c r="K61" s="459">
        <f>[30]February_2026!$L$18</f>
        <v>0.4891228070175439</v>
      </c>
      <c r="L61" s="457">
        <f>(((D61+E61)-G61)/(D61+E61))*100</f>
        <v>5.5555555555555483</v>
      </c>
      <c r="M61" s="455" t="s">
        <v>172</v>
      </c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15" hidden="1">
      <c r="B62" s="453"/>
      <c r="C62" s="430"/>
      <c r="D62" s="431"/>
      <c r="E62" s="432"/>
      <c r="F62" s="433"/>
      <c r="G62" s="434"/>
      <c r="H62" s="435"/>
      <c r="I62" s="450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7.15" hidden="1" customHeight="1" thickBot="1">
      <c r="B63" s="480"/>
      <c r="C63" s="479"/>
      <c r="D63" s="442"/>
      <c r="E63" s="443"/>
      <c r="F63" s="444"/>
      <c r="G63" s="445"/>
      <c r="H63" s="446"/>
      <c r="I63" s="447"/>
      <c r="J63" s="448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16.5" hidden="1" customHeight="1" thickBot="1">
      <c r="B64" s="437"/>
      <c r="C64" s="423"/>
      <c r="D64" s="424"/>
      <c r="E64" s="425"/>
      <c r="F64" s="426"/>
      <c r="G64" s="427"/>
      <c r="H64" s="428"/>
      <c r="I64" s="438"/>
      <c r="J64" s="439"/>
      <c r="K64" s="429"/>
      <c r="L64" s="440"/>
      <c r="M64" s="422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</row>
    <row r="65" spans="2:57" s="54" customFormat="1" ht="37.15" hidden="1" customHeight="1" thickBot="1">
      <c r="B65" s="456"/>
      <c r="C65" s="441"/>
      <c r="D65" s="442"/>
      <c r="E65" s="443"/>
      <c r="F65" s="444"/>
      <c r="G65" s="445"/>
      <c r="H65" s="446"/>
      <c r="I65" s="447"/>
      <c r="J65" s="448"/>
      <c r="K65" s="449"/>
      <c r="L65" s="457"/>
      <c r="M65" s="454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customHeight="1">
      <c r="B66" s="466"/>
      <c r="C66" s="430"/>
      <c r="D66" s="460"/>
      <c r="E66" s="461"/>
      <c r="F66" s="462"/>
      <c r="G66" s="460"/>
      <c r="H66" s="463"/>
      <c r="I66" s="463"/>
      <c r="J66" s="463"/>
      <c r="K66" s="464"/>
      <c r="L66" s="465"/>
      <c r="M66" s="5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 t="s">
        <v>41</v>
      </c>
      <c r="O67" s="56"/>
      <c r="P67" s="60"/>
    </row>
    <row r="68" spans="2:57" ht="15.75" thickBot="1">
      <c r="B68" s="542" t="s">
        <v>55</v>
      </c>
      <c r="C68" s="543"/>
      <c r="D68" s="543"/>
      <c r="E68" s="543"/>
      <c r="F68" s="544"/>
      <c r="G68" s="542" t="s">
        <v>56</v>
      </c>
      <c r="H68" s="543"/>
      <c r="I68" s="543"/>
      <c r="J68" s="544"/>
      <c r="K68" s="542" t="s">
        <v>51</v>
      </c>
      <c r="L68" s="543"/>
      <c r="M68" s="543"/>
      <c r="N68" s="545"/>
      <c r="O68" s="56"/>
      <c r="P68" s="50"/>
    </row>
    <row r="69" spans="2:57" ht="15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 t="s">
        <v>36</v>
      </c>
      <c r="L69" s="62" t="s">
        <v>37</v>
      </c>
      <c r="M69" s="62" t="s">
        <v>38</v>
      </c>
      <c r="N69" s="63" t="s">
        <v>39</v>
      </c>
      <c r="O69" s="56"/>
      <c r="P69" s="64"/>
    </row>
    <row r="70" spans="2:57" ht="15">
      <c r="B70" s="29" t="s">
        <v>6</v>
      </c>
      <c r="C70" s="282">
        <f>AVERAGE(L59,L61)</f>
        <v>4.805473128915259</v>
      </c>
      <c r="D70" s="76">
        <v>6.3077303978517252</v>
      </c>
      <c r="E70" s="76">
        <v>7.7753847959870175</v>
      </c>
      <c r="F70" s="66">
        <v>4.8</v>
      </c>
      <c r="G70" s="65">
        <f>AVERAGE([29]February_2026!$K$11:$L$11)</f>
        <v>3.4087948090457019</v>
      </c>
      <c r="H70" s="477">
        <v>6.091037325454967</v>
      </c>
      <c r="I70" s="477">
        <v>7.6226564975505697</v>
      </c>
      <c r="J70" s="66">
        <v>4.8</v>
      </c>
      <c r="K70" s="67">
        <f>AVERAGE(K59,K61)</f>
        <v>0.49464912280701756</v>
      </c>
      <c r="L70" s="194">
        <v>0.43741830788522534</v>
      </c>
      <c r="M70" s="194">
        <v>0.42021164783296172</v>
      </c>
      <c r="N70" s="68">
        <v>1</v>
      </c>
      <c r="O70" s="56"/>
      <c r="P70" s="69"/>
    </row>
    <row r="71" spans="2:57" ht="15">
      <c r="B71" s="33" t="s">
        <v>9</v>
      </c>
      <c r="C71" s="65">
        <f>L57</f>
        <v>5.5485814712528159</v>
      </c>
      <c r="D71" s="76">
        <v>5.5485814712528159</v>
      </c>
      <c r="E71" s="76">
        <v>5.9933991294504168</v>
      </c>
      <c r="F71" s="66">
        <v>4.8</v>
      </c>
      <c r="G71" s="65">
        <f>[29]February_2026!$L$21</f>
        <v>5.9263871453678032</v>
      </c>
      <c r="H71" s="76">
        <v>5.9263871453678032</v>
      </c>
      <c r="I71" s="76">
        <v>6.5827372639520458</v>
      </c>
      <c r="J71" s="66">
        <v>4.8</v>
      </c>
      <c r="K71" s="67">
        <f>K57</f>
        <v>0.50017543859649127</v>
      </c>
      <c r="L71" s="194">
        <v>0.50017543859649127</v>
      </c>
      <c r="M71" s="194">
        <v>0.58881900089579098</v>
      </c>
      <c r="N71" s="68">
        <v>1</v>
      </c>
      <c r="P71" s="69"/>
    </row>
    <row r="72" spans="2:57" ht="15">
      <c r="B72" s="34" t="s">
        <v>40</v>
      </c>
      <c r="C72" s="65"/>
      <c r="D72" s="76">
        <v>11.722828666350269</v>
      </c>
      <c r="E72" s="76">
        <v>11.155100139729852</v>
      </c>
      <c r="F72" s="66">
        <v>5.5</v>
      </c>
      <c r="G72" s="65"/>
      <c r="H72" s="76">
        <v>12.537121640099599</v>
      </c>
      <c r="I72" s="76">
        <v>11.952951274961968</v>
      </c>
      <c r="J72" s="66">
        <v>5.5</v>
      </c>
      <c r="K72" s="67"/>
      <c r="L72" s="194">
        <v>0.16315789473684211</v>
      </c>
      <c r="M72" s="194">
        <v>0.42456140350877192</v>
      </c>
      <c r="N72" s="68">
        <v>1</v>
      </c>
      <c r="P72" s="69"/>
    </row>
    <row r="73" spans="2:57" ht="15">
      <c r="B73" s="22" t="s">
        <v>33</v>
      </c>
      <c r="C73" s="65"/>
      <c r="D73" s="76"/>
      <c r="E73" s="76">
        <v>5.0755456997699637</v>
      </c>
      <c r="F73" s="66">
        <v>3.3</v>
      </c>
      <c r="G73" s="65"/>
      <c r="H73" s="76"/>
      <c r="I73" s="76">
        <v>4.6359882890480018</v>
      </c>
      <c r="J73" s="66">
        <v>3.3</v>
      </c>
      <c r="K73" s="67"/>
      <c r="L73" s="194"/>
      <c r="M73" s="194">
        <v>0.66833333333333345</v>
      </c>
      <c r="N73" s="68">
        <v>1</v>
      </c>
      <c r="P73" s="69"/>
    </row>
    <row r="74" spans="2:57" ht="15">
      <c r="B74" s="35" t="s">
        <v>164</v>
      </c>
      <c r="C74" s="65"/>
      <c r="D74" s="76"/>
      <c r="E74" s="76"/>
      <c r="F74" s="66">
        <v>3.3</v>
      </c>
      <c r="G74" s="282"/>
      <c r="H74" s="76"/>
      <c r="I74" s="76"/>
      <c r="J74" s="66">
        <v>3</v>
      </c>
      <c r="K74" s="67"/>
      <c r="L74" s="194"/>
      <c r="M74" s="194"/>
      <c r="N74" s="68">
        <v>1</v>
      </c>
      <c r="P74" s="69"/>
    </row>
    <row r="75" spans="2:57" ht="15">
      <c r="B75" s="36" t="s">
        <v>15</v>
      </c>
      <c r="C75" s="65"/>
      <c r="D75" s="76"/>
      <c r="E75" s="76">
        <v>5.1105651105651271</v>
      </c>
      <c r="F75" s="70">
        <f>[11]May_2022!$M$43</f>
        <v>3.4878406700073312</v>
      </c>
      <c r="G75" s="282"/>
      <c r="H75" s="76"/>
      <c r="I75" s="76">
        <v>7.9131369535794072</v>
      </c>
      <c r="J75" s="66">
        <v>5.5</v>
      </c>
      <c r="K75" s="67"/>
      <c r="L75" s="194"/>
      <c r="M75" s="194">
        <v>1.3550877192982456</v>
      </c>
      <c r="N75" s="68">
        <v>1</v>
      </c>
      <c r="P75" s="69"/>
    </row>
    <row r="76" spans="2:57" ht="15">
      <c r="B76" s="37" t="s">
        <v>16</v>
      </c>
      <c r="C76" s="65"/>
      <c r="D76" s="76"/>
      <c r="E76" s="76">
        <v>2.0590520590520631</v>
      </c>
      <c r="F76" s="66">
        <v>3.3</v>
      </c>
      <c r="G76" s="282"/>
      <c r="H76" s="76"/>
      <c r="I76" s="76">
        <v>2.1755040108015784</v>
      </c>
      <c r="J76" s="66">
        <v>3.3</v>
      </c>
      <c r="K76" s="67"/>
      <c r="L76" s="194"/>
      <c r="M76" s="194">
        <v>0.88456140350877199</v>
      </c>
      <c r="N76" s="71">
        <v>1</v>
      </c>
      <c r="P76" s="69"/>
    </row>
    <row r="77" spans="2:57" ht="15.75" thickBot="1">
      <c r="B77" s="38" t="s">
        <v>163</v>
      </c>
      <c r="C77" s="65"/>
      <c r="D77" s="76"/>
      <c r="E77" s="76"/>
      <c r="F77" s="66">
        <v>7.5</v>
      </c>
      <c r="G77" s="282"/>
      <c r="H77" s="76"/>
      <c r="I77" s="76"/>
      <c r="J77" s="66">
        <v>7.5</v>
      </c>
      <c r="K77" s="67"/>
      <c r="L77" s="194"/>
      <c r="M77" s="194"/>
      <c r="N77" s="71">
        <v>1</v>
      </c>
      <c r="P77" s="69"/>
    </row>
    <row r="78" spans="2:57" ht="15.75" thickBot="1">
      <c r="B78" s="414" t="s">
        <v>161</v>
      </c>
      <c r="C78" s="65"/>
      <c r="D78" s="76"/>
      <c r="E78" s="76"/>
      <c r="F78" s="66">
        <v>4.8</v>
      </c>
      <c r="G78" s="282"/>
      <c r="H78" s="76"/>
      <c r="I78" s="76"/>
      <c r="J78" s="66">
        <v>4.8</v>
      </c>
      <c r="K78" s="67"/>
      <c r="L78" s="194"/>
      <c r="M78" s="194"/>
      <c r="N78" s="71">
        <v>1</v>
      </c>
      <c r="O78" s="74"/>
      <c r="P78" s="75"/>
    </row>
    <row r="79" spans="2:57" ht="15">
      <c r="D79" s="76">
        <v>6.7020433204654744</v>
      </c>
      <c r="E79" s="76">
        <v>6.8608119845257924</v>
      </c>
      <c r="F79" s="341">
        <v>5.5</v>
      </c>
      <c r="H79" s="76">
        <v>6.8662665620993932</v>
      </c>
      <c r="I79" s="76">
        <v>7.0080671644557766</v>
      </c>
      <c r="J79" s="341">
        <v>5.5</v>
      </c>
      <c r="L79" s="194">
        <v>0.40831140350877193</v>
      </c>
      <c r="M79" s="194">
        <v>0.52897680984069362</v>
      </c>
      <c r="N79" s="386">
        <v>1</v>
      </c>
    </row>
  </sheetData>
  <mergeCells count="51">
    <mergeCell ref="M55:M56"/>
    <mergeCell ref="B68:F68"/>
    <mergeCell ref="G68:J68"/>
    <mergeCell ref="K68:N68"/>
    <mergeCell ref="G55:G56"/>
    <mergeCell ref="H55:H56"/>
    <mergeCell ref="I55:I56"/>
    <mergeCell ref="J55:J56"/>
    <mergeCell ref="K55:K56"/>
    <mergeCell ref="L55:L56"/>
    <mergeCell ref="F55:F56"/>
    <mergeCell ref="D50:E50"/>
    <mergeCell ref="B55:B56"/>
    <mergeCell ref="C55:C56"/>
    <mergeCell ref="D55:D56"/>
    <mergeCell ref="E55:E56"/>
    <mergeCell ref="B40:B49"/>
    <mergeCell ref="D40:E41"/>
    <mergeCell ref="J40:K40"/>
    <mergeCell ref="L41:N41"/>
    <mergeCell ref="D42:E43"/>
    <mergeCell ref="D44:E45"/>
    <mergeCell ref="D46:E47"/>
    <mergeCell ref="D48:E4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0:B51">
    <cfRule type="cellIs" dxfId="2376" priority="142" operator="notBetween">
      <formula>#REF!</formula>
      <formula>#REF!</formula>
    </cfRule>
  </conditionalFormatting>
  <conditionalFormatting sqref="C54">
    <cfRule type="cellIs" dxfId="2375" priority="269" stopIfTrue="1" operator="lessThan">
      <formula>96</formula>
    </cfRule>
    <cfRule type="cellIs" dxfId="2374" priority="270" stopIfTrue="1" operator="greaterThan">
      <formula>100</formula>
    </cfRule>
  </conditionalFormatting>
  <conditionalFormatting sqref="C70:C74">
    <cfRule type="cellIs" dxfId="2373" priority="227" stopIfTrue="1" operator="lessThanOrEqual">
      <formula>0</formula>
    </cfRule>
  </conditionalFormatting>
  <conditionalFormatting sqref="C70:C78">
    <cfRule type="cellIs" dxfId="2372" priority="226" stopIfTrue="1" operator="greaterThan">
      <formula>$F70</formula>
    </cfRule>
  </conditionalFormatting>
  <conditionalFormatting sqref="C71">
    <cfRule type="cellIs" dxfId="2371" priority="273" stopIfTrue="1" operator="greaterThan">
      <formula>$F70</formula>
    </cfRule>
  </conditionalFormatting>
  <conditionalFormatting sqref="C75">
    <cfRule type="cellIs" dxfId="2370" priority="167" stopIfTrue="1" operator="greaterThan">
      <formula>$F74</formula>
    </cfRule>
    <cfRule type="cellIs" dxfId="2369" priority="166" stopIfTrue="1" operator="lessThanOrEqual">
      <formula>0</formula>
    </cfRule>
  </conditionalFormatting>
  <conditionalFormatting sqref="C81:C85">
    <cfRule type="cellIs" dxfId="2368" priority="261" stopIfTrue="1" operator="lessThanOrEqual">
      <formula>0</formula>
    </cfRule>
  </conditionalFormatting>
  <conditionalFormatting sqref="C82:C85">
    <cfRule type="cellIs" dxfId="2367" priority="260" stopIfTrue="1" operator="greaterThan">
      <formula>$F$81</formula>
    </cfRule>
  </conditionalFormatting>
  <conditionalFormatting sqref="C87">
    <cfRule type="cellIs" dxfId="2366" priority="263" stopIfTrue="1" operator="lessThanOrEqual">
      <formula>0</formula>
    </cfRule>
    <cfRule type="cellIs" dxfId="2365" priority="262" stopIfTrue="1" operator="greaterThan">
      <formula>$F$81</formula>
    </cfRule>
  </conditionalFormatting>
  <conditionalFormatting sqref="C81:D81 D83:D89">
    <cfRule type="cellIs" dxfId="2364" priority="255" stopIfTrue="1" operator="greaterThan">
      <formula>4.5</formula>
    </cfRule>
  </conditionalFormatting>
  <conditionalFormatting sqref="D50:D51">
    <cfRule type="cellIs" dxfId="2363" priority="143" operator="notBetween">
      <formula>#REF!</formula>
      <formula>#REF!</formula>
    </cfRule>
  </conditionalFormatting>
  <conditionalFormatting sqref="D70:D77">
    <cfRule type="cellIs" dxfId="2362" priority="235" stopIfTrue="1" operator="lessThanOrEqual">
      <formula>0</formula>
    </cfRule>
  </conditionalFormatting>
  <conditionalFormatting sqref="D81 D83:D89">
    <cfRule type="cellIs" dxfId="2361" priority="256" stopIfTrue="1" operator="lessThanOrEqual">
      <formula>0</formula>
    </cfRule>
  </conditionalFormatting>
  <conditionalFormatting sqref="D82">
    <cfRule type="cellIs" dxfId="2360" priority="247" stopIfTrue="1" operator="greaterThan">
      <formula>$F$81</formula>
    </cfRule>
    <cfRule type="cellIs" dxfId="2359" priority="248" stopIfTrue="1" operator="lessThanOrEqual">
      <formula>0</formula>
    </cfRule>
  </conditionalFormatting>
  <conditionalFormatting sqref="D70:E79">
    <cfRule type="cellIs" dxfId="2358" priority="224" stopIfTrue="1" operator="greaterThan">
      <formula>$F70</formula>
    </cfRule>
  </conditionalFormatting>
  <conditionalFormatting sqref="D78:E78">
    <cfRule type="cellIs" dxfId="2357" priority="234" stopIfTrue="1" operator="lessThanOrEqual">
      <formula>0</formula>
    </cfRule>
  </conditionalFormatting>
  <conditionalFormatting sqref="D79:E79">
    <cfRule type="cellIs" dxfId="2356" priority="225" stopIfTrue="1" operator="lessThanOrEqual">
      <formula>0</formula>
    </cfRule>
  </conditionalFormatting>
  <conditionalFormatting sqref="E10:E25">
    <cfRule type="cellIs" dxfId="2355" priority="6" operator="lessThan">
      <formula>48</formula>
    </cfRule>
  </conditionalFormatting>
  <conditionalFormatting sqref="E53 E54:F54">
    <cfRule type="cellIs" dxfId="2354" priority="252" stopIfTrue="1" operator="greaterThan">
      <formula>100</formula>
    </cfRule>
  </conditionalFormatting>
  <conditionalFormatting sqref="E54">
    <cfRule type="cellIs" dxfId="2353" priority="250" stopIfTrue="1" operator="greaterThan">
      <formula>100</formula>
    </cfRule>
    <cfRule type="cellIs" dxfId="2352" priority="249" stopIfTrue="1" operator="lessThan">
      <formula>96.8</formula>
    </cfRule>
  </conditionalFormatting>
  <conditionalFormatting sqref="E70:E77">
    <cfRule type="cellIs" dxfId="2351" priority="80" stopIfTrue="1" operator="lessThanOrEqual">
      <formula>0</formula>
    </cfRule>
  </conditionalFormatting>
  <conditionalFormatting sqref="E70:E78">
    <cfRule type="cellIs" dxfId="2350" priority="231" stopIfTrue="1" operator="lessThanOrEqual">
      <formula>0</formula>
    </cfRule>
  </conditionalFormatting>
  <conditionalFormatting sqref="E81:E89">
    <cfRule type="cellIs" dxfId="2349" priority="241" stopIfTrue="1" operator="greaterThan">
      <formula>4.5</formula>
    </cfRule>
    <cfRule type="cellIs" dxfId="2348" priority="242" stopIfTrue="1" operator="lessThanOrEqual">
      <formula>0</formula>
    </cfRule>
  </conditionalFormatting>
  <conditionalFormatting sqref="E54:F54 E53">
    <cfRule type="cellIs" dxfId="2347" priority="251" stopIfTrue="1" operator="lessThan">
      <formula>96.5</formula>
    </cfRule>
  </conditionalFormatting>
  <conditionalFormatting sqref="F10:F11 F18:F22 F24:F25">
    <cfRule type="cellIs" dxfId="2346" priority="102" operator="greaterThan">
      <formula>60</formula>
    </cfRule>
  </conditionalFormatting>
  <conditionalFormatting sqref="F54">
    <cfRule type="cellIs" dxfId="2345" priority="267" stopIfTrue="1" operator="lessThan">
      <formula>96.8</formula>
    </cfRule>
    <cfRule type="cellIs" dxfId="2344" priority="268" stopIfTrue="1" operator="greaterThan">
      <formula>100</formula>
    </cfRule>
  </conditionalFormatting>
  <conditionalFormatting sqref="F79">
    <cfRule type="cellIs" dxfId="2343" priority="232" stopIfTrue="1" operator="greaterThan">
      <formula>$F79</formula>
    </cfRule>
    <cfRule type="cellIs" dxfId="2342" priority="233" stopIfTrue="1" operator="lessThanOrEqual">
      <formula>0</formula>
    </cfRule>
  </conditionalFormatting>
  <conditionalFormatting sqref="G10:G24">
    <cfRule type="expression" dxfId="2341" priority="8">
      <formula>IF(+(IF(G10&lt;S10,0,IF(G10&gt;T10,0,1)))=0,1)</formula>
    </cfRule>
  </conditionalFormatting>
  <conditionalFormatting sqref="G70:G71 C76:C78">
    <cfRule type="cellIs" dxfId="2340" priority="237" stopIfTrue="1" operator="lessThanOrEqual">
      <formula>0</formula>
    </cfRule>
  </conditionalFormatting>
  <conditionalFormatting sqref="G70:G71">
    <cfRule type="cellIs" dxfId="2339" priority="229" stopIfTrue="1" operator="lessThanOrEqual">
      <formula>0</formula>
    </cfRule>
    <cfRule type="cellIs" dxfId="2338" priority="228" stopIfTrue="1" operator="greaterThan">
      <formula>$F70</formula>
    </cfRule>
    <cfRule type="cellIs" dxfId="2337" priority="236" stopIfTrue="1" operator="greaterThan">
      <formula>$F70</formula>
    </cfRule>
  </conditionalFormatting>
  <conditionalFormatting sqref="G72">
    <cfRule type="cellIs" dxfId="2336" priority="272" stopIfTrue="1" operator="lessThanOrEqual">
      <formula>0</formula>
    </cfRule>
    <cfRule type="cellIs" dxfId="2335" priority="271" stopIfTrue="1" operator="greaterThan">
      <formula>$F71</formula>
    </cfRule>
  </conditionalFormatting>
  <conditionalFormatting sqref="G73">
    <cfRule type="cellIs" dxfId="2334" priority="138" stopIfTrue="1" operator="greaterThan">
      <formula>$F73</formula>
    </cfRule>
    <cfRule type="cellIs" dxfId="2333" priority="139" stopIfTrue="1" operator="lessThanOrEqual">
      <formula>0</formula>
    </cfRule>
    <cfRule type="cellIs" dxfId="2332" priority="141" stopIfTrue="1" operator="lessThanOrEqual">
      <formula>0</formula>
    </cfRule>
    <cfRule type="cellIs" dxfId="2331" priority="140" stopIfTrue="1" operator="greaterThan">
      <formula>$F73</formula>
    </cfRule>
  </conditionalFormatting>
  <conditionalFormatting sqref="G74:G78">
    <cfRule type="cellIs" dxfId="2330" priority="238" stopIfTrue="1" operator="greaterThan">
      <formula>$J74</formula>
    </cfRule>
    <cfRule type="cellIs" dxfId="2329" priority="239" stopIfTrue="1" operator="lessThanOrEqual">
      <formula>0</formula>
    </cfRule>
  </conditionalFormatting>
  <conditionalFormatting sqref="G83:G88 C86 C88">
    <cfRule type="cellIs" dxfId="2328" priority="264" stopIfTrue="1" operator="greaterThan">
      <formula>4.5</formula>
    </cfRule>
    <cfRule type="cellIs" dxfId="2327" priority="265" stopIfTrue="1" operator="lessThanOrEqual">
      <formula>0</formula>
    </cfRule>
  </conditionalFormatting>
  <conditionalFormatting sqref="G25:H25">
    <cfRule type="expression" dxfId="2326" priority="135">
      <formula>IF(+(IF(G25&lt;#REF!,0,IF(G25&gt;#REF!,0,1)))=0,1)</formula>
    </cfRule>
  </conditionalFormatting>
  <conditionalFormatting sqref="G82:H82">
    <cfRule type="cellIs" dxfId="2325" priority="245" stopIfTrue="1" operator="greaterThan">
      <formula>$F$81</formula>
    </cfRule>
    <cfRule type="cellIs" dxfId="2324" priority="246" stopIfTrue="1" operator="lessThanOrEqual">
      <formula>0</formula>
    </cfRule>
  </conditionalFormatting>
  <conditionalFormatting sqref="H10:H24">
    <cfRule type="expression" dxfId="2323" priority="11">
      <formula>IF(+(IF(H10&lt;#REF!,0,IF(H10&gt;#REF!,0,1)))=0,1)</formula>
    </cfRule>
  </conditionalFormatting>
  <conditionalFormatting sqref="H39:H53">
    <cfRule type="cellIs" dxfId="2322" priority="243" stopIfTrue="1" operator="greaterThan">
      <formula>0</formula>
    </cfRule>
  </conditionalFormatting>
  <conditionalFormatting sqref="H57:H61">
    <cfRule type="cellIs" dxfId="2321" priority="13" stopIfTrue="1" operator="lessThanOrEqual">
      <formula>0</formula>
    </cfRule>
    <cfRule type="cellIs" dxfId="2320" priority="23" stopIfTrue="1" operator="lessThanOrEqual">
      <formula>0</formula>
    </cfRule>
    <cfRule type="cellIs" dxfId="2319" priority="22" stopIfTrue="1" operator="greaterThan">
      <formula>$F$73</formula>
    </cfRule>
    <cfRule type="cellIs" dxfId="2318" priority="14" stopIfTrue="1" operator="greaterThan">
      <formula>$F$70</formula>
    </cfRule>
    <cfRule type="cellIs" dxfId="2317" priority="25" stopIfTrue="1" operator="lessThanOrEqual">
      <formula>0</formula>
    </cfRule>
    <cfRule type="cellIs" dxfId="2316" priority="24" stopIfTrue="1" operator="greaterThan">
      <formula>$F$71</formula>
    </cfRule>
  </conditionalFormatting>
  <conditionalFormatting sqref="H62:H63">
    <cfRule type="cellIs" dxfId="2315" priority="179" stopIfTrue="1" operator="lessThanOrEqual">
      <formula>0</formula>
    </cfRule>
    <cfRule type="cellIs" dxfId="2314" priority="170" stopIfTrue="1" operator="greaterThan">
      <formula>#REF!</formula>
    </cfRule>
    <cfRule type="cellIs" dxfId="2313" priority="178" stopIfTrue="1" operator="greaterThan">
      <formula>$F$25</formula>
    </cfRule>
    <cfRule type="cellIs" dxfId="2312" priority="169" stopIfTrue="1" operator="lessThanOrEqual">
      <formula>0</formula>
    </cfRule>
    <cfRule type="cellIs" dxfId="2311" priority="180" stopIfTrue="1" operator="greaterThan">
      <formula>#REF!</formula>
    </cfRule>
    <cfRule type="cellIs" dxfId="2310" priority="181" stopIfTrue="1" operator="lessThanOrEqual">
      <formula>0</formula>
    </cfRule>
  </conditionalFormatting>
  <conditionalFormatting sqref="H64">
    <cfRule type="cellIs" dxfId="2309" priority="207" stopIfTrue="1" operator="greaterThan">
      <formula>$F$41</formula>
    </cfRule>
    <cfRule type="cellIs" dxfId="2308" priority="208" stopIfTrue="1" operator="lessThanOrEqual">
      <formula>0</formula>
    </cfRule>
    <cfRule type="cellIs" dxfId="2307" priority="209" stopIfTrue="1" operator="greaterThan">
      <formula>$F$39</formula>
    </cfRule>
    <cfRule type="cellIs" dxfId="2306" priority="210" stopIfTrue="1" operator="lessThanOrEqual">
      <formula>0</formula>
    </cfRule>
    <cfRule type="cellIs" dxfId="2305" priority="199" stopIfTrue="1" operator="greaterThan">
      <formula>$F$38</formula>
    </cfRule>
    <cfRule type="cellIs" dxfId="2304" priority="198" stopIfTrue="1" operator="lessThanOrEqual">
      <formula>0</formula>
    </cfRule>
  </conditionalFormatting>
  <conditionalFormatting sqref="H65:H66">
    <cfRule type="cellIs" dxfId="2303" priority="154" stopIfTrue="1" operator="greaterThan">
      <formula>#REF!</formula>
    </cfRule>
    <cfRule type="cellIs" dxfId="2302" priority="162" stopIfTrue="1" operator="greaterThan">
      <formula>$F$25</formula>
    </cfRule>
    <cfRule type="cellIs" dxfId="2301" priority="163" stopIfTrue="1" operator="lessThanOrEqual">
      <formula>0</formula>
    </cfRule>
    <cfRule type="cellIs" dxfId="2300" priority="164" stopIfTrue="1" operator="greaterThan">
      <formula>#REF!</formula>
    </cfRule>
    <cfRule type="cellIs" dxfId="2299" priority="165" stopIfTrue="1" operator="lessThanOrEqual">
      <formula>0</formula>
    </cfRule>
    <cfRule type="cellIs" dxfId="2298" priority="153" stopIfTrue="1" operator="lessThanOrEqual">
      <formula>0</formula>
    </cfRule>
  </conditionalFormatting>
  <conditionalFormatting sqref="H81 H83:H89">
    <cfRule type="cellIs" dxfId="2297" priority="257" stopIfTrue="1" operator="greaterThan">
      <formula>4.5</formula>
    </cfRule>
    <cfRule type="cellIs" dxfId="2296" priority="258" stopIfTrue="1" operator="lessThanOrEqual">
      <formula>0</formula>
    </cfRule>
  </conditionalFormatting>
  <conditionalFormatting sqref="H57:I61">
    <cfRule type="cellIs" dxfId="2295" priority="12" stopIfTrue="1" operator="greaterThan">
      <formula>$F$72</formula>
    </cfRule>
    <cfRule type="cellIs" dxfId="2294" priority="15" stopIfTrue="1" operator="lessThanOrEqual">
      <formula>0</formula>
    </cfRule>
  </conditionalFormatting>
  <conditionalFormatting sqref="H62:I63">
    <cfRule type="cellIs" dxfId="2293" priority="168" stopIfTrue="1" operator="greaterThan">
      <formula>#REF!</formula>
    </cfRule>
    <cfRule type="cellIs" dxfId="2292" priority="171" stopIfTrue="1" operator="lessThanOrEqual">
      <formula>0</formula>
    </cfRule>
  </conditionalFormatting>
  <conditionalFormatting sqref="H64:I64">
    <cfRule type="cellIs" dxfId="2291" priority="200" stopIfTrue="1" operator="lessThanOrEqual">
      <formula>0</formula>
    </cfRule>
    <cfRule type="cellIs" dxfId="2290" priority="197" stopIfTrue="1" operator="greaterThan">
      <formula>$F$40</formula>
    </cfRule>
  </conditionalFormatting>
  <conditionalFormatting sqref="H65:I66">
    <cfRule type="cellIs" dxfId="2289" priority="155" stopIfTrue="1" operator="lessThanOrEqual">
      <formula>0</formula>
    </cfRule>
    <cfRule type="cellIs" dxfId="2288" priority="152" stopIfTrue="1" operator="greaterThan">
      <formula>#REF!</formula>
    </cfRule>
  </conditionalFormatting>
  <conditionalFormatting sqref="H70:I77">
    <cfRule type="cellIs" dxfId="2287" priority="133" stopIfTrue="1" operator="greaterThan">
      <formula>$J70</formula>
    </cfRule>
    <cfRule type="cellIs" dxfId="2286" priority="134" stopIfTrue="1" operator="lessThanOrEqual">
      <formula>0</formula>
    </cfRule>
  </conditionalFormatting>
  <conditionalFormatting sqref="H78:I78">
    <cfRule type="cellIs" dxfId="2285" priority="230" operator="greaterThan">
      <formula>5.3</formula>
    </cfRule>
  </conditionalFormatting>
  <conditionalFormatting sqref="H79:I79">
    <cfRule type="cellIs" dxfId="2284" priority="222" stopIfTrue="1" operator="greaterThan">
      <formula>$J79</formula>
    </cfRule>
    <cfRule type="cellIs" dxfId="2283" priority="223" stopIfTrue="1" operator="lessThanOrEqual">
      <formula>0</formula>
    </cfRule>
  </conditionalFormatting>
  <conditionalFormatting sqref="I57:I61">
    <cfRule type="cellIs" dxfId="2282" priority="18" stopIfTrue="1" operator="greaterThan">
      <formula>$F$72</formula>
    </cfRule>
    <cfRule type="cellIs" dxfId="2281" priority="19" stopIfTrue="1" operator="lessThanOrEqual">
      <formula>0</formula>
    </cfRule>
    <cfRule type="cellIs" dxfId="2280" priority="21" stopIfTrue="1" operator="lessThanOrEqual">
      <formula>0</formula>
    </cfRule>
    <cfRule type="cellIs" dxfId="2279" priority="16" stopIfTrue="1" operator="greaterThan">
      <formula>$F$70</formula>
    </cfRule>
    <cfRule type="cellIs" dxfId="2278" priority="17" stopIfTrue="1" operator="lessThanOrEqual">
      <formula>0</formula>
    </cfRule>
    <cfRule type="cellIs" dxfId="2277" priority="20" stopIfTrue="1" operator="greaterThan">
      <formula>$F$70</formula>
    </cfRule>
  </conditionalFormatting>
  <conditionalFormatting sqref="I62:I63">
    <cfRule type="cellIs" dxfId="2276" priority="176" stopIfTrue="1" operator="greaterThan">
      <formula>#REF!</formula>
    </cfRule>
    <cfRule type="cellIs" dxfId="2275" priority="175" stopIfTrue="1" operator="lessThanOrEqual">
      <formula>0</formula>
    </cfRule>
    <cfRule type="cellIs" dxfId="2274" priority="174" stopIfTrue="1" operator="greaterThan">
      <formula>#REF!</formula>
    </cfRule>
    <cfRule type="cellIs" dxfId="2273" priority="173" stopIfTrue="1" operator="lessThanOrEqual">
      <formula>0</formula>
    </cfRule>
    <cfRule type="cellIs" dxfId="2272" priority="177" stopIfTrue="1" operator="lessThanOrEqual">
      <formula>0</formula>
    </cfRule>
    <cfRule type="cellIs" dxfId="2271" priority="172" stopIfTrue="1" operator="greaterThan">
      <formula>#REF!</formula>
    </cfRule>
  </conditionalFormatting>
  <conditionalFormatting sqref="I64">
    <cfRule type="cellIs" dxfId="2270" priority="203" stopIfTrue="1" operator="greaterThan">
      <formula>$F$40</formula>
    </cfRule>
    <cfRule type="cellIs" dxfId="2269" priority="204" stopIfTrue="1" operator="lessThanOrEqual">
      <formula>0</formula>
    </cfRule>
    <cfRule type="cellIs" dxfId="2268" priority="205" stopIfTrue="1" operator="greaterThan">
      <formula>$F$38</formula>
    </cfRule>
    <cfRule type="cellIs" dxfId="2267" priority="206" stopIfTrue="1" operator="lessThanOrEqual">
      <formula>0</formula>
    </cfRule>
    <cfRule type="cellIs" dxfId="2266" priority="201" stopIfTrue="1" operator="greaterThan">
      <formula>$F$38</formula>
    </cfRule>
    <cfRule type="cellIs" dxfId="2265" priority="202" stopIfTrue="1" operator="lessThanOrEqual">
      <formula>0</formula>
    </cfRule>
  </conditionalFormatting>
  <conditionalFormatting sqref="I65:I66">
    <cfRule type="cellIs" dxfId="2264" priority="161" stopIfTrue="1" operator="lessThanOrEqual">
      <formula>0</formula>
    </cfRule>
    <cfRule type="cellIs" dxfId="2263" priority="160" stopIfTrue="1" operator="greaterThan">
      <formula>#REF!</formula>
    </cfRule>
    <cfRule type="cellIs" dxfId="2262" priority="159" stopIfTrue="1" operator="lessThanOrEqual">
      <formula>0</formula>
    </cfRule>
    <cfRule type="cellIs" dxfId="2261" priority="158" stopIfTrue="1" operator="greaterThan">
      <formula>#REF!</formula>
    </cfRule>
    <cfRule type="cellIs" dxfId="2260" priority="156" stopIfTrue="1" operator="greaterThan">
      <formula>#REF!</formula>
    </cfRule>
    <cfRule type="cellIs" dxfId="2259" priority="157" stopIfTrue="1" operator="lessThanOrEqual">
      <formula>0</formula>
    </cfRule>
  </conditionalFormatting>
  <conditionalFormatting sqref="I81:I89">
    <cfRule type="cellIs" dxfId="2258" priority="253" stopIfTrue="1" operator="greaterThan">
      <formula>4.5</formula>
    </cfRule>
    <cfRule type="cellIs" dxfId="2257" priority="254" stopIfTrue="1" operator="lessThanOrEqual">
      <formula>0</formula>
    </cfRule>
  </conditionalFormatting>
  <conditionalFormatting sqref="I10:J25">
    <cfRule type="cellIs" dxfId="2256" priority="2" operator="lessThan">
      <formula>97.9</formula>
    </cfRule>
  </conditionalFormatting>
  <conditionalFormatting sqref="J30">
    <cfRule type="cellIs" dxfId="2255" priority="214" operator="lessThan">
      <formula>98</formula>
    </cfRule>
    <cfRule type="cellIs" dxfId="2254" priority="212" stopIfTrue="1" operator="lessThan">
      <formula>96.8</formula>
    </cfRule>
    <cfRule type="cellIs" dxfId="2253" priority="213" stopIfTrue="1" operator="greaterThan">
      <formula>100</formula>
    </cfRule>
  </conditionalFormatting>
  <conditionalFormatting sqref="J30:J32">
    <cfRule type="cellIs" dxfId="2252" priority="211" operator="lessThan">
      <formula>97.4</formula>
    </cfRule>
  </conditionalFormatting>
  <conditionalFormatting sqref="J33:J34">
    <cfRule type="cellIs" dxfId="2251" priority="215" operator="lessThan">
      <formula>98</formula>
    </cfRule>
  </conditionalFormatting>
  <conditionalFormatting sqref="J35:J36">
    <cfRule type="cellIs" dxfId="2250" priority="216" stopIfTrue="1" operator="lessThan">
      <formula>96.8</formula>
    </cfRule>
    <cfRule type="cellIs" dxfId="2249" priority="217" stopIfTrue="1" operator="greaterThan">
      <formula>100</formula>
    </cfRule>
  </conditionalFormatting>
  <conditionalFormatting sqref="J35:J37">
    <cfRule type="cellIs" dxfId="2248" priority="218" operator="lessThan">
      <formula>98</formula>
    </cfRule>
  </conditionalFormatting>
  <conditionalFormatting sqref="J66">
    <cfRule type="cellIs" dxfId="2247" priority="151" stopIfTrue="1" operator="lessThanOrEqual">
      <formula>0</formula>
    </cfRule>
    <cfRule type="cellIs" dxfId="2246" priority="150" stopIfTrue="1" operator="greaterThan">
      <formula>#REF!</formula>
    </cfRule>
    <cfRule type="cellIs" dxfId="2245" priority="146" stopIfTrue="1" operator="greaterThan">
      <formula>#REF!</formula>
    </cfRule>
    <cfRule type="cellIs" dxfId="2244" priority="147" stopIfTrue="1" operator="lessThanOrEqual">
      <formula>0</formula>
    </cfRule>
    <cfRule type="cellIs" dxfId="2243" priority="148" stopIfTrue="1" operator="greaterThan">
      <formula>#REF!</formula>
    </cfRule>
    <cfRule type="cellIs" dxfId="2242" priority="149" stopIfTrue="1" operator="lessThanOrEqual">
      <formula>0</formula>
    </cfRule>
    <cfRule type="cellIs" dxfId="2241" priority="145" stopIfTrue="1" operator="lessThanOrEqual">
      <formula>0</formula>
    </cfRule>
    <cfRule type="cellIs" dxfId="2240" priority="144" stopIfTrue="1" operator="greaterThan">
      <formula>#REF!</formula>
    </cfRule>
  </conditionalFormatting>
  <conditionalFormatting sqref="J79">
    <cfRule type="cellIs" dxfId="2239" priority="219" stopIfTrue="1" operator="greaterThan">
      <formula>$F79</formula>
    </cfRule>
    <cfRule type="cellIs" dxfId="2238" priority="220" stopIfTrue="1" operator="lessThanOrEqual">
      <formula>0</formula>
    </cfRule>
  </conditionalFormatting>
  <conditionalFormatting sqref="K10:K25">
    <cfRule type="cellIs" dxfId="2237" priority="5" operator="greaterThan">
      <formula>6.4</formula>
    </cfRule>
    <cfRule type="cellIs" dxfId="2236" priority="4" operator="lessThan">
      <formula>4</formula>
    </cfRule>
    <cfRule type="cellIs" dxfId="2235" priority="3" operator="greaterThan">
      <formula>6</formula>
    </cfRule>
  </conditionalFormatting>
  <conditionalFormatting sqref="K57:K66">
    <cfRule type="cellIs" dxfId="2234" priority="95" stopIfTrue="1" operator="lessThan">
      <formula>100%</formula>
    </cfRule>
  </conditionalFormatting>
  <conditionalFormatting sqref="K81:K86">
    <cfRule type="cellIs" dxfId="2233" priority="259" stopIfTrue="1" operator="lessThan">
      <formula>100%</formula>
    </cfRule>
  </conditionalFormatting>
  <conditionalFormatting sqref="K88:K89">
    <cfRule type="cellIs" dxfId="2232" priority="266" stopIfTrue="1" operator="lessThan">
      <formula>100%</formula>
    </cfRule>
  </conditionalFormatting>
  <conditionalFormatting sqref="K70:N78">
    <cfRule type="cellIs" dxfId="2231" priority="196" stopIfTrue="1" operator="lessThan">
      <formula>100%</formula>
    </cfRule>
  </conditionalFormatting>
  <conditionalFormatting sqref="L10:L25">
    <cfRule type="cellIs" dxfId="2230" priority="10" operator="greaterThan">
      <formula>65</formula>
    </cfRule>
    <cfRule type="cellIs" dxfId="2229" priority="9" operator="between">
      <formula>61</formula>
      <formula>65</formula>
    </cfRule>
  </conditionalFormatting>
  <conditionalFormatting sqref="L28:M39">
    <cfRule type="cellIs" dxfId="2228" priority="136" operator="lessThan">
      <formula>97.95</formula>
    </cfRule>
  </conditionalFormatting>
  <conditionalFormatting sqref="L43:N43">
    <cfRule type="cellIs" dxfId="2227" priority="137" operator="notEqual">
      <formula>#REF!</formula>
    </cfRule>
  </conditionalFormatting>
  <conditionalFormatting sqref="L79:N79">
    <cfRule type="cellIs" dxfId="2226" priority="221" stopIfTrue="1" operator="lessThan">
      <formula>100%</formula>
    </cfRule>
  </conditionalFormatting>
  <conditionalFormatting sqref="L81:N89">
    <cfRule type="cellIs" dxfId="2225" priority="244" stopIfTrue="1" operator="lessThan">
      <formula>100%</formula>
    </cfRule>
  </conditionalFormatting>
  <conditionalFormatting sqref="M10:M24">
    <cfRule type="expression" dxfId="2224" priority="7">
      <formula>IF(+(IF(M10&lt;U10,0,IF(M10&gt;V10,0,1)))=0,1)</formula>
    </cfRule>
  </conditionalFormatting>
  <conditionalFormatting sqref="M25:N25">
    <cfRule type="expression" dxfId="2223" priority="274">
      <formula>IF(+(IF(M25&lt;#REF!,0,IF(M25&gt;#REF!,0,1)))=0,1)</formula>
    </cfRule>
  </conditionalFormatting>
  <conditionalFormatting sqref="N10:N24">
    <cfRule type="expression" dxfId="2222" priority="1">
      <formula>IF(+(IF(N10&lt;W10,0,IF(N10&gt;X10,0,1)))=0,1)</formula>
    </cfRule>
  </conditionalFormatting>
  <conditionalFormatting sqref="P6">
    <cfRule type="cellIs" dxfId="2221" priority="240" operator="greaterThanOrEqual">
      <formula>19</formula>
    </cfRule>
  </conditionalFormatting>
  <dataValidations count="1">
    <dataValidation type="list" allowBlank="1" showInputMessage="1" showErrorMessage="1" sqref="R8" xr:uid="{97ACAEE5-056A-4C78-85F4-556DFBC1A32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1545-351B-446D-9C86-9ED48A33A40E}">
  <sheetPr>
    <pageSetUpPr fitToPage="1"/>
  </sheetPr>
  <dimension ref="A1:BE81"/>
  <sheetViews>
    <sheetView topLeftCell="A7" zoomScale="80" zoomScaleNormal="80" workbookViewId="0">
      <selection activeCell="B11" sqref="B11:O11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46064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33" t="s">
        <v>9</v>
      </c>
      <c r="C10" s="366" t="str">
        <f>[4]Brewhouse!$A109</f>
        <v>ST058</v>
      </c>
      <c r="D10" s="279">
        <f>[4]Brewhouse!$AB109</f>
        <v>52.1</v>
      </c>
      <c r="E10" s="279">
        <f>[4]Brewhouse!$AG109</f>
        <v>57</v>
      </c>
      <c r="F10" s="278">
        <f>[4]Brewhouse!$V109</f>
        <v>65</v>
      </c>
      <c r="G10" s="279">
        <f>[4]Brewhouse!$AE109</f>
        <v>10.6</v>
      </c>
      <c r="H10" s="482">
        <v>10.6</v>
      </c>
      <c r="I10" s="368">
        <f>[4]Brewhouse!$AS109</f>
        <v>99.760146592752164</v>
      </c>
      <c r="J10" s="368">
        <f>[4]Brewhouse!$AT109</f>
        <v>101.01642079593438</v>
      </c>
      <c r="K10" s="281">
        <f>[4]Brewhouse!$Q109</f>
        <v>-10.028790786948178</v>
      </c>
      <c r="L10" s="276">
        <f>[4]Brewhouse!$P109</f>
        <v>55</v>
      </c>
      <c r="M10" s="374">
        <f>[4]Brewhouse!$U109-[4]Brewhouse!$T109</f>
        <v>0.12986111111111109</v>
      </c>
      <c r="N10" s="370">
        <f>[4]Brewhouse!$AW109</f>
        <v>0.28472222222222227</v>
      </c>
      <c r="O10" s="371" t="str">
        <f>[4]Brewhouse!$AV109</f>
        <v>R.Sookram</v>
      </c>
      <c r="P10" s="418"/>
      <c r="R10" s="277" t="str">
        <f>B10</f>
        <v>STAG</v>
      </c>
      <c r="S10" s="472">
        <f t="shared" ref="S10:S41" si="0">VLOOKUP($B10,$R$3:$X$9,2,FALSE)</f>
        <v>11.6</v>
      </c>
      <c r="T10" s="472">
        <f t="shared" ref="T10:T41" si="1">VLOOKUP($B10,$R$3:$X$9,3,FALSE)</f>
        <v>12</v>
      </c>
      <c r="U10" s="297">
        <f t="shared" ref="U10:U41" si="2">VLOOKUP($B10,$R$3:$X$9,4,FALSE)</f>
        <v>0</v>
      </c>
      <c r="V10" s="297">
        <f t="shared" ref="V10:V41" si="3">VLOOKUP($B10,$R$3:$X$9,5,FALSE)</f>
        <v>0.118055555555556</v>
      </c>
      <c r="W10" s="297">
        <f t="shared" ref="W10:W41" si="4">VLOOKUP($B10,$R$3:$X$9,6,FALSE)</f>
        <v>0.22569444444444445</v>
      </c>
      <c r="X10" s="297">
        <f t="shared" ref="X10:X41" si="5">VLOOKUP($B10,$R$3:$X$9,7,FALSE)</f>
        <v>0.2638888888888889</v>
      </c>
      <c r="Y10" s="297">
        <f t="shared" ref="Y10:Y41" si="6">VLOOKUP($B10,$R$3:$Z$9,8,FALSE)</f>
        <v>0</v>
      </c>
      <c r="Z10" s="472">
        <f t="shared" ref="Z10:Z41" si="7">VLOOKUP($B10,$R$3:$Z$9,9,FALSE)</f>
        <v>60</v>
      </c>
    </row>
    <row r="11" spans="2:29" ht="16.5" customHeight="1">
      <c r="B11" s="33" t="s">
        <v>9</v>
      </c>
      <c r="C11" s="366" t="str">
        <f>[4]Brewhouse!$A110</f>
        <v>ST059</v>
      </c>
      <c r="D11" s="279">
        <f>[4]Brewhouse!$AB110</f>
        <v>52</v>
      </c>
      <c r="E11" s="279">
        <f>[4]Brewhouse!$AG110</f>
        <v>55</v>
      </c>
      <c r="F11" s="278">
        <f>[4]Brewhouse!$V110</f>
        <v>66</v>
      </c>
      <c r="G11" s="279">
        <f>[4]Brewhouse!$AE110</f>
        <v>12.1</v>
      </c>
      <c r="H11" s="482">
        <v>12.1</v>
      </c>
      <c r="I11" s="368">
        <f>[4]Brewhouse!$AS110</f>
        <v>111.40726919026143</v>
      </c>
      <c r="J11" s="368">
        <f>[4]Brewhouse!$AT110</f>
        <v>112.80746164578679</v>
      </c>
      <c r="K11" s="281">
        <f>[4]Brewhouse!$Q110</f>
        <v>-2.7403846153846239</v>
      </c>
      <c r="L11" s="276">
        <f>[4]Brewhouse!$P110</f>
        <v>60</v>
      </c>
      <c r="M11" s="374">
        <f>[4]Brewhouse!$U110-[4]Brewhouse!$T110</f>
        <v>0.15069444444444446</v>
      </c>
      <c r="N11" s="370">
        <f>[4]Brewhouse!$AW110</f>
        <v>0.32847222222222217</v>
      </c>
      <c r="O11" s="371" t="str">
        <f>[4]Brewhouse!$AV110</f>
        <v>K. Benjamin</v>
      </c>
      <c r="P11" s="418"/>
      <c r="R11" s="277" t="str">
        <f>B11</f>
        <v>STAG</v>
      </c>
      <c r="S11" s="472">
        <f t="shared" si="0"/>
        <v>11.6</v>
      </c>
      <c r="T11" s="472">
        <f t="shared" si="1"/>
        <v>12</v>
      </c>
      <c r="U11" s="297">
        <f t="shared" si="2"/>
        <v>0</v>
      </c>
      <c r="V11" s="297">
        <f t="shared" si="3"/>
        <v>0.118055555555556</v>
      </c>
      <c r="W11" s="297">
        <f t="shared" si="4"/>
        <v>0.22569444444444445</v>
      </c>
      <c r="X11" s="297">
        <f t="shared" si="5"/>
        <v>0.2638888888888889</v>
      </c>
      <c r="Y11" s="297">
        <f t="shared" si="6"/>
        <v>0</v>
      </c>
      <c r="Z11" s="472">
        <f t="shared" si="7"/>
        <v>60</v>
      </c>
    </row>
    <row r="12" spans="2:29" ht="16.5" customHeight="1">
      <c r="B12" s="34"/>
      <c r="C12" s="366"/>
      <c r="D12" s="279"/>
      <c r="E12" s="279"/>
      <c r="F12" s="278"/>
      <c r="G12" s="279"/>
      <c r="H12" s="396"/>
      <c r="I12" s="484"/>
      <c r="J12" s="484"/>
      <c r="K12" s="485"/>
      <c r="L12" s="276"/>
      <c r="M12" s="374"/>
      <c r="N12" s="370"/>
      <c r="O12" s="420"/>
      <c r="P12" s="418"/>
      <c r="R12" s="277">
        <f t="shared" ref="R12:R33" si="8">B12</f>
        <v>0</v>
      </c>
      <c r="S12" s="472" t="e">
        <f t="shared" si="0"/>
        <v>#N/A</v>
      </c>
      <c r="T12" s="472" t="e">
        <f t="shared" si="1"/>
        <v>#N/A</v>
      </c>
      <c r="U12" s="297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472" t="e">
        <f t="shared" si="7"/>
        <v>#N/A</v>
      </c>
    </row>
    <row r="13" spans="2:29" ht="16.5" customHeight="1">
      <c r="B13" s="34" t="s">
        <v>12</v>
      </c>
      <c r="C13" s="366" t="str">
        <f>[6]Brewhouse!$A25</f>
        <v>GU009</v>
      </c>
      <c r="D13" s="279">
        <f>[6]Brewhouse!$AF25</f>
        <v>59.7</v>
      </c>
      <c r="E13" s="279">
        <f>[6]Brewhouse!$AI25</f>
        <v>55.9</v>
      </c>
      <c r="F13" s="278">
        <f>[6]Brewhouse!$V25</f>
        <v>69</v>
      </c>
      <c r="G13" s="279">
        <f>[6]Brewhouse!$AG25</f>
        <v>17</v>
      </c>
      <c r="H13" s="396">
        <v>17</v>
      </c>
      <c r="I13" s="484">
        <f>[6]Brewhouse!$AU25</f>
        <v>103.50405139576692</v>
      </c>
      <c r="J13" s="484">
        <f>[6]Brewhouse!$AV25</f>
        <v>104.85041078902495</v>
      </c>
      <c r="K13" s="485">
        <f>[6]Brewhouse!$R25</f>
        <v>-4.6785714285714368</v>
      </c>
      <c r="L13" s="276">
        <f>[6]Brewhouse!$O25</f>
        <v>58</v>
      </c>
      <c r="M13" s="374">
        <f>[6]Brewhouse!$U25-[6]Brewhouse!$T25</f>
        <v>0.18194444444444446</v>
      </c>
      <c r="N13" s="370">
        <f>[6]Brewhouse!$Z25</f>
        <v>0.34305555555555556</v>
      </c>
      <c r="O13" s="420" t="str">
        <f>[6]Brewhouse!$AW25</f>
        <v>K. Benjamin</v>
      </c>
      <c r="P13" s="418"/>
      <c r="R13" s="277" t="str">
        <f t="shared" si="8"/>
        <v>GUINNESS</v>
      </c>
      <c r="S13" s="472">
        <f t="shared" si="0"/>
        <v>17</v>
      </c>
      <c r="T13" s="472">
        <f t="shared" si="1"/>
        <v>17.5</v>
      </c>
      <c r="U13" s="297">
        <f t="shared" si="2"/>
        <v>0</v>
      </c>
      <c r="V13" s="297">
        <f t="shared" si="3"/>
        <v>0.1076388888888889</v>
      </c>
      <c r="W13" s="297">
        <f t="shared" si="4"/>
        <v>0.24652777777777779</v>
      </c>
      <c r="X13" s="297">
        <f t="shared" si="5"/>
        <v>0.28472222222222221</v>
      </c>
      <c r="Y13" s="297">
        <f t="shared" si="6"/>
        <v>0</v>
      </c>
      <c r="Z13" s="472">
        <f t="shared" si="7"/>
        <v>60</v>
      </c>
    </row>
    <row r="14" spans="2:29" ht="16.5" customHeight="1">
      <c r="B14" s="34" t="s">
        <v>12</v>
      </c>
      <c r="C14" s="366" t="str">
        <f>[6]Brewhouse!$A26</f>
        <v>GU010</v>
      </c>
      <c r="D14" s="279">
        <f>[6]Brewhouse!$AF26</f>
        <v>55.7</v>
      </c>
      <c r="E14" s="279">
        <f>[6]Brewhouse!$AI26</f>
        <v>50.7</v>
      </c>
      <c r="F14" s="278">
        <f>[6]Brewhouse!$V26</f>
        <v>61</v>
      </c>
      <c r="G14" s="279">
        <f>[6]Brewhouse!$AG26</f>
        <v>17.399999999999999</v>
      </c>
      <c r="H14" s="396">
        <v>17.3</v>
      </c>
      <c r="I14" s="484">
        <f>[6]Brewhouse!$AU26</f>
        <v>95.716844988758396</v>
      </c>
      <c r="J14" s="484">
        <f>[6]Brewhouse!$AV26</f>
        <v>96.963440639210745</v>
      </c>
      <c r="K14" s="485">
        <f>[6]Brewhouse!$R26</f>
        <v>-1.1481481481481566</v>
      </c>
      <c r="L14" s="276">
        <f>[6]Brewhouse!$O26</f>
        <v>59</v>
      </c>
      <c r="M14" s="374">
        <f>[6]Brewhouse!$U26-[6]Brewhouse!$T26</f>
        <v>0.12847222222222232</v>
      </c>
      <c r="N14" s="370">
        <f>[6]Brewhouse!$Z26</f>
        <v>0.32847222222222228</v>
      </c>
      <c r="O14" s="420" t="str">
        <f>[6]Brewhouse!$AW26</f>
        <v>R. Regis</v>
      </c>
      <c r="P14" s="418"/>
      <c r="R14" s="277" t="str">
        <f t="shared" si="8"/>
        <v>GUINNESS</v>
      </c>
      <c r="S14" s="472">
        <f t="shared" si="0"/>
        <v>17</v>
      </c>
      <c r="T14" s="472">
        <f t="shared" si="1"/>
        <v>17.5</v>
      </c>
      <c r="U14" s="297">
        <f t="shared" si="2"/>
        <v>0</v>
      </c>
      <c r="V14" s="297">
        <f t="shared" si="3"/>
        <v>0.1076388888888889</v>
      </c>
      <c r="W14" s="297">
        <f t="shared" si="4"/>
        <v>0.24652777777777779</v>
      </c>
      <c r="X14" s="297">
        <f t="shared" si="5"/>
        <v>0.28472222222222221</v>
      </c>
      <c r="Y14" s="297">
        <f t="shared" si="6"/>
        <v>0</v>
      </c>
      <c r="Z14" s="472">
        <f t="shared" si="7"/>
        <v>60</v>
      </c>
    </row>
    <row r="15" spans="2:29" ht="16.5" customHeight="1">
      <c r="B15" s="34" t="s">
        <v>12</v>
      </c>
      <c r="C15" s="366" t="str">
        <f>[6]Brewhouse!$A27</f>
        <v>GU011</v>
      </c>
      <c r="D15" s="279">
        <f>[6]Brewhouse!$AF27</f>
        <v>55</v>
      </c>
      <c r="E15" s="279">
        <f>[6]Brewhouse!$AI27</f>
        <v>51.8</v>
      </c>
      <c r="F15" s="278">
        <f>[6]Brewhouse!$V27</f>
        <v>64</v>
      </c>
      <c r="G15" s="279">
        <f>[6]Brewhouse!$AG27</f>
        <v>17.100000000000001</v>
      </c>
      <c r="H15" s="396">
        <v>17.2</v>
      </c>
      <c r="I15" s="484">
        <f>[6]Brewhouse!$AU27</f>
        <v>95.930260280243118</v>
      </c>
      <c r="J15" s="484">
        <f>[6]Brewhouse!$AV27</f>
        <v>97.179853160137611</v>
      </c>
      <c r="K15" s="485">
        <f>[6]Brewhouse!$R27</f>
        <v>2.8990825688073363</v>
      </c>
      <c r="L15" s="276">
        <f>[6]Brewhouse!$O27</f>
        <v>59</v>
      </c>
      <c r="M15" s="374">
        <f>[6]Brewhouse!$U27-[6]Brewhouse!$T27</f>
        <v>0.14513888888888871</v>
      </c>
      <c r="N15" s="370">
        <f>[6]Brewhouse!$Z27</f>
        <v>0.33263888888888882</v>
      </c>
      <c r="O15" s="420" t="str">
        <f>[6]Brewhouse!$AW27</f>
        <v>R. Regis</v>
      </c>
      <c r="P15" s="418"/>
      <c r="R15" s="277" t="str">
        <f t="shared" si="8"/>
        <v>GUINNESS</v>
      </c>
      <c r="S15" s="472">
        <f t="shared" si="0"/>
        <v>17</v>
      </c>
      <c r="T15" s="472">
        <f t="shared" si="1"/>
        <v>17.5</v>
      </c>
      <c r="U15" s="297">
        <f t="shared" si="2"/>
        <v>0</v>
      </c>
      <c r="V15" s="297">
        <f t="shared" si="3"/>
        <v>0.1076388888888889</v>
      </c>
      <c r="W15" s="297">
        <f t="shared" si="4"/>
        <v>0.24652777777777779</v>
      </c>
      <c r="X15" s="297">
        <f t="shared" si="5"/>
        <v>0.28472222222222221</v>
      </c>
      <c r="Y15" s="297">
        <f t="shared" si="6"/>
        <v>0</v>
      </c>
      <c r="Z15" s="472">
        <f t="shared" si="7"/>
        <v>60</v>
      </c>
    </row>
    <row r="16" spans="2:29" ht="16.5" hidden="1" customHeight="1">
      <c r="B16" s="33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8"/>
        <v>0</v>
      </c>
      <c r="S16" s="472" t="e">
        <f t="shared" si="0"/>
        <v>#N/A</v>
      </c>
      <c r="T16" s="472" t="e">
        <f t="shared" si="1"/>
        <v>#N/A</v>
      </c>
      <c r="U16" s="297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472" t="e">
        <f t="shared" si="7"/>
        <v>#N/A</v>
      </c>
    </row>
    <row r="17" spans="1:26" ht="16.5" hidden="1" customHeight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8"/>
        <v>0</v>
      </c>
      <c r="S17" s="472" t="e">
        <f t="shared" si="0"/>
        <v>#N/A</v>
      </c>
      <c r="T17" s="472" t="e">
        <f t="shared" si="1"/>
        <v>#N/A</v>
      </c>
      <c r="U17" s="297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472" t="e">
        <f t="shared" si="7"/>
        <v>#N/A</v>
      </c>
    </row>
    <row r="18" spans="1:26" ht="16.5" hidden="1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8"/>
        <v>0</v>
      </c>
      <c r="S18" s="472" t="e">
        <f t="shared" si="0"/>
        <v>#N/A</v>
      </c>
      <c r="T18" s="472" t="e">
        <f t="shared" si="1"/>
        <v>#N/A</v>
      </c>
      <c r="U18" s="297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472" t="e">
        <f t="shared" si="7"/>
        <v>#N/A</v>
      </c>
    </row>
    <row r="19" spans="1:26" ht="16.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8"/>
        <v>0</v>
      </c>
      <c r="S19" s="472" t="e">
        <f t="shared" si="0"/>
        <v>#N/A</v>
      </c>
      <c r="T19" s="472" t="e">
        <f t="shared" si="1"/>
        <v>#N/A</v>
      </c>
      <c r="U19" s="297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472" t="e">
        <f t="shared" si="7"/>
        <v>#N/A</v>
      </c>
    </row>
    <row r="20" spans="1:26" ht="16.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8"/>
        <v>0</v>
      </c>
      <c r="S20" s="472" t="e">
        <f t="shared" si="0"/>
        <v>#N/A</v>
      </c>
      <c r="T20" s="472" t="e">
        <f t="shared" si="1"/>
        <v>#N/A</v>
      </c>
      <c r="U20" s="297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472" t="e">
        <f t="shared" si="7"/>
        <v>#N/A</v>
      </c>
    </row>
    <row r="21" spans="1:26" ht="16.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8"/>
        <v>0</v>
      </c>
      <c r="S21" s="472" t="e">
        <f t="shared" si="0"/>
        <v>#N/A</v>
      </c>
      <c r="T21" s="472" t="e">
        <f t="shared" si="1"/>
        <v>#N/A</v>
      </c>
      <c r="U21" s="297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472" t="e">
        <f t="shared" si="7"/>
        <v>#N/A</v>
      </c>
    </row>
    <row r="22" spans="1:26" ht="16.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8"/>
        <v>0</v>
      </c>
      <c r="S22" s="472" t="e">
        <f t="shared" si="0"/>
        <v>#N/A</v>
      </c>
      <c r="T22" s="472" t="e">
        <f t="shared" si="1"/>
        <v>#N/A</v>
      </c>
      <c r="U22" s="297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472" t="e">
        <f t="shared" si="7"/>
        <v>#N/A</v>
      </c>
    </row>
    <row r="23" spans="1:26" ht="16.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8"/>
        <v>0</v>
      </c>
      <c r="S23" s="472" t="e">
        <f t="shared" si="0"/>
        <v>#N/A</v>
      </c>
      <c r="T23" s="472" t="e">
        <f t="shared" si="1"/>
        <v>#N/A</v>
      </c>
      <c r="U23" s="297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472" t="e">
        <f t="shared" si="7"/>
        <v>#N/A</v>
      </c>
    </row>
    <row r="24" spans="1:26" ht="16.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8"/>
        <v>0</v>
      </c>
      <c r="S24" s="472" t="e">
        <f t="shared" si="0"/>
        <v>#N/A</v>
      </c>
      <c r="T24" s="472" t="e">
        <f t="shared" si="1"/>
        <v>#N/A</v>
      </c>
      <c r="U24" s="297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472" t="e">
        <f t="shared" si="7"/>
        <v>#N/A</v>
      </c>
    </row>
    <row r="25" spans="1:26" ht="16.5" customHeight="1">
      <c r="B25" s="33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8"/>
        <v>0</v>
      </c>
      <c r="S25" s="472" t="e">
        <f t="shared" si="0"/>
        <v>#N/A</v>
      </c>
      <c r="T25" s="472" t="e">
        <f t="shared" si="1"/>
        <v>#N/A</v>
      </c>
      <c r="U25" s="297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472" t="e">
        <f t="shared" si="7"/>
        <v>#N/A</v>
      </c>
    </row>
    <row r="26" spans="1:26" ht="18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0"/>
      <c r="P26" s="418"/>
      <c r="R26" s="277">
        <f t="shared" si="8"/>
        <v>0</v>
      </c>
      <c r="S26" s="472" t="e">
        <f t="shared" si="0"/>
        <v>#N/A</v>
      </c>
      <c r="T26" s="472" t="e">
        <f t="shared" si="1"/>
        <v>#N/A</v>
      </c>
      <c r="U26" s="297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472" t="e">
        <f t="shared" si="7"/>
        <v>#N/A</v>
      </c>
    </row>
    <row r="27" spans="1:26" ht="16.5" customHeight="1">
      <c r="B27" s="22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8"/>
      <c r="R27" s="277">
        <f t="shared" si="8"/>
        <v>0</v>
      </c>
      <c r="S27" s="472" t="e">
        <f t="shared" si="0"/>
        <v>#N/A</v>
      </c>
      <c r="T27" s="472" t="e">
        <f t="shared" si="1"/>
        <v>#N/A</v>
      </c>
      <c r="U27" s="297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472" t="e">
        <f t="shared" si="7"/>
        <v>#N/A</v>
      </c>
    </row>
    <row r="28" spans="1:26" ht="15.75" customHeight="1" thickBot="1">
      <c r="B28" s="358"/>
      <c r="C28" s="358"/>
      <c r="D28" s="358"/>
      <c r="E28" s="358"/>
      <c r="F28" s="294"/>
      <c r="G28" s="294"/>
      <c r="H28" s="348"/>
      <c r="I28" s="511"/>
      <c r="J28" s="511"/>
      <c r="K28" s="511"/>
      <c r="L28" s="511"/>
      <c r="M28" s="511"/>
      <c r="N28" s="511"/>
      <c r="O28" s="1"/>
      <c r="P28" s="12"/>
      <c r="R28" s="277">
        <f t="shared" si="8"/>
        <v>0</v>
      </c>
      <c r="S28" s="472" t="e">
        <f t="shared" si="0"/>
        <v>#N/A</v>
      </c>
      <c r="T28" s="472" t="e">
        <f t="shared" si="1"/>
        <v>#N/A</v>
      </c>
      <c r="U28" s="297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472" t="e">
        <f t="shared" si="7"/>
        <v>#N/A</v>
      </c>
    </row>
    <row r="29" spans="1:26" ht="15.75" customHeight="1" thickBot="1">
      <c r="B29" s="388" t="s">
        <v>162</v>
      </c>
      <c r="C29" s="388"/>
      <c r="D29" s="512" t="s">
        <v>35</v>
      </c>
      <c r="E29" s="513"/>
      <c r="F29" s="294"/>
      <c r="G29" s="294"/>
      <c r="H29" s="348"/>
      <c r="I29" s="24" t="s">
        <v>17</v>
      </c>
      <c r="J29" s="25"/>
      <c r="K29" s="26" t="s">
        <v>138</v>
      </c>
      <c r="L29" s="25" t="s">
        <v>37</v>
      </c>
      <c r="M29" s="25" t="s">
        <v>38</v>
      </c>
      <c r="N29" s="27" t="s">
        <v>39</v>
      </c>
      <c r="O29" s="294"/>
      <c r="P29" s="12"/>
      <c r="R29" s="277" t="str">
        <f t="shared" si="8"/>
        <v xml:space="preserve">BRAND </v>
      </c>
      <c r="S29" s="472" t="e">
        <f t="shared" si="0"/>
        <v>#N/A</v>
      </c>
      <c r="T29" s="472" t="e">
        <f t="shared" si="1"/>
        <v>#N/A</v>
      </c>
      <c r="U29" s="297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472" t="e">
        <f t="shared" si="7"/>
        <v>#N/A</v>
      </c>
    </row>
    <row r="30" spans="1:26" ht="15" customHeight="1">
      <c r="A30" s="28"/>
      <c r="B30" s="580"/>
      <c r="C30" s="362"/>
      <c r="D30" s="517"/>
      <c r="E30" s="518"/>
      <c r="F30" s="294"/>
      <c r="G30" s="294"/>
      <c r="H30" s="348"/>
      <c r="I30" s="29" t="s">
        <v>6</v>
      </c>
      <c r="J30" s="280"/>
      <c r="K30" s="284">
        <f>COUNTA([3]Brewhouse!$A$125:$A$140)</f>
        <v>16</v>
      </c>
      <c r="L30" s="305">
        <f>AVERAGE([3]Brewhouse!$AU$125:$AU$140)</f>
        <v>97.677289058475239</v>
      </c>
      <c r="M30" s="305">
        <f>AVERAGE([3]Brewhouse!$AU$42:$AU$123,[3]Brewhouse!$AU$125:$AU$140)</f>
        <v>97.902963252277985</v>
      </c>
      <c r="N30" s="30">
        <v>98</v>
      </c>
      <c r="O30" s="11"/>
      <c r="P30" s="31"/>
      <c r="R30" s="277">
        <f t="shared" si="8"/>
        <v>0</v>
      </c>
      <c r="S30" s="472" t="e">
        <f t="shared" si="0"/>
        <v>#N/A</v>
      </c>
      <c r="T30" s="472" t="e">
        <f t="shared" si="1"/>
        <v>#N/A</v>
      </c>
      <c r="U30" s="297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472" t="e">
        <f t="shared" si="7"/>
        <v>#N/A</v>
      </c>
    </row>
    <row r="31" spans="1:26" ht="15" customHeight="1">
      <c r="A31" s="28"/>
      <c r="B31" s="581"/>
      <c r="C31" s="362"/>
      <c r="D31" s="519"/>
      <c r="E31" s="520"/>
      <c r="F31" s="294"/>
      <c r="G31" s="294"/>
      <c r="H31" s="348"/>
      <c r="I31" s="33" t="s">
        <v>9</v>
      </c>
      <c r="J31" s="280">
        <f>AVERAGE(I10:I11)</f>
        <v>105.5837078915068</v>
      </c>
      <c r="K31" s="284">
        <f>COUNTA([4]Brewhouse!$A$83:$A$102)</f>
        <v>20</v>
      </c>
      <c r="L31" s="302">
        <f>AVERAGE([4]Brewhouse!$AS$83:$AS$102)</f>
        <v>97.82854827310743</v>
      </c>
      <c r="M31" s="302">
        <f>AVERAGE([4]Brewhouse!$AS$52:$AS$81,[4]Brewhouse!$AS$83:$AS$102)</f>
        <v>98.546544958251161</v>
      </c>
      <c r="N31" s="30">
        <v>98</v>
      </c>
      <c r="O31" s="11"/>
      <c r="P31" s="31"/>
      <c r="R31" s="277">
        <f t="shared" si="8"/>
        <v>0</v>
      </c>
      <c r="S31" s="472" t="e">
        <f t="shared" si="0"/>
        <v>#N/A</v>
      </c>
      <c r="T31" s="472" t="e">
        <f t="shared" si="1"/>
        <v>#N/A</v>
      </c>
      <c r="U31" s="297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472" t="e">
        <f t="shared" si="7"/>
        <v>#N/A</v>
      </c>
    </row>
    <row r="32" spans="1:26" ht="14.65" customHeight="1">
      <c r="A32" s="28"/>
      <c r="B32" s="581"/>
      <c r="C32" s="362"/>
      <c r="D32" s="521"/>
      <c r="E32" s="522"/>
      <c r="F32" s="294"/>
      <c r="G32" s="294"/>
      <c r="H32" s="348"/>
      <c r="I32" s="34" t="s">
        <v>12</v>
      </c>
      <c r="J32" s="280">
        <f>AVERAGE(I13:I15)</f>
        <v>98.383718888256155</v>
      </c>
      <c r="K32" s="284">
        <f>COUNTA([6]Brewhouse!$A$25:$A$27)</f>
        <v>3</v>
      </c>
      <c r="L32" s="302">
        <f>AVERAGE([6]Brewhouse!$AU$25:$AU$27)</f>
        <v>98.383718888256155</v>
      </c>
      <c r="M32" s="302">
        <f>AVERAGE([6]Brewhouse!$AU$16:$AU$23,[6]Brewhouse!$AU$25:$AU$27)</f>
        <v>97.933890431198279</v>
      </c>
      <c r="N32" s="30">
        <v>98</v>
      </c>
      <c r="O32" s="11"/>
      <c r="P32" s="31"/>
      <c r="R32" s="277">
        <f t="shared" si="8"/>
        <v>0</v>
      </c>
      <c r="S32" s="472" t="e">
        <f t="shared" si="0"/>
        <v>#N/A</v>
      </c>
      <c r="T32" s="472" t="e">
        <f t="shared" si="1"/>
        <v>#N/A</v>
      </c>
      <c r="U32" s="297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472" t="e">
        <f t="shared" si="7"/>
        <v>#N/A</v>
      </c>
    </row>
    <row r="33" spans="1:56" ht="14.65" customHeight="1">
      <c r="A33" s="28"/>
      <c r="B33" s="581"/>
      <c r="C33" s="362"/>
      <c r="D33" s="523"/>
      <c r="E33" s="520"/>
      <c r="F33" s="294"/>
      <c r="G33" s="294"/>
      <c r="H33" s="348"/>
      <c r="I33" s="22" t="s">
        <v>33</v>
      </c>
      <c r="J33" s="280"/>
      <c r="K33" s="284"/>
      <c r="L33" s="302"/>
      <c r="M33" s="302">
        <f>AVERAGE([5]Brewhouse!$AV$23:$AV$34)</f>
        <v>98.31387229810305</v>
      </c>
      <c r="N33" s="30">
        <v>98</v>
      </c>
      <c r="O33" s="11"/>
      <c r="P33" s="31"/>
      <c r="R33" s="277">
        <f t="shared" si="8"/>
        <v>0</v>
      </c>
      <c r="S33" s="472" t="e">
        <f t="shared" si="0"/>
        <v>#N/A</v>
      </c>
      <c r="T33" s="472" t="e">
        <f t="shared" si="1"/>
        <v>#N/A</v>
      </c>
      <c r="U33" s="297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472" t="e">
        <f t="shared" si="7"/>
        <v>#N/A</v>
      </c>
    </row>
    <row r="34" spans="1:56" ht="14.65" customHeight="1">
      <c r="A34" s="28"/>
      <c r="B34" s="581"/>
      <c r="C34" s="362"/>
      <c r="D34" s="521"/>
      <c r="E34" s="522"/>
      <c r="F34" s="417"/>
      <c r="G34" s="294"/>
      <c r="H34" s="348"/>
      <c r="I34" s="35" t="s">
        <v>29</v>
      </c>
      <c r="J34" s="280"/>
      <c r="K34" s="284"/>
      <c r="L34" s="302"/>
      <c r="M34" s="302"/>
      <c r="N34" s="30">
        <v>98</v>
      </c>
      <c r="O34" s="11"/>
      <c r="P34" s="31"/>
      <c r="R34" s="277">
        <f t="shared" ref="R34:R41" si="9">B34</f>
        <v>0</v>
      </c>
      <c r="S34" s="472" t="e">
        <f t="shared" si="0"/>
        <v>#N/A</v>
      </c>
      <c r="T34" s="472" t="e">
        <f t="shared" si="1"/>
        <v>#N/A</v>
      </c>
      <c r="U34" s="297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472" t="e">
        <f t="shared" si="7"/>
        <v>#N/A</v>
      </c>
    </row>
    <row r="35" spans="1:56" ht="14.65" customHeight="1">
      <c r="A35" s="28"/>
      <c r="B35" s="581"/>
      <c r="C35" s="362"/>
      <c r="D35" s="523"/>
      <c r="E35" s="520"/>
      <c r="F35" s="417"/>
      <c r="G35" s="294"/>
      <c r="H35" s="348"/>
      <c r="I35" s="36" t="s">
        <v>15</v>
      </c>
      <c r="J35" s="323"/>
      <c r="K35" s="284"/>
      <c r="L35" s="302"/>
      <c r="M35" s="302">
        <f>AVERAGE([7]Brewhouse!$AT$4:$AT$11)</f>
        <v>92.826224508052405</v>
      </c>
      <c r="N35" s="30">
        <v>98</v>
      </c>
      <c r="O35" s="11"/>
      <c r="P35" s="31"/>
      <c r="R35" s="277">
        <f t="shared" si="9"/>
        <v>0</v>
      </c>
      <c r="S35" s="472" t="e">
        <f t="shared" si="0"/>
        <v>#N/A</v>
      </c>
      <c r="T35" s="472" t="e">
        <f t="shared" si="1"/>
        <v>#N/A</v>
      </c>
      <c r="U35" s="297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472" t="e">
        <f t="shared" si="7"/>
        <v>#N/A</v>
      </c>
      <c r="AA35" s="472"/>
    </row>
    <row r="36" spans="1:56" ht="14.65" customHeight="1">
      <c r="A36" s="28"/>
      <c r="B36" s="581"/>
      <c r="C36" s="362"/>
      <c r="D36" s="521"/>
      <c r="E36" s="522"/>
      <c r="F36" s="417"/>
      <c r="G36" s="294"/>
      <c r="H36" s="348"/>
      <c r="I36" s="37" t="s">
        <v>16</v>
      </c>
      <c r="J36" s="323"/>
      <c r="K36" s="284"/>
      <c r="L36" s="302"/>
      <c r="M36" s="302">
        <f>AVERAGE([8]Brewhouse!$AY$5:$AY$7)</f>
        <v>98.128633252159673</v>
      </c>
      <c r="N36" s="30">
        <v>98</v>
      </c>
      <c r="O36" s="11"/>
      <c r="P36" s="31" t="s">
        <v>41</v>
      </c>
      <c r="R36" s="277">
        <f t="shared" si="9"/>
        <v>0</v>
      </c>
      <c r="S36" s="472" t="e">
        <f t="shared" si="0"/>
        <v>#N/A</v>
      </c>
      <c r="T36" s="472" t="e">
        <f t="shared" si="1"/>
        <v>#N/A</v>
      </c>
      <c r="U36" s="297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472" t="e">
        <f t="shared" si="7"/>
        <v>#N/A</v>
      </c>
      <c r="AA36" s="472"/>
    </row>
    <row r="37" spans="1:56" ht="14.65" customHeight="1">
      <c r="A37" s="28"/>
      <c r="B37" s="581"/>
      <c r="C37" s="362"/>
      <c r="D37" s="523"/>
      <c r="E37" s="520"/>
      <c r="F37" s="294"/>
      <c r="G37" s="294"/>
      <c r="H37" s="348"/>
      <c r="I37" s="411" t="s">
        <v>158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9"/>
        <v>0</v>
      </c>
      <c r="S37" s="472" t="e">
        <f t="shared" si="0"/>
        <v>#N/A</v>
      </c>
      <c r="T37" s="472" t="e">
        <f t="shared" si="1"/>
        <v>#N/A</v>
      </c>
      <c r="U37" s="297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472" t="e">
        <f t="shared" si="7"/>
        <v>#N/A</v>
      </c>
      <c r="AA37" s="472"/>
    </row>
    <row r="38" spans="1:56" ht="14.65" customHeight="1">
      <c r="A38" s="28"/>
      <c r="B38" s="581"/>
      <c r="C38" s="349"/>
      <c r="D38" s="521"/>
      <c r="E38" s="522"/>
      <c r="F38" s="294"/>
      <c r="G38" s="294"/>
      <c r="H38" s="348"/>
      <c r="I38" s="410" t="s">
        <v>157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9"/>
        <v>0</v>
      </c>
      <c r="S38" s="472" t="e">
        <f t="shared" si="0"/>
        <v>#N/A</v>
      </c>
      <c r="T38" s="472" t="e">
        <f t="shared" si="1"/>
        <v>#N/A</v>
      </c>
      <c r="U38" s="297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472" t="e">
        <f t="shared" si="7"/>
        <v>#N/A</v>
      </c>
      <c r="AA38" s="472"/>
    </row>
    <row r="39" spans="1:56" ht="15" customHeight="1" thickBot="1">
      <c r="A39" s="28"/>
      <c r="B39" s="581"/>
      <c r="C39" s="349"/>
      <c r="D39" s="523"/>
      <c r="E39" s="520"/>
      <c r="F39" s="294"/>
      <c r="G39" s="294"/>
      <c r="H39" s="348"/>
      <c r="I39" s="406" t="s">
        <v>156</v>
      </c>
      <c r="J39" s="327"/>
      <c r="K39" s="407"/>
      <c r="L39" s="408"/>
      <c r="M39" s="408"/>
      <c r="N39" s="409">
        <v>98</v>
      </c>
      <c r="O39" s="11"/>
      <c r="P39" s="31"/>
      <c r="R39" s="277">
        <f t="shared" si="9"/>
        <v>0</v>
      </c>
      <c r="S39" s="472" t="e">
        <f t="shared" si="0"/>
        <v>#N/A</v>
      </c>
      <c r="T39" s="472" t="e">
        <f t="shared" si="1"/>
        <v>#N/A</v>
      </c>
      <c r="U39" s="297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472" t="e">
        <f t="shared" si="7"/>
        <v>#N/A</v>
      </c>
      <c r="AA39" s="472"/>
    </row>
    <row r="40" spans="1:56" ht="15" customHeight="1" thickBot="1">
      <c r="A40" s="28"/>
      <c r="B40" s="581"/>
      <c r="C40" s="349"/>
      <c r="D40" s="517"/>
      <c r="E40" s="518"/>
      <c r="F40" s="294"/>
      <c r="G40" s="294"/>
      <c r="H40" s="348"/>
      <c r="I40" s="1"/>
      <c r="J40" s="39"/>
      <c r="K40" s="404">
        <f>SUM(K30:K39)</f>
        <v>39</v>
      </c>
      <c r="L40" s="405">
        <f>((L30*K30)+(L31*K31)+(L32*K32)+(L33*K33)+(L34*K34)+(K37*L37)+(L35*K35)+(L36*K36)+(L39*K39))/(K40)</f>
        <v>97.809198642628758</v>
      </c>
      <c r="M40" s="405">
        <f>L40</f>
        <v>97.809198642628758</v>
      </c>
      <c r="N40" s="40">
        <v>98</v>
      </c>
      <c r="O40" s="11"/>
      <c r="P40" s="31"/>
      <c r="R40" s="277">
        <f t="shared" si="9"/>
        <v>0</v>
      </c>
      <c r="S40" s="472" t="e">
        <f t="shared" si="0"/>
        <v>#N/A</v>
      </c>
      <c r="T40" s="472" t="e">
        <f t="shared" si="1"/>
        <v>#N/A</v>
      </c>
      <c r="U40" s="297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472" t="e">
        <f t="shared" si="7"/>
        <v>#N/A</v>
      </c>
      <c r="AA40" s="472"/>
    </row>
    <row r="41" spans="1:56" ht="15.75" thickBot="1">
      <c r="B41" s="582"/>
      <c r="C41" s="350"/>
      <c r="D41" s="519"/>
      <c r="E41" s="520"/>
      <c r="F41" s="294"/>
      <c r="G41" s="42"/>
      <c r="H41" s="41"/>
      <c r="I41" s="42"/>
      <c r="J41" s="42"/>
      <c r="K41" s="351"/>
      <c r="L41" s="348"/>
      <c r="M41" s="348"/>
      <c r="N41" s="11"/>
      <c r="O41" s="294"/>
      <c r="P41" s="12"/>
      <c r="R41" s="277">
        <f t="shared" si="9"/>
        <v>0</v>
      </c>
      <c r="S41" s="472" t="e">
        <f t="shared" si="0"/>
        <v>#N/A</v>
      </c>
      <c r="T41" s="472" t="e">
        <f t="shared" si="1"/>
        <v>#N/A</v>
      </c>
      <c r="U41" s="297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472" t="e">
        <f t="shared" si="7"/>
        <v>#N/A</v>
      </c>
      <c r="AA41" s="472"/>
    </row>
    <row r="42" spans="1:56" ht="15.75" thickBot="1">
      <c r="B42" s="514"/>
      <c r="C42" s="362"/>
      <c r="D42" s="525"/>
      <c r="E42" s="526"/>
      <c r="F42" s="294"/>
      <c r="G42" s="42"/>
      <c r="H42" s="41"/>
      <c r="I42" s="42"/>
      <c r="J42" s="527" t="s">
        <v>129</v>
      </c>
      <c r="K42" s="527"/>
      <c r="L42" s="294"/>
      <c r="M42" s="294"/>
      <c r="N42" s="294"/>
      <c r="O42" s="294"/>
      <c r="P42" s="12"/>
    </row>
    <row r="43" spans="1:56" ht="15.75" thickBot="1">
      <c r="B43" s="515"/>
      <c r="C43" s="362"/>
      <c r="D43" s="523"/>
      <c r="E43" s="520"/>
      <c r="F43" s="294"/>
      <c r="G43" s="42"/>
      <c r="H43" s="41"/>
      <c r="I43" s="42"/>
      <c r="J43" s="292" t="s">
        <v>17</v>
      </c>
      <c r="K43" s="293" t="s">
        <v>147</v>
      </c>
      <c r="L43" s="528" t="s">
        <v>136</v>
      </c>
      <c r="M43" s="528"/>
      <c r="N43" s="529"/>
      <c r="O43" s="294"/>
      <c r="P43" s="12"/>
    </row>
    <row r="44" spans="1:56" ht="15" customHeight="1" thickBot="1">
      <c r="B44" s="515"/>
      <c r="C44" s="349"/>
      <c r="D44" s="521"/>
      <c r="E44" s="522"/>
      <c r="F44" s="294"/>
      <c r="G44" s="42"/>
      <c r="H44" s="41"/>
      <c r="I44" s="42"/>
      <c r="J44" s="287" t="s">
        <v>6</v>
      </c>
      <c r="K44" s="324"/>
      <c r="L44" s="473" t="s">
        <v>37</v>
      </c>
      <c r="M44" s="474" t="s">
        <v>38</v>
      </c>
      <c r="N44" s="474" t="s">
        <v>84</v>
      </c>
      <c r="O44" s="294"/>
      <c r="P44" s="12"/>
    </row>
    <row r="45" spans="1:56" ht="15.75" customHeight="1" thickBot="1">
      <c r="B45" s="515"/>
      <c r="C45" s="349"/>
      <c r="D45" s="523"/>
      <c r="E45" s="520"/>
      <c r="F45" s="294"/>
      <c r="G45" s="42"/>
      <c r="H45" s="41"/>
      <c r="I45" s="42"/>
      <c r="J45" s="345" t="s">
        <v>9</v>
      </c>
      <c r="K45" s="324">
        <v>2</v>
      </c>
      <c r="L45" s="344">
        <f>AVERAGE(K54,'Feb 2nd'!K49,'Feb 3rd'!K54,'Feb 4th'!K53,'Feb 4th'!K53,'Feb 5th'!K49,'Feb 6th'!K49,'Feb 9th'!K52)</f>
        <v>7</v>
      </c>
      <c r="M45" s="325">
        <f>AVERAGE('[9]Jan30th-31st'!$L$47,L45)</f>
        <v>6.5434782608695654</v>
      </c>
      <c r="N45" s="416">
        <v>9.1999999999999993</v>
      </c>
      <c r="O45" s="294"/>
      <c r="P45" s="12"/>
    </row>
    <row r="46" spans="1:56" ht="15" customHeight="1">
      <c r="B46" s="515"/>
      <c r="C46" s="349"/>
      <c r="D46" s="521"/>
      <c r="E46" s="522"/>
      <c r="F46" s="294"/>
      <c r="G46" s="42"/>
      <c r="H46" s="41"/>
      <c r="I46" s="42"/>
      <c r="J46" s="288" t="s">
        <v>40</v>
      </c>
      <c r="K46" s="324">
        <v>3</v>
      </c>
      <c r="L46" s="294"/>
      <c r="M46" s="294"/>
      <c r="N46" s="294"/>
      <c r="O46" s="294"/>
      <c r="P46" s="12"/>
    </row>
    <row r="47" spans="1:56" ht="15" customHeight="1">
      <c r="B47" s="515"/>
      <c r="C47" s="349"/>
      <c r="D47" s="523"/>
      <c r="E47" s="520"/>
      <c r="F47" s="294"/>
      <c r="G47" s="42"/>
      <c r="H47" s="41"/>
      <c r="I47" s="42"/>
      <c r="J47" s="289" t="s">
        <v>33</v>
      </c>
      <c r="K47" s="324"/>
      <c r="L47" s="294"/>
      <c r="M47" s="294"/>
      <c r="N47" s="294"/>
      <c r="O47" s="294"/>
      <c r="P47" s="12"/>
    </row>
    <row r="48" spans="1:56" ht="15">
      <c r="B48" s="515"/>
      <c r="C48" s="349"/>
      <c r="D48" s="521"/>
      <c r="E48" s="522"/>
      <c r="F48" s="294"/>
      <c r="G48" s="42"/>
      <c r="H48" s="41"/>
      <c r="I48" s="42"/>
      <c r="J48" s="290" t="s">
        <v>16</v>
      </c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15"/>
      <c r="C49" s="349"/>
      <c r="D49" s="523"/>
      <c r="E49" s="520"/>
      <c r="F49" s="294"/>
      <c r="G49" s="42"/>
      <c r="H49" s="41"/>
      <c r="I49" s="42"/>
      <c r="J49" s="291" t="s">
        <v>15</v>
      </c>
      <c r="K49" s="324"/>
      <c r="L49" s="294"/>
      <c r="M49" s="294"/>
      <c r="N49" s="294"/>
      <c r="O49" s="294"/>
      <c r="P49" s="12"/>
      <c r="BC49" s="44"/>
      <c r="BD49" s="44"/>
    </row>
    <row r="50" spans="2:57" ht="15">
      <c r="B50" s="515"/>
      <c r="C50" s="349"/>
      <c r="D50" s="521"/>
      <c r="E50" s="522"/>
      <c r="F50" s="294"/>
      <c r="G50" s="42"/>
      <c r="H50" s="41"/>
      <c r="I50" s="42"/>
      <c r="J50" s="291" t="s">
        <v>149</v>
      </c>
      <c r="K50" s="324"/>
      <c r="L50" s="294"/>
      <c r="M50" s="294"/>
      <c r="N50" s="294"/>
      <c r="O50" s="294"/>
      <c r="P50" s="12"/>
      <c r="BC50" s="44"/>
      <c r="BD50" s="44"/>
    </row>
    <row r="51" spans="2:57" ht="15.75" thickBot="1">
      <c r="B51" s="524"/>
      <c r="C51" s="350"/>
      <c r="D51" s="530"/>
      <c r="E51" s="531"/>
      <c r="F51" s="294" t="s">
        <v>166</v>
      </c>
      <c r="G51" s="42"/>
      <c r="H51" s="41"/>
      <c r="I51" s="42"/>
      <c r="J51" s="291" t="s">
        <v>148</v>
      </c>
      <c r="K51" s="324"/>
      <c r="L51" s="294"/>
      <c r="M51" s="294"/>
      <c r="N51" s="294" t="s">
        <v>41</v>
      </c>
      <c r="O51" s="294"/>
      <c r="P51" s="12"/>
      <c r="BC51" s="44"/>
      <c r="BD51" s="44"/>
    </row>
    <row r="52" spans="2:57" ht="17.649999999999999" customHeight="1" thickBot="1">
      <c r="B52" s="312" t="s">
        <v>139</v>
      </c>
      <c r="C52" s="313"/>
      <c r="D52" s="532"/>
      <c r="E52" s="533"/>
      <c r="F52" s="294"/>
      <c r="H52" s="41"/>
      <c r="I52" s="42"/>
      <c r="J52" s="295" t="s">
        <v>134</v>
      </c>
      <c r="K52" s="324"/>
      <c r="L52" s="294"/>
      <c r="M52" s="294"/>
      <c r="N52" s="294"/>
      <c r="O52" s="294"/>
      <c r="P52" s="12"/>
      <c r="BC52" s="44"/>
      <c r="BD52" s="44"/>
    </row>
    <row r="53" spans="2:57" ht="17.649999999999999" customHeight="1">
      <c r="B53" s="363"/>
      <c r="C53" s="364"/>
      <c r="D53" s="365"/>
      <c r="E53" s="365"/>
      <c r="F53" s="294"/>
      <c r="G53" s="42"/>
      <c r="H53" s="41"/>
      <c r="I53" s="42"/>
      <c r="J53" s="295" t="s">
        <v>131</v>
      </c>
      <c r="K53" s="324"/>
      <c r="L53" s="294"/>
      <c r="M53" s="294"/>
      <c r="N53" s="294"/>
      <c r="O53" s="294"/>
      <c r="P53" s="12"/>
      <c r="BC53" s="44"/>
      <c r="BD53" s="44"/>
    </row>
    <row r="54" spans="2:57" ht="15.6" customHeight="1">
      <c r="B54" s="45"/>
      <c r="C54" s="11"/>
      <c r="D54" s="11"/>
      <c r="E54" s="46"/>
      <c r="F54" s="294"/>
      <c r="G54" s="42"/>
      <c r="H54" s="41"/>
      <c r="I54" s="42"/>
      <c r="J54" s="346" t="s">
        <v>130</v>
      </c>
      <c r="K54" s="324">
        <f>SUM(K44:K53)</f>
        <v>5</v>
      </c>
      <c r="L54" s="294"/>
      <c r="M54" s="294"/>
      <c r="N54" s="294"/>
      <c r="O54" s="294"/>
      <c r="P54" s="12"/>
    </row>
    <row r="55" spans="2:57" ht="20.25" customHeight="1">
      <c r="B55" s="15" t="s">
        <v>42</v>
      </c>
      <c r="C55" s="1" t="s">
        <v>43</v>
      </c>
      <c r="D55" s="1"/>
      <c r="E55" s="1"/>
      <c r="F55" s="294"/>
      <c r="G55" s="42"/>
      <c r="H55" s="41"/>
      <c r="I55" s="42"/>
      <c r="L55" s="294"/>
      <c r="N55" s="315"/>
      <c r="P55" s="334"/>
    </row>
    <row r="56" spans="2:57" ht="15" customHeight="1" thickBot="1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1"/>
      <c r="O56" s="48"/>
      <c r="P56" s="49"/>
    </row>
    <row r="57" spans="2:57" ht="15" customHeight="1" thickBot="1">
      <c r="B57" s="534" t="s">
        <v>17</v>
      </c>
      <c r="C57" s="534" t="s">
        <v>44</v>
      </c>
      <c r="D57" s="537" t="s">
        <v>45</v>
      </c>
      <c r="E57" s="500" t="s">
        <v>46</v>
      </c>
      <c r="F57" s="509" t="s">
        <v>47</v>
      </c>
      <c r="G57" s="546" t="s">
        <v>48</v>
      </c>
      <c r="H57" s="534" t="s">
        <v>49</v>
      </c>
      <c r="I57" s="534" t="s">
        <v>50</v>
      </c>
      <c r="J57" s="540" t="s">
        <v>28</v>
      </c>
      <c r="K57" s="498" t="s">
        <v>51</v>
      </c>
      <c r="L57" s="549" t="s">
        <v>52</v>
      </c>
      <c r="M57" s="540" t="s">
        <v>53</v>
      </c>
      <c r="N57" s="13"/>
      <c r="O57" s="13"/>
      <c r="P57" s="50"/>
    </row>
    <row r="58" spans="2:57" ht="28.5" customHeight="1" thickTop="1" thickBot="1">
      <c r="B58" s="535"/>
      <c r="C58" s="536"/>
      <c r="D58" s="538"/>
      <c r="E58" s="539"/>
      <c r="F58" s="551"/>
      <c r="G58" s="547"/>
      <c r="H58" s="535"/>
      <c r="I58" s="535"/>
      <c r="J58" s="541"/>
      <c r="K58" s="548"/>
      <c r="L58" s="550"/>
      <c r="M58" s="541"/>
      <c r="N58" s="13"/>
      <c r="O58" s="13"/>
      <c r="P58" s="50"/>
      <c r="Q58" s="355"/>
      <c r="AB58" s="475">
        <v>43474</v>
      </c>
      <c r="AC58" s="475">
        <v>43475</v>
      </c>
      <c r="AD58" s="475">
        <v>43476</v>
      </c>
      <c r="AE58" s="475">
        <v>43477</v>
      </c>
      <c r="AF58" s="475">
        <v>43478</v>
      </c>
      <c r="AG58" s="475">
        <v>43479</v>
      </c>
      <c r="AH58" s="475">
        <v>43480</v>
      </c>
      <c r="AI58" s="475">
        <v>43481</v>
      </c>
      <c r="AJ58" s="475">
        <v>43482</v>
      </c>
      <c r="AK58" s="475">
        <v>43483</v>
      </c>
      <c r="AL58" s="475">
        <v>43484</v>
      </c>
      <c r="AM58" s="475">
        <v>43485</v>
      </c>
      <c r="AN58" s="475">
        <v>43486</v>
      </c>
      <c r="AO58" s="475">
        <v>43487</v>
      </c>
      <c r="AP58" s="475">
        <v>43488</v>
      </c>
      <c r="AQ58" s="475">
        <v>43489</v>
      </c>
      <c r="AR58" s="475">
        <v>43490</v>
      </c>
      <c r="AS58" s="475">
        <v>43491</v>
      </c>
      <c r="AT58" s="475">
        <v>43492</v>
      </c>
      <c r="AU58" s="475">
        <v>43493</v>
      </c>
      <c r="AV58" s="475">
        <v>43494</v>
      </c>
      <c r="AW58" s="475">
        <v>43495</v>
      </c>
      <c r="AX58" s="475">
        <v>43496</v>
      </c>
    </row>
    <row r="59" spans="2:57" s="54" customFormat="1" ht="37.15" customHeight="1" thickBot="1">
      <c r="B59" s="481"/>
      <c r="C59" s="479"/>
      <c r="D59" s="442"/>
      <c r="E59" s="443"/>
      <c r="F59" s="444"/>
      <c r="G59" s="445"/>
      <c r="H59" s="458"/>
      <c r="I59" s="458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4.25" customHeight="1" thickBot="1">
      <c r="B60" s="480"/>
      <c r="C60" s="479"/>
      <c r="D60" s="442"/>
      <c r="E60" s="443"/>
      <c r="F60" s="444"/>
      <c r="G60" s="445"/>
      <c r="H60" s="458"/>
      <c r="I60" s="458"/>
      <c r="J60" s="476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 thickBot="1">
      <c r="B61" s="480"/>
      <c r="C61" s="479"/>
      <c r="D61" s="442"/>
      <c r="E61" s="443"/>
      <c r="F61" s="444"/>
      <c r="G61" s="445"/>
      <c r="H61" s="458"/>
      <c r="I61" s="458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9.5" hidden="1" customHeight="1" thickBot="1">
      <c r="B62" s="478"/>
      <c r="C62" s="430"/>
      <c r="D62" s="431"/>
      <c r="E62" s="432"/>
      <c r="F62" s="433"/>
      <c r="G62" s="434"/>
      <c r="H62" s="458"/>
      <c r="I62" s="458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8.450000000000003" hidden="1" customHeight="1" thickBot="1">
      <c r="B63" s="480"/>
      <c r="C63" s="479"/>
      <c r="D63" s="442"/>
      <c r="E63" s="443"/>
      <c r="F63" s="444"/>
      <c r="G63" s="445"/>
      <c r="H63" s="458"/>
      <c r="I63" s="458"/>
      <c r="J63" s="448" t="s">
        <v>182</v>
      </c>
      <c r="K63" s="459"/>
      <c r="L63" s="457" t="e">
        <f>(((D63+E63)-G63)/(D63+E63))*100</f>
        <v>#DIV/0!</v>
      </c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5.75" hidden="1" thickBot="1">
      <c r="B64" s="453"/>
      <c r="C64" s="430"/>
      <c r="D64" s="431"/>
      <c r="E64" s="432"/>
      <c r="F64" s="433"/>
      <c r="G64" s="434"/>
      <c r="H64" s="435"/>
      <c r="I64" s="450"/>
      <c r="J64" s="451"/>
      <c r="K64" s="436"/>
      <c r="L64" s="452"/>
      <c r="M64" s="421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hidden="1" customHeight="1" thickBot="1">
      <c r="B65" s="480"/>
      <c r="C65" s="479"/>
      <c r="D65" s="442"/>
      <c r="E65" s="443"/>
      <c r="F65" s="444"/>
      <c r="G65" s="445"/>
      <c r="H65" s="446"/>
      <c r="I65" s="447"/>
      <c r="J65" s="448"/>
      <c r="K65" s="449"/>
      <c r="L65" s="457"/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6.5" hidden="1" customHeight="1" thickBot="1">
      <c r="B66" s="437"/>
      <c r="C66" s="423"/>
      <c r="D66" s="424"/>
      <c r="E66" s="425"/>
      <c r="F66" s="426"/>
      <c r="G66" s="427"/>
      <c r="H66" s="428"/>
      <c r="I66" s="438"/>
      <c r="J66" s="439"/>
      <c r="K66" s="429"/>
      <c r="L66" s="440"/>
      <c r="M66" s="422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15"/>
      <c r="AC66" s="415"/>
      <c r="AD66" s="415"/>
      <c r="AE66" s="415"/>
      <c r="AF66" s="415"/>
      <c r="AG66" s="415"/>
      <c r="AH66" s="415"/>
      <c r="AI66" s="415"/>
      <c r="AJ66" s="415"/>
      <c r="AK66" s="415"/>
      <c r="AL66" s="415"/>
      <c r="AM66" s="415"/>
      <c r="AN66" s="415"/>
      <c r="AO66" s="415"/>
      <c r="AP66" s="415"/>
      <c r="AQ66" s="415"/>
      <c r="AR66" s="415"/>
      <c r="AS66" s="415"/>
      <c r="AT66" s="415"/>
      <c r="AU66" s="415"/>
      <c r="AV66" s="415"/>
      <c r="AW66" s="415"/>
    </row>
    <row r="67" spans="2:57" s="54" customFormat="1" ht="37.15" hidden="1" customHeight="1" thickBot="1">
      <c r="B67" s="456"/>
      <c r="C67" s="441"/>
      <c r="D67" s="442"/>
      <c r="E67" s="443"/>
      <c r="F67" s="444"/>
      <c r="G67" s="445"/>
      <c r="H67" s="446"/>
      <c r="I67" s="447"/>
      <c r="J67" s="448"/>
      <c r="K67" s="449"/>
      <c r="L67" s="457"/>
      <c r="M67" s="454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7.15" customHeight="1">
      <c r="B68" s="466"/>
      <c r="C68" s="430"/>
      <c r="D68" s="460"/>
      <c r="E68" s="461"/>
      <c r="F68" s="462"/>
      <c r="G68" s="460"/>
      <c r="H68" s="463"/>
      <c r="I68" s="463"/>
      <c r="J68" s="463"/>
      <c r="K68" s="464"/>
      <c r="L68" s="465"/>
      <c r="M68" s="50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5.75" thickBot="1">
      <c r="B70" s="542" t="s">
        <v>55</v>
      </c>
      <c r="C70" s="543"/>
      <c r="D70" s="543"/>
      <c r="E70" s="543"/>
      <c r="F70" s="544"/>
      <c r="G70" s="542" t="s">
        <v>56</v>
      </c>
      <c r="H70" s="543"/>
      <c r="I70" s="543"/>
      <c r="J70" s="544"/>
      <c r="K70" s="542" t="s">
        <v>51</v>
      </c>
      <c r="L70" s="543"/>
      <c r="M70" s="543"/>
      <c r="N70" s="545"/>
      <c r="O70" s="56"/>
      <c r="P70" s="50"/>
    </row>
    <row r="71" spans="2:57" ht="15">
      <c r="B71" s="61" t="s">
        <v>17</v>
      </c>
      <c r="C71" s="62" t="s">
        <v>36</v>
      </c>
      <c r="D71" s="62" t="s">
        <v>37</v>
      </c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 t="s">
        <v>36</v>
      </c>
      <c r="L71" s="62" t="s">
        <v>37</v>
      </c>
      <c r="M71" s="62" t="s">
        <v>38</v>
      </c>
      <c r="N71" s="63" t="s">
        <v>39</v>
      </c>
      <c r="O71" s="56"/>
      <c r="P71" s="64"/>
    </row>
    <row r="72" spans="2:57" ht="15">
      <c r="B72" s="29" t="s">
        <v>6</v>
      </c>
      <c r="C72" s="282"/>
      <c r="D72" s="76">
        <v>6.3077303978517252</v>
      </c>
      <c r="E72" s="76">
        <v>7.7753847959870175</v>
      </c>
      <c r="F72" s="66">
        <v>4.8</v>
      </c>
      <c r="G72" s="65"/>
      <c r="H72" s="477">
        <v>6.091037325454967</v>
      </c>
      <c r="I72" s="477">
        <v>7.6226564975505697</v>
      </c>
      <c r="J72" s="66">
        <v>4.8</v>
      </c>
      <c r="K72" s="67"/>
      <c r="L72" s="194">
        <v>0.43741830788522534</v>
      </c>
      <c r="M72" s="194">
        <v>0.42021164783296172</v>
      </c>
      <c r="N72" s="68">
        <v>1</v>
      </c>
      <c r="O72" s="56"/>
      <c r="P72" s="69"/>
    </row>
    <row r="73" spans="2:57" ht="15">
      <c r="B73" s="33" t="s">
        <v>9</v>
      </c>
      <c r="C73" s="65"/>
      <c r="D73" s="76">
        <v>5.5485814712528159</v>
      </c>
      <c r="E73" s="76">
        <v>5.9933991294504168</v>
      </c>
      <c r="F73" s="66">
        <v>4.8</v>
      </c>
      <c r="G73" s="65"/>
      <c r="H73" s="76">
        <v>5.9263871453678032</v>
      </c>
      <c r="I73" s="76">
        <v>6.5827372639520458</v>
      </c>
      <c r="J73" s="66">
        <v>4.8</v>
      </c>
      <c r="K73" s="67"/>
      <c r="L73" s="194">
        <v>0.50017543859649127</v>
      </c>
      <c r="M73" s="194">
        <v>0.58881900089579098</v>
      </c>
      <c r="N73" s="68">
        <v>1</v>
      </c>
      <c r="P73" s="69"/>
    </row>
    <row r="74" spans="2:57" ht="15">
      <c r="B74" s="34" t="s">
        <v>40</v>
      </c>
      <c r="C74" s="65"/>
      <c r="D74" s="76">
        <v>11.722828666350269</v>
      </c>
      <c r="E74" s="76">
        <v>11.155100139729852</v>
      </c>
      <c r="F74" s="66">
        <v>5.5</v>
      </c>
      <c r="G74" s="65"/>
      <c r="H74" s="76">
        <v>12.537121640099599</v>
      </c>
      <c r="I74" s="76">
        <v>11.952951274961968</v>
      </c>
      <c r="J74" s="66">
        <v>5.5</v>
      </c>
      <c r="K74" s="67"/>
      <c r="L74" s="194">
        <v>0.16315789473684211</v>
      </c>
      <c r="M74" s="194">
        <v>0.42456140350877192</v>
      </c>
      <c r="N74" s="68">
        <v>1</v>
      </c>
      <c r="P74" s="69"/>
    </row>
    <row r="75" spans="2:57" ht="15">
      <c r="B75" s="22" t="s">
        <v>33</v>
      </c>
      <c r="C75" s="65"/>
      <c r="D75" s="76"/>
      <c r="E75" s="76">
        <v>5.0755456997699637</v>
      </c>
      <c r="F75" s="66">
        <v>3.3</v>
      </c>
      <c r="G75" s="65"/>
      <c r="H75" s="76"/>
      <c r="I75" s="76">
        <v>4.6359882890480018</v>
      </c>
      <c r="J75" s="66">
        <v>3.3</v>
      </c>
      <c r="K75" s="67"/>
      <c r="L75" s="194"/>
      <c r="M75" s="194">
        <v>0.66833333333333345</v>
      </c>
      <c r="N75" s="68">
        <v>1</v>
      </c>
      <c r="P75" s="69"/>
    </row>
    <row r="76" spans="2:57" ht="15">
      <c r="B76" s="35" t="s">
        <v>164</v>
      </c>
      <c r="C76" s="65"/>
      <c r="D76" s="76"/>
      <c r="E76" s="76"/>
      <c r="F76" s="66">
        <v>3.3</v>
      </c>
      <c r="G76" s="282"/>
      <c r="H76" s="76"/>
      <c r="I76" s="76"/>
      <c r="J76" s="66">
        <v>3</v>
      </c>
      <c r="K76" s="67"/>
      <c r="L76" s="194"/>
      <c r="M76" s="194"/>
      <c r="N76" s="68">
        <v>1</v>
      </c>
      <c r="P76" s="69"/>
    </row>
    <row r="77" spans="2:57" ht="15">
      <c r="B77" s="36" t="s">
        <v>15</v>
      </c>
      <c r="C77" s="65"/>
      <c r="D77" s="76"/>
      <c r="E77" s="76">
        <v>5.1105651105651271</v>
      </c>
      <c r="F77" s="70">
        <f>[11]May_2022!$M$43</f>
        <v>3.4878406700073312</v>
      </c>
      <c r="G77" s="282"/>
      <c r="H77" s="76"/>
      <c r="I77" s="76">
        <v>7.9131369535794072</v>
      </c>
      <c r="J77" s="66">
        <v>5.5</v>
      </c>
      <c r="K77" s="67"/>
      <c r="L77" s="194"/>
      <c r="M77" s="194">
        <v>1.3550877192982456</v>
      </c>
      <c r="N77" s="68">
        <v>1</v>
      </c>
      <c r="P77" s="69"/>
    </row>
    <row r="78" spans="2:57" ht="15">
      <c r="B78" s="37" t="s">
        <v>16</v>
      </c>
      <c r="C78" s="65"/>
      <c r="D78" s="76"/>
      <c r="E78" s="76">
        <v>2.0590520590520631</v>
      </c>
      <c r="F78" s="66">
        <v>3.3</v>
      </c>
      <c r="G78" s="282"/>
      <c r="H78" s="76"/>
      <c r="I78" s="76">
        <v>2.1755040108015784</v>
      </c>
      <c r="J78" s="66">
        <v>3.3</v>
      </c>
      <c r="K78" s="67"/>
      <c r="L78" s="194"/>
      <c r="M78" s="194">
        <v>0.88456140350877199</v>
      </c>
      <c r="N78" s="71">
        <v>1</v>
      </c>
      <c r="P78" s="69"/>
    </row>
    <row r="79" spans="2:57" ht="15.75" thickBot="1">
      <c r="B79" s="38" t="s">
        <v>163</v>
      </c>
      <c r="C79" s="65"/>
      <c r="D79" s="76"/>
      <c r="E79" s="76"/>
      <c r="F79" s="66">
        <v>7.5</v>
      </c>
      <c r="G79" s="282"/>
      <c r="H79" s="76"/>
      <c r="I79" s="76"/>
      <c r="J79" s="66">
        <v>7.5</v>
      </c>
      <c r="K79" s="67"/>
      <c r="L79" s="194"/>
      <c r="M79" s="194"/>
      <c r="N79" s="71">
        <v>1</v>
      </c>
      <c r="P79" s="69"/>
    </row>
    <row r="80" spans="2:57" ht="15.75" thickBot="1">
      <c r="B80" s="414" t="s">
        <v>161</v>
      </c>
      <c r="C80" s="65"/>
      <c r="D80" s="76"/>
      <c r="E80" s="76"/>
      <c r="F80" s="66">
        <v>4.8</v>
      </c>
      <c r="G80" s="282"/>
      <c r="H80" s="76"/>
      <c r="I80" s="76"/>
      <c r="J80" s="66">
        <v>4.8</v>
      </c>
      <c r="K80" s="67"/>
      <c r="L80" s="194"/>
      <c r="M80" s="194"/>
      <c r="N80" s="71">
        <v>1</v>
      </c>
      <c r="O80" s="74"/>
      <c r="P80" s="75"/>
    </row>
    <row r="81" spans="4:14" ht="15">
      <c r="D81" s="76">
        <v>6.7020433204654744</v>
      </c>
      <c r="E81" s="76">
        <v>6.8608119845257924</v>
      </c>
      <c r="F81" s="341">
        <v>5.5</v>
      </c>
      <c r="H81" s="76">
        <v>6.8662665620993932</v>
      </c>
      <c r="I81" s="76">
        <v>7.0080671644557766</v>
      </c>
      <c r="J81" s="341">
        <v>5.5</v>
      </c>
      <c r="L81" s="194">
        <v>0.40831140350877193</v>
      </c>
      <c r="M81" s="194">
        <v>0.52897680984069362</v>
      </c>
      <c r="N81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8:N28"/>
    <mergeCell ref="D29:E29"/>
    <mergeCell ref="B30:B41"/>
    <mergeCell ref="D30:E31"/>
    <mergeCell ref="D32:E33"/>
    <mergeCell ref="D34:E35"/>
    <mergeCell ref="D36:E37"/>
    <mergeCell ref="D38:E39"/>
    <mergeCell ref="D40:E41"/>
    <mergeCell ref="B42:B51"/>
    <mergeCell ref="D42:E43"/>
    <mergeCell ref="J42:K42"/>
    <mergeCell ref="L43:N43"/>
    <mergeCell ref="D44:E45"/>
    <mergeCell ref="D46:E47"/>
    <mergeCell ref="D48:E49"/>
    <mergeCell ref="D50:E51"/>
    <mergeCell ref="D52:E52"/>
    <mergeCell ref="B57:B58"/>
    <mergeCell ref="C57:C58"/>
    <mergeCell ref="D57:D58"/>
    <mergeCell ref="E57:E58"/>
    <mergeCell ref="M57:M58"/>
    <mergeCell ref="B70:F70"/>
    <mergeCell ref="G70:J70"/>
    <mergeCell ref="K70:N70"/>
    <mergeCell ref="G57:G58"/>
    <mergeCell ref="H57:H58"/>
    <mergeCell ref="I57:I58"/>
    <mergeCell ref="J57:J58"/>
    <mergeCell ref="K57:K58"/>
    <mergeCell ref="L57:L58"/>
    <mergeCell ref="F57:F58"/>
  </mergeCells>
  <conditionalFormatting sqref="B52:B53">
    <cfRule type="cellIs" dxfId="2220" priority="48" operator="notBetween">
      <formula>#REF!</formula>
      <formula>#REF!</formula>
    </cfRule>
  </conditionalFormatting>
  <conditionalFormatting sqref="C56">
    <cfRule type="cellIs" dxfId="2219" priority="161" stopIfTrue="1" operator="lessThan">
      <formula>96</formula>
    </cfRule>
    <cfRule type="cellIs" dxfId="2218" priority="162" stopIfTrue="1" operator="greaterThan">
      <formula>100</formula>
    </cfRule>
  </conditionalFormatting>
  <conditionalFormatting sqref="C72:C76">
    <cfRule type="cellIs" dxfId="2217" priority="119" stopIfTrue="1" operator="lessThanOrEqual">
      <formula>0</formula>
    </cfRule>
  </conditionalFormatting>
  <conditionalFormatting sqref="C72:C80">
    <cfRule type="cellIs" dxfId="2216" priority="118" stopIfTrue="1" operator="greaterThan">
      <formula>$F72</formula>
    </cfRule>
  </conditionalFormatting>
  <conditionalFormatting sqref="C73">
    <cfRule type="cellIs" dxfId="2215" priority="165" stopIfTrue="1" operator="greaterThan">
      <formula>$F72</formula>
    </cfRule>
  </conditionalFormatting>
  <conditionalFormatting sqref="C77">
    <cfRule type="cellIs" dxfId="2214" priority="73" stopIfTrue="1" operator="greaterThan">
      <formula>$F76</formula>
    </cfRule>
    <cfRule type="cellIs" dxfId="2213" priority="72" stopIfTrue="1" operator="lessThanOrEqual">
      <formula>0</formula>
    </cfRule>
  </conditionalFormatting>
  <conditionalFormatting sqref="C83:C87">
    <cfRule type="cellIs" dxfId="2212" priority="153" stopIfTrue="1" operator="lessThanOrEqual">
      <formula>0</formula>
    </cfRule>
  </conditionalFormatting>
  <conditionalFormatting sqref="C84:C87">
    <cfRule type="cellIs" dxfId="2211" priority="152" stopIfTrue="1" operator="greaterThan">
      <formula>$F$83</formula>
    </cfRule>
  </conditionalFormatting>
  <conditionalFormatting sqref="C89">
    <cfRule type="cellIs" dxfId="2210" priority="155" stopIfTrue="1" operator="lessThanOrEqual">
      <formula>0</formula>
    </cfRule>
    <cfRule type="cellIs" dxfId="2209" priority="154" stopIfTrue="1" operator="greaterThan">
      <formula>$F$83</formula>
    </cfRule>
  </conditionalFormatting>
  <conditionalFormatting sqref="C83:D83 D85:D91">
    <cfRule type="cellIs" dxfId="2208" priority="147" stopIfTrue="1" operator="greaterThan">
      <formula>4.5</formula>
    </cfRule>
  </conditionalFormatting>
  <conditionalFormatting sqref="D52:D53">
    <cfRule type="cellIs" dxfId="2207" priority="49" operator="notBetween">
      <formula>#REF!</formula>
      <formula>#REF!</formula>
    </cfRule>
  </conditionalFormatting>
  <conditionalFormatting sqref="D72:D79">
    <cfRule type="cellIs" dxfId="2206" priority="127" stopIfTrue="1" operator="lessThanOrEqual">
      <formula>0</formula>
    </cfRule>
  </conditionalFormatting>
  <conditionalFormatting sqref="D83 D85:D91">
    <cfRule type="cellIs" dxfId="2205" priority="148" stopIfTrue="1" operator="lessThanOrEqual">
      <formula>0</formula>
    </cfRule>
  </conditionalFormatting>
  <conditionalFormatting sqref="D84">
    <cfRule type="cellIs" dxfId="2204" priority="139" stopIfTrue="1" operator="greaterThan">
      <formula>$F$83</formula>
    </cfRule>
    <cfRule type="cellIs" dxfId="2203" priority="140" stopIfTrue="1" operator="lessThanOrEqual">
      <formula>0</formula>
    </cfRule>
  </conditionalFormatting>
  <conditionalFormatting sqref="D72:E81">
    <cfRule type="cellIs" dxfId="2202" priority="116" stopIfTrue="1" operator="greaterThan">
      <formula>$F72</formula>
    </cfRule>
  </conditionalFormatting>
  <conditionalFormatting sqref="D80:E80">
    <cfRule type="cellIs" dxfId="2201" priority="126" stopIfTrue="1" operator="lessThanOrEqual">
      <formula>0</formula>
    </cfRule>
  </conditionalFormatting>
  <conditionalFormatting sqref="D81:E81">
    <cfRule type="cellIs" dxfId="2200" priority="117" stopIfTrue="1" operator="lessThanOrEqual">
      <formula>0</formula>
    </cfRule>
  </conditionalFormatting>
  <conditionalFormatting sqref="E10:E27">
    <cfRule type="cellIs" dxfId="2199" priority="6" operator="lessThan">
      <formula>48</formula>
    </cfRule>
  </conditionalFormatting>
  <conditionalFormatting sqref="E55 E56:F56">
    <cfRule type="cellIs" dxfId="2198" priority="144" stopIfTrue="1" operator="greaterThan">
      <formula>100</formula>
    </cfRule>
  </conditionalFormatting>
  <conditionalFormatting sqref="E56">
    <cfRule type="cellIs" dxfId="2197" priority="142" stopIfTrue="1" operator="greaterThan">
      <formula>100</formula>
    </cfRule>
    <cfRule type="cellIs" dxfId="2196" priority="141" stopIfTrue="1" operator="lessThan">
      <formula>96.8</formula>
    </cfRule>
  </conditionalFormatting>
  <conditionalFormatting sqref="E72:E79">
    <cfRule type="cellIs" dxfId="2195" priority="26" stopIfTrue="1" operator="lessThanOrEqual">
      <formula>0</formula>
    </cfRule>
  </conditionalFormatting>
  <conditionalFormatting sqref="E72:E80">
    <cfRule type="cellIs" dxfId="2194" priority="123" stopIfTrue="1" operator="lessThanOrEqual">
      <formula>0</formula>
    </cfRule>
  </conditionalFormatting>
  <conditionalFormatting sqref="E83:E91">
    <cfRule type="cellIs" dxfId="2193" priority="134" stopIfTrue="1" operator="lessThanOrEqual">
      <formula>0</formula>
    </cfRule>
    <cfRule type="cellIs" dxfId="2192" priority="133" stopIfTrue="1" operator="greaterThan">
      <formula>4.5</formula>
    </cfRule>
  </conditionalFormatting>
  <conditionalFormatting sqref="E56:F56 E55">
    <cfRule type="cellIs" dxfId="2191" priority="143" stopIfTrue="1" operator="lessThan">
      <formula>96.5</formula>
    </cfRule>
  </conditionalFormatting>
  <conditionalFormatting sqref="F12:F15">
    <cfRule type="cellIs" dxfId="2190" priority="7" operator="greaterThan">
      <formula>60</formula>
    </cfRule>
  </conditionalFormatting>
  <conditionalFormatting sqref="F19:F24 F26:F27">
    <cfRule type="cellIs" dxfId="2189" priority="34" operator="greaterThan">
      <formula>60</formula>
    </cfRule>
  </conditionalFormatting>
  <conditionalFormatting sqref="F56">
    <cfRule type="cellIs" dxfId="2188" priority="159" stopIfTrue="1" operator="lessThan">
      <formula>96.8</formula>
    </cfRule>
    <cfRule type="cellIs" dxfId="2187" priority="160" stopIfTrue="1" operator="greaterThan">
      <formula>100</formula>
    </cfRule>
  </conditionalFormatting>
  <conditionalFormatting sqref="F81">
    <cfRule type="cellIs" dxfId="2186" priority="124" stopIfTrue="1" operator="greaterThan">
      <formula>$F81</formula>
    </cfRule>
    <cfRule type="cellIs" dxfId="2185" priority="125" stopIfTrue="1" operator="lessThanOrEqual">
      <formula>0</formula>
    </cfRule>
  </conditionalFormatting>
  <conditionalFormatting sqref="G10:G26">
    <cfRule type="expression" dxfId="2184" priority="9">
      <formula>IF(+(IF(G10&lt;S10,0,IF(G10&gt;T10,0,1)))=0,1)</formula>
    </cfRule>
  </conditionalFormatting>
  <conditionalFormatting sqref="G72:G73 C78:C80">
    <cfRule type="cellIs" dxfId="2183" priority="129" stopIfTrue="1" operator="lessThanOrEqual">
      <formula>0</formula>
    </cfRule>
  </conditionalFormatting>
  <conditionalFormatting sqref="G72:G73">
    <cfRule type="cellIs" dxfId="2182" priority="121" stopIfTrue="1" operator="lessThanOrEqual">
      <formula>0</formula>
    </cfRule>
    <cfRule type="cellIs" dxfId="2181" priority="120" stopIfTrue="1" operator="greaterThan">
      <formula>$F72</formula>
    </cfRule>
    <cfRule type="cellIs" dxfId="2180" priority="128" stopIfTrue="1" operator="greaterThan">
      <formula>$F72</formula>
    </cfRule>
  </conditionalFormatting>
  <conditionalFormatting sqref="G74">
    <cfRule type="cellIs" dxfId="2179" priority="164" stopIfTrue="1" operator="lessThanOrEqual">
      <formula>0</formula>
    </cfRule>
    <cfRule type="cellIs" dxfId="2178" priority="163" stopIfTrue="1" operator="greaterThan">
      <formula>$F73</formula>
    </cfRule>
  </conditionalFormatting>
  <conditionalFormatting sqref="G75">
    <cfRule type="cellIs" dxfId="2177" priority="44" stopIfTrue="1" operator="greaterThan">
      <formula>$F75</formula>
    </cfRule>
    <cfRule type="cellIs" dxfId="2176" priority="45" stopIfTrue="1" operator="lessThanOrEqual">
      <formula>0</formula>
    </cfRule>
    <cfRule type="cellIs" dxfId="2175" priority="46" stopIfTrue="1" operator="greaterThan">
      <formula>$F75</formula>
    </cfRule>
    <cfRule type="cellIs" dxfId="2174" priority="47" stopIfTrue="1" operator="lessThanOrEqual">
      <formula>0</formula>
    </cfRule>
  </conditionalFormatting>
  <conditionalFormatting sqref="G76:G80">
    <cfRule type="cellIs" dxfId="2173" priority="131" stopIfTrue="1" operator="lessThanOrEqual">
      <formula>0</formula>
    </cfRule>
    <cfRule type="cellIs" dxfId="2172" priority="130" stopIfTrue="1" operator="greaterThan">
      <formula>$J76</formula>
    </cfRule>
  </conditionalFormatting>
  <conditionalFormatting sqref="G85:G90 C88 C90">
    <cfRule type="cellIs" dxfId="2171" priority="157" stopIfTrue="1" operator="lessThanOrEqual">
      <formula>0</formula>
    </cfRule>
    <cfRule type="cellIs" dxfId="2170" priority="156" stopIfTrue="1" operator="greaterThan">
      <formula>4.5</formula>
    </cfRule>
  </conditionalFormatting>
  <conditionalFormatting sqref="G84:H84">
    <cfRule type="cellIs" dxfId="2169" priority="137" stopIfTrue="1" operator="greaterThan">
      <formula>$F$83</formula>
    </cfRule>
    <cfRule type="cellIs" dxfId="2168" priority="138" stopIfTrue="1" operator="lessThanOrEqual">
      <formula>0</formula>
    </cfRule>
  </conditionalFormatting>
  <conditionalFormatting sqref="H10:H26 G27:H27">
    <cfRule type="expression" dxfId="2167" priority="41">
      <formula>IF(+(IF(G10&lt;#REF!,0,IF(G10&gt;#REF!,0,1)))=0,1)</formula>
    </cfRule>
  </conditionalFormatting>
  <conditionalFormatting sqref="H41:H55">
    <cfRule type="cellIs" dxfId="2166" priority="135" stopIfTrue="1" operator="greaterThan">
      <formula>0</formula>
    </cfRule>
  </conditionalFormatting>
  <conditionalFormatting sqref="H59:H63">
    <cfRule type="cellIs" dxfId="2165" priority="23" stopIfTrue="1" operator="lessThanOrEqual">
      <formula>0</formula>
    </cfRule>
    <cfRule type="cellIs" dxfId="2164" priority="22" stopIfTrue="1" operator="greaterThan">
      <formula>$F$75</formula>
    </cfRule>
    <cfRule type="cellIs" dxfId="2163" priority="13" stopIfTrue="1" operator="lessThanOrEqual">
      <formula>0</formula>
    </cfRule>
    <cfRule type="cellIs" dxfId="2162" priority="14" stopIfTrue="1" operator="greaterThan">
      <formula>$F$72</formula>
    </cfRule>
    <cfRule type="cellIs" dxfId="2161" priority="24" stopIfTrue="1" operator="greaterThan">
      <formula>$F$73</formula>
    </cfRule>
    <cfRule type="cellIs" dxfId="2160" priority="25" stopIfTrue="1" operator="lessThanOrEqual">
      <formula>0</formula>
    </cfRule>
  </conditionalFormatting>
  <conditionalFormatting sqref="H64:H65">
    <cfRule type="cellIs" dxfId="2159" priority="85" stopIfTrue="1" operator="lessThanOrEqual">
      <formula>0</formula>
    </cfRule>
    <cfRule type="cellIs" dxfId="2158" priority="84" stopIfTrue="1" operator="greaterThan">
      <formula>$F$27</formula>
    </cfRule>
    <cfRule type="cellIs" dxfId="2157" priority="75" stopIfTrue="1" operator="lessThanOrEqual">
      <formula>0</formula>
    </cfRule>
    <cfRule type="cellIs" dxfId="2156" priority="86" stopIfTrue="1" operator="greaterThan">
      <formula>#REF!</formula>
    </cfRule>
    <cfRule type="cellIs" dxfId="2155" priority="87" stopIfTrue="1" operator="lessThanOrEqual">
      <formula>0</formula>
    </cfRule>
    <cfRule type="cellIs" dxfId="2154" priority="76" stopIfTrue="1" operator="greaterThan">
      <formula>#REF!</formula>
    </cfRule>
  </conditionalFormatting>
  <conditionalFormatting sqref="H66">
    <cfRule type="cellIs" dxfId="2153" priority="91" stopIfTrue="1" operator="greaterThan">
      <formula>$F$40</formula>
    </cfRule>
    <cfRule type="cellIs" dxfId="2152" priority="102" stopIfTrue="1" operator="lessThanOrEqual">
      <formula>0</formula>
    </cfRule>
    <cfRule type="cellIs" dxfId="2151" priority="101" stopIfTrue="1" operator="greaterThan">
      <formula>$F$41</formula>
    </cfRule>
    <cfRule type="cellIs" dxfId="2150" priority="100" stopIfTrue="1" operator="lessThanOrEqual">
      <formula>0</formula>
    </cfRule>
    <cfRule type="cellIs" dxfId="2149" priority="99" stopIfTrue="1" operator="greaterThan">
      <formula>$F$43</formula>
    </cfRule>
    <cfRule type="cellIs" dxfId="2148" priority="90" stopIfTrue="1" operator="lessThanOrEqual">
      <formula>0</formula>
    </cfRule>
  </conditionalFormatting>
  <conditionalFormatting sqref="H67:H68">
    <cfRule type="cellIs" dxfId="2147" priority="68" stopIfTrue="1" operator="greaterThan">
      <formula>$F$27</formula>
    </cfRule>
    <cfRule type="cellIs" dxfId="2146" priority="69" stopIfTrue="1" operator="lessThanOrEqual">
      <formula>0</formula>
    </cfRule>
    <cfRule type="cellIs" dxfId="2145" priority="71" stopIfTrue="1" operator="lessThanOrEqual">
      <formula>0</formula>
    </cfRule>
    <cfRule type="cellIs" dxfId="2144" priority="70" stopIfTrue="1" operator="greaterThan">
      <formula>#REF!</formula>
    </cfRule>
    <cfRule type="cellIs" dxfId="2143" priority="59" stopIfTrue="1" operator="lessThanOrEqual">
      <formula>0</formula>
    </cfRule>
    <cfRule type="cellIs" dxfId="2142" priority="60" stopIfTrue="1" operator="greaterThan">
      <formula>#REF!</formula>
    </cfRule>
  </conditionalFormatting>
  <conditionalFormatting sqref="H83 H85:H91">
    <cfRule type="cellIs" dxfId="2141" priority="150" stopIfTrue="1" operator="lessThanOrEqual">
      <formula>0</formula>
    </cfRule>
    <cfRule type="cellIs" dxfId="2140" priority="149" stopIfTrue="1" operator="greaterThan">
      <formula>4.5</formula>
    </cfRule>
  </conditionalFormatting>
  <conditionalFormatting sqref="H59:I63">
    <cfRule type="cellIs" dxfId="2139" priority="15" stopIfTrue="1" operator="lessThanOrEqual">
      <formula>0</formula>
    </cfRule>
    <cfRule type="cellIs" dxfId="2138" priority="12" stopIfTrue="1" operator="greaterThan">
      <formula>$F$74</formula>
    </cfRule>
  </conditionalFormatting>
  <conditionalFormatting sqref="H64:I65">
    <cfRule type="cellIs" dxfId="2137" priority="77" stopIfTrue="1" operator="lessThanOrEqual">
      <formula>0</formula>
    </cfRule>
    <cfRule type="cellIs" dxfId="2136" priority="74" stopIfTrue="1" operator="greaterThan">
      <formula>#REF!</formula>
    </cfRule>
  </conditionalFormatting>
  <conditionalFormatting sqref="H66:I66">
    <cfRule type="cellIs" dxfId="2135" priority="92" stopIfTrue="1" operator="lessThanOrEqual">
      <formula>0</formula>
    </cfRule>
    <cfRule type="cellIs" dxfId="2134" priority="89" stopIfTrue="1" operator="greaterThan">
      <formula>$F$42</formula>
    </cfRule>
  </conditionalFormatting>
  <conditionalFormatting sqref="H67:I68">
    <cfRule type="cellIs" dxfId="2133" priority="61" stopIfTrue="1" operator="lessThanOrEqual">
      <formula>0</formula>
    </cfRule>
    <cfRule type="cellIs" dxfId="2132" priority="58" stopIfTrue="1" operator="greaterThan">
      <formula>#REF!</formula>
    </cfRule>
  </conditionalFormatting>
  <conditionalFormatting sqref="H72:I79">
    <cfRule type="cellIs" dxfId="2131" priority="39" stopIfTrue="1" operator="greaterThan">
      <formula>$J72</formula>
    </cfRule>
    <cfRule type="cellIs" dxfId="2130" priority="40" stopIfTrue="1" operator="lessThanOrEqual">
      <formula>0</formula>
    </cfRule>
  </conditionalFormatting>
  <conditionalFormatting sqref="H80:I80">
    <cfRule type="cellIs" dxfId="2129" priority="122" operator="greaterThan">
      <formula>5.3</formula>
    </cfRule>
  </conditionalFormatting>
  <conditionalFormatting sqref="H81:I81">
    <cfRule type="cellIs" dxfId="2128" priority="114" stopIfTrue="1" operator="greaterThan">
      <formula>$J81</formula>
    </cfRule>
    <cfRule type="cellIs" dxfId="2127" priority="115" stopIfTrue="1" operator="lessThanOrEqual">
      <formula>0</formula>
    </cfRule>
  </conditionalFormatting>
  <conditionalFormatting sqref="I59:I63">
    <cfRule type="cellIs" dxfId="2126" priority="18" stopIfTrue="1" operator="greaterThan">
      <formula>$F$74</formula>
    </cfRule>
    <cfRule type="cellIs" dxfId="2125" priority="19" stopIfTrue="1" operator="lessThanOrEqual">
      <formula>0</formula>
    </cfRule>
    <cfRule type="cellIs" dxfId="2124" priority="21" stopIfTrue="1" operator="lessThanOrEqual">
      <formula>0</formula>
    </cfRule>
    <cfRule type="cellIs" dxfId="2123" priority="16" stopIfTrue="1" operator="greaterThan">
      <formula>$F$72</formula>
    </cfRule>
    <cfRule type="cellIs" dxfId="2122" priority="17" stopIfTrue="1" operator="lessThanOrEqual">
      <formula>0</formula>
    </cfRule>
    <cfRule type="cellIs" dxfId="2121" priority="20" stopIfTrue="1" operator="greaterThan">
      <formula>$F$72</formula>
    </cfRule>
  </conditionalFormatting>
  <conditionalFormatting sqref="I64:I65">
    <cfRule type="cellIs" dxfId="2120" priority="82" stopIfTrue="1" operator="greaterThan">
      <formula>#REF!</formula>
    </cfRule>
    <cfRule type="cellIs" dxfId="2119" priority="81" stopIfTrue="1" operator="lessThanOrEqual">
      <formula>0</formula>
    </cfRule>
    <cfRule type="cellIs" dxfId="2118" priority="80" stopIfTrue="1" operator="greaterThan">
      <formula>#REF!</formula>
    </cfRule>
    <cfRule type="cellIs" dxfId="2117" priority="79" stopIfTrue="1" operator="lessThanOrEqual">
      <formula>0</formula>
    </cfRule>
    <cfRule type="cellIs" dxfId="2116" priority="83" stopIfTrue="1" operator="lessThanOrEqual">
      <formula>0</formula>
    </cfRule>
    <cfRule type="cellIs" dxfId="2115" priority="78" stopIfTrue="1" operator="greaterThan">
      <formula>#REF!</formula>
    </cfRule>
  </conditionalFormatting>
  <conditionalFormatting sqref="I66">
    <cfRule type="cellIs" dxfId="2114" priority="95" stopIfTrue="1" operator="greaterThan">
      <formula>$F$42</formula>
    </cfRule>
    <cfRule type="cellIs" dxfId="2113" priority="96" stopIfTrue="1" operator="lessThanOrEqual">
      <formula>0</formula>
    </cfRule>
    <cfRule type="cellIs" dxfId="2112" priority="97" stopIfTrue="1" operator="greaterThan">
      <formula>$F$40</formula>
    </cfRule>
    <cfRule type="cellIs" dxfId="2111" priority="98" stopIfTrue="1" operator="lessThanOrEqual">
      <formula>0</formula>
    </cfRule>
    <cfRule type="cellIs" dxfId="2110" priority="93" stopIfTrue="1" operator="greaterThan">
      <formula>$F$40</formula>
    </cfRule>
    <cfRule type="cellIs" dxfId="2109" priority="94" stopIfTrue="1" operator="lessThanOrEqual">
      <formula>0</formula>
    </cfRule>
  </conditionalFormatting>
  <conditionalFormatting sqref="I67:I68">
    <cfRule type="cellIs" dxfId="2108" priority="67" stopIfTrue="1" operator="lessThanOrEqual">
      <formula>0</formula>
    </cfRule>
    <cfRule type="cellIs" dxfId="2107" priority="66" stopIfTrue="1" operator="greaterThan">
      <formula>#REF!</formula>
    </cfRule>
    <cfRule type="cellIs" dxfId="2106" priority="65" stopIfTrue="1" operator="lessThanOrEqual">
      <formula>0</formula>
    </cfRule>
    <cfRule type="cellIs" dxfId="2105" priority="64" stopIfTrue="1" operator="greaterThan">
      <formula>#REF!</formula>
    </cfRule>
    <cfRule type="cellIs" dxfId="2104" priority="62" stopIfTrue="1" operator="greaterThan">
      <formula>#REF!</formula>
    </cfRule>
    <cfRule type="cellIs" dxfId="2103" priority="63" stopIfTrue="1" operator="lessThanOrEqual">
      <formula>0</formula>
    </cfRule>
  </conditionalFormatting>
  <conditionalFormatting sqref="I83:I91">
    <cfRule type="cellIs" dxfId="2102" priority="145" stopIfTrue="1" operator="greaterThan">
      <formula>4.5</formula>
    </cfRule>
    <cfRule type="cellIs" dxfId="2101" priority="146" stopIfTrue="1" operator="lessThanOrEqual">
      <formula>0</formula>
    </cfRule>
  </conditionalFormatting>
  <conditionalFormatting sqref="I10:J27">
    <cfRule type="cellIs" dxfId="2100" priority="2" operator="lessThan">
      <formula>97.9</formula>
    </cfRule>
  </conditionalFormatting>
  <conditionalFormatting sqref="J32">
    <cfRule type="cellIs" dxfId="2099" priority="106" operator="lessThan">
      <formula>98</formula>
    </cfRule>
    <cfRule type="cellIs" dxfId="2098" priority="104" stopIfTrue="1" operator="lessThan">
      <formula>96.8</formula>
    </cfRule>
    <cfRule type="cellIs" dxfId="2097" priority="105" stopIfTrue="1" operator="greaterThan">
      <formula>100</formula>
    </cfRule>
  </conditionalFormatting>
  <conditionalFormatting sqref="J32:J34">
    <cfRule type="cellIs" dxfId="2096" priority="103" operator="lessThan">
      <formula>97.4</formula>
    </cfRule>
  </conditionalFormatting>
  <conditionalFormatting sqref="J35:J36">
    <cfRule type="cellIs" dxfId="2095" priority="107" operator="lessThan">
      <formula>98</formula>
    </cfRule>
  </conditionalFormatting>
  <conditionalFormatting sqref="J37:J38">
    <cfRule type="cellIs" dxfId="2094" priority="108" stopIfTrue="1" operator="lessThan">
      <formula>96.8</formula>
    </cfRule>
    <cfRule type="cellIs" dxfId="2093" priority="109" stopIfTrue="1" operator="greaterThan">
      <formula>100</formula>
    </cfRule>
  </conditionalFormatting>
  <conditionalFormatting sqref="J37:J39">
    <cfRule type="cellIs" dxfId="2092" priority="110" operator="lessThan">
      <formula>98</formula>
    </cfRule>
  </conditionalFormatting>
  <conditionalFormatting sqref="J68">
    <cfRule type="cellIs" dxfId="2091" priority="57" stopIfTrue="1" operator="lessThanOrEqual">
      <formula>0</formula>
    </cfRule>
    <cfRule type="cellIs" dxfId="2090" priority="56" stopIfTrue="1" operator="greaterThan">
      <formula>#REF!</formula>
    </cfRule>
    <cfRule type="cellIs" dxfId="2089" priority="52" stopIfTrue="1" operator="greaterThan">
      <formula>#REF!</formula>
    </cfRule>
    <cfRule type="cellIs" dxfId="2088" priority="53" stopIfTrue="1" operator="lessThanOrEqual">
      <formula>0</formula>
    </cfRule>
    <cfRule type="cellIs" dxfId="2087" priority="54" stopIfTrue="1" operator="greaterThan">
      <formula>#REF!</formula>
    </cfRule>
    <cfRule type="cellIs" dxfId="2086" priority="55" stopIfTrue="1" operator="lessThanOrEqual">
      <formula>0</formula>
    </cfRule>
    <cfRule type="cellIs" dxfId="2085" priority="51" stopIfTrue="1" operator="lessThanOrEqual">
      <formula>0</formula>
    </cfRule>
    <cfRule type="cellIs" dxfId="2084" priority="50" stopIfTrue="1" operator="greaterThan">
      <formula>#REF!</formula>
    </cfRule>
  </conditionalFormatting>
  <conditionalFormatting sqref="J81">
    <cfRule type="cellIs" dxfId="2083" priority="111" stopIfTrue="1" operator="greaterThan">
      <formula>$F81</formula>
    </cfRule>
    <cfRule type="cellIs" dxfId="2082" priority="112" stopIfTrue="1" operator="lessThanOrEqual">
      <formula>0</formula>
    </cfRule>
  </conditionalFormatting>
  <conditionalFormatting sqref="K10:K27">
    <cfRule type="cellIs" dxfId="2081" priority="5" operator="greaterThan">
      <formula>6.4</formula>
    </cfRule>
    <cfRule type="cellIs" dxfId="2080" priority="4" operator="lessThan">
      <formula>4</formula>
    </cfRule>
    <cfRule type="cellIs" dxfId="2079" priority="3" operator="greaterThan">
      <formula>6</formula>
    </cfRule>
  </conditionalFormatting>
  <conditionalFormatting sqref="K59:K68">
    <cfRule type="cellIs" dxfId="2078" priority="27" stopIfTrue="1" operator="lessThan">
      <formula>100%</formula>
    </cfRule>
  </conditionalFormatting>
  <conditionalFormatting sqref="K83:K88">
    <cfRule type="cellIs" dxfId="2077" priority="151" stopIfTrue="1" operator="lessThan">
      <formula>100%</formula>
    </cfRule>
  </conditionalFormatting>
  <conditionalFormatting sqref="K90:K91">
    <cfRule type="cellIs" dxfId="2076" priority="158" stopIfTrue="1" operator="lessThan">
      <formula>100%</formula>
    </cfRule>
  </conditionalFormatting>
  <conditionalFormatting sqref="K72:N80">
    <cfRule type="cellIs" dxfId="2075" priority="88" stopIfTrue="1" operator="lessThan">
      <formula>100%</formula>
    </cfRule>
  </conditionalFormatting>
  <conditionalFormatting sqref="L10:L27">
    <cfRule type="cellIs" dxfId="2074" priority="11" operator="greaterThan">
      <formula>65</formula>
    </cfRule>
    <cfRule type="cellIs" dxfId="2073" priority="10" operator="between">
      <formula>61</formula>
      <formula>65</formula>
    </cfRule>
  </conditionalFormatting>
  <conditionalFormatting sqref="L30:M41">
    <cfRule type="cellIs" dxfId="2072" priority="42" operator="lessThan">
      <formula>97.95</formula>
    </cfRule>
  </conditionalFormatting>
  <conditionalFormatting sqref="L45:N45">
    <cfRule type="cellIs" dxfId="2071" priority="43" operator="notEqual">
      <formula>#REF!</formula>
    </cfRule>
  </conditionalFormatting>
  <conditionalFormatting sqref="L81:N81">
    <cfRule type="cellIs" dxfId="2070" priority="113" stopIfTrue="1" operator="lessThan">
      <formula>100%</formula>
    </cfRule>
  </conditionalFormatting>
  <conditionalFormatting sqref="L83:N91">
    <cfRule type="cellIs" dxfId="2069" priority="136" stopIfTrue="1" operator="lessThan">
      <formula>100%</formula>
    </cfRule>
  </conditionalFormatting>
  <conditionalFormatting sqref="M10:M26">
    <cfRule type="expression" dxfId="2068" priority="8">
      <formula>IF(+(IF(M10&lt;U10,0,IF(M10&gt;V10,0,1)))=0,1)</formula>
    </cfRule>
  </conditionalFormatting>
  <conditionalFormatting sqref="M27:N27">
    <cfRule type="expression" dxfId="2067" priority="166">
      <formula>IF(+(IF(M27&lt;#REF!,0,IF(M27&gt;#REF!,0,1)))=0,1)</formula>
    </cfRule>
  </conditionalFormatting>
  <conditionalFormatting sqref="N10:N26">
    <cfRule type="expression" dxfId="2066" priority="1">
      <formula>IF(+(IF(N10&lt;W10,0,IF(N10&gt;X10,0,1)))=0,1)</formula>
    </cfRule>
  </conditionalFormatting>
  <conditionalFormatting sqref="P6">
    <cfRule type="cellIs" dxfId="2065" priority="132" operator="greaterThanOrEqual">
      <formula>19</formula>
    </cfRule>
  </conditionalFormatting>
  <dataValidations count="1">
    <dataValidation type="list" allowBlank="1" showInputMessage="1" showErrorMessage="1" sqref="R8" xr:uid="{A4D77DA9-F084-41AC-9440-6B52F6CFBA5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CCC5-E300-4125-A51F-74407A73176B}">
  <sheetPr>
    <pageSetUpPr fitToPage="1"/>
  </sheetPr>
  <dimension ref="A1:BE78"/>
  <sheetViews>
    <sheetView zoomScale="80" zoomScaleNormal="80" workbookViewId="0">
      <selection activeCell="M34" sqref="M34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46065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34" t="s">
        <v>12</v>
      </c>
      <c r="C10" s="366" t="str">
        <f>[6]Brewhouse!$A28</f>
        <v>GU012</v>
      </c>
      <c r="D10" s="279">
        <f>[6]Brewhouse!$AF28</f>
        <v>63</v>
      </c>
      <c r="E10" s="279">
        <f>[6]Brewhouse!$AI28</f>
        <v>58.8</v>
      </c>
      <c r="F10" s="278">
        <f>[6]Brewhouse!$V28</f>
        <v>72</v>
      </c>
      <c r="G10" s="279">
        <f>[6]Brewhouse!$AG28</f>
        <v>17</v>
      </c>
      <c r="H10" s="396"/>
      <c r="I10" s="484">
        <f>[6]Brewhouse!$AU28</f>
        <v>91.893952811328091</v>
      </c>
      <c r="J10" s="484">
        <f>[6]Brewhouse!$AV28</f>
        <v>92.908786210198684</v>
      </c>
      <c r="K10" s="485">
        <f>[6]Brewhouse!$R28</f>
        <v>-14.033149171270729</v>
      </c>
      <c r="L10" s="276">
        <f>[6]Brewhouse!$O28</f>
        <v>45</v>
      </c>
      <c r="M10" s="374">
        <f>[6]Brewhouse!$U28-[6]Brewhouse!$T28</f>
        <v>0.19861111111111113</v>
      </c>
      <c r="N10" s="370">
        <f>[6]Brewhouse!$Z28</f>
        <v>0.35972222222222222</v>
      </c>
      <c r="O10" s="420" t="str">
        <f>[6]Brewhouse!$AW28</f>
        <v>R. Regis</v>
      </c>
      <c r="P10" s="418"/>
      <c r="R10" s="277" t="str">
        <f t="shared" ref="R10:R35" si="0">B10</f>
        <v>GUINNESS</v>
      </c>
      <c r="S10" s="472">
        <f t="shared" ref="S10:S35" si="1">VLOOKUP($B10,$R$3:$X$9,2,FALSE)</f>
        <v>17</v>
      </c>
      <c r="T10" s="472">
        <f t="shared" ref="T10:T35" si="2">VLOOKUP($B10,$R$3:$X$9,3,FALSE)</f>
        <v>17.5</v>
      </c>
      <c r="U10" s="297">
        <f t="shared" ref="U10:U35" si="3">VLOOKUP($B10,$R$3:$X$9,4,FALSE)</f>
        <v>0</v>
      </c>
      <c r="V10" s="297">
        <f t="shared" ref="V10:V35" si="4">VLOOKUP($B10,$R$3:$X$9,5,FALSE)</f>
        <v>0.1076388888888889</v>
      </c>
      <c r="W10" s="297">
        <f t="shared" ref="W10:W35" si="5">VLOOKUP($B10,$R$3:$X$9,6,FALSE)</f>
        <v>0.24652777777777779</v>
      </c>
      <c r="X10" s="297">
        <f t="shared" ref="X10:X35" si="6">VLOOKUP($B10,$R$3:$X$9,7,FALSE)</f>
        <v>0.28472222222222221</v>
      </c>
      <c r="Y10" s="297">
        <f t="shared" ref="Y10:Y35" si="7">VLOOKUP($B10,$R$3:$Z$9,8,FALSE)</f>
        <v>0</v>
      </c>
      <c r="Z10" s="472">
        <f t="shared" ref="Z10:Z35" si="8">VLOOKUP($B10,$R$3:$Z$9,9,FALSE)</f>
        <v>60</v>
      </c>
    </row>
    <row r="11" spans="2:29" ht="16.5" customHeight="1">
      <c r="B11" s="34" t="s">
        <v>12</v>
      </c>
      <c r="C11" s="366" t="str">
        <f>[6]Brewhouse!$A29</f>
        <v>GU013</v>
      </c>
      <c r="D11" s="279">
        <f>[6]Brewhouse!$AF29</f>
        <v>68.5</v>
      </c>
      <c r="E11" s="279">
        <f>[6]Brewhouse!$AI29</f>
        <v>63.3</v>
      </c>
      <c r="F11" s="278">
        <f>[6]Brewhouse!$V29</f>
        <v>73</v>
      </c>
      <c r="G11" s="279">
        <f>[6]Brewhouse!$AG29</f>
        <v>17</v>
      </c>
      <c r="H11" s="396"/>
      <c r="I11" s="484">
        <f>[6]Brewhouse!$AU29</f>
        <v>113.58212162131902</v>
      </c>
      <c r="J11" s="484">
        <f>[6]Brewhouse!$AV29</f>
        <v>115.02465396841286</v>
      </c>
      <c r="K11" s="485">
        <f>[6]Brewhouse!$R29</f>
        <v>-20.178253119429591</v>
      </c>
      <c r="L11" s="276">
        <f>[6]Brewhouse!$O29</f>
        <v>41</v>
      </c>
      <c r="M11" s="374">
        <f>[6]Brewhouse!$U29-[6]Brewhouse!$T29</f>
        <v>0.16180555555555554</v>
      </c>
      <c r="N11" s="370">
        <f>[6]Brewhouse!$Z29</f>
        <v>0.32916666666666661</v>
      </c>
      <c r="O11" s="420" t="str">
        <f>[6]Brewhouse!$AW29</f>
        <v>R. Sookram</v>
      </c>
      <c r="P11" s="418"/>
      <c r="R11" s="277" t="str">
        <f t="shared" si="0"/>
        <v>GUINNESS</v>
      </c>
      <c r="S11" s="472">
        <f t="shared" si="1"/>
        <v>17</v>
      </c>
      <c r="T11" s="472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472">
        <f t="shared" si="8"/>
        <v>60</v>
      </c>
    </row>
    <row r="12" spans="2:29" ht="16.5" customHeight="1">
      <c r="B12" s="34" t="s">
        <v>12</v>
      </c>
      <c r="C12" s="366" t="str">
        <f>[6]Brewhouse!$A30</f>
        <v>GU014</v>
      </c>
      <c r="D12" s="279">
        <f>[6]Brewhouse!$AF30</f>
        <v>52.3</v>
      </c>
      <c r="E12" s="279">
        <f>[6]Brewhouse!$AI30</f>
        <v>48.9</v>
      </c>
      <c r="F12" s="278">
        <f>[6]Brewhouse!$V30</f>
        <v>59</v>
      </c>
      <c r="G12" s="279">
        <f>[6]Brewhouse!$AG30</f>
        <v>17.100000000000001</v>
      </c>
      <c r="H12" s="396"/>
      <c r="I12" s="484">
        <f>[6]Brewhouse!$AU30</f>
        <v>90.487433811004081</v>
      </c>
      <c r="J12" s="484">
        <f>[6]Brewhouse!$AV30</f>
        <v>91.666333205078871</v>
      </c>
      <c r="K12" s="485">
        <f>[6]Brewhouse!$R30</f>
        <v>2.9019607843137196</v>
      </c>
      <c r="L12" s="276">
        <f>[6]Brewhouse!$O30</f>
        <v>60</v>
      </c>
      <c r="M12" s="374">
        <f>[6]Brewhouse!$U30-[6]Brewhouse!$T30</f>
        <v>0.14513888888888893</v>
      </c>
      <c r="N12" s="370">
        <f>[6]Brewhouse!$Z30</f>
        <v>0.33750000000000002</v>
      </c>
      <c r="O12" s="420" t="str">
        <f>[6]Brewhouse!$AW30</f>
        <v>K. Benjamin</v>
      </c>
      <c r="P12" s="418"/>
      <c r="R12" s="277" t="str">
        <f t="shared" si="0"/>
        <v>GUINNESS</v>
      </c>
      <c r="S12" s="472">
        <f t="shared" si="1"/>
        <v>17</v>
      </c>
      <c r="T12" s="472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472">
        <f t="shared" si="8"/>
        <v>60</v>
      </c>
    </row>
    <row r="13" spans="2:29" ht="16.5" customHeight="1">
      <c r="B13" s="34" t="s">
        <v>12</v>
      </c>
      <c r="C13" s="366" t="str">
        <f>[6]Brewhouse!$A31</f>
        <v>GU015</v>
      </c>
      <c r="D13" s="279">
        <f>[6]Brewhouse!$AF31</f>
        <v>60.8</v>
      </c>
      <c r="E13" s="279">
        <f>[6]Brewhouse!$AI31</f>
        <v>57.2</v>
      </c>
      <c r="F13" s="278">
        <f>[6]Brewhouse!$V31</f>
        <v>71</v>
      </c>
      <c r="G13" s="279">
        <f>[6]Brewhouse!$AG31</f>
        <v>16.5</v>
      </c>
      <c r="H13" s="396"/>
      <c r="I13" s="484">
        <f>[6]Brewhouse!$AU31</f>
        <v>102.62581305950147</v>
      </c>
      <c r="J13" s="484">
        <f>[6]Brewhouse!$AV31</f>
        <v>103.96262258047955</v>
      </c>
      <c r="K13" s="485">
        <f>[6]Brewhouse!$R31</f>
        <v>-17.098039215686274</v>
      </c>
      <c r="L13" s="276">
        <f>[6]Brewhouse!$O31</f>
        <v>63</v>
      </c>
      <c r="M13" s="374">
        <f>[6]Brewhouse!$U31-[6]Brewhouse!$T31</f>
        <v>0.16597222222222219</v>
      </c>
      <c r="N13" s="370">
        <f>[6]Brewhouse!$Z31</f>
        <v>0.32291666666666663</v>
      </c>
      <c r="O13" s="420" t="str">
        <f>[6]Brewhouse!$AW31</f>
        <v>K. Benjamin</v>
      </c>
      <c r="P13" s="418"/>
      <c r="R13" s="277" t="str">
        <f t="shared" si="0"/>
        <v>GUINNESS</v>
      </c>
      <c r="S13" s="472">
        <f t="shared" si="1"/>
        <v>17</v>
      </c>
      <c r="T13" s="472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472">
        <f t="shared" si="8"/>
        <v>60</v>
      </c>
    </row>
    <row r="14" spans="2:29" ht="16.5" customHeight="1">
      <c r="B14" s="34" t="s">
        <v>12</v>
      </c>
      <c r="C14" s="366" t="str">
        <f>[6]Brewhouse!$A32</f>
        <v>GU016</v>
      </c>
      <c r="D14" s="279">
        <f>[6]Brewhouse!$AF32</f>
        <v>53</v>
      </c>
      <c r="E14" s="279">
        <f>[6]Brewhouse!$AI32</f>
        <v>50.4</v>
      </c>
      <c r="F14" s="278">
        <f>[6]Brewhouse!$V32</f>
        <v>66</v>
      </c>
      <c r="G14" s="279">
        <f>[6]Brewhouse!$AG32</f>
        <v>17.8</v>
      </c>
      <c r="H14" s="396"/>
      <c r="I14" s="484">
        <f>[6]Brewhouse!$AU32</f>
        <v>97.191888885824653</v>
      </c>
      <c r="J14" s="484">
        <f>[6]Brewhouse!$AV32</f>
        <v>98.458575562783324</v>
      </c>
      <c r="K14" s="485">
        <f>[6]Brewhouse!$R32</f>
        <v>-2.9803921568627514</v>
      </c>
      <c r="L14" s="276">
        <f>[6]Brewhouse!$O32</f>
        <v>59</v>
      </c>
      <c r="M14" s="374">
        <f>[6]Brewhouse!$U32-[6]Brewhouse!$T32</f>
        <v>0.1479166666666667</v>
      </c>
      <c r="N14" s="370">
        <f>[6]Brewhouse!$Z32</f>
        <v>0.34722222222222232</v>
      </c>
      <c r="O14" s="420" t="str">
        <f>[6]Brewhouse!$AW32</f>
        <v>R. Regis</v>
      </c>
      <c r="P14" s="418"/>
      <c r="R14" s="277" t="str">
        <f t="shared" si="0"/>
        <v>GUINNESS</v>
      </c>
      <c r="S14" s="472">
        <f t="shared" si="1"/>
        <v>17</v>
      </c>
      <c r="T14" s="472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472">
        <f t="shared" si="8"/>
        <v>60</v>
      </c>
    </row>
    <row r="15" spans="2:29" ht="16.5" customHeight="1">
      <c r="B15" s="34"/>
      <c r="C15" s="366"/>
      <c r="D15" s="279"/>
      <c r="E15" s="279"/>
      <c r="F15" s="278"/>
      <c r="G15" s="279"/>
      <c r="H15" s="396"/>
      <c r="I15" s="484"/>
      <c r="J15" s="484"/>
      <c r="K15" s="485"/>
      <c r="L15" s="276"/>
      <c r="M15" s="374"/>
      <c r="N15" s="370"/>
      <c r="O15" s="420"/>
      <c r="P15" s="418"/>
      <c r="R15" s="277"/>
      <c r="S15" s="472"/>
      <c r="T15" s="472"/>
      <c r="U15" s="297"/>
      <c r="V15" s="297"/>
      <c r="W15" s="297"/>
      <c r="X15" s="297"/>
      <c r="Y15" s="297"/>
      <c r="Z15" s="472"/>
    </row>
    <row r="16" spans="2:29" ht="16.5" customHeight="1">
      <c r="B16" s="29"/>
      <c r="C16" s="366"/>
      <c r="D16" s="279"/>
      <c r="E16" s="279"/>
      <c r="F16" s="278"/>
      <c r="G16" s="279"/>
      <c r="H16" s="396"/>
      <c r="I16" s="484"/>
      <c r="J16" s="484"/>
      <c r="K16" s="485"/>
      <c r="L16" s="276"/>
      <c r="M16" s="374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6.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2.2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6.5" hidden="1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8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6.5" customHeight="1">
      <c r="B21" s="22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511"/>
      <c r="J22" s="511"/>
      <c r="K22" s="511"/>
      <c r="L22" s="511"/>
      <c r="M22" s="511"/>
      <c r="N22" s="511"/>
      <c r="O22" s="1"/>
      <c r="P22" s="12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.75" customHeight="1" thickBot="1">
      <c r="B23" s="388" t="s">
        <v>162</v>
      </c>
      <c r="C23" s="388"/>
      <c r="D23" s="512" t="s">
        <v>35</v>
      </c>
      <c r="E23" s="513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0"/>
        <v xml:space="preserve">BRAND 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" customHeight="1">
      <c r="A24" s="28"/>
      <c r="B24" s="580"/>
      <c r="C24" s="362"/>
      <c r="D24" s="517"/>
      <c r="E24" s="518"/>
      <c r="F24" s="294"/>
      <c r="G24" s="294"/>
      <c r="H24" s="348"/>
      <c r="I24" s="29" t="s">
        <v>6</v>
      </c>
      <c r="J24" s="280"/>
      <c r="K24" s="284">
        <f>COUNTA([3]Brewhouse!$A$125:$A$140)</f>
        <v>16</v>
      </c>
      <c r="L24" s="305">
        <f>AVERAGE([3]Brewhouse!$AU$125:$AU$140)</f>
        <v>97.677289058475239</v>
      </c>
      <c r="M24" s="305">
        <f>AVERAGE([3]Brewhouse!$AU$42:$AU$123,[3]Brewhouse!$AU$125:$AU$140)</f>
        <v>97.902963252277985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" customHeight="1">
      <c r="A25" s="28"/>
      <c r="B25" s="581"/>
      <c r="C25" s="362"/>
      <c r="D25" s="519"/>
      <c r="E25" s="520"/>
      <c r="F25" s="294"/>
      <c r="G25" s="294"/>
      <c r="H25" s="348"/>
      <c r="I25" s="33" t="s">
        <v>9</v>
      </c>
      <c r="J25" s="280"/>
      <c r="K25" s="284">
        <f>COUNTA([4]Brewhouse!$A$83:$A$102)</f>
        <v>20</v>
      </c>
      <c r="L25" s="302">
        <f>AVERAGE([4]Brewhouse!$AS$83:$AS$102)</f>
        <v>97.82854827310743</v>
      </c>
      <c r="M25" s="302">
        <f>AVERAGE([4]Brewhouse!$AS$52:$AS$81,[4]Brewhouse!$AS$83:$AS$102)</f>
        <v>98.546544958251161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81"/>
      <c r="C26" s="362"/>
      <c r="D26" s="521"/>
      <c r="E26" s="522"/>
      <c r="F26" s="294"/>
      <c r="G26" s="294"/>
      <c r="H26" s="348"/>
      <c r="I26" s="34" t="s">
        <v>12</v>
      </c>
      <c r="J26" s="280">
        <f>AVERAGE(I10:I14)</f>
        <v>99.156242037795465</v>
      </c>
      <c r="K26" s="284">
        <f>COUNTA([6]Brewhouse!$A$25:$A$32)</f>
        <v>8</v>
      </c>
      <c r="L26" s="302">
        <f>AVERAGE([6]Brewhouse!$AU$25:$AU$32)</f>
        <v>98.866545856718233</v>
      </c>
      <c r="M26" s="302">
        <f>AVERAGE([6]Brewhouse!$AU$16:$AU$23,[6]Brewhouse!$AU$25:$AU$32)</f>
        <v>98.315875308259905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81"/>
      <c r="C27" s="362"/>
      <c r="D27" s="523"/>
      <c r="E27" s="520"/>
      <c r="F27" s="294"/>
      <c r="G27" s="294"/>
      <c r="H27" s="348"/>
      <c r="I27" s="22" t="s">
        <v>33</v>
      </c>
      <c r="J27" s="280"/>
      <c r="K27" s="284"/>
      <c r="L27" s="302"/>
      <c r="M27" s="302">
        <f>AVERAGE([5]Brewhouse!$AV$23:$AV$34)</f>
        <v>98.31387229810305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81"/>
      <c r="C28" s="362"/>
      <c r="D28" s="521"/>
      <c r="E28" s="522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81"/>
      <c r="C29" s="362"/>
      <c r="D29" s="523"/>
      <c r="E29" s="520"/>
      <c r="F29" s="417"/>
      <c r="G29" s="294"/>
      <c r="H29" s="348"/>
      <c r="I29" s="36" t="s">
        <v>15</v>
      </c>
      <c r="J29" s="323"/>
      <c r="K29" s="284"/>
      <c r="L29" s="302"/>
      <c r="M29" s="302">
        <f>AVERAGE([7]Brewhouse!$AT$4:$AT$11)</f>
        <v>92.826224508052405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4.65" customHeight="1">
      <c r="A30" s="28"/>
      <c r="B30" s="581"/>
      <c r="C30" s="362"/>
      <c r="D30" s="521"/>
      <c r="E30" s="522"/>
      <c r="F30" s="417"/>
      <c r="G30" s="294"/>
      <c r="H30" s="348"/>
      <c r="I30" s="37" t="s">
        <v>16</v>
      </c>
      <c r="J30" s="323"/>
      <c r="K30" s="284"/>
      <c r="L30" s="302"/>
      <c r="M30" s="302">
        <f>AVERAGE([8]Brewhouse!$AY$5:$AY$7)</f>
        <v>98.128633252159673</v>
      </c>
      <c r="N30" s="30">
        <v>98</v>
      </c>
      <c r="O30" s="11"/>
      <c r="P30" s="31" t="s">
        <v>41</v>
      </c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4.65" customHeight="1">
      <c r="A31" s="28"/>
      <c r="B31" s="581"/>
      <c r="C31" s="362"/>
      <c r="D31" s="523"/>
      <c r="E31" s="520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4.65" customHeight="1">
      <c r="A32" s="28"/>
      <c r="B32" s="581"/>
      <c r="C32" s="349"/>
      <c r="D32" s="521"/>
      <c r="E32" s="522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81"/>
      <c r="C33" s="349"/>
      <c r="D33" s="523"/>
      <c r="E33" s="520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81"/>
      <c r="C34" s="349"/>
      <c r="D34" s="517"/>
      <c r="E34" s="518"/>
      <c r="F34" s="294"/>
      <c r="G34" s="294"/>
      <c r="H34" s="348"/>
      <c r="I34" s="1"/>
      <c r="J34" s="39"/>
      <c r="K34" s="404">
        <f>SUM(K24:K33)</f>
        <v>44</v>
      </c>
      <c r="L34" s="405">
        <f>((L24*K24)+(L25*K25)+(L26*K26)+(L27*K27)+(L28*K28)+(K31*L31)+(L29*K29)+(L30*K30)+(L33*K33))/(K34)</f>
        <v>97.962271755715889</v>
      </c>
      <c r="M34" s="405">
        <f>L34</f>
        <v>97.962271755715889</v>
      </c>
      <c r="N34" s="4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.75" thickBot="1">
      <c r="B35" s="582"/>
      <c r="C35" s="350"/>
      <c r="D35" s="519"/>
      <c r="E35" s="520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14"/>
      <c r="C36" s="362"/>
      <c r="D36" s="525"/>
      <c r="E36" s="526"/>
      <c r="F36" s="294"/>
      <c r="G36" s="42"/>
      <c r="H36" s="41"/>
      <c r="I36" s="42"/>
      <c r="J36" s="527" t="s">
        <v>129</v>
      </c>
      <c r="K36" s="527"/>
      <c r="L36" s="294"/>
      <c r="M36" s="294"/>
      <c r="N36" s="294"/>
      <c r="O36" s="294"/>
      <c r="P36" s="12"/>
    </row>
    <row r="37" spans="1:56" ht="15.75" thickBot="1">
      <c r="B37" s="515"/>
      <c r="C37" s="362"/>
      <c r="D37" s="523"/>
      <c r="E37" s="520"/>
      <c r="F37" s="294"/>
      <c r="G37" s="42"/>
      <c r="H37" s="41"/>
      <c r="I37" s="42"/>
      <c r="J37" s="292" t="s">
        <v>17</v>
      </c>
      <c r="K37" s="293" t="s">
        <v>147</v>
      </c>
      <c r="L37" s="528" t="s">
        <v>136</v>
      </c>
      <c r="M37" s="528"/>
      <c r="N37" s="529"/>
      <c r="O37" s="294"/>
      <c r="P37" s="12"/>
    </row>
    <row r="38" spans="1:56" ht="15" customHeight="1" thickBot="1">
      <c r="B38" s="515"/>
      <c r="C38" s="349"/>
      <c r="D38" s="521"/>
      <c r="E38" s="522"/>
      <c r="F38" s="294"/>
      <c r="G38" s="42"/>
      <c r="H38" s="41"/>
      <c r="I38" s="42"/>
      <c r="J38" s="287" t="s">
        <v>6</v>
      </c>
      <c r="K38" s="324"/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15"/>
      <c r="C39" s="349"/>
      <c r="D39" s="523"/>
      <c r="E39" s="520"/>
      <c r="F39" s="294"/>
      <c r="G39" s="42"/>
      <c r="H39" s="41"/>
      <c r="I39" s="42"/>
      <c r="J39" s="345" t="s">
        <v>9</v>
      </c>
      <c r="K39" s="324"/>
      <c r="L39" s="344">
        <f>AVERAGE(K48,'Feb 2nd'!K49,'Feb 3rd'!K54,'Feb 4th'!K53,'Feb 4th'!K53,'Feb 5th'!K49,'Feb 6th'!K49,'Feb 9th'!K52,'Feb 10th'!K54)</f>
        <v>6.7777777777777777</v>
      </c>
      <c r="M39" s="325">
        <f>AVERAGE('[9]Jan30th-31st'!$L$47,L39)</f>
        <v>6.4323671497584538</v>
      </c>
      <c r="N39" s="416">
        <v>9.1999999999999993</v>
      </c>
      <c r="O39" s="294"/>
      <c r="P39" s="12"/>
    </row>
    <row r="40" spans="1:56" ht="15" customHeight="1">
      <c r="B40" s="515"/>
      <c r="C40" s="349"/>
      <c r="D40" s="521"/>
      <c r="E40" s="522"/>
      <c r="F40" s="294"/>
      <c r="G40" s="42"/>
      <c r="H40" s="41"/>
      <c r="I40" s="42"/>
      <c r="J40" s="288" t="s">
        <v>40</v>
      </c>
      <c r="K40" s="324">
        <v>5</v>
      </c>
      <c r="L40" s="294"/>
      <c r="M40" s="294"/>
      <c r="N40" s="294"/>
      <c r="O40" s="294"/>
      <c r="P40" s="12"/>
    </row>
    <row r="41" spans="1:56" ht="15" customHeight="1">
      <c r="B41" s="515"/>
      <c r="C41" s="349"/>
      <c r="D41" s="523"/>
      <c r="E41" s="520"/>
      <c r="F41" s="294"/>
      <c r="G41" s="42"/>
      <c r="H41" s="41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15"/>
      <c r="C42" s="349"/>
      <c r="D42" s="521"/>
      <c r="E42" s="522"/>
      <c r="F42" s="294"/>
      <c r="G42" s="42"/>
      <c r="H42" s="41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15"/>
      <c r="C43" s="349"/>
      <c r="D43" s="523"/>
      <c r="E43" s="520"/>
      <c r="F43" s="294"/>
      <c r="G43" s="42"/>
      <c r="H43" s="41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15"/>
      <c r="C44" s="349"/>
      <c r="D44" s="521"/>
      <c r="E44" s="522"/>
      <c r="F44" s="294"/>
      <c r="G44" s="42"/>
      <c r="H44" s="41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4"/>
      <c r="C45" s="350"/>
      <c r="D45" s="530"/>
      <c r="E45" s="531"/>
      <c r="F45" s="294" t="s">
        <v>166</v>
      </c>
      <c r="G45" s="42"/>
      <c r="H45" s="41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32"/>
      <c r="E46" s="533"/>
      <c r="F46" s="294"/>
      <c r="H46" s="41"/>
      <c r="I46" s="42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1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1"/>
      <c r="I48" s="42"/>
      <c r="J48" s="346" t="s">
        <v>130</v>
      </c>
      <c r="K48" s="324">
        <f>SUM(K38:K47)</f>
        <v>5</v>
      </c>
      <c r="L48" s="294"/>
      <c r="M48" s="294"/>
      <c r="N48" s="294"/>
      <c r="O48" s="294"/>
      <c r="P48" s="12"/>
    </row>
    <row r="49" spans="1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1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1:57" ht="15" customHeight="1" thickBot="1">
      <c r="B51" s="534" t="s">
        <v>17</v>
      </c>
      <c r="C51" s="534" t="s">
        <v>44</v>
      </c>
      <c r="D51" s="537" t="s">
        <v>45</v>
      </c>
      <c r="E51" s="500" t="s">
        <v>46</v>
      </c>
      <c r="F51" s="509" t="s">
        <v>47</v>
      </c>
      <c r="G51" s="546" t="s">
        <v>48</v>
      </c>
      <c r="H51" s="534" t="s">
        <v>49</v>
      </c>
      <c r="I51" s="534" t="s">
        <v>50</v>
      </c>
      <c r="J51" s="540" t="s">
        <v>28</v>
      </c>
      <c r="K51" s="498" t="s">
        <v>51</v>
      </c>
      <c r="L51" s="549" t="s">
        <v>52</v>
      </c>
      <c r="M51" s="540" t="s">
        <v>53</v>
      </c>
      <c r="N51" s="13"/>
      <c r="O51" s="13"/>
      <c r="P51" s="50"/>
    </row>
    <row r="52" spans="1:57" ht="28.5" customHeight="1" thickTop="1" thickBot="1">
      <c r="B52" s="535"/>
      <c r="C52" s="536"/>
      <c r="D52" s="538"/>
      <c r="E52" s="539"/>
      <c r="F52" s="551"/>
      <c r="G52" s="547"/>
      <c r="H52" s="535"/>
      <c r="I52" s="535"/>
      <c r="J52" s="541"/>
      <c r="K52" s="548"/>
      <c r="L52" s="550"/>
      <c r="M52" s="541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1:57" s="54" customFormat="1" ht="37.15" customHeight="1" thickBot="1">
      <c r="B53" s="481" t="str">
        <f>J39</f>
        <v>STAG</v>
      </c>
      <c r="C53" s="479">
        <v>46064</v>
      </c>
      <c r="D53" s="442">
        <f>[29]February_2026!$N$13</f>
        <v>396.2</v>
      </c>
      <c r="E53" s="443"/>
      <c r="F53" s="444"/>
      <c r="G53" s="445">
        <f>[29]February_2026!$N$17</f>
        <v>367.6</v>
      </c>
      <c r="H53" s="458"/>
      <c r="I53" s="458"/>
      <c r="J53" s="448" t="s">
        <v>185</v>
      </c>
      <c r="K53" s="449">
        <f>[30]February_2026!$N$25</f>
        <v>0.42994152046783629</v>
      </c>
      <c r="L53" s="457">
        <f>(((D53+E53)-G53)/(D53+E53))*100</f>
        <v>7.2185764765269989</v>
      </c>
      <c r="M53" s="455" t="s">
        <v>181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 t="e">
        <f>[10]January_2019!#REF!</f>
        <v>#REF!</v>
      </c>
      <c r="AC53" s="57" t="e">
        <f>[10]January_2019!#REF!</f>
        <v>#REF!</v>
      </c>
      <c r="AD53" s="57" t="e">
        <f>[10]January_2019!#REF!</f>
        <v>#REF!</v>
      </c>
      <c r="AE53" s="57" t="e">
        <f>[10]January_2019!#REF!</f>
        <v>#REF!</v>
      </c>
      <c r="AF53" s="57" t="e">
        <f>[10]January_2019!#REF!</f>
        <v>#REF!</v>
      </c>
      <c r="AG53" s="57" t="e">
        <f>[10]January_2019!#REF!</f>
        <v>#REF!</v>
      </c>
      <c r="AH53" s="57" t="e">
        <f>[10]January_2019!#REF!</f>
        <v>#REF!</v>
      </c>
      <c r="AI53" s="57" t="e">
        <f>[10]January_2019!#REF!</f>
        <v>#REF!</v>
      </c>
      <c r="AJ53" s="57" t="e">
        <f>[10]January_2019!#REF!</f>
        <v>#REF!</v>
      </c>
      <c r="AK53" s="57" t="e">
        <f>[10]January_2019!#REF!</f>
        <v>#REF!</v>
      </c>
      <c r="AL53" s="57" t="e">
        <f>[10]January_2019!#REF!</f>
        <v>#REF!</v>
      </c>
      <c r="AM53" s="57" t="e">
        <f>[10]January_2019!#REF!</f>
        <v>#REF!</v>
      </c>
      <c r="AN53" s="57" t="e">
        <f>[10]January_2019!#REF!</f>
        <v>#REF!</v>
      </c>
      <c r="AO53" s="57" t="e">
        <f>[10]January_2019!#REF!</f>
        <v>#REF!</v>
      </c>
      <c r="AP53" s="57" t="e">
        <f>[10]January_2019!#REF!</f>
        <v>#REF!</v>
      </c>
      <c r="AQ53" s="57" t="e">
        <f>[10]January_2019!#REF!</f>
        <v>#REF!</v>
      </c>
      <c r="AR53" s="57" t="e">
        <f>[10]January_2019!#REF!</f>
        <v>#REF!</v>
      </c>
      <c r="AS53" s="57" t="e">
        <f>[10]January_2019!#REF!</f>
        <v>#REF!</v>
      </c>
      <c r="AT53" s="57" t="e">
        <f>[10]January_2019!#REF!</f>
        <v>#REF!</v>
      </c>
      <c r="AU53" s="57" t="e">
        <f>[10]January_2019!#REF!</f>
        <v>#REF!</v>
      </c>
      <c r="AV53" s="57" t="e">
        <f>[10]January_2019!#REF!</f>
        <v>#REF!</v>
      </c>
      <c r="AW53" s="57" t="e">
        <f>[10]January_2019!#REF!</f>
        <v>#REF!</v>
      </c>
      <c r="AX53" s="277" t="e">
        <f>[10]January_2019!#REF!</f>
        <v>#REF!</v>
      </c>
      <c r="AY53" s="277"/>
      <c r="AZ53" s="277"/>
      <c r="BA53" s="277"/>
      <c r="BB53" s="277"/>
      <c r="BC53" s="277"/>
      <c r="BD53" s="277"/>
      <c r="BE53" s="277"/>
    </row>
    <row r="54" spans="1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 t="e">
        <f>[10]January_2019!#REF!</f>
        <v>#REF!</v>
      </c>
      <c r="AC54" s="57" t="e">
        <f>[10]January_2019!#REF!</f>
        <v>#REF!</v>
      </c>
      <c r="AD54" s="57" t="e">
        <f>[10]January_2019!#REF!</f>
        <v>#REF!</v>
      </c>
      <c r="AE54" s="57" t="e">
        <f>[10]January_2019!#REF!</f>
        <v>#REF!</v>
      </c>
      <c r="AF54" s="57" t="e">
        <f>[10]January_2019!#REF!</f>
        <v>#REF!</v>
      </c>
      <c r="AG54" s="57" t="e">
        <f>[10]January_2019!#REF!</f>
        <v>#REF!</v>
      </c>
      <c r="AH54" s="57" t="e">
        <f>[10]January_2019!#REF!</f>
        <v>#REF!</v>
      </c>
      <c r="AI54" s="57" t="e">
        <f>[10]January_2019!#REF!</f>
        <v>#REF!</v>
      </c>
      <c r="AJ54" s="57" t="e">
        <f>[10]January_2019!#REF!</f>
        <v>#REF!</v>
      </c>
      <c r="AK54" s="57" t="e">
        <f>[10]January_2019!#REF!</f>
        <v>#REF!</v>
      </c>
      <c r="AL54" s="57" t="e">
        <f>[10]January_2019!#REF!</f>
        <v>#REF!</v>
      </c>
      <c r="AM54" s="57" t="e">
        <f>[10]January_2019!#REF!</f>
        <v>#REF!</v>
      </c>
      <c r="AN54" s="57" t="e">
        <f>[10]January_2019!#REF!</f>
        <v>#REF!</v>
      </c>
      <c r="AO54" s="57" t="e">
        <f>[10]January_2019!#REF!</f>
        <v>#REF!</v>
      </c>
      <c r="AP54" s="57" t="e">
        <f>[10]January_2019!#REF!</f>
        <v>#REF!</v>
      </c>
      <c r="AQ54" s="57" t="e">
        <f>[10]January_2019!#REF!</f>
        <v>#REF!</v>
      </c>
      <c r="AR54" s="57" t="e">
        <f>[10]January_2019!#REF!</f>
        <v>#REF!</v>
      </c>
      <c r="AS54" s="57" t="e">
        <f>[10]January_2019!#REF!</f>
        <v>#REF!</v>
      </c>
      <c r="AT54" s="57" t="e">
        <f>[10]January_2019!#REF!</f>
        <v>#REF!</v>
      </c>
      <c r="AU54" s="57" t="e">
        <f>[10]January_2019!#REF!</f>
        <v>#REF!</v>
      </c>
      <c r="AV54" s="57" t="e">
        <f>[10]January_2019!#REF!</f>
        <v>#REF!</v>
      </c>
      <c r="AW54" s="57" t="e">
        <f>[10]January_2019!#REF!</f>
        <v>#REF!</v>
      </c>
      <c r="AX54" s="277" t="e">
        <f>[10]January_2019!#REF!</f>
        <v>#REF!</v>
      </c>
      <c r="AY54" s="277"/>
      <c r="AZ54" s="277"/>
      <c r="BA54" s="277"/>
      <c r="BB54" s="277"/>
      <c r="BC54" s="277"/>
      <c r="BD54" s="277"/>
      <c r="BE54" s="277"/>
    </row>
    <row r="55" spans="1:57" s="54" customFormat="1" ht="37.15" customHeight="1" thickBot="1">
      <c r="A55" s="54" t="s">
        <v>170</v>
      </c>
      <c r="B55" s="480" t="str">
        <f>J38</f>
        <v>CARIB</v>
      </c>
      <c r="C55" s="479">
        <v>46064</v>
      </c>
      <c r="D55" s="442">
        <f>[29]February_2026!$N$3</f>
        <v>31.700000000000003</v>
      </c>
      <c r="E55" s="443"/>
      <c r="F55" s="444"/>
      <c r="G55" s="445">
        <f>[29]February_2026!$N$7</f>
        <v>29.8</v>
      </c>
      <c r="H55" s="458"/>
      <c r="I55" s="458"/>
      <c r="J55" s="448" t="s">
        <v>169</v>
      </c>
      <c r="K55" s="449">
        <f>[30]February_2026!$N$18</f>
        <v>0.10456140350877194</v>
      </c>
      <c r="L55" s="457">
        <f>(((D55+E55)-G55)/(D55+E55))*100</f>
        <v>5.993690851735022</v>
      </c>
      <c r="M55" s="455" t="s">
        <v>183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[10]January_2019!L1</f>
        <v>0</v>
      </c>
      <c r="AC55" s="57">
        <f>[10]January_2019!M1</f>
        <v>0</v>
      </c>
      <c r="AD55" s="57">
        <f>[10]January_2019!N1</f>
        <v>0</v>
      </c>
      <c r="AE55" s="57">
        <f>[10]January_2019!O1</f>
        <v>0</v>
      </c>
      <c r="AF55" s="57">
        <f>[10]January_2019!P1</f>
        <v>0</v>
      </c>
      <c r="AG55" s="57">
        <f>[10]January_2019!Q1</f>
        <v>0</v>
      </c>
      <c r="AH55" s="57">
        <f>[10]January_2019!R1</f>
        <v>0</v>
      </c>
      <c r="AI55" s="57">
        <f>[10]January_2019!S1</f>
        <v>0</v>
      </c>
      <c r="AJ55" s="57">
        <f>[10]January_2019!T1</f>
        <v>0</v>
      </c>
      <c r="AK55" s="57">
        <f>[10]January_2019!U1</f>
        <v>0</v>
      </c>
      <c r="AL55" s="57">
        <f>[10]January_2019!V1</f>
        <v>0</v>
      </c>
      <c r="AM55" s="57">
        <f>[10]January_2019!W1</f>
        <v>0</v>
      </c>
      <c r="AN55" s="57">
        <f>[10]January_2019!X1</f>
        <v>0</v>
      </c>
      <c r="AO55" s="57">
        <f>[10]January_2019!Y1</f>
        <v>0</v>
      </c>
      <c r="AP55" s="57">
        <f>[10]January_2019!Z1</f>
        <v>0</v>
      </c>
      <c r="AQ55" s="57">
        <f>[10]January_2019!AA1</f>
        <v>0</v>
      </c>
      <c r="AR55" s="57">
        <f>[10]January_2019!AB1</f>
        <v>0</v>
      </c>
      <c r="AS55" s="57">
        <f>[10]January_2019!AC1</f>
        <v>0</v>
      </c>
      <c r="AT55" s="57">
        <f>[10]January_2019!AD1</f>
        <v>0</v>
      </c>
      <c r="AU55" s="57">
        <f>[10]January_2019!AE1</f>
        <v>0</v>
      </c>
      <c r="AV55" s="57">
        <f>[10]January_2019!AF1</f>
        <v>0</v>
      </c>
      <c r="AW55" s="57">
        <f>[10]January_2019!AG1</f>
        <v>0</v>
      </c>
      <c r="AX55" s="277">
        <f>[10]January_2019!AH1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37.15" hidden="1" customHeight="1" thickBot="1">
      <c r="B56" s="481"/>
      <c r="C56" s="479"/>
      <c r="D56" s="442"/>
      <c r="E56" s="443"/>
      <c r="F56" s="444"/>
      <c r="G56" s="445"/>
      <c r="H56" s="458"/>
      <c r="I56" s="458"/>
      <c r="J56" s="44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[10]January_2019!L5</f>
        <v>0</v>
      </c>
      <c r="AC56" s="57">
        <f>[10]January_2019!M5</f>
        <v>0</v>
      </c>
      <c r="AD56" s="57">
        <f>[10]January_2019!N5</f>
        <v>0</v>
      </c>
      <c r="AE56" s="57">
        <f>[10]January_2019!O5</f>
        <v>0</v>
      </c>
      <c r="AF56" s="57">
        <f>[10]January_2019!P5</f>
        <v>0</v>
      </c>
      <c r="AG56" s="57">
        <f>[10]January_2019!Q5</f>
        <v>0</v>
      </c>
      <c r="AH56" s="57">
        <f>[10]January_2019!R5</f>
        <v>0</v>
      </c>
      <c r="AI56" s="57">
        <f>[10]January_2019!S5</f>
        <v>0</v>
      </c>
      <c r="AJ56" s="57">
        <f>[10]January_2019!T5</f>
        <v>0</v>
      </c>
      <c r="AK56" s="57">
        <f>[10]January_2019!U5</f>
        <v>0</v>
      </c>
      <c r="AL56" s="57">
        <f>[10]January_2019!V5</f>
        <v>0</v>
      </c>
      <c r="AM56" s="57">
        <f>[10]January_2019!W5</f>
        <v>0</v>
      </c>
      <c r="AN56" s="57">
        <f>[10]January_2019!X5</f>
        <v>0</v>
      </c>
      <c r="AO56" s="57">
        <f>[10]January_2019!Y5</f>
        <v>0</v>
      </c>
      <c r="AP56" s="57">
        <f>[10]January_2019!Z5</f>
        <v>0</v>
      </c>
      <c r="AQ56" s="57">
        <f>[10]January_2019!AA5</f>
        <v>0</v>
      </c>
      <c r="AR56" s="57">
        <f>[10]January_2019!AB5</f>
        <v>0</v>
      </c>
      <c r="AS56" s="57">
        <f>[10]January_2019!AC5</f>
        <v>0</v>
      </c>
      <c r="AT56" s="57">
        <f>[10]January_2019!AD5</f>
        <v>0</v>
      </c>
      <c r="AU56" s="57">
        <f>[10]January_2019!AE5</f>
        <v>0</v>
      </c>
      <c r="AV56" s="57">
        <f>[10]January_2019!AF5</f>
        <v>0</v>
      </c>
      <c r="AW56" s="57">
        <f>[10]January_2019!AG5</f>
        <v>0</v>
      </c>
      <c r="AX56" s="277">
        <f>[10]January_2019!AH5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14.25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[10]January_2019!L6</f>
        <v>0</v>
      </c>
      <c r="AC57" s="57">
        <f>[10]January_2019!M6</f>
        <v>0</v>
      </c>
      <c r="AD57" s="57">
        <f>[10]January_2019!N6</f>
        <v>0</v>
      </c>
      <c r="AE57" s="57">
        <f>[10]January_2019!O6</f>
        <v>0</v>
      </c>
      <c r="AF57" s="57">
        <f>[10]January_2019!P6</f>
        <v>0</v>
      </c>
      <c r="AG57" s="57">
        <f>[10]January_2019!Q6</f>
        <v>0</v>
      </c>
      <c r="AH57" s="57">
        <f>[10]January_2019!R6</f>
        <v>0</v>
      </c>
      <c r="AI57" s="57">
        <f>[10]January_2019!S6</f>
        <v>0</v>
      </c>
      <c r="AJ57" s="57">
        <f>[10]January_2019!T6</f>
        <v>0</v>
      </c>
      <c r="AK57" s="57">
        <f>[10]January_2019!U6</f>
        <v>0</v>
      </c>
      <c r="AL57" s="57">
        <f>[10]January_2019!V6</f>
        <v>0</v>
      </c>
      <c r="AM57" s="57">
        <f>[10]January_2019!W6</f>
        <v>0</v>
      </c>
      <c r="AN57" s="57">
        <f>[10]January_2019!X6</f>
        <v>0</v>
      </c>
      <c r="AO57" s="57">
        <f>[10]January_2019!Y6</f>
        <v>0</v>
      </c>
      <c r="AP57" s="57">
        <f>[10]January_2019!Z6</f>
        <v>0</v>
      </c>
      <c r="AQ57" s="57">
        <f>[10]January_2019!AA6</f>
        <v>0</v>
      </c>
      <c r="AR57" s="57">
        <f>[10]January_2019!AB6</f>
        <v>0</v>
      </c>
      <c r="AS57" s="57">
        <f>[10]January_2019!AC6</f>
        <v>0</v>
      </c>
      <c r="AT57" s="57">
        <f>[10]January_2019!AD6</f>
        <v>0</v>
      </c>
      <c r="AU57" s="57">
        <f>[10]January_2019!AE6</f>
        <v>0</v>
      </c>
      <c r="AV57" s="57">
        <f>[10]January_2019!AF6</f>
        <v>0</v>
      </c>
      <c r="AW57" s="57">
        <f>[10]January_2019!AG6</f>
        <v>0</v>
      </c>
      <c r="AX57" s="277">
        <f>[10]January_2019!AH6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37.15" hidden="1" customHeight="1" thickBot="1">
      <c r="A58" s="54" t="s">
        <v>170</v>
      </c>
      <c r="B58" s="480"/>
      <c r="C58" s="479"/>
      <c r="D58" s="442"/>
      <c r="E58" s="443"/>
      <c r="F58" s="444"/>
      <c r="G58" s="445"/>
      <c r="H58" s="458"/>
      <c r="I58" s="458"/>
      <c r="J58" s="448" t="s">
        <v>182</v>
      </c>
      <c r="K58" s="449"/>
      <c r="L58" s="457" t="e">
        <f>(((D58+E58)-G58)/(D58+E58))*100</f>
        <v>#DIV/0!</v>
      </c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[10]January_2019!L7</f>
        <v>285.8</v>
      </c>
      <c r="AC58" s="57">
        <f>[10]January_2019!M7</f>
        <v>508.1</v>
      </c>
      <c r="AD58" s="57">
        <f>[10]January_2019!N7</f>
        <v>0</v>
      </c>
      <c r="AE58" s="57">
        <f>[10]January_2019!O7</f>
        <v>0</v>
      </c>
      <c r="AF58" s="57">
        <f>[10]January_2019!P7</f>
        <v>109.56666666666666</v>
      </c>
      <c r="AG58" s="57">
        <f>[10]January_2019!Q7</f>
        <v>297.64999999999998</v>
      </c>
      <c r="AH58" s="57">
        <f>[10]January_2019!R7</f>
        <v>122.3</v>
      </c>
      <c r="AI58" s="57">
        <f>[10]January_2019!S7</f>
        <v>0</v>
      </c>
      <c r="AJ58" s="57">
        <f>[10]January_2019!T7</f>
        <v>294.7</v>
      </c>
      <c r="AK58" s="57">
        <f>[10]January_2019!U7</f>
        <v>280.5</v>
      </c>
      <c r="AL58" s="57">
        <f>[10]January_2019!V7</f>
        <v>0</v>
      </c>
      <c r="AM58" s="57">
        <f>[10]January_2019!W7</f>
        <v>0</v>
      </c>
      <c r="AN58" s="57">
        <f>[10]January_2019!X7</f>
        <v>188.25</v>
      </c>
      <c r="AO58" s="57">
        <f>[10]January_2019!Y7</f>
        <v>295.7</v>
      </c>
      <c r="AP58" s="57">
        <f>[10]January_2019!Z7</f>
        <v>257.8</v>
      </c>
      <c r="AQ58" s="57">
        <f>[10]January_2019!AA7</f>
        <v>291.2</v>
      </c>
      <c r="AR58" s="57">
        <f>[10]January_2019!AB7</f>
        <v>187</v>
      </c>
      <c r="AS58" s="57">
        <f>[10]January_2019!AC7</f>
        <v>0</v>
      </c>
      <c r="AT58" s="57">
        <f>[10]January_2019!AD7</f>
        <v>0</v>
      </c>
      <c r="AU58" s="57">
        <f>[10]January_2019!AE7</f>
        <v>485.1</v>
      </c>
      <c r="AV58" s="57">
        <f>[10]January_2019!AF7</f>
        <v>171.55</v>
      </c>
      <c r="AW58" s="57">
        <f>[10]January_2019!AG7</f>
        <v>423.8</v>
      </c>
      <c r="AX58" s="277">
        <f>[10]January_2019!AH7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19.5" hidden="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8.450000000000003" hidden="1" customHeight="1" thickBot="1">
      <c r="B60" s="480"/>
      <c r="C60" s="479"/>
      <c r="D60" s="442"/>
      <c r="E60" s="443"/>
      <c r="F60" s="444"/>
      <c r="G60" s="445"/>
      <c r="H60" s="458"/>
      <c r="I60" s="458"/>
      <c r="J60" s="448" t="s">
        <v>182</v>
      </c>
      <c r="K60" s="459"/>
      <c r="L60" s="457" t="e">
        <f>(((D60+E60)-G60)/(D60+E60))*100</f>
        <v>#DIV/0!</v>
      </c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hidden="1" customHeight="1" thickBot="1">
      <c r="B62" s="480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1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42" t="s">
        <v>55</v>
      </c>
      <c r="C67" s="543"/>
      <c r="D67" s="543"/>
      <c r="E67" s="543"/>
      <c r="F67" s="544"/>
      <c r="G67" s="542" t="s">
        <v>56</v>
      </c>
      <c r="H67" s="543"/>
      <c r="I67" s="543"/>
      <c r="J67" s="544"/>
      <c r="K67" s="542" t="s">
        <v>51</v>
      </c>
      <c r="L67" s="543"/>
      <c r="M67" s="543"/>
      <c r="N67" s="545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/>
      <c r="D69" s="76">
        <v>6.3077303978517252</v>
      </c>
      <c r="E69" s="76">
        <v>7.7753847959870175</v>
      </c>
      <c r="F69" s="66">
        <v>4.8</v>
      </c>
      <c r="G69" s="65"/>
      <c r="H69" s="477">
        <v>6.091037325454967</v>
      </c>
      <c r="I69" s="477">
        <v>7.6226564975505697</v>
      </c>
      <c r="J69" s="66">
        <v>4.8</v>
      </c>
      <c r="K69" s="67"/>
      <c r="L69" s="194">
        <v>0.43741830788522534</v>
      </c>
      <c r="M69" s="194">
        <v>0.42021164783296172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5.5485814712528159</v>
      </c>
      <c r="E70" s="76">
        <v>5.9933991294504168</v>
      </c>
      <c r="F70" s="66">
        <v>4.8</v>
      </c>
      <c r="G70" s="65"/>
      <c r="H70" s="76">
        <v>5.9263871453678032</v>
      </c>
      <c r="I70" s="76">
        <v>6.5827372639520458</v>
      </c>
      <c r="J70" s="66">
        <v>4.8</v>
      </c>
      <c r="K70" s="67"/>
      <c r="L70" s="194">
        <v>0.50017543859649127</v>
      </c>
      <c r="M70" s="194">
        <v>0.58881900089579098</v>
      </c>
      <c r="N70" s="68">
        <v>1</v>
      </c>
      <c r="P70" s="69"/>
    </row>
    <row r="71" spans="2:57" ht="15">
      <c r="B71" s="34" t="s">
        <v>40</v>
      </c>
      <c r="C71" s="65"/>
      <c r="D71" s="76">
        <v>11.722828666350269</v>
      </c>
      <c r="E71" s="76">
        <v>11.155100139729852</v>
      </c>
      <c r="F71" s="66">
        <v>5.5</v>
      </c>
      <c r="G71" s="65"/>
      <c r="H71" s="76">
        <v>12.537121640099599</v>
      </c>
      <c r="I71" s="76">
        <v>11.952951274961968</v>
      </c>
      <c r="J71" s="66">
        <v>5.5</v>
      </c>
      <c r="K71" s="67"/>
      <c r="L71" s="194">
        <v>0.16315789473684211</v>
      </c>
      <c r="M71" s="194">
        <v>0.42456140350877192</v>
      </c>
      <c r="N71" s="68">
        <v>1</v>
      </c>
      <c r="P71" s="69"/>
    </row>
    <row r="72" spans="2:57" ht="15">
      <c r="B72" s="22" t="s">
        <v>33</v>
      </c>
      <c r="C72" s="65"/>
      <c r="D72" s="76"/>
      <c r="E72" s="76">
        <v>5.0755456997699637</v>
      </c>
      <c r="F72" s="66">
        <v>3.3</v>
      </c>
      <c r="G72" s="65"/>
      <c r="H72" s="76"/>
      <c r="I72" s="76">
        <v>4.6359882890480018</v>
      </c>
      <c r="J72" s="66">
        <v>3.3</v>
      </c>
      <c r="K72" s="67"/>
      <c r="L72" s="194"/>
      <c r="M72" s="194">
        <v>0.66833333333333345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/>
      <c r="E74" s="76">
        <v>5.1105651105651271</v>
      </c>
      <c r="F74" s="70">
        <f>[11]May_2022!$M$43</f>
        <v>3.4878406700073312</v>
      </c>
      <c r="G74" s="282"/>
      <c r="H74" s="76"/>
      <c r="I74" s="76">
        <v>7.9131369535794072</v>
      </c>
      <c r="J74" s="66">
        <v>5.5</v>
      </c>
      <c r="K74" s="67"/>
      <c r="L74" s="194"/>
      <c r="M74" s="194">
        <v>1.3550877192982456</v>
      </c>
      <c r="N74" s="68">
        <v>1</v>
      </c>
      <c r="P74" s="69"/>
    </row>
    <row r="75" spans="2:57" ht="15">
      <c r="B75" s="37" t="s">
        <v>16</v>
      </c>
      <c r="C75" s="65"/>
      <c r="D75" s="76"/>
      <c r="E75" s="76">
        <v>2.0590520590520631</v>
      </c>
      <c r="F75" s="66">
        <v>3.3</v>
      </c>
      <c r="G75" s="282"/>
      <c r="H75" s="76"/>
      <c r="I75" s="76">
        <v>2.1755040108015784</v>
      </c>
      <c r="J75" s="66">
        <v>3.3</v>
      </c>
      <c r="K75" s="67"/>
      <c r="L75" s="194"/>
      <c r="M75" s="194">
        <v>0.88456140350877199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6.7020433204654744</v>
      </c>
      <c r="E78" s="76">
        <v>6.8608119845257924</v>
      </c>
      <c r="F78" s="341">
        <v>5.5</v>
      </c>
      <c r="H78" s="76">
        <v>6.8662665620993932</v>
      </c>
      <c r="I78" s="76">
        <v>7.0080671644557766</v>
      </c>
      <c r="J78" s="341">
        <v>5.5</v>
      </c>
      <c r="L78" s="194">
        <v>0.40831140350877193</v>
      </c>
      <c r="M78" s="194">
        <v>0.52897680984069362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7:F67"/>
    <mergeCell ref="G67:J67"/>
    <mergeCell ref="K67:N67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2064" priority="53" operator="notBetween">
      <formula>#REF!</formula>
      <formula>#REF!</formula>
    </cfRule>
  </conditionalFormatting>
  <conditionalFormatting sqref="C50">
    <cfRule type="cellIs" dxfId="2063" priority="166" stopIfTrue="1" operator="lessThan">
      <formula>96</formula>
    </cfRule>
    <cfRule type="cellIs" dxfId="2062" priority="167" stopIfTrue="1" operator="greaterThan">
      <formula>100</formula>
    </cfRule>
  </conditionalFormatting>
  <conditionalFormatting sqref="C69:C73">
    <cfRule type="cellIs" dxfId="2061" priority="124" stopIfTrue="1" operator="lessThanOrEqual">
      <formula>0</formula>
    </cfRule>
  </conditionalFormatting>
  <conditionalFormatting sqref="C69:C77">
    <cfRule type="cellIs" dxfId="2060" priority="123" stopIfTrue="1" operator="greaterThan">
      <formula>$F69</formula>
    </cfRule>
  </conditionalFormatting>
  <conditionalFormatting sqref="C70">
    <cfRule type="cellIs" dxfId="2059" priority="170" stopIfTrue="1" operator="greaterThan">
      <formula>$F69</formula>
    </cfRule>
  </conditionalFormatting>
  <conditionalFormatting sqref="C74">
    <cfRule type="cellIs" dxfId="2058" priority="77" stopIfTrue="1" operator="lessThanOrEqual">
      <formula>0</formula>
    </cfRule>
    <cfRule type="cellIs" dxfId="2057" priority="78" stopIfTrue="1" operator="greaterThan">
      <formula>$F73</formula>
    </cfRule>
  </conditionalFormatting>
  <conditionalFormatting sqref="C80:C84">
    <cfRule type="cellIs" dxfId="2056" priority="158" stopIfTrue="1" operator="lessThanOrEqual">
      <formula>0</formula>
    </cfRule>
  </conditionalFormatting>
  <conditionalFormatting sqref="C81:C84">
    <cfRule type="cellIs" dxfId="2055" priority="157" stopIfTrue="1" operator="greaterThan">
      <formula>$F$80</formula>
    </cfRule>
  </conditionalFormatting>
  <conditionalFormatting sqref="C86">
    <cfRule type="cellIs" dxfId="2054" priority="160" stopIfTrue="1" operator="lessThanOrEqual">
      <formula>0</formula>
    </cfRule>
    <cfRule type="cellIs" dxfId="2053" priority="159" stopIfTrue="1" operator="greaterThan">
      <formula>$F$80</formula>
    </cfRule>
  </conditionalFormatting>
  <conditionalFormatting sqref="C80:D80 D82:D88">
    <cfRule type="cellIs" dxfId="2052" priority="152" stopIfTrue="1" operator="greaterThan">
      <formula>4.5</formula>
    </cfRule>
  </conditionalFormatting>
  <conditionalFormatting sqref="D46:D47">
    <cfRule type="cellIs" dxfId="2051" priority="54" operator="notBetween">
      <formula>#REF!</formula>
      <formula>#REF!</formula>
    </cfRule>
  </conditionalFormatting>
  <conditionalFormatting sqref="D69:D76">
    <cfRule type="cellIs" dxfId="2050" priority="132" stopIfTrue="1" operator="lessThanOrEqual">
      <formula>0</formula>
    </cfRule>
  </conditionalFormatting>
  <conditionalFormatting sqref="D80 D82:D88">
    <cfRule type="cellIs" dxfId="2049" priority="153" stopIfTrue="1" operator="lessThanOrEqual">
      <formula>0</formula>
    </cfRule>
  </conditionalFormatting>
  <conditionalFormatting sqref="D81">
    <cfRule type="cellIs" dxfId="2048" priority="144" stopIfTrue="1" operator="greaterThan">
      <formula>$F$80</formula>
    </cfRule>
    <cfRule type="cellIs" dxfId="2047" priority="145" stopIfTrue="1" operator="lessThanOrEqual">
      <formula>0</formula>
    </cfRule>
  </conditionalFormatting>
  <conditionalFormatting sqref="D69:E78">
    <cfRule type="cellIs" dxfId="2046" priority="121" stopIfTrue="1" operator="greaterThan">
      <formula>$F69</formula>
    </cfRule>
  </conditionalFormatting>
  <conditionalFormatting sqref="D77:E77">
    <cfRule type="cellIs" dxfId="2045" priority="131" stopIfTrue="1" operator="lessThanOrEqual">
      <formula>0</formula>
    </cfRule>
  </conditionalFormatting>
  <conditionalFormatting sqref="D78:E78">
    <cfRule type="cellIs" dxfId="2044" priority="122" stopIfTrue="1" operator="lessThanOrEqual">
      <formula>0</formula>
    </cfRule>
  </conditionalFormatting>
  <conditionalFormatting sqref="E10:E21">
    <cfRule type="cellIs" dxfId="2043" priority="21" operator="lessThan">
      <formula>48</formula>
    </cfRule>
  </conditionalFormatting>
  <conditionalFormatting sqref="E49 E50:F50">
    <cfRule type="cellIs" dxfId="2042" priority="149" stopIfTrue="1" operator="greaterThan">
      <formula>100</formula>
    </cfRule>
  </conditionalFormatting>
  <conditionalFormatting sqref="E50">
    <cfRule type="cellIs" dxfId="2041" priority="146" stopIfTrue="1" operator="lessThan">
      <formula>96.8</formula>
    </cfRule>
    <cfRule type="cellIs" dxfId="2040" priority="147" stopIfTrue="1" operator="greaterThan">
      <formula>100</formula>
    </cfRule>
  </conditionalFormatting>
  <conditionalFormatting sqref="E69:E76">
    <cfRule type="cellIs" dxfId="2039" priority="41" stopIfTrue="1" operator="lessThanOrEqual">
      <formula>0</formula>
    </cfRule>
  </conditionalFormatting>
  <conditionalFormatting sqref="E69:E77">
    <cfRule type="cellIs" dxfId="2038" priority="128" stopIfTrue="1" operator="lessThanOrEqual">
      <formula>0</formula>
    </cfRule>
  </conditionalFormatting>
  <conditionalFormatting sqref="E80:E88">
    <cfRule type="cellIs" dxfId="2037" priority="138" stopIfTrue="1" operator="greaterThan">
      <formula>4.5</formula>
    </cfRule>
    <cfRule type="cellIs" dxfId="2036" priority="139" stopIfTrue="1" operator="lessThanOrEqual">
      <formula>0</formula>
    </cfRule>
  </conditionalFormatting>
  <conditionalFormatting sqref="E50:F50 E49">
    <cfRule type="cellIs" dxfId="2035" priority="148" stopIfTrue="1" operator="lessThan">
      <formula>96.5</formula>
    </cfRule>
  </conditionalFormatting>
  <conditionalFormatting sqref="F10:F18">
    <cfRule type="cellIs" dxfId="2034" priority="22" operator="greaterThan">
      <formula>60</formula>
    </cfRule>
  </conditionalFormatting>
  <conditionalFormatting sqref="F20:F21">
    <cfRule type="cellIs" dxfId="2033" priority="43" operator="greaterThan">
      <formula>60</formula>
    </cfRule>
  </conditionalFormatting>
  <conditionalFormatting sqref="F50">
    <cfRule type="cellIs" dxfId="2032" priority="164" stopIfTrue="1" operator="lessThan">
      <formula>96.8</formula>
    </cfRule>
    <cfRule type="cellIs" dxfId="2031" priority="165" stopIfTrue="1" operator="greaterThan">
      <formula>100</formula>
    </cfRule>
  </conditionalFormatting>
  <conditionalFormatting sqref="F78">
    <cfRule type="cellIs" dxfId="2030" priority="129" stopIfTrue="1" operator="greaterThan">
      <formula>$F78</formula>
    </cfRule>
    <cfRule type="cellIs" dxfId="2029" priority="130" stopIfTrue="1" operator="lessThanOrEqual">
      <formula>0</formula>
    </cfRule>
  </conditionalFormatting>
  <conditionalFormatting sqref="G10:G20">
    <cfRule type="expression" dxfId="2028" priority="24">
      <formula>IF(+(IF(G10&lt;S10,0,IF(G10&gt;T10,0,1)))=0,1)</formula>
    </cfRule>
  </conditionalFormatting>
  <conditionalFormatting sqref="G69:G70 C75:C77">
    <cfRule type="cellIs" dxfId="2027" priority="134" stopIfTrue="1" operator="lessThanOrEqual">
      <formula>0</formula>
    </cfRule>
  </conditionalFormatting>
  <conditionalFormatting sqref="G69:G70">
    <cfRule type="cellIs" dxfId="2026" priority="125" stopIfTrue="1" operator="greaterThan">
      <formula>$F69</formula>
    </cfRule>
    <cfRule type="cellIs" dxfId="2025" priority="133" stopIfTrue="1" operator="greaterThan">
      <formula>$F69</formula>
    </cfRule>
    <cfRule type="cellIs" dxfId="2024" priority="126" stopIfTrue="1" operator="lessThanOrEqual">
      <formula>0</formula>
    </cfRule>
  </conditionalFormatting>
  <conditionalFormatting sqref="G71">
    <cfRule type="cellIs" dxfId="2023" priority="168" stopIfTrue="1" operator="greaterThan">
      <formula>$F70</formula>
    </cfRule>
    <cfRule type="cellIs" dxfId="2022" priority="169" stopIfTrue="1" operator="lessThanOrEqual">
      <formula>0</formula>
    </cfRule>
  </conditionalFormatting>
  <conditionalFormatting sqref="G72">
    <cfRule type="cellIs" dxfId="2021" priority="52" stopIfTrue="1" operator="lessThanOrEqual">
      <formula>0</formula>
    </cfRule>
    <cfRule type="cellIs" dxfId="2020" priority="51" stopIfTrue="1" operator="greaterThan">
      <formula>$F72</formula>
    </cfRule>
    <cfRule type="cellIs" dxfId="2019" priority="50" stopIfTrue="1" operator="lessThanOrEqual">
      <formula>0</formula>
    </cfRule>
    <cfRule type="cellIs" dxfId="2018" priority="49" stopIfTrue="1" operator="greaterThan">
      <formula>$F72</formula>
    </cfRule>
  </conditionalFormatting>
  <conditionalFormatting sqref="G73:G77">
    <cfRule type="cellIs" dxfId="2017" priority="136" stopIfTrue="1" operator="lessThanOrEqual">
      <formula>0</formula>
    </cfRule>
    <cfRule type="cellIs" dxfId="2016" priority="135" stopIfTrue="1" operator="greaterThan">
      <formula>$J73</formula>
    </cfRule>
  </conditionalFormatting>
  <conditionalFormatting sqref="G82:G87 C85 C87">
    <cfRule type="cellIs" dxfId="2015" priority="162" stopIfTrue="1" operator="lessThanOrEqual">
      <formula>0</formula>
    </cfRule>
    <cfRule type="cellIs" dxfId="2014" priority="161" stopIfTrue="1" operator="greaterThan">
      <formula>4.5</formula>
    </cfRule>
  </conditionalFormatting>
  <conditionalFormatting sqref="G81:H81">
    <cfRule type="cellIs" dxfId="2013" priority="143" stopIfTrue="1" operator="lessThanOrEqual">
      <formula>0</formula>
    </cfRule>
    <cfRule type="cellIs" dxfId="2012" priority="142" stopIfTrue="1" operator="greaterThan">
      <formula>$F$80</formula>
    </cfRule>
  </conditionalFormatting>
  <conditionalFormatting sqref="H10:H20 G21:H21">
    <cfRule type="expression" dxfId="2011" priority="46">
      <formula>IF(+(IF(G10&lt;#REF!,0,IF(G10&gt;#REF!,0,1)))=0,1)</formula>
    </cfRule>
  </conditionalFormatting>
  <conditionalFormatting sqref="H35:H49">
    <cfRule type="cellIs" dxfId="2010" priority="140" stopIfTrue="1" operator="greaterThan">
      <formula>0</formula>
    </cfRule>
  </conditionalFormatting>
  <conditionalFormatting sqref="H53:H55">
    <cfRule type="cellIs" dxfId="2009" priority="2" stopIfTrue="1" operator="lessThanOrEqual">
      <formula>0</formula>
    </cfRule>
    <cfRule type="cellIs" dxfId="2008" priority="3" stopIfTrue="1" operator="greaterThan">
      <formula>$F$72</formula>
    </cfRule>
    <cfRule type="cellIs" dxfId="2007" priority="14" stopIfTrue="1" operator="lessThanOrEqual">
      <formula>0</formula>
    </cfRule>
    <cfRule type="cellIs" dxfId="2006" priority="11" stopIfTrue="1" operator="greaterThan">
      <formula>$F$75</formula>
    </cfRule>
    <cfRule type="cellIs" dxfId="2005" priority="13" stopIfTrue="1" operator="greaterThan">
      <formula>$F$73</formula>
    </cfRule>
    <cfRule type="cellIs" dxfId="2004" priority="12" stopIfTrue="1" operator="lessThanOrEqual">
      <formula>0</formula>
    </cfRule>
  </conditionalFormatting>
  <conditionalFormatting sqref="H56:H60">
    <cfRule type="cellIs" dxfId="2003" priority="28" stopIfTrue="1" operator="lessThanOrEqual">
      <formula>0</formula>
    </cfRule>
    <cfRule type="cellIs" dxfId="2002" priority="29" stopIfTrue="1" operator="greaterThan">
      <formula>$F$69</formula>
    </cfRule>
    <cfRule type="cellIs" dxfId="2001" priority="37" stopIfTrue="1" operator="greaterThan">
      <formula>$F$72</formula>
    </cfRule>
    <cfRule type="cellIs" dxfId="2000" priority="38" stopIfTrue="1" operator="lessThanOrEqual">
      <formula>0</formula>
    </cfRule>
    <cfRule type="cellIs" dxfId="1999" priority="39" stopIfTrue="1" operator="greaterThan">
      <formula>$F$70</formula>
    </cfRule>
    <cfRule type="cellIs" dxfId="1998" priority="40" stopIfTrue="1" operator="lessThanOrEqual">
      <formula>0</formula>
    </cfRule>
  </conditionalFormatting>
  <conditionalFormatting sqref="H61:H62">
    <cfRule type="cellIs" dxfId="1997" priority="80" stopIfTrue="1" operator="lessThanOrEqual">
      <formula>0</formula>
    </cfRule>
    <cfRule type="cellIs" dxfId="1996" priority="92" stopIfTrue="1" operator="lessThanOrEqual">
      <formula>0</formula>
    </cfRule>
    <cfRule type="cellIs" dxfId="1995" priority="91" stopIfTrue="1" operator="greaterThan">
      <formula>#REF!</formula>
    </cfRule>
    <cfRule type="cellIs" dxfId="1994" priority="90" stopIfTrue="1" operator="lessThanOrEqual">
      <formula>0</formula>
    </cfRule>
    <cfRule type="cellIs" dxfId="1993" priority="89" stopIfTrue="1" operator="greaterThan">
      <formula>$F$21</formula>
    </cfRule>
    <cfRule type="cellIs" dxfId="1992" priority="81" stopIfTrue="1" operator="greaterThan">
      <formula>#REF!</formula>
    </cfRule>
  </conditionalFormatting>
  <conditionalFormatting sqref="H63">
    <cfRule type="cellIs" dxfId="1991" priority="95" stopIfTrue="1" operator="lessThanOrEqual">
      <formula>0</formula>
    </cfRule>
    <cfRule type="cellIs" dxfId="1990" priority="96" stopIfTrue="1" operator="greaterThan">
      <formula>$F$34</formula>
    </cfRule>
    <cfRule type="cellIs" dxfId="1989" priority="104" stopIfTrue="1" operator="greaterThan">
      <formula>$F$37</formula>
    </cfRule>
    <cfRule type="cellIs" dxfId="1988" priority="105" stopIfTrue="1" operator="lessThanOrEqual">
      <formula>0</formula>
    </cfRule>
    <cfRule type="cellIs" dxfId="1987" priority="106" stopIfTrue="1" operator="greaterThan">
      <formula>$F$35</formula>
    </cfRule>
    <cfRule type="cellIs" dxfId="1986" priority="107" stopIfTrue="1" operator="lessThanOrEqual">
      <formula>0</formula>
    </cfRule>
  </conditionalFormatting>
  <conditionalFormatting sqref="H64:H65">
    <cfRule type="cellIs" dxfId="1985" priority="74" stopIfTrue="1" operator="lessThanOrEqual">
      <formula>0</formula>
    </cfRule>
    <cfRule type="cellIs" dxfId="1984" priority="76" stopIfTrue="1" operator="lessThanOrEqual">
      <formula>0</formula>
    </cfRule>
    <cfRule type="cellIs" dxfId="1983" priority="75" stopIfTrue="1" operator="greaterThan">
      <formula>#REF!</formula>
    </cfRule>
    <cfRule type="cellIs" dxfId="1982" priority="73" stopIfTrue="1" operator="greaterThan">
      <formula>$F$21</formula>
    </cfRule>
    <cfRule type="cellIs" dxfId="1981" priority="64" stopIfTrue="1" operator="lessThanOrEqual">
      <formula>0</formula>
    </cfRule>
    <cfRule type="cellIs" dxfId="1980" priority="65" stopIfTrue="1" operator="greaterThan">
      <formula>#REF!</formula>
    </cfRule>
  </conditionalFormatting>
  <conditionalFormatting sqref="H80 H82:H88">
    <cfRule type="cellIs" dxfId="1979" priority="155" stopIfTrue="1" operator="lessThanOrEqual">
      <formula>0</formula>
    </cfRule>
    <cfRule type="cellIs" dxfId="1978" priority="154" stopIfTrue="1" operator="greaterThan">
      <formula>4.5</formula>
    </cfRule>
  </conditionalFormatting>
  <conditionalFormatting sqref="H53:I55">
    <cfRule type="cellIs" dxfId="1977" priority="1" stopIfTrue="1" operator="greaterThan">
      <formula>$F$74</formula>
    </cfRule>
    <cfRule type="cellIs" dxfId="1976" priority="4" stopIfTrue="1" operator="lessThanOrEqual">
      <formula>0</formula>
    </cfRule>
  </conditionalFormatting>
  <conditionalFormatting sqref="H56:I60">
    <cfRule type="cellIs" dxfId="1975" priority="30" stopIfTrue="1" operator="lessThanOrEqual">
      <formula>0</formula>
    </cfRule>
    <cfRule type="cellIs" dxfId="1974" priority="27" stopIfTrue="1" operator="greaterThan">
      <formula>$F$71</formula>
    </cfRule>
  </conditionalFormatting>
  <conditionalFormatting sqref="H61:I62">
    <cfRule type="cellIs" dxfId="1973" priority="82" stopIfTrue="1" operator="lessThanOrEqual">
      <formula>0</formula>
    </cfRule>
    <cfRule type="cellIs" dxfId="1972" priority="79" stopIfTrue="1" operator="greaterThan">
      <formula>#REF!</formula>
    </cfRule>
  </conditionalFormatting>
  <conditionalFormatting sqref="H63:I63">
    <cfRule type="cellIs" dxfId="1971" priority="94" stopIfTrue="1" operator="greaterThan">
      <formula>$F$36</formula>
    </cfRule>
    <cfRule type="cellIs" dxfId="1970" priority="97" stopIfTrue="1" operator="lessThanOrEqual">
      <formula>0</formula>
    </cfRule>
  </conditionalFormatting>
  <conditionalFormatting sqref="H64:I65">
    <cfRule type="cellIs" dxfId="1969" priority="66" stopIfTrue="1" operator="lessThanOrEqual">
      <formula>0</formula>
    </cfRule>
    <cfRule type="cellIs" dxfId="1968" priority="63" stopIfTrue="1" operator="greaterThan">
      <formula>#REF!</formula>
    </cfRule>
  </conditionalFormatting>
  <conditionalFormatting sqref="H69:I76">
    <cfRule type="cellIs" dxfId="1967" priority="45" stopIfTrue="1" operator="lessThanOrEqual">
      <formula>0</formula>
    </cfRule>
    <cfRule type="cellIs" dxfId="1966" priority="44" stopIfTrue="1" operator="greaterThan">
      <formula>$J69</formula>
    </cfRule>
  </conditionalFormatting>
  <conditionalFormatting sqref="H77:I77">
    <cfRule type="cellIs" dxfId="1965" priority="127" operator="greaterThan">
      <formula>5.3</formula>
    </cfRule>
  </conditionalFormatting>
  <conditionalFormatting sqref="H78:I78">
    <cfRule type="cellIs" dxfId="1964" priority="119" stopIfTrue="1" operator="greaterThan">
      <formula>$J78</formula>
    </cfRule>
    <cfRule type="cellIs" dxfId="1963" priority="120" stopIfTrue="1" operator="lessThanOrEqual">
      <formula>0</formula>
    </cfRule>
  </conditionalFormatting>
  <conditionalFormatting sqref="I53:I55">
    <cfRule type="cellIs" dxfId="1962" priority="10" stopIfTrue="1" operator="lessThanOrEqual">
      <formula>0</formula>
    </cfRule>
    <cfRule type="cellIs" dxfId="1961" priority="9" stopIfTrue="1" operator="greaterThan">
      <formula>$F$72</formula>
    </cfRule>
    <cfRule type="cellIs" dxfId="1960" priority="8" stopIfTrue="1" operator="lessThanOrEqual">
      <formula>0</formula>
    </cfRule>
    <cfRule type="cellIs" dxfId="1959" priority="7" stopIfTrue="1" operator="greaterThan">
      <formula>$F$74</formula>
    </cfRule>
    <cfRule type="cellIs" dxfId="1958" priority="6" stopIfTrue="1" operator="lessThanOrEqual">
      <formula>0</formula>
    </cfRule>
    <cfRule type="cellIs" dxfId="1957" priority="5" stopIfTrue="1" operator="greaterThan">
      <formula>$F$72</formula>
    </cfRule>
  </conditionalFormatting>
  <conditionalFormatting sqref="I56:I60">
    <cfRule type="cellIs" dxfId="1956" priority="36" stopIfTrue="1" operator="lessThanOrEqual">
      <formula>0</formula>
    </cfRule>
    <cfRule type="cellIs" dxfId="1955" priority="35" stopIfTrue="1" operator="greaterThan">
      <formula>$F$69</formula>
    </cfRule>
    <cfRule type="cellIs" dxfId="1954" priority="34" stopIfTrue="1" operator="lessThanOrEqual">
      <formula>0</formula>
    </cfRule>
    <cfRule type="cellIs" dxfId="1953" priority="32" stopIfTrue="1" operator="lessThanOrEqual">
      <formula>0</formula>
    </cfRule>
    <cfRule type="cellIs" dxfId="1952" priority="31" stopIfTrue="1" operator="greaterThan">
      <formula>$F$69</formula>
    </cfRule>
    <cfRule type="cellIs" dxfId="1951" priority="33" stopIfTrue="1" operator="greaterThan">
      <formula>$F$71</formula>
    </cfRule>
  </conditionalFormatting>
  <conditionalFormatting sqref="I61:I62">
    <cfRule type="cellIs" dxfId="1950" priority="86" stopIfTrue="1" operator="lessThanOrEqual">
      <formula>0</formula>
    </cfRule>
    <cfRule type="cellIs" dxfId="1949" priority="87" stopIfTrue="1" operator="greaterThan">
      <formula>#REF!</formula>
    </cfRule>
    <cfRule type="cellIs" dxfId="1948" priority="88" stopIfTrue="1" operator="lessThanOrEqual">
      <formula>0</formula>
    </cfRule>
    <cfRule type="cellIs" dxfId="1947" priority="83" stopIfTrue="1" operator="greaterThan">
      <formula>#REF!</formula>
    </cfRule>
    <cfRule type="cellIs" dxfId="1946" priority="84" stopIfTrue="1" operator="lessThanOrEqual">
      <formula>0</formula>
    </cfRule>
    <cfRule type="cellIs" dxfId="1945" priority="85" stopIfTrue="1" operator="greaterThan">
      <formula>#REF!</formula>
    </cfRule>
  </conditionalFormatting>
  <conditionalFormatting sqref="I63">
    <cfRule type="cellIs" dxfId="1944" priority="103" stopIfTrue="1" operator="lessThanOrEqual">
      <formula>0</formula>
    </cfRule>
    <cfRule type="cellIs" dxfId="1943" priority="102" stopIfTrue="1" operator="greaterThan">
      <formula>$F$34</formula>
    </cfRule>
    <cfRule type="cellIs" dxfId="1942" priority="98" stopIfTrue="1" operator="greaterThan">
      <formula>$F$34</formula>
    </cfRule>
    <cfRule type="cellIs" dxfId="1941" priority="99" stopIfTrue="1" operator="lessThanOrEqual">
      <formula>0</formula>
    </cfRule>
    <cfRule type="cellIs" dxfId="1940" priority="100" stopIfTrue="1" operator="greaterThan">
      <formula>$F$36</formula>
    </cfRule>
    <cfRule type="cellIs" dxfId="1939" priority="101" stopIfTrue="1" operator="lessThanOrEqual">
      <formula>0</formula>
    </cfRule>
  </conditionalFormatting>
  <conditionalFormatting sqref="I64:I65">
    <cfRule type="cellIs" dxfId="1938" priority="70" stopIfTrue="1" operator="lessThanOrEqual">
      <formula>0</formula>
    </cfRule>
    <cfRule type="cellIs" dxfId="1937" priority="72" stopIfTrue="1" operator="lessThanOrEqual">
      <formula>0</formula>
    </cfRule>
    <cfRule type="cellIs" dxfId="1936" priority="71" stopIfTrue="1" operator="greaterThan">
      <formula>#REF!</formula>
    </cfRule>
    <cfRule type="cellIs" dxfId="1935" priority="69" stopIfTrue="1" operator="greaterThan">
      <formula>#REF!</formula>
    </cfRule>
    <cfRule type="cellIs" dxfId="1934" priority="68" stopIfTrue="1" operator="lessThanOrEqual">
      <formula>0</formula>
    </cfRule>
    <cfRule type="cellIs" dxfId="1933" priority="67" stopIfTrue="1" operator="greaterThan">
      <formula>#REF!</formula>
    </cfRule>
  </conditionalFormatting>
  <conditionalFormatting sqref="I80:I88">
    <cfRule type="cellIs" dxfId="1932" priority="151" stopIfTrue="1" operator="lessThanOrEqual">
      <formula>0</formula>
    </cfRule>
    <cfRule type="cellIs" dxfId="1931" priority="150" stopIfTrue="1" operator="greaterThan">
      <formula>4.5</formula>
    </cfRule>
  </conditionalFormatting>
  <conditionalFormatting sqref="I10:J21">
    <cfRule type="cellIs" dxfId="1930" priority="17" operator="lessThan">
      <formula>97.9</formula>
    </cfRule>
  </conditionalFormatting>
  <conditionalFormatting sqref="J26">
    <cfRule type="cellIs" dxfId="1929" priority="111" operator="lessThan">
      <formula>98</formula>
    </cfRule>
    <cfRule type="cellIs" dxfId="1928" priority="110" stopIfTrue="1" operator="greaterThan">
      <formula>100</formula>
    </cfRule>
    <cfRule type="cellIs" dxfId="1927" priority="109" stopIfTrue="1" operator="lessThan">
      <formula>96.8</formula>
    </cfRule>
  </conditionalFormatting>
  <conditionalFormatting sqref="J26:J28">
    <cfRule type="cellIs" dxfId="1926" priority="108" operator="lessThan">
      <formula>97.4</formula>
    </cfRule>
  </conditionalFormatting>
  <conditionalFormatting sqref="J29:J30">
    <cfRule type="cellIs" dxfId="1925" priority="112" operator="lessThan">
      <formula>98</formula>
    </cfRule>
  </conditionalFormatting>
  <conditionalFormatting sqref="J31:J32">
    <cfRule type="cellIs" dxfId="1924" priority="113" stopIfTrue="1" operator="lessThan">
      <formula>96.8</formula>
    </cfRule>
    <cfRule type="cellIs" dxfId="1923" priority="114" stopIfTrue="1" operator="greaterThan">
      <formula>100</formula>
    </cfRule>
  </conditionalFormatting>
  <conditionalFormatting sqref="J31:J33">
    <cfRule type="cellIs" dxfId="1922" priority="115" operator="lessThan">
      <formula>98</formula>
    </cfRule>
  </conditionalFormatting>
  <conditionalFormatting sqref="J65">
    <cfRule type="cellIs" dxfId="1921" priority="57" stopIfTrue="1" operator="greaterThan">
      <formula>#REF!</formula>
    </cfRule>
    <cfRule type="cellIs" dxfId="1920" priority="58" stopIfTrue="1" operator="lessThanOrEqual">
      <formula>0</formula>
    </cfRule>
    <cfRule type="cellIs" dxfId="1919" priority="59" stopIfTrue="1" operator="greaterThan">
      <formula>#REF!</formula>
    </cfRule>
    <cfRule type="cellIs" dxfId="1918" priority="60" stopIfTrue="1" operator="lessThanOrEqual">
      <formula>0</formula>
    </cfRule>
    <cfRule type="cellIs" dxfId="1917" priority="62" stopIfTrue="1" operator="lessThanOrEqual">
      <formula>0</formula>
    </cfRule>
    <cfRule type="cellIs" dxfId="1916" priority="61" stopIfTrue="1" operator="greaterThan">
      <formula>#REF!</formula>
    </cfRule>
    <cfRule type="cellIs" dxfId="1915" priority="56" stopIfTrue="1" operator="lessThanOrEqual">
      <formula>0</formula>
    </cfRule>
    <cfRule type="cellIs" dxfId="1914" priority="55" stopIfTrue="1" operator="greaterThan">
      <formula>#REF!</formula>
    </cfRule>
  </conditionalFormatting>
  <conditionalFormatting sqref="J78">
    <cfRule type="cellIs" dxfId="1913" priority="116" stopIfTrue="1" operator="greaterThan">
      <formula>$F78</formula>
    </cfRule>
    <cfRule type="cellIs" dxfId="1912" priority="117" stopIfTrue="1" operator="lessThanOrEqual">
      <formula>0</formula>
    </cfRule>
  </conditionalFormatting>
  <conditionalFormatting sqref="K10:K21">
    <cfRule type="cellIs" dxfId="1911" priority="20" operator="greaterThan">
      <formula>6.4</formula>
    </cfRule>
    <cfRule type="cellIs" dxfId="1910" priority="18" operator="greaterThan">
      <formula>6</formula>
    </cfRule>
    <cfRule type="cellIs" dxfId="1909" priority="19" operator="lessThan">
      <formula>4</formula>
    </cfRule>
  </conditionalFormatting>
  <conditionalFormatting sqref="K53:K65">
    <cfRule type="cellIs" dxfId="1908" priority="15" stopIfTrue="1" operator="lessThan">
      <formula>100%</formula>
    </cfRule>
  </conditionalFormatting>
  <conditionalFormatting sqref="K80:K85">
    <cfRule type="cellIs" dxfId="1907" priority="156" stopIfTrue="1" operator="lessThan">
      <formula>100%</formula>
    </cfRule>
  </conditionalFormatting>
  <conditionalFormatting sqref="K87:K88">
    <cfRule type="cellIs" dxfId="1906" priority="163" stopIfTrue="1" operator="lessThan">
      <formula>100%</formula>
    </cfRule>
  </conditionalFormatting>
  <conditionalFormatting sqref="K69:N77">
    <cfRule type="cellIs" dxfId="1905" priority="93" stopIfTrue="1" operator="lessThan">
      <formula>100%</formula>
    </cfRule>
  </conditionalFormatting>
  <conditionalFormatting sqref="L10:L21">
    <cfRule type="cellIs" dxfId="1904" priority="25" operator="between">
      <formula>61</formula>
      <formula>65</formula>
    </cfRule>
    <cfRule type="cellIs" dxfId="1903" priority="26" operator="greaterThan">
      <formula>65</formula>
    </cfRule>
  </conditionalFormatting>
  <conditionalFormatting sqref="L24:M35">
    <cfRule type="cellIs" dxfId="1902" priority="47" operator="lessThan">
      <formula>97.95</formula>
    </cfRule>
  </conditionalFormatting>
  <conditionalFormatting sqref="L39:N39">
    <cfRule type="cellIs" dxfId="1901" priority="48" operator="notEqual">
      <formula>#REF!</formula>
    </cfRule>
  </conditionalFormatting>
  <conditionalFormatting sqref="L78:N78">
    <cfRule type="cellIs" dxfId="1900" priority="118" stopIfTrue="1" operator="lessThan">
      <formula>100%</formula>
    </cfRule>
  </conditionalFormatting>
  <conditionalFormatting sqref="L80:N88">
    <cfRule type="cellIs" dxfId="1899" priority="141" stopIfTrue="1" operator="lessThan">
      <formula>100%</formula>
    </cfRule>
  </conditionalFormatting>
  <conditionalFormatting sqref="M10:M20">
    <cfRule type="expression" dxfId="1898" priority="23">
      <formula>IF(+(IF(M10&lt;U10,0,IF(M10&gt;V10,0,1)))=0,1)</formula>
    </cfRule>
  </conditionalFormatting>
  <conditionalFormatting sqref="M21:N21">
    <cfRule type="expression" dxfId="1897" priority="171">
      <formula>IF(+(IF(M21&lt;#REF!,0,IF(M21&gt;#REF!,0,1)))=0,1)</formula>
    </cfRule>
  </conditionalFormatting>
  <conditionalFormatting sqref="N10:N20">
    <cfRule type="expression" dxfId="1896" priority="16">
      <formula>IF(+(IF(N10&lt;W10,0,IF(N10&gt;X10,0,1)))=0,1)</formula>
    </cfRule>
  </conditionalFormatting>
  <conditionalFormatting sqref="P6">
    <cfRule type="cellIs" dxfId="1895" priority="137" operator="greaterThanOrEqual">
      <formula>19</formula>
    </cfRule>
  </conditionalFormatting>
  <dataValidations count="1">
    <dataValidation type="list" allowBlank="1" showInputMessage="1" showErrorMessage="1" sqref="R8" xr:uid="{5CFEFD73-38A3-48B4-B4FF-FAD80B24025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FEC8-80CA-429D-BFEB-90D8D7C33EE1}">
  <sheetPr>
    <pageSetUpPr fitToPage="1"/>
  </sheetPr>
  <dimension ref="A1:BE76"/>
  <sheetViews>
    <sheetView topLeftCell="A9" zoomScale="80" zoomScaleNormal="80" workbookViewId="0">
      <selection activeCell="E10" sqref="E10:E16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46064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[3]Brewhouse!$A142</f>
        <v>CA100</v>
      </c>
      <c r="D10" s="279">
        <f>[3]Brewhouse!$AF142</f>
        <v>53.9</v>
      </c>
      <c r="E10" s="279">
        <f>[3]Brewhouse!$AI142</f>
        <v>51.8</v>
      </c>
      <c r="F10" s="278">
        <f>[3]Brewhouse!$V142</f>
        <v>64</v>
      </c>
      <c r="G10" s="279">
        <f>[3]Brewhouse!AG142</f>
        <v>11.9</v>
      </c>
      <c r="H10" s="482"/>
      <c r="I10" s="368">
        <f>[3]Brewhouse!$AU142</f>
        <v>81.813106414231768</v>
      </c>
      <c r="J10" s="368">
        <f>[3]Brewhouse!$AV142</f>
        <v>82.797898109667386</v>
      </c>
      <c r="K10" s="281">
        <f>[3]Brewhouse!$Q142</f>
        <v>-0.15065913370997797</v>
      </c>
      <c r="L10" s="276">
        <f>[3]Brewhouse!$P142</f>
        <v>60</v>
      </c>
      <c r="M10" s="397">
        <f>[3]Brewhouse!$U142-[3]Brewhouse!$T142</f>
        <v>0.13263888888888892</v>
      </c>
      <c r="N10" s="370">
        <f>[3]Brewhouse!$Z142</f>
        <v>0.28888888888888886</v>
      </c>
      <c r="O10" s="420" t="str">
        <f>[3]Brewhouse!$AX142</f>
        <v>D. Gomaz</v>
      </c>
      <c r="P10" s="418"/>
      <c r="R10" s="277" t="str">
        <f>B10</f>
        <v>CARIB</v>
      </c>
      <c r="S10" s="472">
        <f t="shared" ref="S10:S36" si="0">VLOOKUP($B10,$R$3:$X$9,2,FALSE)</f>
        <v>11.6</v>
      </c>
      <c r="T10" s="472">
        <f t="shared" ref="T10:T36" si="1">VLOOKUP($B10,$R$3:$X$9,3,FALSE)</f>
        <v>12</v>
      </c>
      <c r="U10" s="297">
        <f t="shared" ref="U10:U36" si="2">VLOOKUP($B10,$R$3:$X$9,4,FALSE)</f>
        <v>0</v>
      </c>
      <c r="V10" s="297">
        <f t="shared" ref="V10:V36" si="3">VLOOKUP($B10,$R$3:$X$9,5,FALSE)</f>
        <v>0.118055555555556</v>
      </c>
      <c r="W10" s="297">
        <f t="shared" ref="W10:W36" si="4">VLOOKUP($B10,$R$3:$X$9,6,FALSE)</f>
        <v>0.22569444444444445</v>
      </c>
      <c r="X10" s="297">
        <f t="shared" ref="X10:X36" si="5">VLOOKUP($B10,$R$3:$X$9,7,FALSE)</f>
        <v>0.2638888888888889</v>
      </c>
      <c r="Y10" s="297">
        <f t="shared" ref="Y10:Y36" si="6">VLOOKUP($B10,$R$3:$Z$9,8,FALSE)</f>
        <v>0</v>
      </c>
      <c r="Z10" s="472">
        <f t="shared" ref="Z10:Z36" si="7">VLOOKUP($B10,$R$3:$Z$9,9,FALSE)</f>
        <v>60</v>
      </c>
    </row>
    <row r="11" spans="2:29" ht="16.5" customHeight="1">
      <c r="B11" s="29" t="s">
        <v>6</v>
      </c>
      <c r="C11" s="366" t="str">
        <f>[3]Brewhouse!$A143</f>
        <v>CA101</v>
      </c>
      <c r="D11" s="279">
        <f>[3]Brewhouse!$AF143</f>
        <v>51.3</v>
      </c>
      <c r="E11" s="279">
        <f>[3]Brewhouse!$AI143</f>
        <v>49.7</v>
      </c>
      <c r="F11" s="278">
        <f>[3]Brewhouse!$V143</f>
        <v>61</v>
      </c>
      <c r="G11" s="279">
        <f>[3]Brewhouse!AG143</f>
        <v>12</v>
      </c>
      <c r="H11" s="396"/>
      <c r="I11" s="368">
        <f>[3]Brewhouse!$AU143</f>
        <v>74.681377386116381</v>
      </c>
      <c r="J11" s="368">
        <f>[3]Brewhouse!$AV143</f>
        <v>75.525190398415546</v>
      </c>
      <c r="K11" s="281">
        <f>[3]Brewhouse!$Q143</f>
        <v>-4.9377593360995755</v>
      </c>
      <c r="L11" s="276">
        <f>[3]Brewhouse!$P143</f>
        <v>61</v>
      </c>
      <c r="M11" s="397">
        <f>[3]Brewhouse!$U143-[3]Brewhouse!$T143</f>
        <v>0.11597222222222214</v>
      </c>
      <c r="N11" s="370">
        <f>[3]Brewhouse!$Z143</f>
        <v>0.26527777777777772</v>
      </c>
      <c r="O11" s="420" t="str">
        <f>[3]Brewhouse!$AX143</f>
        <v>D. Gomaz</v>
      </c>
      <c r="P11" s="418"/>
      <c r="R11" s="277" t="str">
        <f t="shared" ref="R11:R36" si="8">B11</f>
        <v>CARIB</v>
      </c>
      <c r="S11" s="472">
        <f t="shared" si="0"/>
        <v>11.6</v>
      </c>
      <c r="T11" s="472">
        <f t="shared" si="1"/>
        <v>12</v>
      </c>
      <c r="U11" s="297">
        <f t="shared" si="2"/>
        <v>0</v>
      </c>
      <c r="V11" s="297">
        <f t="shared" si="3"/>
        <v>0.118055555555556</v>
      </c>
      <c r="W11" s="297">
        <f t="shared" si="4"/>
        <v>0.22569444444444445</v>
      </c>
      <c r="X11" s="297">
        <f t="shared" si="5"/>
        <v>0.2638888888888889</v>
      </c>
      <c r="Y11" s="297">
        <f t="shared" si="6"/>
        <v>0</v>
      </c>
      <c r="Z11" s="472">
        <f t="shared" si="7"/>
        <v>60</v>
      </c>
    </row>
    <row r="12" spans="2:29" ht="16.5" customHeight="1">
      <c r="B12" s="29" t="s">
        <v>6</v>
      </c>
      <c r="C12" s="366" t="str">
        <f>[3]Brewhouse!$A144</f>
        <v>CA102</v>
      </c>
      <c r="D12" s="279">
        <f>[3]Brewhouse!$AF144</f>
        <v>52</v>
      </c>
      <c r="E12" s="279">
        <f>[3]Brewhouse!$AI144</f>
        <v>50.5</v>
      </c>
      <c r="F12" s="278">
        <f>[3]Brewhouse!$V144</f>
        <v>58</v>
      </c>
      <c r="G12" s="279">
        <f>[3]Brewhouse!AG144</f>
        <v>12</v>
      </c>
      <c r="H12" s="396"/>
      <c r="I12" s="368">
        <f>[3]Brewhouse!$AU144</f>
        <v>99.596822865747242</v>
      </c>
      <c r="J12" s="368">
        <f>[3]Brewhouse!$AV144</f>
        <v>101.08102835504837</v>
      </c>
      <c r="K12" s="281">
        <f>[3]Brewhouse!$Q144</f>
        <v>4.9433962264150892</v>
      </c>
      <c r="L12" s="276">
        <f>[3]Brewhouse!$P144</f>
        <v>63</v>
      </c>
      <c r="M12" s="397">
        <f>[3]Brewhouse!$U144-[3]Brewhouse!$T144</f>
        <v>0.12361111111111101</v>
      </c>
      <c r="N12" s="370">
        <f>[3]Brewhouse!$Z144</f>
        <v>0.31736111111111104</v>
      </c>
      <c r="O12" s="420" t="str">
        <f>[3]Brewhouse!$AX144</f>
        <v>D. Gomaz</v>
      </c>
      <c r="P12" s="418"/>
      <c r="R12" s="277" t="str">
        <f t="shared" si="8"/>
        <v>CARIB</v>
      </c>
      <c r="S12" s="472">
        <f t="shared" si="0"/>
        <v>11.6</v>
      </c>
      <c r="T12" s="472">
        <f t="shared" si="1"/>
        <v>12</v>
      </c>
      <c r="U12" s="297">
        <f t="shared" si="2"/>
        <v>0</v>
      </c>
      <c r="V12" s="297">
        <f t="shared" si="3"/>
        <v>0.118055555555556</v>
      </c>
      <c r="W12" s="297">
        <f t="shared" si="4"/>
        <v>0.22569444444444445</v>
      </c>
      <c r="X12" s="297">
        <f t="shared" si="5"/>
        <v>0.2638888888888889</v>
      </c>
      <c r="Y12" s="297">
        <f t="shared" si="6"/>
        <v>0</v>
      </c>
      <c r="Z12" s="472">
        <f t="shared" si="7"/>
        <v>60</v>
      </c>
    </row>
    <row r="13" spans="2:29" ht="16.5" customHeight="1">
      <c r="B13" s="29" t="s">
        <v>6</v>
      </c>
      <c r="C13" s="366" t="str">
        <f>[3]Brewhouse!$A145</f>
        <v>CA103</v>
      </c>
      <c r="D13" s="279">
        <f>[3]Brewhouse!$AF145</f>
        <v>52.1</v>
      </c>
      <c r="E13" s="279">
        <f>[3]Brewhouse!$AI145</f>
        <v>50.7</v>
      </c>
      <c r="F13" s="278">
        <f>[3]Brewhouse!$V145</f>
        <v>53</v>
      </c>
      <c r="G13" s="279">
        <f>[3]Brewhouse!AG145</f>
        <v>11.8</v>
      </c>
      <c r="H13" s="396"/>
      <c r="I13" s="368">
        <f>[3]Brewhouse!$AU145</f>
        <v>98.361425847158671</v>
      </c>
      <c r="J13" s="368">
        <f>[3]Brewhouse!$AV145</f>
        <v>99.827102811254065</v>
      </c>
      <c r="K13" s="281">
        <f>[3]Brewhouse!$Q145</f>
        <v>3.0566037735849005</v>
      </c>
      <c r="L13" s="276">
        <f>[3]Brewhouse!$P145</f>
        <v>61</v>
      </c>
      <c r="M13" s="397">
        <f>[3]Brewhouse!$U145-[3]Brewhouse!$T145</f>
        <v>0.11111111111111116</v>
      </c>
      <c r="N13" s="370">
        <f>[3]Brewhouse!$Z145</f>
        <v>0.28541666666666676</v>
      </c>
      <c r="O13" s="420" t="str">
        <f>[3]Brewhouse!$AX145</f>
        <v>K. Benjamin</v>
      </c>
      <c r="P13" s="418"/>
      <c r="R13" s="277" t="str">
        <f t="shared" si="8"/>
        <v>CARIB</v>
      </c>
      <c r="S13" s="472">
        <f t="shared" si="0"/>
        <v>11.6</v>
      </c>
      <c r="T13" s="472">
        <f t="shared" si="1"/>
        <v>12</v>
      </c>
      <c r="U13" s="297">
        <f t="shared" si="2"/>
        <v>0</v>
      </c>
      <c r="V13" s="297">
        <f t="shared" si="3"/>
        <v>0.118055555555556</v>
      </c>
      <c r="W13" s="297">
        <f t="shared" si="4"/>
        <v>0.22569444444444445</v>
      </c>
      <c r="X13" s="297">
        <f t="shared" si="5"/>
        <v>0.2638888888888889</v>
      </c>
      <c r="Y13" s="297">
        <f t="shared" si="6"/>
        <v>0</v>
      </c>
      <c r="Z13" s="472">
        <f t="shared" si="7"/>
        <v>60</v>
      </c>
    </row>
    <row r="14" spans="2:29" ht="16.5" customHeight="1">
      <c r="B14" s="29" t="s">
        <v>6</v>
      </c>
      <c r="C14" s="366" t="str">
        <f>[3]Brewhouse!$A146</f>
        <v>CA104</v>
      </c>
      <c r="D14" s="279">
        <f>[3]Brewhouse!$AF146</f>
        <v>54.6</v>
      </c>
      <c r="E14" s="279">
        <f>[3]Brewhouse!$AI146</f>
        <v>52</v>
      </c>
      <c r="F14" s="278">
        <f>[3]Brewhouse!$V146</f>
        <v>62</v>
      </c>
      <c r="G14" s="279">
        <f>[3]Brewhouse!AG146</f>
        <v>12</v>
      </c>
      <c r="H14" s="396"/>
      <c r="I14" s="368">
        <f>[3]Brewhouse!$AU146</f>
        <v>102.80934079529675</v>
      </c>
      <c r="J14" s="368">
        <f>[3]Brewhouse!$AV146</f>
        <v>104.34117170611479</v>
      </c>
      <c r="K14" s="281">
        <f>[3]Brewhouse!$Q146</f>
        <v>-1.660377358490571</v>
      </c>
      <c r="L14" s="276">
        <f>[3]Brewhouse!$P146</f>
        <v>60</v>
      </c>
      <c r="M14" s="397">
        <f>[3]Brewhouse!$U146-[3]Brewhouse!$T146</f>
        <v>0.12708333333333321</v>
      </c>
      <c r="N14" s="370">
        <f>[3]Brewhouse!$Z146</f>
        <v>0.27222222222222214</v>
      </c>
      <c r="O14" s="420" t="str">
        <f>[3]Brewhouse!$AX146</f>
        <v>K. Benjamin</v>
      </c>
      <c r="P14" s="418"/>
      <c r="R14" s="277" t="str">
        <f t="shared" si="8"/>
        <v>CARIB</v>
      </c>
      <c r="S14" s="472">
        <f t="shared" si="0"/>
        <v>11.6</v>
      </c>
      <c r="T14" s="472">
        <f t="shared" si="1"/>
        <v>12</v>
      </c>
      <c r="U14" s="297">
        <f t="shared" si="2"/>
        <v>0</v>
      </c>
      <c r="V14" s="297">
        <f t="shared" si="3"/>
        <v>0.118055555555556</v>
      </c>
      <c r="W14" s="297">
        <f t="shared" si="4"/>
        <v>0.22569444444444445</v>
      </c>
      <c r="X14" s="297">
        <f t="shared" si="5"/>
        <v>0.2638888888888889</v>
      </c>
      <c r="Y14" s="297">
        <f t="shared" si="6"/>
        <v>0</v>
      </c>
      <c r="Z14" s="472">
        <f t="shared" si="7"/>
        <v>60</v>
      </c>
    </row>
    <row r="15" spans="2:29" ht="16.5" customHeight="1">
      <c r="B15" s="29" t="s">
        <v>6</v>
      </c>
      <c r="C15" s="366" t="str">
        <f>[3]Brewhouse!$A147</f>
        <v>CA105</v>
      </c>
      <c r="D15" s="279">
        <f>[3]Brewhouse!$AF147</f>
        <v>54</v>
      </c>
      <c r="E15" s="279">
        <f>[3]Brewhouse!$AI147</f>
        <v>53.3</v>
      </c>
      <c r="F15" s="278">
        <f>[3]Brewhouse!$V147</f>
        <v>69</v>
      </c>
      <c r="G15" s="279">
        <f>[3]Brewhouse!AG147</f>
        <v>11.9</v>
      </c>
      <c r="H15" s="396"/>
      <c r="I15" s="368">
        <f>[3]Brewhouse!$AU147</f>
        <v>104.32736945451965</v>
      </c>
      <c r="J15" s="368">
        <f>[3]Brewhouse!$AV147</f>
        <v>105.88194454142175</v>
      </c>
      <c r="K15" s="281">
        <f>[3]Brewhouse!$Q147</f>
        <v>-1.6793893129771043</v>
      </c>
      <c r="L15" s="276">
        <f>[3]Brewhouse!$P147</f>
        <v>61</v>
      </c>
      <c r="M15" s="397">
        <f>[3]Brewhouse!$U147-[3]Brewhouse!$T147</f>
        <v>0.13402777777777786</v>
      </c>
      <c r="N15" s="370">
        <f>[3]Brewhouse!$Z147</f>
        <v>0.2909722222222223</v>
      </c>
      <c r="O15" s="420" t="str">
        <f>[3]Brewhouse!$AX147</f>
        <v>R. Regis</v>
      </c>
      <c r="P15" s="418"/>
      <c r="R15" s="277" t="str">
        <f t="shared" si="8"/>
        <v>CARIB</v>
      </c>
      <c r="S15" s="472">
        <f t="shared" si="0"/>
        <v>11.6</v>
      </c>
      <c r="T15" s="472">
        <f t="shared" si="1"/>
        <v>12</v>
      </c>
      <c r="U15" s="297">
        <f t="shared" si="2"/>
        <v>0</v>
      </c>
      <c r="V15" s="297">
        <f t="shared" si="3"/>
        <v>0.118055555555556</v>
      </c>
      <c r="W15" s="297">
        <f t="shared" si="4"/>
        <v>0.22569444444444445</v>
      </c>
      <c r="X15" s="297">
        <f t="shared" si="5"/>
        <v>0.2638888888888889</v>
      </c>
      <c r="Y15" s="297">
        <f t="shared" si="6"/>
        <v>0</v>
      </c>
      <c r="Z15" s="472">
        <f t="shared" si="7"/>
        <v>60</v>
      </c>
    </row>
    <row r="16" spans="2:29" ht="16.5" customHeight="1">
      <c r="B16" s="29" t="s">
        <v>6</v>
      </c>
      <c r="C16" s="366" t="str">
        <f>[3]Brewhouse!$A148</f>
        <v>CA106</v>
      </c>
      <c r="D16" s="279">
        <f>[3]Brewhouse!$AF148</f>
        <v>53.6</v>
      </c>
      <c r="E16" s="279">
        <f>[3]Brewhouse!$AI148</f>
        <v>53.2</v>
      </c>
      <c r="F16" s="278">
        <f>[3]Brewhouse!$V148</f>
        <v>69</v>
      </c>
      <c r="G16" s="279">
        <f>[3]Brewhouse!AG148</f>
        <v>11.7</v>
      </c>
      <c r="H16" s="396"/>
      <c r="I16" s="368">
        <f>[3]Brewhouse!$AU148</f>
        <v>102.41832780758313</v>
      </c>
      <c r="J16" s="368">
        <f>[3]Brewhouse!$AV148</f>
        <v>103.94433273239176</v>
      </c>
      <c r="K16" s="281">
        <f>[3]Brewhouse!$Q148</f>
        <v>-3.6862745098039267</v>
      </c>
      <c r="L16" s="276">
        <f>[3]Brewhouse!$P148</f>
        <v>60</v>
      </c>
      <c r="M16" s="397">
        <f>[3]Brewhouse!$U148-[3]Brewhouse!$T148</f>
        <v>0.12847222222222232</v>
      </c>
      <c r="N16" s="370">
        <f>[3]Brewhouse!$Z148</f>
        <v>0.28333333333333333</v>
      </c>
      <c r="O16" s="420" t="str">
        <f>[3]Brewhouse!$AX148</f>
        <v>R. Regis</v>
      </c>
      <c r="P16" s="418"/>
      <c r="R16" s="277" t="str">
        <f t="shared" si="8"/>
        <v>CARIB</v>
      </c>
      <c r="S16" s="472">
        <f t="shared" si="0"/>
        <v>11.6</v>
      </c>
      <c r="T16" s="472">
        <f t="shared" si="1"/>
        <v>12</v>
      </c>
      <c r="U16" s="297">
        <f t="shared" si="2"/>
        <v>0</v>
      </c>
      <c r="V16" s="297">
        <f t="shared" si="3"/>
        <v>0.118055555555556</v>
      </c>
      <c r="W16" s="297">
        <f t="shared" si="4"/>
        <v>0.22569444444444445</v>
      </c>
      <c r="X16" s="297">
        <f t="shared" si="5"/>
        <v>0.2638888888888889</v>
      </c>
      <c r="Y16" s="297">
        <f t="shared" si="6"/>
        <v>0</v>
      </c>
      <c r="Z16" s="472">
        <f t="shared" si="7"/>
        <v>60</v>
      </c>
    </row>
    <row r="17" spans="1:27" ht="16.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/>
      <c r="S17" s="472"/>
      <c r="T17" s="472"/>
      <c r="U17" s="297"/>
      <c r="V17" s="297"/>
      <c r="W17" s="297"/>
      <c r="X17" s="297"/>
      <c r="Y17" s="297"/>
      <c r="Z17" s="472"/>
    </row>
    <row r="18" spans="1:27" ht="16.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/>
      <c r="S18" s="472"/>
      <c r="T18" s="472"/>
      <c r="U18" s="297"/>
      <c r="V18" s="297"/>
      <c r="W18" s="297"/>
      <c r="X18" s="297"/>
      <c r="Y18" s="297"/>
      <c r="Z18" s="472"/>
    </row>
    <row r="19" spans="1:27" ht="16.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/>
      <c r="S19" s="472"/>
      <c r="T19" s="472"/>
      <c r="U19" s="297"/>
      <c r="V19" s="297"/>
      <c r="W19" s="297"/>
      <c r="X19" s="297"/>
      <c r="Y19" s="297"/>
      <c r="Z19" s="472"/>
    </row>
    <row r="20" spans="1:27" ht="16.5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/>
      <c r="S20" s="472"/>
      <c r="T20" s="472"/>
      <c r="U20" s="297"/>
      <c r="V20" s="297"/>
      <c r="W20" s="297"/>
      <c r="X20" s="297"/>
      <c r="Y20" s="297"/>
      <c r="Z20" s="472"/>
    </row>
    <row r="21" spans="1:27" ht="18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8"/>
        <v>0</v>
      </c>
      <c r="S21" s="472" t="e">
        <f t="shared" si="0"/>
        <v>#N/A</v>
      </c>
      <c r="T21" s="472" t="e">
        <f t="shared" si="1"/>
        <v>#N/A</v>
      </c>
      <c r="U21" s="297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472" t="e">
        <f t="shared" si="7"/>
        <v>#N/A</v>
      </c>
    </row>
    <row r="22" spans="1:27" ht="16.5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8"/>
        <v>0</v>
      </c>
      <c r="S22" s="472" t="e">
        <f t="shared" si="0"/>
        <v>#N/A</v>
      </c>
      <c r="T22" s="472" t="e">
        <f t="shared" si="1"/>
        <v>#N/A</v>
      </c>
      <c r="U22" s="297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472" t="e">
        <f t="shared" si="7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11"/>
      <c r="J23" s="511"/>
      <c r="K23" s="511"/>
      <c r="L23" s="511"/>
      <c r="M23" s="511"/>
      <c r="N23" s="511"/>
      <c r="O23" s="1"/>
      <c r="P23" s="12"/>
      <c r="R23" s="277">
        <f t="shared" si="8"/>
        <v>0</v>
      </c>
      <c r="S23" s="472" t="e">
        <f t="shared" si="0"/>
        <v>#N/A</v>
      </c>
      <c r="T23" s="472" t="e">
        <f t="shared" si="1"/>
        <v>#N/A</v>
      </c>
      <c r="U23" s="297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472" t="e">
        <f t="shared" si="7"/>
        <v>#N/A</v>
      </c>
    </row>
    <row r="24" spans="1:27" ht="15.75" customHeight="1" thickBot="1">
      <c r="B24" s="388" t="s">
        <v>162</v>
      </c>
      <c r="C24" s="388"/>
      <c r="D24" s="512" t="s">
        <v>35</v>
      </c>
      <c r="E24" s="513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8"/>
        <v xml:space="preserve">BRAND </v>
      </c>
      <c r="S24" s="472" t="e">
        <f t="shared" si="0"/>
        <v>#N/A</v>
      </c>
      <c r="T24" s="472" t="e">
        <f t="shared" si="1"/>
        <v>#N/A</v>
      </c>
      <c r="U24" s="297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472" t="e">
        <f t="shared" si="7"/>
        <v>#N/A</v>
      </c>
    </row>
    <row r="25" spans="1:27" ht="15" customHeight="1">
      <c r="A25" s="28"/>
      <c r="B25" s="580"/>
      <c r="C25" s="362"/>
      <c r="D25" s="517"/>
      <c r="E25" s="518"/>
      <c r="F25" s="294"/>
      <c r="G25" s="294"/>
      <c r="H25" s="348"/>
      <c r="I25" s="29" t="s">
        <v>6</v>
      </c>
      <c r="J25" s="280">
        <f>AVERAGE(I10:I16)</f>
        <v>94.858252938664791</v>
      </c>
      <c r="K25" s="284">
        <f>COUNTA([3]Brewhouse!$A$125:$A$148)</f>
        <v>24</v>
      </c>
      <c r="L25" s="305">
        <f>AVERAGE([3]Brewhouse!$AU$125:$AU$148)</f>
        <v>96.92312331712543</v>
      </c>
      <c r="M25" s="305">
        <f>AVERAGE([3]Brewhouse!$AU$42:$AU$123,[3]Brewhouse!$AU$125:$AU$148)</f>
        <v>97.715176730175955</v>
      </c>
      <c r="N25" s="30">
        <v>98</v>
      </c>
      <c r="O25" s="11"/>
      <c r="P25" s="31"/>
      <c r="R25" s="277">
        <f t="shared" si="8"/>
        <v>0</v>
      </c>
      <c r="S25" s="472" t="e">
        <f t="shared" si="0"/>
        <v>#N/A</v>
      </c>
      <c r="T25" s="472" t="e">
        <f t="shared" si="1"/>
        <v>#N/A</v>
      </c>
      <c r="U25" s="297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472" t="e">
        <f t="shared" si="7"/>
        <v>#N/A</v>
      </c>
    </row>
    <row r="26" spans="1:27" ht="15" customHeight="1">
      <c r="A26" s="28"/>
      <c r="B26" s="581"/>
      <c r="C26" s="362"/>
      <c r="D26" s="519"/>
      <c r="E26" s="520"/>
      <c r="F26" s="294"/>
      <c r="G26" s="294"/>
      <c r="H26" s="348"/>
      <c r="I26" s="33" t="s">
        <v>9</v>
      </c>
      <c r="J26" s="280"/>
      <c r="K26" s="284">
        <f>COUNTA([4]Brewhouse!$A$83:$A$102)</f>
        <v>20</v>
      </c>
      <c r="L26" s="302">
        <f>AVERAGE([4]Brewhouse!$AS$83:$AS$102)</f>
        <v>97.82854827310743</v>
      </c>
      <c r="M26" s="302">
        <f>AVERAGE([4]Brewhouse!$AS$52:$AS$81,[4]Brewhouse!$AS$83:$AS$102)</f>
        <v>98.546544958251161</v>
      </c>
      <c r="N26" s="30">
        <v>98</v>
      </c>
      <c r="O26" s="11"/>
      <c r="P26" s="31"/>
      <c r="R26" s="277">
        <f t="shared" si="8"/>
        <v>0</v>
      </c>
      <c r="S26" s="472" t="e">
        <f t="shared" si="0"/>
        <v>#N/A</v>
      </c>
      <c r="T26" s="472" t="e">
        <f t="shared" si="1"/>
        <v>#N/A</v>
      </c>
      <c r="U26" s="297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472" t="e">
        <f t="shared" si="7"/>
        <v>#N/A</v>
      </c>
    </row>
    <row r="27" spans="1:27" ht="14.65" customHeight="1">
      <c r="A27" s="28"/>
      <c r="B27" s="581"/>
      <c r="C27" s="362"/>
      <c r="D27" s="521"/>
      <c r="E27" s="522"/>
      <c r="F27" s="294"/>
      <c r="G27" s="294"/>
      <c r="H27" s="348"/>
      <c r="I27" s="34" t="s">
        <v>12</v>
      </c>
      <c r="J27" s="280"/>
      <c r="K27" s="284">
        <f>COUNTA([6]Brewhouse!$A$25:$A$27)</f>
        <v>3</v>
      </c>
      <c r="L27" s="302">
        <f>AVERAGE([6]Brewhouse!$AU$25:$AU$27)</f>
        <v>98.383718888256155</v>
      </c>
      <c r="M27" s="302">
        <f>AVERAGE([6]Brewhouse!$AU$16:$AU$23,[6]Brewhouse!$AU$25:$AU$27)</f>
        <v>97.933890431198279</v>
      </c>
      <c r="N27" s="30">
        <v>98</v>
      </c>
      <c r="O27" s="11"/>
      <c r="P27" s="31"/>
      <c r="R27" s="277">
        <f t="shared" si="8"/>
        <v>0</v>
      </c>
      <c r="S27" s="472" t="e">
        <f t="shared" si="0"/>
        <v>#N/A</v>
      </c>
      <c r="T27" s="472" t="e">
        <f t="shared" si="1"/>
        <v>#N/A</v>
      </c>
      <c r="U27" s="297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472" t="e">
        <f t="shared" si="7"/>
        <v>#N/A</v>
      </c>
    </row>
    <row r="28" spans="1:27" ht="14.65" customHeight="1">
      <c r="A28" s="28"/>
      <c r="B28" s="581"/>
      <c r="C28" s="362"/>
      <c r="D28" s="523"/>
      <c r="E28" s="520"/>
      <c r="F28" s="294"/>
      <c r="G28" s="294"/>
      <c r="H28" s="348"/>
      <c r="I28" s="22" t="s">
        <v>33</v>
      </c>
      <c r="J28" s="280"/>
      <c r="K28" s="284"/>
      <c r="L28" s="302"/>
      <c r="M28" s="302">
        <f>AVERAGE([5]Brewhouse!$AV$23:$AV$34)</f>
        <v>98.31387229810305</v>
      </c>
      <c r="N28" s="30">
        <v>98</v>
      </c>
      <c r="O28" s="11"/>
      <c r="P28" s="31"/>
      <c r="R28" s="277">
        <f t="shared" si="8"/>
        <v>0</v>
      </c>
      <c r="S28" s="472" t="e">
        <f t="shared" si="0"/>
        <v>#N/A</v>
      </c>
      <c r="T28" s="472" t="e">
        <f t="shared" si="1"/>
        <v>#N/A</v>
      </c>
      <c r="U28" s="297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472" t="e">
        <f t="shared" si="7"/>
        <v>#N/A</v>
      </c>
    </row>
    <row r="29" spans="1:27" ht="14.65" customHeight="1">
      <c r="A29" s="28"/>
      <c r="B29" s="581"/>
      <c r="C29" s="362"/>
      <c r="D29" s="521"/>
      <c r="E29" s="522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8"/>
        <v>0</v>
      </c>
      <c r="S29" s="472" t="e">
        <f t="shared" si="0"/>
        <v>#N/A</v>
      </c>
      <c r="T29" s="472" t="e">
        <f t="shared" si="1"/>
        <v>#N/A</v>
      </c>
      <c r="U29" s="297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472" t="e">
        <f t="shared" si="7"/>
        <v>#N/A</v>
      </c>
    </row>
    <row r="30" spans="1:27" ht="14.65" customHeight="1">
      <c r="A30" s="28"/>
      <c r="B30" s="581"/>
      <c r="C30" s="362"/>
      <c r="D30" s="523"/>
      <c r="E30" s="520"/>
      <c r="F30" s="417"/>
      <c r="G30" s="294"/>
      <c r="H30" s="348"/>
      <c r="I30" s="36" t="s">
        <v>15</v>
      </c>
      <c r="J30" s="323"/>
      <c r="K30" s="284"/>
      <c r="L30" s="302"/>
      <c r="M30" s="302">
        <f>AVERAGE([7]Brewhouse!$AT$4:$AT$11)</f>
        <v>92.826224508052405</v>
      </c>
      <c r="N30" s="30">
        <v>98</v>
      </c>
      <c r="O30" s="11"/>
      <c r="P30" s="31"/>
      <c r="R30" s="277">
        <f t="shared" si="8"/>
        <v>0</v>
      </c>
      <c r="S30" s="472" t="e">
        <f t="shared" si="0"/>
        <v>#N/A</v>
      </c>
      <c r="T30" s="472" t="e">
        <f t="shared" si="1"/>
        <v>#N/A</v>
      </c>
      <c r="U30" s="297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472" t="e">
        <f t="shared" si="7"/>
        <v>#N/A</v>
      </c>
      <c r="AA30" s="472"/>
    </row>
    <row r="31" spans="1:27" ht="14.65" customHeight="1">
      <c r="A31" s="28"/>
      <c r="B31" s="581"/>
      <c r="C31" s="362"/>
      <c r="D31" s="521"/>
      <c r="E31" s="522"/>
      <c r="F31" s="417"/>
      <c r="G31" s="294"/>
      <c r="H31" s="348"/>
      <c r="I31" s="37" t="s">
        <v>16</v>
      </c>
      <c r="J31" s="323"/>
      <c r="K31" s="284"/>
      <c r="L31" s="302"/>
      <c r="M31" s="302">
        <f>AVERAGE([8]Brewhouse!$AY$5:$AY$7)</f>
        <v>98.128633252159673</v>
      </c>
      <c r="N31" s="30">
        <v>98</v>
      </c>
      <c r="O31" s="11"/>
      <c r="P31" s="31" t="s">
        <v>41</v>
      </c>
      <c r="R31" s="277">
        <f t="shared" si="8"/>
        <v>0</v>
      </c>
      <c r="S31" s="472" t="e">
        <f t="shared" si="0"/>
        <v>#N/A</v>
      </c>
      <c r="T31" s="472" t="e">
        <f t="shared" si="1"/>
        <v>#N/A</v>
      </c>
      <c r="U31" s="297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472" t="e">
        <f t="shared" si="7"/>
        <v>#N/A</v>
      </c>
      <c r="AA31" s="472"/>
    </row>
    <row r="32" spans="1:27" ht="14.65" customHeight="1">
      <c r="A32" s="28"/>
      <c r="B32" s="581"/>
      <c r="C32" s="362"/>
      <c r="D32" s="523"/>
      <c r="E32" s="520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8"/>
        <v>0</v>
      </c>
      <c r="S32" s="472" t="e">
        <f t="shared" si="0"/>
        <v>#N/A</v>
      </c>
      <c r="T32" s="472" t="e">
        <f t="shared" si="1"/>
        <v>#N/A</v>
      </c>
      <c r="U32" s="297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472" t="e">
        <f t="shared" si="7"/>
        <v>#N/A</v>
      </c>
      <c r="AA32" s="472"/>
    </row>
    <row r="33" spans="1:56" ht="14.65" customHeight="1">
      <c r="A33" s="28"/>
      <c r="B33" s="581"/>
      <c r="C33" s="349"/>
      <c r="D33" s="521"/>
      <c r="E33" s="522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8"/>
        <v>0</v>
      </c>
      <c r="S33" s="472" t="e">
        <f t="shared" si="0"/>
        <v>#N/A</v>
      </c>
      <c r="T33" s="472" t="e">
        <f t="shared" si="1"/>
        <v>#N/A</v>
      </c>
      <c r="U33" s="297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472" t="e">
        <f t="shared" si="7"/>
        <v>#N/A</v>
      </c>
      <c r="AA33" s="472"/>
    </row>
    <row r="34" spans="1:56" ht="15" customHeight="1" thickBot="1">
      <c r="A34" s="28"/>
      <c r="B34" s="581"/>
      <c r="C34" s="349"/>
      <c r="D34" s="523"/>
      <c r="E34" s="520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8"/>
        <v>0</v>
      </c>
      <c r="S34" s="472" t="e">
        <f t="shared" si="0"/>
        <v>#N/A</v>
      </c>
      <c r="T34" s="472" t="e">
        <f t="shared" si="1"/>
        <v>#N/A</v>
      </c>
      <c r="U34" s="297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472" t="e">
        <f t="shared" si="7"/>
        <v>#N/A</v>
      </c>
      <c r="AA34" s="472"/>
    </row>
    <row r="35" spans="1:56" ht="15" customHeight="1" thickBot="1">
      <c r="A35" s="28"/>
      <c r="B35" s="581"/>
      <c r="C35" s="349"/>
      <c r="D35" s="517"/>
      <c r="E35" s="518"/>
      <c r="F35" s="294"/>
      <c r="G35" s="294"/>
      <c r="H35" s="348"/>
      <c r="I35" s="1"/>
      <c r="J35" s="39"/>
      <c r="K35" s="404">
        <f>SUM(K25:K34)</f>
        <v>47</v>
      </c>
      <c r="L35" s="405">
        <f>((L25*K25)+(L26*K26)+(L27*K27)+(L28*K28)+(L29*K29)+(K32*L32)+(L30*K30)+(L31*K31)+(L34*K34))/(K35)</f>
        <v>97.40164003697717</v>
      </c>
      <c r="M35" s="405">
        <f>L35</f>
        <v>97.40164003697717</v>
      </c>
      <c r="N35" s="40">
        <v>98</v>
      </c>
      <c r="O35" s="11"/>
      <c r="P35" s="31"/>
      <c r="R35" s="277">
        <f t="shared" si="8"/>
        <v>0</v>
      </c>
      <c r="S35" s="472" t="e">
        <f t="shared" si="0"/>
        <v>#N/A</v>
      </c>
      <c r="T35" s="472" t="e">
        <f t="shared" si="1"/>
        <v>#N/A</v>
      </c>
      <c r="U35" s="297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472" t="e">
        <f t="shared" si="7"/>
        <v>#N/A</v>
      </c>
      <c r="AA35" s="472"/>
    </row>
    <row r="36" spans="1:56" ht="15.75" thickBot="1">
      <c r="B36" s="582"/>
      <c r="C36" s="350"/>
      <c r="D36" s="519"/>
      <c r="E36" s="520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8"/>
        <v>0</v>
      </c>
      <c r="S36" s="472" t="e">
        <f t="shared" si="0"/>
        <v>#N/A</v>
      </c>
      <c r="T36" s="472" t="e">
        <f t="shared" si="1"/>
        <v>#N/A</v>
      </c>
      <c r="U36" s="297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472" t="e">
        <f t="shared" si="7"/>
        <v>#N/A</v>
      </c>
      <c r="AA36" s="472"/>
    </row>
    <row r="37" spans="1:56" ht="15.75" thickBot="1">
      <c r="B37" s="514"/>
      <c r="C37" s="362"/>
      <c r="D37" s="525"/>
      <c r="E37" s="526"/>
      <c r="F37" s="294"/>
      <c r="G37" s="42"/>
      <c r="H37" s="41"/>
      <c r="I37" s="42"/>
      <c r="J37" s="527" t="s">
        <v>129</v>
      </c>
      <c r="K37" s="527"/>
      <c r="L37" s="294"/>
      <c r="M37" s="294"/>
      <c r="N37" s="294"/>
      <c r="O37" s="294"/>
      <c r="P37" s="12"/>
    </row>
    <row r="38" spans="1:56" ht="15.75" thickBot="1">
      <c r="B38" s="515"/>
      <c r="C38" s="362"/>
      <c r="D38" s="523"/>
      <c r="E38" s="520"/>
      <c r="F38" s="294"/>
      <c r="G38" s="42"/>
      <c r="H38" s="41"/>
      <c r="I38" s="42"/>
      <c r="J38" s="292" t="s">
        <v>17</v>
      </c>
      <c r="K38" s="293" t="s">
        <v>147</v>
      </c>
      <c r="L38" s="528" t="s">
        <v>136</v>
      </c>
      <c r="M38" s="528"/>
      <c r="N38" s="529"/>
      <c r="O38" s="294"/>
      <c r="P38" s="12"/>
    </row>
    <row r="39" spans="1:56" ht="15" customHeight="1" thickBot="1">
      <c r="B39" s="515"/>
      <c r="C39" s="349"/>
      <c r="D39" s="521"/>
      <c r="E39" s="522"/>
      <c r="F39" s="294"/>
      <c r="G39" s="42"/>
      <c r="H39" s="41"/>
      <c r="I39" s="42"/>
      <c r="J39" s="287" t="s">
        <v>6</v>
      </c>
      <c r="K39" s="324">
        <v>7</v>
      </c>
      <c r="L39" s="473" t="s">
        <v>37</v>
      </c>
      <c r="M39" s="474" t="s">
        <v>38</v>
      </c>
      <c r="N39" s="474" t="s">
        <v>84</v>
      </c>
      <c r="O39" s="294"/>
      <c r="P39" s="12"/>
    </row>
    <row r="40" spans="1:56" ht="15.75" customHeight="1" thickBot="1">
      <c r="B40" s="515"/>
      <c r="C40" s="349"/>
      <c r="D40" s="523"/>
      <c r="E40" s="520"/>
      <c r="F40" s="294"/>
      <c r="G40" s="42"/>
      <c r="H40" s="41"/>
      <c r="I40" s="42"/>
      <c r="J40" s="345" t="s">
        <v>9</v>
      </c>
      <c r="K40" s="324"/>
      <c r="L40" s="344">
        <f>AVERAGE(K49,'Feb 2nd'!K49,'Feb 3rd'!K54,'Feb 4th'!K53,'Feb 4th'!K53,'Feb 5th'!K49,'Feb 6th'!K49,'Feb 9th'!K52,'Feb 10th'!K54,'Feb 11th'!K48)</f>
        <v>6.8</v>
      </c>
      <c r="M40" s="325">
        <f>AVERAGE('[9]Jan30th-31st'!$L$47,L40)</f>
        <v>6.4434782608695649</v>
      </c>
      <c r="N40" s="416">
        <v>9.1999999999999993</v>
      </c>
      <c r="O40" s="294"/>
      <c r="P40" s="12"/>
    </row>
    <row r="41" spans="1:56" ht="15" customHeight="1">
      <c r="B41" s="515"/>
      <c r="C41" s="349"/>
      <c r="D41" s="521"/>
      <c r="E41" s="522"/>
      <c r="F41" s="294"/>
      <c r="G41" s="42"/>
      <c r="H41" s="41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15"/>
      <c r="C42" s="349"/>
      <c r="D42" s="523"/>
      <c r="E42" s="520"/>
      <c r="F42" s="294"/>
      <c r="G42" s="42"/>
      <c r="H42" s="41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15"/>
      <c r="C43" s="349"/>
      <c r="D43" s="521"/>
      <c r="E43" s="522"/>
      <c r="F43" s="294"/>
      <c r="G43" s="42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15"/>
      <c r="C44" s="349"/>
      <c r="D44" s="523"/>
      <c r="E44" s="520"/>
      <c r="F44" s="294"/>
      <c r="G44" s="42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15"/>
      <c r="C45" s="349"/>
      <c r="D45" s="521"/>
      <c r="E45" s="522"/>
      <c r="F45" s="294"/>
      <c r="G45" s="42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24"/>
      <c r="C46" s="350"/>
      <c r="D46" s="530"/>
      <c r="E46" s="531"/>
      <c r="F46" s="294" t="s">
        <v>166</v>
      </c>
      <c r="G46" s="42"/>
      <c r="H46" s="41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32"/>
      <c r="E47" s="533"/>
      <c r="F47" s="294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1:57" ht="15.6" customHeight="1">
      <c r="B49" s="45"/>
      <c r="C49" s="11"/>
      <c r="D49" s="11"/>
      <c r="E49" s="46"/>
      <c r="F49" s="294"/>
      <c r="G49" s="42"/>
      <c r="H49" s="41"/>
      <c r="I49" s="42"/>
      <c r="J49" s="346" t="s">
        <v>130</v>
      </c>
      <c r="K49" s="324">
        <f>SUM(K39:K48)</f>
        <v>7</v>
      </c>
      <c r="L49" s="294"/>
      <c r="M49" s="294"/>
      <c r="N49" s="294"/>
      <c r="O49" s="294"/>
      <c r="P49" s="12"/>
    </row>
    <row r="50" spans="1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1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1:57" ht="15" customHeight="1" thickBot="1">
      <c r="B52" s="534" t="s">
        <v>17</v>
      </c>
      <c r="C52" s="534" t="s">
        <v>44</v>
      </c>
      <c r="D52" s="537" t="s">
        <v>45</v>
      </c>
      <c r="E52" s="500" t="s">
        <v>46</v>
      </c>
      <c r="F52" s="509" t="s">
        <v>47</v>
      </c>
      <c r="G52" s="546" t="s">
        <v>48</v>
      </c>
      <c r="H52" s="534" t="s">
        <v>49</v>
      </c>
      <c r="I52" s="534" t="s">
        <v>50</v>
      </c>
      <c r="J52" s="540" t="s">
        <v>28</v>
      </c>
      <c r="K52" s="498" t="s">
        <v>51</v>
      </c>
      <c r="L52" s="549" t="s">
        <v>52</v>
      </c>
      <c r="M52" s="540" t="s">
        <v>53</v>
      </c>
      <c r="N52" s="13"/>
      <c r="O52" s="13"/>
      <c r="P52" s="50"/>
    </row>
    <row r="53" spans="1:57" ht="28.5" customHeight="1" thickTop="1" thickBot="1">
      <c r="B53" s="535"/>
      <c r="C53" s="536"/>
      <c r="D53" s="538"/>
      <c r="E53" s="539"/>
      <c r="F53" s="551"/>
      <c r="G53" s="547"/>
      <c r="H53" s="535"/>
      <c r="I53" s="535"/>
      <c r="J53" s="541"/>
      <c r="K53" s="548"/>
      <c r="L53" s="550"/>
      <c r="M53" s="541"/>
      <c r="N53" s="13"/>
      <c r="O53" s="13"/>
      <c r="P53" s="50"/>
      <c r="Q53" s="355"/>
      <c r="AB53" s="475">
        <v>43474</v>
      </c>
      <c r="AC53" s="475">
        <v>43475</v>
      </c>
      <c r="AD53" s="475">
        <v>43476</v>
      </c>
      <c r="AE53" s="475">
        <v>43477</v>
      </c>
      <c r="AF53" s="475">
        <v>43478</v>
      </c>
      <c r="AG53" s="475">
        <v>43479</v>
      </c>
      <c r="AH53" s="475">
        <v>43480</v>
      </c>
      <c r="AI53" s="475">
        <v>43481</v>
      </c>
      <c r="AJ53" s="475">
        <v>43482</v>
      </c>
      <c r="AK53" s="475">
        <v>43483</v>
      </c>
      <c r="AL53" s="475">
        <v>43484</v>
      </c>
      <c r="AM53" s="475">
        <v>43485</v>
      </c>
      <c r="AN53" s="475">
        <v>43486</v>
      </c>
      <c r="AO53" s="475">
        <v>43487</v>
      </c>
      <c r="AP53" s="475">
        <v>43488</v>
      </c>
      <c r="AQ53" s="475">
        <v>43489</v>
      </c>
      <c r="AR53" s="475">
        <v>43490</v>
      </c>
      <c r="AS53" s="475">
        <v>43491</v>
      </c>
      <c r="AT53" s="475">
        <v>43492</v>
      </c>
      <c r="AU53" s="475">
        <v>43493</v>
      </c>
      <c r="AV53" s="475">
        <v>43494</v>
      </c>
      <c r="AW53" s="475">
        <v>43495</v>
      </c>
      <c r="AX53" s="475">
        <v>43496</v>
      </c>
    </row>
    <row r="54" spans="1:57" s="54" customFormat="1" ht="37.15" customHeight="1" thickBot="1">
      <c r="B54" s="481" t="str">
        <f>J40</f>
        <v>STAG</v>
      </c>
      <c r="C54" s="479">
        <v>46065</v>
      </c>
      <c r="D54" s="442">
        <f>[29]February_2026!$O$13</f>
        <v>396.90000000000003</v>
      </c>
      <c r="E54" s="443"/>
      <c r="F54" s="444"/>
      <c r="G54" s="445">
        <f>[29]February_2026!$O$17</f>
        <v>367.1</v>
      </c>
      <c r="H54" s="458"/>
      <c r="I54" s="458"/>
      <c r="J54" s="448" t="s">
        <v>184</v>
      </c>
      <c r="K54" s="449">
        <f>[30]February_2026!$O$25</f>
        <v>0.2576140350877193</v>
      </c>
      <c r="L54" s="457">
        <f>(((D54+E54)-G54)/(D54+E54))*100</f>
        <v>7.5081884605694151</v>
      </c>
      <c r="M54" s="455" t="s">
        <v>183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[10]January_2019!L5</f>
        <v>0</v>
      </c>
      <c r="AC54" s="57">
        <f>[10]January_2019!M5</f>
        <v>0</v>
      </c>
      <c r="AD54" s="57">
        <f>[10]January_2019!N5</f>
        <v>0</v>
      </c>
      <c r="AE54" s="57">
        <f>[10]January_2019!O5</f>
        <v>0</v>
      </c>
      <c r="AF54" s="57">
        <f>[10]January_2019!P5</f>
        <v>0</v>
      </c>
      <c r="AG54" s="57">
        <f>[10]January_2019!Q5</f>
        <v>0</v>
      </c>
      <c r="AH54" s="57">
        <f>[10]January_2019!R5</f>
        <v>0</v>
      </c>
      <c r="AI54" s="57">
        <f>[10]January_2019!S5</f>
        <v>0</v>
      </c>
      <c r="AJ54" s="57">
        <f>[10]January_2019!T5</f>
        <v>0</v>
      </c>
      <c r="AK54" s="57">
        <f>[10]January_2019!U5</f>
        <v>0</v>
      </c>
      <c r="AL54" s="57">
        <f>[10]January_2019!V5</f>
        <v>0</v>
      </c>
      <c r="AM54" s="57">
        <f>[10]January_2019!W5</f>
        <v>0</v>
      </c>
      <c r="AN54" s="57">
        <f>[10]January_2019!X5</f>
        <v>0</v>
      </c>
      <c r="AO54" s="57">
        <f>[10]January_2019!Y5</f>
        <v>0</v>
      </c>
      <c r="AP54" s="57">
        <f>[10]January_2019!Z5</f>
        <v>0</v>
      </c>
      <c r="AQ54" s="57">
        <f>[10]January_2019!AA5</f>
        <v>0</v>
      </c>
      <c r="AR54" s="57">
        <f>[10]January_2019!AB5</f>
        <v>0</v>
      </c>
      <c r="AS54" s="57">
        <f>[10]January_2019!AC5</f>
        <v>0</v>
      </c>
      <c r="AT54" s="57">
        <f>[10]January_2019!AD5</f>
        <v>0</v>
      </c>
      <c r="AU54" s="57">
        <f>[10]January_2019!AE5</f>
        <v>0</v>
      </c>
      <c r="AV54" s="57">
        <f>[10]January_2019!AF5</f>
        <v>0</v>
      </c>
      <c r="AW54" s="57">
        <f>[10]January_2019!AG5</f>
        <v>0</v>
      </c>
      <c r="AX54" s="277">
        <f>[10]January_2019!AH5</f>
        <v>0</v>
      </c>
      <c r="AY54" s="277"/>
      <c r="AZ54" s="277"/>
      <c r="BA54" s="277"/>
      <c r="BB54" s="277"/>
      <c r="BC54" s="277"/>
      <c r="BD54" s="277"/>
      <c r="BE54" s="277"/>
    </row>
    <row r="55" spans="1:57" s="54" customFormat="1" ht="14.25" customHeight="1" thickBot="1">
      <c r="B55" s="480"/>
      <c r="C55" s="479"/>
      <c r="D55" s="442"/>
      <c r="E55" s="443"/>
      <c r="F55" s="444"/>
      <c r="G55" s="445"/>
      <c r="H55" s="458"/>
      <c r="I55" s="458"/>
      <c r="J55" s="476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[10]January_2019!L6</f>
        <v>0</v>
      </c>
      <c r="AC55" s="57">
        <f>[10]January_2019!M6</f>
        <v>0</v>
      </c>
      <c r="AD55" s="57">
        <f>[10]January_2019!N6</f>
        <v>0</v>
      </c>
      <c r="AE55" s="57">
        <f>[10]January_2019!O6</f>
        <v>0</v>
      </c>
      <c r="AF55" s="57">
        <f>[10]January_2019!P6</f>
        <v>0</v>
      </c>
      <c r="AG55" s="57">
        <f>[10]January_2019!Q6</f>
        <v>0</v>
      </c>
      <c r="AH55" s="57">
        <f>[10]January_2019!R6</f>
        <v>0</v>
      </c>
      <c r="AI55" s="57">
        <f>[10]January_2019!S6</f>
        <v>0</v>
      </c>
      <c r="AJ55" s="57">
        <f>[10]January_2019!T6</f>
        <v>0</v>
      </c>
      <c r="AK55" s="57">
        <f>[10]January_2019!U6</f>
        <v>0</v>
      </c>
      <c r="AL55" s="57">
        <f>[10]January_2019!V6</f>
        <v>0</v>
      </c>
      <c r="AM55" s="57">
        <f>[10]January_2019!W6</f>
        <v>0</v>
      </c>
      <c r="AN55" s="57">
        <f>[10]January_2019!X6</f>
        <v>0</v>
      </c>
      <c r="AO55" s="57">
        <f>[10]January_2019!Y6</f>
        <v>0</v>
      </c>
      <c r="AP55" s="57">
        <f>[10]January_2019!Z6</f>
        <v>0</v>
      </c>
      <c r="AQ55" s="57">
        <f>[10]January_2019!AA6</f>
        <v>0</v>
      </c>
      <c r="AR55" s="57">
        <f>[10]January_2019!AB6</f>
        <v>0</v>
      </c>
      <c r="AS55" s="57">
        <f>[10]January_2019!AC6</f>
        <v>0</v>
      </c>
      <c r="AT55" s="57">
        <f>[10]January_2019!AD6</f>
        <v>0</v>
      </c>
      <c r="AU55" s="57">
        <f>[10]January_2019!AE6</f>
        <v>0</v>
      </c>
      <c r="AV55" s="57">
        <f>[10]January_2019!AF6</f>
        <v>0</v>
      </c>
      <c r="AW55" s="57">
        <f>[10]January_2019!AG6</f>
        <v>0</v>
      </c>
      <c r="AX55" s="277">
        <f>[10]January_2019!AH6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37.15" hidden="1" customHeight="1" thickBot="1">
      <c r="A56" s="54" t="s">
        <v>170</v>
      </c>
      <c r="B56" s="480"/>
      <c r="C56" s="479"/>
      <c r="D56" s="442"/>
      <c r="E56" s="443"/>
      <c r="F56" s="444"/>
      <c r="G56" s="445"/>
      <c r="H56" s="458"/>
      <c r="I56" s="458"/>
      <c r="J56" s="448" t="s">
        <v>182</v>
      </c>
      <c r="K56" s="449"/>
      <c r="L56" s="457" t="e">
        <f>(((D56+E56)-G56)/(D56+E56))*100</f>
        <v>#DIV/0!</v>
      </c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[10]January_2019!L7</f>
        <v>285.8</v>
      </c>
      <c r="AC56" s="57">
        <f>[10]January_2019!M7</f>
        <v>508.1</v>
      </c>
      <c r="AD56" s="57">
        <f>[10]January_2019!N7</f>
        <v>0</v>
      </c>
      <c r="AE56" s="57">
        <f>[10]January_2019!O7</f>
        <v>0</v>
      </c>
      <c r="AF56" s="57">
        <f>[10]January_2019!P7</f>
        <v>109.56666666666666</v>
      </c>
      <c r="AG56" s="57">
        <f>[10]January_2019!Q7</f>
        <v>297.64999999999998</v>
      </c>
      <c r="AH56" s="57">
        <f>[10]January_2019!R7</f>
        <v>122.3</v>
      </c>
      <c r="AI56" s="57">
        <f>[10]January_2019!S7</f>
        <v>0</v>
      </c>
      <c r="AJ56" s="57">
        <f>[10]January_2019!T7</f>
        <v>294.7</v>
      </c>
      <c r="AK56" s="57">
        <f>[10]January_2019!U7</f>
        <v>280.5</v>
      </c>
      <c r="AL56" s="57">
        <f>[10]January_2019!V7</f>
        <v>0</v>
      </c>
      <c r="AM56" s="57">
        <f>[10]January_2019!W7</f>
        <v>0</v>
      </c>
      <c r="AN56" s="57">
        <f>[10]January_2019!X7</f>
        <v>188.25</v>
      </c>
      <c r="AO56" s="57">
        <f>[10]January_2019!Y7</f>
        <v>295.7</v>
      </c>
      <c r="AP56" s="57">
        <f>[10]January_2019!Z7</f>
        <v>257.8</v>
      </c>
      <c r="AQ56" s="57">
        <f>[10]January_2019!AA7</f>
        <v>291.2</v>
      </c>
      <c r="AR56" s="57">
        <f>[10]January_2019!AB7</f>
        <v>187</v>
      </c>
      <c r="AS56" s="57">
        <f>[10]January_2019!AC7</f>
        <v>0</v>
      </c>
      <c r="AT56" s="57">
        <f>[10]January_2019!AD7</f>
        <v>0</v>
      </c>
      <c r="AU56" s="57">
        <f>[10]January_2019!AE7</f>
        <v>485.1</v>
      </c>
      <c r="AV56" s="57">
        <f>[10]January_2019!AF7</f>
        <v>171.55</v>
      </c>
      <c r="AW56" s="57">
        <f>[10]January_2019!AG7</f>
        <v>423.8</v>
      </c>
      <c r="AX56" s="277">
        <f>[10]January_2019!AH7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19.5" hidden="1" customHeight="1" thickBot="1">
      <c r="B57" s="478"/>
      <c r="C57" s="430"/>
      <c r="D57" s="431"/>
      <c r="E57" s="432"/>
      <c r="F57" s="433"/>
      <c r="G57" s="434"/>
      <c r="H57" s="458"/>
      <c r="I57" s="45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38.450000000000003" hidden="1" customHeight="1" thickBot="1">
      <c r="B58" s="480"/>
      <c r="C58" s="479"/>
      <c r="D58" s="442"/>
      <c r="E58" s="443"/>
      <c r="F58" s="444"/>
      <c r="G58" s="445"/>
      <c r="H58" s="458"/>
      <c r="I58" s="458"/>
      <c r="J58" s="448" t="s">
        <v>182</v>
      </c>
      <c r="K58" s="459"/>
      <c r="L58" s="457" t="e">
        <f>(((D58+E58)-G58)/(D58+E58))*100</f>
        <v>#DIV/0!</v>
      </c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15.75" hidden="1" thickBot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7.15" hidden="1" customHeight="1" thickBot="1">
      <c r="B60" s="480"/>
      <c r="C60" s="479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1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7.15" customHeight="1">
      <c r="B63" s="466"/>
      <c r="C63" s="430"/>
      <c r="D63" s="460"/>
      <c r="E63" s="461"/>
      <c r="F63" s="462"/>
      <c r="G63" s="460"/>
      <c r="H63" s="463"/>
      <c r="I63" s="463"/>
      <c r="J63" s="463"/>
      <c r="K63" s="464"/>
      <c r="L63" s="465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42" t="s">
        <v>55</v>
      </c>
      <c r="C65" s="543"/>
      <c r="D65" s="543"/>
      <c r="E65" s="543"/>
      <c r="F65" s="544"/>
      <c r="G65" s="542" t="s">
        <v>56</v>
      </c>
      <c r="H65" s="543"/>
      <c r="I65" s="543"/>
      <c r="J65" s="544"/>
      <c r="K65" s="542" t="s">
        <v>51</v>
      </c>
      <c r="L65" s="543"/>
      <c r="M65" s="543"/>
      <c r="N65" s="545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282"/>
      <c r="D67" s="76">
        <v>6.3077303978517252</v>
      </c>
      <c r="E67" s="76">
        <v>7.7753847959870175</v>
      </c>
      <c r="F67" s="66">
        <v>4.8</v>
      </c>
      <c r="G67" s="65"/>
      <c r="H67" s="477">
        <v>6.091037325454967</v>
      </c>
      <c r="I67" s="477">
        <v>7.6226564975505697</v>
      </c>
      <c r="J67" s="66">
        <v>4.8</v>
      </c>
      <c r="K67" s="67"/>
      <c r="L67" s="194">
        <v>0.43741830788522534</v>
      </c>
      <c r="M67" s="194">
        <v>0.42021164783296172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5.5485814712528159</v>
      </c>
      <c r="E68" s="76">
        <v>5.9933991294504168</v>
      </c>
      <c r="F68" s="66">
        <v>4.8</v>
      </c>
      <c r="G68" s="65"/>
      <c r="H68" s="76">
        <v>5.9263871453678032</v>
      </c>
      <c r="I68" s="76">
        <v>6.5827372639520458</v>
      </c>
      <c r="J68" s="66">
        <v>4.8</v>
      </c>
      <c r="K68" s="67"/>
      <c r="L68" s="194">
        <v>0.50017543859649127</v>
      </c>
      <c r="M68" s="194">
        <v>0.58881900089579098</v>
      </c>
      <c r="N68" s="68">
        <v>1</v>
      </c>
      <c r="P68" s="69"/>
    </row>
    <row r="69" spans="2:16" ht="15">
      <c r="B69" s="34" t="s">
        <v>40</v>
      </c>
      <c r="C69" s="65"/>
      <c r="D69" s="76">
        <v>11.722828666350269</v>
      </c>
      <c r="E69" s="76">
        <v>11.155100139729852</v>
      </c>
      <c r="F69" s="66">
        <v>5.5</v>
      </c>
      <c r="G69" s="65"/>
      <c r="H69" s="76">
        <v>12.537121640099599</v>
      </c>
      <c r="I69" s="76">
        <v>11.952951274961968</v>
      </c>
      <c r="J69" s="66">
        <v>5.5</v>
      </c>
      <c r="K69" s="67"/>
      <c r="L69" s="194">
        <v>0.16315789473684211</v>
      </c>
      <c r="M69" s="194">
        <v>0.42456140350877192</v>
      </c>
      <c r="N69" s="68">
        <v>1</v>
      </c>
      <c r="P69" s="69"/>
    </row>
    <row r="70" spans="2:16" ht="15">
      <c r="B70" s="22" t="s">
        <v>33</v>
      </c>
      <c r="C70" s="65"/>
      <c r="D70" s="76"/>
      <c r="E70" s="76">
        <v>5.0755456997699637</v>
      </c>
      <c r="F70" s="66">
        <v>3.3</v>
      </c>
      <c r="G70" s="65"/>
      <c r="H70" s="76"/>
      <c r="I70" s="76">
        <v>4.6359882890480018</v>
      </c>
      <c r="J70" s="66">
        <v>3.3</v>
      </c>
      <c r="K70" s="67"/>
      <c r="L70" s="194"/>
      <c r="M70" s="194">
        <v>0.66833333333333345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65"/>
      <c r="D72" s="76"/>
      <c r="E72" s="76">
        <v>5.1105651105651271</v>
      </c>
      <c r="F72" s="70">
        <f>[11]May_2022!$M$43</f>
        <v>3.4878406700073312</v>
      </c>
      <c r="G72" s="282"/>
      <c r="H72" s="76"/>
      <c r="I72" s="76">
        <v>7.9131369535794072</v>
      </c>
      <c r="J72" s="66">
        <v>5.5</v>
      </c>
      <c r="K72" s="67"/>
      <c r="L72" s="194"/>
      <c r="M72" s="194">
        <v>1.3550877192982456</v>
      </c>
      <c r="N72" s="68">
        <v>1</v>
      </c>
      <c r="P72" s="69"/>
    </row>
    <row r="73" spans="2:16" ht="15">
      <c r="B73" s="37" t="s">
        <v>16</v>
      </c>
      <c r="C73" s="65"/>
      <c r="D73" s="76"/>
      <c r="E73" s="76">
        <v>2.0590520590520631</v>
      </c>
      <c r="F73" s="66">
        <v>3.3</v>
      </c>
      <c r="G73" s="282"/>
      <c r="H73" s="76"/>
      <c r="I73" s="76">
        <v>2.1755040108015784</v>
      </c>
      <c r="J73" s="66">
        <v>3.3</v>
      </c>
      <c r="K73" s="67"/>
      <c r="L73" s="194"/>
      <c r="M73" s="194">
        <v>0.88456140350877199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6.7020433204654744</v>
      </c>
      <c r="E76" s="76">
        <v>6.8608119845257924</v>
      </c>
      <c r="F76" s="341">
        <v>5.5</v>
      </c>
      <c r="H76" s="76">
        <v>6.8662665620993932</v>
      </c>
      <c r="I76" s="76">
        <v>7.0080671644557766</v>
      </c>
      <c r="J76" s="341">
        <v>5.5</v>
      </c>
      <c r="L76" s="194">
        <v>0.40831140350877193</v>
      </c>
      <c r="M76" s="194">
        <v>0.52897680984069362</v>
      </c>
      <c r="N76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1894" priority="50" operator="notBetween">
      <formula>#REF!</formula>
      <formula>#REF!</formula>
    </cfRule>
  </conditionalFormatting>
  <conditionalFormatting sqref="C51">
    <cfRule type="cellIs" dxfId="1893" priority="164" stopIfTrue="1" operator="greaterThan">
      <formula>100</formula>
    </cfRule>
    <cfRule type="cellIs" dxfId="1892" priority="163" stopIfTrue="1" operator="lessThan">
      <formula>96</formula>
    </cfRule>
  </conditionalFormatting>
  <conditionalFormatting sqref="C67:C71">
    <cfRule type="cellIs" dxfId="1891" priority="121" stopIfTrue="1" operator="lessThanOrEqual">
      <formula>0</formula>
    </cfRule>
  </conditionalFormatting>
  <conditionalFormatting sqref="C67:C75">
    <cfRule type="cellIs" dxfId="1890" priority="120" stopIfTrue="1" operator="greaterThan">
      <formula>$F67</formula>
    </cfRule>
  </conditionalFormatting>
  <conditionalFormatting sqref="C68">
    <cfRule type="cellIs" dxfId="1889" priority="167" stopIfTrue="1" operator="greaterThan">
      <formula>$F67</formula>
    </cfRule>
  </conditionalFormatting>
  <conditionalFormatting sqref="C72">
    <cfRule type="cellIs" dxfId="1888" priority="75" stopIfTrue="1" operator="greaterThan">
      <formula>$F71</formula>
    </cfRule>
    <cfRule type="cellIs" dxfId="1887" priority="74" stopIfTrue="1" operator="lessThanOrEqual">
      <formula>0</formula>
    </cfRule>
  </conditionalFormatting>
  <conditionalFormatting sqref="C78:C82">
    <cfRule type="cellIs" dxfId="1886" priority="155" stopIfTrue="1" operator="lessThanOrEqual">
      <formula>0</formula>
    </cfRule>
  </conditionalFormatting>
  <conditionalFormatting sqref="C79:C82">
    <cfRule type="cellIs" dxfId="1885" priority="154" stopIfTrue="1" operator="greaterThan">
      <formula>$F$78</formula>
    </cfRule>
  </conditionalFormatting>
  <conditionalFormatting sqref="C84">
    <cfRule type="cellIs" dxfId="1884" priority="157" stopIfTrue="1" operator="lessThanOrEqual">
      <formula>0</formula>
    </cfRule>
    <cfRule type="cellIs" dxfId="1883" priority="156" stopIfTrue="1" operator="greaterThan">
      <formula>$F$78</formula>
    </cfRule>
  </conditionalFormatting>
  <conditionalFormatting sqref="C78:D78 D80:D86">
    <cfRule type="cellIs" dxfId="1882" priority="149" stopIfTrue="1" operator="greaterThan">
      <formula>4.5</formula>
    </cfRule>
  </conditionalFormatting>
  <conditionalFormatting sqref="D47:D48">
    <cfRule type="cellIs" dxfId="1881" priority="51" operator="notBetween">
      <formula>#REF!</formula>
      <formula>#REF!</formula>
    </cfRule>
  </conditionalFormatting>
  <conditionalFormatting sqref="D67:D74">
    <cfRule type="cellIs" dxfId="1880" priority="129" stopIfTrue="1" operator="lessThanOrEqual">
      <formula>0</formula>
    </cfRule>
  </conditionalFormatting>
  <conditionalFormatting sqref="D78 D80:D86">
    <cfRule type="cellIs" dxfId="1879" priority="150" stopIfTrue="1" operator="lessThanOrEqual">
      <formula>0</formula>
    </cfRule>
  </conditionalFormatting>
  <conditionalFormatting sqref="D79">
    <cfRule type="cellIs" dxfId="1878" priority="141" stopIfTrue="1" operator="greaterThan">
      <formula>$F$78</formula>
    </cfRule>
    <cfRule type="cellIs" dxfId="1877" priority="142" stopIfTrue="1" operator="lessThanOrEqual">
      <formula>0</formula>
    </cfRule>
  </conditionalFormatting>
  <conditionalFormatting sqref="D67:E76">
    <cfRule type="cellIs" dxfId="1876" priority="118" stopIfTrue="1" operator="greaterThan">
      <formula>$F67</formula>
    </cfRule>
  </conditionalFormatting>
  <conditionalFormatting sqref="D75:E75">
    <cfRule type="cellIs" dxfId="1875" priority="128" stopIfTrue="1" operator="lessThanOrEqual">
      <formula>0</formula>
    </cfRule>
  </conditionalFormatting>
  <conditionalFormatting sqref="D76:E76">
    <cfRule type="cellIs" dxfId="1874" priority="119" stopIfTrue="1" operator="lessThanOrEqual">
      <formula>0</formula>
    </cfRule>
  </conditionalFormatting>
  <conditionalFormatting sqref="E10:E22">
    <cfRule type="cellIs" dxfId="1873" priority="18" operator="lessThan">
      <formula>48</formula>
    </cfRule>
  </conditionalFormatting>
  <conditionalFormatting sqref="E50 E51:F51">
    <cfRule type="cellIs" dxfId="1872" priority="146" stopIfTrue="1" operator="greaterThan">
      <formula>100</formula>
    </cfRule>
  </conditionalFormatting>
  <conditionalFormatting sqref="E51">
    <cfRule type="cellIs" dxfId="1871" priority="144" stopIfTrue="1" operator="greaterThan">
      <formula>100</formula>
    </cfRule>
    <cfRule type="cellIs" dxfId="1870" priority="143" stopIfTrue="1" operator="lessThan">
      <formula>96.8</formula>
    </cfRule>
  </conditionalFormatting>
  <conditionalFormatting sqref="E67:E74">
    <cfRule type="cellIs" dxfId="1869" priority="38" stopIfTrue="1" operator="lessThanOrEqual">
      <formula>0</formula>
    </cfRule>
  </conditionalFormatting>
  <conditionalFormatting sqref="E67:E75">
    <cfRule type="cellIs" dxfId="1868" priority="125" stopIfTrue="1" operator="lessThanOrEqual">
      <formula>0</formula>
    </cfRule>
  </conditionalFormatting>
  <conditionalFormatting sqref="E78:E86">
    <cfRule type="cellIs" dxfId="1867" priority="136" stopIfTrue="1" operator="lessThanOrEqual">
      <formula>0</formula>
    </cfRule>
    <cfRule type="cellIs" dxfId="1866" priority="135" stopIfTrue="1" operator="greaterThan">
      <formula>4.5</formula>
    </cfRule>
  </conditionalFormatting>
  <conditionalFormatting sqref="E51:F51 E50">
    <cfRule type="cellIs" dxfId="1865" priority="145" stopIfTrue="1" operator="lessThan">
      <formula>96.5</formula>
    </cfRule>
  </conditionalFormatting>
  <conditionalFormatting sqref="F10:F19 F21:F22">
    <cfRule type="cellIs" dxfId="1864" priority="40" operator="greaterThan">
      <formula>60</formula>
    </cfRule>
  </conditionalFormatting>
  <conditionalFormatting sqref="F51">
    <cfRule type="cellIs" dxfId="1863" priority="161" stopIfTrue="1" operator="lessThan">
      <formula>96.8</formula>
    </cfRule>
    <cfRule type="cellIs" dxfId="1862" priority="162" stopIfTrue="1" operator="greaterThan">
      <formula>100</formula>
    </cfRule>
  </conditionalFormatting>
  <conditionalFormatting sqref="F76">
    <cfRule type="cellIs" dxfId="1861" priority="126" stopIfTrue="1" operator="greaterThan">
      <formula>$F76</formula>
    </cfRule>
    <cfRule type="cellIs" dxfId="1860" priority="127" stopIfTrue="1" operator="lessThanOrEqual">
      <formula>0</formula>
    </cfRule>
  </conditionalFormatting>
  <conditionalFormatting sqref="G10:G21">
    <cfRule type="expression" dxfId="1859" priority="21">
      <formula>IF(+(IF(G10&lt;S10,0,IF(G10&gt;T10,0,1)))=0,1)</formula>
    </cfRule>
  </conditionalFormatting>
  <conditionalFormatting sqref="G67:G68 C73:C75">
    <cfRule type="cellIs" dxfId="1858" priority="131" stopIfTrue="1" operator="lessThanOrEqual">
      <formula>0</formula>
    </cfRule>
  </conditionalFormatting>
  <conditionalFormatting sqref="G67:G68">
    <cfRule type="cellIs" dxfId="1857" priority="123" stopIfTrue="1" operator="lessThanOrEqual">
      <formula>0</formula>
    </cfRule>
    <cfRule type="cellIs" dxfId="1856" priority="130" stopIfTrue="1" operator="greaterThan">
      <formula>$F67</formula>
    </cfRule>
    <cfRule type="cellIs" dxfId="1855" priority="122" stopIfTrue="1" operator="greaterThan">
      <formula>$F67</formula>
    </cfRule>
  </conditionalFormatting>
  <conditionalFormatting sqref="G69">
    <cfRule type="cellIs" dxfId="1854" priority="165" stopIfTrue="1" operator="greaterThan">
      <formula>$F68</formula>
    </cfRule>
    <cfRule type="cellIs" dxfId="1853" priority="166" stopIfTrue="1" operator="lessThanOrEqual">
      <formula>0</formula>
    </cfRule>
  </conditionalFormatting>
  <conditionalFormatting sqref="G70">
    <cfRule type="cellIs" dxfId="1852" priority="47" stopIfTrue="1" operator="lessThanOrEqual">
      <formula>0</formula>
    </cfRule>
    <cfRule type="cellIs" dxfId="1851" priority="48" stopIfTrue="1" operator="greaterThan">
      <formula>$F70</formula>
    </cfRule>
    <cfRule type="cellIs" dxfId="1850" priority="49" stopIfTrue="1" operator="lessThanOrEqual">
      <formula>0</formula>
    </cfRule>
    <cfRule type="cellIs" dxfId="1849" priority="46" stopIfTrue="1" operator="greaterThan">
      <formula>$F70</formula>
    </cfRule>
  </conditionalFormatting>
  <conditionalFormatting sqref="G71:G75">
    <cfRule type="cellIs" dxfId="1848" priority="132" stopIfTrue="1" operator="greaterThan">
      <formula>$J71</formula>
    </cfRule>
    <cfRule type="cellIs" dxfId="1847" priority="133" stopIfTrue="1" operator="lessThanOrEqual">
      <formula>0</formula>
    </cfRule>
  </conditionalFormatting>
  <conditionalFormatting sqref="G80:G85 C83 C85">
    <cfRule type="cellIs" dxfId="1846" priority="159" stopIfTrue="1" operator="lessThanOrEqual">
      <formula>0</formula>
    </cfRule>
    <cfRule type="cellIs" dxfId="1845" priority="158" stopIfTrue="1" operator="greaterThan">
      <formula>4.5</formula>
    </cfRule>
  </conditionalFormatting>
  <conditionalFormatting sqref="G79:H79">
    <cfRule type="cellIs" dxfId="1844" priority="139" stopIfTrue="1" operator="greaterThan">
      <formula>$F$78</formula>
    </cfRule>
    <cfRule type="cellIs" dxfId="1843" priority="140" stopIfTrue="1" operator="lessThanOrEqual">
      <formula>0</formula>
    </cfRule>
  </conditionalFormatting>
  <conditionalFormatting sqref="H10:H21 G22:H22">
    <cfRule type="expression" dxfId="1842" priority="43">
      <formula>IF(+(IF(G10&lt;#REF!,0,IF(G10&gt;#REF!,0,1)))=0,1)</formula>
    </cfRule>
  </conditionalFormatting>
  <conditionalFormatting sqref="H36:H50">
    <cfRule type="cellIs" dxfId="1841" priority="137" stopIfTrue="1" operator="greaterThan">
      <formula>0</formula>
    </cfRule>
  </conditionalFormatting>
  <conditionalFormatting sqref="H54:H58">
    <cfRule type="cellIs" dxfId="1840" priority="34" stopIfTrue="1" operator="greaterThan">
      <formula>$F$70</formula>
    </cfRule>
    <cfRule type="cellIs" dxfId="1839" priority="25" stopIfTrue="1" operator="lessThanOrEqual">
      <formula>0</formula>
    </cfRule>
    <cfRule type="cellIs" dxfId="1838" priority="26" stopIfTrue="1" operator="greaterThan">
      <formula>$F$67</formula>
    </cfRule>
    <cfRule type="cellIs" dxfId="1837" priority="35" stopIfTrue="1" operator="lessThanOrEqual">
      <formula>0</formula>
    </cfRule>
    <cfRule type="cellIs" dxfId="1836" priority="36" stopIfTrue="1" operator="greaterThan">
      <formula>$F$68</formula>
    </cfRule>
    <cfRule type="cellIs" dxfId="1835" priority="37" stopIfTrue="1" operator="lessThanOrEqual">
      <formula>0</formula>
    </cfRule>
  </conditionalFormatting>
  <conditionalFormatting sqref="H59:H60">
    <cfRule type="cellIs" dxfId="1834" priority="78" stopIfTrue="1" operator="greaterThan">
      <formula>#REF!</formula>
    </cfRule>
    <cfRule type="cellIs" dxfId="1833" priority="86" stopIfTrue="1" operator="greaterThan">
      <formula>$F$22</formula>
    </cfRule>
    <cfRule type="cellIs" dxfId="1832" priority="77" stopIfTrue="1" operator="lessThanOrEqual">
      <formula>0</formula>
    </cfRule>
    <cfRule type="cellIs" dxfId="1831" priority="88" stopIfTrue="1" operator="greaterThan">
      <formula>#REF!</formula>
    </cfRule>
    <cfRule type="cellIs" dxfId="1830" priority="89" stopIfTrue="1" operator="lessThanOrEqual">
      <formula>0</formula>
    </cfRule>
    <cfRule type="cellIs" dxfId="1829" priority="87" stopIfTrue="1" operator="lessThanOrEqual">
      <formula>0</formula>
    </cfRule>
  </conditionalFormatting>
  <conditionalFormatting sqref="H61">
    <cfRule type="cellIs" dxfId="1828" priority="104" stopIfTrue="1" operator="lessThanOrEqual">
      <formula>0</formula>
    </cfRule>
    <cfRule type="cellIs" dxfId="1827" priority="103" stopIfTrue="1" operator="greaterThan">
      <formula>$F$36</formula>
    </cfRule>
    <cfRule type="cellIs" dxfId="1826" priority="102" stopIfTrue="1" operator="lessThanOrEqual">
      <formula>0</formula>
    </cfRule>
    <cfRule type="cellIs" dxfId="1825" priority="101" stopIfTrue="1" operator="greaterThan">
      <formula>$F$38</formula>
    </cfRule>
    <cfRule type="cellIs" dxfId="1824" priority="93" stopIfTrue="1" operator="greaterThan">
      <formula>$F$35</formula>
    </cfRule>
    <cfRule type="cellIs" dxfId="1823" priority="92" stopIfTrue="1" operator="lessThanOrEqual">
      <formula>0</formula>
    </cfRule>
  </conditionalFormatting>
  <conditionalFormatting sqref="H62:H63">
    <cfRule type="cellIs" dxfId="1822" priority="61" stopIfTrue="1" operator="lessThanOrEqual">
      <formula>0</formula>
    </cfRule>
    <cfRule type="cellIs" dxfId="1821" priority="62" stopIfTrue="1" operator="greaterThan">
      <formula>#REF!</formula>
    </cfRule>
    <cfRule type="cellIs" dxfId="1820" priority="70" stopIfTrue="1" operator="greaterThan">
      <formula>$F$22</formula>
    </cfRule>
    <cfRule type="cellIs" dxfId="1819" priority="71" stopIfTrue="1" operator="lessThanOrEqual">
      <formula>0</formula>
    </cfRule>
    <cfRule type="cellIs" dxfId="1818" priority="72" stopIfTrue="1" operator="greaterThan">
      <formula>#REF!</formula>
    </cfRule>
    <cfRule type="cellIs" dxfId="1817" priority="73" stopIfTrue="1" operator="lessThanOrEqual">
      <formula>0</formula>
    </cfRule>
  </conditionalFormatting>
  <conditionalFormatting sqref="H78 H80:H86">
    <cfRule type="cellIs" dxfId="1816" priority="151" stopIfTrue="1" operator="greaterThan">
      <formula>4.5</formula>
    </cfRule>
    <cfRule type="cellIs" dxfId="1815" priority="152" stopIfTrue="1" operator="lessThanOrEqual">
      <formula>0</formula>
    </cfRule>
  </conditionalFormatting>
  <conditionalFormatting sqref="H54:I58">
    <cfRule type="cellIs" dxfId="1814" priority="27" stopIfTrue="1" operator="lessThanOrEqual">
      <formula>0</formula>
    </cfRule>
    <cfRule type="cellIs" dxfId="1813" priority="24" stopIfTrue="1" operator="greaterThan">
      <formula>$F$69</formula>
    </cfRule>
  </conditionalFormatting>
  <conditionalFormatting sqref="H59:I60">
    <cfRule type="cellIs" dxfId="1812" priority="76" stopIfTrue="1" operator="greaterThan">
      <formula>#REF!</formula>
    </cfRule>
    <cfRule type="cellIs" dxfId="1811" priority="79" stopIfTrue="1" operator="lessThanOrEqual">
      <formula>0</formula>
    </cfRule>
  </conditionalFormatting>
  <conditionalFormatting sqref="H61:I61">
    <cfRule type="cellIs" dxfId="1810" priority="94" stopIfTrue="1" operator="lessThanOrEqual">
      <formula>0</formula>
    </cfRule>
    <cfRule type="cellIs" dxfId="1809" priority="91" stopIfTrue="1" operator="greaterThan">
      <formula>$F$37</formula>
    </cfRule>
  </conditionalFormatting>
  <conditionalFormatting sqref="H62:I63">
    <cfRule type="cellIs" dxfId="1808" priority="63" stopIfTrue="1" operator="lessThanOrEqual">
      <formula>0</formula>
    </cfRule>
    <cfRule type="cellIs" dxfId="1807" priority="60" stopIfTrue="1" operator="greaterThan">
      <formula>#REF!</formula>
    </cfRule>
  </conditionalFormatting>
  <conditionalFormatting sqref="H67:I74">
    <cfRule type="cellIs" dxfId="1806" priority="41" stopIfTrue="1" operator="greaterThan">
      <formula>$J67</formula>
    </cfRule>
    <cfRule type="cellIs" dxfId="1805" priority="42" stopIfTrue="1" operator="lessThanOrEqual">
      <formula>0</formula>
    </cfRule>
  </conditionalFormatting>
  <conditionalFormatting sqref="H75:I75">
    <cfRule type="cellIs" dxfId="1804" priority="124" operator="greaterThan">
      <formula>5.3</formula>
    </cfRule>
  </conditionalFormatting>
  <conditionalFormatting sqref="H76:I76">
    <cfRule type="cellIs" dxfId="1803" priority="116" stopIfTrue="1" operator="greaterThan">
      <formula>$J76</formula>
    </cfRule>
    <cfRule type="cellIs" dxfId="1802" priority="117" stopIfTrue="1" operator="lessThanOrEqual">
      <formula>0</formula>
    </cfRule>
  </conditionalFormatting>
  <conditionalFormatting sqref="I54:I58">
    <cfRule type="cellIs" dxfId="1801" priority="28" stopIfTrue="1" operator="greaterThan">
      <formula>$F$67</formula>
    </cfRule>
    <cfRule type="cellIs" dxfId="1800" priority="33" stopIfTrue="1" operator="lessThanOrEqual">
      <formula>0</formula>
    </cfRule>
    <cfRule type="cellIs" dxfId="1799" priority="29" stopIfTrue="1" operator="lessThanOrEqual">
      <formula>0</formula>
    </cfRule>
    <cfRule type="cellIs" dxfId="1798" priority="30" stopIfTrue="1" operator="greaterThan">
      <formula>$F$69</formula>
    </cfRule>
    <cfRule type="cellIs" dxfId="1797" priority="31" stopIfTrue="1" operator="lessThanOrEqual">
      <formula>0</formula>
    </cfRule>
    <cfRule type="cellIs" dxfId="1796" priority="32" stopIfTrue="1" operator="greaterThan">
      <formula>$F$67</formula>
    </cfRule>
  </conditionalFormatting>
  <conditionalFormatting sqref="I59:I60">
    <cfRule type="cellIs" dxfId="1795" priority="84" stopIfTrue="1" operator="greaterThan">
      <formula>#REF!</formula>
    </cfRule>
    <cfRule type="cellIs" dxfId="1794" priority="83" stopIfTrue="1" operator="lessThanOrEqual">
      <formula>0</formula>
    </cfRule>
    <cfRule type="cellIs" dxfId="1793" priority="82" stopIfTrue="1" operator="greaterThan">
      <formula>#REF!</formula>
    </cfRule>
    <cfRule type="cellIs" dxfId="1792" priority="81" stopIfTrue="1" operator="lessThanOrEqual">
      <formula>0</formula>
    </cfRule>
    <cfRule type="cellIs" dxfId="1791" priority="85" stopIfTrue="1" operator="lessThanOrEqual">
      <formula>0</formula>
    </cfRule>
    <cfRule type="cellIs" dxfId="1790" priority="80" stopIfTrue="1" operator="greaterThan">
      <formula>#REF!</formula>
    </cfRule>
  </conditionalFormatting>
  <conditionalFormatting sqref="I61">
    <cfRule type="cellIs" dxfId="1789" priority="95" stopIfTrue="1" operator="greaterThan">
      <formula>$F$35</formula>
    </cfRule>
    <cfRule type="cellIs" dxfId="1788" priority="99" stopIfTrue="1" operator="greaterThan">
      <formula>$F$35</formula>
    </cfRule>
    <cfRule type="cellIs" dxfId="1787" priority="100" stopIfTrue="1" operator="lessThanOrEqual">
      <formula>0</formula>
    </cfRule>
    <cfRule type="cellIs" dxfId="1786" priority="96" stopIfTrue="1" operator="lessThanOrEqual">
      <formula>0</formula>
    </cfRule>
    <cfRule type="cellIs" dxfId="1785" priority="97" stopIfTrue="1" operator="greaterThan">
      <formula>$F$37</formula>
    </cfRule>
    <cfRule type="cellIs" dxfId="1784" priority="98" stopIfTrue="1" operator="lessThanOrEqual">
      <formula>0</formula>
    </cfRule>
  </conditionalFormatting>
  <conditionalFormatting sqref="I62:I63">
    <cfRule type="cellIs" dxfId="1783" priority="65" stopIfTrue="1" operator="lessThanOrEqual">
      <formula>0</formula>
    </cfRule>
    <cfRule type="cellIs" dxfId="1782" priority="64" stopIfTrue="1" operator="greaterThan">
      <formula>#REF!</formula>
    </cfRule>
    <cfRule type="cellIs" dxfId="1781" priority="67" stopIfTrue="1" operator="lessThanOrEqual">
      <formula>0</formula>
    </cfRule>
    <cfRule type="cellIs" dxfId="1780" priority="69" stopIfTrue="1" operator="lessThanOrEqual">
      <formula>0</formula>
    </cfRule>
    <cfRule type="cellIs" dxfId="1779" priority="68" stopIfTrue="1" operator="greaterThan">
      <formula>#REF!</formula>
    </cfRule>
    <cfRule type="cellIs" dxfId="1778" priority="66" stopIfTrue="1" operator="greaterThan">
      <formula>#REF!</formula>
    </cfRule>
  </conditionalFormatting>
  <conditionalFormatting sqref="I78:I86">
    <cfRule type="cellIs" dxfId="1777" priority="147" stopIfTrue="1" operator="greaterThan">
      <formula>4.5</formula>
    </cfRule>
    <cfRule type="cellIs" dxfId="1776" priority="148" stopIfTrue="1" operator="lessThanOrEqual">
      <formula>0</formula>
    </cfRule>
  </conditionalFormatting>
  <conditionalFormatting sqref="I10:J22">
    <cfRule type="cellIs" dxfId="1775" priority="14" operator="lessThan">
      <formula>97.9</formula>
    </cfRule>
  </conditionalFormatting>
  <conditionalFormatting sqref="J27">
    <cfRule type="cellIs" dxfId="1774" priority="108" operator="lessThan">
      <formula>98</formula>
    </cfRule>
    <cfRule type="cellIs" dxfId="1773" priority="106" stopIfTrue="1" operator="lessThan">
      <formula>96.8</formula>
    </cfRule>
    <cfRule type="cellIs" dxfId="1772" priority="107" stopIfTrue="1" operator="greaterThan">
      <formula>100</formula>
    </cfRule>
  </conditionalFormatting>
  <conditionalFormatting sqref="J27:J29">
    <cfRule type="cellIs" dxfId="1771" priority="105" operator="lessThan">
      <formula>97.4</formula>
    </cfRule>
  </conditionalFormatting>
  <conditionalFormatting sqref="J30:J31">
    <cfRule type="cellIs" dxfId="1770" priority="109" operator="lessThan">
      <formula>98</formula>
    </cfRule>
  </conditionalFormatting>
  <conditionalFormatting sqref="J32:J33">
    <cfRule type="cellIs" dxfId="1769" priority="111" stopIfTrue="1" operator="greaterThan">
      <formula>100</formula>
    </cfRule>
    <cfRule type="cellIs" dxfId="1768" priority="110" stopIfTrue="1" operator="lessThan">
      <formula>96.8</formula>
    </cfRule>
  </conditionalFormatting>
  <conditionalFormatting sqref="J32:J34">
    <cfRule type="cellIs" dxfId="1767" priority="112" operator="lessThan">
      <formula>98</formula>
    </cfRule>
  </conditionalFormatting>
  <conditionalFormatting sqref="J63">
    <cfRule type="cellIs" dxfId="1766" priority="56" stopIfTrue="1" operator="greaterThan">
      <formula>#REF!</formula>
    </cfRule>
    <cfRule type="cellIs" dxfId="1765" priority="55" stopIfTrue="1" operator="lessThanOrEqual">
      <formula>0</formula>
    </cfRule>
    <cfRule type="cellIs" dxfId="1764" priority="54" stopIfTrue="1" operator="greaterThan">
      <formula>#REF!</formula>
    </cfRule>
    <cfRule type="cellIs" dxfId="1763" priority="53" stopIfTrue="1" operator="lessThanOrEqual">
      <formula>0</formula>
    </cfRule>
    <cfRule type="cellIs" dxfId="1762" priority="59" stopIfTrue="1" operator="lessThanOrEqual">
      <formula>0</formula>
    </cfRule>
    <cfRule type="cellIs" dxfId="1761" priority="58" stopIfTrue="1" operator="greaterThan">
      <formula>#REF!</formula>
    </cfRule>
    <cfRule type="cellIs" dxfId="1760" priority="57" stopIfTrue="1" operator="lessThanOrEqual">
      <formula>0</formula>
    </cfRule>
    <cfRule type="cellIs" dxfId="1759" priority="52" stopIfTrue="1" operator="greaterThan">
      <formula>#REF!</formula>
    </cfRule>
  </conditionalFormatting>
  <conditionalFormatting sqref="J76">
    <cfRule type="cellIs" dxfId="1758" priority="114" stopIfTrue="1" operator="lessThanOrEqual">
      <formula>0</formula>
    </cfRule>
    <cfRule type="cellIs" dxfId="1757" priority="113" stopIfTrue="1" operator="greaterThan">
      <formula>$F76</formula>
    </cfRule>
  </conditionalFormatting>
  <conditionalFormatting sqref="K10:K22">
    <cfRule type="cellIs" dxfId="1756" priority="17" operator="greaterThan">
      <formula>6.4</formula>
    </cfRule>
    <cfRule type="cellIs" dxfId="1755" priority="16" operator="lessThan">
      <formula>4</formula>
    </cfRule>
    <cfRule type="cellIs" dxfId="1754" priority="15" operator="greaterThan">
      <formula>6</formula>
    </cfRule>
  </conditionalFormatting>
  <conditionalFormatting sqref="K54:K63">
    <cfRule type="cellIs" dxfId="1753" priority="39" stopIfTrue="1" operator="lessThan">
      <formula>100%</formula>
    </cfRule>
  </conditionalFormatting>
  <conditionalFormatting sqref="K78:K83">
    <cfRule type="cellIs" dxfId="1752" priority="153" stopIfTrue="1" operator="lessThan">
      <formula>100%</formula>
    </cfRule>
  </conditionalFormatting>
  <conditionalFormatting sqref="K85:K86">
    <cfRule type="cellIs" dxfId="1751" priority="160" stopIfTrue="1" operator="lessThan">
      <formula>100%</formula>
    </cfRule>
  </conditionalFormatting>
  <conditionalFormatting sqref="K67:N75">
    <cfRule type="cellIs" dxfId="1750" priority="90" stopIfTrue="1" operator="lessThan">
      <formula>100%</formula>
    </cfRule>
  </conditionalFormatting>
  <conditionalFormatting sqref="L10:L22">
    <cfRule type="cellIs" dxfId="1749" priority="22" operator="between">
      <formula>61</formula>
      <formula>65</formula>
    </cfRule>
    <cfRule type="cellIs" dxfId="1748" priority="23" operator="greaterThan">
      <formula>65</formula>
    </cfRule>
  </conditionalFormatting>
  <conditionalFormatting sqref="L25:M36">
    <cfRule type="cellIs" dxfId="1747" priority="44" operator="lessThan">
      <formula>97.95</formula>
    </cfRule>
  </conditionalFormatting>
  <conditionalFormatting sqref="L40:N40">
    <cfRule type="cellIs" dxfId="1746" priority="45" operator="notEqual">
      <formula>#REF!</formula>
    </cfRule>
  </conditionalFormatting>
  <conditionalFormatting sqref="L76:N76">
    <cfRule type="cellIs" dxfId="1745" priority="115" stopIfTrue="1" operator="lessThan">
      <formula>100%</formula>
    </cfRule>
  </conditionalFormatting>
  <conditionalFormatting sqref="L78:N86">
    <cfRule type="cellIs" dxfId="1744" priority="138" stopIfTrue="1" operator="lessThan">
      <formula>100%</formula>
    </cfRule>
  </conditionalFormatting>
  <conditionalFormatting sqref="M10:M21">
    <cfRule type="expression" dxfId="1743" priority="20">
      <formula>IF(+(IF(M10&lt;U10,0,IF(M10&gt;V10,0,1)))=0,1)</formula>
    </cfRule>
  </conditionalFormatting>
  <conditionalFormatting sqref="M22:N22">
    <cfRule type="expression" dxfId="1742" priority="168">
      <formula>IF(+(IF(M22&lt;#REF!,0,IF(M22&gt;#REF!,0,1)))=0,1)</formula>
    </cfRule>
  </conditionalFormatting>
  <conditionalFormatting sqref="N10:N21">
    <cfRule type="expression" dxfId="1741" priority="13">
      <formula>IF(+(IF(N10&lt;W10,0,IF(N10&gt;X10,0,1)))=0,1)</formula>
    </cfRule>
  </conditionalFormatting>
  <conditionalFormatting sqref="P6">
    <cfRule type="cellIs" dxfId="1740" priority="134" operator="greaterThanOrEqual">
      <formula>19</formula>
    </cfRule>
  </conditionalFormatting>
  <dataValidations count="1">
    <dataValidation type="list" allowBlank="1" showInputMessage="1" showErrorMessage="1" sqref="R8" xr:uid="{8A4224C7-98F1-40A6-8157-FCF36D2FDC0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7955-3ED5-41ED-A23E-9959B5C535F3}">
  <sheetPr>
    <pageSetUpPr fitToPage="1"/>
  </sheetPr>
  <dimension ref="A1:BE73"/>
  <sheetViews>
    <sheetView topLeftCell="A7" zoomScale="80" zoomScaleNormal="80" workbookViewId="0">
      <selection activeCell="E10" sqref="E10:E13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46069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[3]Brewhouse!$A149</f>
        <v>CA107</v>
      </c>
      <c r="D10" s="279">
        <f>[3]Brewhouse!$AF149</f>
        <v>55.4</v>
      </c>
      <c r="E10" s="279">
        <f>[3]Brewhouse!$AI149</f>
        <v>53.5</v>
      </c>
      <c r="F10" s="278">
        <f>[3]Brewhouse!$V149</f>
        <v>71</v>
      </c>
      <c r="G10" s="279">
        <f>[3]Brewhouse!AG149</f>
        <v>11.8</v>
      </c>
      <c r="H10" s="396"/>
      <c r="I10" s="368">
        <f>[3]Brewhouse!$AU149</f>
        <v>102.65008917352358</v>
      </c>
      <c r="J10" s="368">
        <f>[3]Brewhouse!$AV149</f>
        <v>104.18077304958298</v>
      </c>
      <c r="K10" s="281">
        <f>[3]Brewhouse!$Q149</f>
        <v>-9.36</v>
      </c>
      <c r="L10" s="276">
        <f>[3]Brewhouse!$P149</f>
        <v>61</v>
      </c>
      <c r="M10" s="397">
        <f>[3]Brewhouse!$U149-[3]Brewhouse!$T149</f>
        <v>0.15208333333333335</v>
      </c>
      <c r="N10" s="370">
        <f>[3]Brewhouse!$Z149</f>
        <v>0.32708333333333334</v>
      </c>
      <c r="O10" s="420" t="str">
        <f>[3]Brewhouse!$AX149</f>
        <v>D. Gomaz</v>
      </c>
      <c r="P10" s="418"/>
      <c r="R10" s="277" t="str">
        <f t="shared" ref="R10:R33" si="0">B10</f>
        <v>CARIB</v>
      </c>
      <c r="S10" s="472">
        <f t="shared" ref="S10:S33" si="1">VLOOKUP($B10,$R$3:$X$9,2,FALSE)</f>
        <v>11.6</v>
      </c>
      <c r="T10" s="472">
        <f t="shared" ref="T10:T33" si="2">VLOOKUP($B10,$R$3:$X$9,3,FALSE)</f>
        <v>12</v>
      </c>
      <c r="U10" s="297">
        <f t="shared" ref="U10:U33" si="3">VLOOKUP($B10,$R$3:$X$9,4,FALSE)</f>
        <v>0</v>
      </c>
      <c r="V10" s="297">
        <f t="shared" ref="V10:V33" si="4">VLOOKUP($B10,$R$3:$X$9,5,FALSE)</f>
        <v>0.118055555555556</v>
      </c>
      <c r="W10" s="297">
        <f t="shared" ref="W10:W33" si="5">VLOOKUP($B10,$R$3:$X$9,6,FALSE)</f>
        <v>0.22569444444444445</v>
      </c>
      <c r="X10" s="297">
        <f t="shared" ref="X10:X33" si="6">VLOOKUP($B10,$R$3:$X$9,7,FALSE)</f>
        <v>0.2638888888888889</v>
      </c>
      <c r="Y10" s="297">
        <f t="shared" ref="Y10:Y33" si="7">VLOOKUP($B10,$R$3:$Z$9,8,FALSE)</f>
        <v>0</v>
      </c>
      <c r="Z10" s="472">
        <f t="shared" ref="Z10:Z33" si="8">VLOOKUP($B10,$R$3:$Z$9,9,FALSE)</f>
        <v>60</v>
      </c>
    </row>
    <row r="11" spans="2:29" ht="16.5" customHeight="1">
      <c r="B11" s="29" t="s">
        <v>6</v>
      </c>
      <c r="C11" s="366" t="str">
        <f>[3]Brewhouse!$A150</f>
        <v>CA108</v>
      </c>
      <c r="D11" s="279">
        <f>[3]Brewhouse!$AF150</f>
        <v>50.2</v>
      </c>
      <c r="E11" s="279">
        <f>[3]Brewhouse!$AI150</f>
        <v>50.3</v>
      </c>
      <c r="F11" s="278">
        <f>[3]Brewhouse!$V150</f>
        <v>66</v>
      </c>
      <c r="G11" s="279">
        <f>[3]Brewhouse!AG150</f>
        <v>12</v>
      </c>
      <c r="H11" s="396"/>
      <c r="I11" s="368">
        <f>[3]Brewhouse!$AU150</f>
        <v>98.351271471428475</v>
      </c>
      <c r="J11" s="368">
        <f>[3]Brewhouse!$AV150</f>
        <v>99.817736662935474</v>
      </c>
      <c r="K11" s="281">
        <f>[3]Brewhouse!$Q150</f>
        <v>-4.1751527494908292</v>
      </c>
      <c r="L11" s="276">
        <f>[3]Brewhouse!$P150</f>
        <v>82</v>
      </c>
      <c r="M11" s="397">
        <f>[3]Brewhouse!$U150-[3]Brewhouse!$T150</f>
        <v>0.13680555555555551</v>
      </c>
      <c r="N11" s="370">
        <f>[3]Brewhouse!$Z150</f>
        <v>0.30138888888888887</v>
      </c>
      <c r="O11" s="420" t="str">
        <f>[3]Brewhouse!$AX150</f>
        <v>D. Gomaz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[3]Brewhouse!$A151</f>
        <v>CA109</v>
      </c>
      <c r="D12" s="279">
        <f>[3]Brewhouse!$AF151</f>
        <v>51.4</v>
      </c>
      <c r="E12" s="279">
        <f>[3]Brewhouse!$AI151</f>
        <v>49.3</v>
      </c>
      <c r="F12" s="278">
        <f>[3]Brewhouse!$V151</f>
        <v>57</v>
      </c>
      <c r="G12" s="279">
        <f>[3]Brewhouse!AG151</f>
        <v>11.8</v>
      </c>
      <c r="H12" s="396"/>
      <c r="I12" s="368">
        <f>[3]Brewhouse!$AU151</f>
        <v>95.527089538140444</v>
      </c>
      <c r="J12" s="368">
        <f>[3]Brewhouse!$AV151</f>
        <v>96.950647304240945</v>
      </c>
      <c r="K12" s="281">
        <f>[3]Brewhouse!$Q151</f>
        <v>11.924528301886793</v>
      </c>
      <c r="L12" s="276">
        <f>[3]Brewhouse!$P151</f>
        <v>59</v>
      </c>
      <c r="M12" s="397">
        <f>[3]Brewhouse!$U151-[3]Brewhouse!$T151</f>
        <v>0.11319444444444438</v>
      </c>
      <c r="N12" s="370">
        <f>[3]Brewhouse!$Z151</f>
        <v>0.30694444444444441</v>
      </c>
      <c r="O12" s="420" t="str">
        <f>[3]Brewhouse!$AX151</f>
        <v>K. Benjamin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[3]Brewhouse!$A152</f>
        <v>CA110</v>
      </c>
      <c r="D13" s="279">
        <f>[3]Brewhouse!$AF152</f>
        <v>52.5</v>
      </c>
      <c r="E13" s="279">
        <f>[3]Brewhouse!$AI152</f>
        <v>51.3</v>
      </c>
      <c r="F13" s="278">
        <f>[3]Brewhouse!$V152</f>
        <v>53</v>
      </c>
      <c r="G13" s="279">
        <f>[3]Brewhouse!AG152</f>
        <v>11.8</v>
      </c>
      <c r="H13" s="396"/>
      <c r="I13" s="368">
        <f>[3]Brewhouse!$AU152</f>
        <v>98.791770353169028</v>
      </c>
      <c r="J13" s="368">
        <f>[3]Brewhouse!$AV152</f>
        <v>100.26456939816917</v>
      </c>
      <c r="K13" s="281">
        <f>[3]Brewhouse!$Q152</f>
        <v>-7.8750000000000027</v>
      </c>
      <c r="L13" s="276">
        <f>[3]Brewhouse!$P152</f>
        <v>61</v>
      </c>
      <c r="M13" s="397">
        <f>[3]Brewhouse!$U152-[3]Brewhouse!$T152</f>
        <v>0.10208333333333341</v>
      </c>
      <c r="N13" s="370">
        <f>[3]Brewhouse!$Z152</f>
        <v>0.25555555555555554</v>
      </c>
      <c r="O13" s="420" t="str">
        <f>[3]Brewhouse!$AX152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6.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6.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6.5" customHeight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8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6.5" customHeight="1">
      <c r="B19" s="22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5.75" customHeight="1" thickBot="1">
      <c r="B20" s="358"/>
      <c r="C20" s="358"/>
      <c r="D20" s="358"/>
      <c r="E20" s="358"/>
      <c r="F20" s="294"/>
      <c r="G20" s="294"/>
      <c r="H20" s="348"/>
      <c r="I20" s="511"/>
      <c r="J20" s="511"/>
      <c r="K20" s="511"/>
      <c r="L20" s="511"/>
      <c r="M20" s="511"/>
      <c r="N20" s="511"/>
      <c r="O20" s="1"/>
      <c r="P20" s="12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5.75" customHeight="1" thickBot="1">
      <c r="B21" s="388" t="s">
        <v>162</v>
      </c>
      <c r="C21" s="388"/>
      <c r="D21" s="512" t="s">
        <v>35</v>
      </c>
      <c r="E21" s="513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0"/>
        <v xml:space="preserve">BRAND 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" customHeight="1">
      <c r="A22" s="28"/>
      <c r="B22" s="580"/>
      <c r="C22" s="362"/>
      <c r="D22" s="517"/>
      <c r="E22" s="518"/>
      <c r="F22" s="294"/>
      <c r="G22" s="294"/>
      <c r="H22" s="348"/>
      <c r="I22" s="29" t="s">
        <v>6</v>
      </c>
      <c r="J22" s="280">
        <f>AVERAGE(I10:I13)</f>
        <v>98.83005513406539</v>
      </c>
      <c r="K22" s="284">
        <f>COUNTA([3]Brewhouse!$A$125:$A$152)</f>
        <v>28</v>
      </c>
      <c r="L22" s="305">
        <f>AVERAGE([3]Brewhouse!$AU$125:$AU$152)</f>
        <v>97.195542148116843</v>
      </c>
      <c r="M22" s="305">
        <f>AVERAGE([3]Brewhouse!$AU$42:$AU$123,[3]Brewhouse!$AU$125:$AU$152)</f>
        <v>97.755717763044657</v>
      </c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81"/>
      <c r="C23" s="362"/>
      <c r="D23" s="519"/>
      <c r="E23" s="520"/>
      <c r="F23" s="294"/>
      <c r="G23" s="294"/>
      <c r="H23" s="348"/>
      <c r="I23" s="33" t="s">
        <v>9</v>
      </c>
      <c r="J23" s="280"/>
      <c r="K23" s="284">
        <f>COUNTA([4]Brewhouse!$A$83:$A$102)</f>
        <v>20</v>
      </c>
      <c r="L23" s="302">
        <f>AVERAGE([4]Brewhouse!$AS$83:$AS$102)</f>
        <v>97.82854827310743</v>
      </c>
      <c r="M23" s="302">
        <f>AVERAGE([4]Brewhouse!$AS$52:$AS$81,[4]Brewhouse!$AS$83:$AS$102)</f>
        <v>98.546544958251161</v>
      </c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81"/>
      <c r="C24" s="362"/>
      <c r="D24" s="521"/>
      <c r="E24" s="522"/>
      <c r="F24" s="294"/>
      <c r="G24" s="294"/>
      <c r="H24" s="348"/>
      <c r="I24" s="34" t="s">
        <v>12</v>
      </c>
      <c r="J24" s="280"/>
      <c r="K24" s="284">
        <f>COUNTA([6]Brewhouse!$A$25:$A$27)</f>
        <v>3</v>
      </c>
      <c r="L24" s="302">
        <f>AVERAGE([6]Brewhouse!$AU$25:$AU$27)</f>
        <v>98.383718888256155</v>
      </c>
      <c r="M24" s="302">
        <f>AVERAGE([6]Brewhouse!$AU$16:$AU$23,[6]Brewhouse!$AU$25:$AU$27)</f>
        <v>97.933890431198279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81"/>
      <c r="C25" s="362"/>
      <c r="D25" s="523"/>
      <c r="E25" s="520"/>
      <c r="F25" s="294"/>
      <c r="G25" s="294"/>
      <c r="H25" s="348"/>
      <c r="I25" s="22" t="s">
        <v>33</v>
      </c>
      <c r="J25" s="280"/>
      <c r="K25" s="284"/>
      <c r="L25" s="302"/>
      <c r="M25" s="302">
        <f>AVERAGE([5]Brewhouse!$AV$23:$AV$34)</f>
        <v>98.31387229810305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81"/>
      <c r="C26" s="362"/>
      <c r="D26" s="521"/>
      <c r="E26" s="522"/>
      <c r="F26" s="417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81"/>
      <c r="C27" s="362"/>
      <c r="D27" s="523"/>
      <c r="E27" s="520"/>
      <c r="F27" s="417"/>
      <c r="G27" s="294"/>
      <c r="H27" s="348"/>
      <c r="I27" s="36" t="s">
        <v>15</v>
      </c>
      <c r="J27" s="323"/>
      <c r="K27" s="284"/>
      <c r="L27" s="302"/>
      <c r="M27" s="302">
        <f>AVERAGE([7]Brewhouse!$AT$4:$AT$11)</f>
        <v>92.826224508052405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  <c r="AA27" s="472"/>
    </row>
    <row r="28" spans="1:27" ht="14.65" customHeight="1">
      <c r="A28" s="28"/>
      <c r="B28" s="581"/>
      <c r="C28" s="362"/>
      <c r="D28" s="521"/>
      <c r="E28" s="522"/>
      <c r="F28" s="417"/>
      <c r="G28" s="294"/>
      <c r="H28" s="348"/>
      <c r="I28" s="37" t="s">
        <v>16</v>
      </c>
      <c r="J28" s="323"/>
      <c r="K28" s="284"/>
      <c r="L28" s="302"/>
      <c r="M28" s="302">
        <f>AVERAGE([8]Brewhouse!$AY$5:$AY$7)</f>
        <v>98.128633252159673</v>
      </c>
      <c r="N28" s="30">
        <v>98</v>
      </c>
      <c r="O28" s="11"/>
      <c r="P28" s="31" t="s">
        <v>41</v>
      </c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  <c r="AA28" s="472"/>
    </row>
    <row r="29" spans="1:27" ht="14.65" customHeight="1">
      <c r="A29" s="28"/>
      <c r="B29" s="581"/>
      <c r="C29" s="362"/>
      <c r="D29" s="523"/>
      <c r="E29" s="520"/>
      <c r="F29" s="294"/>
      <c r="G29" s="294"/>
      <c r="H29" s="348"/>
      <c r="I29" s="411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4.65" customHeight="1">
      <c r="A30" s="28"/>
      <c r="B30" s="581"/>
      <c r="C30" s="349"/>
      <c r="D30" s="521"/>
      <c r="E30" s="522"/>
      <c r="F30" s="294"/>
      <c r="G30" s="294"/>
      <c r="H30" s="348"/>
      <c r="I30" s="410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81"/>
      <c r="C31" s="349"/>
      <c r="D31" s="523"/>
      <c r="E31" s="520"/>
      <c r="F31" s="294"/>
      <c r="G31" s="294"/>
      <c r="H31" s="348"/>
      <c r="I31" s="406" t="s">
        <v>156</v>
      </c>
      <c r="J31" s="327"/>
      <c r="K31" s="407"/>
      <c r="L31" s="408"/>
      <c r="M31" s="408"/>
      <c r="N31" s="409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81"/>
      <c r="C32" s="349"/>
      <c r="D32" s="517"/>
      <c r="E32" s="518"/>
      <c r="F32" s="294"/>
      <c r="G32" s="294"/>
      <c r="H32" s="348"/>
      <c r="I32" s="1"/>
      <c r="J32" s="39"/>
      <c r="K32" s="404">
        <f>SUM(K22:K31)</f>
        <v>51</v>
      </c>
      <c r="L32" s="405">
        <f>((L22*K22)+(L23*K23)+(L24*K24)+(L25*K25)+(L26*K26)+(K29*L29)+(L27*K27)+(L28*K28)+(L31*K31))/(K32)</f>
        <v>97.513672593611545</v>
      </c>
      <c r="M32" s="405">
        <f>L32</f>
        <v>97.513672593611545</v>
      </c>
      <c r="N32" s="4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82"/>
      <c r="C33" s="350"/>
      <c r="D33" s="519"/>
      <c r="E33" s="520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2:56" ht="15.75" thickBot="1">
      <c r="B34" s="514"/>
      <c r="C34" s="362"/>
      <c r="D34" s="525"/>
      <c r="E34" s="526"/>
      <c r="F34" s="294"/>
      <c r="G34" s="42"/>
      <c r="H34" s="41"/>
      <c r="I34" s="42"/>
      <c r="J34" s="527" t="s">
        <v>129</v>
      </c>
      <c r="K34" s="527"/>
      <c r="L34" s="294"/>
      <c r="M34" s="294"/>
      <c r="N34" s="294"/>
      <c r="O34" s="294"/>
      <c r="P34" s="12"/>
    </row>
    <row r="35" spans="2:56" ht="15.75" thickBot="1">
      <c r="B35" s="515"/>
      <c r="C35" s="362"/>
      <c r="D35" s="523"/>
      <c r="E35" s="520"/>
      <c r="F35" s="294"/>
      <c r="G35" s="42"/>
      <c r="H35" s="41"/>
      <c r="I35" s="42"/>
      <c r="J35" s="292" t="s">
        <v>17</v>
      </c>
      <c r="K35" s="293" t="s">
        <v>147</v>
      </c>
      <c r="L35" s="528" t="s">
        <v>136</v>
      </c>
      <c r="M35" s="528"/>
      <c r="N35" s="529"/>
      <c r="O35" s="294"/>
      <c r="P35" s="12"/>
    </row>
    <row r="36" spans="2:56" ht="15" customHeight="1" thickBot="1">
      <c r="B36" s="515"/>
      <c r="C36" s="349"/>
      <c r="D36" s="521"/>
      <c r="E36" s="522"/>
      <c r="F36" s="294"/>
      <c r="G36" s="42"/>
      <c r="H36" s="41"/>
      <c r="I36" s="42"/>
      <c r="J36" s="287" t="s">
        <v>6</v>
      </c>
      <c r="K36" s="324">
        <v>4</v>
      </c>
      <c r="L36" s="473" t="s">
        <v>37</v>
      </c>
      <c r="M36" s="474" t="s">
        <v>38</v>
      </c>
      <c r="N36" s="474" t="s">
        <v>84</v>
      </c>
      <c r="O36" s="294"/>
      <c r="P36" s="12"/>
    </row>
    <row r="37" spans="2:56" ht="15.75" customHeight="1" thickBot="1">
      <c r="B37" s="515"/>
      <c r="C37" s="349"/>
      <c r="D37" s="523"/>
      <c r="E37" s="520"/>
      <c r="F37" s="294"/>
      <c r="G37" s="42"/>
      <c r="H37" s="41"/>
      <c r="I37" s="42"/>
      <c r="J37" s="345" t="s">
        <v>9</v>
      </c>
      <c r="K37" s="324"/>
      <c r="L37" s="344">
        <f>AVERAGE(K46,'Feb 2nd'!K49,'Feb 3rd'!K54,'Feb 4th'!K53,'Feb 4th'!K53,'Feb 5th'!K49,'Feb 6th'!K49,'Feb 9th'!K52,'Feb 10th'!K54,'Feb 11th'!K48,'Feb 12th'!K49)</f>
        <v>6.5454545454545459</v>
      </c>
      <c r="M37" s="325">
        <f>AVERAGE('[9]Jan30th-31st'!$L$47,L37)</f>
        <v>6.3162055335968379</v>
      </c>
      <c r="N37" s="416">
        <v>9.1999999999999993</v>
      </c>
      <c r="O37" s="294"/>
      <c r="P37" s="12"/>
    </row>
    <row r="38" spans="2:56" ht="15" customHeight="1">
      <c r="B38" s="515"/>
      <c r="C38" s="349"/>
      <c r="D38" s="521"/>
      <c r="E38" s="522"/>
      <c r="F38" s="294"/>
      <c r="G38" s="42"/>
      <c r="H38" s="41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15"/>
      <c r="C39" s="349"/>
      <c r="D39" s="523"/>
      <c r="E39" s="520"/>
      <c r="F39" s="294"/>
      <c r="G39" s="42"/>
      <c r="H39" s="41"/>
      <c r="I39" s="42"/>
      <c r="J39" s="289" t="s">
        <v>33</v>
      </c>
      <c r="K39" s="324"/>
      <c r="L39" s="294"/>
      <c r="M39" s="294"/>
      <c r="N39" s="294"/>
      <c r="O39" s="294"/>
      <c r="P39" s="12"/>
    </row>
    <row r="40" spans="2:56" ht="15">
      <c r="B40" s="515"/>
      <c r="C40" s="349"/>
      <c r="D40" s="521"/>
      <c r="E40" s="522"/>
      <c r="F40" s="294"/>
      <c r="G40" s="42"/>
      <c r="H40" s="41"/>
      <c r="I40" s="42"/>
      <c r="J40" s="290" t="s">
        <v>16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15"/>
      <c r="C41" s="349"/>
      <c r="D41" s="523"/>
      <c r="E41" s="520"/>
      <c r="F41" s="294"/>
      <c r="G41" s="42"/>
      <c r="H41" s="41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15"/>
      <c r="C42" s="349"/>
      <c r="D42" s="521"/>
      <c r="E42" s="522"/>
      <c r="F42" s="294"/>
      <c r="G42" s="42"/>
      <c r="H42" s="41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24"/>
      <c r="C43" s="350"/>
      <c r="D43" s="530"/>
      <c r="E43" s="531"/>
      <c r="F43" s="294" t="s">
        <v>166</v>
      </c>
      <c r="G43" s="42"/>
      <c r="H43" s="41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32"/>
      <c r="E44" s="533"/>
      <c r="F44" s="294"/>
      <c r="H44" s="41"/>
      <c r="I44" s="42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1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1"/>
      <c r="I46" s="42"/>
      <c r="J46" s="346" t="s">
        <v>130</v>
      </c>
      <c r="K46" s="324">
        <f>SUM(K36:K45)</f>
        <v>4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294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1:57" ht="15" customHeight="1" thickBot="1">
      <c r="B49" s="534" t="s">
        <v>17</v>
      </c>
      <c r="C49" s="534" t="s">
        <v>44</v>
      </c>
      <c r="D49" s="537" t="s">
        <v>45</v>
      </c>
      <c r="E49" s="500" t="s">
        <v>46</v>
      </c>
      <c r="F49" s="509" t="s">
        <v>47</v>
      </c>
      <c r="G49" s="546" t="s">
        <v>48</v>
      </c>
      <c r="H49" s="534" t="s">
        <v>49</v>
      </c>
      <c r="I49" s="534" t="s">
        <v>50</v>
      </c>
      <c r="J49" s="540" t="s">
        <v>28</v>
      </c>
      <c r="K49" s="498" t="s">
        <v>51</v>
      </c>
      <c r="L49" s="549" t="s">
        <v>52</v>
      </c>
      <c r="M49" s="540" t="s">
        <v>53</v>
      </c>
      <c r="N49" s="13"/>
      <c r="O49" s="13"/>
      <c r="P49" s="50"/>
    </row>
    <row r="50" spans="1:57" ht="28.5" customHeight="1" thickTop="1" thickBot="1">
      <c r="B50" s="535"/>
      <c r="C50" s="536"/>
      <c r="D50" s="538"/>
      <c r="E50" s="539"/>
      <c r="F50" s="551"/>
      <c r="G50" s="547"/>
      <c r="H50" s="535"/>
      <c r="I50" s="535"/>
      <c r="J50" s="541"/>
      <c r="K50" s="548"/>
      <c r="L50" s="550"/>
      <c r="M50" s="541"/>
      <c r="N50" s="13"/>
      <c r="O50" s="13"/>
      <c r="P50" s="50"/>
      <c r="Q50" s="355"/>
      <c r="AB50" s="475">
        <v>43474</v>
      </c>
      <c r="AC50" s="475">
        <v>43475</v>
      </c>
      <c r="AD50" s="475">
        <v>43476</v>
      </c>
      <c r="AE50" s="475">
        <v>43477</v>
      </c>
      <c r="AF50" s="475">
        <v>43478</v>
      </c>
      <c r="AG50" s="475">
        <v>43479</v>
      </c>
      <c r="AH50" s="475">
        <v>43480</v>
      </c>
      <c r="AI50" s="475">
        <v>43481</v>
      </c>
      <c r="AJ50" s="475">
        <v>43482</v>
      </c>
      <c r="AK50" s="475">
        <v>43483</v>
      </c>
      <c r="AL50" s="475">
        <v>43484</v>
      </c>
      <c r="AM50" s="475">
        <v>43485</v>
      </c>
      <c r="AN50" s="475">
        <v>43486</v>
      </c>
      <c r="AO50" s="475">
        <v>43487</v>
      </c>
      <c r="AP50" s="475">
        <v>43488</v>
      </c>
      <c r="AQ50" s="475">
        <v>43489</v>
      </c>
      <c r="AR50" s="475">
        <v>43490</v>
      </c>
      <c r="AS50" s="475">
        <v>43491</v>
      </c>
      <c r="AT50" s="475">
        <v>43492</v>
      </c>
      <c r="AU50" s="475">
        <v>43493</v>
      </c>
      <c r="AV50" s="475">
        <v>43494</v>
      </c>
      <c r="AW50" s="475">
        <v>43495</v>
      </c>
      <c r="AX50" s="475">
        <v>43496</v>
      </c>
    </row>
    <row r="51" spans="1:57" s="54" customFormat="1" ht="37.15" customHeight="1" thickBot="1">
      <c r="B51" s="480" t="str">
        <f>J36</f>
        <v>CARIB</v>
      </c>
      <c r="C51" s="479">
        <v>46066</v>
      </c>
      <c r="D51" s="442">
        <f>[29]February_2026!$P$3</f>
        <v>100.9</v>
      </c>
      <c r="E51" s="443"/>
      <c r="F51" s="444"/>
      <c r="G51" s="445">
        <f>[29]February_2026!$P$7</f>
        <v>95.7</v>
      </c>
      <c r="H51" s="458"/>
      <c r="I51" s="458"/>
      <c r="J51" s="448" t="s">
        <v>169</v>
      </c>
      <c r="K51" s="449">
        <f>[30]February_2026!$P$18</f>
        <v>0.33578947368421053</v>
      </c>
      <c r="L51" s="457">
        <f>(((D51+E51)-G51)/(D51+E51))*100</f>
        <v>5.1536174430128865</v>
      </c>
      <c r="M51" s="455" t="s">
        <v>183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[10]January_2019!L5</f>
        <v>0</v>
      </c>
      <c r="AC51" s="57">
        <f>[10]January_2019!M5</f>
        <v>0</v>
      </c>
      <c r="AD51" s="57">
        <f>[10]January_2019!N5</f>
        <v>0</v>
      </c>
      <c r="AE51" s="57">
        <f>[10]January_2019!O5</f>
        <v>0</v>
      </c>
      <c r="AF51" s="57">
        <f>[10]January_2019!P5</f>
        <v>0</v>
      </c>
      <c r="AG51" s="57">
        <f>[10]January_2019!Q5</f>
        <v>0</v>
      </c>
      <c r="AH51" s="57">
        <f>[10]January_2019!R5</f>
        <v>0</v>
      </c>
      <c r="AI51" s="57">
        <f>[10]January_2019!S5</f>
        <v>0</v>
      </c>
      <c r="AJ51" s="57">
        <f>[10]January_2019!T5</f>
        <v>0</v>
      </c>
      <c r="AK51" s="57">
        <f>[10]January_2019!U5</f>
        <v>0</v>
      </c>
      <c r="AL51" s="57">
        <f>[10]January_2019!V5</f>
        <v>0</v>
      </c>
      <c r="AM51" s="57">
        <f>[10]January_2019!W5</f>
        <v>0</v>
      </c>
      <c r="AN51" s="57">
        <f>[10]January_2019!X5</f>
        <v>0</v>
      </c>
      <c r="AO51" s="57">
        <f>[10]January_2019!Y5</f>
        <v>0</v>
      </c>
      <c r="AP51" s="57">
        <f>[10]January_2019!Z5</f>
        <v>0</v>
      </c>
      <c r="AQ51" s="57">
        <f>[10]January_2019!AA5</f>
        <v>0</v>
      </c>
      <c r="AR51" s="57">
        <f>[10]January_2019!AB5</f>
        <v>0</v>
      </c>
      <c r="AS51" s="57">
        <f>[10]January_2019!AC5</f>
        <v>0</v>
      </c>
      <c r="AT51" s="57">
        <f>[10]January_2019!AD5</f>
        <v>0</v>
      </c>
      <c r="AU51" s="57">
        <f>[10]January_2019!AE5</f>
        <v>0</v>
      </c>
      <c r="AV51" s="57">
        <f>[10]January_2019!AF5</f>
        <v>0</v>
      </c>
      <c r="AW51" s="57">
        <f>[10]January_2019!AG5</f>
        <v>0</v>
      </c>
      <c r="AX51" s="277">
        <f>[10]January_2019!AH5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1:57" s="54" customFormat="1" ht="14.25" customHeight="1" thickBot="1">
      <c r="B52" s="480"/>
      <c r="C52" s="479"/>
      <c r="D52" s="442"/>
      <c r="E52" s="443"/>
      <c r="F52" s="444"/>
      <c r="G52" s="445"/>
      <c r="H52" s="458"/>
      <c r="I52" s="458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[10]January_2019!L6</f>
        <v>0</v>
      </c>
      <c r="AC52" s="57">
        <f>[10]January_2019!M6</f>
        <v>0</v>
      </c>
      <c r="AD52" s="57">
        <f>[10]January_2019!N6</f>
        <v>0</v>
      </c>
      <c r="AE52" s="57">
        <f>[10]January_2019!O6</f>
        <v>0</v>
      </c>
      <c r="AF52" s="57">
        <f>[10]January_2019!P6</f>
        <v>0</v>
      </c>
      <c r="AG52" s="57">
        <f>[10]January_2019!Q6</f>
        <v>0</v>
      </c>
      <c r="AH52" s="57">
        <f>[10]January_2019!R6</f>
        <v>0</v>
      </c>
      <c r="AI52" s="57">
        <f>[10]January_2019!S6</f>
        <v>0</v>
      </c>
      <c r="AJ52" s="57">
        <f>[10]January_2019!T6</f>
        <v>0</v>
      </c>
      <c r="AK52" s="57">
        <f>[10]January_2019!U6</f>
        <v>0</v>
      </c>
      <c r="AL52" s="57">
        <f>[10]January_2019!V6</f>
        <v>0</v>
      </c>
      <c r="AM52" s="57">
        <f>[10]January_2019!W6</f>
        <v>0</v>
      </c>
      <c r="AN52" s="57">
        <f>[10]January_2019!X6</f>
        <v>0</v>
      </c>
      <c r="AO52" s="57">
        <f>[10]January_2019!Y6</f>
        <v>0</v>
      </c>
      <c r="AP52" s="57">
        <f>[10]January_2019!Z6</f>
        <v>0</v>
      </c>
      <c r="AQ52" s="57">
        <f>[10]January_2019!AA6</f>
        <v>0</v>
      </c>
      <c r="AR52" s="57">
        <f>[10]January_2019!AB6</f>
        <v>0</v>
      </c>
      <c r="AS52" s="57">
        <f>[10]January_2019!AC6</f>
        <v>0</v>
      </c>
      <c r="AT52" s="57">
        <f>[10]January_2019!AD6</f>
        <v>0</v>
      </c>
      <c r="AU52" s="57">
        <f>[10]January_2019!AE6</f>
        <v>0</v>
      </c>
      <c r="AV52" s="57">
        <f>[10]January_2019!AF6</f>
        <v>0</v>
      </c>
      <c r="AW52" s="57">
        <f>[10]January_2019!AG6</f>
        <v>0</v>
      </c>
      <c r="AX52" s="277">
        <f>[10]January_2019!AH6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1:57" s="54" customFormat="1" ht="37.15" hidden="1" customHeight="1" thickBot="1">
      <c r="A53" s="54" t="s">
        <v>170</v>
      </c>
      <c r="B53" s="480"/>
      <c r="C53" s="479"/>
      <c r="D53" s="442"/>
      <c r="E53" s="443"/>
      <c r="F53" s="444"/>
      <c r="G53" s="445"/>
      <c r="H53" s="458"/>
      <c r="I53" s="458"/>
      <c r="J53" s="448" t="s">
        <v>182</v>
      </c>
      <c r="K53" s="449"/>
      <c r="L53" s="457" t="e">
        <f>(((D53+E53)-G53)/(D53+E53))*100</f>
        <v>#DIV/0!</v>
      </c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[10]January_2019!L7</f>
        <v>285.8</v>
      </c>
      <c r="AC53" s="57">
        <f>[10]January_2019!M7</f>
        <v>508.1</v>
      </c>
      <c r="AD53" s="57">
        <f>[10]January_2019!N7</f>
        <v>0</v>
      </c>
      <c r="AE53" s="57">
        <f>[10]January_2019!O7</f>
        <v>0</v>
      </c>
      <c r="AF53" s="57">
        <f>[10]January_2019!P7</f>
        <v>109.56666666666666</v>
      </c>
      <c r="AG53" s="57">
        <f>[10]January_2019!Q7</f>
        <v>297.64999999999998</v>
      </c>
      <c r="AH53" s="57">
        <f>[10]January_2019!R7</f>
        <v>122.3</v>
      </c>
      <c r="AI53" s="57">
        <f>[10]January_2019!S7</f>
        <v>0</v>
      </c>
      <c r="AJ53" s="57">
        <f>[10]January_2019!T7</f>
        <v>294.7</v>
      </c>
      <c r="AK53" s="57">
        <f>[10]January_2019!U7</f>
        <v>280.5</v>
      </c>
      <c r="AL53" s="57">
        <f>[10]January_2019!V7</f>
        <v>0</v>
      </c>
      <c r="AM53" s="57">
        <f>[10]January_2019!W7</f>
        <v>0</v>
      </c>
      <c r="AN53" s="57">
        <f>[10]January_2019!X7</f>
        <v>188.25</v>
      </c>
      <c r="AO53" s="57">
        <f>[10]January_2019!Y7</f>
        <v>295.7</v>
      </c>
      <c r="AP53" s="57">
        <f>[10]January_2019!Z7</f>
        <v>257.8</v>
      </c>
      <c r="AQ53" s="57">
        <f>[10]January_2019!AA7</f>
        <v>291.2</v>
      </c>
      <c r="AR53" s="57">
        <f>[10]January_2019!AB7</f>
        <v>187</v>
      </c>
      <c r="AS53" s="57">
        <f>[10]January_2019!AC7</f>
        <v>0</v>
      </c>
      <c r="AT53" s="57">
        <f>[10]January_2019!AD7</f>
        <v>0</v>
      </c>
      <c r="AU53" s="57">
        <f>[10]January_2019!AE7</f>
        <v>485.1</v>
      </c>
      <c r="AV53" s="57">
        <f>[10]January_2019!AF7</f>
        <v>171.55</v>
      </c>
      <c r="AW53" s="57">
        <f>[10]January_2019!AG7</f>
        <v>423.8</v>
      </c>
      <c r="AX53" s="277">
        <f>[10]January_2019!AH7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1:57" s="54" customFormat="1" ht="19.5" hidden="1" customHeight="1" thickBot="1">
      <c r="B54" s="478"/>
      <c r="C54" s="430"/>
      <c r="D54" s="431"/>
      <c r="E54" s="432"/>
      <c r="F54" s="433"/>
      <c r="G54" s="434"/>
      <c r="H54" s="458"/>
      <c r="I54" s="45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1:57" s="54" customFormat="1" ht="38.450000000000003" hidden="1" customHeight="1" thickBot="1">
      <c r="B55" s="480"/>
      <c r="C55" s="479"/>
      <c r="D55" s="442"/>
      <c r="E55" s="443"/>
      <c r="F55" s="444"/>
      <c r="G55" s="445"/>
      <c r="H55" s="458"/>
      <c r="I55" s="458"/>
      <c r="J55" s="448" t="s">
        <v>182</v>
      </c>
      <c r="K55" s="459"/>
      <c r="L55" s="457" t="e">
        <f>(((D55+E55)-G55)/(D55+E55))*100</f>
        <v>#DIV/0!</v>
      </c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15" hidden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37.15" hidden="1" customHeight="1" thickBot="1">
      <c r="B57" s="480"/>
      <c r="C57" s="479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1:57" s="54" customFormat="1" ht="37.15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7.15" customHeight="1">
      <c r="B60" s="466"/>
      <c r="C60" s="430"/>
      <c r="D60" s="460"/>
      <c r="E60" s="461"/>
      <c r="F60" s="462"/>
      <c r="G60" s="460"/>
      <c r="H60" s="463"/>
      <c r="I60" s="463"/>
      <c r="J60" s="463"/>
      <c r="K60" s="464"/>
      <c r="L60" s="465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1:57" ht="15.75" thickBot="1">
      <c r="B62" s="542" t="s">
        <v>55</v>
      </c>
      <c r="C62" s="543"/>
      <c r="D62" s="543"/>
      <c r="E62" s="543"/>
      <c r="F62" s="544"/>
      <c r="G62" s="542" t="s">
        <v>56</v>
      </c>
      <c r="H62" s="543"/>
      <c r="I62" s="543"/>
      <c r="J62" s="544"/>
      <c r="K62" s="542" t="s">
        <v>51</v>
      </c>
      <c r="L62" s="543"/>
      <c r="M62" s="543"/>
      <c r="N62" s="545"/>
      <c r="O62" s="56"/>
      <c r="P62" s="50"/>
    </row>
    <row r="63" spans="1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1:57" ht="15">
      <c r="B64" s="29" t="s">
        <v>6</v>
      </c>
      <c r="C64" s="282">
        <f>L51</f>
        <v>5.1536174430128865</v>
      </c>
      <c r="D64" s="76">
        <v>6.112206039551066</v>
      </c>
      <c r="E64" s="76">
        <v>7.5755483907644745</v>
      </c>
      <c r="F64" s="66">
        <v>4.8</v>
      </c>
      <c r="G64" s="65">
        <f>[29]February_2026!$P$11</f>
        <v>4.3156172758426958</v>
      </c>
      <c r="H64" s="477">
        <v>5.9825826511589009</v>
      </c>
      <c r="I64" s="477">
        <v>7.4772283238709898</v>
      </c>
      <c r="J64" s="66">
        <v>4.8</v>
      </c>
      <c r="K64" s="67">
        <f>K51</f>
        <v>0.33578947368421053</v>
      </c>
      <c r="L64" s="194">
        <v>0.40237178435592907</v>
      </c>
      <c r="M64" s="194">
        <v>0.40665611564405646</v>
      </c>
      <c r="N64" s="68">
        <v>1</v>
      </c>
      <c r="O64" s="56"/>
      <c r="P64" s="69"/>
    </row>
    <row r="65" spans="2:16" ht="15">
      <c r="B65" s="33" t="s">
        <v>9</v>
      </c>
      <c r="C65" s="65"/>
      <c r="D65" s="76">
        <v>6.9992441421012783</v>
      </c>
      <c r="E65" s="76">
        <v>6.3996679964257304</v>
      </c>
      <c r="F65" s="66">
        <v>4.8</v>
      </c>
      <c r="G65" s="65"/>
      <c r="H65" s="76">
        <v>6.2959705050792918</v>
      </c>
      <c r="I65" s="76">
        <v>6.5255270100945157</v>
      </c>
      <c r="J65" s="66">
        <v>4.8</v>
      </c>
      <c r="K65" s="67"/>
      <c r="L65" s="194">
        <v>0.38257297756677955</v>
      </c>
      <c r="M65" s="194">
        <v>0.51523049011373423</v>
      </c>
      <c r="N65" s="68">
        <v>1</v>
      </c>
      <c r="P65" s="69"/>
    </row>
    <row r="66" spans="2:16" ht="15">
      <c r="B66" s="34" t="s">
        <v>40</v>
      </c>
      <c r="C66" s="65"/>
      <c r="D66" s="76">
        <v>11.722828666350269</v>
      </c>
      <c r="E66" s="76">
        <v>11.155100139729852</v>
      </c>
      <c r="F66" s="66">
        <v>5.5</v>
      </c>
      <c r="G66" s="65"/>
      <c r="H66" s="76">
        <v>12.537121640099599</v>
      </c>
      <c r="I66" s="76">
        <v>11.952951274961968</v>
      </c>
      <c r="J66" s="66">
        <v>5.5</v>
      </c>
      <c r="K66" s="67"/>
      <c r="L66" s="194">
        <v>0.16315789473684211</v>
      </c>
      <c r="M66" s="194">
        <v>0.42456140350877192</v>
      </c>
      <c r="N66" s="68">
        <v>1</v>
      </c>
      <c r="P66" s="69"/>
    </row>
    <row r="67" spans="2:16" ht="15">
      <c r="B67" s="22" t="s">
        <v>33</v>
      </c>
      <c r="C67" s="65"/>
      <c r="D67" s="76"/>
      <c r="E67" s="76">
        <v>5.0755456997699637</v>
      </c>
      <c r="F67" s="66">
        <v>3.3</v>
      </c>
      <c r="G67" s="65"/>
      <c r="H67" s="76"/>
      <c r="I67" s="76">
        <v>4.6359882890480018</v>
      </c>
      <c r="J67" s="66">
        <v>3.3</v>
      </c>
      <c r="K67" s="67"/>
      <c r="L67" s="194"/>
      <c r="M67" s="194">
        <v>0.66833333333333345</v>
      </c>
      <c r="N67" s="68">
        <v>1</v>
      </c>
      <c r="P67" s="69"/>
    </row>
    <row r="68" spans="2:16" ht="15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 ht="15">
      <c r="B69" s="36" t="s">
        <v>15</v>
      </c>
      <c r="C69" s="65"/>
      <c r="D69" s="76"/>
      <c r="E69" s="76">
        <v>5.1105651105651271</v>
      </c>
      <c r="F69" s="70">
        <f>[11]May_2022!$M$43</f>
        <v>3.4878406700073312</v>
      </c>
      <c r="G69" s="282"/>
      <c r="H69" s="76"/>
      <c r="I69" s="76">
        <v>7.9131369535794072</v>
      </c>
      <c r="J69" s="66">
        <v>5.5</v>
      </c>
      <c r="K69" s="67"/>
      <c r="L69" s="194"/>
      <c r="M69" s="194">
        <v>1.3550877192982456</v>
      </c>
      <c r="N69" s="68">
        <v>1</v>
      </c>
      <c r="P69" s="69"/>
    </row>
    <row r="70" spans="2:16" ht="15">
      <c r="B70" s="37" t="s">
        <v>16</v>
      </c>
      <c r="C70" s="65"/>
      <c r="D70" s="76"/>
      <c r="E70" s="76">
        <v>2.0590520590520631</v>
      </c>
      <c r="F70" s="66">
        <v>3.3</v>
      </c>
      <c r="G70" s="282"/>
      <c r="H70" s="76"/>
      <c r="I70" s="76">
        <v>2.1755040108015784</v>
      </c>
      <c r="J70" s="66">
        <v>3.3</v>
      </c>
      <c r="K70" s="67"/>
      <c r="L70" s="194"/>
      <c r="M70" s="194">
        <v>0.88456140350877199</v>
      </c>
      <c r="N70" s="71">
        <v>1</v>
      </c>
      <c r="P70" s="69"/>
    </row>
    <row r="71" spans="2:16" ht="15.75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 ht="15">
      <c r="D73" s="76">
        <v>6.6854187107228586</v>
      </c>
      <c r="E73" s="76">
        <v>6.8469754464986545</v>
      </c>
      <c r="F73" s="341">
        <v>5.5</v>
      </c>
      <c r="H73" s="76">
        <v>6.6324527365729784</v>
      </c>
      <c r="I73" s="76">
        <v>6.9092096815415909</v>
      </c>
      <c r="J73" s="341">
        <v>5.5</v>
      </c>
      <c r="L73" s="194">
        <v>0.37991992802519114</v>
      </c>
      <c r="M73" s="194">
        <v>0.50037633298933604</v>
      </c>
      <c r="N73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B34:B43"/>
    <mergeCell ref="D34:E35"/>
    <mergeCell ref="J34:K34"/>
    <mergeCell ref="L35:N35"/>
    <mergeCell ref="D36:E37"/>
    <mergeCell ref="D38:E39"/>
    <mergeCell ref="D40:E41"/>
    <mergeCell ref="D42:E43"/>
    <mergeCell ref="D44:E44"/>
    <mergeCell ref="B49:B50"/>
    <mergeCell ref="C49:C50"/>
    <mergeCell ref="D49:D50"/>
    <mergeCell ref="E49:E50"/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</mergeCells>
  <conditionalFormatting sqref="B44:B45">
    <cfRule type="cellIs" dxfId="1739" priority="49" operator="notBetween">
      <formula>#REF!</formula>
      <formula>#REF!</formula>
    </cfRule>
  </conditionalFormatting>
  <conditionalFormatting sqref="C48">
    <cfRule type="cellIs" dxfId="1738" priority="163" stopIfTrue="1" operator="greaterThan">
      <formula>100</formula>
    </cfRule>
    <cfRule type="cellIs" dxfId="1737" priority="162" stopIfTrue="1" operator="lessThan">
      <formula>96</formula>
    </cfRule>
  </conditionalFormatting>
  <conditionalFormatting sqref="C64:C68">
    <cfRule type="cellIs" dxfId="1736" priority="120" stopIfTrue="1" operator="lessThanOrEqual">
      <formula>0</formula>
    </cfRule>
  </conditionalFormatting>
  <conditionalFormatting sqref="C64:C72">
    <cfRule type="cellIs" dxfId="1735" priority="119" stopIfTrue="1" operator="greaterThan">
      <formula>$F64</formula>
    </cfRule>
  </conditionalFormatting>
  <conditionalFormatting sqref="C65">
    <cfRule type="cellIs" dxfId="1734" priority="166" stopIfTrue="1" operator="greaterThan">
      <formula>$F64</formula>
    </cfRule>
  </conditionalFormatting>
  <conditionalFormatting sqref="C69">
    <cfRule type="cellIs" dxfId="1733" priority="74" stopIfTrue="1" operator="greaterThan">
      <formula>$F68</formula>
    </cfRule>
    <cfRule type="cellIs" dxfId="1732" priority="73" stopIfTrue="1" operator="lessThanOrEqual">
      <formula>0</formula>
    </cfRule>
  </conditionalFormatting>
  <conditionalFormatting sqref="C75:C79">
    <cfRule type="cellIs" dxfId="1731" priority="154" stopIfTrue="1" operator="lessThanOrEqual">
      <formula>0</formula>
    </cfRule>
  </conditionalFormatting>
  <conditionalFormatting sqref="C76:C79">
    <cfRule type="cellIs" dxfId="1730" priority="153" stopIfTrue="1" operator="greaterThan">
      <formula>$F$75</formula>
    </cfRule>
  </conditionalFormatting>
  <conditionalFormatting sqref="C81">
    <cfRule type="cellIs" dxfId="1729" priority="156" stopIfTrue="1" operator="lessThanOrEqual">
      <formula>0</formula>
    </cfRule>
    <cfRule type="cellIs" dxfId="1728" priority="155" stopIfTrue="1" operator="greaterThan">
      <formula>$F$75</formula>
    </cfRule>
  </conditionalFormatting>
  <conditionalFormatting sqref="C75:D75 D77:D83">
    <cfRule type="cellIs" dxfId="1727" priority="148" stopIfTrue="1" operator="greaterThan">
      <formula>4.5</formula>
    </cfRule>
  </conditionalFormatting>
  <conditionalFormatting sqref="D44:D45">
    <cfRule type="cellIs" dxfId="1726" priority="50" operator="notBetween">
      <formula>#REF!</formula>
      <formula>#REF!</formula>
    </cfRule>
  </conditionalFormatting>
  <conditionalFormatting sqref="D64:D71">
    <cfRule type="cellIs" dxfId="1725" priority="128" stopIfTrue="1" operator="lessThanOrEqual">
      <formula>0</formula>
    </cfRule>
  </conditionalFormatting>
  <conditionalFormatting sqref="D75 D77:D83">
    <cfRule type="cellIs" dxfId="1724" priority="149" stopIfTrue="1" operator="lessThanOrEqual">
      <formula>0</formula>
    </cfRule>
  </conditionalFormatting>
  <conditionalFormatting sqref="D76">
    <cfRule type="cellIs" dxfId="1723" priority="140" stopIfTrue="1" operator="greaterThan">
      <formula>$F$75</formula>
    </cfRule>
    <cfRule type="cellIs" dxfId="1722" priority="141" stopIfTrue="1" operator="lessThanOrEqual">
      <formula>0</formula>
    </cfRule>
  </conditionalFormatting>
  <conditionalFormatting sqref="D64:E73">
    <cfRule type="cellIs" dxfId="1721" priority="117" stopIfTrue="1" operator="greaterThan">
      <formula>$F64</formula>
    </cfRule>
  </conditionalFormatting>
  <conditionalFormatting sqref="D72:E72">
    <cfRule type="cellIs" dxfId="1720" priority="127" stopIfTrue="1" operator="lessThanOrEqual">
      <formula>0</formula>
    </cfRule>
  </conditionalFormatting>
  <conditionalFormatting sqref="D73:E73">
    <cfRule type="cellIs" dxfId="1719" priority="118" stopIfTrue="1" operator="lessThanOrEqual">
      <formula>0</formula>
    </cfRule>
  </conditionalFormatting>
  <conditionalFormatting sqref="E10:E19">
    <cfRule type="cellIs" dxfId="1718" priority="18" operator="lessThan">
      <formula>48</formula>
    </cfRule>
  </conditionalFormatting>
  <conditionalFormatting sqref="E47 E48:F48">
    <cfRule type="cellIs" dxfId="1717" priority="145" stopIfTrue="1" operator="greaterThan">
      <formula>100</formula>
    </cfRule>
  </conditionalFormatting>
  <conditionalFormatting sqref="E48">
    <cfRule type="cellIs" dxfId="1716" priority="143" stopIfTrue="1" operator="greaterThan">
      <formula>100</formula>
    </cfRule>
    <cfRule type="cellIs" dxfId="1715" priority="142" stopIfTrue="1" operator="lessThan">
      <formula>96.8</formula>
    </cfRule>
  </conditionalFormatting>
  <conditionalFormatting sqref="E64:E71">
    <cfRule type="cellIs" dxfId="1714" priority="37" stopIfTrue="1" operator="lessThanOrEqual">
      <formula>0</formula>
    </cfRule>
  </conditionalFormatting>
  <conditionalFormatting sqref="E64:E72">
    <cfRule type="cellIs" dxfId="1713" priority="124" stopIfTrue="1" operator="lessThanOrEqual">
      <formula>0</formula>
    </cfRule>
  </conditionalFormatting>
  <conditionalFormatting sqref="E75:E83">
    <cfRule type="cellIs" dxfId="1712" priority="135" stopIfTrue="1" operator="lessThanOrEqual">
      <formula>0</formula>
    </cfRule>
    <cfRule type="cellIs" dxfId="1711" priority="134" stopIfTrue="1" operator="greaterThan">
      <formula>4.5</formula>
    </cfRule>
  </conditionalFormatting>
  <conditionalFormatting sqref="E48:F48 E47">
    <cfRule type="cellIs" dxfId="1710" priority="144" stopIfTrue="1" operator="lessThan">
      <formula>96.5</formula>
    </cfRule>
  </conditionalFormatting>
  <conditionalFormatting sqref="F10:F16 F18:F19">
    <cfRule type="cellIs" dxfId="1709" priority="39" operator="greaterThan">
      <formula>60</formula>
    </cfRule>
  </conditionalFormatting>
  <conditionalFormatting sqref="F48">
    <cfRule type="cellIs" dxfId="1708" priority="160" stopIfTrue="1" operator="lessThan">
      <formula>96.8</formula>
    </cfRule>
    <cfRule type="cellIs" dxfId="1707" priority="161" stopIfTrue="1" operator="greaterThan">
      <formula>100</formula>
    </cfRule>
  </conditionalFormatting>
  <conditionalFormatting sqref="F73">
    <cfRule type="cellIs" dxfId="1706" priority="125" stopIfTrue="1" operator="greaterThan">
      <formula>$F73</formula>
    </cfRule>
    <cfRule type="cellIs" dxfId="1705" priority="126" stopIfTrue="1" operator="lessThanOrEqual">
      <formula>0</formula>
    </cfRule>
  </conditionalFormatting>
  <conditionalFormatting sqref="G10:G18">
    <cfRule type="expression" dxfId="1704" priority="20">
      <formula>IF(+(IF(G10&lt;S10,0,IF(G10&gt;T10,0,1)))=0,1)</formula>
    </cfRule>
  </conditionalFormatting>
  <conditionalFormatting sqref="G64:G65 C70:C72">
    <cfRule type="cellIs" dxfId="1703" priority="130" stopIfTrue="1" operator="lessThanOrEqual">
      <formula>0</formula>
    </cfRule>
  </conditionalFormatting>
  <conditionalFormatting sqref="G64:G65">
    <cfRule type="cellIs" dxfId="1702" priority="122" stopIfTrue="1" operator="lessThanOrEqual">
      <formula>0</formula>
    </cfRule>
    <cfRule type="cellIs" dxfId="1701" priority="129" stopIfTrue="1" operator="greaterThan">
      <formula>$F64</formula>
    </cfRule>
    <cfRule type="cellIs" dxfId="1700" priority="121" stopIfTrue="1" operator="greaterThan">
      <formula>$F64</formula>
    </cfRule>
  </conditionalFormatting>
  <conditionalFormatting sqref="G66">
    <cfRule type="cellIs" dxfId="1699" priority="164" stopIfTrue="1" operator="greaterThan">
      <formula>$F65</formula>
    </cfRule>
    <cfRule type="cellIs" dxfId="1698" priority="165" stopIfTrue="1" operator="lessThanOrEqual">
      <formula>0</formula>
    </cfRule>
  </conditionalFormatting>
  <conditionalFormatting sqref="G67">
    <cfRule type="cellIs" dxfId="1697" priority="46" stopIfTrue="1" operator="lessThanOrEqual">
      <formula>0</formula>
    </cfRule>
    <cfRule type="cellIs" dxfId="1696" priority="47" stopIfTrue="1" operator="greaterThan">
      <formula>$F67</formula>
    </cfRule>
    <cfRule type="cellIs" dxfId="1695" priority="48" stopIfTrue="1" operator="lessThanOrEqual">
      <formula>0</formula>
    </cfRule>
    <cfRule type="cellIs" dxfId="1694" priority="45" stopIfTrue="1" operator="greaterThan">
      <formula>$F67</formula>
    </cfRule>
  </conditionalFormatting>
  <conditionalFormatting sqref="G68:G72">
    <cfRule type="cellIs" dxfId="1693" priority="131" stopIfTrue="1" operator="greaterThan">
      <formula>$J68</formula>
    </cfRule>
    <cfRule type="cellIs" dxfId="1692" priority="132" stopIfTrue="1" operator="lessThanOrEqual">
      <formula>0</formula>
    </cfRule>
  </conditionalFormatting>
  <conditionalFormatting sqref="G77:G82 C80 C82">
    <cfRule type="cellIs" dxfId="1691" priority="158" stopIfTrue="1" operator="lessThanOrEqual">
      <formula>0</formula>
    </cfRule>
    <cfRule type="cellIs" dxfId="1690" priority="157" stopIfTrue="1" operator="greaterThan">
      <formula>4.5</formula>
    </cfRule>
  </conditionalFormatting>
  <conditionalFormatting sqref="G76:H76">
    <cfRule type="cellIs" dxfId="1689" priority="138" stopIfTrue="1" operator="greaterThan">
      <formula>$F$75</formula>
    </cfRule>
    <cfRule type="cellIs" dxfId="1688" priority="139" stopIfTrue="1" operator="lessThanOrEqual">
      <formula>0</formula>
    </cfRule>
  </conditionalFormatting>
  <conditionalFormatting sqref="H10:H18 G19:H19">
    <cfRule type="expression" dxfId="1687" priority="42">
      <formula>IF(+(IF(G10&lt;#REF!,0,IF(G10&gt;#REF!,0,1)))=0,1)</formula>
    </cfRule>
  </conditionalFormatting>
  <conditionalFormatting sqref="H33:H47">
    <cfRule type="cellIs" dxfId="1686" priority="136" stopIfTrue="1" operator="greaterThan">
      <formula>0</formula>
    </cfRule>
  </conditionalFormatting>
  <conditionalFormatting sqref="H51:H55">
    <cfRule type="cellIs" dxfId="1685" priority="33" stopIfTrue="1" operator="greaterThan">
      <formula>$F$67</formula>
    </cfRule>
    <cfRule type="cellIs" dxfId="1684" priority="24" stopIfTrue="1" operator="lessThanOrEqual">
      <formula>0</formula>
    </cfRule>
    <cfRule type="cellIs" dxfId="1683" priority="25" stopIfTrue="1" operator="greaterThan">
      <formula>$F$64</formula>
    </cfRule>
    <cfRule type="cellIs" dxfId="1682" priority="34" stopIfTrue="1" operator="lessThanOrEqual">
      <formula>0</formula>
    </cfRule>
    <cfRule type="cellIs" dxfId="1681" priority="35" stopIfTrue="1" operator="greaterThan">
      <formula>$F$65</formula>
    </cfRule>
    <cfRule type="cellIs" dxfId="1680" priority="36" stopIfTrue="1" operator="lessThanOrEqual">
      <formula>0</formula>
    </cfRule>
  </conditionalFormatting>
  <conditionalFormatting sqref="H56:H57">
    <cfRule type="cellIs" dxfId="1679" priority="77" stopIfTrue="1" operator="greaterThan">
      <formula>#REF!</formula>
    </cfRule>
    <cfRule type="cellIs" dxfId="1678" priority="85" stopIfTrue="1" operator="greaterThan">
      <formula>$F$19</formula>
    </cfRule>
    <cfRule type="cellIs" dxfId="1677" priority="76" stopIfTrue="1" operator="lessThanOrEqual">
      <formula>0</formula>
    </cfRule>
    <cfRule type="cellIs" dxfId="1676" priority="87" stopIfTrue="1" operator="greaterThan">
      <formula>#REF!</formula>
    </cfRule>
    <cfRule type="cellIs" dxfId="1675" priority="88" stopIfTrue="1" operator="lessThanOrEqual">
      <formula>0</formula>
    </cfRule>
    <cfRule type="cellIs" dxfId="1674" priority="86" stopIfTrue="1" operator="lessThanOrEqual">
      <formula>0</formula>
    </cfRule>
  </conditionalFormatting>
  <conditionalFormatting sqref="H58">
    <cfRule type="cellIs" dxfId="1673" priority="103" stopIfTrue="1" operator="lessThanOrEqual">
      <formula>0</formula>
    </cfRule>
    <cfRule type="cellIs" dxfId="1672" priority="102" stopIfTrue="1" operator="greaterThan">
      <formula>$F$33</formula>
    </cfRule>
    <cfRule type="cellIs" dxfId="1671" priority="101" stopIfTrue="1" operator="lessThanOrEqual">
      <formula>0</formula>
    </cfRule>
    <cfRule type="cellIs" dxfId="1670" priority="100" stopIfTrue="1" operator="greaterThan">
      <formula>$F$35</formula>
    </cfRule>
    <cfRule type="cellIs" dxfId="1669" priority="92" stopIfTrue="1" operator="greaterThan">
      <formula>$F$32</formula>
    </cfRule>
    <cfRule type="cellIs" dxfId="1668" priority="91" stopIfTrue="1" operator="lessThanOrEqual">
      <formula>0</formula>
    </cfRule>
  </conditionalFormatting>
  <conditionalFormatting sqref="H59:H60">
    <cfRule type="cellIs" dxfId="1667" priority="60" stopIfTrue="1" operator="lessThanOrEqual">
      <formula>0</formula>
    </cfRule>
    <cfRule type="cellIs" dxfId="1666" priority="61" stopIfTrue="1" operator="greaterThan">
      <formula>#REF!</formula>
    </cfRule>
    <cfRule type="cellIs" dxfId="1665" priority="69" stopIfTrue="1" operator="greaterThan">
      <formula>$F$19</formula>
    </cfRule>
    <cfRule type="cellIs" dxfId="1664" priority="70" stopIfTrue="1" operator="lessThanOrEqual">
      <formula>0</formula>
    </cfRule>
    <cfRule type="cellIs" dxfId="1663" priority="71" stopIfTrue="1" operator="greaterThan">
      <formula>#REF!</formula>
    </cfRule>
    <cfRule type="cellIs" dxfId="1662" priority="72" stopIfTrue="1" operator="lessThanOrEqual">
      <formula>0</formula>
    </cfRule>
  </conditionalFormatting>
  <conditionalFormatting sqref="H75 H77:H83">
    <cfRule type="cellIs" dxfId="1661" priority="150" stopIfTrue="1" operator="greaterThan">
      <formula>4.5</formula>
    </cfRule>
    <cfRule type="cellIs" dxfId="1660" priority="151" stopIfTrue="1" operator="lessThanOrEqual">
      <formula>0</formula>
    </cfRule>
  </conditionalFormatting>
  <conditionalFormatting sqref="H51:I55">
    <cfRule type="cellIs" dxfId="1659" priority="26" stopIfTrue="1" operator="lessThanOrEqual">
      <formula>0</formula>
    </cfRule>
    <cfRule type="cellIs" dxfId="1658" priority="23" stopIfTrue="1" operator="greaterThan">
      <formula>$F$66</formula>
    </cfRule>
  </conditionalFormatting>
  <conditionalFormatting sqref="H56:I57">
    <cfRule type="cellIs" dxfId="1657" priority="75" stopIfTrue="1" operator="greaterThan">
      <formula>#REF!</formula>
    </cfRule>
    <cfRule type="cellIs" dxfId="1656" priority="78" stopIfTrue="1" operator="lessThanOrEqual">
      <formula>0</formula>
    </cfRule>
  </conditionalFormatting>
  <conditionalFormatting sqref="H58:I58">
    <cfRule type="cellIs" dxfId="1655" priority="93" stopIfTrue="1" operator="lessThanOrEqual">
      <formula>0</formula>
    </cfRule>
    <cfRule type="cellIs" dxfId="1654" priority="90" stopIfTrue="1" operator="greaterThan">
      <formula>$F$34</formula>
    </cfRule>
  </conditionalFormatting>
  <conditionalFormatting sqref="H59:I60">
    <cfRule type="cellIs" dxfId="1653" priority="62" stopIfTrue="1" operator="lessThanOrEqual">
      <formula>0</formula>
    </cfRule>
    <cfRule type="cellIs" dxfId="1652" priority="59" stopIfTrue="1" operator="greaterThan">
      <formula>#REF!</formula>
    </cfRule>
  </conditionalFormatting>
  <conditionalFormatting sqref="H64:I71">
    <cfRule type="cellIs" dxfId="1651" priority="40" stopIfTrue="1" operator="greaterThan">
      <formula>$J64</formula>
    </cfRule>
    <cfRule type="cellIs" dxfId="1650" priority="41" stopIfTrue="1" operator="lessThanOrEqual">
      <formula>0</formula>
    </cfRule>
  </conditionalFormatting>
  <conditionalFormatting sqref="H72:I72">
    <cfRule type="cellIs" dxfId="1649" priority="123" operator="greaterThan">
      <formula>5.3</formula>
    </cfRule>
  </conditionalFormatting>
  <conditionalFormatting sqref="H73:I73">
    <cfRule type="cellIs" dxfId="1648" priority="115" stopIfTrue="1" operator="greaterThan">
      <formula>$J73</formula>
    </cfRule>
    <cfRule type="cellIs" dxfId="1647" priority="116" stopIfTrue="1" operator="lessThanOrEqual">
      <formula>0</formula>
    </cfRule>
  </conditionalFormatting>
  <conditionalFormatting sqref="I51:I55">
    <cfRule type="cellIs" dxfId="1646" priority="27" stopIfTrue="1" operator="greaterThan">
      <formula>$F$64</formula>
    </cfRule>
    <cfRule type="cellIs" dxfId="1645" priority="32" stopIfTrue="1" operator="lessThanOrEqual">
      <formula>0</formula>
    </cfRule>
    <cfRule type="cellIs" dxfId="1644" priority="28" stopIfTrue="1" operator="lessThanOrEqual">
      <formula>0</formula>
    </cfRule>
    <cfRule type="cellIs" dxfId="1643" priority="29" stopIfTrue="1" operator="greaterThan">
      <formula>$F$66</formula>
    </cfRule>
    <cfRule type="cellIs" dxfId="1642" priority="30" stopIfTrue="1" operator="lessThanOrEqual">
      <formula>0</formula>
    </cfRule>
    <cfRule type="cellIs" dxfId="1641" priority="31" stopIfTrue="1" operator="greaterThan">
      <formula>$F$64</formula>
    </cfRule>
  </conditionalFormatting>
  <conditionalFormatting sqref="I56:I57">
    <cfRule type="cellIs" dxfId="1640" priority="83" stopIfTrue="1" operator="greaterThan">
      <formula>#REF!</formula>
    </cfRule>
    <cfRule type="cellIs" dxfId="1639" priority="82" stopIfTrue="1" operator="lessThanOrEqual">
      <formula>0</formula>
    </cfRule>
    <cfRule type="cellIs" dxfId="1638" priority="81" stopIfTrue="1" operator="greaterThan">
      <formula>#REF!</formula>
    </cfRule>
    <cfRule type="cellIs" dxfId="1637" priority="80" stopIfTrue="1" operator="lessThanOrEqual">
      <formula>0</formula>
    </cfRule>
    <cfRule type="cellIs" dxfId="1636" priority="84" stopIfTrue="1" operator="lessThanOrEqual">
      <formula>0</formula>
    </cfRule>
    <cfRule type="cellIs" dxfId="1635" priority="79" stopIfTrue="1" operator="greaterThan">
      <formula>#REF!</formula>
    </cfRule>
  </conditionalFormatting>
  <conditionalFormatting sqref="I58">
    <cfRule type="cellIs" dxfId="1634" priority="94" stopIfTrue="1" operator="greaterThan">
      <formula>$F$32</formula>
    </cfRule>
    <cfRule type="cellIs" dxfId="1633" priority="98" stopIfTrue="1" operator="greaterThan">
      <formula>$F$32</formula>
    </cfRule>
    <cfRule type="cellIs" dxfId="1632" priority="99" stopIfTrue="1" operator="lessThanOrEqual">
      <formula>0</formula>
    </cfRule>
    <cfRule type="cellIs" dxfId="1631" priority="95" stopIfTrue="1" operator="lessThanOrEqual">
      <formula>0</formula>
    </cfRule>
    <cfRule type="cellIs" dxfId="1630" priority="96" stopIfTrue="1" operator="greaterThan">
      <formula>$F$34</formula>
    </cfRule>
    <cfRule type="cellIs" dxfId="1629" priority="97" stopIfTrue="1" operator="lessThanOrEqual">
      <formula>0</formula>
    </cfRule>
  </conditionalFormatting>
  <conditionalFormatting sqref="I59:I60">
    <cfRule type="cellIs" dxfId="1628" priority="64" stopIfTrue="1" operator="lessThanOrEqual">
      <formula>0</formula>
    </cfRule>
    <cfRule type="cellIs" dxfId="1627" priority="63" stopIfTrue="1" operator="greaterThan">
      <formula>#REF!</formula>
    </cfRule>
    <cfRule type="cellIs" dxfId="1626" priority="66" stopIfTrue="1" operator="lessThanOrEqual">
      <formula>0</formula>
    </cfRule>
    <cfRule type="cellIs" dxfId="1625" priority="68" stopIfTrue="1" operator="lessThanOrEqual">
      <formula>0</formula>
    </cfRule>
    <cfRule type="cellIs" dxfId="1624" priority="67" stopIfTrue="1" operator="greaterThan">
      <formula>#REF!</formula>
    </cfRule>
    <cfRule type="cellIs" dxfId="1623" priority="65" stopIfTrue="1" operator="greaterThan">
      <formula>#REF!</formula>
    </cfRule>
  </conditionalFormatting>
  <conditionalFormatting sqref="I75:I83">
    <cfRule type="cellIs" dxfId="1622" priority="146" stopIfTrue="1" operator="greaterThan">
      <formula>4.5</formula>
    </cfRule>
    <cfRule type="cellIs" dxfId="1621" priority="147" stopIfTrue="1" operator="lessThanOrEqual">
      <formula>0</formula>
    </cfRule>
  </conditionalFormatting>
  <conditionalFormatting sqref="I10:J19">
    <cfRule type="cellIs" dxfId="1620" priority="14" operator="lessThan">
      <formula>97.9</formula>
    </cfRule>
  </conditionalFormatting>
  <conditionalFormatting sqref="J24">
    <cfRule type="cellIs" dxfId="1619" priority="107" operator="lessThan">
      <formula>98</formula>
    </cfRule>
    <cfRule type="cellIs" dxfId="1618" priority="105" stopIfTrue="1" operator="lessThan">
      <formula>96.8</formula>
    </cfRule>
    <cfRule type="cellIs" dxfId="1617" priority="106" stopIfTrue="1" operator="greaterThan">
      <formula>100</formula>
    </cfRule>
  </conditionalFormatting>
  <conditionalFormatting sqref="J24:J26">
    <cfRule type="cellIs" dxfId="1616" priority="104" operator="lessThan">
      <formula>97.4</formula>
    </cfRule>
  </conditionalFormatting>
  <conditionalFormatting sqref="J27:J28">
    <cfRule type="cellIs" dxfId="1615" priority="108" operator="lessThan">
      <formula>98</formula>
    </cfRule>
  </conditionalFormatting>
  <conditionalFormatting sqref="J29:J30">
    <cfRule type="cellIs" dxfId="1614" priority="110" stopIfTrue="1" operator="greaterThan">
      <formula>100</formula>
    </cfRule>
    <cfRule type="cellIs" dxfId="1613" priority="109" stopIfTrue="1" operator="lessThan">
      <formula>96.8</formula>
    </cfRule>
  </conditionalFormatting>
  <conditionalFormatting sqref="J29:J31">
    <cfRule type="cellIs" dxfId="1612" priority="111" operator="lessThan">
      <formula>98</formula>
    </cfRule>
  </conditionalFormatting>
  <conditionalFormatting sqref="J60">
    <cfRule type="cellIs" dxfId="1611" priority="55" stopIfTrue="1" operator="greaterThan">
      <formula>#REF!</formula>
    </cfRule>
    <cfRule type="cellIs" dxfId="1610" priority="54" stopIfTrue="1" operator="lessThanOrEqual">
      <formula>0</formula>
    </cfRule>
    <cfRule type="cellIs" dxfId="1609" priority="53" stopIfTrue="1" operator="greaterThan">
      <formula>#REF!</formula>
    </cfRule>
    <cfRule type="cellIs" dxfId="1608" priority="52" stopIfTrue="1" operator="lessThanOrEqual">
      <formula>0</formula>
    </cfRule>
    <cfRule type="cellIs" dxfId="1607" priority="58" stopIfTrue="1" operator="lessThanOrEqual">
      <formula>0</formula>
    </cfRule>
    <cfRule type="cellIs" dxfId="1606" priority="57" stopIfTrue="1" operator="greaterThan">
      <formula>#REF!</formula>
    </cfRule>
    <cfRule type="cellIs" dxfId="1605" priority="56" stopIfTrue="1" operator="lessThanOrEqual">
      <formula>0</formula>
    </cfRule>
    <cfRule type="cellIs" dxfId="1604" priority="51" stopIfTrue="1" operator="greaterThan">
      <formula>#REF!</formula>
    </cfRule>
  </conditionalFormatting>
  <conditionalFormatting sqref="J73">
    <cfRule type="cellIs" dxfId="1603" priority="113" stopIfTrue="1" operator="lessThanOrEqual">
      <formula>0</formula>
    </cfRule>
    <cfRule type="cellIs" dxfId="1602" priority="112" stopIfTrue="1" operator="greaterThan">
      <formula>$F73</formula>
    </cfRule>
  </conditionalFormatting>
  <conditionalFormatting sqref="K10:K19">
    <cfRule type="cellIs" dxfId="1601" priority="17" operator="greaterThan">
      <formula>6.4</formula>
    </cfRule>
    <cfRule type="cellIs" dxfId="1600" priority="16" operator="lessThan">
      <formula>4</formula>
    </cfRule>
    <cfRule type="cellIs" dxfId="1599" priority="15" operator="greaterThan">
      <formula>6</formula>
    </cfRule>
  </conditionalFormatting>
  <conditionalFormatting sqref="K51:K60">
    <cfRule type="cellIs" dxfId="1598" priority="38" stopIfTrue="1" operator="lessThan">
      <formula>100%</formula>
    </cfRule>
  </conditionalFormatting>
  <conditionalFormatting sqref="K75:K80">
    <cfRule type="cellIs" dxfId="1597" priority="152" stopIfTrue="1" operator="lessThan">
      <formula>100%</formula>
    </cfRule>
  </conditionalFormatting>
  <conditionalFormatting sqref="K82:K83">
    <cfRule type="cellIs" dxfId="1596" priority="159" stopIfTrue="1" operator="lessThan">
      <formula>100%</formula>
    </cfRule>
  </conditionalFormatting>
  <conditionalFormatting sqref="K64:N72">
    <cfRule type="cellIs" dxfId="1595" priority="89" stopIfTrue="1" operator="lessThan">
      <formula>100%</formula>
    </cfRule>
  </conditionalFormatting>
  <conditionalFormatting sqref="L10:L19">
    <cfRule type="cellIs" dxfId="1594" priority="21" operator="between">
      <formula>61</formula>
      <formula>65</formula>
    </cfRule>
    <cfRule type="cellIs" dxfId="1593" priority="22" operator="greaterThan">
      <formula>65</formula>
    </cfRule>
  </conditionalFormatting>
  <conditionalFormatting sqref="L22:M33">
    <cfRule type="cellIs" dxfId="1592" priority="43" operator="lessThan">
      <formula>97.95</formula>
    </cfRule>
  </conditionalFormatting>
  <conditionalFormatting sqref="L37:N37">
    <cfRule type="cellIs" dxfId="1591" priority="44" operator="notEqual">
      <formula>#REF!</formula>
    </cfRule>
  </conditionalFormatting>
  <conditionalFormatting sqref="L73:N73">
    <cfRule type="cellIs" dxfId="1590" priority="114" stopIfTrue="1" operator="lessThan">
      <formula>100%</formula>
    </cfRule>
  </conditionalFormatting>
  <conditionalFormatting sqref="L75:N83">
    <cfRule type="cellIs" dxfId="1589" priority="137" stopIfTrue="1" operator="lessThan">
      <formula>100%</formula>
    </cfRule>
  </conditionalFormatting>
  <conditionalFormatting sqref="M10:M18">
    <cfRule type="expression" dxfId="1588" priority="19">
      <formula>IF(+(IF(M10&lt;U10,0,IF(M10&gt;V10,0,1)))=0,1)</formula>
    </cfRule>
  </conditionalFormatting>
  <conditionalFormatting sqref="M19:N19">
    <cfRule type="expression" dxfId="1587" priority="167">
      <formula>IF(+(IF(M19&lt;#REF!,0,IF(M19&gt;#REF!,0,1)))=0,1)</formula>
    </cfRule>
  </conditionalFormatting>
  <conditionalFormatting sqref="N10:N18">
    <cfRule type="expression" dxfId="1586" priority="13">
      <formula>IF(+(IF(N10&lt;W10,0,IF(N10&gt;X10,0,1)))=0,1)</formula>
    </cfRule>
  </conditionalFormatting>
  <conditionalFormatting sqref="P6">
    <cfRule type="cellIs" dxfId="1585" priority="133" operator="greaterThanOrEqual">
      <formula>19</formula>
    </cfRule>
  </conditionalFormatting>
  <dataValidations count="1">
    <dataValidation type="list" allowBlank="1" showInputMessage="1" showErrorMessage="1" sqref="R8" xr:uid="{B21B5006-5F5F-4EE4-953E-2FC9E8D01AA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7E29-A2A9-4BD0-9D18-39F4A730E61C}">
  <sheetPr>
    <pageSetUpPr fitToPage="1"/>
  </sheetPr>
  <dimension ref="A1:BE81"/>
  <sheetViews>
    <sheetView topLeftCell="A3" zoomScale="80" zoomScaleNormal="80" workbookViewId="0">
      <selection activeCell="E10" sqref="E10:E14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46070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[3]Brewhouse!$A153</f>
        <v>CA111</v>
      </c>
      <c r="D10" s="279">
        <f>[3]Brewhouse!$AF153</f>
        <v>51.4</v>
      </c>
      <c r="E10" s="279">
        <f>[3]Brewhouse!$AI153</f>
        <v>49.7</v>
      </c>
      <c r="F10" s="278">
        <f>[3]Brewhouse!$V153</f>
        <v>62</v>
      </c>
      <c r="G10" s="279">
        <f>[3]Brewhouse!AG153</f>
        <v>11.4</v>
      </c>
      <c r="H10" s="482">
        <v>11.5</v>
      </c>
      <c r="I10" s="368">
        <f>[3]Brewhouse!$AU153</f>
        <v>92.525215393532562</v>
      </c>
      <c r="J10" s="368">
        <f>[3]Brewhouse!$AV153</f>
        <v>93.904371495785384</v>
      </c>
      <c r="K10" s="281">
        <f>[3]Brewhouse!$Q153</f>
        <v>-5.3638253638253603</v>
      </c>
      <c r="L10" s="276">
        <f>[3]Brewhouse!$P153</f>
        <v>60</v>
      </c>
      <c r="M10" s="397">
        <f>[3]Brewhouse!$U153-[3]Brewhouse!$T153</f>
        <v>0.16805555555555557</v>
      </c>
      <c r="N10" s="370">
        <f>[3]Brewhouse!$Z153</f>
        <v>0.43680555555555556</v>
      </c>
      <c r="O10" s="420" t="str">
        <f>[3]Brewhouse!$AX153</f>
        <v>R. Regis</v>
      </c>
      <c r="P10" s="418" t="s">
        <v>187</v>
      </c>
      <c r="R10" s="277" t="str">
        <f t="shared" ref="R10:R15" si="0">B10</f>
        <v>CARIB</v>
      </c>
      <c r="S10" s="472">
        <f t="shared" ref="S10:S15" si="1">VLOOKUP($B10,$R$3:$X$9,2,FALSE)</f>
        <v>11.6</v>
      </c>
      <c r="T10" s="472">
        <f t="shared" ref="T10:T15" si="2">VLOOKUP($B10,$R$3:$X$9,3,FALSE)</f>
        <v>12</v>
      </c>
      <c r="U10" s="297">
        <f t="shared" ref="U10:U15" si="3">VLOOKUP($B10,$R$3:$X$9,4,FALSE)</f>
        <v>0</v>
      </c>
      <c r="V10" s="297">
        <f t="shared" ref="V10:V15" si="4">VLOOKUP($B10,$R$3:$X$9,5,FALSE)</f>
        <v>0.118055555555556</v>
      </c>
      <c r="W10" s="297">
        <f t="shared" ref="W10:W15" si="5">VLOOKUP($B10,$R$3:$X$9,6,FALSE)</f>
        <v>0.22569444444444445</v>
      </c>
      <c r="X10" s="297">
        <f t="shared" ref="X10:X15" si="6">VLOOKUP($B10,$R$3:$X$9,7,FALSE)</f>
        <v>0.2638888888888889</v>
      </c>
      <c r="Y10" s="297">
        <f t="shared" ref="Y10:Y15" si="7">VLOOKUP($B10,$R$3:$Z$9,8,FALSE)</f>
        <v>0</v>
      </c>
      <c r="Z10" s="472">
        <f t="shared" ref="Z10:Z15" si="8">VLOOKUP($B10,$R$3:$Z$9,9,FALSE)</f>
        <v>60</v>
      </c>
    </row>
    <row r="11" spans="2:29" ht="16.5" customHeight="1">
      <c r="B11" s="29" t="s">
        <v>6</v>
      </c>
      <c r="C11" s="366" t="str">
        <f>[3]Brewhouse!$A154</f>
        <v>CA112</v>
      </c>
      <c r="D11" s="279">
        <f>[3]Brewhouse!$AF154</f>
        <v>49.1</v>
      </c>
      <c r="E11" s="279">
        <f>[3]Brewhouse!$AI154</f>
        <v>49.1</v>
      </c>
      <c r="F11" s="278">
        <f>[3]Brewhouse!$V154</f>
        <v>58</v>
      </c>
      <c r="G11" s="279">
        <f>[3]Brewhouse!AG154</f>
        <v>12.3</v>
      </c>
      <c r="H11" s="482">
        <v>12.4</v>
      </c>
      <c r="I11" s="368">
        <f>[3]Brewhouse!$AU154</f>
        <v>98.286412743082607</v>
      </c>
      <c r="J11" s="368">
        <f>[3]Brewhouse!$AV154</f>
        <v>99.752142721651026</v>
      </c>
      <c r="K11" s="281">
        <f>[3]Brewhouse!$Q154</f>
        <v>7.1555555555555523</v>
      </c>
      <c r="L11" s="276">
        <f>[3]Brewhouse!$P154</f>
        <v>60</v>
      </c>
      <c r="M11" s="397">
        <f>[3]Brewhouse!$U154-[3]Brewhouse!$T154</f>
        <v>0.1479166666666667</v>
      </c>
      <c r="N11" s="370">
        <f>[3]Brewhouse!$Z154</f>
        <v>0.30972222222222229</v>
      </c>
      <c r="O11" s="420" t="str">
        <f>[3]Brewhouse!$AX154</f>
        <v>R. Regis</v>
      </c>
      <c r="P11" s="418" t="s">
        <v>188</v>
      </c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[3]Brewhouse!$A155</f>
        <v>CA113</v>
      </c>
      <c r="D12" s="279">
        <f>[3]Brewhouse!$AF155</f>
        <v>49.6</v>
      </c>
      <c r="E12" s="279">
        <f>[3]Brewhouse!$AI155</f>
        <v>47.7</v>
      </c>
      <c r="F12" s="278">
        <f>[3]Brewhouse!$V155</f>
        <v>58</v>
      </c>
      <c r="G12" s="279">
        <f>[3]Brewhouse!AG155</f>
        <v>12</v>
      </c>
      <c r="H12" s="396">
        <v>12.1</v>
      </c>
      <c r="I12" s="368">
        <f>[3]Brewhouse!$AU155</f>
        <v>95.699273266512037</v>
      </c>
      <c r="J12" s="368">
        <f>[3]Brewhouse!$AV155</f>
        <v>96.606257731006437</v>
      </c>
      <c r="K12" s="281">
        <f>[3]Brewhouse!$Q155</f>
        <v>6.411889596602979</v>
      </c>
      <c r="L12" s="276">
        <f>[3]Brewhouse!$P155</f>
        <v>57</v>
      </c>
      <c r="M12" s="397">
        <f>[3]Brewhouse!$U155-[3]Brewhouse!$T155</f>
        <v>0.13402777777777775</v>
      </c>
      <c r="N12" s="370">
        <f>[3]Brewhouse!$Z155</f>
        <v>0.3041666666666667</v>
      </c>
      <c r="O12" s="420" t="str">
        <f>[3]Brewhouse!$AX155</f>
        <v>R.Sookram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[3]Brewhouse!$A156</f>
        <v>CA114</v>
      </c>
      <c r="D13" s="279">
        <f>[3]Brewhouse!$AF156</f>
        <v>51</v>
      </c>
      <c r="E13" s="279">
        <f>[3]Brewhouse!$AI156</f>
        <v>49.2</v>
      </c>
      <c r="F13" s="278">
        <f>[3]Brewhouse!$V156</f>
        <v>57</v>
      </c>
      <c r="G13" s="279">
        <f>[3]Brewhouse!AG156</f>
        <v>12</v>
      </c>
      <c r="H13" s="396">
        <v>11.9</v>
      </c>
      <c r="I13" s="368">
        <f>[3]Brewhouse!$AU156</f>
        <v>96.200448437262068</v>
      </c>
      <c r="J13" s="368">
        <f>[3]Brewhouse!$AV156</f>
        <v>97.63484381344783</v>
      </c>
      <c r="K13" s="281">
        <f>[3]Brewhouse!$Q156</f>
        <v>4.50106157112526</v>
      </c>
      <c r="L13" s="276">
        <f>[3]Brewhouse!$P156</f>
        <v>58</v>
      </c>
      <c r="M13" s="397">
        <f>[3]Brewhouse!$U156-[3]Brewhouse!$T156</f>
        <v>0.13888888888888884</v>
      </c>
      <c r="N13" s="370">
        <f>[3]Brewhouse!$Z156</f>
        <v>0.30833333333333335</v>
      </c>
      <c r="O13" s="420" t="str">
        <f>[3]Brewhouse!$AX156</f>
        <v>R.Sookram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 t="s">
        <v>6</v>
      </c>
      <c r="C14" s="366" t="str">
        <f>[3]Brewhouse!$A157</f>
        <v>CA115</v>
      </c>
      <c r="D14" s="279">
        <f>[3]Brewhouse!$AF157</f>
        <v>49.9</v>
      </c>
      <c r="E14" s="279">
        <f>[3]Brewhouse!$AI157</f>
        <v>47.7</v>
      </c>
      <c r="F14" s="278">
        <f>[3]Brewhouse!$V157</f>
        <v>55</v>
      </c>
      <c r="G14" s="279">
        <f>[3]Brewhouse!AG157</f>
        <v>11.9</v>
      </c>
      <c r="H14" s="367"/>
      <c r="I14" s="368">
        <f>[3]Brewhouse!$AU157</f>
        <v>93.020726759402706</v>
      </c>
      <c r="J14" s="368">
        <f>[3]Brewhouse!$AV157</f>
        <v>94.407157610444941</v>
      </c>
      <c r="K14" s="281">
        <f>[3]Brewhouse!$Q157</f>
        <v>2.5957446808510616</v>
      </c>
      <c r="L14" s="276">
        <f>[3]Brewhouse!$P157</f>
        <v>61</v>
      </c>
      <c r="M14" s="397">
        <f>[3]Brewhouse!$U157-[3]Brewhouse!$T157</f>
        <v>0.1444444444444446</v>
      </c>
      <c r="N14" s="370">
        <f>[3]Brewhouse!$Z157</f>
        <v>0.3006944444444446</v>
      </c>
      <c r="O14" s="420" t="str">
        <f>[3]Brewhouse!$AX157</f>
        <v>K. Benjamin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6.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/>
      <c r="S16" s="472"/>
      <c r="T16" s="472"/>
      <c r="U16" s="297"/>
      <c r="V16" s="297"/>
      <c r="W16" s="297"/>
      <c r="X16" s="297"/>
      <c r="Y16" s="297"/>
      <c r="Z16" s="472"/>
    </row>
    <row r="17" spans="1:26" ht="16.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/>
      <c r="S17" s="472"/>
      <c r="T17" s="472"/>
      <c r="U17" s="297"/>
      <c r="V17" s="297"/>
      <c r="W17" s="297"/>
      <c r="X17" s="297"/>
      <c r="Y17" s="297"/>
      <c r="Z17" s="472"/>
    </row>
    <row r="18" spans="1:26" ht="16.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/>
      <c r="S18" s="472"/>
      <c r="T18" s="472"/>
      <c r="U18" s="297"/>
      <c r="V18" s="297"/>
      <c r="W18" s="297"/>
      <c r="X18" s="297"/>
      <c r="Y18" s="297"/>
      <c r="Z18" s="472"/>
    </row>
    <row r="19" spans="1:26" ht="16.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/>
      <c r="S19" s="472"/>
      <c r="T19" s="472"/>
      <c r="U19" s="297"/>
      <c r="V19" s="297"/>
      <c r="W19" s="297"/>
      <c r="X19" s="297"/>
      <c r="Y19" s="297"/>
      <c r="Z19" s="472"/>
    </row>
    <row r="20" spans="1:26" ht="16.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/>
      <c r="S20" s="472"/>
      <c r="T20" s="472"/>
      <c r="U20" s="297"/>
      <c r="V20" s="297"/>
      <c r="W20" s="297"/>
      <c r="X20" s="297"/>
      <c r="Y20" s="297"/>
      <c r="Z20" s="472"/>
    </row>
    <row r="21" spans="1:26" ht="16.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/>
      <c r="S21" s="472"/>
      <c r="T21" s="472"/>
      <c r="U21" s="297"/>
      <c r="V21" s="297"/>
      <c r="W21" s="297"/>
      <c r="X21" s="297"/>
      <c r="Y21" s="297"/>
      <c r="Z21" s="472"/>
    </row>
    <row r="22" spans="1:26" ht="16.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ref="R22:R41" si="9">B22</f>
        <v>0</v>
      </c>
      <c r="S22" s="472" t="e">
        <f t="shared" ref="S22:S41" si="10">VLOOKUP($B22,$R$3:$X$9,2,FALSE)</f>
        <v>#N/A</v>
      </c>
      <c r="T22" s="472" t="e">
        <f t="shared" ref="T22:T41" si="11">VLOOKUP($B22,$R$3:$X$9,3,FALSE)</f>
        <v>#N/A</v>
      </c>
      <c r="U22" s="297" t="e">
        <f t="shared" ref="U22:U41" si="12">VLOOKUP($B22,$R$3:$X$9,4,FALSE)</f>
        <v>#N/A</v>
      </c>
      <c r="V22" s="297" t="e">
        <f t="shared" ref="V22:V41" si="13">VLOOKUP($B22,$R$3:$X$9,5,FALSE)</f>
        <v>#N/A</v>
      </c>
      <c r="W22" s="297" t="e">
        <f t="shared" ref="W22:W41" si="14">VLOOKUP($B22,$R$3:$X$9,6,FALSE)</f>
        <v>#N/A</v>
      </c>
      <c r="X22" s="297" t="e">
        <f t="shared" ref="X22:X41" si="15">VLOOKUP($B22,$R$3:$X$9,7,FALSE)</f>
        <v>#N/A</v>
      </c>
      <c r="Y22" s="297" t="e">
        <f t="shared" ref="Y22:Y41" si="16">VLOOKUP($B22,$R$3:$Z$9,8,FALSE)</f>
        <v>#N/A</v>
      </c>
      <c r="Z22" s="472" t="e">
        <f t="shared" ref="Z22:Z41" si="17">VLOOKUP($B22,$R$3:$Z$9,9,FALSE)</f>
        <v>#N/A</v>
      </c>
    </row>
    <row r="23" spans="1:26" ht="16.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6.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6.5" hidden="1" customHeight="1">
      <c r="B25" s="33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8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0"/>
      <c r="P26" s="418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6.5" hidden="1" customHeight="1">
      <c r="B27" s="22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8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5.75" customHeight="1" thickBot="1">
      <c r="B28" s="358"/>
      <c r="C28" s="358"/>
      <c r="D28" s="358"/>
      <c r="E28" s="358"/>
      <c r="F28" s="294"/>
      <c r="G28" s="294"/>
      <c r="H28" s="348"/>
      <c r="I28" s="511"/>
      <c r="J28" s="511"/>
      <c r="K28" s="511"/>
      <c r="L28" s="511"/>
      <c r="M28" s="511"/>
      <c r="N28" s="511"/>
      <c r="O28" s="1"/>
      <c r="P28" s="12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5.75" customHeight="1" thickBot="1">
      <c r="B29" s="388" t="s">
        <v>162</v>
      </c>
      <c r="C29" s="388"/>
      <c r="D29" s="512" t="s">
        <v>35</v>
      </c>
      <c r="E29" s="513"/>
      <c r="F29" s="294"/>
      <c r="G29" s="294"/>
      <c r="H29" s="348"/>
      <c r="I29" s="24" t="s">
        <v>17</v>
      </c>
      <c r="J29" s="25"/>
      <c r="K29" s="26" t="s">
        <v>138</v>
      </c>
      <c r="L29" s="25" t="s">
        <v>37</v>
      </c>
      <c r="M29" s="25" t="s">
        <v>38</v>
      </c>
      <c r="N29" s="27" t="s">
        <v>39</v>
      </c>
      <c r="O29" s="294"/>
      <c r="P29" s="12"/>
      <c r="R29" s="277" t="str">
        <f t="shared" si="9"/>
        <v xml:space="preserve">BRAND 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5" customHeight="1">
      <c r="A30" s="28"/>
      <c r="B30" s="580"/>
      <c r="C30" s="362"/>
      <c r="D30" s="517"/>
      <c r="E30" s="518"/>
      <c r="F30" s="294"/>
      <c r="G30" s="294"/>
      <c r="H30" s="348"/>
      <c r="I30" s="29" t="s">
        <v>6</v>
      </c>
      <c r="J30" s="280">
        <f>AVERAGE(I10:I16)</f>
        <v>95.146415319958393</v>
      </c>
      <c r="K30" s="284">
        <f>COUNTA([3]Brewhouse!$A$125:$A$157)</f>
        <v>33</v>
      </c>
      <c r="L30" s="305">
        <f>AVERAGE([3]Brewhouse!$AU$125:$AU$157)</f>
        <v>96.885068386274654</v>
      </c>
      <c r="M30" s="305">
        <f>AVERAGE([3]Brewhouse!$AU$42:$AU$123,[3]Brewhouse!$AU$125:$AU$157)</f>
        <v>97.642269830736566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5" customHeight="1">
      <c r="A31" s="28"/>
      <c r="B31" s="581"/>
      <c r="C31" s="362"/>
      <c r="D31" s="519"/>
      <c r="E31" s="520"/>
      <c r="F31" s="294"/>
      <c r="G31" s="294"/>
      <c r="H31" s="348"/>
      <c r="I31" s="33" t="s">
        <v>9</v>
      </c>
      <c r="J31" s="280"/>
      <c r="K31" s="284">
        <f>COUNTA([4]Brewhouse!$A$83:$A$102)</f>
        <v>20</v>
      </c>
      <c r="L31" s="302">
        <f>AVERAGE([4]Brewhouse!$AS$83:$AS$102)</f>
        <v>97.82854827310743</v>
      </c>
      <c r="M31" s="302">
        <f>AVERAGE([4]Brewhouse!$AS$52:$AS$81,[4]Brewhouse!$AS$83:$AS$102)</f>
        <v>98.546544958251161</v>
      </c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65" customHeight="1">
      <c r="A32" s="28"/>
      <c r="B32" s="581"/>
      <c r="C32" s="362"/>
      <c r="D32" s="521"/>
      <c r="E32" s="522"/>
      <c r="F32" s="294"/>
      <c r="G32" s="294"/>
      <c r="H32" s="348"/>
      <c r="I32" s="34" t="s">
        <v>12</v>
      </c>
      <c r="J32" s="280"/>
      <c r="K32" s="284">
        <f>COUNTA([6]Brewhouse!$A$25:$A$27)</f>
        <v>3</v>
      </c>
      <c r="L32" s="302">
        <f>AVERAGE([6]Brewhouse!$AU$25:$AU$27)</f>
        <v>98.383718888256155</v>
      </c>
      <c r="M32" s="302">
        <f>AVERAGE([6]Brewhouse!$AU$16:$AU$23,[6]Brewhouse!$AU$25:$AU$27)</f>
        <v>97.933890431198279</v>
      </c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65" customHeight="1">
      <c r="A33" s="28"/>
      <c r="B33" s="581"/>
      <c r="C33" s="362"/>
      <c r="D33" s="523"/>
      <c r="E33" s="520"/>
      <c r="F33" s="294"/>
      <c r="G33" s="294"/>
      <c r="H33" s="348"/>
      <c r="I33" s="22" t="s">
        <v>33</v>
      </c>
      <c r="J33" s="280"/>
      <c r="K33" s="284"/>
      <c r="L33" s="302"/>
      <c r="M33" s="302">
        <f>AVERAGE([5]Brewhouse!$AV$23:$AV$34)</f>
        <v>98.31387229810305</v>
      </c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56" ht="14.65" customHeight="1">
      <c r="A34" s="28"/>
      <c r="B34" s="581"/>
      <c r="C34" s="362"/>
      <c r="D34" s="521"/>
      <c r="E34" s="522"/>
      <c r="F34" s="417"/>
      <c r="G34" s="294"/>
      <c r="H34" s="348"/>
      <c r="I34" s="35" t="s">
        <v>29</v>
      </c>
      <c r="J34" s="280"/>
      <c r="K34" s="284"/>
      <c r="L34" s="302"/>
      <c r="M34" s="302"/>
      <c r="N34" s="3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</row>
    <row r="35" spans="1:56" ht="14.65" customHeight="1">
      <c r="A35" s="28"/>
      <c r="B35" s="581"/>
      <c r="C35" s="362"/>
      <c r="D35" s="523"/>
      <c r="E35" s="520"/>
      <c r="F35" s="417"/>
      <c r="G35" s="294"/>
      <c r="H35" s="348"/>
      <c r="I35" s="36" t="s">
        <v>15</v>
      </c>
      <c r="J35" s="323"/>
      <c r="K35" s="284"/>
      <c r="L35" s="302"/>
      <c r="M35" s="302">
        <f>AVERAGE([7]Brewhouse!$AT$4:$AT$11)</f>
        <v>92.826224508052405</v>
      </c>
      <c r="N35" s="3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4.65" customHeight="1">
      <c r="A36" s="28"/>
      <c r="B36" s="581"/>
      <c r="C36" s="362"/>
      <c r="D36" s="521"/>
      <c r="E36" s="522"/>
      <c r="F36" s="417"/>
      <c r="G36" s="294"/>
      <c r="H36" s="348"/>
      <c r="I36" s="37" t="s">
        <v>16</v>
      </c>
      <c r="J36" s="323"/>
      <c r="K36" s="284"/>
      <c r="L36" s="302"/>
      <c r="M36" s="302">
        <f>AVERAGE([8]Brewhouse!$AY$5:$AY$7)</f>
        <v>98.128633252159673</v>
      </c>
      <c r="N36" s="30">
        <v>98</v>
      </c>
      <c r="O36" s="11"/>
      <c r="P36" s="31" t="s">
        <v>41</v>
      </c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4.65" customHeight="1">
      <c r="A37" s="28"/>
      <c r="B37" s="581"/>
      <c r="C37" s="362"/>
      <c r="D37" s="523"/>
      <c r="E37" s="520"/>
      <c r="F37" s="294"/>
      <c r="G37" s="294"/>
      <c r="H37" s="348"/>
      <c r="I37" s="411" t="s">
        <v>158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  <c r="AA37" s="472"/>
    </row>
    <row r="38" spans="1:56" ht="14.65" customHeight="1">
      <c r="A38" s="28"/>
      <c r="B38" s="581"/>
      <c r="C38" s="349"/>
      <c r="D38" s="521"/>
      <c r="E38" s="522"/>
      <c r="F38" s="294"/>
      <c r="G38" s="294"/>
      <c r="H38" s="348"/>
      <c r="I38" s="410" t="s">
        <v>157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9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  <c r="AA38" s="472"/>
    </row>
    <row r="39" spans="1:56" ht="15" customHeight="1" thickBot="1">
      <c r="A39" s="28"/>
      <c r="B39" s="581"/>
      <c r="C39" s="349"/>
      <c r="D39" s="523"/>
      <c r="E39" s="520"/>
      <c r="F39" s="294"/>
      <c r="G39" s="294"/>
      <c r="H39" s="348"/>
      <c r="I39" s="406" t="s">
        <v>156</v>
      </c>
      <c r="J39" s="327"/>
      <c r="K39" s="407"/>
      <c r="L39" s="408"/>
      <c r="M39" s="408"/>
      <c r="N39" s="409">
        <v>98</v>
      </c>
      <c r="O39" s="11"/>
      <c r="P39" s="31"/>
      <c r="R39" s="277">
        <f t="shared" si="9"/>
        <v>0</v>
      </c>
      <c r="S39" s="472" t="e">
        <f t="shared" si="10"/>
        <v>#N/A</v>
      </c>
      <c r="T39" s="472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472" t="e">
        <f t="shared" si="17"/>
        <v>#N/A</v>
      </c>
      <c r="AA39" s="472"/>
    </row>
    <row r="40" spans="1:56" ht="15" customHeight="1" thickBot="1">
      <c r="A40" s="28"/>
      <c r="B40" s="581"/>
      <c r="C40" s="349"/>
      <c r="D40" s="517"/>
      <c r="E40" s="518"/>
      <c r="F40" s="294"/>
      <c r="G40" s="294"/>
      <c r="H40" s="348"/>
      <c r="I40" s="1"/>
      <c r="J40" s="39"/>
      <c r="K40" s="404">
        <f>SUM(K30:K39)</f>
        <v>56</v>
      </c>
      <c r="L40" s="405">
        <f>((L30*K30)+(L31*K31)+(L32*K32)+(L33*K33)+(L34*K34)+(K37*L37)+(L35*K35)+(L36*K36)+(L39*K39))/(K40)</f>
        <v>97.302310337035365</v>
      </c>
      <c r="M40" s="405">
        <f>L40</f>
        <v>97.302310337035365</v>
      </c>
      <c r="N40" s="40">
        <v>98</v>
      </c>
      <c r="O40" s="11"/>
      <c r="P40" s="31"/>
      <c r="R40" s="277">
        <f t="shared" si="9"/>
        <v>0</v>
      </c>
      <c r="S40" s="472" t="e">
        <f t="shared" si="10"/>
        <v>#N/A</v>
      </c>
      <c r="T40" s="472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472" t="e">
        <f t="shared" si="17"/>
        <v>#N/A</v>
      </c>
      <c r="AA40" s="472"/>
    </row>
    <row r="41" spans="1:56" ht="15.75" thickBot="1">
      <c r="B41" s="582"/>
      <c r="C41" s="350"/>
      <c r="D41" s="519"/>
      <c r="E41" s="520"/>
      <c r="F41" s="294"/>
      <c r="G41" s="42"/>
      <c r="H41" s="41"/>
      <c r="I41" s="42"/>
      <c r="J41" s="42"/>
      <c r="K41" s="351"/>
      <c r="L41" s="348"/>
      <c r="M41" s="348"/>
      <c r="N41" s="11"/>
      <c r="O41" s="294"/>
      <c r="P41" s="12"/>
      <c r="R41" s="277">
        <f t="shared" si="9"/>
        <v>0</v>
      </c>
      <c r="S41" s="472" t="e">
        <f t="shared" si="10"/>
        <v>#N/A</v>
      </c>
      <c r="T41" s="472" t="e">
        <f t="shared" si="11"/>
        <v>#N/A</v>
      </c>
      <c r="U41" s="297" t="e">
        <f t="shared" si="12"/>
        <v>#N/A</v>
      </c>
      <c r="V41" s="297" t="e">
        <f t="shared" si="13"/>
        <v>#N/A</v>
      </c>
      <c r="W41" s="297" t="e">
        <f t="shared" si="14"/>
        <v>#N/A</v>
      </c>
      <c r="X41" s="297" t="e">
        <f t="shared" si="15"/>
        <v>#N/A</v>
      </c>
      <c r="Y41" s="297" t="e">
        <f t="shared" si="16"/>
        <v>#N/A</v>
      </c>
      <c r="Z41" s="472" t="e">
        <f t="shared" si="17"/>
        <v>#N/A</v>
      </c>
      <c r="AA41" s="472"/>
    </row>
    <row r="42" spans="1:56" ht="15.75" thickBot="1">
      <c r="B42" s="514"/>
      <c r="C42" s="362"/>
      <c r="D42" s="525"/>
      <c r="E42" s="526"/>
      <c r="F42" s="294"/>
      <c r="G42" s="42"/>
      <c r="H42" s="41"/>
      <c r="I42" s="42"/>
      <c r="J42" s="527" t="s">
        <v>129</v>
      </c>
      <c r="K42" s="527"/>
      <c r="L42" s="294"/>
      <c r="M42" s="294"/>
      <c r="N42" s="294"/>
      <c r="O42" s="294"/>
      <c r="P42" s="12"/>
    </row>
    <row r="43" spans="1:56" ht="15.75" thickBot="1">
      <c r="B43" s="515"/>
      <c r="C43" s="362"/>
      <c r="D43" s="523"/>
      <c r="E43" s="520"/>
      <c r="F43" s="294"/>
      <c r="G43" s="42"/>
      <c r="H43" s="41"/>
      <c r="I43" s="42"/>
      <c r="J43" s="292" t="s">
        <v>17</v>
      </c>
      <c r="K43" s="293" t="s">
        <v>147</v>
      </c>
      <c r="L43" s="528" t="s">
        <v>136</v>
      </c>
      <c r="M43" s="528"/>
      <c r="N43" s="529"/>
      <c r="O43" s="294"/>
      <c r="P43" s="12"/>
    </row>
    <row r="44" spans="1:56" ht="15" customHeight="1" thickBot="1">
      <c r="B44" s="515"/>
      <c r="C44" s="349"/>
      <c r="D44" s="521"/>
      <c r="E44" s="522"/>
      <c r="F44" s="294"/>
      <c r="G44" s="42"/>
      <c r="H44" s="41"/>
      <c r="I44" s="42"/>
      <c r="J44" s="287" t="s">
        <v>6</v>
      </c>
      <c r="K44" s="324">
        <v>5</v>
      </c>
      <c r="L44" s="473" t="s">
        <v>37</v>
      </c>
      <c r="M44" s="474" t="s">
        <v>38</v>
      </c>
      <c r="N44" s="474" t="s">
        <v>84</v>
      </c>
      <c r="O44" s="294"/>
      <c r="P44" s="12"/>
    </row>
    <row r="45" spans="1:56" ht="15.75" customHeight="1" thickBot="1">
      <c r="B45" s="515"/>
      <c r="C45" s="349"/>
      <c r="D45" s="523"/>
      <c r="E45" s="520"/>
      <c r="F45" s="294"/>
      <c r="G45" s="42"/>
      <c r="H45" s="41"/>
      <c r="I45" s="42"/>
      <c r="J45" s="345" t="s">
        <v>9</v>
      </c>
      <c r="K45" s="324"/>
      <c r="L45" s="344">
        <f>AVERAGE(K54,'Feb 2nd'!K49,'Feb 3rd'!K54,'Feb 4th'!K53,'Feb 4th'!K53,'Feb 5th'!K49,'Feb 6th'!K49,'Feb 9th'!K52,'Feb 10th'!K54,'Feb 11th'!K48,'Feb 12th'!K49,'Feb 13th'!K46)</f>
        <v>6.416666666666667</v>
      </c>
      <c r="M45" s="325">
        <f>AVERAGE('[9]Jan30th-31st'!$L$47,L45)</f>
        <v>6.2518115942028984</v>
      </c>
      <c r="N45" s="416">
        <v>9.1999999999999993</v>
      </c>
      <c r="O45" s="294"/>
      <c r="P45" s="12"/>
    </row>
    <row r="46" spans="1:56" ht="15" customHeight="1">
      <c r="B46" s="515"/>
      <c r="C46" s="349"/>
      <c r="D46" s="521"/>
      <c r="E46" s="522"/>
      <c r="F46" s="294"/>
      <c r="G46" s="42"/>
      <c r="H46" s="41"/>
      <c r="I46" s="42"/>
      <c r="J46" s="288" t="s">
        <v>40</v>
      </c>
      <c r="K46" s="324"/>
      <c r="L46" s="294"/>
      <c r="M46" s="294"/>
      <c r="N46" s="294"/>
      <c r="O46" s="294"/>
      <c r="P46" s="12"/>
    </row>
    <row r="47" spans="1:56" ht="15" customHeight="1">
      <c r="B47" s="515"/>
      <c r="C47" s="349"/>
      <c r="D47" s="523"/>
      <c r="E47" s="520"/>
      <c r="F47" s="294"/>
      <c r="G47" s="42"/>
      <c r="H47" s="41"/>
      <c r="I47" s="42"/>
      <c r="J47" s="289" t="s">
        <v>33</v>
      </c>
      <c r="K47" s="324"/>
      <c r="L47" s="294"/>
      <c r="M47" s="294"/>
      <c r="N47" s="294"/>
      <c r="O47" s="294"/>
      <c r="P47" s="12"/>
    </row>
    <row r="48" spans="1:56" ht="15">
      <c r="B48" s="515"/>
      <c r="C48" s="349"/>
      <c r="D48" s="521"/>
      <c r="E48" s="522"/>
      <c r="F48" s="294"/>
      <c r="G48" s="42"/>
      <c r="H48" s="41"/>
      <c r="I48" s="42"/>
      <c r="J48" s="290" t="s">
        <v>16</v>
      </c>
      <c r="K48" s="324"/>
      <c r="L48" s="294"/>
      <c r="M48" s="294"/>
      <c r="N48" s="294"/>
      <c r="O48" s="294"/>
      <c r="P48" s="12"/>
      <c r="BC48" s="44"/>
      <c r="BD48" s="44"/>
    </row>
    <row r="49" spans="1:57" ht="15">
      <c r="B49" s="515"/>
      <c r="C49" s="349"/>
      <c r="D49" s="523"/>
      <c r="E49" s="520"/>
      <c r="F49" s="294"/>
      <c r="G49" s="42"/>
      <c r="H49" s="41"/>
      <c r="I49" s="42"/>
      <c r="J49" s="291" t="s">
        <v>15</v>
      </c>
      <c r="K49" s="324"/>
      <c r="L49" s="294"/>
      <c r="M49" s="294"/>
      <c r="N49" s="294"/>
      <c r="O49" s="294"/>
      <c r="P49" s="12"/>
      <c r="BC49" s="44"/>
      <c r="BD49" s="44"/>
    </row>
    <row r="50" spans="1:57" ht="15">
      <c r="B50" s="515"/>
      <c r="C50" s="349"/>
      <c r="D50" s="521"/>
      <c r="E50" s="522"/>
      <c r="F50" s="294"/>
      <c r="G50" s="42"/>
      <c r="H50" s="41"/>
      <c r="I50" s="42"/>
      <c r="J50" s="291" t="s">
        <v>149</v>
      </c>
      <c r="K50" s="324"/>
      <c r="L50" s="294"/>
      <c r="M50" s="294"/>
      <c r="N50" s="294"/>
      <c r="O50" s="294"/>
      <c r="P50" s="12"/>
      <c r="BC50" s="44"/>
      <c r="BD50" s="44"/>
    </row>
    <row r="51" spans="1:57" ht="15.75" thickBot="1">
      <c r="B51" s="524"/>
      <c r="C51" s="350"/>
      <c r="D51" s="530"/>
      <c r="E51" s="531"/>
      <c r="F51" s="294" t="s">
        <v>166</v>
      </c>
      <c r="G51" s="42"/>
      <c r="H51" s="41"/>
      <c r="I51" s="42"/>
      <c r="J51" s="291" t="s">
        <v>148</v>
      </c>
      <c r="K51" s="324"/>
      <c r="L51" s="294"/>
      <c r="M51" s="294"/>
      <c r="N51" s="294" t="s">
        <v>41</v>
      </c>
      <c r="O51" s="294"/>
      <c r="P51" s="12"/>
      <c r="BC51" s="44"/>
      <c r="BD51" s="44"/>
    </row>
    <row r="52" spans="1:57" ht="17.649999999999999" customHeight="1" thickBot="1">
      <c r="B52" s="312" t="s">
        <v>139</v>
      </c>
      <c r="C52" s="313"/>
      <c r="D52" s="532"/>
      <c r="E52" s="533"/>
      <c r="F52" s="294"/>
      <c r="H52" s="41"/>
      <c r="I52" s="42"/>
      <c r="J52" s="295" t="s">
        <v>134</v>
      </c>
      <c r="K52" s="324"/>
      <c r="L52" s="294"/>
      <c r="M52" s="294"/>
      <c r="N52" s="294"/>
      <c r="O52" s="294"/>
      <c r="P52" s="12"/>
      <c r="BC52" s="44"/>
      <c r="BD52" s="44"/>
    </row>
    <row r="53" spans="1:57" ht="17.649999999999999" customHeight="1">
      <c r="B53" s="363"/>
      <c r="C53" s="364"/>
      <c r="D53" s="365"/>
      <c r="E53" s="365"/>
      <c r="F53" s="294"/>
      <c r="G53" s="42"/>
      <c r="H53" s="41"/>
      <c r="I53" s="42"/>
      <c r="J53" s="295" t="s">
        <v>131</v>
      </c>
      <c r="K53" s="324"/>
      <c r="L53" s="294"/>
      <c r="M53" s="294"/>
      <c r="N53" s="294"/>
      <c r="O53" s="294"/>
      <c r="P53" s="12"/>
      <c r="BC53" s="44"/>
      <c r="BD53" s="44"/>
    </row>
    <row r="54" spans="1:57" ht="15.6" customHeight="1">
      <c r="B54" s="45"/>
      <c r="C54" s="11"/>
      <c r="D54" s="11"/>
      <c r="E54" s="46"/>
      <c r="F54" s="294"/>
      <c r="G54" s="42"/>
      <c r="H54" s="41"/>
      <c r="I54" s="42"/>
      <c r="J54" s="346" t="s">
        <v>130</v>
      </c>
      <c r="K54" s="324">
        <f>SUM(K44:K53)</f>
        <v>5</v>
      </c>
      <c r="L54" s="294"/>
      <c r="M54" s="294"/>
      <c r="N54" s="294"/>
      <c r="O54" s="294"/>
      <c r="P54" s="12"/>
    </row>
    <row r="55" spans="1:57" ht="20.25" customHeight="1">
      <c r="B55" s="15" t="s">
        <v>42</v>
      </c>
      <c r="C55" s="1" t="s">
        <v>43</v>
      </c>
      <c r="D55" s="1"/>
      <c r="E55" s="1"/>
      <c r="F55" s="294"/>
      <c r="G55" s="42"/>
      <c r="H55" s="41"/>
      <c r="I55" s="42"/>
      <c r="L55" s="294"/>
      <c r="N55" s="315"/>
      <c r="P55" s="334"/>
    </row>
    <row r="56" spans="1:57" ht="15" customHeight="1" thickBot="1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1"/>
      <c r="O56" s="48"/>
      <c r="P56" s="49"/>
    </row>
    <row r="57" spans="1:57" ht="15" customHeight="1" thickBot="1">
      <c r="B57" s="534" t="s">
        <v>17</v>
      </c>
      <c r="C57" s="534" t="s">
        <v>44</v>
      </c>
      <c r="D57" s="537" t="s">
        <v>45</v>
      </c>
      <c r="E57" s="500" t="s">
        <v>46</v>
      </c>
      <c r="F57" s="509" t="s">
        <v>47</v>
      </c>
      <c r="G57" s="546" t="s">
        <v>48</v>
      </c>
      <c r="H57" s="534" t="s">
        <v>49</v>
      </c>
      <c r="I57" s="534" t="s">
        <v>50</v>
      </c>
      <c r="J57" s="540" t="s">
        <v>28</v>
      </c>
      <c r="K57" s="498" t="s">
        <v>51</v>
      </c>
      <c r="L57" s="549" t="s">
        <v>52</v>
      </c>
      <c r="M57" s="540" t="s">
        <v>53</v>
      </c>
      <c r="N57" s="13"/>
      <c r="O57" s="13"/>
      <c r="P57" s="50"/>
    </row>
    <row r="58" spans="1:57" ht="28.5" customHeight="1" thickTop="1" thickBot="1">
      <c r="B58" s="535"/>
      <c r="C58" s="536"/>
      <c r="D58" s="538"/>
      <c r="E58" s="539"/>
      <c r="F58" s="551"/>
      <c r="G58" s="547"/>
      <c r="H58" s="535"/>
      <c r="I58" s="535"/>
      <c r="J58" s="541"/>
      <c r="K58" s="548"/>
      <c r="L58" s="550"/>
      <c r="M58" s="541"/>
      <c r="N58" s="13"/>
      <c r="O58" s="13"/>
      <c r="P58" s="50"/>
      <c r="Q58" s="355"/>
      <c r="AB58" s="475">
        <v>43474</v>
      </c>
      <c r="AC58" s="475">
        <v>43475</v>
      </c>
      <c r="AD58" s="475">
        <v>43476</v>
      </c>
      <c r="AE58" s="475">
        <v>43477</v>
      </c>
      <c r="AF58" s="475">
        <v>43478</v>
      </c>
      <c r="AG58" s="475">
        <v>43479</v>
      </c>
      <c r="AH58" s="475">
        <v>43480</v>
      </c>
      <c r="AI58" s="475">
        <v>43481</v>
      </c>
      <c r="AJ58" s="475">
        <v>43482</v>
      </c>
      <c r="AK58" s="475">
        <v>43483</v>
      </c>
      <c r="AL58" s="475">
        <v>43484</v>
      </c>
      <c r="AM58" s="475">
        <v>43485</v>
      </c>
      <c r="AN58" s="475">
        <v>43486</v>
      </c>
      <c r="AO58" s="475">
        <v>43487</v>
      </c>
      <c r="AP58" s="475">
        <v>43488</v>
      </c>
      <c r="AQ58" s="475">
        <v>43489</v>
      </c>
      <c r="AR58" s="475">
        <v>43490</v>
      </c>
      <c r="AS58" s="475">
        <v>43491</v>
      </c>
      <c r="AT58" s="475">
        <v>43492</v>
      </c>
      <c r="AU58" s="475">
        <v>43493</v>
      </c>
      <c r="AV58" s="475">
        <v>43494</v>
      </c>
      <c r="AW58" s="475">
        <v>43495</v>
      </c>
      <c r="AX58" s="475">
        <v>43496</v>
      </c>
    </row>
    <row r="59" spans="1:57" s="54" customFormat="1" ht="36.75" customHeight="1" thickBot="1">
      <c r="B59" s="480" t="str">
        <f>J44</f>
        <v>CARIB</v>
      </c>
      <c r="C59" s="479">
        <v>46069</v>
      </c>
      <c r="D59" s="442">
        <f>[29]February_2026!$S$3</f>
        <v>299.7</v>
      </c>
      <c r="E59" s="443"/>
      <c r="F59" s="444"/>
      <c r="G59" s="445">
        <f>[29]February_2026!$S$7</f>
        <v>278.2</v>
      </c>
      <c r="H59" s="458"/>
      <c r="I59" s="458"/>
      <c r="J59" s="448" t="s">
        <v>169</v>
      </c>
      <c r="K59" s="449">
        <f>[30]February_2026!$S$18</f>
        <v>0.97614035087719297</v>
      </c>
      <c r="L59" s="457">
        <f>(((D59+E59)-G59)/(D59+E59))*100</f>
        <v>7.1738405071738409</v>
      </c>
      <c r="M59" s="455" t="s">
        <v>183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[10]January_2019!L5</f>
        <v>0</v>
      </c>
      <c r="AC59" s="57">
        <f>[10]January_2019!M5</f>
        <v>0</v>
      </c>
      <c r="AD59" s="57">
        <f>[10]January_2019!N5</f>
        <v>0</v>
      </c>
      <c r="AE59" s="57">
        <f>[10]January_2019!O5</f>
        <v>0</v>
      </c>
      <c r="AF59" s="57">
        <f>[10]January_2019!P5</f>
        <v>0</v>
      </c>
      <c r="AG59" s="57">
        <f>[10]January_2019!Q5</f>
        <v>0</v>
      </c>
      <c r="AH59" s="57">
        <f>[10]January_2019!R5</f>
        <v>0</v>
      </c>
      <c r="AI59" s="57">
        <f>[10]January_2019!S5</f>
        <v>0</v>
      </c>
      <c r="AJ59" s="57">
        <f>[10]January_2019!T5</f>
        <v>0</v>
      </c>
      <c r="AK59" s="57">
        <f>[10]January_2019!U5</f>
        <v>0</v>
      </c>
      <c r="AL59" s="57">
        <f>[10]January_2019!V5</f>
        <v>0</v>
      </c>
      <c r="AM59" s="57">
        <f>[10]January_2019!W5</f>
        <v>0</v>
      </c>
      <c r="AN59" s="57">
        <f>[10]January_2019!X5</f>
        <v>0</v>
      </c>
      <c r="AO59" s="57">
        <f>[10]January_2019!Y5</f>
        <v>0</v>
      </c>
      <c r="AP59" s="57">
        <f>[10]January_2019!Z5</f>
        <v>0</v>
      </c>
      <c r="AQ59" s="57">
        <f>[10]January_2019!AA5</f>
        <v>0</v>
      </c>
      <c r="AR59" s="57">
        <f>[10]January_2019!AB5</f>
        <v>0</v>
      </c>
      <c r="AS59" s="57">
        <f>[10]January_2019!AC5</f>
        <v>0</v>
      </c>
      <c r="AT59" s="57">
        <f>[10]January_2019!AD5</f>
        <v>0</v>
      </c>
      <c r="AU59" s="57">
        <f>[10]January_2019!AE5</f>
        <v>0</v>
      </c>
      <c r="AV59" s="57">
        <f>[10]January_2019!AF5</f>
        <v>0</v>
      </c>
      <c r="AW59" s="57">
        <f>[10]January_2019!AG5</f>
        <v>0</v>
      </c>
      <c r="AX59" s="277">
        <f>[10]January_2019!AH5</f>
        <v>0</v>
      </c>
      <c r="AY59" s="277"/>
      <c r="AZ59" s="277"/>
      <c r="BA59" s="277"/>
      <c r="BB59" s="277"/>
      <c r="BC59" s="277"/>
      <c r="BD59" s="277"/>
      <c r="BE59" s="277"/>
    </row>
    <row r="60" spans="1:57" s="54" customFormat="1" ht="14.25" customHeight="1" thickBot="1">
      <c r="B60" s="480"/>
      <c r="C60" s="479"/>
      <c r="D60" s="442"/>
      <c r="E60" s="443"/>
      <c r="F60" s="444"/>
      <c r="G60" s="445"/>
      <c r="H60" s="458"/>
      <c r="I60" s="458"/>
      <c r="J60" s="476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[10]January_2019!L6</f>
        <v>0</v>
      </c>
      <c r="AC60" s="57">
        <f>[10]January_2019!M6</f>
        <v>0</v>
      </c>
      <c r="AD60" s="57">
        <f>[10]January_2019!N6</f>
        <v>0</v>
      </c>
      <c r="AE60" s="57">
        <f>[10]January_2019!O6</f>
        <v>0</v>
      </c>
      <c r="AF60" s="57">
        <f>[10]January_2019!P6</f>
        <v>0</v>
      </c>
      <c r="AG60" s="57">
        <f>[10]January_2019!Q6</f>
        <v>0</v>
      </c>
      <c r="AH60" s="57">
        <f>[10]January_2019!R6</f>
        <v>0</v>
      </c>
      <c r="AI60" s="57">
        <f>[10]January_2019!S6</f>
        <v>0</v>
      </c>
      <c r="AJ60" s="57">
        <f>[10]January_2019!T6</f>
        <v>0</v>
      </c>
      <c r="AK60" s="57">
        <f>[10]January_2019!U6</f>
        <v>0</v>
      </c>
      <c r="AL60" s="57">
        <f>[10]January_2019!V6</f>
        <v>0</v>
      </c>
      <c r="AM60" s="57">
        <f>[10]January_2019!W6</f>
        <v>0</v>
      </c>
      <c r="AN60" s="57">
        <f>[10]January_2019!X6</f>
        <v>0</v>
      </c>
      <c r="AO60" s="57">
        <f>[10]January_2019!Y6</f>
        <v>0</v>
      </c>
      <c r="AP60" s="57">
        <f>[10]January_2019!Z6</f>
        <v>0</v>
      </c>
      <c r="AQ60" s="57">
        <f>[10]January_2019!AA6</f>
        <v>0</v>
      </c>
      <c r="AR60" s="57">
        <f>[10]January_2019!AB6</f>
        <v>0</v>
      </c>
      <c r="AS60" s="57">
        <f>[10]January_2019!AC6</f>
        <v>0</v>
      </c>
      <c r="AT60" s="57">
        <f>[10]January_2019!AD6</f>
        <v>0</v>
      </c>
      <c r="AU60" s="57">
        <f>[10]January_2019!AE6</f>
        <v>0</v>
      </c>
      <c r="AV60" s="57">
        <f>[10]January_2019!AF6</f>
        <v>0</v>
      </c>
      <c r="AW60" s="57">
        <f>[10]January_2019!AG6</f>
        <v>0</v>
      </c>
      <c r="AX60" s="277">
        <f>[10]January_2019!AH6</f>
        <v>0</v>
      </c>
      <c r="AY60" s="277"/>
      <c r="AZ60" s="277"/>
      <c r="BA60" s="277"/>
      <c r="BB60" s="277"/>
      <c r="BC60" s="277"/>
      <c r="BD60" s="277"/>
      <c r="BE60" s="277"/>
    </row>
    <row r="61" spans="1:57" s="54" customFormat="1" ht="37.15" customHeight="1" thickBot="1">
      <c r="A61" s="54" t="s">
        <v>170</v>
      </c>
      <c r="B61" s="480" t="str">
        <f>J44</f>
        <v>CARIB</v>
      </c>
      <c r="C61" s="479">
        <v>46069</v>
      </c>
      <c r="D61" s="442">
        <f>[29]February_2026!$R$3</f>
        <v>162</v>
      </c>
      <c r="E61" s="443"/>
      <c r="F61" s="444"/>
      <c r="G61" s="445">
        <f>[29]February_2026!$R$7</f>
        <v>157.19999999999999</v>
      </c>
      <c r="H61" s="458"/>
      <c r="I61" s="458"/>
      <c r="J61" s="448" t="s">
        <v>182</v>
      </c>
      <c r="K61" s="449">
        <f>[30]February_2026!$R$18</f>
        <v>0.27578947368421053</v>
      </c>
      <c r="L61" s="457">
        <f>(((D61+E61)-G61)/(D61+E61))*100</f>
        <v>2.9629629629629699</v>
      </c>
      <c r="M61" s="455" t="s">
        <v>186</v>
      </c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[10]January_2019!L7</f>
        <v>285.8</v>
      </c>
      <c r="AC61" s="57">
        <f>[10]January_2019!M7</f>
        <v>508.1</v>
      </c>
      <c r="AD61" s="57">
        <f>[10]January_2019!N7</f>
        <v>0</v>
      </c>
      <c r="AE61" s="57">
        <f>[10]January_2019!O7</f>
        <v>0</v>
      </c>
      <c r="AF61" s="57">
        <f>[10]January_2019!P7</f>
        <v>109.56666666666666</v>
      </c>
      <c r="AG61" s="57">
        <f>[10]January_2019!Q7</f>
        <v>297.64999999999998</v>
      </c>
      <c r="AH61" s="57">
        <f>[10]January_2019!R7</f>
        <v>122.3</v>
      </c>
      <c r="AI61" s="57">
        <f>[10]January_2019!S7</f>
        <v>0</v>
      </c>
      <c r="AJ61" s="57">
        <f>[10]January_2019!T7</f>
        <v>294.7</v>
      </c>
      <c r="AK61" s="57">
        <f>[10]January_2019!U7</f>
        <v>280.5</v>
      </c>
      <c r="AL61" s="57">
        <f>[10]January_2019!V7</f>
        <v>0</v>
      </c>
      <c r="AM61" s="57">
        <f>[10]January_2019!W7</f>
        <v>0</v>
      </c>
      <c r="AN61" s="57">
        <f>[10]January_2019!X7</f>
        <v>188.25</v>
      </c>
      <c r="AO61" s="57">
        <f>[10]January_2019!Y7</f>
        <v>295.7</v>
      </c>
      <c r="AP61" s="57">
        <f>[10]January_2019!Z7</f>
        <v>257.8</v>
      </c>
      <c r="AQ61" s="57">
        <f>[10]January_2019!AA7</f>
        <v>291.2</v>
      </c>
      <c r="AR61" s="57">
        <f>[10]January_2019!AB7</f>
        <v>187</v>
      </c>
      <c r="AS61" s="57">
        <f>[10]January_2019!AC7</f>
        <v>0</v>
      </c>
      <c r="AT61" s="57">
        <f>[10]January_2019!AD7</f>
        <v>0</v>
      </c>
      <c r="AU61" s="57">
        <f>[10]January_2019!AE7</f>
        <v>485.1</v>
      </c>
      <c r="AV61" s="57">
        <f>[10]January_2019!AF7</f>
        <v>171.55</v>
      </c>
      <c r="AW61" s="57">
        <f>[10]January_2019!AG7</f>
        <v>423.8</v>
      </c>
      <c r="AX61" s="277">
        <f>[10]January_2019!AH7</f>
        <v>0</v>
      </c>
      <c r="AY61" s="277"/>
      <c r="AZ61" s="277"/>
      <c r="BA61" s="277"/>
      <c r="BB61" s="277"/>
      <c r="BC61" s="277"/>
      <c r="BD61" s="277"/>
      <c r="BE61" s="277"/>
    </row>
    <row r="62" spans="1:57" s="54" customFormat="1" ht="19.5" hidden="1" customHeight="1" thickBot="1">
      <c r="B62" s="478"/>
      <c r="C62" s="430"/>
      <c r="D62" s="431"/>
      <c r="E62" s="432"/>
      <c r="F62" s="433"/>
      <c r="G62" s="434"/>
      <c r="H62" s="458"/>
      <c r="I62" s="458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8.450000000000003" hidden="1" customHeight="1" thickBot="1">
      <c r="B63" s="480"/>
      <c r="C63" s="479"/>
      <c r="D63" s="442"/>
      <c r="E63" s="443"/>
      <c r="F63" s="444"/>
      <c r="G63" s="445"/>
      <c r="H63" s="458"/>
      <c r="I63" s="458"/>
      <c r="J63" s="448" t="s">
        <v>182</v>
      </c>
      <c r="K63" s="459"/>
      <c r="L63" s="457" t="e">
        <f>(((D63+E63)-G63)/(D63+E63))*100</f>
        <v>#DIV/0!</v>
      </c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15.75" hidden="1" thickBot="1">
      <c r="B64" s="453"/>
      <c r="C64" s="430"/>
      <c r="D64" s="431"/>
      <c r="E64" s="432"/>
      <c r="F64" s="433"/>
      <c r="G64" s="434"/>
      <c r="H64" s="435"/>
      <c r="I64" s="450"/>
      <c r="J64" s="451"/>
      <c r="K64" s="436"/>
      <c r="L64" s="452"/>
      <c r="M64" s="421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hidden="1" customHeight="1" thickBot="1">
      <c r="B65" s="480"/>
      <c r="C65" s="479"/>
      <c r="D65" s="442"/>
      <c r="E65" s="443"/>
      <c r="F65" s="444"/>
      <c r="G65" s="445"/>
      <c r="H65" s="446"/>
      <c r="I65" s="447"/>
      <c r="J65" s="448"/>
      <c r="K65" s="449"/>
      <c r="L65" s="457"/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6.5" hidden="1" customHeight="1" thickBot="1">
      <c r="B66" s="437"/>
      <c r="C66" s="423"/>
      <c r="D66" s="424"/>
      <c r="E66" s="425"/>
      <c r="F66" s="426"/>
      <c r="G66" s="427"/>
      <c r="H66" s="428"/>
      <c r="I66" s="438"/>
      <c r="J66" s="439"/>
      <c r="K66" s="429"/>
      <c r="L66" s="440"/>
      <c r="M66" s="422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15"/>
      <c r="AC66" s="415"/>
      <c r="AD66" s="415"/>
      <c r="AE66" s="415"/>
      <c r="AF66" s="415"/>
      <c r="AG66" s="415"/>
      <c r="AH66" s="415"/>
      <c r="AI66" s="415"/>
      <c r="AJ66" s="415"/>
      <c r="AK66" s="415"/>
      <c r="AL66" s="415"/>
      <c r="AM66" s="415"/>
      <c r="AN66" s="415"/>
      <c r="AO66" s="415"/>
      <c r="AP66" s="415"/>
      <c r="AQ66" s="415"/>
      <c r="AR66" s="415"/>
      <c r="AS66" s="415"/>
      <c r="AT66" s="415"/>
      <c r="AU66" s="415"/>
      <c r="AV66" s="415"/>
      <c r="AW66" s="415"/>
    </row>
    <row r="67" spans="2:57" s="54" customFormat="1" ht="37.15" hidden="1" customHeight="1" thickBot="1">
      <c r="B67" s="456"/>
      <c r="C67" s="441"/>
      <c r="D67" s="442"/>
      <c r="E67" s="443"/>
      <c r="F67" s="444"/>
      <c r="G67" s="445"/>
      <c r="H67" s="446"/>
      <c r="I67" s="447"/>
      <c r="J67" s="448"/>
      <c r="K67" s="449"/>
      <c r="L67" s="457"/>
      <c r="M67" s="454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7.15" customHeight="1">
      <c r="B68" s="466"/>
      <c r="C68" s="430"/>
      <c r="D68" s="460"/>
      <c r="E68" s="461"/>
      <c r="F68" s="462"/>
      <c r="G68" s="460"/>
      <c r="H68" s="463"/>
      <c r="I68" s="463"/>
      <c r="J68" s="463"/>
      <c r="K68" s="464"/>
      <c r="L68" s="465"/>
      <c r="M68" s="50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5.75" thickBot="1">
      <c r="B70" s="542" t="s">
        <v>55</v>
      </c>
      <c r="C70" s="543"/>
      <c r="D70" s="543"/>
      <c r="E70" s="543"/>
      <c r="F70" s="544"/>
      <c r="G70" s="542" t="s">
        <v>56</v>
      </c>
      <c r="H70" s="543"/>
      <c r="I70" s="543"/>
      <c r="J70" s="544"/>
      <c r="K70" s="542" t="s">
        <v>51</v>
      </c>
      <c r="L70" s="543"/>
      <c r="M70" s="543"/>
      <c r="N70" s="545"/>
      <c r="O70" s="56"/>
      <c r="P70" s="50"/>
    </row>
    <row r="71" spans="2:57" ht="15">
      <c r="B71" s="61" t="s">
        <v>17</v>
      </c>
      <c r="C71" s="62" t="s">
        <v>36</v>
      </c>
      <c r="D71" s="62" t="s">
        <v>37</v>
      </c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 t="s">
        <v>36</v>
      </c>
      <c r="L71" s="62" t="s">
        <v>37</v>
      </c>
      <c r="M71" s="62" t="s">
        <v>38</v>
      </c>
      <c r="N71" s="63" t="s">
        <v>39</v>
      </c>
      <c r="O71" s="56"/>
      <c r="P71" s="64"/>
    </row>
    <row r="72" spans="2:57" ht="15">
      <c r="B72" s="29" t="s">
        <v>6</v>
      </c>
      <c r="C72" s="282">
        <f>AVERAGE(L59,L61)</f>
        <v>5.0684017350684059</v>
      </c>
      <c r="D72" s="76">
        <v>6.2302844970273874</v>
      </c>
      <c r="E72" s="76">
        <v>7.5525069760498678</v>
      </c>
      <c r="F72" s="66">
        <v>4.8</v>
      </c>
      <c r="G72" s="65">
        <f>AVERAGE([29]February_2026!$R$11:$S$11)</f>
        <v>5.0998057375619394</v>
      </c>
      <c r="H72" s="477">
        <v>6.0894919878529308</v>
      </c>
      <c r="I72" s="477">
        <v>7.4469360834261078</v>
      </c>
      <c r="J72" s="66">
        <v>4.8</v>
      </c>
      <c r="K72" s="67">
        <f>AVERAGE(K59,K61)</f>
        <v>0.62596491228070172</v>
      </c>
      <c r="L72" s="194">
        <v>0.42308613698112774</v>
      </c>
      <c r="M72" s="194">
        <v>0.41678747402062483</v>
      </c>
      <c r="N72" s="68">
        <v>1</v>
      </c>
      <c r="O72" s="56"/>
      <c r="P72" s="69"/>
    </row>
    <row r="73" spans="2:57" ht="15">
      <c r="B73" s="33" t="s">
        <v>9</v>
      </c>
      <c r="C73" s="65"/>
      <c r="D73" s="76">
        <v>6.9992441421012783</v>
      </c>
      <c r="E73" s="76">
        <v>6.3996679964257304</v>
      </c>
      <c r="F73" s="66">
        <v>4.8</v>
      </c>
      <c r="G73" s="65"/>
      <c r="H73" s="76">
        <v>6.2959705050792918</v>
      </c>
      <c r="I73" s="76">
        <v>6.5255270100945157</v>
      </c>
      <c r="J73" s="66">
        <v>4.8</v>
      </c>
      <c r="K73" s="67"/>
      <c r="L73" s="194">
        <v>0.38257297756677955</v>
      </c>
      <c r="M73" s="194">
        <v>0.51523049011373423</v>
      </c>
      <c r="N73" s="68">
        <v>1</v>
      </c>
      <c r="P73" s="69"/>
    </row>
    <row r="74" spans="2:57" ht="15">
      <c r="B74" s="34" t="s">
        <v>40</v>
      </c>
      <c r="C74" s="65"/>
      <c r="D74" s="76">
        <v>11.722828666350269</v>
      </c>
      <c r="E74" s="76">
        <v>11.155100139729852</v>
      </c>
      <c r="F74" s="66">
        <v>5.5</v>
      </c>
      <c r="G74" s="65"/>
      <c r="H74" s="76">
        <v>12.537121640099599</v>
      </c>
      <c r="I74" s="76">
        <v>11.952951274961968</v>
      </c>
      <c r="J74" s="66">
        <v>5.5</v>
      </c>
      <c r="K74" s="67"/>
      <c r="L74" s="194">
        <v>0.16315789473684211</v>
      </c>
      <c r="M74" s="194">
        <v>0.42456140350877192</v>
      </c>
      <c r="N74" s="68">
        <v>1</v>
      </c>
      <c r="P74" s="69"/>
    </row>
    <row r="75" spans="2:57" ht="15">
      <c r="B75" s="22" t="s">
        <v>33</v>
      </c>
      <c r="C75" s="65"/>
      <c r="D75" s="76"/>
      <c r="E75" s="76">
        <v>5.0755456997699637</v>
      </c>
      <c r="F75" s="66">
        <v>3.3</v>
      </c>
      <c r="G75" s="65"/>
      <c r="H75" s="76"/>
      <c r="I75" s="76">
        <v>4.6359882890480018</v>
      </c>
      <c r="J75" s="66">
        <v>3.3</v>
      </c>
      <c r="K75" s="67"/>
      <c r="L75" s="194"/>
      <c r="M75" s="194">
        <v>0.66833333333333345</v>
      </c>
      <c r="N75" s="68">
        <v>1</v>
      </c>
      <c r="P75" s="69"/>
    </row>
    <row r="76" spans="2:57" ht="15">
      <c r="B76" s="35" t="s">
        <v>164</v>
      </c>
      <c r="C76" s="65"/>
      <c r="D76" s="76"/>
      <c r="E76" s="76"/>
      <c r="F76" s="66">
        <v>3.3</v>
      </c>
      <c r="G76" s="282"/>
      <c r="H76" s="76"/>
      <c r="I76" s="76"/>
      <c r="J76" s="66">
        <v>3</v>
      </c>
      <c r="K76" s="67"/>
      <c r="L76" s="194"/>
      <c r="M76" s="194"/>
      <c r="N76" s="68">
        <v>1</v>
      </c>
      <c r="P76" s="69"/>
    </row>
    <row r="77" spans="2:57" ht="15">
      <c r="B77" s="36" t="s">
        <v>15</v>
      </c>
      <c r="C77" s="65"/>
      <c r="D77" s="76"/>
      <c r="E77" s="76">
        <v>5.1105651105651271</v>
      </c>
      <c r="F77" s="70">
        <f>[11]May_2022!$M$43</f>
        <v>3.4878406700073312</v>
      </c>
      <c r="G77" s="282"/>
      <c r="H77" s="76"/>
      <c r="I77" s="76">
        <v>7.9131369535794072</v>
      </c>
      <c r="J77" s="66">
        <v>5.5</v>
      </c>
      <c r="K77" s="67"/>
      <c r="L77" s="194"/>
      <c r="M77" s="194">
        <v>1.3550877192982456</v>
      </c>
      <c r="N77" s="68">
        <v>1</v>
      </c>
      <c r="P77" s="69"/>
    </row>
    <row r="78" spans="2:57" ht="15">
      <c r="B78" s="37" t="s">
        <v>16</v>
      </c>
      <c r="C78" s="65"/>
      <c r="D78" s="76"/>
      <c r="E78" s="76">
        <v>2.0590520590520631</v>
      </c>
      <c r="F78" s="66">
        <v>3.3</v>
      </c>
      <c r="G78" s="282"/>
      <c r="H78" s="76"/>
      <c r="I78" s="76">
        <v>2.1755040108015784</v>
      </c>
      <c r="J78" s="66">
        <v>3.3</v>
      </c>
      <c r="K78" s="67"/>
      <c r="L78" s="194"/>
      <c r="M78" s="194">
        <v>0.88456140350877199</v>
      </c>
      <c r="N78" s="71">
        <v>1</v>
      </c>
      <c r="P78" s="69"/>
    </row>
    <row r="79" spans="2:57" ht="15.75" thickBot="1">
      <c r="B79" s="38" t="s">
        <v>163</v>
      </c>
      <c r="C79" s="65"/>
      <c r="D79" s="76"/>
      <c r="E79" s="76"/>
      <c r="F79" s="66">
        <v>7.5</v>
      </c>
      <c r="G79" s="282"/>
      <c r="H79" s="76"/>
      <c r="I79" s="76"/>
      <c r="J79" s="66">
        <v>7.5</v>
      </c>
      <c r="K79" s="67"/>
      <c r="L79" s="194"/>
      <c r="M79" s="194"/>
      <c r="N79" s="71">
        <v>1</v>
      </c>
      <c r="P79" s="69"/>
    </row>
    <row r="80" spans="2:57" ht="15.75" thickBot="1">
      <c r="B80" s="414" t="s">
        <v>161</v>
      </c>
      <c r="C80" s="65"/>
      <c r="D80" s="76"/>
      <c r="E80" s="76"/>
      <c r="F80" s="66">
        <v>4.8</v>
      </c>
      <c r="G80" s="282"/>
      <c r="H80" s="76"/>
      <c r="I80" s="76"/>
      <c r="J80" s="66">
        <v>4.8</v>
      </c>
      <c r="K80" s="67"/>
      <c r="L80" s="194"/>
      <c r="M80" s="194"/>
      <c r="N80" s="71">
        <v>1</v>
      </c>
      <c r="O80" s="74"/>
      <c r="P80" s="75"/>
    </row>
    <row r="81" spans="4:14" ht="15">
      <c r="D81" s="76">
        <v>6.7229758334124492</v>
      </c>
      <c r="E81" s="76">
        <v>6.8569155650441012</v>
      </c>
      <c r="F81" s="341">
        <v>5.5</v>
      </c>
      <c r="H81" s="76">
        <v>6.6559569696587992</v>
      </c>
      <c r="I81" s="76">
        <v>6.9103028888820281</v>
      </c>
      <c r="J81" s="341">
        <v>5.5</v>
      </c>
      <c r="L81" s="194">
        <v>0.39857387914230014</v>
      </c>
      <c r="M81" s="194">
        <v>0.50145679012345679</v>
      </c>
      <c r="N81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8:N28"/>
    <mergeCell ref="D29:E29"/>
    <mergeCell ref="B30:B41"/>
    <mergeCell ref="D30:E31"/>
    <mergeCell ref="D32:E33"/>
    <mergeCell ref="D34:E35"/>
    <mergeCell ref="D36:E37"/>
    <mergeCell ref="D38:E39"/>
    <mergeCell ref="D40:E41"/>
    <mergeCell ref="B42:B51"/>
    <mergeCell ref="D42:E43"/>
    <mergeCell ref="J42:K42"/>
    <mergeCell ref="L43:N43"/>
    <mergeCell ref="D44:E45"/>
    <mergeCell ref="D46:E47"/>
    <mergeCell ref="D48:E49"/>
    <mergeCell ref="D50:E51"/>
    <mergeCell ref="D52:E52"/>
    <mergeCell ref="B57:B58"/>
    <mergeCell ref="C57:C58"/>
    <mergeCell ref="D57:D58"/>
    <mergeCell ref="E57:E58"/>
    <mergeCell ref="M57:M58"/>
    <mergeCell ref="B70:F70"/>
    <mergeCell ref="G70:J70"/>
    <mergeCell ref="K70:N70"/>
    <mergeCell ref="G57:G58"/>
    <mergeCell ref="H57:H58"/>
    <mergeCell ref="I57:I58"/>
    <mergeCell ref="J57:J58"/>
    <mergeCell ref="K57:K58"/>
    <mergeCell ref="L57:L58"/>
    <mergeCell ref="F57:F58"/>
  </mergeCells>
  <conditionalFormatting sqref="B52:B53">
    <cfRule type="cellIs" dxfId="1584" priority="37" operator="notBetween">
      <formula>#REF!</formula>
      <formula>#REF!</formula>
    </cfRule>
  </conditionalFormatting>
  <conditionalFormatting sqref="C56">
    <cfRule type="cellIs" dxfId="1583" priority="151" stopIfTrue="1" operator="greaterThan">
      <formula>100</formula>
    </cfRule>
    <cfRule type="cellIs" dxfId="1582" priority="150" stopIfTrue="1" operator="lessThan">
      <formula>96</formula>
    </cfRule>
  </conditionalFormatting>
  <conditionalFormatting sqref="C72:C76">
    <cfRule type="cellIs" dxfId="1581" priority="108" stopIfTrue="1" operator="lessThanOrEqual">
      <formula>0</formula>
    </cfRule>
  </conditionalFormatting>
  <conditionalFormatting sqref="C72:C80">
    <cfRule type="cellIs" dxfId="1580" priority="107" stopIfTrue="1" operator="greaterThan">
      <formula>$F72</formula>
    </cfRule>
  </conditionalFormatting>
  <conditionalFormatting sqref="C73">
    <cfRule type="cellIs" dxfId="1579" priority="154" stopIfTrue="1" operator="greaterThan">
      <formula>$F72</formula>
    </cfRule>
  </conditionalFormatting>
  <conditionalFormatting sqref="C77">
    <cfRule type="cellIs" dxfId="1578" priority="62" stopIfTrue="1" operator="greaterThan">
      <formula>$F76</formula>
    </cfRule>
    <cfRule type="cellIs" dxfId="1577" priority="61" stopIfTrue="1" operator="lessThanOrEqual">
      <formula>0</formula>
    </cfRule>
  </conditionalFormatting>
  <conditionalFormatting sqref="C83:C87">
    <cfRule type="cellIs" dxfId="1576" priority="142" stopIfTrue="1" operator="lessThanOrEqual">
      <formula>0</formula>
    </cfRule>
  </conditionalFormatting>
  <conditionalFormatting sqref="C84:C87">
    <cfRule type="cellIs" dxfId="1575" priority="141" stopIfTrue="1" operator="greaterThan">
      <formula>$F$83</formula>
    </cfRule>
  </conditionalFormatting>
  <conditionalFormatting sqref="C89">
    <cfRule type="cellIs" dxfId="1574" priority="144" stopIfTrue="1" operator="lessThanOrEqual">
      <formula>0</formula>
    </cfRule>
    <cfRule type="cellIs" dxfId="1573" priority="143" stopIfTrue="1" operator="greaterThan">
      <formula>$F$83</formula>
    </cfRule>
  </conditionalFormatting>
  <conditionalFormatting sqref="C83:D83 D85:D91">
    <cfRule type="cellIs" dxfId="1572" priority="136" stopIfTrue="1" operator="greaterThan">
      <formula>4.5</formula>
    </cfRule>
  </conditionalFormatting>
  <conditionalFormatting sqref="D52:D53">
    <cfRule type="cellIs" dxfId="1571" priority="38" operator="notBetween">
      <formula>#REF!</formula>
      <formula>#REF!</formula>
    </cfRule>
  </conditionalFormatting>
  <conditionalFormatting sqref="D72:D79">
    <cfRule type="cellIs" dxfId="1570" priority="116" stopIfTrue="1" operator="lessThanOrEqual">
      <formula>0</formula>
    </cfRule>
  </conditionalFormatting>
  <conditionalFormatting sqref="D83 D85:D91">
    <cfRule type="cellIs" dxfId="1569" priority="137" stopIfTrue="1" operator="lessThanOrEqual">
      <formula>0</formula>
    </cfRule>
  </conditionalFormatting>
  <conditionalFormatting sqref="D84">
    <cfRule type="cellIs" dxfId="1568" priority="128" stopIfTrue="1" operator="greaterThan">
      <formula>$F$83</formula>
    </cfRule>
    <cfRule type="cellIs" dxfId="1567" priority="129" stopIfTrue="1" operator="lessThanOrEqual">
      <formula>0</formula>
    </cfRule>
  </conditionalFormatting>
  <conditionalFormatting sqref="D72:E81">
    <cfRule type="cellIs" dxfId="1566" priority="105" stopIfTrue="1" operator="greaterThan">
      <formula>$F72</formula>
    </cfRule>
  </conditionalFormatting>
  <conditionalFormatting sqref="D80:E80">
    <cfRule type="cellIs" dxfId="1565" priority="115" stopIfTrue="1" operator="lessThanOrEqual">
      <formula>0</formula>
    </cfRule>
  </conditionalFormatting>
  <conditionalFormatting sqref="D81:E81">
    <cfRule type="cellIs" dxfId="1564" priority="106" stopIfTrue="1" operator="lessThanOrEqual">
      <formula>0</formula>
    </cfRule>
  </conditionalFormatting>
  <conditionalFormatting sqref="E10:E27">
    <cfRule type="cellIs" dxfId="1563" priority="6" operator="lessThan">
      <formula>48</formula>
    </cfRule>
  </conditionalFormatting>
  <conditionalFormatting sqref="E55 E56:F56">
    <cfRule type="cellIs" dxfId="1562" priority="133" stopIfTrue="1" operator="greaterThan">
      <formula>100</formula>
    </cfRule>
  </conditionalFormatting>
  <conditionalFormatting sqref="E56">
    <cfRule type="cellIs" dxfId="1561" priority="131" stopIfTrue="1" operator="greaterThan">
      <formula>100</formula>
    </cfRule>
    <cfRule type="cellIs" dxfId="1560" priority="130" stopIfTrue="1" operator="lessThan">
      <formula>96.8</formula>
    </cfRule>
  </conditionalFormatting>
  <conditionalFormatting sqref="E72:E79">
    <cfRule type="cellIs" dxfId="1559" priority="25" stopIfTrue="1" operator="lessThanOrEqual">
      <formula>0</formula>
    </cfRule>
  </conditionalFormatting>
  <conditionalFormatting sqref="E72:E80">
    <cfRule type="cellIs" dxfId="1558" priority="112" stopIfTrue="1" operator="lessThanOrEqual">
      <formula>0</formula>
    </cfRule>
  </conditionalFormatting>
  <conditionalFormatting sqref="E83:E91">
    <cfRule type="cellIs" dxfId="1557" priority="123" stopIfTrue="1" operator="lessThanOrEqual">
      <formula>0</formula>
    </cfRule>
    <cfRule type="cellIs" dxfId="1556" priority="122" stopIfTrue="1" operator="greaterThan">
      <formula>4.5</formula>
    </cfRule>
  </conditionalFormatting>
  <conditionalFormatting sqref="E56:F56 E55">
    <cfRule type="cellIs" dxfId="1555" priority="132" stopIfTrue="1" operator="lessThan">
      <formula>96.5</formula>
    </cfRule>
  </conditionalFormatting>
  <conditionalFormatting sqref="F10:F24 F26:F27">
    <cfRule type="cellIs" dxfId="1554" priority="27" operator="greaterThan">
      <formula>60</formula>
    </cfRule>
  </conditionalFormatting>
  <conditionalFormatting sqref="F56">
    <cfRule type="cellIs" dxfId="1553" priority="148" stopIfTrue="1" operator="lessThan">
      <formula>96.8</formula>
    </cfRule>
    <cfRule type="cellIs" dxfId="1552" priority="149" stopIfTrue="1" operator="greaterThan">
      <formula>100</formula>
    </cfRule>
  </conditionalFormatting>
  <conditionalFormatting sqref="F81">
    <cfRule type="cellIs" dxfId="1551" priority="113" stopIfTrue="1" operator="greaterThan">
      <formula>$F81</formula>
    </cfRule>
    <cfRule type="cellIs" dxfId="1550" priority="114" stopIfTrue="1" operator="lessThanOrEqual">
      <formula>0</formula>
    </cfRule>
  </conditionalFormatting>
  <conditionalFormatting sqref="G10:G26">
    <cfRule type="expression" dxfId="1549" priority="8">
      <formula>IF(+(IF(G10&lt;S10,0,IF(G10&gt;T10,0,1)))=0,1)</formula>
    </cfRule>
  </conditionalFormatting>
  <conditionalFormatting sqref="G72:G73 C78:C80">
    <cfRule type="cellIs" dxfId="1548" priority="118" stopIfTrue="1" operator="lessThanOrEqual">
      <formula>0</formula>
    </cfRule>
  </conditionalFormatting>
  <conditionalFormatting sqref="G72:G73">
    <cfRule type="cellIs" dxfId="1547" priority="110" stopIfTrue="1" operator="lessThanOrEqual">
      <formula>0</formula>
    </cfRule>
    <cfRule type="cellIs" dxfId="1546" priority="117" stopIfTrue="1" operator="greaterThan">
      <formula>$F72</formula>
    </cfRule>
    <cfRule type="cellIs" dxfId="1545" priority="109" stopIfTrue="1" operator="greaterThan">
      <formula>$F72</formula>
    </cfRule>
  </conditionalFormatting>
  <conditionalFormatting sqref="G74">
    <cfRule type="cellIs" dxfId="1544" priority="152" stopIfTrue="1" operator="greaterThan">
      <formula>$F73</formula>
    </cfRule>
    <cfRule type="cellIs" dxfId="1543" priority="153" stopIfTrue="1" operator="lessThanOrEqual">
      <formula>0</formula>
    </cfRule>
  </conditionalFormatting>
  <conditionalFormatting sqref="G75">
    <cfRule type="cellIs" dxfId="1542" priority="34" stopIfTrue="1" operator="lessThanOrEqual">
      <formula>0</formula>
    </cfRule>
    <cfRule type="cellIs" dxfId="1541" priority="35" stopIfTrue="1" operator="greaterThan">
      <formula>$F75</formula>
    </cfRule>
    <cfRule type="cellIs" dxfId="1540" priority="36" stopIfTrue="1" operator="lessThanOrEqual">
      <formula>0</formula>
    </cfRule>
    <cfRule type="cellIs" dxfId="1539" priority="33" stopIfTrue="1" operator="greaterThan">
      <formula>$F75</formula>
    </cfRule>
  </conditionalFormatting>
  <conditionalFormatting sqref="G76:G80">
    <cfRule type="cellIs" dxfId="1538" priority="119" stopIfTrue="1" operator="greaterThan">
      <formula>$J76</formula>
    </cfRule>
    <cfRule type="cellIs" dxfId="1537" priority="120" stopIfTrue="1" operator="lessThanOrEqual">
      <formula>0</formula>
    </cfRule>
  </conditionalFormatting>
  <conditionalFormatting sqref="G85:G90 C88 C90">
    <cfRule type="cellIs" dxfId="1536" priority="146" stopIfTrue="1" operator="lessThanOrEqual">
      <formula>0</formula>
    </cfRule>
    <cfRule type="cellIs" dxfId="1535" priority="145" stopIfTrue="1" operator="greaterThan">
      <formula>4.5</formula>
    </cfRule>
  </conditionalFormatting>
  <conditionalFormatting sqref="G84:H84">
    <cfRule type="cellIs" dxfId="1534" priority="126" stopIfTrue="1" operator="greaterThan">
      <formula>$F$83</formula>
    </cfRule>
    <cfRule type="cellIs" dxfId="1533" priority="127" stopIfTrue="1" operator="lessThanOrEqual">
      <formula>0</formula>
    </cfRule>
  </conditionalFormatting>
  <conditionalFormatting sqref="H10:H26 G27:H27">
    <cfRule type="expression" dxfId="1532" priority="30">
      <formula>IF(+(IF(G10&lt;#REF!,0,IF(G10&gt;#REF!,0,1)))=0,1)</formula>
    </cfRule>
  </conditionalFormatting>
  <conditionalFormatting sqref="H41:H55">
    <cfRule type="cellIs" dxfId="1531" priority="124" stopIfTrue="1" operator="greaterThan">
      <formula>0</formula>
    </cfRule>
  </conditionalFormatting>
  <conditionalFormatting sqref="H59:H63">
    <cfRule type="cellIs" dxfId="1530" priority="21" stopIfTrue="1" operator="greaterThan">
      <formula>$F$75</formula>
    </cfRule>
    <cfRule type="cellIs" dxfId="1529" priority="12" stopIfTrue="1" operator="lessThanOrEqual">
      <formula>0</formula>
    </cfRule>
    <cfRule type="cellIs" dxfId="1528" priority="13" stopIfTrue="1" operator="greaterThan">
      <formula>$F$72</formula>
    </cfRule>
    <cfRule type="cellIs" dxfId="1527" priority="22" stopIfTrue="1" operator="lessThanOrEqual">
      <formula>0</formula>
    </cfRule>
    <cfRule type="cellIs" dxfId="1526" priority="23" stopIfTrue="1" operator="greaterThan">
      <formula>$F$73</formula>
    </cfRule>
    <cfRule type="cellIs" dxfId="1525" priority="24" stopIfTrue="1" operator="lessThanOrEqual">
      <formula>0</formula>
    </cfRule>
  </conditionalFormatting>
  <conditionalFormatting sqref="H64:H65">
    <cfRule type="cellIs" dxfId="1524" priority="65" stopIfTrue="1" operator="greaterThan">
      <formula>#REF!</formula>
    </cfRule>
    <cfRule type="cellIs" dxfId="1523" priority="73" stopIfTrue="1" operator="greaterThan">
      <formula>$F$27</formula>
    </cfRule>
    <cfRule type="cellIs" dxfId="1522" priority="64" stopIfTrue="1" operator="lessThanOrEqual">
      <formula>0</formula>
    </cfRule>
    <cfRule type="cellIs" dxfId="1521" priority="75" stopIfTrue="1" operator="greaterThan">
      <formula>#REF!</formula>
    </cfRule>
    <cfRule type="cellIs" dxfId="1520" priority="76" stopIfTrue="1" operator="lessThanOrEqual">
      <formula>0</formula>
    </cfRule>
    <cfRule type="cellIs" dxfId="1519" priority="74" stopIfTrue="1" operator="lessThanOrEqual">
      <formula>0</formula>
    </cfRule>
  </conditionalFormatting>
  <conditionalFormatting sqref="H66">
    <cfRule type="cellIs" dxfId="1518" priority="91" stopIfTrue="1" operator="lessThanOrEqual">
      <formula>0</formula>
    </cfRule>
    <cfRule type="cellIs" dxfId="1517" priority="90" stopIfTrue="1" operator="greaterThan">
      <formula>$F$41</formula>
    </cfRule>
    <cfRule type="cellIs" dxfId="1516" priority="89" stopIfTrue="1" operator="lessThanOrEqual">
      <formula>0</formula>
    </cfRule>
    <cfRule type="cellIs" dxfId="1515" priority="88" stopIfTrue="1" operator="greaterThan">
      <formula>$F$43</formula>
    </cfRule>
    <cfRule type="cellIs" dxfId="1514" priority="80" stopIfTrue="1" operator="greaterThan">
      <formula>$F$40</formula>
    </cfRule>
    <cfRule type="cellIs" dxfId="1513" priority="79" stopIfTrue="1" operator="lessThanOrEqual">
      <formula>0</formula>
    </cfRule>
  </conditionalFormatting>
  <conditionalFormatting sqref="H67:H68">
    <cfRule type="cellIs" dxfId="1512" priority="48" stopIfTrue="1" operator="lessThanOrEqual">
      <formula>0</formula>
    </cfRule>
    <cfRule type="cellIs" dxfId="1511" priority="49" stopIfTrue="1" operator="greaterThan">
      <formula>#REF!</formula>
    </cfRule>
    <cfRule type="cellIs" dxfId="1510" priority="57" stopIfTrue="1" operator="greaterThan">
      <formula>$F$27</formula>
    </cfRule>
    <cfRule type="cellIs" dxfId="1509" priority="58" stopIfTrue="1" operator="lessThanOrEqual">
      <formula>0</formula>
    </cfRule>
    <cfRule type="cellIs" dxfId="1508" priority="59" stopIfTrue="1" operator="greaterThan">
      <formula>#REF!</formula>
    </cfRule>
    <cfRule type="cellIs" dxfId="1507" priority="60" stopIfTrue="1" operator="lessThanOrEqual">
      <formula>0</formula>
    </cfRule>
  </conditionalFormatting>
  <conditionalFormatting sqref="H83 H85:H91">
    <cfRule type="cellIs" dxfId="1506" priority="138" stopIfTrue="1" operator="greaterThan">
      <formula>4.5</formula>
    </cfRule>
    <cfRule type="cellIs" dxfId="1505" priority="139" stopIfTrue="1" operator="lessThanOrEqual">
      <formula>0</formula>
    </cfRule>
  </conditionalFormatting>
  <conditionalFormatting sqref="H59:I63">
    <cfRule type="cellIs" dxfId="1504" priority="14" stopIfTrue="1" operator="lessThanOrEqual">
      <formula>0</formula>
    </cfRule>
    <cfRule type="cellIs" dxfId="1503" priority="11" stopIfTrue="1" operator="greaterThan">
      <formula>$F$74</formula>
    </cfRule>
  </conditionalFormatting>
  <conditionalFormatting sqref="H64:I65">
    <cfRule type="cellIs" dxfId="1502" priority="63" stopIfTrue="1" operator="greaterThan">
      <formula>#REF!</formula>
    </cfRule>
    <cfRule type="cellIs" dxfId="1501" priority="66" stopIfTrue="1" operator="lessThanOrEqual">
      <formula>0</formula>
    </cfRule>
  </conditionalFormatting>
  <conditionalFormatting sqref="H66:I66">
    <cfRule type="cellIs" dxfId="1500" priority="81" stopIfTrue="1" operator="lessThanOrEqual">
      <formula>0</formula>
    </cfRule>
    <cfRule type="cellIs" dxfId="1499" priority="78" stopIfTrue="1" operator="greaterThan">
      <formula>$F$42</formula>
    </cfRule>
  </conditionalFormatting>
  <conditionalFormatting sqref="H67:I68">
    <cfRule type="cellIs" dxfId="1498" priority="50" stopIfTrue="1" operator="lessThanOrEqual">
      <formula>0</formula>
    </cfRule>
    <cfRule type="cellIs" dxfId="1497" priority="47" stopIfTrue="1" operator="greaterThan">
      <formula>#REF!</formula>
    </cfRule>
  </conditionalFormatting>
  <conditionalFormatting sqref="H72:I79">
    <cfRule type="cellIs" dxfId="1496" priority="28" stopIfTrue="1" operator="greaterThan">
      <formula>$J72</formula>
    </cfRule>
    <cfRule type="cellIs" dxfId="1495" priority="29" stopIfTrue="1" operator="lessThanOrEqual">
      <formula>0</formula>
    </cfRule>
  </conditionalFormatting>
  <conditionalFormatting sqref="H80:I80">
    <cfRule type="cellIs" dxfId="1494" priority="111" operator="greaterThan">
      <formula>5.3</formula>
    </cfRule>
  </conditionalFormatting>
  <conditionalFormatting sqref="H81:I81">
    <cfRule type="cellIs" dxfId="1493" priority="103" stopIfTrue="1" operator="greaterThan">
      <formula>$J81</formula>
    </cfRule>
    <cfRule type="cellIs" dxfId="1492" priority="104" stopIfTrue="1" operator="lessThanOrEqual">
      <formula>0</formula>
    </cfRule>
  </conditionalFormatting>
  <conditionalFormatting sqref="I59:I63">
    <cfRule type="cellIs" dxfId="1491" priority="15" stopIfTrue="1" operator="greaterThan">
      <formula>$F$72</formula>
    </cfRule>
    <cfRule type="cellIs" dxfId="1490" priority="20" stopIfTrue="1" operator="lessThanOrEqual">
      <formula>0</formula>
    </cfRule>
    <cfRule type="cellIs" dxfId="1489" priority="16" stopIfTrue="1" operator="lessThanOrEqual">
      <formula>0</formula>
    </cfRule>
    <cfRule type="cellIs" dxfId="1488" priority="17" stopIfTrue="1" operator="greaterThan">
      <formula>$F$74</formula>
    </cfRule>
    <cfRule type="cellIs" dxfId="1487" priority="18" stopIfTrue="1" operator="lessThanOrEqual">
      <formula>0</formula>
    </cfRule>
    <cfRule type="cellIs" dxfId="1486" priority="19" stopIfTrue="1" operator="greaterThan">
      <formula>$F$72</formula>
    </cfRule>
  </conditionalFormatting>
  <conditionalFormatting sqref="I64:I65">
    <cfRule type="cellIs" dxfId="1485" priority="71" stopIfTrue="1" operator="greaterThan">
      <formula>#REF!</formula>
    </cfRule>
    <cfRule type="cellIs" dxfId="1484" priority="70" stopIfTrue="1" operator="lessThanOrEqual">
      <formula>0</formula>
    </cfRule>
    <cfRule type="cellIs" dxfId="1483" priority="69" stopIfTrue="1" operator="greaterThan">
      <formula>#REF!</formula>
    </cfRule>
    <cfRule type="cellIs" dxfId="1482" priority="68" stopIfTrue="1" operator="lessThanOrEqual">
      <formula>0</formula>
    </cfRule>
    <cfRule type="cellIs" dxfId="1481" priority="72" stopIfTrue="1" operator="lessThanOrEqual">
      <formula>0</formula>
    </cfRule>
    <cfRule type="cellIs" dxfId="1480" priority="67" stopIfTrue="1" operator="greaterThan">
      <formula>#REF!</formula>
    </cfRule>
  </conditionalFormatting>
  <conditionalFormatting sqref="I66">
    <cfRule type="cellIs" dxfId="1479" priority="82" stopIfTrue="1" operator="greaterThan">
      <formula>$F$40</formula>
    </cfRule>
    <cfRule type="cellIs" dxfId="1478" priority="86" stopIfTrue="1" operator="greaterThan">
      <formula>$F$40</formula>
    </cfRule>
    <cfRule type="cellIs" dxfId="1477" priority="87" stopIfTrue="1" operator="lessThanOrEqual">
      <formula>0</formula>
    </cfRule>
    <cfRule type="cellIs" dxfId="1476" priority="83" stopIfTrue="1" operator="lessThanOrEqual">
      <formula>0</formula>
    </cfRule>
    <cfRule type="cellIs" dxfId="1475" priority="84" stopIfTrue="1" operator="greaterThan">
      <formula>$F$42</formula>
    </cfRule>
    <cfRule type="cellIs" dxfId="1474" priority="85" stopIfTrue="1" operator="lessThanOrEqual">
      <formula>0</formula>
    </cfRule>
  </conditionalFormatting>
  <conditionalFormatting sqref="I67:I68">
    <cfRule type="cellIs" dxfId="1473" priority="52" stopIfTrue="1" operator="lessThanOrEqual">
      <formula>0</formula>
    </cfRule>
    <cfRule type="cellIs" dxfId="1472" priority="51" stopIfTrue="1" operator="greaterThan">
      <formula>#REF!</formula>
    </cfRule>
    <cfRule type="cellIs" dxfId="1471" priority="54" stopIfTrue="1" operator="lessThanOrEqual">
      <formula>0</formula>
    </cfRule>
    <cfRule type="cellIs" dxfId="1470" priority="56" stopIfTrue="1" operator="lessThanOrEqual">
      <formula>0</formula>
    </cfRule>
    <cfRule type="cellIs" dxfId="1469" priority="55" stopIfTrue="1" operator="greaterThan">
      <formula>#REF!</formula>
    </cfRule>
    <cfRule type="cellIs" dxfId="1468" priority="53" stopIfTrue="1" operator="greaterThan">
      <formula>#REF!</formula>
    </cfRule>
  </conditionalFormatting>
  <conditionalFormatting sqref="I83:I91">
    <cfRule type="cellIs" dxfId="1467" priority="134" stopIfTrue="1" operator="greaterThan">
      <formula>4.5</formula>
    </cfRule>
    <cfRule type="cellIs" dxfId="1466" priority="135" stopIfTrue="1" operator="lessThanOrEqual">
      <formula>0</formula>
    </cfRule>
  </conditionalFormatting>
  <conditionalFormatting sqref="I10:J27">
    <cfRule type="cellIs" dxfId="1465" priority="2" operator="lessThan">
      <formula>97.9</formula>
    </cfRule>
  </conditionalFormatting>
  <conditionalFormatting sqref="J32">
    <cfRule type="cellIs" dxfId="1464" priority="95" operator="lessThan">
      <formula>98</formula>
    </cfRule>
    <cfRule type="cellIs" dxfId="1463" priority="93" stopIfTrue="1" operator="lessThan">
      <formula>96.8</formula>
    </cfRule>
    <cfRule type="cellIs" dxfId="1462" priority="94" stopIfTrue="1" operator="greaterThan">
      <formula>100</formula>
    </cfRule>
  </conditionalFormatting>
  <conditionalFormatting sqref="J32:J34">
    <cfRule type="cellIs" dxfId="1461" priority="92" operator="lessThan">
      <formula>97.4</formula>
    </cfRule>
  </conditionalFormatting>
  <conditionalFormatting sqref="J35:J36">
    <cfRule type="cellIs" dxfId="1460" priority="96" operator="lessThan">
      <formula>98</formula>
    </cfRule>
  </conditionalFormatting>
  <conditionalFormatting sqref="J37:J38">
    <cfRule type="cellIs" dxfId="1459" priority="98" stopIfTrue="1" operator="greaterThan">
      <formula>100</formula>
    </cfRule>
    <cfRule type="cellIs" dxfId="1458" priority="97" stopIfTrue="1" operator="lessThan">
      <formula>96.8</formula>
    </cfRule>
  </conditionalFormatting>
  <conditionalFormatting sqref="J37:J39">
    <cfRule type="cellIs" dxfId="1457" priority="99" operator="lessThan">
      <formula>98</formula>
    </cfRule>
  </conditionalFormatting>
  <conditionalFormatting sqref="J68">
    <cfRule type="cellIs" dxfId="1456" priority="43" stopIfTrue="1" operator="greaterThan">
      <formula>#REF!</formula>
    </cfRule>
    <cfRule type="cellIs" dxfId="1455" priority="42" stopIfTrue="1" operator="lessThanOrEqual">
      <formula>0</formula>
    </cfRule>
    <cfRule type="cellIs" dxfId="1454" priority="41" stopIfTrue="1" operator="greaterThan">
      <formula>#REF!</formula>
    </cfRule>
    <cfRule type="cellIs" dxfId="1453" priority="40" stopIfTrue="1" operator="lessThanOrEqual">
      <formula>0</formula>
    </cfRule>
    <cfRule type="cellIs" dxfId="1452" priority="46" stopIfTrue="1" operator="lessThanOrEqual">
      <formula>0</formula>
    </cfRule>
    <cfRule type="cellIs" dxfId="1451" priority="45" stopIfTrue="1" operator="greaterThan">
      <formula>#REF!</formula>
    </cfRule>
    <cfRule type="cellIs" dxfId="1450" priority="44" stopIfTrue="1" operator="lessThanOrEqual">
      <formula>0</formula>
    </cfRule>
    <cfRule type="cellIs" dxfId="1449" priority="39" stopIfTrue="1" operator="greaterThan">
      <formula>#REF!</formula>
    </cfRule>
  </conditionalFormatting>
  <conditionalFormatting sqref="J81">
    <cfRule type="cellIs" dxfId="1448" priority="101" stopIfTrue="1" operator="lessThanOrEqual">
      <formula>0</formula>
    </cfRule>
    <cfRule type="cellIs" dxfId="1447" priority="100" stopIfTrue="1" operator="greaterThan">
      <formula>$F81</formula>
    </cfRule>
  </conditionalFormatting>
  <conditionalFormatting sqref="K10:K27">
    <cfRule type="cellIs" dxfId="1446" priority="5" operator="greaterThan">
      <formula>6.4</formula>
    </cfRule>
    <cfRule type="cellIs" dxfId="1445" priority="4" operator="lessThan">
      <formula>4</formula>
    </cfRule>
    <cfRule type="cellIs" dxfId="1444" priority="3" operator="greaterThan">
      <formula>6</formula>
    </cfRule>
  </conditionalFormatting>
  <conditionalFormatting sqref="K59:K68">
    <cfRule type="cellIs" dxfId="1443" priority="26" stopIfTrue="1" operator="lessThan">
      <formula>100%</formula>
    </cfRule>
  </conditionalFormatting>
  <conditionalFormatting sqref="K83:K88">
    <cfRule type="cellIs" dxfId="1442" priority="140" stopIfTrue="1" operator="lessThan">
      <formula>100%</formula>
    </cfRule>
  </conditionalFormatting>
  <conditionalFormatting sqref="K90:K91">
    <cfRule type="cellIs" dxfId="1441" priority="147" stopIfTrue="1" operator="lessThan">
      <formula>100%</formula>
    </cfRule>
  </conditionalFormatting>
  <conditionalFormatting sqref="K72:N80">
    <cfRule type="cellIs" dxfId="1440" priority="77" stopIfTrue="1" operator="lessThan">
      <formula>100%</formula>
    </cfRule>
  </conditionalFormatting>
  <conditionalFormatting sqref="L10:L27">
    <cfRule type="cellIs" dxfId="1439" priority="9" operator="between">
      <formula>61</formula>
      <formula>65</formula>
    </cfRule>
    <cfRule type="cellIs" dxfId="1438" priority="10" operator="greaterThan">
      <formula>65</formula>
    </cfRule>
  </conditionalFormatting>
  <conditionalFormatting sqref="L30:M41">
    <cfRule type="cellIs" dxfId="1437" priority="31" operator="lessThan">
      <formula>97.95</formula>
    </cfRule>
  </conditionalFormatting>
  <conditionalFormatting sqref="L45:N45">
    <cfRule type="cellIs" dxfId="1436" priority="32" operator="notEqual">
      <formula>#REF!</formula>
    </cfRule>
  </conditionalFormatting>
  <conditionalFormatting sqref="L81:N81">
    <cfRule type="cellIs" dxfId="1435" priority="102" stopIfTrue="1" operator="lessThan">
      <formula>100%</formula>
    </cfRule>
  </conditionalFormatting>
  <conditionalFormatting sqref="L83:N91">
    <cfRule type="cellIs" dxfId="1434" priority="125" stopIfTrue="1" operator="lessThan">
      <formula>100%</formula>
    </cfRule>
  </conditionalFormatting>
  <conditionalFormatting sqref="M10:M26">
    <cfRule type="expression" dxfId="1433" priority="7">
      <formula>IF(+(IF(M10&lt;U10,0,IF(M10&gt;V10,0,1)))=0,1)</formula>
    </cfRule>
  </conditionalFormatting>
  <conditionalFormatting sqref="M27:N27">
    <cfRule type="expression" dxfId="1432" priority="155">
      <formula>IF(+(IF(M27&lt;#REF!,0,IF(M27&gt;#REF!,0,1)))=0,1)</formula>
    </cfRule>
  </conditionalFormatting>
  <conditionalFormatting sqref="N10:N26">
    <cfRule type="expression" dxfId="1431" priority="1">
      <formula>IF(+(IF(N10&lt;W10,0,IF(N10&gt;X10,0,1)))=0,1)</formula>
    </cfRule>
  </conditionalFormatting>
  <conditionalFormatting sqref="P6">
    <cfRule type="cellIs" dxfId="1430" priority="121" operator="greaterThanOrEqual">
      <formula>19</formula>
    </cfRule>
  </conditionalFormatting>
  <dataValidations count="1">
    <dataValidation type="list" allowBlank="1" showInputMessage="1" showErrorMessage="1" sqref="R8" xr:uid="{738D810A-F8AA-44DB-8761-E52380A76BF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F55A-A8D3-409E-9E51-1156C2A7CF9D}">
  <sheetPr>
    <pageSetUpPr fitToPage="1"/>
  </sheetPr>
  <dimension ref="A1:BE77"/>
  <sheetViews>
    <sheetView topLeftCell="A16" zoomScale="80" zoomScaleNormal="80" workbookViewId="0">
      <selection activeCell="L55" sqref="L55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46071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[3]Brewhouse!$A158</f>
        <v>CA116</v>
      </c>
      <c r="D10" s="279">
        <f>[3]Brewhouse!$AF158</f>
        <v>51.6</v>
      </c>
      <c r="E10" s="279">
        <f>[3]Brewhouse!$AI158</f>
        <v>49.5</v>
      </c>
      <c r="F10" s="278">
        <f>[3]Brewhouse!$V158</f>
        <v>57</v>
      </c>
      <c r="G10" s="279">
        <f>[3]Brewhouse!AG158</f>
        <v>11.9</v>
      </c>
      <c r="H10" s="396">
        <v>11.8</v>
      </c>
      <c r="I10" s="368">
        <f>[3]Brewhouse!$AU158</f>
        <v>96.412047269582672</v>
      </c>
      <c r="J10" s="368">
        <f>[3]Brewhouse!$AV158</f>
        <v>97.849139447720162</v>
      </c>
      <c r="K10" s="281">
        <f>[3]Brewhouse!$Q158</f>
        <v>2.5957446808510616</v>
      </c>
      <c r="L10" s="276">
        <f>[3]Brewhouse!$P158</f>
        <v>60</v>
      </c>
      <c r="M10" s="397">
        <f>[3]Brewhouse!$U158-[3]Brewhouse!$T158</f>
        <v>0.14513888888888887</v>
      </c>
      <c r="N10" s="370">
        <f>[3]Brewhouse!$Z158</f>
        <v>0.32361111111111113</v>
      </c>
      <c r="O10" s="420" t="str">
        <f>[3]Brewhouse!$AX158</f>
        <v>K. Benjamin</v>
      </c>
      <c r="P10" s="418"/>
      <c r="R10" s="277" t="str">
        <f t="shared" ref="R10" si="0">B10</f>
        <v>CARIB</v>
      </c>
      <c r="S10" s="472">
        <f t="shared" ref="S10:S25" si="1">VLOOKUP($B10,$R$3:$X$9,2,FALSE)</f>
        <v>11.6</v>
      </c>
      <c r="T10" s="472">
        <f t="shared" ref="T10:T25" si="2">VLOOKUP($B10,$R$3:$X$9,3,FALSE)</f>
        <v>12</v>
      </c>
      <c r="U10" s="297">
        <f t="shared" ref="U10:U25" si="3">VLOOKUP($B10,$R$3:$X$9,4,FALSE)</f>
        <v>0</v>
      </c>
      <c r="V10" s="297">
        <f t="shared" ref="V10:V25" si="4">VLOOKUP($B10,$R$3:$X$9,5,FALSE)</f>
        <v>0.118055555555556</v>
      </c>
      <c r="W10" s="297">
        <f t="shared" ref="W10:W25" si="5">VLOOKUP($B10,$R$3:$X$9,6,FALSE)</f>
        <v>0.22569444444444445</v>
      </c>
      <c r="X10" s="297">
        <f t="shared" ref="X10:X25" si="6">VLOOKUP($B10,$R$3:$X$9,7,FALSE)</f>
        <v>0.2638888888888889</v>
      </c>
      <c r="Y10" s="297">
        <f t="shared" ref="Y10:Y25" si="7">VLOOKUP($B10,$R$3:$Z$9,8,FALSE)</f>
        <v>0</v>
      </c>
      <c r="Z10" s="472">
        <f t="shared" ref="Z10:Z25" si="8">VLOOKUP($B10,$R$3:$Z$9,9,FALSE)</f>
        <v>60</v>
      </c>
    </row>
    <row r="11" spans="2:29" ht="16.5" customHeight="1">
      <c r="B11" s="29" t="s">
        <v>6</v>
      </c>
      <c r="C11" s="366" t="str">
        <f>[3]Brewhouse!$A159</f>
        <v>CA117</v>
      </c>
      <c r="D11" s="279">
        <f>[3]Brewhouse!$AF159</f>
        <v>51.2</v>
      </c>
      <c r="E11" s="279">
        <f>[3]Brewhouse!$AI159</f>
        <v>49.5</v>
      </c>
      <c r="F11" s="278">
        <f>[3]Brewhouse!$V159</f>
        <v>60</v>
      </c>
      <c r="G11" s="279">
        <f>[3]Brewhouse!AG159</f>
        <v>11.9</v>
      </c>
      <c r="H11" s="396">
        <v>11.9</v>
      </c>
      <c r="I11" s="368">
        <f>[3]Brewhouse!$AU159</f>
        <v>97.250520471561614</v>
      </c>
      <c r="J11" s="368">
        <f>[3]Brewhouse!$AV159</f>
        <v>98.699290769982824</v>
      </c>
      <c r="K11" s="281">
        <f>[3]Brewhouse!$Q159</f>
        <v>3.2399999999999949</v>
      </c>
      <c r="L11" s="276">
        <f>[3]Brewhouse!$P159</f>
        <v>61</v>
      </c>
      <c r="M11" s="397">
        <f>[3]Brewhouse!$U159-[3]Brewhouse!$T159</f>
        <v>0.12708333333333333</v>
      </c>
      <c r="N11" s="370">
        <f>[3]Brewhouse!$Z159</f>
        <v>0.32638888888888884</v>
      </c>
      <c r="O11" s="420" t="str">
        <f>[3]Brewhouse!$AX159</f>
        <v>R. Regis</v>
      </c>
      <c r="P11" s="418"/>
      <c r="R11" s="277" t="str">
        <f t="shared" ref="R11:R25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[3]Brewhouse!$A160</f>
        <v>CA118</v>
      </c>
      <c r="D12" s="279">
        <f>[3]Brewhouse!$AF160</f>
        <v>52.2</v>
      </c>
      <c r="E12" s="279">
        <f>[3]Brewhouse!$AI160</f>
        <v>50.4</v>
      </c>
      <c r="F12" s="278">
        <f>[3]Brewhouse!$V160</f>
        <v>64</v>
      </c>
      <c r="G12" s="279">
        <f>[3]Brewhouse!AG160</f>
        <v>11.8</v>
      </c>
      <c r="H12" s="396">
        <v>11.8</v>
      </c>
      <c r="I12" s="368">
        <f>[3]Brewhouse!$AU160</f>
        <v>98.1438476329579</v>
      </c>
      <c r="J12" s="368">
        <f>[3]Brewhouse!$AV160</f>
        <v>99.605926095201042</v>
      </c>
      <c r="K12" s="281">
        <f>[3]Brewhouse!$Q160</f>
        <v>2.9174664107485664</v>
      </c>
      <c r="L12" s="276">
        <f>[3]Brewhouse!$P160</f>
        <v>61</v>
      </c>
      <c r="M12" s="397">
        <f>[3]Brewhouse!$U160-[3]Brewhouse!$T160</f>
        <v>0.12430555555555556</v>
      </c>
      <c r="N12" s="370">
        <f>[3]Brewhouse!$Z160</f>
        <v>0.32430555555555551</v>
      </c>
      <c r="O12" s="420" t="str">
        <f>[3]Brewhouse!$AX160</f>
        <v>R. Regis</v>
      </c>
      <c r="P12" s="418"/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[3]Brewhouse!$A161</f>
        <v>CA119</v>
      </c>
      <c r="D13" s="279">
        <f>[3]Brewhouse!$AF161</f>
        <v>50.2</v>
      </c>
      <c r="E13" s="279">
        <f>[3]Brewhouse!$AI161</f>
        <v>47.9</v>
      </c>
      <c r="F13" s="278">
        <f>[3]Brewhouse!$V161</f>
        <v>59</v>
      </c>
      <c r="G13" s="279">
        <f>[3]Brewhouse!AG161</f>
        <v>11.9</v>
      </c>
      <c r="H13" s="482">
        <v>12.2</v>
      </c>
      <c r="I13" s="368">
        <f>[3]Brewhouse!$AU161</f>
        <v>93.52608739149872</v>
      </c>
      <c r="J13" s="368">
        <f>[3]Brewhouse!$AV161</f>
        <v>94.919938317630482</v>
      </c>
      <c r="K13" s="281">
        <f>[3]Brewhouse!$Q161</f>
        <v>5.8400000000000034</v>
      </c>
      <c r="L13" s="276">
        <f>[3]Brewhouse!$P161</f>
        <v>58</v>
      </c>
      <c r="M13" s="397">
        <f>[3]Brewhouse!$U161-[3]Brewhouse!$T161</f>
        <v>0.12569444444444444</v>
      </c>
      <c r="N13" s="370">
        <f>[3]Brewhouse!$Z161</f>
        <v>0.33125000000000004</v>
      </c>
      <c r="O13" s="420" t="str">
        <f>[3]Brewhouse!$AX161</f>
        <v>R.Sookram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 t="s">
        <v>6</v>
      </c>
      <c r="C14" s="366" t="str">
        <f>[3]Brewhouse!$A162</f>
        <v>CA120</v>
      </c>
      <c r="D14" s="279">
        <f>[3]Brewhouse!$AF162</f>
        <v>52.2</v>
      </c>
      <c r="E14" s="279">
        <f>[3]Brewhouse!$AI162</f>
        <v>50.3</v>
      </c>
      <c r="F14" s="278">
        <f>[3]Brewhouse!$V162</f>
        <v>60</v>
      </c>
      <c r="G14" s="279">
        <f>[3]Brewhouse!AG162</f>
        <v>12.2</v>
      </c>
      <c r="H14" s="482">
        <v>12.2</v>
      </c>
      <c r="I14" s="368">
        <f>[3]Brewhouse!$AU162</f>
        <v>101.12603213986264</v>
      </c>
      <c r="J14" s="368">
        <f>[3]Brewhouse!$AV162</f>
        <v>102.06604796192566</v>
      </c>
      <c r="K14" s="281">
        <f>[3]Brewhouse!$Q162</f>
        <v>5.8076923076922995</v>
      </c>
      <c r="L14" s="276">
        <f>[3]Brewhouse!$P162</f>
        <v>58</v>
      </c>
      <c r="M14" s="397">
        <f>[3]Brewhouse!$U162-[3]Brewhouse!$T162</f>
        <v>0.12152777777777779</v>
      </c>
      <c r="N14" s="370">
        <f>[3]Brewhouse!$Z162</f>
        <v>0.27708333333333335</v>
      </c>
      <c r="O14" s="420" t="str">
        <f>[3]Brewhouse!$AX162</f>
        <v>R.Sookram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29" t="s">
        <v>6</v>
      </c>
      <c r="C15" s="366" t="str">
        <f>[3]Brewhouse!$A163</f>
        <v>CA121</v>
      </c>
      <c r="D15" s="279">
        <f>[3]Brewhouse!$AF163</f>
        <v>51.6</v>
      </c>
      <c r="E15" s="279">
        <f>[3]Brewhouse!$AI163</f>
        <v>49.6</v>
      </c>
      <c r="F15" s="278">
        <f>[3]Brewhouse!$V163</f>
        <v>51</v>
      </c>
      <c r="G15" s="279">
        <f>[3]Brewhouse!AG163</f>
        <v>12.2</v>
      </c>
      <c r="H15" s="482">
        <v>12.1</v>
      </c>
      <c r="I15" s="368">
        <f>[3]Brewhouse!$AU163</f>
        <v>100.33640509948549</v>
      </c>
      <c r="J15" s="368">
        <f>[3]Brewhouse!$AV163</f>
        <v>101.26870506253934</v>
      </c>
      <c r="K15" s="281">
        <f>[3]Brewhouse!$Q163</f>
        <v>8.5283018867924465</v>
      </c>
      <c r="L15" s="276">
        <f>[3]Brewhouse!$P163</f>
        <v>59</v>
      </c>
      <c r="M15" s="397">
        <f>[3]Brewhouse!$U163-[3]Brewhouse!$T163</f>
        <v>0.13819444444444451</v>
      </c>
      <c r="N15" s="370">
        <f>[3]Brewhouse!$Z163</f>
        <v>0.30208333333333348</v>
      </c>
      <c r="O15" s="420" t="str">
        <f>[3]Brewhouse!$AX163</f>
        <v>K. Benjamin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6.5" customHeight="1">
      <c r="B16" s="486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/>
      <c r="S16" s="472"/>
      <c r="T16" s="472"/>
      <c r="U16" s="297"/>
      <c r="V16" s="297"/>
      <c r="W16" s="297"/>
      <c r="X16" s="297"/>
      <c r="Y16" s="297"/>
      <c r="Z16" s="472"/>
    </row>
    <row r="17" spans="1:27" ht="16.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/>
      <c r="S17" s="472"/>
      <c r="T17" s="472"/>
      <c r="U17" s="297"/>
      <c r="V17" s="297"/>
      <c r="W17" s="297"/>
      <c r="X17" s="297"/>
      <c r="Y17" s="297"/>
      <c r="Z17" s="472"/>
    </row>
    <row r="18" spans="1:27" ht="16.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6.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6.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6.5" hidden="1" customHeight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8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6.5" hidden="1" customHeight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11"/>
      <c r="J24" s="511"/>
      <c r="K24" s="511"/>
      <c r="L24" s="511"/>
      <c r="M24" s="511"/>
      <c r="N24" s="511"/>
      <c r="O24" s="1"/>
      <c r="P24" s="12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.75" customHeight="1" thickBot="1">
      <c r="B25" s="388" t="s">
        <v>162</v>
      </c>
      <c r="C25" s="388"/>
      <c r="D25" s="512" t="s">
        <v>35</v>
      </c>
      <c r="E25" s="513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5" customHeight="1">
      <c r="A26" s="28"/>
      <c r="B26" s="580"/>
      <c r="C26" s="362"/>
      <c r="D26" s="517"/>
      <c r="E26" s="518"/>
      <c r="F26" s="294"/>
      <c r="G26" s="294"/>
      <c r="H26" s="348"/>
      <c r="I26" s="29" t="s">
        <v>6</v>
      </c>
      <c r="J26" s="280">
        <f>AVERAGE(I10:I15)</f>
        <v>97.799156667491502</v>
      </c>
      <c r="K26" s="284">
        <f>COUNTA([3]Brewhouse!$A$125:$A$164)</f>
        <v>40</v>
      </c>
      <c r="L26" s="305">
        <f>AVERAGE([3]Brewhouse!$AU$125:$AU$164)</f>
        <v>97.121313959177456</v>
      </c>
      <c r="M26" s="305">
        <f>AVERAGE([3]Brewhouse!$AU$42:$AU$123,[3]Brewhouse!$AU$125:$AU$164)</f>
        <v>97.676281411104426</v>
      </c>
      <c r="N26" s="30">
        <v>98</v>
      </c>
      <c r="O26" s="11"/>
      <c r="P26" s="31"/>
      <c r="R26" s="277">
        <f t="shared" ref="R26:R37" si="10">B26</f>
        <v>0</v>
      </c>
      <c r="S26" s="472" t="e">
        <f t="shared" ref="S26:S37" si="11">VLOOKUP($B26,$R$3:$X$9,2,FALSE)</f>
        <v>#N/A</v>
      </c>
      <c r="T26" s="472" t="e">
        <f t="shared" ref="T26:T37" si="12">VLOOKUP($B26,$R$3:$X$9,3,FALSE)</f>
        <v>#N/A</v>
      </c>
      <c r="U26" s="297" t="e">
        <f t="shared" ref="U26:U37" si="13">VLOOKUP($B26,$R$3:$X$9,4,FALSE)</f>
        <v>#N/A</v>
      </c>
      <c r="V26" s="297" t="e">
        <f t="shared" ref="V26:V37" si="14">VLOOKUP($B26,$R$3:$X$9,5,FALSE)</f>
        <v>#N/A</v>
      </c>
      <c r="W26" s="297" t="e">
        <f t="shared" ref="W26:W37" si="15">VLOOKUP($B26,$R$3:$X$9,6,FALSE)</f>
        <v>#N/A</v>
      </c>
      <c r="X26" s="297" t="e">
        <f t="shared" ref="X26:X37" si="16">VLOOKUP($B26,$R$3:$X$9,7,FALSE)</f>
        <v>#N/A</v>
      </c>
      <c r="Y26" s="297" t="e">
        <f t="shared" ref="Y26:Y37" si="17">VLOOKUP($B26,$R$3:$Z$9,8,FALSE)</f>
        <v>#N/A</v>
      </c>
      <c r="Z26" s="472" t="e">
        <f t="shared" ref="Z26:Z37" si="18">VLOOKUP($B26,$R$3:$Z$9,9,FALSE)</f>
        <v>#N/A</v>
      </c>
    </row>
    <row r="27" spans="1:27" ht="15" customHeight="1">
      <c r="A27" s="28"/>
      <c r="B27" s="581"/>
      <c r="C27" s="362"/>
      <c r="D27" s="519"/>
      <c r="E27" s="520"/>
      <c r="F27" s="294"/>
      <c r="G27" s="294"/>
      <c r="H27" s="348"/>
      <c r="I27" s="33" t="s">
        <v>9</v>
      </c>
      <c r="J27" s="280"/>
      <c r="K27" s="284">
        <f>COUNTA([4]Brewhouse!$A$83:$A$102)</f>
        <v>20</v>
      </c>
      <c r="L27" s="302">
        <f>AVERAGE([4]Brewhouse!$AS$83:$AS$102)</f>
        <v>97.82854827310743</v>
      </c>
      <c r="M27" s="302">
        <f>AVERAGE([4]Brewhouse!$AS$52:$AS$81,[4]Brewhouse!$AS$83:$AS$102)</f>
        <v>98.546544958251161</v>
      </c>
      <c r="N27" s="30">
        <v>98</v>
      </c>
      <c r="O27" s="11"/>
      <c r="P27" s="31"/>
      <c r="R27" s="277">
        <f t="shared" si="10"/>
        <v>0</v>
      </c>
      <c r="S27" s="472" t="e">
        <f t="shared" si="11"/>
        <v>#N/A</v>
      </c>
      <c r="T27" s="472" t="e">
        <f t="shared" si="12"/>
        <v>#N/A</v>
      </c>
      <c r="U27" s="297" t="e">
        <f t="shared" si="13"/>
        <v>#N/A</v>
      </c>
      <c r="V27" s="297" t="e">
        <f t="shared" si="14"/>
        <v>#N/A</v>
      </c>
      <c r="W27" s="297" t="e">
        <f t="shared" si="15"/>
        <v>#N/A</v>
      </c>
      <c r="X27" s="297" t="e">
        <f t="shared" si="16"/>
        <v>#N/A</v>
      </c>
      <c r="Y27" s="297" t="e">
        <f t="shared" si="17"/>
        <v>#N/A</v>
      </c>
      <c r="Z27" s="472" t="e">
        <f t="shared" si="18"/>
        <v>#N/A</v>
      </c>
    </row>
    <row r="28" spans="1:27" ht="14.65" customHeight="1">
      <c r="A28" s="28"/>
      <c r="B28" s="581"/>
      <c r="C28" s="362"/>
      <c r="D28" s="521"/>
      <c r="E28" s="522"/>
      <c r="F28" s="294"/>
      <c r="G28" s="294"/>
      <c r="H28" s="348"/>
      <c r="I28" s="34" t="s">
        <v>12</v>
      </c>
      <c r="J28" s="280"/>
      <c r="K28" s="284">
        <f>COUNTA([6]Brewhouse!$A$25:$A$27)</f>
        <v>3</v>
      </c>
      <c r="L28" s="302">
        <f>AVERAGE([6]Brewhouse!$AU$25:$AU$27)</f>
        <v>98.383718888256155</v>
      </c>
      <c r="M28" s="302">
        <f>AVERAGE([6]Brewhouse!$AU$16:$AU$23,[6]Brewhouse!$AU$25:$AU$27)</f>
        <v>97.933890431198279</v>
      </c>
      <c r="N28" s="30">
        <v>98</v>
      </c>
      <c r="O28" s="11"/>
      <c r="P28" s="31"/>
      <c r="R28" s="277">
        <f t="shared" si="10"/>
        <v>0</v>
      </c>
      <c r="S28" s="472" t="e">
        <f t="shared" si="11"/>
        <v>#N/A</v>
      </c>
      <c r="T28" s="472" t="e">
        <f t="shared" si="12"/>
        <v>#N/A</v>
      </c>
      <c r="U28" s="297" t="e">
        <f t="shared" si="13"/>
        <v>#N/A</v>
      </c>
      <c r="V28" s="297" t="e">
        <f t="shared" si="14"/>
        <v>#N/A</v>
      </c>
      <c r="W28" s="297" t="e">
        <f t="shared" si="15"/>
        <v>#N/A</v>
      </c>
      <c r="X28" s="297" t="e">
        <f t="shared" si="16"/>
        <v>#N/A</v>
      </c>
      <c r="Y28" s="297" t="e">
        <f t="shared" si="17"/>
        <v>#N/A</v>
      </c>
      <c r="Z28" s="472" t="e">
        <f t="shared" si="18"/>
        <v>#N/A</v>
      </c>
    </row>
    <row r="29" spans="1:27" ht="14.65" customHeight="1">
      <c r="A29" s="28"/>
      <c r="B29" s="581"/>
      <c r="C29" s="362"/>
      <c r="D29" s="523"/>
      <c r="E29" s="520"/>
      <c r="F29" s="294"/>
      <c r="G29" s="294"/>
      <c r="H29" s="348"/>
      <c r="I29" s="22" t="s">
        <v>33</v>
      </c>
      <c r="J29" s="280"/>
      <c r="K29" s="284"/>
      <c r="L29" s="302"/>
      <c r="M29" s="302">
        <f>AVERAGE([5]Brewhouse!$AV$23:$AV$34)</f>
        <v>98.31387229810305</v>
      </c>
      <c r="N29" s="30">
        <v>98</v>
      </c>
      <c r="O29" s="11"/>
      <c r="P29" s="31"/>
      <c r="R29" s="277">
        <f t="shared" si="10"/>
        <v>0</v>
      </c>
      <c r="S29" s="472" t="e">
        <f t="shared" si="11"/>
        <v>#N/A</v>
      </c>
      <c r="T29" s="472" t="e">
        <f t="shared" si="12"/>
        <v>#N/A</v>
      </c>
      <c r="U29" s="297" t="e">
        <f t="shared" si="13"/>
        <v>#N/A</v>
      </c>
      <c r="V29" s="297" t="e">
        <f t="shared" si="14"/>
        <v>#N/A</v>
      </c>
      <c r="W29" s="297" t="e">
        <f t="shared" si="15"/>
        <v>#N/A</v>
      </c>
      <c r="X29" s="297" t="e">
        <f t="shared" si="16"/>
        <v>#N/A</v>
      </c>
      <c r="Y29" s="297" t="e">
        <f t="shared" si="17"/>
        <v>#N/A</v>
      </c>
      <c r="Z29" s="472" t="e">
        <f t="shared" si="18"/>
        <v>#N/A</v>
      </c>
    </row>
    <row r="30" spans="1:27" ht="14.65" customHeight="1">
      <c r="A30" s="28"/>
      <c r="B30" s="581"/>
      <c r="C30" s="362"/>
      <c r="D30" s="521"/>
      <c r="E30" s="522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10"/>
        <v>0</v>
      </c>
      <c r="S30" s="472" t="e">
        <f t="shared" si="11"/>
        <v>#N/A</v>
      </c>
      <c r="T30" s="472" t="e">
        <f t="shared" si="12"/>
        <v>#N/A</v>
      </c>
      <c r="U30" s="297" t="e">
        <f t="shared" si="13"/>
        <v>#N/A</v>
      </c>
      <c r="V30" s="297" t="e">
        <f t="shared" si="14"/>
        <v>#N/A</v>
      </c>
      <c r="W30" s="297" t="e">
        <f t="shared" si="15"/>
        <v>#N/A</v>
      </c>
      <c r="X30" s="297" t="e">
        <f t="shared" si="16"/>
        <v>#N/A</v>
      </c>
      <c r="Y30" s="297" t="e">
        <f t="shared" si="17"/>
        <v>#N/A</v>
      </c>
      <c r="Z30" s="472" t="e">
        <f t="shared" si="18"/>
        <v>#N/A</v>
      </c>
    </row>
    <row r="31" spans="1:27" ht="14.65" customHeight="1">
      <c r="A31" s="28"/>
      <c r="B31" s="581"/>
      <c r="C31" s="362"/>
      <c r="D31" s="523"/>
      <c r="E31" s="520"/>
      <c r="F31" s="417"/>
      <c r="G31" s="294"/>
      <c r="H31" s="348"/>
      <c r="I31" s="36" t="s">
        <v>15</v>
      </c>
      <c r="J31" s="323"/>
      <c r="K31" s="284"/>
      <c r="L31" s="302"/>
      <c r="M31" s="302">
        <f>AVERAGE([7]Brewhouse!$AT$4:$AT$11)</f>
        <v>92.826224508052405</v>
      </c>
      <c r="N31" s="30">
        <v>98</v>
      </c>
      <c r="O31" s="11"/>
      <c r="P31" s="31"/>
      <c r="R31" s="277">
        <f t="shared" si="10"/>
        <v>0</v>
      </c>
      <c r="S31" s="472" t="e">
        <f t="shared" si="11"/>
        <v>#N/A</v>
      </c>
      <c r="T31" s="472" t="e">
        <f t="shared" si="12"/>
        <v>#N/A</v>
      </c>
      <c r="U31" s="297" t="e">
        <f t="shared" si="13"/>
        <v>#N/A</v>
      </c>
      <c r="V31" s="297" t="e">
        <f t="shared" si="14"/>
        <v>#N/A</v>
      </c>
      <c r="W31" s="297" t="e">
        <f t="shared" si="15"/>
        <v>#N/A</v>
      </c>
      <c r="X31" s="297" t="e">
        <f t="shared" si="16"/>
        <v>#N/A</v>
      </c>
      <c r="Y31" s="297" t="e">
        <f t="shared" si="17"/>
        <v>#N/A</v>
      </c>
      <c r="Z31" s="472" t="e">
        <f t="shared" si="18"/>
        <v>#N/A</v>
      </c>
      <c r="AA31" s="472"/>
    </row>
    <row r="32" spans="1:27" ht="14.65" customHeight="1">
      <c r="A32" s="28"/>
      <c r="B32" s="581"/>
      <c r="C32" s="362"/>
      <c r="D32" s="521"/>
      <c r="E32" s="522"/>
      <c r="F32" s="417"/>
      <c r="G32" s="294"/>
      <c r="H32" s="348"/>
      <c r="I32" s="37" t="s">
        <v>16</v>
      </c>
      <c r="J32" s="323"/>
      <c r="K32" s="284"/>
      <c r="L32" s="302"/>
      <c r="M32" s="302">
        <f>AVERAGE([8]Brewhouse!$AY$5:$AY$7)</f>
        <v>98.128633252159673</v>
      </c>
      <c r="N32" s="30">
        <v>98</v>
      </c>
      <c r="O32" s="11"/>
      <c r="P32" s="31" t="s">
        <v>41</v>
      </c>
      <c r="R32" s="277">
        <f t="shared" si="10"/>
        <v>0</v>
      </c>
      <c r="S32" s="472" t="e">
        <f t="shared" si="11"/>
        <v>#N/A</v>
      </c>
      <c r="T32" s="472" t="e">
        <f t="shared" si="12"/>
        <v>#N/A</v>
      </c>
      <c r="U32" s="297" t="e">
        <f t="shared" si="13"/>
        <v>#N/A</v>
      </c>
      <c r="V32" s="297" t="e">
        <f t="shared" si="14"/>
        <v>#N/A</v>
      </c>
      <c r="W32" s="297" t="e">
        <f t="shared" si="15"/>
        <v>#N/A</v>
      </c>
      <c r="X32" s="297" t="e">
        <f t="shared" si="16"/>
        <v>#N/A</v>
      </c>
      <c r="Y32" s="297" t="e">
        <f t="shared" si="17"/>
        <v>#N/A</v>
      </c>
      <c r="Z32" s="472" t="e">
        <f t="shared" si="18"/>
        <v>#N/A</v>
      </c>
      <c r="AA32" s="472"/>
    </row>
    <row r="33" spans="1:56" ht="14.65" customHeight="1">
      <c r="A33" s="28"/>
      <c r="B33" s="581"/>
      <c r="C33" s="362"/>
      <c r="D33" s="523"/>
      <c r="E33" s="520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10"/>
        <v>0</v>
      </c>
      <c r="S33" s="472" t="e">
        <f t="shared" si="11"/>
        <v>#N/A</v>
      </c>
      <c r="T33" s="472" t="e">
        <f t="shared" si="12"/>
        <v>#N/A</v>
      </c>
      <c r="U33" s="297" t="e">
        <f t="shared" si="13"/>
        <v>#N/A</v>
      </c>
      <c r="V33" s="297" t="e">
        <f t="shared" si="14"/>
        <v>#N/A</v>
      </c>
      <c r="W33" s="297" t="e">
        <f t="shared" si="15"/>
        <v>#N/A</v>
      </c>
      <c r="X33" s="297" t="e">
        <f t="shared" si="16"/>
        <v>#N/A</v>
      </c>
      <c r="Y33" s="297" t="e">
        <f t="shared" si="17"/>
        <v>#N/A</v>
      </c>
      <c r="Z33" s="472" t="e">
        <f t="shared" si="18"/>
        <v>#N/A</v>
      </c>
      <c r="AA33" s="472"/>
    </row>
    <row r="34" spans="1:56" ht="14.65" customHeight="1">
      <c r="A34" s="28"/>
      <c r="B34" s="581"/>
      <c r="C34" s="349"/>
      <c r="D34" s="521"/>
      <c r="E34" s="522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10"/>
        <v>0</v>
      </c>
      <c r="S34" s="472" t="e">
        <f t="shared" si="11"/>
        <v>#N/A</v>
      </c>
      <c r="T34" s="472" t="e">
        <f t="shared" si="12"/>
        <v>#N/A</v>
      </c>
      <c r="U34" s="297" t="e">
        <f t="shared" si="13"/>
        <v>#N/A</v>
      </c>
      <c r="V34" s="297" t="e">
        <f t="shared" si="14"/>
        <v>#N/A</v>
      </c>
      <c r="W34" s="297" t="e">
        <f t="shared" si="15"/>
        <v>#N/A</v>
      </c>
      <c r="X34" s="297" t="e">
        <f t="shared" si="16"/>
        <v>#N/A</v>
      </c>
      <c r="Y34" s="297" t="e">
        <f t="shared" si="17"/>
        <v>#N/A</v>
      </c>
      <c r="Z34" s="472" t="e">
        <f t="shared" si="18"/>
        <v>#N/A</v>
      </c>
      <c r="AA34" s="472"/>
    </row>
    <row r="35" spans="1:56" ht="15" customHeight="1" thickBot="1">
      <c r="A35" s="28"/>
      <c r="B35" s="581"/>
      <c r="C35" s="349"/>
      <c r="D35" s="523"/>
      <c r="E35" s="520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10"/>
        <v>0</v>
      </c>
      <c r="S35" s="472" t="e">
        <f t="shared" si="11"/>
        <v>#N/A</v>
      </c>
      <c r="T35" s="472" t="e">
        <f t="shared" si="12"/>
        <v>#N/A</v>
      </c>
      <c r="U35" s="297" t="e">
        <f t="shared" si="13"/>
        <v>#N/A</v>
      </c>
      <c r="V35" s="297" t="e">
        <f t="shared" si="14"/>
        <v>#N/A</v>
      </c>
      <c r="W35" s="297" t="e">
        <f t="shared" si="15"/>
        <v>#N/A</v>
      </c>
      <c r="X35" s="297" t="e">
        <f t="shared" si="16"/>
        <v>#N/A</v>
      </c>
      <c r="Y35" s="297" t="e">
        <f t="shared" si="17"/>
        <v>#N/A</v>
      </c>
      <c r="Z35" s="472" t="e">
        <f t="shared" si="18"/>
        <v>#N/A</v>
      </c>
      <c r="AA35" s="472"/>
    </row>
    <row r="36" spans="1:56" ht="15" customHeight="1" thickBot="1">
      <c r="A36" s="28"/>
      <c r="B36" s="581"/>
      <c r="C36" s="349"/>
      <c r="D36" s="517"/>
      <c r="E36" s="518"/>
      <c r="F36" s="294"/>
      <c r="G36" s="294"/>
      <c r="H36" s="348"/>
      <c r="I36" s="1"/>
      <c r="J36" s="39"/>
      <c r="K36" s="404">
        <f>SUM(K26:K35)</f>
        <v>63</v>
      </c>
      <c r="L36" s="405">
        <f>((L26*K26)+(L27*K27)+(L28*K28)+(L29*K29)+(L30*K30)+(K33*L33)+(L31*K31)+(L32*K32)+(L35*K35))/(K36)</f>
        <v>97.405947309428811</v>
      </c>
      <c r="M36" s="405">
        <f>L36</f>
        <v>97.405947309428811</v>
      </c>
      <c r="N36" s="40">
        <v>98</v>
      </c>
      <c r="O36" s="11"/>
      <c r="P36" s="31"/>
      <c r="R36" s="277">
        <f t="shared" si="10"/>
        <v>0</v>
      </c>
      <c r="S36" s="472" t="e">
        <f t="shared" si="11"/>
        <v>#N/A</v>
      </c>
      <c r="T36" s="472" t="e">
        <f t="shared" si="12"/>
        <v>#N/A</v>
      </c>
      <c r="U36" s="297" t="e">
        <f t="shared" si="13"/>
        <v>#N/A</v>
      </c>
      <c r="V36" s="297" t="e">
        <f t="shared" si="14"/>
        <v>#N/A</v>
      </c>
      <c r="W36" s="297" t="e">
        <f t="shared" si="15"/>
        <v>#N/A</v>
      </c>
      <c r="X36" s="297" t="e">
        <f t="shared" si="16"/>
        <v>#N/A</v>
      </c>
      <c r="Y36" s="297" t="e">
        <f t="shared" si="17"/>
        <v>#N/A</v>
      </c>
      <c r="Z36" s="472" t="e">
        <f t="shared" si="18"/>
        <v>#N/A</v>
      </c>
      <c r="AA36" s="472"/>
    </row>
    <row r="37" spans="1:56" ht="15.75" thickBot="1">
      <c r="B37" s="582"/>
      <c r="C37" s="350"/>
      <c r="D37" s="519"/>
      <c r="E37" s="520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10"/>
        <v>0</v>
      </c>
      <c r="S37" s="472" t="e">
        <f t="shared" si="11"/>
        <v>#N/A</v>
      </c>
      <c r="T37" s="472" t="e">
        <f t="shared" si="12"/>
        <v>#N/A</v>
      </c>
      <c r="U37" s="297" t="e">
        <f t="shared" si="13"/>
        <v>#N/A</v>
      </c>
      <c r="V37" s="297" t="e">
        <f t="shared" si="14"/>
        <v>#N/A</v>
      </c>
      <c r="W37" s="297" t="e">
        <f t="shared" si="15"/>
        <v>#N/A</v>
      </c>
      <c r="X37" s="297" t="e">
        <f t="shared" si="16"/>
        <v>#N/A</v>
      </c>
      <c r="Y37" s="297" t="e">
        <f t="shared" si="17"/>
        <v>#N/A</v>
      </c>
      <c r="Z37" s="472" t="e">
        <f t="shared" si="18"/>
        <v>#N/A</v>
      </c>
      <c r="AA37" s="472"/>
    </row>
    <row r="38" spans="1:56" ht="15.75" thickBot="1">
      <c r="B38" s="514"/>
      <c r="C38" s="362"/>
      <c r="D38" s="525"/>
      <c r="E38" s="526"/>
      <c r="F38" s="294"/>
      <c r="G38" s="42"/>
      <c r="H38" s="41"/>
      <c r="I38" s="42"/>
      <c r="J38" s="527" t="s">
        <v>129</v>
      </c>
      <c r="K38" s="527"/>
      <c r="L38" s="294"/>
      <c r="M38" s="294"/>
      <c r="N38" s="294"/>
      <c r="O38" s="294"/>
      <c r="P38" s="12"/>
    </row>
    <row r="39" spans="1:56" ht="15.75" thickBot="1">
      <c r="B39" s="515"/>
      <c r="C39" s="362"/>
      <c r="D39" s="523"/>
      <c r="E39" s="520"/>
      <c r="F39" s="294"/>
      <c r="G39" s="42"/>
      <c r="H39" s="41"/>
      <c r="I39" s="42"/>
      <c r="J39" s="292" t="s">
        <v>17</v>
      </c>
      <c r="K39" s="293" t="s">
        <v>147</v>
      </c>
      <c r="L39" s="528" t="s">
        <v>136</v>
      </c>
      <c r="M39" s="528"/>
      <c r="N39" s="529"/>
      <c r="O39" s="294"/>
      <c r="P39" s="12"/>
    </row>
    <row r="40" spans="1:56" ht="15" customHeight="1" thickBot="1">
      <c r="B40" s="515"/>
      <c r="C40" s="349"/>
      <c r="D40" s="521"/>
      <c r="E40" s="522"/>
      <c r="F40" s="294"/>
      <c r="G40" s="42"/>
      <c r="H40" s="41"/>
      <c r="I40" s="42"/>
      <c r="J40" s="287" t="s">
        <v>6</v>
      </c>
      <c r="K40" s="324">
        <v>6</v>
      </c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15"/>
      <c r="C41" s="349"/>
      <c r="D41" s="523"/>
      <c r="E41" s="520"/>
      <c r="F41" s="294"/>
      <c r="G41" s="42"/>
      <c r="H41" s="41"/>
      <c r="I41" s="42"/>
      <c r="J41" s="345" t="s">
        <v>9</v>
      </c>
      <c r="K41" s="324"/>
      <c r="L41" s="344">
        <f>AVERAGE(K50,'Feb 2nd'!K49,'Feb 3rd'!K54,'Feb 4th'!K53,'Feb 4th'!K53,'Feb 5th'!K49,'Feb 6th'!K49,'Feb 9th'!K52,'Feb 10th'!K54,'Feb 11th'!K48,'Feb 12th'!K49,'Feb 13th'!K46,'Feb 16th'!K54)</f>
        <v>6.384615384615385</v>
      </c>
      <c r="M41" s="325">
        <f>AVERAGE('[9]Jan30th-31st'!$L$47,L41)</f>
        <v>6.2357859531772579</v>
      </c>
      <c r="N41" s="416">
        <v>9.1999999999999993</v>
      </c>
      <c r="O41" s="294"/>
      <c r="P41" s="12"/>
    </row>
    <row r="42" spans="1:56" ht="15" customHeight="1">
      <c r="B42" s="515"/>
      <c r="C42" s="349"/>
      <c r="D42" s="521"/>
      <c r="E42" s="522"/>
      <c r="F42" s="294"/>
      <c r="G42" s="42"/>
      <c r="H42" s="41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15"/>
      <c r="C43" s="349"/>
      <c r="D43" s="523"/>
      <c r="E43" s="520"/>
      <c r="F43" s="294"/>
      <c r="G43" s="42"/>
      <c r="H43" s="41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15"/>
      <c r="C44" s="349"/>
      <c r="D44" s="521"/>
      <c r="E44" s="522"/>
      <c r="F44" s="294"/>
      <c r="G44" s="42"/>
      <c r="H44" s="41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15"/>
      <c r="C45" s="349"/>
      <c r="D45" s="523"/>
      <c r="E45" s="520"/>
      <c r="F45" s="294"/>
      <c r="G45" s="42"/>
      <c r="H45" s="41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15"/>
      <c r="C46" s="349"/>
      <c r="D46" s="521"/>
      <c r="E46" s="522"/>
      <c r="F46" s="294"/>
      <c r="G46" s="42"/>
      <c r="H46" s="41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4"/>
      <c r="C47" s="350"/>
      <c r="D47" s="530"/>
      <c r="E47" s="531"/>
      <c r="F47" s="294" t="s">
        <v>166</v>
      </c>
      <c r="G47" s="42"/>
      <c r="H47" s="41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32"/>
      <c r="E48" s="533"/>
      <c r="F48" s="294"/>
      <c r="H48" s="41"/>
      <c r="I48" s="42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1:57" ht="17.649999999999999" customHeight="1">
      <c r="B49" s="363"/>
      <c r="C49" s="364"/>
      <c r="D49" s="365"/>
      <c r="E49" s="365"/>
      <c r="F49" s="294"/>
      <c r="G49" s="42"/>
      <c r="H49" s="41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1:57" ht="15.6" customHeight="1">
      <c r="B50" s="45"/>
      <c r="C50" s="11"/>
      <c r="D50" s="11"/>
      <c r="E50" s="46"/>
      <c r="F50" s="294"/>
      <c r="G50" s="42"/>
      <c r="H50" s="41"/>
      <c r="I50" s="42"/>
      <c r="J50" s="346" t="s">
        <v>130</v>
      </c>
      <c r="K50" s="324">
        <f>SUM(K40:K49)</f>
        <v>6</v>
      </c>
      <c r="L50" s="294"/>
      <c r="M50" s="294"/>
      <c r="N50" s="294"/>
      <c r="O50" s="294"/>
      <c r="P50" s="12"/>
    </row>
    <row r="51" spans="1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294"/>
      <c r="N51" s="315"/>
      <c r="P51" s="334"/>
    </row>
    <row r="52" spans="1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1:57" ht="15" customHeight="1" thickBot="1">
      <c r="B53" s="534" t="s">
        <v>17</v>
      </c>
      <c r="C53" s="534" t="s">
        <v>44</v>
      </c>
      <c r="D53" s="537" t="s">
        <v>45</v>
      </c>
      <c r="E53" s="500" t="s">
        <v>46</v>
      </c>
      <c r="F53" s="509" t="s">
        <v>47</v>
      </c>
      <c r="G53" s="546" t="s">
        <v>48</v>
      </c>
      <c r="H53" s="534" t="s">
        <v>49</v>
      </c>
      <c r="I53" s="534" t="s">
        <v>50</v>
      </c>
      <c r="J53" s="540" t="s">
        <v>28</v>
      </c>
      <c r="K53" s="498" t="s">
        <v>51</v>
      </c>
      <c r="L53" s="549" t="s">
        <v>52</v>
      </c>
      <c r="M53" s="540" t="s">
        <v>53</v>
      </c>
      <c r="N53" s="13"/>
      <c r="O53" s="13"/>
      <c r="P53" s="50"/>
    </row>
    <row r="54" spans="1:57" ht="28.5" customHeight="1" thickTop="1" thickBot="1">
      <c r="B54" s="535"/>
      <c r="C54" s="536"/>
      <c r="D54" s="538"/>
      <c r="E54" s="539"/>
      <c r="F54" s="551"/>
      <c r="G54" s="547"/>
      <c r="H54" s="535"/>
      <c r="I54" s="535"/>
      <c r="J54" s="541"/>
      <c r="K54" s="548"/>
      <c r="L54" s="550"/>
      <c r="M54" s="541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1:57" s="54" customFormat="1" ht="36.75" customHeight="1" thickBot="1">
      <c r="B55" s="480" t="str">
        <f>J40</f>
        <v>CARIB</v>
      </c>
      <c r="C55" s="479">
        <v>46070</v>
      </c>
      <c r="D55" s="442">
        <f>[29]February_2026!$T$3</f>
        <v>198.89999999999998</v>
      </c>
      <c r="E55" s="443"/>
      <c r="F55" s="444"/>
      <c r="G55" s="445">
        <f>[29]February_2026!$T$7</f>
        <v>190.2</v>
      </c>
      <c r="H55" s="458"/>
      <c r="I55" s="458"/>
      <c r="J55" s="448" t="s">
        <v>182</v>
      </c>
      <c r="K55" s="449">
        <f>[30]February_2026!$S$18</f>
        <v>0.97614035087719297</v>
      </c>
      <c r="L55" s="457">
        <f>(((D55+E55)-G55)/(D55+E55))*100</f>
        <v>4.3740573152337809</v>
      </c>
      <c r="M55" s="455" t="s">
        <v>189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[10]January_2019!L5</f>
        <v>0</v>
      </c>
      <c r="AC55" s="57">
        <f>[10]January_2019!M5</f>
        <v>0</v>
      </c>
      <c r="AD55" s="57">
        <f>[10]January_2019!N5</f>
        <v>0</v>
      </c>
      <c r="AE55" s="57">
        <f>[10]January_2019!O5</f>
        <v>0</v>
      </c>
      <c r="AF55" s="57">
        <f>[10]January_2019!P5</f>
        <v>0</v>
      </c>
      <c r="AG55" s="57">
        <f>[10]January_2019!Q5</f>
        <v>0</v>
      </c>
      <c r="AH55" s="57">
        <f>[10]January_2019!R5</f>
        <v>0</v>
      </c>
      <c r="AI55" s="57">
        <f>[10]January_2019!S5</f>
        <v>0</v>
      </c>
      <c r="AJ55" s="57">
        <f>[10]January_2019!T5</f>
        <v>0</v>
      </c>
      <c r="AK55" s="57">
        <f>[10]January_2019!U5</f>
        <v>0</v>
      </c>
      <c r="AL55" s="57">
        <f>[10]January_2019!V5</f>
        <v>0</v>
      </c>
      <c r="AM55" s="57">
        <f>[10]January_2019!W5</f>
        <v>0</v>
      </c>
      <c r="AN55" s="57">
        <f>[10]January_2019!X5</f>
        <v>0</v>
      </c>
      <c r="AO55" s="57">
        <f>[10]January_2019!Y5</f>
        <v>0</v>
      </c>
      <c r="AP55" s="57">
        <f>[10]January_2019!Z5</f>
        <v>0</v>
      </c>
      <c r="AQ55" s="57">
        <f>[10]January_2019!AA5</f>
        <v>0</v>
      </c>
      <c r="AR55" s="57">
        <f>[10]January_2019!AB5</f>
        <v>0</v>
      </c>
      <c r="AS55" s="57">
        <f>[10]January_2019!AC5</f>
        <v>0</v>
      </c>
      <c r="AT55" s="57">
        <f>[10]January_2019!AD5</f>
        <v>0</v>
      </c>
      <c r="AU55" s="57">
        <f>[10]January_2019!AE5</f>
        <v>0</v>
      </c>
      <c r="AV55" s="57">
        <f>[10]January_2019!AF5</f>
        <v>0</v>
      </c>
      <c r="AW55" s="57">
        <f>[10]January_2019!AG5</f>
        <v>0</v>
      </c>
      <c r="AX55" s="277">
        <f>[10]January_2019!AH5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14.25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[10]January_2019!L6</f>
        <v>0</v>
      </c>
      <c r="AC56" s="57">
        <f>[10]January_2019!M6</f>
        <v>0</v>
      </c>
      <c r="AD56" s="57">
        <f>[10]January_2019!N6</f>
        <v>0</v>
      </c>
      <c r="AE56" s="57">
        <f>[10]January_2019!O6</f>
        <v>0</v>
      </c>
      <c r="AF56" s="57">
        <f>[10]January_2019!P6</f>
        <v>0</v>
      </c>
      <c r="AG56" s="57">
        <f>[10]January_2019!Q6</f>
        <v>0</v>
      </c>
      <c r="AH56" s="57">
        <f>[10]January_2019!R6</f>
        <v>0</v>
      </c>
      <c r="AI56" s="57">
        <f>[10]January_2019!S6</f>
        <v>0</v>
      </c>
      <c r="AJ56" s="57">
        <f>[10]January_2019!T6</f>
        <v>0</v>
      </c>
      <c r="AK56" s="57">
        <f>[10]January_2019!U6</f>
        <v>0</v>
      </c>
      <c r="AL56" s="57">
        <f>[10]January_2019!V6</f>
        <v>0</v>
      </c>
      <c r="AM56" s="57">
        <f>[10]January_2019!W6</f>
        <v>0</v>
      </c>
      <c r="AN56" s="57">
        <f>[10]January_2019!X6</f>
        <v>0</v>
      </c>
      <c r="AO56" s="57">
        <f>[10]January_2019!Y6</f>
        <v>0</v>
      </c>
      <c r="AP56" s="57">
        <f>[10]January_2019!Z6</f>
        <v>0</v>
      </c>
      <c r="AQ56" s="57">
        <f>[10]January_2019!AA6</f>
        <v>0</v>
      </c>
      <c r="AR56" s="57">
        <f>[10]January_2019!AB6</f>
        <v>0</v>
      </c>
      <c r="AS56" s="57">
        <f>[10]January_2019!AC6</f>
        <v>0</v>
      </c>
      <c r="AT56" s="57">
        <f>[10]January_2019!AD6</f>
        <v>0</v>
      </c>
      <c r="AU56" s="57">
        <f>[10]January_2019!AE6</f>
        <v>0</v>
      </c>
      <c r="AV56" s="57">
        <f>[10]January_2019!AF6</f>
        <v>0</v>
      </c>
      <c r="AW56" s="57">
        <f>[10]January_2019!AG6</f>
        <v>0</v>
      </c>
      <c r="AX56" s="277">
        <f>[10]January_2019!AH6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37.15" hidden="1" customHeight="1" thickBot="1">
      <c r="A57" s="54" t="s">
        <v>170</v>
      </c>
      <c r="B57" s="480"/>
      <c r="C57" s="479"/>
      <c r="D57" s="442"/>
      <c r="E57" s="443"/>
      <c r="F57" s="444"/>
      <c r="G57" s="445"/>
      <c r="H57" s="458"/>
      <c r="I57" s="458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[10]January_2019!L7</f>
        <v>285.8</v>
      </c>
      <c r="AC57" s="57">
        <f>[10]January_2019!M7</f>
        <v>508.1</v>
      </c>
      <c r="AD57" s="57">
        <f>[10]January_2019!N7</f>
        <v>0</v>
      </c>
      <c r="AE57" s="57">
        <f>[10]January_2019!O7</f>
        <v>0</v>
      </c>
      <c r="AF57" s="57">
        <f>[10]January_2019!P7</f>
        <v>109.56666666666666</v>
      </c>
      <c r="AG57" s="57">
        <f>[10]January_2019!Q7</f>
        <v>297.64999999999998</v>
      </c>
      <c r="AH57" s="57">
        <f>[10]January_2019!R7</f>
        <v>122.3</v>
      </c>
      <c r="AI57" s="57">
        <f>[10]January_2019!S7</f>
        <v>0</v>
      </c>
      <c r="AJ57" s="57">
        <f>[10]January_2019!T7</f>
        <v>294.7</v>
      </c>
      <c r="AK57" s="57">
        <f>[10]January_2019!U7</f>
        <v>280.5</v>
      </c>
      <c r="AL57" s="57">
        <f>[10]January_2019!V7</f>
        <v>0</v>
      </c>
      <c r="AM57" s="57">
        <f>[10]January_2019!W7</f>
        <v>0</v>
      </c>
      <c r="AN57" s="57">
        <f>[10]January_2019!X7</f>
        <v>188.25</v>
      </c>
      <c r="AO57" s="57">
        <f>[10]January_2019!Y7</f>
        <v>295.7</v>
      </c>
      <c r="AP57" s="57">
        <f>[10]January_2019!Z7</f>
        <v>257.8</v>
      </c>
      <c r="AQ57" s="57">
        <f>[10]January_2019!AA7</f>
        <v>291.2</v>
      </c>
      <c r="AR57" s="57">
        <f>[10]January_2019!AB7</f>
        <v>187</v>
      </c>
      <c r="AS57" s="57">
        <f>[10]January_2019!AC7</f>
        <v>0</v>
      </c>
      <c r="AT57" s="57">
        <f>[10]January_2019!AD7</f>
        <v>0</v>
      </c>
      <c r="AU57" s="57">
        <f>[10]January_2019!AE7</f>
        <v>485.1</v>
      </c>
      <c r="AV57" s="57">
        <f>[10]January_2019!AF7</f>
        <v>171.55</v>
      </c>
      <c r="AW57" s="57">
        <f>[10]January_2019!AG7</f>
        <v>423.8</v>
      </c>
      <c r="AX57" s="277">
        <f>[10]January_2019!AH7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19.5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8.450000000000003" hidden="1" customHeight="1" thickBot="1">
      <c r="B59" s="480"/>
      <c r="C59" s="479"/>
      <c r="D59" s="442"/>
      <c r="E59" s="443"/>
      <c r="F59" s="444"/>
      <c r="G59" s="445"/>
      <c r="H59" s="458"/>
      <c r="I59" s="458"/>
      <c r="J59" s="448" t="s">
        <v>182</v>
      </c>
      <c r="K59" s="459"/>
      <c r="L59" s="457" t="e">
        <f>(((D59+E59)-G59)/(D59+E59))*100</f>
        <v>#DIV/0!</v>
      </c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7.15" hidden="1" customHeight="1" thickBot="1">
      <c r="B61" s="480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1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7.15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42" t="s">
        <v>55</v>
      </c>
      <c r="C66" s="543"/>
      <c r="D66" s="543"/>
      <c r="E66" s="543"/>
      <c r="F66" s="544"/>
      <c r="G66" s="542" t="s">
        <v>56</v>
      </c>
      <c r="H66" s="543"/>
      <c r="I66" s="543"/>
      <c r="J66" s="544"/>
      <c r="K66" s="542" t="s">
        <v>51</v>
      </c>
      <c r="L66" s="543"/>
      <c r="M66" s="543"/>
      <c r="N66" s="545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282">
        <f>AVERAGE(L55,L57)</f>
        <v>4.3740573152337809</v>
      </c>
      <c r="D68" s="76">
        <v>6.1026860389565494</v>
      </c>
      <c r="E68" s="76">
        <v>7.4359503827490192</v>
      </c>
      <c r="F68" s="66">
        <v>4.8</v>
      </c>
      <c r="G68" s="65">
        <f>[29]February_2026!$T$11</f>
        <v>6.4395776772247295</v>
      </c>
      <c r="H68" s="477">
        <v>6.1137448079520587</v>
      </c>
      <c r="I68" s="477">
        <v>7.4095980964369117</v>
      </c>
      <c r="J68" s="66">
        <v>4.8</v>
      </c>
      <c r="K68" s="67">
        <f>[30]February_2026!$T$18</f>
        <v>0.33368421052631575</v>
      </c>
      <c r="L68" s="194">
        <v>0.40387182580186198</v>
      </c>
      <c r="M68" s="194">
        <v>0.40703400584978955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6.9992441421012783</v>
      </c>
      <c r="E69" s="76">
        <v>6.3996679964257304</v>
      </c>
      <c r="F69" s="66">
        <v>4.8</v>
      </c>
      <c r="G69" s="65"/>
      <c r="H69" s="76">
        <v>6.2959705050792918</v>
      </c>
      <c r="I69" s="76">
        <v>6.5255270100945157</v>
      </c>
      <c r="J69" s="66">
        <v>4.8</v>
      </c>
      <c r="K69" s="67"/>
      <c r="L69" s="194">
        <v>0.38257297756677955</v>
      </c>
      <c r="M69" s="194">
        <v>0.51523049011373423</v>
      </c>
      <c r="N69" s="68">
        <v>1</v>
      </c>
      <c r="P69" s="69"/>
    </row>
    <row r="70" spans="2:16" ht="15">
      <c r="B70" s="34" t="s">
        <v>40</v>
      </c>
      <c r="C70" s="65"/>
      <c r="D70" s="76">
        <v>11.722828666350269</v>
      </c>
      <c r="E70" s="76">
        <v>11.155100139729852</v>
      </c>
      <c r="F70" s="66">
        <v>5.5</v>
      </c>
      <c r="G70" s="65"/>
      <c r="H70" s="76">
        <v>12.537121640099599</v>
      </c>
      <c r="I70" s="76">
        <v>11.952951274961968</v>
      </c>
      <c r="J70" s="66">
        <v>5.5</v>
      </c>
      <c r="K70" s="67"/>
      <c r="L70" s="194">
        <v>0.16315789473684211</v>
      </c>
      <c r="M70" s="194">
        <v>0.42456140350877192</v>
      </c>
      <c r="N70" s="68">
        <v>1</v>
      </c>
      <c r="P70" s="69"/>
    </row>
    <row r="71" spans="2:16" ht="15">
      <c r="B71" s="22" t="s">
        <v>33</v>
      </c>
      <c r="C71" s="65"/>
      <c r="D71" s="76"/>
      <c r="E71" s="76">
        <v>5.0755456997699637</v>
      </c>
      <c r="F71" s="66">
        <v>3.3</v>
      </c>
      <c r="G71" s="65"/>
      <c r="H71" s="76"/>
      <c r="I71" s="76">
        <v>4.6359882890480018</v>
      </c>
      <c r="J71" s="66">
        <v>3.3</v>
      </c>
      <c r="K71" s="67"/>
      <c r="L71" s="194"/>
      <c r="M71" s="194">
        <v>0.66833333333333345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65"/>
      <c r="D73" s="76"/>
      <c r="E73" s="76">
        <v>5.1105651105651271</v>
      </c>
      <c r="F73" s="70">
        <f>[11]May_2022!$M$43</f>
        <v>3.4878406700073312</v>
      </c>
      <c r="G73" s="282"/>
      <c r="H73" s="76"/>
      <c r="I73" s="76">
        <v>7.9131369535794072</v>
      </c>
      <c r="J73" s="66">
        <v>5.5</v>
      </c>
      <c r="K73" s="67"/>
      <c r="L73" s="194"/>
      <c r="M73" s="194">
        <v>1.3550877192982456</v>
      </c>
      <c r="N73" s="68">
        <v>1</v>
      </c>
      <c r="P73" s="69"/>
    </row>
    <row r="74" spans="2:16" ht="15">
      <c r="B74" s="37" t="s">
        <v>16</v>
      </c>
      <c r="C74" s="65"/>
      <c r="D74" s="76"/>
      <c r="E74" s="76">
        <v>2.0590520590520631</v>
      </c>
      <c r="F74" s="66">
        <v>3.3</v>
      </c>
      <c r="G74" s="282"/>
      <c r="H74" s="76"/>
      <c r="I74" s="76">
        <v>2.1755040108015784</v>
      </c>
      <c r="J74" s="66">
        <v>3.3</v>
      </c>
      <c r="K74" s="67"/>
      <c r="L74" s="194"/>
      <c r="M74" s="194">
        <v>0.88456140350877199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6.6089253325456454</v>
      </c>
      <c r="E77" s="76">
        <v>6.8077970491522919</v>
      </c>
      <c r="F77" s="341">
        <v>5.5</v>
      </c>
      <c r="H77" s="76">
        <v>6.6456436579275913</v>
      </c>
      <c r="I77" s="76">
        <v>6.901587557848214</v>
      </c>
      <c r="J77" s="341">
        <v>5.5</v>
      </c>
      <c r="L77" s="194">
        <v>0.38404756335282653</v>
      </c>
      <c r="M77" s="194">
        <v>0.49540415854450937</v>
      </c>
      <c r="N77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1429" priority="37" operator="notBetween">
      <formula>#REF!</formula>
      <formula>#REF!</formula>
    </cfRule>
  </conditionalFormatting>
  <conditionalFormatting sqref="C52">
    <cfRule type="cellIs" dxfId="1428" priority="151" stopIfTrue="1" operator="greaterThan">
      <formula>100</formula>
    </cfRule>
    <cfRule type="cellIs" dxfId="1427" priority="150" stopIfTrue="1" operator="lessThan">
      <formula>96</formula>
    </cfRule>
  </conditionalFormatting>
  <conditionalFormatting sqref="C68:C72">
    <cfRule type="cellIs" dxfId="1426" priority="108" stopIfTrue="1" operator="lessThanOrEqual">
      <formula>0</formula>
    </cfRule>
  </conditionalFormatting>
  <conditionalFormatting sqref="C68:C76">
    <cfRule type="cellIs" dxfId="1425" priority="107" stopIfTrue="1" operator="greaterThan">
      <formula>$F68</formula>
    </cfRule>
  </conditionalFormatting>
  <conditionalFormatting sqref="C69">
    <cfRule type="cellIs" dxfId="1424" priority="154" stopIfTrue="1" operator="greaterThan">
      <formula>$F68</formula>
    </cfRule>
  </conditionalFormatting>
  <conditionalFormatting sqref="C73">
    <cfRule type="cellIs" dxfId="1423" priority="62" stopIfTrue="1" operator="greaterThan">
      <formula>$F72</formula>
    </cfRule>
    <cfRule type="cellIs" dxfId="1422" priority="61" stopIfTrue="1" operator="lessThanOrEqual">
      <formula>0</formula>
    </cfRule>
  </conditionalFormatting>
  <conditionalFormatting sqref="C79:C83">
    <cfRule type="cellIs" dxfId="1421" priority="142" stopIfTrue="1" operator="lessThanOrEqual">
      <formula>0</formula>
    </cfRule>
  </conditionalFormatting>
  <conditionalFormatting sqref="C80:C83">
    <cfRule type="cellIs" dxfId="1420" priority="141" stopIfTrue="1" operator="greaterThan">
      <formula>$F$79</formula>
    </cfRule>
  </conditionalFormatting>
  <conditionalFormatting sqref="C85">
    <cfRule type="cellIs" dxfId="1419" priority="144" stopIfTrue="1" operator="lessThanOrEqual">
      <formula>0</formula>
    </cfRule>
    <cfRule type="cellIs" dxfId="1418" priority="143" stopIfTrue="1" operator="greaterThan">
      <formula>$F$79</formula>
    </cfRule>
  </conditionalFormatting>
  <conditionalFormatting sqref="C79:D79 D81:D87">
    <cfRule type="cellIs" dxfId="1417" priority="136" stopIfTrue="1" operator="greaterThan">
      <formula>4.5</formula>
    </cfRule>
  </conditionalFormatting>
  <conditionalFormatting sqref="D48:D49">
    <cfRule type="cellIs" dxfId="1416" priority="38" operator="notBetween">
      <formula>#REF!</formula>
      <formula>#REF!</formula>
    </cfRule>
  </conditionalFormatting>
  <conditionalFormatting sqref="D68:D75">
    <cfRule type="cellIs" dxfId="1415" priority="116" stopIfTrue="1" operator="lessThanOrEqual">
      <formula>0</formula>
    </cfRule>
  </conditionalFormatting>
  <conditionalFormatting sqref="D79 D81:D87">
    <cfRule type="cellIs" dxfId="1414" priority="137" stopIfTrue="1" operator="lessThanOrEqual">
      <formula>0</formula>
    </cfRule>
  </conditionalFormatting>
  <conditionalFormatting sqref="D80">
    <cfRule type="cellIs" dxfId="1413" priority="128" stopIfTrue="1" operator="greaterThan">
      <formula>$F$79</formula>
    </cfRule>
    <cfRule type="cellIs" dxfId="1412" priority="129" stopIfTrue="1" operator="lessThanOrEqual">
      <formula>0</formula>
    </cfRule>
  </conditionalFormatting>
  <conditionalFormatting sqref="D68:E77">
    <cfRule type="cellIs" dxfId="1411" priority="105" stopIfTrue="1" operator="greaterThan">
      <formula>$F68</formula>
    </cfRule>
  </conditionalFormatting>
  <conditionalFormatting sqref="D76:E76">
    <cfRule type="cellIs" dxfId="1410" priority="115" stopIfTrue="1" operator="lessThanOrEqual">
      <formula>0</formula>
    </cfRule>
  </conditionalFormatting>
  <conditionalFormatting sqref="D77:E77">
    <cfRule type="cellIs" dxfId="1409" priority="106" stopIfTrue="1" operator="lessThanOrEqual">
      <formula>0</formula>
    </cfRule>
  </conditionalFormatting>
  <conditionalFormatting sqref="E10:E23">
    <cfRule type="cellIs" dxfId="1408" priority="6" operator="lessThan">
      <formula>48</formula>
    </cfRule>
  </conditionalFormatting>
  <conditionalFormatting sqref="E51 E52:F52">
    <cfRule type="cellIs" dxfId="1407" priority="133" stopIfTrue="1" operator="greaterThan">
      <formula>100</formula>
    </cfRule>
  </conditionalFormatting>
  <conditionalFormatting sqref="E52">
    <cfRule type="cellIs" dxfId="1406" priority="131" stopIfTrue="1" operator="greaterThan">
      <formula>100</formula>
    </cfRule>
    <cfRule type="cellIs" dxfId="1405" priority="130" stopIfTrue="1" operator="lessThan">
      <formula>96.8</formula>
    </cfRule>
  </conditionalFormatting>
  <conditionalFormatting sqref="E68:E75">
    <cfRule type="cellIs" dxfId="1404" priority="25" stopIfTrue="1" operator="lessThanOrEqual">
      <formula>0</formula>
    </cfRule>
  </conditionalFormatting>
  <conditionalFormatting sqref="E68:E76">
    <cfRule type="cellIs" dxfId="1403" priority="112" stopIfTrue="1" operator="lessThanOrEqual">
      <formula>0</formula>
    </cfRule>
  </conditionalFormatting>
  <conditionalFormatting sqref="E79:E87">
    <cfRule type="cellIs" dxfId="1402" priority="123" stopIfTrue="1" operator="lessThanOrEqual">
      <formula>0</formula>
    </cfRule>
    <cfRule type="cellIs" dxfId="1401" priority="122" stopIfTrue="1" operator="greaterThan">
      <formula>4.5</formula>
    </cfRule>
  </conditionalFormatting>
  <conditionalFormatting sqref="E52:F52 E51">
    <cfRule type="cellIs" dxfId="1400" priority="132" stopIfTrue="1" operator="lessThan">
      <formula>96.5</formula>
    </cfRule>
  </conditionalFormatting>
  <conditionalFormatting sqref="F10:F20 F22:F23">
    <cfRule type="cellIs" dxfId="1399" priority="27" operator="greaterThan">
      <formula>60</formula>
    </cfRule>
  </conditionalFormatting>
  <conditionalFormatting sqref="F52">
    <cfRule type="cellIs" dxfId="1398" priority="148" stopIfTrue="1" operator="lessThan">
      <formula>96.8</formula>
    </cfRule>
    <cfRule type="cellIs" dxfId="1397" priority="149" stopIfTrue="1" operator="greaterThan">
      <formula>100</formula>
    </cfRule>
  </conditionalFormatting>
  <conditionalFormatting sqref="F77">
    <cfRule type="cellIs" dxfId="1396" priority="113" stopIfTrue="1" operator="greaterThan">
      <formula>$F77</formula>
    </cfRule>
    <cfRule type="cellIs" dxfId="1395" priority="114" stopIfTrue="1" operator="lessThanOrEqual">
      <formula>0</formula>
    </cfRule>
  </conditionalFormatting>
  <conditionalFormatting sqref="G10:G22">
    <cfRule type="expression" dxfId="1394" priority="8">
      <formula>IF(+(IF(G10&lt;S10,0,IF(G10&gt;T10,0,1)))=0,1)</formula>
    </cfRule>
  </conditionalFormatting>
  <conditionalFormatting sqref="G68:G69 C74:C76">
    <cfRule type="cellIs" dxfId="1393" priority="118" stopIfTrue="1" operator="lessThanOrEqual">
      <formula>0</formula>
    </cfRule>
  </conditionalFormatting>
  <conditionalFormatting sqref="G68:G69">
    <cfRule type="cellIs" dxfId="1392" priority="110" stopIfTrue="1" operator="lessThanOrEqual">
      <formula>0</formula>
    </cfRule>
    <cfRule type="cellIs" dxfId="1391" priority="117" stopIfTrue="1" operator="greaterThan">
      <formula>$F68</formula>
    </cfRule>
    <cfRule type="cellIs" dxfId="1390" priority="109" stopIfTrue="1" operator="greaterThan">
      <formula>$F68</formula>
    </cfRule>
  </conditionalFormatting>
  <conditionalFormatting sqref="G70">
    <cfRule type="cellIs" dxfId="1389" priority="152" stopIfTrue="1" operator="greaterThan">
      <formula>$F69</formula>
    </cfRule>
    <cfRule type="cellIs" dxfId="1388" priority="153" stopIfTrue="1" operator="lessThanOrEqual">
      <formula>0</formula>
    </cfRule>
  </conditionalFormatting>
  <conditionalFormatting sqref="G71">
    <cfRule type="cellIs" dxfId="1387" priority="34" stopIfTrue="1" operator="lessThanOrEqual">
      <formula>0</formula>
    </cfRule>
    <cfRule type="cellIs" dxfId="1386" priority="35" stopIfTrue="1" operator="greaterThan">
      <formula>$F71</formula>
    </cfRule>
    <cfRule type="cellIs" dxfId="1385" priority="36" stopIfTrue="1" operator="lessThanOrEqual">
      <formula>0</formula>
    </cfRule>
    <cfRule type="cellIs" dxfId="1384" priority="33" stopIfTrue="1" operator="greaterThan">
      <formula>$F71</formula>
    </cfRule>
  </conditionalFormatting>
  <conditionalFormatting sqref="G72:G76">
    <cfRule type="cellIs" dxfId="1383" priority="119" stopIfTrue="1" operator="greaterThan">
      <formula>$J72</formula>
    </cfRule>
    <cfRule type="cellIs" dxfId="1382" priority="120" stopIfTrue="1" operator="lessThanOrEqual">
      <formula>0</formula>
    </cfRule>
  </conditionalFormatting>
  <conditionalFormatting sqref="G81:G86 C84 C86">
    <cfRule type="cellIs" dxfId="1381" priority="146" stopIfTrue="1" operator="lessThanOrEqual">
      <formula>0</formula>
    </cfRule>
    <cfRule type="cellIs" dxfId="1380" priority="145" stopIfTrue="1" operator="greaterThan">
      <formula>4.5</formula>
    </cfRule>
  </conditionalFormatting>
  <conditionalFormatting sqref="G80:H80">
    <cfRule type="cellIs" dxfId="1379" priority="126" stopIfTrue="1" operator="greaterThan">
      <formula>$F$79</formula>
    </cfRule>
    <cfRule type="cellIs" dxfId="1378" priority="127" stopIfTrue="1" operator="lessThanOrEqual">
      <formula>0</formula>
    </cfRule>
  </conditionalFormatting>
  <conditionalFormatting sqref="H10:H22 G23:H23">
    <cfRule type="expression" dxfId="1377" priority="30">
      <formula>IF(+(IF(G10&lt;#REF!,0,IF(G10&gt;#REF!,0,1)))=0,1)</formula>
    </cfRule>
  </conditionalFormatting>
  <conditionalFormatting sqref="H37:H51">
    <cfRule type="cellIs" dxfId="1376" priority="124" stopIfTrue="1" operator="greaterThan">
      <formula>0</formula>
    </cfRule>
  </conditionalFormatting>
  <conditionalFormatting sqref="H55:H59">
    <cfRule type="cellIs" dxfId="1375" priority="21" stopIfTrue="1" operator="greaterThan">
      <formula>$F$71</formula>
    </cfRule>
    <cfRule type="cellIs" dxfId="1374" priority="12" stopIfTrue="1" operator="lessThanOrEqual">
      <formula>0</formula>
    </cfRule>
    <cfRule type="cellIs" dxfId="1373" priority="13" stopIfTrue="1" operator="greaterThan">
      <formula>$F$68</formula>
    </cfRule>
    <cfRule type="cellIs" dxfId="1372" priority="22" stopIfTrue="1" operator="lessThanOrEqual">
      <formula>0</formula>
    </cfRule>
    <cfRule type="cellIs" dxfId="1371" priority="23" stopIfTrue="1" operator="greaterThan">
      <formula>$F$69</formula>
    </cfRule>
    <cfRule type="cellIs" dxfId="1370" priority="24" stopIfTrue="1" operator="lessThanOrEqual">
      <formula>0</formula>
    </cfRule>
  </conditionalFormatting>
  <conditionalFormatting sqref="H60:H61">
    <cfRule type="cellIs" dxfId="1369" priority="65" stopIfTrue="1" operator="greaterThan">
      <formula>#REF!</formula>
    </cfRule>
    <cfRule type="cellIs" dxfId="1368" priority="73" stopIfTrue="1" operator="greaterThan">
      <formula>$F$23</formula>
    </cfRule>
    <cfRule type="cellIs" dxfId="1367" priority="64" stopIfTrue="1" operator="lessThanOrEqual">
      <formula>0</formula>
    </cfRule>
    <cfRule type="cellIs" dxfId="1366" priority="75" stopIfTrue="1" operator="greaterThan">
      <formula>#REF!</formula>
    </cfRule>
    <cfRule type="cellIs" dxfId="1365" priority="76" stopIfTrue="1" operator="lessThanOrEqual">
      <formula>0</formula>
    </cfRule>
    <cfRule type="cellIs" dxfId="1364" priority="74" stopIfTrue="1" operator="lessThanOrEqual">
      <formula>0</formula>
    </cfRule>
  </conditionalFormatting>
  <conditionalFormatting sqref="H62">
    <cfRule type="cellIs" dxfId="1363" priority="91" stopIfTrue="1" operator="lessThanOrEqual">
      <formula>0</formula>
    </cfRule>
    <cfRule type="cellIs" dxfId="1362" priority="90" stopIfTrue="1" operator="greaterThan">
      <formula>$F$37</formula>
    </cfRule>
    <cfRule type="cellIs" dxfId="1361" priority="89" stopIfTrue="1" operator="lessThanOrEqual">
      <formula>0</formula>
    </cfRule>
    <cfRule type="cellIs" dxfId="1360" priority="88" stopIfTrue="1" operator="greaterThan">
      <formula>$F$39</formula>
    </cfRule>
    <cfRule type="cellIs" dxfId="1359" priority="80" stopIfTrue="1" operator="greaterThan">
      <formula>$F$36</formula>
    </cfRule>
    <cfRule type="cellIs" dxfId="1358" priority="79" stopIfTrue="1" operator="lessThanOrEqual">
      <formula>0</formula>
    </cfRule>
  </conditionalFormatting>
  <conditionalFormatting sqref="H63:H64">
    <cfRule type="cellIs" dxfId="1357" priority="48" stopIfTrue="1" operator="lessThanOrEqual">
      <formula>0</formula>
    </cfRule>
    <cfRule type="cellIs" dxfId="1356" priority="49" stopIfTrue="1" operator="greaterThan">
      <formula>#REF!</formula>
    </cfRule>
    <cfRule type="cellIs" dxfId="1355" priority="57" stopIfTrue="1" operator="greaterThan">
      <formula>$F$23</formula>
    </cfRule>
    <cfRule type="cellIs" dxfId="1354" priority="58" stopIfTrue="1" operator="lessThanOrEqual">
      <formula>0</formula>
    </cfRule>
    <cfRule type="cellIs" dxfId="1353" priority="59" stopIfTrue="1" operator="greaterThan">
      <formula>#REF!</formula>
    </cfRule>
    <cfRule type="cellIs" dxfId="1352" priority="60" stopIfTrue="1" operator="lessThanOrEqual">
      <formula>0</formula>
    </cfRule>
  </conditionalFormatting>
  <conditionalFormatting sqref="H79 H81:H87">
    <cfRule type="cellIs" dxfId="1351" priority="138" stopIfTrue="1" operator="greaterThan">
      <formula>4.5</formula>
    </cfRule>
    <cfRule type="cellIs" dxfId="1350" priority="139" stopIfTrue="1" operator="lessThanOrEqual">
      <formula>0</formula>
    </cfRule>
  </conditionalFormatting>
  <conditionalFormatting sqref="H55:I59">
    <cfRule type="cellIs" dxfId="1349" priority="14" stopIfTrue="1" operator="lessThanOrEqual">
      <formula>0</formula>
    </cfRule>
    <cfRule type="cellIs" dxfId="1348" priority="11" stopIfTrue="1" operator="greaterThan">
      <formula>$F$70</formula>
    </cfRule>
  </conditionalFormatting>
  <conditionalFormatting sqref="H60:I61">
    <cfRule type="cellIs" dxfId="1347" priority="63" stopIfTrue="1" operator="greaterThan">
      <formula>#REF!</formula>
    </cfRule>
    <cfRule type="cellIs" dxfId="1346" priority="66" stopIfTrue="1" operator="lessThanOrEqual">
      <formula>0</formula>
    </cfRule>
  </conditionalFormatting>
  <conditionalFormatting sqref="H62:I62">
    <cfRule type="cellIs" dxfId="1345" priority="81" stopIfTrue="1" operator="lessThanOrEqual">
      <formula>0</formula>
    </cfRule>
    <cfRule type="cellIs" dxfId="1344" priority="78" stopIfTrue="1" operator="greaterThan">
      <formula>$F$38</formula>
    </cfRule>
  </conditionalFormatting>
  <conditionalFormatting sqref="H63:I64">
    <cfRule type="cellIs" dxfId="1343" priority="50" stopIfTrue="1" operator="lessThanOrEqual">
      <formula>0</formula>
    </cfRule>
    <cfRule type="cellIs" dxfId="1342" priority="47" stopIfTrue="1" operator="greaterThan">
      <formula>#REF!</formula>
    </cfRule>
  </conditionalFormatting>
  <conditionalFormatting sqref="H68:I75">
    <cfRule type="cellIs" dxfId="1341" priority="28" stopIfTrue="1" operator="greaterThan">
      <formula>$J68</formula>
    </cfRule>
    <cfRule type="cellIs" dxfId="1340" priority="29" stopIfTrue="1" operator="lessThanOrEqual">
      <formula>0</formula>
    </cfRule>
  </conditionalFormatting>
  <conditionalFormatting sqref="H76:I76">
    <cfRule type="cellIs" dxfId="1339" priority="111" operator="greaterThan">
      <formula>5.3</formula>
    </cfRule>
  </conditionalFormatting>
  <conditionalFormatting sqref="H77:I77">
    <cfRule type="cellIs" dxfId="1338" priority="103" stopIfTrue="1" operator="greaterThan">
      <formula>$J77</formula>
    </cfRule>
    <cfRule type="cellIs" dxfId="1337" priority="104" stopIfTrue="1" operator="lessThanOrEqual">
      <formula>0</formula>
    </cfRule>
  </conditionalFormatting>
  <conditionalFormatting sqref="I55:I59">
    <cfRule type="cellIs" dxfId="1336" priority="15" stopIfTrue="1" operator="greaterThan">
      <formula>$F$68</formula>
    </cfRule>
    <cfRule type="cellIs" dxfId="1335" priority="20" stopIfTrue="1" operator="lessThanOrEqual">
      <formula>0</formula>
    </cfRule>
    <cfRule type="cellIs" dxfId="1334" priority="16" stopIfTrue="1" operator="lessThanOrEqual">
      <formula>0</formula>
    </cfRule>
    <cfRule type="cellIs" dxfId="1333" priority="17" stopIfTrue="1" operator="greaterThan">
      <formula>$F$70</formula>
    </cfRule>
    <cfRule type="cellIs" dxfId="1332" priority="18" stopIfTrue="1" operator="lessThanOrEqual">
      <formula>0</formula>
    </cfRule>
    <cfRule type="cellIs" dxfId="1331" priority="19" stopIfTrue="1" operator="greaterThan">
      <formula>$F$68</formula>
    </cfRule>
  </conditionalFormatting>
  <conditionalFormatting sqref="I60:I61">
    <cfRule type="cellIs" dxfId="1330" priority="71" stopIfTrue="1" operator="greaterThan">
      <formula>#REF!</formula>
    </cfRule>
    <cfRule type="cellIs" dxfId="1329" priority="70" stopIfTrue="1" operator="lessThanOrEqual">
      <formula>0</formula>
    </cfRule>
    <cfRule type="cellIs" dxfId="1328" priority="69" stopIfTrue="1" operator="greaterThan">
      <formula>#REF!</formula>
    </cfRule>
    <cfRule type="cellIs" dxfId="1327" priority="68" stopIfTrue="1" operator="lessThanOrEqual">
      <formula>0</formula>
    </cfRule>
    <cfRule type="cellIs" dxfId="1326" priority="72" stopIfTrue="1" operator="lessThanOrEqual">
      <formula>0</formula>
    </cfRule>
    <cfRule type="cellIs" dxfId="1325" priority="67" stopIfTrue="1" operator="greaterThan">
      <formula>#REF!</formula>
    </cfRule>
  </conditionalFormatting>
  <conditionalFormatting sqref="I62">
    <cfRule type="cellIs" dxfId="1324" priority="82" stopIfTrue="1" operator="greaterThan">
      <formula>$F$36</formula>
    </cfRule>
    <cfRule type="cellIs" dxfId="1323" priority="86" stopIfTrue="1" operator="greaterThan">
      <formula>$F$36</formula>
    </cfRule>
    <cfRule type="cellIs" dxfId="1322" priority="87" stopIfTrue="1" operator="lessThanOrEqual">
      <formula>0</formula>
    </cfRule>
    <cfRule type="cellIs" dxfId="1321" priority="83" stopIfTrue="1" operator="lessThanOrEqual">
      <formula>0</formula>
    </cfRule>
    <cfRule type="cellIs" dxfId="1320" priority="84" stopIfTrue="1" operator="greaterThan">
      <formula>$F$38</formula>
    </cfRule>
    <cfRule type="cellIs" dxfId="1319" priority="85" stopIfTrue="1" operator="lessThanOrEqual">
      <formula>0</formula>
    </cfRule>
  </conditionalFormatting>
  <conditionalFormatting sqref="I63:I64">
    <cfRule type="cellIs" dxfId="1318" priority="52" stopIfTrue="1" operator="lessThanOrEqual">
      <formula>0</formula>
    </cfRule>
    <cfRule type="cellIs" dxfId="1317" priority="51" stopIfTrue="1" operator="greaterThan">
      <formula>#REF!</formula>
    </cfRule>
    <cfRule type="cellIs" dxfId="1316" priority="54" stopIfTrue="1" operator="lessThanOrEqual">
      <formula>0</formula>
    </cfRule>
    <cfRule type="cellIs" dxfId="1315" priority="56" stopIfTrue="1" operator="lessThanOrEqual">
      <formula>0</formula>
    </cfRule>
    <cfRule type="cellIs" dxfId="1314" priority="55" stopIfTrue="1" operator="greaterThan">
      <formula>#REF!</formula>
    </cfRule>
    <cfRule type="cellIs" dxfId="1313" priority="53" stopIfTrue="1" operator="greaterThan">
      <formula>#REF!</formula>
    </cfRule>
  </conditionalFormatting>
  <conditionalFormatting sqref="I79:I87">
    <cfRule type="cellIs" dxfId="1312" priority="134" stopIfTrue="1" operator="greaterThan">
      <formula>4.5</formula>
    </cfRule>
    <cfRule type="cellIs" dxfId="1311" priority="135" stopIfTrue="1" operator="lessThanOrEqual">
      <formula>0</formula>
    </cfRule>
  </conditionalFormatting>
  <conditionalFormatting sqref="I10:J23">
    <cfRule type="cellIs" dxfId="1310" priority="2" operator="lessThan">
      <formula>97.9</formula>
    </cfRule>
  </conditionalFormatting>
  <conditionalFormatting sqref="J28">
    <cfRule type="cellIs" dxfId="1309" priority="95" operator="lessThan">
      <formula>98</formula>
    </cfRule>
    <cfRule type="cellIs" dxfId="1308" priority="93" stopIfTrue="1" operator="lessThan">
      <formula>96.8</formula>
    </cfRule>
    <cfRule type="cellIs" dxfId="1307" priority="94" stopIfTrue="1" operator="greaterThan">
      <formula>100</formula>
    </cfRule>
  </conditionalFormatting>
  <conditionalFormatting sqref="J28:J30">
    <cfRule type="cellIs" dxfId="1306" priority="92" operator="lessThan">
      <formula>97.4</formula>
    </cfRule>
  </conditionalFormatting>
  <conditionalFormatting sqref="J31:J32">
    <cfRule type="cellIs" dxfId="1305" priority="96" operator="lessThan">
      <formula>98</formula>
    </cfRule>
  </conditionalFormatting>
  <conditionalFormatting sqref="J33:J34">
    <cfRule type="cellIs" dxfId="1304" priority="98" stopIfTrue="1" operator="greaterThan">
      <formula>100</formula>
    </cfRule>
    <cfRule type="cellIs" dxfId="1303" priority="97" stopIfTrue="1" operator="lessThan">
      <formula>96.8</formula>
    </cfRule>
  </conditionalFormatting>
  <conditionalFormatting sqref="J33:J35">
    <cfRule type="cellIs" dxfId="1302" priority="99" operator="lessThan">
      <formula>98</formula>
    </cfRule>
  </conditionalFormatting>
  <conditionalFormatting sqref="J64">
    <cfRule type="cellIs" dxfId="1301" priority="43" stopIfTrue="1" operator="greaterThan">
      <formula>#REF!</formula>
    </cfRule>
    <cfRule type="cellIs" dxfId="1300" priority="42" stopIfTrue="1" operator="lessThanOrEqual">
      <formula>0</formula>
    </cfRule>
    <cfRule type="cellIs" dxfId="1299" priority="41" stopIfTrue="1" operator="greaterThan">
      <formula>#REF!</formula>
    </cfRule>
    <cfRule type="cellIs" dxfId="1298" priority="40" stopIfTrue="1" operator="lessThanOrEqual">
      <formula>0</formula>
    </cfRule>
    <cfRule type="cellIs" dxfId="1297" priority="46" stopIfTrue="1" operator="lessThanOrEqual">
      <formula>0</formula>
    </cfRule>
    <cfRule type="cellIs" dxfId="1296" priority="45" stopIfTrue="1" operator="greaterThan">
      <formula>#REF!</formula>
    </cfRule>
    <cfRule type="cellIs" dxfId="1295" priority="44" stopIfTrue="1" operator="lessThanOrEqual">
      <formula>0</formula>
    </cfRule>
    <cfRule type="cellIs" dxfId="1294" priority="39" stopIfTrue="1" operator="greaterThan">
      <formula>#REF!</formula>
    </cfRule>
  </conditionalFormatting>
  <conditionalFormatting sqref="J77">
    <cfRule type="cellIs" dxfId="1293" priority="101" stopIfTrue="1" operator="lessThanOrEqual">
      <formula>0</formula>
    </cfRule>
    <cfRule type="cellIs" dxfId="1292" priority="100" stopIfTrue="1" operator="greaterThan">
      <formula>$F77</formula>
    </cfRule>
  </conditionalFormatting>
  <conditionalFormatting sqref="K10:K23">
    <cfRule type="cellIs" dxfId="1291" priority="5" operator="greaterThan">
      <formula>6.4</formula>
    </cfRule>
    <cfRule type="cellIs" dxfId="1290" priority="4" operator="lessThan">
      <formula>4</formula>
    </cfRule>
    <cfRule type="cellIs" dxfId="1289" priority="3" operator="greaterThan">
      <formula>6</formula>
    </cfRule>
  </conditionalFormatting>
  <conditionalFormatting sqref="K55:K64">
    <cfRule type="cellIs" dxfId="1288" priority="26" stopIfTrue="1" operator="lessThan">
      <formula>100%</formula>
    </cfRule>
  </conditionalFormatting>
  <conditionalFormatting sqref="K79:K84">
    <cfRule type="cellIs" dxfId="1287" priority="140" stopIfTrue="1" operator="lessThan">
      <formula>100%</formula>
    </cfRule>
  </conditionalFormatting>
  <conditionalFormatting sqref="K86:K87">
    <cfRule type="cellIs" dxfId="1286" priority="147" stopIfTrue="1" operator="lessThan">
      <formula>100%</formula>
    </cfRule>
  </conditionalFormatting>
  <conditionalFormatting sqref="K68:N76">
    <cfRule type="cellIs" dxfId="1285" priority="77" stopIfTrue="1" operator="lessThan">
      <formula>100%</formula>
    </cfRule>
  </conditionalFormatting>
  <conditionalFormatting sqref="L10:L23">
    <cfRule type="cellIs" dxfId="1284" priority="9" operator="between">
      <formula>61</formula>
      <formula>65</formula>
    </cfRule>
    <cfRule type="cellIs" dxfId="1283" priority="10" operator="greaterThan">
      <formula>65</formula>
    </cfRule>
  </conditionalFormatting>
  <conditionalFormatting sqref="L26:M37">
    <cfRule type="cellIs" dxfId="1282" priority="31" operator="lessThan">
      <formula>97.95</formula>
    </cfRule>
  </conditionalFormatting>
  <conditionalFormatting sqref="L41:N41">
    <cfRule type="cellIs" dxfId="1281" priority="32" operator="notEqual">
      <formula>#REF!</formula>
    </cfRule>
  </conditionalFormatting>
  <conditionalFormatting sqref="L77:N77">
    <cfRule type="cellIs" dxfId="1280" priority="102" stopIfTrue="1" operator="lessThan">
      <formula>100%</formula>
    </cfRule>
  </conditionalFormatting>
  <conditionalFormatting sqref="L79:N87">
    <cfRule type="cellIs" dxfId="1279" priority="125" stopIfTrue="1" operator="lessThan">
      <formula>100%</formula>
    </cfRule>
  </conditionalFormatting>
  <conditionalFormatting sqref="M10:M22">
    <cfRule type="expression" dxfId="1278" priority="7">
      <formula>IF(+(IF(M10&lt;U10,0,IF(M10&gt;V10,0,1)))=0,1)</formula>
    </cfRule>
  </conditionalFormatting>
  <conditionalFormatting sqref="M23:N23">
    <cfRule type="expression" dxfId="1277" priority="155">
      <formula>IF(+(IF(M23&lt;#REF!,0,IF(M23&gt;#REF!,0,1)))=0,1)</formula>
    </cfRule>
  </conditionalFormatting>
  <conditionalFormatting sqref="N10:N22">
    <cfRule type="expression" dxfId="1276" priority="1">
      <formula>IF(+(IF(N10&lt;W10,0,IF(N10&gt;X10,0,1)))=0,1)</formula>
    </cfRule>
  </conditionalFormatting>
  <conditionalFormatting sqref="P6">
    <cfRule type="cellIs" dxfId="1275" priority="121" operator="greaterThanOrEqual">
      <formula>19</formula>
    </cfRule>
  </conditionalFormatting>
  <dataValidations count="1">
    <dataValidation type="list" allowBlank="1" showInputMessage="1" showErrorMessage="1" sqref="R8" xr:uid="{8EA2CA0E-D401-49E5-AC11-E04D8BEE878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E70F-8367-401E-8E81-BD2D4EEE3616}">
  <sheetPr>
    <pageSetUpPr fitToPage="1"/>
  </sheetPr>
  <dimension ref="A1:BE75"/>
  <sheetViews>
    <sheetView topLeftCell="A35" zoomScale="80" zoomScaleNormal="80" workbookViewId="0">
      <selection activeCell="E66" sqref="E66:E75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46072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[3]Brewhouse!$A164</f>
        <v>CA122</v>
      </c>
      <c r="D10" s="279">
        <f>[3]Brewhouse!$AF164</f>
        <v>52</v>
      </c>
      <c r="E10" s="279">
        <f>[3]Brewhouse!$AI164</f>
        <v>50.1</v>
      </c>
      <c r="F10" s="278">
        <f>[3]Brewhouse!$V164</f>
        <v>56</v>
      </c>
      <c r="G10" s="279">
        <f>[3]Brewhouse!AG164</f>
        <v>12.1</v>
      </c>
      <c r="H10" s="396">
        <v>12</v>
      </c>
      <c r="I10" s="368">
        <f>[3]Brewhouse!$AU164</f>
        <v>100.85036161508521</v>
      </c>
      <c r="J10" s="368">
        <f>[3]Brewhouse!$AV164</f>
        <v>101.78720818617467</v>
      </c>
      <c r="K10" s="281">
        <f>[3]Brewhouse!$Q164</f>
        <v>5.6981132075471628</v>
      </c>
      <c r="L10" s="276">
        <f>[3]Brewhouse!$P164</f>
        <v>63</v>
      </c>
      <c r="M10" s="397">
        <f>[3]Brewhouse!$U164-[3]Brewhouse!$T164</f>
        <v>0.11736111111111125</v>
      </c>
      <c r="N10" s="370">
        <f>[3]Brewhouse!$Z164</f>
        <v>0.27916666666666679</v>
      </c>
      <c r="O10" s="420" t="str">
        <f>[3]Brewhouse!$AX164</f>
        <v>K. Benjamin</v>
      </c>
      <c r="P10" s="418"/>
      <c r="R10" s="277" t="str">
        <f t="shared" ref="R10:R35" si="0">B10</f>
        <v>CARIB</v>
      </c>
      <c r="S10" s="472">
        <f t="shared" ref="S10:S35" si="1">VLOOKUP($B10,$R$3:$X$9,2,FALSE)</f>
        <v>11.6</v>
      </c>
      <c r="T10" s="472">
        <f t="shared" ref="T10:T35" si="2">VLOOKUP($B10,$R$3:$X$9,3,FALSE)</f>
        <v>12</v>
      </c>
      <c r="U10" s="297">
        <f t="shared" ref="U10:U35" si="3">VLOOKUP($B10,$R$3:$X$9,4,FALSE)</f>
        <v>0</v>
      </c>
      <c r="V10" s="297">
        <f t="shared" ref="V10:V35" si="4">VLOOKUP($B10,$R$3:$X$9,5,FALSE)</f>
        <v>0.118055555555556</v>
      </c>
      <c r="W10" s="297">
        <f t="shared" ref="W10:W35" si="5">VLOOKUP($B10,$R$3:$X$9,6,FALSE)</f>
        <v>0.22569444444444445</v>
      </c>
      <c r="X10" s="297">
        <f t="shared" ref="X10:X35" si="6">VLOOKUP($B10,$R$3:$X$9,7,FALSE)</f>
        <v>0.2638888888888889</v>
      </c>
      <c r="Y10" s="297">
        <f t="shared" ref="Y10:Y35" si="7">VLOOKUP($B10,$R$3:$Z$9,8,FALSE)</f>
        <v>0</v>
      </c>
      <c r="Z10" s="472">
        <f t="shared" ref="Z10:Z35" si="8">VLOOKUP($B10,$R$3:$Z$9,9,FALSE)</f>
        <v>60</v>
      </c>
    </row>
    <row r="11" spans="2:29" ht="16.5" customHeight="1">
      <c r="B11" s="29" t="s">
        <v>6</v>
      </c>
      <c r="C11" s="366" t="str">
        <f>[3]Brewhouse!$A165</f>
        <v>CA123</v>
      </c>
      <c r="D11" s="279">
        <f>[3]Brewhouse!$AF165</f>
        <v>51.3</v>
      </c>
      <c r="E11" s="279">
        <f>[3]Brewhouse!$AI165</f>
        <v>49.7</v>
      </c>
      <c r="F11" s="278">
        <f>[3]Brewhouse!$V165</f>
        <v>49</v>
      </c>
      <c r="G11" s="279">
        <f>[3]Brewhouse!AG165</f>
        <v>11.7</v>
      </c>
      <c r="H11" s="396">
        <v>11.9</v>
      </c>
      <c r="I11" s="368">
        <f>[3]Brewhouse!$AU165</f>
        <v>95.502024957607773</v>
      </c>
      <c r="J11" s="368">
        <f>[3]Brewhouse!$AV165</f>
        <v>96.389833916385442</v>
      </c>
      <c r="K11" s="281">
        <f>[3]Brewhouse!$Q165</f>
        <v>7.9472693032015043</v>
      </c>
      <c r="L11" s="276">
        <f>[3]Brewhouse!$P165</f>
        <v>60</v>
      </c>
      <c r="M11" s="397">
        <f>[3]Brewhouse!$U165-[3]Brewhouse!$T165</f>
        <v>0.12430555555555556</v>
      </c>
      <c r="N11" s="370">
        <f>[3]Brewhouse!$Z165</f>
        <v>0.28888888888888886</v>
      </c>
      <c r="O11" s="420" t="str">
        <f>[3]Brewhouse!$AX165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[3]Brewhouse!$A166</f>
        <v>CA124</v>
      </c>
      <c r="D12" s="279">
        <f>[3]Brewhouse!$AF166</f>
        <v>50.8</v>
      </c>
      <c r="E12" s="279">
        <f>[3]Brewhouse!$AI166</f>
        <v>47.1</v>
      </c>
      <c r="F12" s="278">
        <f>[3]Brewhouse!$V166</f>
        <v>60</v>
      </c>
      <c r="G12" s="279">
        <f>[3]Brewhouse!AG166</f>
        <v>12.1</v>
      </c>
      <c r="H12" s="396">
        <v>12</v>
      </c>
      <c r="I12" s="368">
        <f>[3]Brewhouse!$AU166</f>
        <v>94.342162395109455</v>
      </c>
      <c r="J12" s="368">
        <f>[3]Brewhouse!$AV166</f>
        <v>95.218836439499427</v>
      </c>
      <c r="K12" s="281">
        <f>[3]Brewhouse!$Q166</f>
        <v>7.140115163147791</v>
      </c>
      <c r="L12" s="276">
        <f>[3]Brewhouse!$P166</f>
        <v>61</v>
      </c>
      <c r="M12" s="397">
        <f>[3]Brewhouse!$U166-[3]Brewhouse!$T166</f>
        <v>0.12013888888888891</v>
      </c>
      <c r="N12" s="370">
        <f>[3]Brewhouse!$Z166</f>
        <v>0.27986111111111106</v>
      </c>
      <c r="O12" s="420" t="str">
        <f>[3]Brewhouse!$AX166</f>
        <v>R. Regis</v>
      </c>
      <c r="P12" s="418"/>
      <c r="R12" s="277" t="str">
        <f t="shared" ref="R12:R23" si="9">B12</f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[3]Brewhouse!$A167</f>
        <v>CA125</v>
      </c>
      <c r="D13" s="279">
        <f>[3]Brewhouse!$AF167</f>
        <v>51.2</v>
      </c>
      <c r="E13" s="279">
        <f>[3]Brewhouse!$AI167</f>
        <v>49.4</v>
      </c>
      <c r="F13" s="278">
        <f>[3]Brewhouse!$V167</f>
        <v>61</v>
      </c>
      <c r="G13" s="279">
        <f>[3]Brewhouse!AG167</f>
        <v>12.1</v>
      </c>
      <c r="H13" s="396">
        <v>12</v>
      </c>
      <c r="I13" s="368">
        <f>[3]Brewhouse!$AU167</f>
        <v>99.071689760585087</v>
      </c>
      <c r="J13" s="368">
        <f>[3]Brewhouse!$AV167</f>
        <v>99.992238315338426</v>
      </c>
      <c r="K13" s="281">
        <f>[3]Brewhouse!$Q167</f>
        <v>11.713747645951035</v>
      </c>
      <c r="L13" s="276">
        <f>[3]Brewhouse!$P167</f>
        <v>58</v>
      </c>
      <c r="M13" s="397">
        <f>[3]Brewhouse!$U167-[3]Brewhouse!$T167</f>
        <v>0.12569444444444444</v>
      </c>
      <c r="N13" s="370">
        <f>[3]Brewhouse!$Z167</f>
        <v>0.28263888888888883</v>
      </c>
      <c r="O13" s="420" t="str">
        <f>[3]Brewhouse!$AX167</f>
        <v>R. Regis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 t="s">
        <v>6</v>
      </c>
      <c r="C14" s="366" t="str">
        <f>[3]Brewhouse!$A168</f>
        <v>CA126</v>
      </c>
      <c r="D14" s="279">
        <f>[3]Brewhouse!$AF168</f>
        <v>51.8</v>
      </c>
      <c r="E14" s="279">
        <f>[3]Brewhouse!$AI168</f>
        <v>50.3</v>
      </c>
      <c r="F14" s="278">
        <f>[3]Brewhouse!$V168</f>
        <v>69</v>
      </c>
      <c r="G14" s="279">
        <f>[3]Brewhouse!AG168</f>
        <v>11.9</v>
      </c>
      <c r="H14" s="396">
        <v>11.8</v>
      </c>
      <c r="I14" s="368">
        <f>[3]Brewhouse!$AU168</f>
        <v>98.514796568176052</v>
      </c>
      <c r="J14" s="368">
        <f>[3]Brewhouse!$AV168</f>
        <v>99.430539681218661</v>
      </c>
      <c r="K14" s="281">
        <f>[3]Brewhouse!$Q168</f>
        <v>12.090395480225991</v>
      </c>
      <c r="L14" s="276">
        <f>[3]Brewhouse!$P168</f>
        <v>60</v>
      </c>
      <c r="M14" s="397">
        <f>[3]Brewhouse!$U168-[3]Brewhouse!$T168</f>
        <v>0.13888888888888895</v>
      </c>
      <c r="N14" s="370">
        <f>[3]Brewhouse!$Z168</f>
        <v>0.29097222222222219</v>
      </c>
      <c r="O14" s="420" t="str">
        <f>[3]Brewhouse!$AX168</f>
        <v>R.Sookram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29" t="s">
        <v>6</v>
      </c>
      <c r="C15" s="366" t="str">
        <f>[3]Brewhouse!$A169</f>
        <v>CA127</v>
      </c>
      <c r="D15" s="279">
        <f>[3]Brewhouse!$AF169</f>
        <v>51.2</v>
      </c>
      <c r="E15" s="279">
        <f>[3]Brewhouse!$AI169</f>
        <v>49.1</v>
      </c>
      <c r="F15" s="278">
        <f>[3]Brewhouse!$V169</f>
        <v>57</v>
      </c>
      <c r="G15" s="279">
        <f>[3]Brewhouse!AG169</f>
        <v>11.8</v>
      </c>
      <c r="H15" s="396">
        <v>11.9</v>
      </c>
      <c r="I15" s="368">
        <f>[3]Brewhouse!$AU169</f>
        <v>96.024272843684003</v>
      </c>
      <c r="J15" s="368">
        <f>[3]Brewhouse!$AV169</f>
        <v>96.916433105187309</v>
      </c>
      <c r="K15" s="281">
        <f>[3]Brewhouse!$Q169</f>
        <v>7.1939736346516012</v>
      </c>
      <c r="L15" s="276">
        <f>[3]Brewhouse!$P169</f>
        <v>61</v>
      </c>
      <c r="M15" s="397">
        <f>[3]Brewhouse!$U169-[3]Brewhouse!$T169</f>
        <v>0.11458333333333348</v>
      </c>
      <c r="N15" s="370">
        <f>[3]Brewhouse!$Z169</f>
        <v>0.26875000000000004</v>
      </c>
      <c r="O15" s="420" t="str">
        <f>[3]Brewhouse!$AX169</f>
        <v>R.Sookram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6.5" customHeight="1">
      <c r="B16" s="29" t="s">
        <v>6</v>
      </c>
      <c r="C16" s="366" t="str">
        <f>[3]Brewhouse!$A170</f>
        <v>CA128</v>
      </c>
      <c r="D16" s="279">
        <f>[3]Brewhouse!$AF170</f>
        <v>52.1</v>
      </c>
      <c r="E16" s="279">
        <f>[3]Brewhouse!$AI170</f>
        <v>50.2</v>
      </c>
      <c r="F16" s="278">
        <f>[3]Brewhouse!$V170</f>
        <v>59</v>
      </c>
      <c r="G16" s="279">
        <f>[3]Brewhouse!AG170</f>
        <v>11.8</v>
      </c>
      <c r="H16" s="396">
        <v>11.9</v>
      </c>
      <c r="I16" s="368">
        <f>[3]Brewhouse!$AU170</f>
        <v>98.175529465436611</v>
      </c>
      <c r="J16" s="368">
        <f>[3]Brewhouse!$AV170</f>
        <v>99.087677024040815</v>
      </c>
      <c r="K16" s="281">
        <f>[3]Brewhouse!$Q170</f>
        <v>5.5094339622641542</v>
      </c>
      <c r="L16" s="276">
        <f>[3]Brewhouse!$P170</f>
        <v>59</v>
      </c>
      <c r="M16" s="397">
        <f>[3]Brewhouse!$U170-[3]Brewhouse!$T170</f>
        <v>0.12847222222222232</v>
      </c>
      <c r="N16" s="370">
        <f>[3]Brewhouse!$Z170</f>
        <v>0.29027777777777775</v>
      </c>
      <c r="O16" s="420" t="str">
        <f>[3]Brewhouse!$AX170</f>
        <v>K. Benjamin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6.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6.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6.5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8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6.5" customHeight="1">
      <c r="B21" s="22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511"/>
      <c r="J22" s="511"/>
      <c r="K22" s="511"/>
      <c r="L22" s="511"/>
      <c r="M22" s="511"/>
      <c r="N22" s="511"/>
      <c r="O22" s="1"/>
      <c r="P22" s="12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.75" customHeight="1" thickBot="1">
      <c r="B23" s="388" t="s">
        <v>162</v>
      </c>
      <c r="C23" s="388"/>
      <c r="D23" s="512" t="s">
        <v>35</v>
      </c>
      <c r="E23" s="513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" customHeight="1">
      <c r="A24" s="28"/>
      <c r="B24" s="580"/>
      <c r="C24" s="362"/>
      <c r="D24" s="517"/>
      <c r="E24" s="518"/>
      <c r="F24" s="294"/>
      <c r="G24" s="294"/>
      <c r="H24" s="348"/>
      <c r="I24" s="29" t="s">
        <v>6</v>
      </c>
      <c r="J24" s="323">
        <f>AVERAGE(I10:I16)</f>
        <v>97.497262515097745</v>
      </c>
      <c r="K24" s="284">
        <f>COUNTA([3]Brewhouse!$A$125:$A$170)</f>
        <v>46</v>
      </c>
      <c r="L24" s="305">
        <f>AVERAGE([3]Brewhouse!$AU$125:$AU$170)</f>
        <v>97.097457268645599</v>
      </c>
      <c r="M24" s="305">
        <f>AVERAGE([3]Brewhouse!$AU$42:$AU$123,[3]Brewhouse!$AU$125:$AU$170)</f>
        <v>97.641693813635456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" customHeight="1">
      <c r="A25" s="28"/>
      <c r="B25" s="581"/>
      <c r="C25" s="362"/>
      <c r="D25" s="519"/>
      <c r="E25" s="520"/>
      <c r="F25" s="294"/>
      <c r="G25" s="294"/>
      <c r="H25" s="348"/>
      <c r="I25" s="33" t="s">
        <v>9</v>
      </c>
      <c r="J25" s="280"/>
      <c r="K25" s="284">
        <f>COUNTA([4]Brewhouse!$A$83:$A$102)</f>
        <v>20</v>
      </c>
      <c r="L25" s="302">
        <f>AVERAGE([4]Brewhouse!$AS$83:$AS$102)</f>
        <v>97.82854827310743</v>
      </c>
      <c r="M25" s="302">
        <f>AVERAGE([4]Brewhouse!$AS$52:$AS$81,[4]Brewhouse!$AS$83:$AS$102)</f>
        <v>98.546544958251161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81"/>
      <c r="C26" s="362"/>
      <c r="D26" s="521"/>
      <c r="E26" s="522"/>
      <c r="F26" s="294"/>
      <c r="G26" s="294"/>
      <c r="H26" s="348"/>
      <c r="I26" s="34" t="s">
        <v>12</v>
      </c>
      <c r="J26" s="280"/>
      <c r="K26" s="284">
        <f>COUNTA([6]Brewhouse!$A$25:$A$27)</f>
        <v>3</v>
      </c>
      <c r="L26" s="302">
        <f>AVERAGE([6]Brewhouse!$AU$25:$AU$27)</f>
        <v>98.383718888256155</v>
      </c>
      <c r="M26" s="302">
        <f>AVERAGE([6]Brewhouse!$AU$16:$AU$23,[6]Brewhouse!$AU$25:$AU$27)</f>
        <v>97.933890431198279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81"/>
      <c r="C27" s="362"/>
      <c r="D27" s="523"/>
      <c r="E27" s="520"/>
      <c r="F27" s="294"/>
      <c r="G27" s="294"/>
      <c r="H27" s="348"/>
      <c r="I27" s="22" t="s">
        <v>33</v>
      </c>
      <c r="J27" s="280"/>
      <c r="K27" s="284"/>
      <c r="L27" s="302"/>
      <c r="M27" s="302">
        <f>AVERAGE([5]Brewhouse!$AV$23:$AV$34)</f>
        <v>98.31387229810305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81"/>
      <c r="C28" s="362"/>
      <c r="D28" s="521"/>
      <c r="E28" s="522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81"/>
      <c r="C29" s="362"/>
      <c r="D29" s="523"/>
      <c r="E29" s="520"/>
      <c r="F29" s="417"/>
      <c r="G29" s="294"/>
      <c r="H29" s="348"/>
      <c r="I29" s="36" t="s">
        <v>15</v>
      </c>
      <c r="J29" s="323"/>
      <c r="K29" s="284"/>
      <c r="L29" s="302"/>
      <c r="M29" s="302">
        <f>AVERAGE([7]Brewhouse!$AT$4:$AT$11)</f>
        <v>92.826224508052405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4.65" customHeight="1">
      <c r="A30" s="28"/>
      <c r="B30" s="581"/>
      <c r="C30" s="362"/>
      <c r="D30" s="521"/>
      <c r="E30" s="522"/>
      <c r="F30" s="417"/>
      <c r="G30" s="294"/>
      <c r="H30" s="348"/>
      <c r="I30" s="37" t="s">
        <v>16</v>
      </c>
      <c r="J30" s="323"/>
      <c r="K30" s="284"/>
      <c r="L30" s="302"/>
      <c r="M30" s="302">
        <f>AVERAGE([8]Brewhouse!$AY$5:$AY$7)</f>
        <v>98.128633252159673</v>
      </c>
      <c r="N30" s="30">
        <v>98</v>
      </c>
      <c r="O30" s="11"/>
      <c r="P30" s="31" t="s">
        <v>41</v>
      </c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4.65" customHeight="1">
      <c r="A31" s="28"/>
      <c r="B31" s="581"/>
      <c r="C31" s="362"/>
      <c r="D31" s="523"/>
      <c r="E31" s="520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4.65" customHeight="1">
      <c r="A32" s="28"/>
      <c r="B32" s="581"/>
      <c r="C32" s="349"/>
      <c r="D32" s="521"/>
      <c r="E32" s="522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81"/>
      <c r="C33" s="349"/>
      <c r="D33" s="523"/>
      <c r="E33" s="520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81"/>
      <c r="C34" s="349"/>
      <c r="D34" s="517"/>
      <c r="E34" s="518"/>
      <c r="F34" s="294"/>
      <c r="G34" s="294"/>
      <c r="H34" s="348"/>
      <c r="I34" s="1"/>
      <c r="J34" s="39"/>
      <c r="K34" s="404">
        <f>SUM(K24:K33)</f>
        <v>69</v>
      </c>
      <c r="L34" s="405">
        <f>((L24*K24)+(L25*K25)+(L26*K26)+(L27*K27)+(L28*K28)+(K31*L31)+(L29*K29)+(L30*K30)+(L33*K33))/(K34)</f>
        <v>97.365292122965442</v>
      </c>
      <c r="M34" s="405">
        <f>AVERAGE('[9]Jan30th-31st'!$L$42,L34)</f>
        <v>97.596666929403455</v>
      </c>
      <c r="N34" s="4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.75" thickBot="1">
      <c r="B35" s="582"/>
      <c r="C35" s="350"/>
      <c r="D35" s="519"/>
      <c r="E35" s="520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14"/>
      <c r="C36" s="362"/>
      <c r="D36" s="525"/>
      <c r="E36" s="526"/>
      <c r="F36" s="294"/>
      <c r="G36" s="42"/>
      <c r="H36" s="41"/>
      <c r="I36" s="42"/>
      <c r="J36" s="527" t="s">
        <v>129</v>
      </c>
      <c r="K36" s="527"/>
      <c r="L36" s="294"/>
      <c r="M36" s="294"/>
      <c r="N36" s="294"/>
      <c r="O36" s="294"/>
      <c r="P36" s="12"/>
    </row>
    <row r="37" spans="1:56" ht="15.75" thickBot="1">
      <c r="B37" s="515"/>
      <c r="C37" s="362"/>
      <c r="D37" s="523"/>
      <c r="E37" s="520"/>
      <c r="F37" s="294"/>
      <c r="G37" s="42"/>
      <c r="H37" s="41"/>
      <c r="I37" s="42"/>
      <c r="J37" s="292" t="s">
        <v>17</v>
      </c>
      <c r="K37" s="293" t="s">
        <v>147</v>
      </c>
      <c r="L37" s="528" t="s">
        <v>136</v>
      </c>
      <c r="M37" s="528"/>
      <c r="N37" s="529"/>
      <c r="O37" s="294"/>
      <c r="P37" s="12"/>
    </row>
    <row r="38" spans="1:56" ht="15" customHeight="1" thickBot="1">
      <c r="B38" s="515"/>
      <c r="C38" s="349"/>
      <c r="D38" s="521"/>
      <c r="E38" s="522"/>
      <c r="F38" s="294"/>
      <c r="G38" s="42"/>
      <c r="H38" s="41"/>
      <c r="I38" s="42"/>
      <c r="J38" s="287" t="s">
        <v>6</v>
      </c>
      <c r="K38" s="324">
        <v>7</v>
      </c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15"/>
      <c r="C39" s="349"/>
      <c r="D39" s="523"/>
      <c r="E39" s="520"/>
      <c r="F39" s="294"/>
      <c r="G39" s="42"/>
      <c r="H39" s="41"/>
      <c r="I39" s="42"/>
      <c r="J39" s="345" t="s">
        <v>9</v>
      </c>
      <c r="K39" s="324"/>
      <c r="L39" s="344">
        <f>AVERAGE(K48,'Feb 2nd'!K49,'Feb 3rd'!K54,'Feb 4th'!K53,'Feb 4th'!K53,'Feb 5th'!K49,'Feb 6th'!K49,'Feb 9th'!K52,'Feb 10th'!K54,'Feb 11th'!K48,'Feb 12th'!K49,'Feb 13th'!K46,'Feb 16th'!K54,'Feb 17th'!K50)</f>
        <v>6.4285714285714288</v>
      </c>
      <c r="M39" s="325">
        <f>AVERAGE('[9]Jan30th-31st'!$L$47,L39)</f>
        <v>6.2577639751552798</v>
      </c>
      <c r="N39" s="416">
        <v>9.1999999999999993</v>
      </c>
      <c r="O39" s="294"/>
      <c r="P39" s="12"/>
    </row>
    <row r="40" spans="1:56" ht="15" customHeight="1">
      <c r="B40" s="515"/>
      <c r="C40" s="349"/>
      <c r="D40" s="521"/>
      <c r="E40" s="522"/>
      <c r="F40" s="294"/>
      <c r="G40" s="42"/>
      <c r="H40" s="41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15"/>
      <c r="C41" s="349"/>
      <c r="D41" s="523"/>
      <c r="E41" s="520"/>
      <c r="F41" s="294"/>
      <c r="G41" s="42"/>
      <c r="H41" s="41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15"/>
      <c r="C42" s="349"/>
      <c r="D42" s="521"/>
      <c r="E42" s="522"/>
      <c r="F42" s="294"/>
      <c r="G42" s="42"/>
      <c r="H42" s="41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15"/>
      <c r="C43" s="349"/>
      <c r="D43" s="523"/>
      <c r="E43" s="520"/>
      <c r="F43" s="294"/>
      <c r="G43" s="42"/>
      <c r="H43" s="41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15"/>
      <c r="C44" s="349"/>
      <c r="D44" s="521"/>
      <c r="E44" s="522"/>
      <c r="F44" s="294"/>
      <c r="G44" s="42"/>
      <c r="H44" s="41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4"/>
      <c r="C45" s="350"/>
      <c r="D45" s="530"/>
      <c r="E45" s="531"/>
      <c r="F45" s="294" t="s">
        <v>166</v>
      </c>
      <c r="G45" s="42"/>
      <c r="H45" s="41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32"/>
      <c r="E46" s="533"/>
      <c r="F46" s="294"/>
      <c r="H46" s="41"/>
      <c r="I46" s="42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1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1"/>
      <c r="I48" s="42"/>
      <c r="J48" s="346" t="s">
        <v>130</v>
      </c>
      <c r="K48" s="324">
        <f>SUM(K38:K47)</f>
        <v>7</v>
      </c>
      <c r="L48" s="294"/>
      <c r="M48" s="294"/>
      <c r="N48" s="294"/>
      <c r="O48" s="294"/>
      <c r="P48" s="12"/>
    </row>
    <row r="49" spans="1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1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1:57" ht="15" customHeight="1" thickBot="1">
      <c r="B51" s="534" t="s">
        <v>17</v>
      </c>
      <c r="C51" s="534" t="s">
        <v>44</v>
      </c>
      <c r="D51" s="537" t="s">
        <v>45</v>
      </c>
      <c r="E51" s="500" t="s">
        <v>46</v>
      </c>
      <c r="F51" s="509" t="s">
        <v>47</v>
      </c>
      <c r="G51" s="546" t="s">
        <v>48</v>
      </c>
      <c r="H51" s="534" t="s">
        <v>49</v>
      </c>
      <c r="I51" s="534" t="s">
        <v>50</v>
      </c>
      <c r="J51" s="540" t="s">
        <v>28</v>
      </c>
      <c r="K51" s="498" t="s">
        <v>51</v>
      </c>
      <c r="L51" s="549" t="s">
        <v>52</v>
      </c>
      <c r="M51" s="540" t="s">
        <v>53</v>
      </c>
      <c r="N51" s="13"/>
      <c r="O51" s="13"/>
      <c r="P51" s="50"/>
    </row>
    <row r="52" spans="1:57" ht="28.5" customHeight="1" thickTop="1" thickBot="1">
      <c r="B52" s="535"/>
      <c r="C52" s="536"/>
      <c r="D52" s="538"/>
      <c r="E52" s="539"/>
      <c r="F52" s="551"/>
      <c r="G52" s="547"/>
      <c r="H52" s="535"/>
      <c r="I52" s="535"/>
      <c r="J52" s="541"/>
      <c r="K52" s="548"/>
      <c r="L52" s="550"/>
      <c r="M52" s="541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1:57" s="54" customFormat="1" ht="36.75" customHeight="1" thickBot="1">
      <c r="B53" s="480"/>
      <c r="C53" s="479"/>
      <c r="D53" s="442"/>
      <c r="E53" s="443"/>
      <c r="F53" s="444"/>
      <c r="G53" s="445"/>
      <c r="H53" s="458"/>
      <c r="I53" s="458"/>
      <c r="J53" s="448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[10]January_2019!L5</f>
        <v>0</v>
      </c>
      <c r="AC53" s="57">
        <f>[10]January_2019!M5</f>
        <v>0</v>
      </c>
      <c r="AD53" s="57">
        <f>[10]January_2019!N5</f>
        <v>0</v>
      </c>
      <c r="AE53" s="57">
        <f>[10]January_2019!O5</f>
        <v>0</v>
      </c>
      <c r="AF53" s="57">
        <f>[10]January_2019!P5</f>
        <v>0</v>
      </c>
      <c r="AG53" s="57">
        <f>[10]January_2019!Q5</f>
        <v>0</v>
      </c>
      <c r="AH53" s="57">
        <f>[10]January_2019!R5</f>
        <v>0</v>
      </c>
      <c r="AI53" s="57">
        <f>[10]January_2019!S5</f>
        <v>0</v>
      </c>
      <c r="AJ53" s="57">
        <f>[10]January_2019!T5</f>
        <v>0</v>
      </c>
      <c r="AK53" s="57">
        <f>[10]January_2019!U5</f>
        <v>0</v>
      </c>
      <c r="AL53" s="57">
        <f>[10]January_2019!V5</f>
        <v>0</v>
      </c>
      <c r="AM53" s="57">
        <f>[10]January_2019!W5</f>
        <v>0</v>
      </c>
      <c r="AN53" s="57">
        <f>[10]January_2019!X5</f>
        <v>0</v>
      </c>
      <c r="AO53" s="57">
        <f>[10]January_2019!Y5</f>
        <v>0</v>
      </c>
      <c r="AP53" s="57">
        <f>[10]January_2019!Z5</f>
        <v>0</v>
      </c>
      <c r="AQ53" s="57">
        <f>[10]January_2019!AA5</f>
        <v>0</v>
      </c>
      <c r="AR53" s="57">
        <f>[10]January_2019!AB5</f>
        <v>0</v>
      </c>
      <c r="AS53" s="57">
        <f>[10]January_2019!AC5</f>
        <v>0</v>
      </c>
      <c r="AT53" s="57">
        <f>[10]January_2019!AD5</f>
        <v>0</v>
      </c>
      <c r="AU53" s="57">
        <f>[10]January_2019!AE5</f>
        <v>0</v>
      </c>
      <c r="AV53" s="57">
        <f>[10]January_2019!AF5</f>
        <v>0</v>
      </c>
      <c r="AW53" s="57">
        <f>[10]January_2019!AG5</f>
        <v>0</v>
      </c>
      <c r="AX53" s="277">
        <f>[10]January_2019!AH5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1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[10]January_2019!L6</f>
        <v>0</v>
      </c>
      <c r="AC54" s="57">
        <f>[10]January_2019!M6</f>
        <v>0</v>
      </c>
      <c r="AD54" s="57">
        <f>[10]January_2019!N6</f>
        <v>0</v>
      </c>
      <c r="AE54" s="57">
        <f>[10]January_2019!O6</f>
        <v>0</v>
      </c>
      <c r="AF54" s="57">
        <f>[10]January_2019!P6</f>
        <v>0</v>
      </c>
      <c r="AG54" s="57">
        <f>[10]January_2019!Q6</f>
        <v>0</v>
      </c>
      <c r="AH54" s="57">
        <f>[10]January_2019!R6</f>
        <v>0</v>
      </c>
      <c r="AI54" s="57">
        <f>[10]January_2019!S6</f>
        <v>0</v>
      </c>
      <c r="AJ54" s="57">
        <f>[10]January_2019!T6</f>
        <v>0</v>
      </c>
      <c r="AK54" s="57">
        <f>[10]January_2019!U6</f>
        <v>0</v>
      </c>
      <c r="AL54" s="57">
        <f>[10]January_2019!V6</f>
        <v>0</v>
      </c>
      <c r="AM54" s="57">
        <f>[10]January_2019!W6</f>
        <v>0</v>
      </c>
      <c r="AN54" s="57">
        <f>[10]January_2019!X6</f>
        <v>0</v>
      </c>
      <c r="AO54" s="57">
        <f>[10]January_2019!Y6</f>
        <v>0</v>
      </c>
      <c r="AP54" s="57">
        <f>[10]January_2019!Z6</f>
        <v>0</v>
      </c>
      <c r="AQ54" s="57">
        <f>[10]January_2019!AA6</f>
        <v>0</v>
      </c>
      <c r="AR54" s="57">
        <f>[10]January_2019!AB6</f>
        <v>0</v>
      </c>
      <c r="AS54" s="57">
        <f>[10]January_2019!AC6</f>
        <v>0</v>
      </c>
      <c r="AT54" s="57">
        <f>[10]January_2019!AD6</f>
        <v>0</v>
      </c>
      <c r="AU54" s="57">
        <f>[10]January_2019!AE6</f>
        <v>0</v>
      </c>
      <c r="AV54" s="57">
        <f>[10]January_2019!AF6</f>
        <v>0</v>
      </c>
      <c r="AW54" s="57">
        <f>[10]January_2019!AG6</f>
        <v>0</v>
      </c>
      <c r="AX54" s="277">
        <f>[10]January_2019!AH6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1:57" s="54" customFormat="1" ht="37.15" hidden="1" customHeight="1" thickBot="1">
      <c r="A55" s="54" t="s">
        <v>170</v>
      </c>
      <c r="B55" s="480"/>
      <c r="C55" s="479"/>
      <c r="D55" s="442"/>
      <c r="E55" s="443"/>
      <c r="F55" s="444"/>
      <c r="G55" s="445"/>
      <c r="H55" s="458"/>
      <c r="I55" s="458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[10]January_2019!L7</f>
        <v>285.8</v>
      </c>
      <c r="AC55" s="57">
        <f>[10]January_2019!M7</f>
        <v>508.1</v>
      </c>
      <c r="AD55" s="57">
        <f>[10]January_2019!N7</f>
        <v>0</v>
      </c>
      <c r="AE55" s="57">
        <f>[10]January_2019!O7</f>
        <v>0</v>
      </c>
      <c r="AF55" s="57">
        <f>[10]January_2019!P7</f>
        <v>109.56666666666666</v>
      </c>
      <c r="AG55" s="57">
        <f>[10]January_2019!Q7</f>
        <v>297.64999999999998</v>
      </c>
      <c r="AH55" s="57">
        <f>[10]January_2019!R7</f>
        <v>122.3</v>
      </c>
      <c r="AI55" s="57">
        <f>[10]January_2019!S7</f>
        <v>0</v>
      </c>
      <c r="AJ55" s="57">
        <f>[10]January_2019!T7</f>
        <v>294.7</v>
      </c>
      <c r="AK55" s="57">
        <f>[10]January_2019!U7</f>
        <v>280.5</v>
      </c>
      <c r="AL55" s="57">
        <f>[10]January_2019!V7</f>
        <v>0</v>
      </c>
      <c r="AM55" s="57">
        <f>[10]January_2019!W7</f>
        <v>0</v>
      </c>
      <c r="AN55" s="57">
        <f>[10]January_2019!X7</f>
        <v>188.25</v>
      </c>
      <c r="AO55" s="57">
        <f>[10]January_2019!Y7</f>
        <v>295.7</v>
      </c>
      <c r="AP55" s="57">
        <f>[10]January_2019!Z7</f>
        <v>257.8</v>
      </c>
      <c r="AQ55" s="57">
        <f>[10]January_2019!AA7</f>
        <v>291.2</v>
      </c>
      <c r="AR55" s="57">
        <f>[10]January_2019!AB7</f>
        <v>187</v>
      </c>
      <c r="AS55" s="57">
        <f>[10]January_2019!AC7</f>
        <v>0</v>
      </c>
      <c r="AT55" s="57">
        <f>[10]January_2019!AD7</f>
        <v>0</v>
      </c>
      <c r="AU55" s="57">
        <f>[10]January_2019!AE7</f>
        <v>485.1</v>
      </c>
      <c r="AV55" s="57">
        <f>[10]January_2019!AF7</f>
        <v>171.55</v>
      </c>
      <c r="AW55" s="57">
        <f>[10]January_2019!AG7</f>
        <v>423.8</v>
      </c>
      <c r="AX55" s="277">
        <f>[10]January_2019!AH7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19.5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38.450000000000003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48" t="s">
        <v>182</v>
      </c>
      <c r="K57" s="459"/>
      <c r="L57" s="457" t="e">
        <f>(((D57+E57)-G57)/(D57+E57))*100</f>
        <v>#DIV/0!</v>
      </c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7.15" hidden="1" customHeight="1" thickBot="1">
      <c r="B59" s="480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1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1:57" ht="15.75" thickBot="1">
      <c r="B64" s="542" t="s">
        <v>55</v>
      </c>
      <c r="C64" s="543"/>
      <c r="D64" s="543"/>
      <c r="E64" s="543"/>
      <c r="F64" s="544"/>
      <c r="G64" s="542" t="s">
        <v>56</v>
      </c>
      <c r="H64" s="543"/>
      <c r="I64" s="543"/>
      <c r="J64" s="544"/>
      <c r="K64" s="542" t="s">
        <v>51</v>
      </c>
      <c r="L64" s="543"/>
      <c r="M64" s="543"/>
      <c r="N64" s="545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282"/>
      <c r="D66" s="76">
        <v>6.1026860389565494</v>
      </c>
      <c r="E66" s="76">
        <v>7.4359503827490192</v>
      </c>
      <c r="F66" s="66">
        <v>4.8</v>
      </c>
      <c r="G66" s="65"/>
      <c r="H66" s="477">
        <v>6.1137448079520587</v>
      </c>
      <c r="I66" s="477">
        <v>7.4095980964369117</v>
      </c>
      <c r="J66" s="66">
        <v>4.8</v>
      </c>
      <c r="K66" s="67"/>
      <c r="L66" s="194">
        <v>0.40387182580186198</v>
      </c>
      <c r="M66" s="194">
        <v>0.40703400584978955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6.9992441421012783</v>
      </c>
      <c r="E67" s="76">
        <v>6.3996679964257304</v>
      </c>
      <c r="F67" s="66">
        <v>4.8</v>
      </c>
      <c r="G67" s="65"/>
      <c r="H67" s="76">
        <v>6.2959705050792918</v>
      </c>
      <c r="I67" s="76">
        <v>6.5255270100945157</v>
      </c>
      <c r="J67" s="66">
        <v>4.8</v>
      </c>
      <c r="K67" s="67"/>
      <c r="L67" s="194">
        <v>0.38257297756677955</v>
      </c>
      <c r="M67" s="194">
        <v>0.51523049011373423</v>
      </c>
      <c r="N67" s="68">
        <v>1</v>
      </c>
      <c r="P67" s="69"/>
    </row>
    <row r="68" spans="2:16" ht="15">
      <c r="B68" s="34" t="s">
        <v>40</v>
      </c>
      <c r="C68" s="65"/>
      <c r="D68" s="76">
        <v>11.722828666350269</v>
      </c>
      <c r="E68" s="76">
        <v>11.155100139729852</v>
      </c>
      <c r="F68" s="66">
        <v>5.5</v>
      </c>
      <c r="G68" s="65"/>
      <c r="H68" s="76">
        <v>12.537121640099599</v>
      </c>
      <c r="I68" s="76">
        <v>11.952951274961968</v>
      </c>
      <c r="J68" s="66">
        <v>5.5</v>
      </c>
      <c r="K68" s="67"/>
      <c r="L68" s="194">
        <v>0.16315789473684211</v>
      </c>
      <c r="M68" s="194">
        <v>0.42456140350877192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5.0755456997699637</v>
      </c>
      <c r="F69" s="66">
        <v>3.3</v>
      </c>
      <c r="G69" s="65"/>
      <c r="H69" s="76"/>
      <c r="I69" s="76">
        <v>4.6359882890480018</v>
      </c>
      <c r="J69" s="66">
        <v>3.3</v>
      </c>
      <c r="K69" s="67"/>
      <c r="L69" s="194"/>
      <c r="M69" s="194">
        <v>0.66833333333333345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/>
      <c r="E71" s="76">
        <v>5.1105651105651271</v>
      </c>
      <c r="F71" s="70">
        <f>[11]May_2022!$M$43</f>
        <v>3.4878406700073312</v>
      </c>
      <c r="G71" s="282"/>
      <c r="H71" s="76"/>
      <c r="I71" s="76">
        <v>7.9131369535794072</v>
      </c>
      <c r="J71" s="66">
        <v>5.5</v>
      </c>
      <c r="K71" s="67"/>
      <c r="L71" s="194"/>
      <c r="M71" s="194">
        <v>1.3550877192982456</v>
      </c>
      <c r="N71" s="68">
        <v>1</v>
      </c>
      <c r="P71" s="69"/>
    </row>
    <row r="72" spans="2:16" ht="15">
      <c r="B72" s="37" t="s">
        <v>16</v>
      </c>
      <c r="C72" s="65"/>
      <c r="D72" s="76"/>
      <c r="E72" s="76">
        <v>2.0590520590520631</v>
      </c>
      <c r="F72" s="66">
        <v>3.3</v>
      </c>
      <c r="G72" s="282"/>
      <c r="H72" s="76"/>
      <c r="I72" s="76">
        <v>2.1755040108015784</v>
      </c>
      <c r="J72" s="66">
        <v>3.3</v>
      </c>
      <c r="K72" s="67"/>
      <c r="L72" s="194"/>
      <c r="M72" s="194">
        <v>0.88456140350877199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6.6089253325456454</v>
      </c>
      <c r="E75" s="76">
        <v>6.8077970491522919</v>
      </c>
      <c r="F75" s="341">
        <v>5.5</v>
      </c>
      <c r="H75" s="76">
        <v>6.6456436579275913</v>
      </c>
      <c r="I75" s="76">
        <v>6.901587557848214</v>
      </c>
      <c r="J75" s="341">
        <v>5.5</v>
      </c>
      <c r="L75" s="194">
        <v>0.38404756335282653</v>
      </c>
      <c r="M75" s="194">
        <v>0.49540415854450937</v>
      </c>
      <c r="N75" s="386">
        <v>1</v>
      </c>
    </row>
  </sheetData>
  <mergeCells count="51"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1274" priority="38" operator="notBetween">
      <formula>#REF!</formula>
      <formula>#REF!</formula>
    </cfRule>
  </conditionalFormatting>
  <conditionalFormatting sqref="C50">
    <cfRule type="cellIs" dxfId="1273" priority="151" stopIfTrue="1" operator="lessThan">
      <formula>96</formula>
    </cfRule>
    <cfRule type="cellIs" dxfId="1272" priority="152" stopIfTrue="1" operator="greaterThan">
      <formula>100</formula>
    </cfRule>
  </conditionalFormatting>
  <conditionalFormatting sqref="C66:C70">
    <cfRule type="cellIs" dxfId="1271" priority="109" stopIfTrue="1" operator="lessThanOrEqual">
      <formula>0</formula>
    </cfRule>
  </conditionalFormatting>
  <conditionalFormatting sqref="C66:C74">
    <cfRule type="cellIs" dxfId="1270" priority="108" stopIfTrue="1" operator="greaterThan">
      <formula>$F66</formula>
    </cfRule>
  </conditionalFormatting>
  <conditionalFormatting sqref="C67">
    <cfRule type="cellIs" dxfId="1269" priority="155" stopIfTrue="1" operator="greaterThan">
      <formula>$F66</formula>
    </cfRule>
  </conditionalFormatting>
  <conditionalFormatting sqref="C71">
    <cfRule type="cellIs" dxfId="1268" priority="63" stopIfTrue="1" operator="greaterThan">
      <formula>$F70</formula>
    </cfRule>
    <cfRule type="cellIs" dxfId="1267" priority="62" stopIfTrue="1" operator="lessThanOrEqual">
      <formula>0</formula>
    </cfRule>
  </conditionalFormatting>
  <conditionalFormatting sqref="C77:C81">
    <cfRule type="cellIs" dxfId="1266" priority="143" stopIfTrue="1" operator="lessThanOrEqual">
      <formula>0</formula>
    </cfRule>
  </conditionalFormatting>
  <conditionalFormatting sqref="C78:C81">
    <cfRule type="cellIs" dxfId="1265" priority="142" stopIfTrue="1" operator="greaterThan">
      <formula>$F$77</formula>
    </cfRule>
  </conditionalFormatting>
  <conditionalFormatting sqref="C83">
    <cfRule type="cellIs" dxfId="1264" priority="144" stopIfTrue="1" operator="greaterThan">
      <formula>$F$77</formula>
    </cfRule>
    <cfRule type="cellIs" dxfId="1263" priority="145" stopIfTrue="1" operator="lessThanOrEqual">
      <formula>0</formula>
    </cfRule>
  </conditionalFormatting>
  <conditionalFormatting sqref="C77:D77 D79:D85">
    <cfRule type="cellIs" dxfId="1262" priority="137" stopIfTrue="1" operator="greaterThan">
      <formula>4.5</formula>
    </cfRule>
  </conditionalFormatting>
  <conditionalFormatting sqref="D46:D47">
    <cfRule type="cellIs" dxfId="1261" priority="39" operator="notBetween">
      <formula>#REF!</formula>
      <formula>#REF!</formula>
    </cfRule>
  </conditionalFormatting>
  <conditionalFormatting sqref="D66:D73">
    <cfRule type="cellIs" dxfId="1260" priority="117" stopIfTrue="1" operator="lessThanOrEqual">
      <formula>0</formula>
    </cfRule>
  </conditionalFormatting>
  <conditionalFormatting sqref="D77 D79:D85">
    <cfRule type="cellIs" dxfId="1259" priority="138" stopIfTrue="1" operator="lessThanOrEqual">
      <formula>0</formula>
    </cfRule>
  </conditionalFormatting>
  <conditionalFormatting sqref="D78">
    <cfRule type="cellIs" dxfId="1258" priority="129" stopIfTrue="1" operator="greaterThan">
      <formula>$F$77</formula>
    </cfRule>
    <cfRule type="cellIs" dxfId="1257" priority="130" stopIfTrue="1" operator="lessThanOrEqual">
      <formula>0</formula>
    </cfRule>
  </conditionalFormatting>
  <conditionalFormatting sqref="D66:E75">
    <cfRule type="cellIs" dxfId="1256" priority="106" stopIfTrue="1" operator="greaterThan">
      <formula>$F66</formula>
    </cfRule>
  </conditionalFormatting>
  <conditionalFormatting sqref="D74:E74">
    <cfRule type="cellIs" dxfId="1255" priority="116" stopIfTrue="1" operator="lessThanOrEqual">
      <formula>0</formula>
    </cfRule>
  </conditionalFormatting>
  <conditionalFormatting sqref="D75:E75">
    <cfRule type="cellIs" dxfId="1254" priority="107" stopIfTrue="1" operator="lessThanOrEqual">
      <formula>0</formula>
    </cfRule>
  </conditionalFormatting>
  <conditionalFormatting sqref="E10:E21">
    <cfRule type="cellIs" dxfId="1253" priority="7" operator="lessThan">
      <formula>48</formula>
    </cfRule>
  </conditionalFormatting>
  <conditionalFormatting sqref="E49 E50:F50">
    <cfRule type="cellIs" dxfId="1252" priority="134" stopIfTrue="1" operator="greaterThan">
      <formula>100</formula>
    </cfRule>
  </conditionalFormatting>
  <conditionalFormatting sqref="E50">
    <cfRule type="cellIs" dxfId="1251" priority="132" stopIfTrue="1" operator="greaterThan">
      <formula>100</formula>
    </cfRule>
    <cfRule type="cellIs" dxfId="1250" priority="131" stopIfTrue="1" operator="lessThan">
      <formula>96.8</formula>
    </cfRule>
  </conditionalFormatting>
  <conditionalFormatting sqref="E66:E73">
    <cfRule type="cellIs" dxfId="1249" priority="26" stopIfTrue="1" operator="lessThanOrEqual">
      <formula>0</formula>
    </cfRule>
  </conditionalFormatting>
  <conditionalFormatting sqref="E66:E74">
    <cfRule type="cellIs" dxfId="1248" priority="113" stopIfTrue="1" operator="lessThanOrEqual">
      <formula>0</formula>
    </cfRule>
  </conditionalFormatting>
  <conditionalFormatting sqref="E77:E85">
    <cfRule type="cellIs" dxfId="1247" priority="123" stopIfTrue="1" operator="greaterThan">
      <formula>4.5</formula>
    </cfRule>
    <cfRule type="cellIs" dxfId="1246" priority="124" stopIfTrue="1" operator="lessThanOrEqual">
      <formula>0</formula>
    </cfRule>
  </conditionalFormatting>
  <conditionalFormatting sqref="E50:F50 E49">
    <cfRule type="cellIs" dxfId="1245" priority="133" stopIfTrue="1" operator="lessThan">
      <formula>96.5</formula>
    </cfRule>
  </conditionalFormatting>
  <conditionalFormatting sqref="F10:F18 F20:F21">
    <cfRule type="cellIs" dxfId="1244" priority="28" operator="greaterThan">
      <formula>60</formula>
    </cfRule>
  </conditionalFormatting>
  <conditionalFormatting sqref="F50">
    <cfRule type="cellIs" dxfId="1243" priority="149" stopIfTrue="1" operator="lessThan">
      <formula>96.8</formula>
    </cfRule>
    <cfRule type="cellIs" dxfId="1242" priority="150" stopIfTrue="1" operator="greaterThan">
      <formula>100</formula>
    </cfRule>
  </conditionalFormatting>
  <conditionalFormatting sqref="F75">
    <cfRule type="cellIs" dxfId="1241" priority="114" stopIfTrue="1" operator="greaterThan">
      <formula>$F75</formula>
    </cfRule>
    <cfRule type="cellIs" dxfId="1240" priority="115" stopIfTrue="1" operator="lessThanOrEqual">
      <formula>0</formula>
    </cfRule>
  </conditionalFormatting>
  <conditionalFormatting sqref="G10:G20">
    <cfRule type="expression" dxfId="1239" priority="9">
      <formula>IF(+(IF(G10&lt;S10,0,IF(G10&gt;T10,0,1)))=0,1)</formula>
    </cfRule>
  </conditionalFormatting>
  <conditionalFormatting sqref="G66:G67 C72:C74">
    <cfRule type="cellIs" dxfId="1238" priority="119" stopIfTrue="1" operator="lessThanOrEqual">
      <formula>0</formula>
    </cfRule>
  </conditionalFormatting>
  <conditionalFormatting sqref="G66:G67">
    <cfRule type="cellIs" dxfId="1237" priority="111" stopIfTrue="1" operator="lessThanOrEqual">
      <formula>0</formula>
    </cfRule>
    <cfRule type="cellIs" dxfId="1236" priority="110" stopIfTrue="1" operator="greaterThan">
      <formula>$F66</formula>
    </cfRule>
    <cfRule type="cellIs" dxfId="1235" priority="118" stopIfTrue="1" operator="greaterThan">
      <formula>$F66</formula>
    </cfRule>
  </conditionalFormatting>
  <conditionalFormatting sqref="G68">
    <cfRule type="cellIs" dxfId="1234" priority="154" stopIfTrue="1" operator="lessThanOrEqual">
      <formula>0</formula>
    </cfRule>
    <cfRule type="cellIs" dxfId="1233" priority="153" stopIfTrue="1" operator="greaterThan">
      <formula>$F67</formula>
    </cfRule>
  </conditionalFormatting>
  <conditionalFormatting sqref="G69">
    <cfRule type="cellIs" dxfId="1232" priority="34" stopIfTrue="1" operator="greaterThan">
      <formula>$F69</formula>
    </cfRule>
    <cfRule type="cellIs" dxfId="1231" priority="35" stopIfTrue="1" operator="lessThanOrEqual">
      <formula>0</formula>
    </cfRule>
    <cfRule type="cellIs" dxfId="1230" priority="37" stopIfTrue="1" operator="lessThanOrEqual">
      <formula>0</formula>
    </cfRule>
    <cfRule type="cellIs" dxfId="1229" priority="36" stopIfTrue="1" operator="greaterThan">
      <formula>$F69</formula>
    </cfRule>
  </conditionalFormatting>
  <conditionalFormatting sqref="G70:G74">
    <cfRule type="cellIs" dxfId="1228" priority="120" stopIfTrue="1" operator="greaterThan">
      <formula>$J70</formula>
    </cfRule>
    <cfRule type="cellIs" dxfId="1227" priority="121" stopIfTrue="1" operator="lessThanOrEqual">
      <formula>0</formula>
    </cfRule>
  </conditionalFormatting>
  <conditionalFormatting sqref="G79:G84 C82 C84">
    <cfRule type="cellIs" dxfId="1226" priority="147" stopIfTrue="1" operator="lessThanOrEqual">
      <formula>0</formula>
    </cfRule>
    <cfRule type="cellIs" dxfId="1225" priority="146" stopIfTrue="1" operator="greaterThan">
      <formula>4.5</formula>
    </cfRule>
  </conditionalFormatting>
  <conditionalFormatting sqref="G78:H78">
    <cfRule type="cellIs" dxfId="1224" priority="127" stopIfTrue="1" operator="greaterThan">
      <formula>$F$77</formula>
    </cfRule>
    <cfRule type="cellIs" dxfId="1223" priority="128" stopIfTrue="1" operator="lessThanOrEqual">
      <formula>0</formula>
    </cfRule>
  </conditionalFormatting>
  <conditionalFormatting sqref="H10:H20 G21:H21">
    <cfRule type="expression" dxfId="1222" priority="31">
      <formula>IF(+(IF(G10&lt;#REF!,0,IF(G10&gt;#REF!,0,1)))=0,1)</formula>
    </cfRule>
  </conditionalFormatting>
  <conditionalFormatting sqref="H35:H49">
    <cfRule type="cellIs" dxfId="1221" priority="125" stopIfTrue="1" operator="greaterThan">
      <formula>0</formula>
    </cfRule>
  </conditionalFormatting>
  <conditionalFormatting sqref="H53:H57">
    <cfRule type="cellIs" dxfId="1220" priority="24" stopIfTrue="1" operator="greaterThan">
      <formula>$F$67</formula>
    </cfRule>
    <cfRule type="cellIs" dxfId="1219" priority="23" stopIfTrue="1" operator="lessThanOrEqual">
      <formula>0</formula>
    </cfRule>
    <cfRule type="cellIs" dxfId="1218" priority="22" stopIfTrue="1" operator="greaterThan">
      <formula>$F$69</formula>
    </cfRule>
    <cfRule type="cellIs" dxfId="1217" priority="13" stopIfTrue="1" operator="lessThanOrEqual">
      <formula>0</formula>
    </cfRule>
    <cfRule type="cellIs" dxfId="1216" priority="14" stopIfTrue="1" operator="greaterThan">
      <formula>$F$66</formula>
    </cfRule>
    <cfRule type="cellIs" dxfId="1215" priority="25" stopIfTrue="1" operator="lessThanOrEqual">
      <formula>0</formula>
    </cfRule>
  </conditionalFormatting>
  <conditionalFormatting sqref="H58:H59">
    <cfRule type="cellIs" dxfId="1214" priority="74" stopIfTrue="1" operator="greaterThan">
      <formula>$F$21</formula>
    </cfRule>
    <cfRule type="cellIs" dxfId="1213" priority="75" stopIfTrue="1" operator="lessThanOrEqual">
      <formula>0</formula>
    </cfRule>
    <cfRule type="cellIs" dxfId="1212" priority="76" stopIfTrue="1" operator="greaterThan">
      <formula>#REF!</formula>
    </cfRule>
    <cfRule type="cellIs" dxfId="1211" priority="77" stopIfTrue="1" operator="lessThanOrEqual">
      <formula>0</formula>
    </cfRule>
    <cfRule type="cellIs" dxfId="1210" priority="65" stopIfTrue="1" operator="lessThanOrEqual">
      <formula>0</formula>
    </cfRule>
    <cfRule type="cellIs" dxfId="1209" priority="66" stopIfTrue="1" operator="greaterThan">
      <formula>#REF!</formula>
    </cfRule>
  </conditionalFormatting>
  <conditionalFormatting sqref="H60">
    <cfRule type="cellIs" dxfId="1208" priority="89" stopIfTrue="1" operator="greaterThan">
      <formula>$F$37</formula>
    </cfRule>
    <cfRule type="cellIs" dxfId="1207" priority="81" stopIfTrue="1" operator="greaterThan">
      <formula>$F$34</formula>
    </cfRule>
    <cfRule type="cellIs" dxfId="1206" priority="92" stopIfTrue="1" operator="lessThanOrEqual">
      <formula>0</formula>
    </cfRule>
    <cfRule type="cellIs" dxfId="1205" priority="91" stopIfTrue="1" operator="greaterThan">
      <formula>$F$35</formula>
    </cfRule>
    <cfRule type="cellIs" dxfId="1204" priority="90" stopIfTrue="1" operator="lessThanOrEqual">
      <formula>0</formula>
    </cfRule>
    <cfRule type="cellIs" dxfId="1203" priority="80" stopIfTrue="1" operator="lessThanOrEqual">
      <formula>0</formula>
    </cfRule>
  </conditionalFormatting>
  <conditionalFormatting sqref="H61:H62">
    <cfRule type="cellIs" dxfId="1202" priority="50" stopIfTrue="1" operator="greaterThan">
      <formula>#REF!</formula>
    </cfRule>
    <cfRule type="cellIs" dxfId="1201" priority="61" stopIfTrue="1" operator="lessThanOrEqual">
      <formula>0</formula>
    </cfRule>
    <cfRule type="cellIs" dxfId="1200" priority="60" stopIfTrue="1" operator="greaterThan">
      <formula>#REF!</formula>
    </cfRule>
    <cfRule type="cellIs" dxfId="1199" priority="59" stopIfTrue="1" operator="lessThanOrEqual">
      <formula>0</formula>
    </cfRule>
    <cfRule type="cellIs" dxfId="1198" priority="58" stopIfTrue="1" operator="greaterThan">
      <formula>$F$21</formula>
    </cfRule>
    <cfRule type="cellIs" dxfId="1197" priority="49" stopIfTrue="1" operator="lessThanOrEqual">
      <formula>0</formula>
    </cfRule>
  </conditionalFormatting>
  <conditionalFormatting sqref="H77 H79:H85">
    <cfRule type="cellIs" dxfId="1196" priority="140" stopIfTrue="1" operator="lessThanOrEqual">
      <formula>0</formula>
    </cfRule>
    <cfRule type="cellIs" dxfId="1195" priority="139" stopIfTrue="1" operator="greaterThan">
      <formula>4.5</formula>
    </cfRule>
  </conditionalFormatting>
  <conditionalFormatting sqref="H53:I57">
    <cfRule type="cellIs" dxfId="1194" priority="15" stopIfTrue="1" operator="lessThanOrEqual">
      <formula>0</formula>
    </cfRule>
    <cfRule type="cellIs" dxfId="1193" priority="12" stopIfTrue="1" operator="greaterThan">
      <formula>$F$68</formula>
    </cfRule>
  </conditionalFormatting>
  <conditionalFormatting sqref="H58:I59">
    <cfRule type="cellIs" dxfId="1192" priority="67" stopIfTrue="1" operator="lessThanOrEqual">
      <formula>0</formula>
    </cfRule>
    <cfRule type="cellIs" dxfId="1191" priority="64" stopIfTrue="1" operator="greaterThan">
      <formula>#REF!</formula>
    </cfRule>
  </conditionalFormatting>
  <conditionalFormatting sqref="H60:I60">
    <cfRule type="cellIs" dxfId="1190" priority="79" stopIfTrue="1" operator="greaterThan">
      <formula>$F$36</formula>
    </cfRule>
    <cfRule type="cellIs" dxfId="1189" priority="82" stopIfTrue="1" operator="lessThanOrEqual">
      <formula>0</formula>
    </cfRule>
  </conditionalFormatting>
  <conditionalFormatting sqref="H61:I62">
    <cfRule type="cellIs" dxfId="1188" priority="51" stopIfTrue="1" operator="lessThanOrEqual">
      <formula>0</formula>
    </cfRule>
    <cfRule type="cellIs" dxfId="1187" priority="48" stopIfTrue="1" operator="greaterThan">
      <formula>#REF!</formula>
    </cfRule>
  </conditionalFormatting>
  <conditionalFormatting sqref="H66:I73">
    <cfRule type="cellIs" dxfId="1186" priority="30" stopIfTrue="1" operator="lessThanOrEqual">
      <formula>0</formula>
    </cfRule>
    <cfRule type="cellIs" dxfId="1185" priority="29" stopIfTrue="1" operator="greaterThan">
      <formula>$J66</formula>
    </cfRule>
  </conditionalFormatting>
  <conditionalFormatting sqref="H74:I74">
    <cfRule type="cellIs" dxfId="1184" priority="112" operator="greaterThan">
      <formula>5.3</formula>
    </cfRule>
  </conditionalFormatting>
  <conditionalFormatting sqref="H75:I75">
    <cfRule type="cellIs" dxfId="1183" priority="104" stopIfTrue="1" operator="greaterThan">
      <formula>$J75</formula>
    </cfRule>
    <cfRule type="cellIs" dxfId="1182" priority="105" stopIfTrue="1" operator="lessThanOrEqual">
      <formula>0</formula>
    </cfRule>
  </conditionalFormatting>
  <conditionalFormatting sqref="I53:I57">
    <cfRule type="cellIs" dxfId="1181" priority="17" stopIfTrue="1" operator="lessThanOrEqual">
      <formula>0</formula>
    </cfRule>
    <cfRule type="cellIs" dxfId="1180" priority="20" stopIfTrue="1" operator="greaterThan">
      <formula>$F$66</formula>
    </cfRule>
    <cfRule type="cellIs" dxfId="1179" priority="16" stopIfTrue="1" operator="greaterThan">
      <formula>$F$66</formula>
    </cfRule>
    <cfRule type="cellIs" dxfId="1178" priority="18" stopIfTrue="1" operator="greaterThan">
      <formula>$F$68</formula>
    </cfRule>
    <cfRule type="cellIs" dxfId="1177" priority="19" stopIfTrue="1" operator="lessThanOrEqual">
      <formula>0</formula>
    </cfRule>
    <cfRule type="cellIs" dxfId="1176" priority="21" stopIfTrue="1" operator="lessThanOrEqual">
      <formula>0</formula>
    </cfRule>
  </conditionalFormatting>
  <conditionalFormatting sqref="I58:I59">
    <cfRule type="cellIs" dxfId="1175" priority="72" stopIfTrue="1" operator="greaterThan">
      <formula>#REF!</formula>
    </cfRule>
    <cfRule type="cellIs" dxfId="1174" priority="71" stopIfTrue="1" operator="lessThanOrEqual">
      <formula>0</formula>
    </cfRule>
    <cfRule type="cellIs" dxfId="1173" priority="70" stopIfTrue="1" operator="greaterThan">
      <formula>#REF!</formula>
    </cfRule>
    <cfRule type="cellIs" dxfId="1172" priority="69" stopIfTrue="1" operator="lessThanOrEqual">
      <formula>0</formula>
    </cfRule>
    <cfRule type="cellIs" dxfId="1171" priority="73" stopIfTrue="1" operator="lessThanOrEqual">
      <formula>0</formula>
    </cfRule>
    <cfRule type="cellIs" dxfId="1170" priority="68" stopIfTrue="1" operator="greaterThan">
      <formula>#REF!</formula>
    </cfRule>
  </conditionalFormatting>
  <conditionalFormatting sqref="I60">
    <cfRule type="cellIs" dxfId="1169" priority="84" stopIfTrue="1" operator="lessThanOrEqual">
      <formula>0</formula>
    </cfRule>
    <cfRule type="cellIs" dxfId="1168" priority="83" stopIfTrue="1" operator="greaterThan">
      <formula>$F$34</formula>
    </cfRule>
    <cfRule type="cellIs" dxfId="1167" priority="87" stopIfTrue="1" operator="greaterThan">
      <formula>$F$34</formula>
    </cfRule>
    <cfRule type="cellIs" dxfId="1166" priority="88" stopIfTrue="1" operator="lessThanOrEqual">
      <formula>0</formula>
    </cfRule>
    <cfRule type="cellIs" dxfId="1165" priority="85" stopIfTrue="1" operator="greaterThan">
      <formula>$F$36</formula>
    </cfRule>
    <cfRule type="cellIs" dxfId="1164" priority="86" stopIfTrue="1" operator="lessThanOrEqual">
      <formula>0</formula>
    </cfRule>
  </conditionalFormatting>
  <conditionalFormatting sqref="I61:I62">
    <cfRule type="cellIs" dxfId="1163" priority="52" stopIfTrue="1" operator="greaterThan">
      <formula>#REF!</formula>
    </cfRule>
    <cfRule type="cellIs" dxfId="1162" priority="57" stopIfTrue="1" operator="lessThanOrEqual">
      <formula>0</formula>
    </cfRule>
    <cfRule type="cellIs" dxfId="1161" priority="56" stopIfTrue="1" operator="greaterThan">
      <formula>#REF!</formula>
    </cfRule>
    <cfRule type="cellIs" dxfId="1160" priority="55" stopIfTrue="1" operator="lessThanOrEqual">
      <formula>0</formula>
    </cfRule>
    <cfRule type="cellIs" dxfId="1159" priority="54" stopIfTrue="1" operator="greaterThan">
      <formula>#REF!</formula>
    </cfRule>
    <cfRule type="cellIs" dxfId="1158" priority="53" stopIfTrue="1" operator="lessThanOrEqual">
      <formula>0</formula>
    </cfRule>
  </conditionalFormatting>
  <conditionalFormatting sqref="I77:I85">
    <cfRule type="cellIs" dxfId="1157" priority="136" stopIfTrue="1" operator="lessThanOrEqual">
      <formula>0</formula>
    </cfRule>
    <cfRule type="cellIs" dxfId="1156" priority="135" stopIfTrue="1" operator="greaterThan">
      <formula>4.5</formula>
    </cfRule>
  </conditionalFormatting>
  <conditionalFormatting sqref="I10:J21">
    <cfRule type="cellIs" dxfId="1155" priority="3" operator="lessThan">
      <formula>97.9</formula>
    </cfRule>
  </conditionalFormatting>
  <conditionalFormatting sqref="J24">
    <cfRule type="cellIs" dxfId="1154" priority="1" operator="lessThan">
      <formula>97.95</formula>
    </cfRule>
  </conditionalFormatting>
  <conditionalFormatting sqref="J26">
    <cfRule type="cellIs" dxfId="1153" priority="95" stopIfTrue="1" operator="greaterThan">
      <formula>100</formula>
    </cfRule>
    <cfRule type="cellIs" dxfId="1152" priority="94" stopIfTrue="1" operator="lessThan">
      <formula>96.8</formula>
    </cfRule>
    <cfRule type="cellIs" dxfId="1151" priority="96" operator="lessThan">
      <formula>98</formula>
    </cfRule>
  </conditionalFormatting>
  <conditionalFormatting sqref="J26:J28">
    <cfRule type="cellIs" dxfId="1150" priority="93" operator="lessThan">
      <formula>97.4</formula>
    </cfRule>
  </conditionalFormatting>
  <conditionalFormatting sqref="J29:J30">
    <cfRule type="cellIs" dxfId="1149" priority="97" operator="lessThan">
      <formula>98</formula>
    </cfRule>
  </conditionalFormatting>
  <conditionalFormatting sqref="J31:J32">
    <cfRule type="cellIs" dxfId="1148" priority="99" stopIfTrue="1" operator="greaterThan">
      <formula>100</formula>
    </cfRule>
    <cfRule type="cellIs" dxfId="1147" priority="98" stopIfTrue="1" operator="lessThan">
      <formula>96.8</formula>
    </cfRule>
  </conditionalFormatting>
  <conditionalFormatting sqref="J31:J33">
    <cfRule type="cellIs" dxfId="1146" priority="100" operator="lessThan">
      <formula>98</formula>
    </cfRule>
  </conditionalFormatting>
  <conditionalFormatting sqref="J62">
    <cfRule type="cellIs" dxfId="1145" priority="42" stopIfTrue="1" operator="greaterThan">
      <formula>#REF!</formula>
    </cfRule>
    <cfRule type="cellIs" dxfId="1144" priority="43" stopIfTrue="1" operator="lessThanOrEqual">
      <formula>0</formula>
    </cfRule>
    <cfRule type="cellIs" dxfId="1143" priority="44" stopIfTrue="1" operator="greaterThan">
      <formula>#REF!</formula>
    </cfRule>
    <cfRule type="cellIs" dxfId="1142" priority="45" stopIfTrue="1" operator="lessThanOrEqual">
      <formula>0</formula>
    </cfRule>
    <cfRule type="cellIs" dxfId="1141" priority="46" stopIfTrue="1" operator="greaterThan">
      <formula>#REF!</formula>
    </cfRule>
    <cfRule type="cellIs" dxfId="1140" priority="47" stopIfTrue="1" operator="lessThanOrEqual">
      <formula>0</formula>
    </cfRule>
    <cfRule type="cellIs" dxfId="1139" priority="41" stopIfTrue="1" operator="lessThanOrEqual">
      <formula>0</formula>
    </cfRule>
    <cfRule type="cellIs" dxfId="1138" priority="40" stopIfTrue="1" operator="greaterThan">
      <formula>#REF!</formula>
    </cfRule>
  </conditionalFormatting>
  <conditionalFormatting sqref="J75">
    <cfRule type="cellIs" dxfId="1137" priority="102" stopIfTrue="1" operator="lessThanOrEqual">
      <formula>0</formula>
    </cfRule>
    <cfRule type="cellIs" dxfId="1136" priority="101" stopIfTrue="1" operator="greaterThan">
      <formula>$F75</formula>
    </cfRule>
  </conditionalFormatting>
  <conditionalFormatting sqref="K10:K21">
    <cfRule type="cellIs" dxfId="1135" priority="6" operator="greaterThan">
      <formula>6.4</formula>
    </cfRule>
    <cfRule type="cellIs" dxfId="1134" priority="5" operator="lessThan">
      <formula>4</formula>
    </cfRule>
    <cfRule type="cellIs" dxfId="1133" priority="4" operator="greaterThan">
      <formula>6</formula>
    </cfRule>
  </conditionalFormatting>
  <conditionalFormatting sqref="K53:K62">
    <cfRule type="cellIs" dxfId="1132" priority="27" stopIfTrue="1" operator="lessThan">
      <formula>100%</formula>
    </cfRule>
  </conditionalFormatting>
  <conditionalFormatting sqref="K77:K82">
    <cfRule type="cellIs" dxfId="1131" priority="141" stopIfTrue="1" operator="lessThan">
      <formula>100%</formula>
    </cfRule>
  </conditionalFormatting>
  <conditionalFormatting sqref="K84:K85">
    <cfRule type="cellIs" dxfId="1130" priority="148" stopIfTrue="1" operator="lessThan">
      <formula>100%</formula>
    </cfRule>
  </conditionalFormatting>
  <conditionalFormatting sqref="K66:N74">
    <cfRule type="cellIs" dxfId="1129" priority="78" stopIfTrue="1" operator="lessThan">
      <formula>100%</formula>
    </cfRule>
  </conditionalFormatting>
  <conditionalFormatting sqref="L10:L21">
    <cfRule type="cellIs" dxfId="1128" priority="10" operator="between">
      <formula>61</formula>
      <formula>65</formula>
    </cfRule>
    <cfRule type="cellIs" dxfId="1127" priority="11" operator="greaterThan">
      <formula>65</formula>
    </cfRule>
  </conditionalFormatting>
  <conditionalFormatting sqref="L24:M35">
    <cfRule type="cellIs" dxfId="1126" priority="32" operator="lessThan">
      <formula>97.95</formula>
    </cfRule>
  </conditionalFormatting>
  <conditionalFormatting sqref="L39:N39">
    <cfRule type="cellIs" dxfId="1125" priority="33" operator="notEqual">
      <formula>#REF!</formula>
    </cfRule>
  </conditionalFormatting>
  <conditionalFormatting sqref="L75:N75">
    <cfRule type="cellIs" dxfId="1124" priority="103" stopIfTrue="1" operator="lessThan">
      <formula>100%</formula>
    </cfRule>
  </conditionalFormatting>
  <conditionalFormatting sqref="L77:N85">
    <cfRule type="cellIs" dxfId="1123" priority="126" stopIfTrue="1" operator="lessThan">
      <formula>100%</formula>
    </cfRule>
  </conditionalFormatting>
  <conditionalFormatting sqref="M10:M20">
    <cfRule type="expression" dxfId="1122" priority="8">
      <formula>IF(+(IF(M10&lt;U10,0,IF(M10&gt;V10,0,1)))=0,1)</formula>
    </cfRule>
  </conditionalFormatting>
  <conditionalFormatting sqref="M21:N21">
    <cfRule type="expression" dxfId="1121" priority="156">
      <formula>IF(+(IF(M21&lt;#REF!,0,IF(M21&gt;#REF!,0,1)))=0,1)</formula>
    </cfRule>
  </conditionalFormatting>
  <conditionalFormatting sqref="N10:N20">
    <cfRule type="expression" dxfId="1120" priority="2">
      <formula>IF(+(IF(N10&lt;W10,0,IF(N10&gt;X10,0,1)))=0,1)</formula>
    </cfRule>
  </conditionalFormatting>
  <conditionalFormatting sqref="P6">
    <cfRule type="cellIs" dxfId="1119" priority="122" operator="greaterThanOrEqual">
      <formula>19</formula>
    </cfRule>
  </conditionalFormatting>
  <dataValidations count="1">
    <dataValidation type="list" allowBlank="1" showInputMessage="1" showErrorMessage="1" sqref="R8" xr:uid="{0A5B89FE-57E5-44E3-8CE0-5C61B816904B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9AFC-E605-4D3E-9D5A-E8FB3360D19C}">
  <sheetPr>
    <pageSetUpPr fitToPage="1"/>
  </sheetPr>
  <dimension ref="A1:BE78"/>
  <sheetViews>
    <sheetView topLeftCell="A4" zoomScale="80" zoomScaleNormal="80" workbookViewId="0">
      <selection activeCell="B11" sqref="B11:O11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46073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[3]Brewhouse!$A171</f>
        <v>CA129</v>
      </c>
      <c r="D10" s="279">
        <f>[3]Brewhouse!$AF171</f>
        <v>52</v>
      </c>
      <c r="E10" s="279">
        <f>[3]Brewhouse!$AI171</f>
        <v>51.8</v>
      </c>
      <c r="F10" s="278">
        <f>[3]Brewhouse!$V171</f>
        <v>60</v>
      </c>
      <c r="G10" s="279">
        <f>[3]Brewhouse!AG171</f>
        <v>12</v>
      </c>
      <c r="H10" s="396">
        <v>12</v>
      </c>
      <c r="I10" s="368">
        <f>[3]Brewhouse!$AU171</f>
        <v>102.72843364793638</v>
      </c>
      <c r="J10" s="368">
        <f>[3]Brewhouse!$AV171</f>
        <v>103.68311423349516</v>
      </c>
      <c r="K10" s="281">
        <f>[3]Brewhouse!$Q171</f>
        <v>5.6981132075471628</v>
      </c>
      <c r="L10" s="276">
        <f>[3]Brewhouse!$P171</f>
        <v>60</v>
      </c>
      <c r="M10" s="397">
        <f>[3]Brewhouse!$U171-[3]Brewhouse!$T171</f>
        <v>0.13263888888888875</v>
      </c>
      <c r="N10" s="370">
        <f>[3]Brewhouse!$Z171</f>
        <v>0.29583333333333317</v>
      </c>
      <c r="O10" s="420" t="str">
        <f>[3]Brewhouse!$AX171</f>
        <v>K. Benjamin</v>
      </c>
      <c r="P10" s="418"/>
      <c r="R10" s="277" t="str">
        <f t="shared" ref="R10:R11" si="0">B10</f>
        <v>CARIB</v>
      </c>
      <c r="S10" s="472">
        <f t="shared" ref="S10:S22" si="1">VLOOKUP($B10,$R$3:$X$9,2,FALSE)</f>
        <v>11.6</v>
      </c>
      <c r="T10" s="472">
        <f t="shared" ref="T10:T22" si="2">VLOOKUP($B10,$R$3:$X$9,3,FALSE)</f>
        <v>12</v>
      </c>
      <c r="U10" s="297">
        <f t="shared" ref="U10:U22" si="3">VLOOKUP($B10,$R$3:$X$9,4,FALSE)</f>
        <v>0</v>
      </c>
      <c r="V10" s="297">
        <f t="shared" ref="V10:V22" si="4">VLOOKUP($B10,$R$3:$X$9,5,FALSE)</f>
        <v>0.118055555555556</v>
      </c>
      <c r="W10" s="297">
        <f t="shared" ref="W10:W22" si="5">VLOOKUP($B10,$R$3:$X$9,6,FALSE)</f>
        <v>0.22569444444444445</v>
      </c>
      <c r="X10" s="297">
        <f t="shared" ref="X10:X22" si="6">VLOOKUP($B10,$R$3:$X$9,7,FALSE)</f>
        <v>0.2638888888888889</v>
      </c>
      <c r="Y10" s="297">
        <f t="shared" ref="Y10:Y22" si="7">VLOOKUP($B10,$R$3:$Z$9,8,FALSE)</f>
        <v>0</v>
      </c>
      <c r="Z10" s="472">
        <f t="shared" ref="Z10:Z22" si="8">VLOOKUP($B10,$R$3:$Z$9,9,FALSE)</f>
        <v>60</v>
      </c>
    </row>
    <row r="11" spans="2:29" ht="16.5" customHeight="1">
      <c r="B11" s="29" t="s">
        <v>6</v>
      </c>
      <c r="C11" s="366" t="str">
        <f>[3]Brewhouse!$A172</f>
        <v>CA130</v>
      </c>
      <c r="D11" s="279">
        <f>[3]Brewhouse!$AF172</f>
        <v>50.9</v>
      </c>
      <c r="E11" s="279">
        <f>[3]Brewhouse!$AI172</f>
        <v>49.1</v>
      </c>
      <c r="F11" s="278">
        <f>[3]Brewhouse!$V172</f>
        <v>61</v>
      </c>
      <c r="G11" s="279">
        <f>[3]Brewhouse!AG172</f>
        <v>12</v>
      </c>
      <c r="H11" s="396">
        <v>12</v>
      </c>
      <c r="I11" s="368">
        <f>[3]Brewhouse!$AU172</f>
        <v>97.857596270649012</v>
      </c>
      <c r="J11" s="368">
        <f>[3]Brewhouse!$AV172</f>
        <v>98.766715866594183</v>
      </c>
      <c r="K11" s="281">
        <f>[3]Brewhouse!$Q172</f>
        <v>6.8301886792452775</v>
      </c>
      <c r="L11" s="276">
        <f>[3]Brewhouse!$P172</f>
        <v>58</v>
      </c>
      <c r="M11" s="397">
        <f>[3]Brewhouse!$U172-[3]Brewhouse!$T172</f>
        <v>0.11527777777777781</v>
      </c>
      <c r="N11" s="370">
        <f>[3]Brewhouse!$Z172</f>
        <v>0.26944444444444449</v>
      </c>
      <c r="O11" s="420" t="str">
        <f>[3]Brewhouse!$AX172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420"/>
      <c r="P12" s="418"/>
      <c r="R12" s="277">
        <f t="shared" ref="R12:R22" si="9">B12</f>
        <v>0</v>
      </c>
      <c r="S12" s="472" t="e">
        <f t="shared" si="1"/>
        <v>#N/A</v>
      </c>
      <c r="T12" s="472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2" t="e">
        <f t="shared" si="8"/>
        <v>#N/A</v>
      </c>
    </row>
    <row r="13" spans="2:29" ht="16.5" customHeight="1">
      <c r="B13" s="33" t="s">
        <v>9</v>
      </c>
      <c r="C13" s="366" t="str">
        <f>[4]Brewhouse!$A111</f>
        <v>ST060</v>
      </c>
      <c r="D13" s="279">
        <f>[4]Brewhouse!$AB111</f>
        <v>52.1</v>
      </c>
      <c r="E13" s="279">
        <f>[4]Brewhouse!$AG111</f>
        <v>47.6</v>
      </c>
      <c r="F13" s="278">
        <f>[4]Brewhouse!$V111</f>
        <v>58</v>
      </c>
      <c r="G13" s="279">
        <f>[4]Brewhouse!$AE111</f>
        <v>11.7</v>
      </c>
      <c r="H13" s="396">
        <v>11.6</v>
      </c>
      <c r="I13" s="368">
        <f>[4]Brewhouse!$AS111</f>
        <v>93.624091427861956</v>
      </c>
      <c r="J13" s="368">
        <f>[4]Brewhouse!$AT111</f>
        <v>94.357653870526491</v>
      </c>
      <c r="K13" s="281">
        <f>[4]Brewhouse!$Q111</f>
        <v>11.66026871401152</v>
      </c>
      <c r="L13" s="276">
        <f>[4]Brewhouse!$P111</f>
        <v>61</v>
      </c>
      <c r="M13" s="374">
        <f>[4]Brewhouse!$U111-[4]Brewhouse!$T111</f>
        <v>0.15555555555555556</v>
      </c>
      <c r="N13" s="370">
        <f>[4]Brewhouse!$AW111</f>
        <v>0.30694444444444446</v>
      </c>
      <c r="O13" s="371" t="str">
        <f>[4]Brewhouse!$AV111</f>
        <v>R. Regis</v>
      </c>
      <c r="P13" s="418"/>
      <c r="R13" s="277" t="str">
        <f t="shared" si="9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33" t="s">
        <v>9</v>
      </c>
      <c r="C14" s="366" t="str">
        <f>[4]Brewhouse!$A112</f>
        <v>ST061</v>
      </c>
      <c r="D14" s="279">
        <f>[4]Brewhouse!$AB112</f>
        <v>52.1</v>
      </c>
      <c r="E14" s="279">
        <f>[4]Brewhouse!$AG112</f>
        <v>49.3</v>
      </c>
      <c r="F14" s="278">
        <f>[4]Brewhouse!$V112</f>
        <v>62</v>
      </c>
      <c r="G14" s="279">
        <f>[4]Brewhouse!$AE112</f>
        <v>12</v>
      </c>
      <c r="H14" s="396">
        <v>11.9</v>
      </c>
      <c r="I14" s="368">
        <f>[4]Brewhouse!$AS112</f>
        <v>99.584274797583333</v>
      </c>
      <c r="J14" s="368">
        <f>[4]Brewhouse!$AT112</f>
        <v>100.36453640287515</v>
      </c>
      <c r="K14" s="281">
        <f>[4]Brewhouse!$Q112</f>
        <v>6.2859884836852178</v>
      </c>
      <c r="L14" s="276">
        <f>[4]Brewhouse!$P112</f>
        <v>57</v>
      </c>
      <c r="M14" s="374">
        <f>[4]Brewhouse!$U112-[4]Brewhouse!$T112</f>
        <v>0.12916666666666665</v>
      </c>
      <c r="N14" s="370">
        <f>[4]Brewhouse!$AW112</f>
        <v>0.29513888888888884</v>
      </c>
      <c r="O14" s="371" t="str">
        <f>[4]Brewhouse!$AV112</f>
        <v>D. Gomaz</v>
      </c>
      <c r="P14" s="418"/>
      <c r="R14" s="277" t="str">
        <f t="shared" si="9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33" t="s">
        <v>9</v>
      </c>
      <c r="C15" s="366" t="str">
        <f>[4]Brewhouse!$A113</f>
        <v>ST062</v>
      </c>
      <c r="D15" s="279">
        <f>[4]Brewhouse!$AB113</f>
        <v>52.1</v>
      </c>
      <c r="E15" s="279">
        <f>[4]Brewhouse!$AG113</f>
        <v>49.3</v>
      </c>
      <c r="F15" s="278">
        <f>[4]Brewhouse!$V113</f>
        <v>65</v>
      </c>
      <c r="G15" s="279">
        <f>[4]Brewhouse!$AE113</f>
        <v>12</v>
      </c>
      <c r="H15" s="396">
        <v>11.9</v>
      </c>
      <c r="I15" s="368">
        <f>[4]Brewhouse!$AS113</f>
        <v>99.70978306370283</v>
      </c>
      <c r="J15" s="368">
        <f>[4]Brewhouse!$AT113</f>
        <v>100.49076902293916</v>
      </c>
      <c r="K15" s="281">
        <f>[4]Brewhouse!$Q113</f>
        <v>5.7101727447216915</v>
      </c>
      <c r="L15" s="276">
        <f>[4]Brewhouse!$P113</f>
        <v>58</v>
      </c>
      <c r="M15" s="374">
        <f>[4]Brewhouse!$U113-[4]Brewhouse!$T113</f>
        <v>0.12847222222222221</v>
      </c>
      <c r="N15" s="370">
        <f>[4]Brewhouse!$AW113</f>
        <v>0.29166666666666674</v>
      </c>
      <c r="O15" s="371" t="str">
        <f>[4]Brewhouse!$AV113</f>
        <v>D. Gomaz</v>
      </c>
      <c r="P15" s="418"/>
      <c r="R15" s="277" t="str">
        <f t="shared" si="9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6.5" customHeight="1">
      <c r="B16" s="33" t="s">
        <v>9</v>
      </c>
      <c r="C16" s="366" t="str">
        <f>[4]Brewhouse!$A114</f>
        <v>ST063</v>
      </c>
      <c r="D16" s="279">
        <f>[4]Brewhouse!$AB114</f>
        <v>52</v>
      </c>
      <c r="E16" s="279">
        <f>[4]Brewhouse!$AG114</f>
        <v>48.5</v>
      </c>
      <c r="F16" s="278">
        <f>[4]Brewhouse!$V114</f>
        <v>51</v>
      </c>
      <c r="G16" s="279">
        <f>[4]Brewhouse!$AE114</f>
        <v>11.9</v>
      </c>
      <c r="H16" s="396">
        <v>12</v>
      </c>
      <c r="I16" s="368">
        <f>[4]Brewhouse!$AS114</f>
        <v>97.110300140907029</v>
      </c>
      <c r="J16" s="368">
        <f>[4]Brewhouse!$AT114</f>
        <v>97.871177687410508</v>
      </c>
      <c r="K16" s="281">
        <f>[4]Brewhouse!$Q114</f>
        <v>6.874999999999992</v>
      </c>
      <c r="L16" s="276">
        <f>[4]Brewhouse!$P114</f>
        <v>60</v>
      </c>
      <c r="M16" s="374">
        <f>[4]Brewhouse!$U114-[4]Brewhouse!$T114</f>
        <v>0.13263888888888897</v>
      </c>
      <c r="N16" s="370">
        <f>[4]Brewhouse!$AW114</f>
        <v>0.28750000000000009</v>
      </c>
      <c r="O16" s="371" t="str">
        <f>[4]Brewhouse!$AV114</f>
        <v>D. Gomaz</v>
      </c>
      <c r="P16" s="418"/>
      <c r="R16" s="277" t="str">
        <f t="shared" si="9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6.5" customHeight="1">
      <c r="B17" s="33" t="s">
        <v>9</v>
      </c>
      <c r="C17" s="366" t="str">
        <f>[4]Brewhouse!$A115</f>
        <v>ST064</v>
      </c>
      <c r="D17" s="279">
        <f>[4]Brewhouse!$AB115</f>
        <v>52</v>
      </c>
      <c r="E17" s="279">
        <f>[4]Brewhouse!$AG115</f>
        <v>47.8</v>
      </c>
      <c r="F17" s="278">
        <f>[4]Brewhouse!$V115</f>
        <v>55</v>
      </c>
      <c r="G17" s="279">
        <f>[4]Brewhouse!$AE115</f>
        <v>11.6</v>
      </c>
      <c r="H17" s="482"/>
      <c r="I17" s="368">
        <f>[4]Brewhouse!$AS115</f>
        <v>92.705086039935708</v>
      </c>
      <c r="J17" s="368">
        <f>[4]Brewhouse!$AT115</f>
        <v>93.432405202240744</v>
      </c>
      <c r="K17" s="281">
        <f>[4]Brewhouse!$Q115</f>
        <v>5.3365384615384581</v>
      </c>
      <c r="L17" s="276">
        <f>[4]Brewhouse!$P115</f>
        <v>60</v>
      </c>
      <c r="M17" s="374">
        <f>[4]Brewhouse!$U115-[4]Brewhouse!$T115</f>
        <v>0.11458333333333326</v>
      </c>
      <c r="N17" s="370">
        <f>[4]Brewhouse!$AW115</f>
        <v>0.3125</v>
      </c>
      <c r="O17" s="371" t="str">
        <f>[4]Brewhouse!$AV115</f>
        <v>K. Benjamin</v>
      </c>
      <c r="P17" s="418"/>
      <c r="R17" s="277" t="str">
        <f t="shared" si="9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6.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6.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6.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6.5" hidden="1" customHeight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8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6.5" hidden="1" customHeight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ref="R23" si="10">B23</f>
        <v>0</v>
      </c>
      <c r="S23" s="472" t="e">
        <f t="shared" ref="S23:S37" si="11">VLOOKUP($B23,$R$3:$X$9,2,FALSE)</f>
        <v>#N/A</v>
      </c>
      <c r="T23" s="472" t="e">
        <f t="shared" ref="T23:T37" si="12">VLOOKUP($B23,$R$3:$X$9,3,FALSE)</f>
        <v>#N/A</v>
      </c>
      <c r="U23" s="297" t="e">
        <f t="shared" ref="U23:U37" si="13">VLOOKUP($B23,$R$3:$X$9,4,FALSE)</f>
        <v>#N/A</v>
      </c>
      <c r="V23" s="297" t="e">
        <f t="shared" ref="V23:V37" si="14">VLOOKUP($B23,$R$3:$X$9,5,FALSE)</f>
        <v>#N/A</v>
      </c>
      <c r="W23" s="297" t="e">
        <f t="shared" ref="W23:W37" si="15">VLOOKUP($B23,$R$3:$X$9,6,FALSE)</f>
        <v>#N/A</v>
      </c>
      <c r="X23" s="297" t="e">
        <f t="shared" ref="X23:X37" si="16">VLOOKUP($B23,$R$3:$X$9,7,FALSE)</f>
        <v>#N/A</v>
      </c>
      <c r="Y23" s="297" t="e">
        <f t="shared" ref="Y23:Y37" si="17">VLOOKUP($B23,$R$3:$Z$9,8,FALSE)</f>
        <v>#N/A</v>
      </c>
      <c r="Z23" s="472" t="e">
        <f t="shared" ref="Z23:Z37" si="18">VLOOKUP($B23,$R$3:$Z$9,9,FALSE)</f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11"/>
      <c r="J24" s="511"/>
      <c r="K24" s="511"/>
      <c r="L24" s="511"/>
      <c r="M24" s="511"/>
      <c r="N24" s="511"/>
      <c r="O24" s="1"/>
      <c r="P24" s="12"/>
      <c r="R24" s="277">
        <f t="shared" ref="R24:R37" si="19">B24</f>
        <v>0</v>
      </c>
      <c r="S24" s="472" t="e">
        <f t="shared" si="11"/>
        <v>#N/A</v>
      </c>
      <c r="T24" s="472" t="e">
        <f t="shared" si="12"/>
        <v>#N/A</v>
      </c>
      <c r="U24" s="297" t="e">
        <f t="shared" si="13"/>
        <v>#N/A</v>
      </c>
      <c r="V24" s="297" t="e">
        <f t="shared" si="14"/>
        <v>#N/A</v>
      </c>
      <c r="W24" s="297" t="e">
        <f t="shared" si="15"/>
        <v>#N/A</v>
      </c>
      <c r="X24" s="297" t="e">
        <f t="shared" si="16"/>
        <v>#N/A</v>
      </c>
      <c r="Y24" s="297" t="e">
        <f t="shared" si="17"/>
        <v>#N/A</v>
      </c>
      <c r="Z24" s="472" t="e">
        <f t="shared" si="18"/>
        <v>#N/A</v>
      </c>
    </row>
    <row r="25" spans="1:27" ht="15.75" customHeight="1" thickBot="1">
      <c r="B25" s="388" t="s">
        <v>162</v>
      </c>
      <c r="C25" s="388"/>
      <c r="D25" s="512" t="s">
        <v>35</v>
      </c>
      <c r="E25" s="513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19"/>
        <v xml:space="preserve">BRAND </v>
      </c>
      <c r="S25" s="472" t="e">
        <f t="shared" si="11"/>
        <v>#N/A</v>
      </c>
      <c r="T25" s="472" t="e">
        <f t="shared" si="12"/>
        <v>#N/A</v>
      </c>
      <c r="U25" s="297" t="e">
        <f t="shared" si="13"/>
        <v>#N/A</v>
      </c>
      <c r="V25" s="297" t="e">
        <f t="shared" si="14"/>
        <v>#N/A</v>
      </c>
      <c r="W25" s="297" t="e">
        <f t="shared" si="15"/>
        <v>#N/A</v>
      </c>
      <c r="X25" s="297" t="e">
        <f t="shared" si="16"/>
        <v>#N/A</v>
      </c>
      <c r="Y25" s="297" t="e">
        <f t="shared" si="17"/>
        <v>#N/A</v>
      </c>
      <c r="Z25" s="472" t="e">
        <f t="shared" si="18"/>
        <v>#N/A</v>
      </c>
    </row>
    <row r="26" spans="1:27" ht="15" customHeight="1">
      <c r="A26" s="28"/>
      <c r="B26" s="583" t="str">
        <f>I28</f>
        <v>GUINNESS</v>
      </c>
      <c r="C26" s="362" cm="1">
        <f t="array" ref="C26:C29">[6]Process!$D$26:$D$29</f>
        <v>17</v>
      </c>
      <c r="D26" s="517">
        <v>17.63</v>
      </c>
      <c r="E26" s="518"/>
      <c r="F26" s="294"/>
      <c r="G26" s="294"/>
      <c r="H26" s="348"/>
      <c r="I26" s="29" t="s">
        <v>6</v>
      </c>
      <c r="J26" s="323">
        <f>AVERAGE(I10:I11)</f>
        <v>100.29301495929269</v>
      </c>
      <c r="K26" s="284">
        <f>COUNTA([3]Brewhouse!$A$125:$A$172)</f>
        <v>48</v>
      </c>
      <c r="L26" s="305">
        <f>AVERAGE([3]Brewhouse!$AU$125:$AU$172)</f>
        <v>97.230605505755889</v>
      </c>
      <c r="M26" s="305">
        <f>AVERAGE([3]Brewhouse!$AU$42:$AU$123,[3]Brewhouse!$AU$125:$AU$172)</f>
        <v>97.68248336972249</v>
      </c>
      <c r="N26" s="30">
        <v>98</v>
      </c>
      <c r="O26" s="11"/>
      <c r="P26" s="31"/>
      <c r="R26" s="277" t="str">
        <f t="shared" si="19"/>
        <v>GUINNESS</v>
      </c>
      <c r="S26" s="472">
        <f t="shared" si="11"/>
        <v>17</v>
      </c>
      <c r="T26" s="472">
        <f t="shared" si="12"/>
        <v>17.5</v>
      </c>
      <c r="U26" s="297">
        <f t="shared" si="13"/>
        <v>0</v>
      </c>
      <c r="V26" s="297">
        <f t="shared" si="14"/>
        <v>0.1076388888888889</v>
      </c>
      <c r="W26" s="297">
        <f t="shared" si="15"/>
        <v>0.24652777777777779</v>
      </c>
      <c r="X26" s="297">
        <f t="shared" si="16"/>
        <v>0.28472222222222221</v>
      </c>
      <c r="Y26" s="297">
        <f t="shared" si="17"/>
        <v>0</v>
      </c>
      <c r="Z26" s="472">
        <f t="shared" si="18"/>
        <v>60</v>
      </c>
    </row>
    <row r="27" spans="1:27" ht="15" customHeight="1">
      <c r="A27" s="28"/>
      <c r="B27" s="584"/>
      <c r="C27" s="362">
        <v>17.399999999999999</v>
      </c>
      <c r="D27" s="519"/>
      <c r="E27" s="520"/>
      <c r="F27" s="294"/>
      <c r="G27" s="294"/>
      <c r="H27" s="348"/>
      <c r="I27" s="33" t="s">
        <v>9</v>
      </c>
      <c r="J27" s="280">
        <f>AVERAGE(I13:I17)</f>
        <v>96.54670709399818</v>
      </c>
      <c r="K27" s="284">
        <f>COUNTA([4]Brewhouse!$A$83:$A$114)</f>
        <v>32</v>
      </c>
      <c r="L27" s="302">
        <f>AVERAGE([4]Brewhouse!$AS$83:$AS$114)</f>
        <v>98.416572499761386</v>
      </c>
      <c r="M27" s="302">
        <f>AVERAGE([4]Brewhouse!$AS$52:$AS$81,[4]Brewhouse!$AS$83:$AS$114)</f>
        <v>98.711074232947951</v>
      </c>
      <c r="N27" s="30">
        <v>98</v>
      </c>
      <c r="O27" s="11"/>
      <c r="P27" s="31"/>
      <c r="R27" s="277">
        <f t="shared" si="19"/>
        <v>0</v>
      </c>
      <c r="S27" s="472" t="e">
        <f t="shared" si="11"/>
        <v>#N/A</v>
      </c>
      <c r="T27" s="472" t="e">
        <f t="shared" si="12"/>
        <v>#N/A</v>
      </c>
      <c r="U27" s="297" t="e">
        <f t="shared" si="13"/>
        <v>#N/A</v>
      </c>
      <c r="V27" s="297" t="e">
        <f t="shared" si="14"/>
        <v>#N/A</v>
      </c>
      <c r="W27" s="297" t="e">
        <f t="shared" si="15"/>
        <v>#N/A</v>
      </c>
      <c r="X27" s="297" t="e">
        <f t="shared" si="16"/>
        <v>#N/A</v>
      </c>
      <c r="Y27" s="297" t="e">
        <f t="shared" si="17"/>
        <v>#N/A</v>
      </c>
      <c r="Z27" s="472" t="e">
        <f t="shared" si="18"/>
        <v>#N/A</v>
      </c>
    </row>
    <row r="28" spans="1:27" ht="14.65" customHeight="1">
      <c r="A28" s="28"/>
      <c r="B28" s="584"/>
      <c r="C28" s="362">
        <v>17.100000000000001</v>
      </c>
      <c r="D28" s="521">
        <v>17.489999999999998</v>
      </c>
      <c r="E28" s="522"/>
      <c r="F28" s="294"/>
      <c r="G28" s="294"/>
      <c r="H28" s="348"/>
      <c r="I28" s="34" t="s">
        <v>12</v>
      </c>
      <c r="J28" s="280"/>
      <c r="K28" s="284">
        <f>COUNTA([6]Brewhouse!$A$25:$A$27)</f>
        <v>3</v>
      </c>
      <c r="L28" s="302">
        <f>AVERAGE([6]Brewhouse!$AU$25:$AU$27)</f>
        <v>98.383718888256155</v>
      </c>
      <c r="M28" s="302">
        <f>AVERAGE([6]Brewhouse!$AU$16:$AU$23,[6]Brewhouse!$AU$25:$AU$27)</f>
        <v>97.933890431198279</v>
      </c>
      <c r="N28" s="30">
        <v>98</v>
      </c>
      <c r="O28" s="11"/>
      <c r="P28" s="31"/>
      <c r="R28" s="277">
        <f t="shared" si="19"/>
        <v>0</v>
      </c>
      <c r="S28" s="472" t="e">
        <f t="shared" si="11"/>
        <v>#N/A</v>
      </c>
      <c r="T28" s="472" t="e">
        <f t="shared" si="12"/>
        <v>#N/A</v>
      </c>
      <c r="U28" s="297" t="e">
        <f t="shared" si="13"/>
        <v>#N/A</v>
      </c>
      <c r="V28" s="297" t="e">
        <f t="shared" si="14"/>
        <v>#N/A</v>
      </c>
      <c r="W28" s="297" t="e">
        <f t="shared" si="15"/>
        <v>#N/A</v>
      </c>
      <c r="X28" s="297" t="e">
        <f t="shared" si="16"/>
        <v>#N/A</v>
      </c>
      <c r="Y28" s="297" t="e">
        <f t="shared" si="17"/>
        <v>#N/A</v>
      </c>
      <c r="Z28" s="472" t="e">
        <f t="shared" si="18"/>
        <v>#N/A</v>
      </c>
    </row>
    <row r="29" spans="1:27" ht="14.65" customHeight="1">
      <c r="A29" s="28"/>
      <c r="B29" s="584"/>
      <c r="C29" s="362">
        <v>17</v>
      </c>
      <c r="D29" s="523"/>
      <c r="E29" s="520"/>
      <c r="F29" s="294"/>
      <c r="G29" s="294"/>
      <c r="H29" s="348"/>
      <c r="I29" s="22" t="s">
        <v>33</v>
      </c>
      <c r="J29" s="280"/>
      <c r="K29" s="284"/>
      <c r="L29" s="302"/>
      <c r="M29" s="302">
        <f>AVERAGE([5]Brewhouse!$AV$23:$AV$34)</f>
        <v>98.31387229810305</v>
      </c>
      <c r="N29" s="30">
        <v>98</v>
      </c>
      <c r="O29" s="11"/>
      <c r="P29" s="31"/>
      <c r="R29" s="277">
        <f t="shared" si="19"/>
        <v>0</v>
      </c>
      <c r="S29" s="472" t="e">
        <f t="shared" si="11"/>
        <v>#N/A</v>
      </c>
      <c r="T29" s="472" t="e">
        <f t="shared" si="12"/>
        <v>#N/A</v>
      </c>
      <c r="U29" s="297" t="e">
        <f t="shared" si="13"/>
        <v>#N/A</v>
      </c>
      <c r="V29" s="297" t="e">
        <f t="shared" si="14"/>
        <v>#N/A</v>
      </c>
      <c r="W29" s="297" t="e">
        <f t="shared" si="15"/>
        <v>#N/A</v>
      </c>
      <c r="X29" s="297" t="e">
        <f t="shared" si="16"/>
        <v>#N/A</v>
      </c>
      <c r="Y29" s="297" t="e">
        <f t="shared" si="17"/>
        <v>#N/A</v>
      </c>
      <c r="Z29" s="472" t="e">
        <f t="shared" si="18"/>
        <v>#N/A</v>
      </c>
    </row>
    <row r="30" spans="1:27" ht="14.65" customHeight="1">
      <c r="A30" s="28"/>
      <c r="B30" s="584"/>
      <c r="C30" s="362"/>
      <c r="D30" s="521"/>
      <c r="E30" s="522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19"/>
        <v>0</v>
      </c>
      <c r="S30" s="472" t="e">
        <f t="shared" si="11"/>
        <v>#N/A</v>
      </c>
      <c r="T30" s="472" t="e">
        <f t="shared" si="12"/>
        <v>#N/A</v>
      </c>
      <c r="U30" s="297" t="e">
        <f t="shared" si="13"/>
        <v>#N/A</v>
      </c>
      <c r="V30" s="297" t="e">
        <f t="shared" si="14"/>
        <v>#N/A</v>
      </c>
      <c r="W30" s="297" t="e">
        <f t="shared" si="15"/>
        <v>#N/A</v>
      </c>
      <c r="X30" s="297" t="e">
        <f t="shared" si="16"/>
        <v>#N/A</v>
      </c>
      <c r="Y30" s="297" t="e">
        <f t="shared" si="17"/>
        <v>#N/A</v>
      </c>
      <c r="Z30" s="472" t="e">
        <f t="shared" si="18"/>
        <v>#N/A</v>
      </c>
    </row>
    <row r="31" spans="1:27" ht="14.65" customHeight="1">
      <c r="A31" s="28"/>
      <c r="B31" s="584"/>
      <c r="C31" s="362"/>
      <c r="D31" s="523"/>
      <c r="E31" s="520"/>
      <c r="F31" s="417"/>
      <c r="G31" s="294"/>
      <c r="H31" s="348"/>
      <c r="I31" s="36" t="s">
        <v>15</v>
      </c>
      <c r="J31" s="323"/>
      <c r="K31" s="284"/>
      <c r="L31" s="302"/>
      <c r="M31" s="302">
        <f>AVERAGE([7]Brewhouse!$AT$4:$AT$11)</f>
        <v>92.826224508052405</v>
      </c>
      <c r="N31" s="30">
        <v>98</v>
      </c>
      <c r="O31" s="11"/>
      <c r="P31" s="31"/>
      <c r="R31" s="277">
        <f t="shared" si="19"/>
        <v>0</v>
      </c>
      <c r="S31" s="472" t="e">
        <f t="shared" si="11"/>
        <v>#N/A</v>
      </c>
      <c r="T31" s="472" t="e">
        <f t="shared" si="12"/>
        <v>#N/A</v>
      </c>
      <c r="U31" s="297" t="e">
        <f t="shared" si="13"/>
        <v>#N/A</v>
      </c>
      <c r="V31" s="297" t="e">
        <f t="shared" si="14"/>
        <v>#N/A</v>
      </c>
      <c r="W31" s="297" t="e">
        <f t="shared" si="15"/>
        <v>#N/A</v>
      </c>
      <c r="X31" s="297" t="e">
        <f t="shared" si="16"/>
        <v>#N/A</v>
      </c>
      <c r="Y31" s="297" t="e">
        <f t="shared" si="17"/>
        <v>#N/A</v>
      </c>
      <c r="Z31" s="472" t="e">
        <f t="shared" si="18"/>
        <v>#N/A</v>
      </c>
      <c r="AA31" s="472"/>
    </row>
    <row r="32" spans="1:27" ht="14.65" customHeight="1">
      <c r="A32" s="28"/>
      <c r="B32" s="584"/>
      <c r="C32" s="362"/>
      <c r="D32" s="521"/>
      <c r="E32" s="522"/>
      <c r="F32" s="417"/>
      <c r="G32" s="294"/>
      <c r="H32" s="348"/>
      <c r="I32" s="37" t="s">
        <v>16</v>
      </c>
      <c r="J32" s="323"/>
      <c r="K32" s="284"/>
      <c r="L32" s="302"/>
      <c r="M32" s="302">
        <f>AVERAGE([8]Brewhouse!$AY$5:$AY$7)</f>
        <v>98.128633252159673</v>
      </c>
      <c r="N32" s="30">
        <v>98</v>
      </c>
      <c r="O32" s="11"/>
      <c r="P32" s="31" t="s">
        <v>41</v>
      </c>
      <c r="R32" s="277">
        <f t="shared" si="19"/>
        <v>0</v>
      </c>
      <c r="S32" s="472" t="e">
        <f t="shared" si="11"/>
        <v>#N/A</v>
      </c>
      <c r="T32" s="472" t="e">
        <f t="shared" si="12"/>
        <v>#N/A</v>
      </c>
      <c r="U32" s="297" t="e">
        <f t="shared" si="13"/>
        <v>#N/A</v>
      </c>
      <c r="V32" s="297" t="e">
        <f t="shared" si="14"/>
        <v>#N/A</v>
      </c>
      <c r="W32" s="297" t="e">
        <f t="shared" si="15"/>
        <v>#N/A</v>
      </c>
      <c r="X32" s="297" t="e">
        <f t="shared" si="16"/>
        <v>#N/A</v>
      </c>
      <c r="Y32" s="297" t="e">
        <f t="shared" si="17"/>
        <v>#N/A</v>
      </c>
      <c r="Z32" s="472" t="e">
        <f t="shared" si="18"/>
        <v>#N/A</v>
      </c>
      <c r="AA32" s="472"/>
    </row>
    <row r="33" spans="1:56" ht="14.65" customHeight="1">
      <c r="A33" s="28"/>
      <c r="B33" s="584"/>
      <c r="C33" s="362"/>
      <c r="D33" s="523"/>
      <c r="E33" s="520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19"/>
        <v>0</v>
      </c>
      <c r="S33" s="472" t="e">
        <f t="shared" si="11"/>
        <v>#N/A</v>
      </c>
      <c r="T33" s="472" t="e">
        <f t="shared" si="12"/>
        <v>#N/A</v>
      </c>
      <c r="U33" s="297" t="e">
        <f t="shared" si="13"/>
        <v>#N/A</v>
      </c>
      <c r="V33" s="297" t="e">
        <f t="shared" si="14"/>
        <v>#N/A</v>
      </c>
      <c r="W33" s="297" t="e">
        <f t="shared" si="15"/>
        <v>#N/A</v>
      </c>
      <c r="X33" s="297" t="e">
        <f t="shared" si="16"/>
        <v>#N/A</v>
      </c>
      <c r="Y33" s="297" t="e">
        <f t="shared" si="17"/>
        <v>#N/A</v>
      </c>
      <c r="Z33" s="472" t="e">
        <f t="shared" si="18"/>
        <v>#N/A</v>
      </c>
      <c r="AA33" s="472"/>
    </row>
    <row r="34" spans="1:56" ht="14.65" customHeight="1">
      <c r="A34" s="28"/>
      <c r="B34" s="584"/>
      <c r="C34" s="349"/>
      <c r="D34" s="521"/>
      <c r="E34" s="522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19"/>
        <v>0</v>
      </c>
      <c r="S34" s="472" t="e">
        <f t="shared" si="11"/>
        <v>#N/A</v>
      </c>
      <c r="T34" s="472" t="e">
        <f t="shared" si="12"/>
        <v>#N/A</v>
      </c>
      <c r="U34" s="297" t="e">
        <f t="shared" si="13"/>
        <v>#N/A</v>
      </c>
      <c r="V34" s="297" t="e">
        <f t="shared" si="14"/>
        <v>#N/A</v>
      </c>
      <c r="W34" s="297" t="e">
        <f t="shared" si="15"/>
        <v>#N/A</v>
      </c>
      <c r="X34" s="297" t="e">
        <f t="shared" si="16"/>
        <v>#N/A</v>
      </c>
      <c r="Y34" s="297" t="e">
        <f t="shared" si="17"/>
        <v>#N/A</v>
      </c>
      <c r="Z34" s="472" t="e">
        <f t="shared" si="18"/>
        <v>#N/A</v>
      </c>
      <c r="AA34" s="472"/>
    </row>
    <row r="35" spans="1:56" ht="15" customHeight="1" thickBot="1">
      <c r="A35" s="28"/>
      <c r="B35" s="584"/>
      <c r="C35" s="349"/>
      <c r="D35" s="523"/>
      <c r="E35" s="520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19"/>
        <v>0</v>
      </c>
      <c r="S35" s="472" t="e">
        <f t="shared" si="11"/>
        <v>#N/A</v>
      </c>
      <c r="T35" s="472" t="e">
        <f t="shared" si="12"/>
        <v>#N/A</v>
      </c>
      <c r="U35" s="297" t="e">
        <f t="shared" si="13"/>
        <v>#N/A</v>
      </c>
      <c r="V35" s="297" t="e">
        <f t="shared" si="14"/>
        <v>#N/A</v>
      </c>
      <c r="W35" s="297" t="e">
        <f t="shared" si="15"/>
        <v>#N/A</v>
      </c>
      <c r="X35" s="297" t="e">
        <f t="shared" si="16"/>
        <v>#N/A</v>
      </c>
      <c r="Y35" s="297" t="e">
        <f t="shared" si="17"/>
        <v>#N/A</v>
      </c>
      <c r="Z35" s="472" t="e">
        <f t="shared" si="18"/>
        <v>#N/A</v>
      </c>
      <c r="AA35" s="472"/>
    </row>
    <row r="36" spans="1:56" ht="15" customHeight="1" thickBot="1">
      <c r="A36" s="28"/>
      <c r="B36" s="584"/>
      <c r="C36" s="349"/>
      <c r="D36" s="517"/>
      <c r="E36" s="518"/>
      <c r="F36" s="294"/>
      <c r="G36" s="294"/>
      <c r="H36" s="348"/>
      <c r="I36" s="1"/>
      <c r="J36" s="39"/>
      <c r="K36" s="404">
        <f>SUM(K26:K35)</f>
        <v>83</v>
      </c>
      <c r="L36" s="405">
        <f>((L26*K26)+(L27*K27)+(L28*K28)+(L29*K29)+(L30*K30)+(K33*L33)+(L31*K31)+(L32*K32)+(L35*K35))/(K36)</f>
        <v>97.729524589559219</v>
      </c>
      <c r="M36" s="405">
        <f>AVERAGE('[9]Jan30th-31st'!$L$42,L36)</f>
        <v>97.778783162700336</v>
      </c>
      <c r="N36" s="40">
        <v>98</v>
      </c>
      <c r="O36" s="11"/>
      <c r="P36" s="31"/>
      <c r="R36" s="277">
        <f t="shared" si="19"/>
        <v>0</v>
      </c>
      <c r="S36" s="472" t="e">
        <f t="shared" si="11"/>
        <v>#N/A</v>
      </c>
      <c r="T36" s="472" t="e">
        <f t="shared" si="12"/>
        <v>#N/A</v>
      </c>
      <c r="U36" s="297" t="e">
        <f t="shared" si="13"/>
        <v>#N/A</v>
      </c>
      <c r="V36" s="297" t="e">
        <f t="shared" si="14"/>
        <v>#N/A</v>
      </c>
      <c r="W36" s="297" t="e">
        <f t="shared" si="15"/>
        <v>#N/A</v>
      </c>
      <c r="X36" s="297" t="e">
        <f t="shared" si="16"/>
        <v>#N/A</v>
      </c>
      <c r="Y36" s="297" t="e">
        <f t="shared" si="17"/>
        <v>#N/A</v>
      </c>
      <c r="Z36" s="472" t="e">
        <f t="shared" si="18"/>
        <v>#N/A</v>
      </c>
      <c r="AA36" s="472"/>
    </row>
    <row r="37" spans="1:56" ht="15.75" thickBot="1">
      <c r="B37" s="586"/>
      <c r="C37" s="350"/>
      <c r="D37" s="519"/>
      <c r="E37" s="520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19"/>
        <v>0</v>
      </c>
      <c r="S37" s="472" t="e">
        <f t="shared" si="11"/>
        <v>#N/A</v>
      </c>
      <c r="T37" s="472" t="e">
        <f t="shared" si="12"/>
        <v>#N/A</v>
      </c>
      <c r="U37" s="297" t="e">
        <f t="shared" si="13"/>
        <v>#N/A</v>
      </c>
      <c r="V37" s="297" t="e">
        <f t="shared" si="14"/>
        <v>#N/A</v>
      </c>
      <c r="W37" s="297" t="e">
        <f t="shared" si="15"/>
        <v>#N/A</v>
      </c>
      <c r="X37" s="297" t="e">
        <f t="shared" si="16"/>
        <v>#N/A</v>
      </c>
      <c r="Y37" s="297" t="e">
        <f t="shared" si="17"/>
        <v>#N/A</v>
      </c>
      <c r="Z37" s="472" t="e">
        <f t="shared" si="18"/>
        <v>#N/A</v>
      </c>
      <c r="AA37" s="472"/>
    </row>
    <row r="38" spans="1:56" ht="15.75" thickBot="1">
      <c r="B38" s="514"/>
      <c r="C38" s="362"/>
      <c r="D38" s="525"/>
      <c r="E38" s="526"/>
      <c r="F38" s="294"/>
      <c r="G38" s="42"/>
      <c r="H38" s="41"/>
      <c r="I38" s="42"/>
      <c r="J38" s="527" t="s">
        <v>129</v>
      </c>
      <c r="K38" s="527"/>
      <c r="L38" s="294"/>
      <c r="M38" s="294"/>
      <c r="N38" s="294"/>
      <c r="O38" s="294"/>
      <c r="P38" s="12"/>
    </row>
    <row r="39" spans="1:56" ht="15.75" thickBot="1">
      <c r="B39" s="515"/>
      <c r="C39" s="362"/>
      <c r="D39" s="523"/>
      <c r="E39" s="520"/>
      <c r="F39" s="294"/>
      <c r="G39" s="42"/>
      <c r="H39" s="41"/>
      <c r="I39" s="42"/>
      <c r="J39" s="292" t="s">
        <v>17</v>
      </c>
      <c r="K39" s="293" t="s">
        <v>147</v>
      </c>
      <c r="L39" s="528" t="s">
        <v>136</v>
      </c>
      <c r="M39" s="528"/>
      <c r="N39" s="529"/>
      <c r="O39" s="294"/>
      <c r="P39" s="12"/>
    </row>
    <row r="40" spans="1:56" ht="15" customHeight="1" thickBot="1">
      <c r="B40" s="515"/>
      <c r="C40" s="349"/>
      <c r="D40" s="521"/>
      <c r="E40" s="522"/>
      <c r="F40" s="294"/>
      <c r="G40" s="42"/>
      <c r="H40" s="41"/>
      <c r="I40" s="42"/>
      <c r="J40" s="287" t="s">
        <v>6</v>
      </c>
      <c r="K40" s="324">
        <v>2</v>
      </c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15"/>
      <c r="C41" s="349"/>
      <c r="D41" s="523"/>
      <c r="E41" s="520"/>
      <c r="F41" s="294"/>
      <c r="G41" s="42"/>
      <c r="H41" s="41"/>
      <c r="I41" s="42"/>
      <c r="J41" s="345" t="s">
        <v>9</v>
      </c>
      <c r="K41" s="324">
        <v>5</v>
      </c>
      <c r="L41" s="344">
        <f>AVERAGE(K50,'Feb 2nd'!K49,'Feb 3rd'!K54,'Feb 4th'!K53,'Feb 4th'!K53,'Feb 5th'!K49,'Feb 6th'!K49,'Feb 9th'!K52,'Feb 10th'!K54,'Feb 11th'!K48,'Feb 12th'!K49,'Feb 13th'!K46,'Feb 16th'!K54,'Feb 17th'!K50,'Feb 18th '!K48)</f>
        <v>6.4666666666666668</v>
      </c>
      <c r="M41" s="325">
        <f>AVERAGE('[9]Jan30th-31st'!$L$47,L41)</f>
        <v>6.2768115942028988</v>
      </c>
      <c r="N41" s="416">
        <v>9.1999999999999993</v>
      </c>
      <c r="O41" s="294"/>
      <c r="P41" s="12"/>
    </row>
    <row r="42" spans="1:56" ht="15" customHeight="1">
      <c r="B42" s="515"/>
      <c r="C42" s="349"/>
      <c r="D42" s="521"/>
      <c r="E42" s="522"/>
      <c r="F42" s="294"/>
      <c r="G42" s="42"/>
      <c r="H42" s="41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15"/>
      <c r="C43" s="349"/>
      <c r="D43" s="523"/>
      <c r="E43" s="520"/>
      <c r="F43" s="294"/>
      <c r="G43" s="42"/>
      <c r="H43" s="41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15"/>
      <c r="C44" s="349"/>
      <c r="D44" s="521"/>
      <c r="E44" s="522"/>
      <c r="F44" s="294"/>
      <c r="G44" s="42"/>
      <c r="H44" s="41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15"/>
      <c r="C45" s="349"/>
      <c r="D45" s="523"/>
      <c r="E45" s="520"/>
      <c r="F45" s="294"/>
      <c r="G45" s="42"/>
      <c r="H45" s="41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15"/>
      <c r="C46" s="349"/>
      <c r="D46" s="521"/>
      <c r="E46" s="522"/>
      <c r="F46" s="294"/>
      <c r="G46" s="42"/>
      <c r="H46" s="41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4"/>
      <c r="C47" s="350"/>
      <c r="D47" s="530"/>
      <c r="E47" s="531"/>
      <c r="F47" s="294" t="s">
        <v>166</v>
      </c>
      <c r="G47" s="42"/>
      <c r="H47" s="41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32"/>
      <c r="E48" s="533"/>
      <c r="F48" s="294"/>
      <c r="H48" s="41"/>
      <c r="I48" s="42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1:57" ht="17.649999999999999" customHeight="1">
      <c r="B49" s="363"/>
      <c r="C49" s="364"/>
      <c r="D49" s="365"/>
      <c r="E49" s="365"/>
      <c r="F49" s="294"/>
      <c r="G49" s="42"/>
      <c r="H49" s="41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1:57" ht="15.6" customHeight="1">
      <c r="B50" s="45"/>
      <c r="C50" s="11"/>
      <c r="D50" s="11"/>
      <c r="E50" s="46"/>
      <c r="F50" s="294"/>
      <c r="G50" s="42"/>
      <c r="H50" s="41"/>
      <c r="I50" s="42"/>
      <c r="J50" s="346" t="s">
        <v>130</v>
      </c>
      <c r="K50" s="324">
        <f>SUM(K40:K49)</f>
        <v>7</v>
      </c>
      <c r="L50" s="294"/>
      <c r="M50" s="294"/>
      <c r="N50" s="294"/>
      <c r="O50" s="294"/>
      <c r="P50" s="12"/>
    </row>
    <row r="51" spans="1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294"/>
      <c r="N51" s="315"/>
      <c r="P51" s="334"/>
    </row>
    <row r="52" spans="1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1:57" ht="15" customHeight="1" thickBot="1">
      <c r="B53" s="534" t="s">
        <v>17</v>
      </c>
      <c r="C53" s="534" t="s">
        <v>44</v>
      </c>
      <c r="D53" s="537" t="s">
        <v>45</v>
      </c>
      <c r="E53" s="500" t="s">
        <v>46</v>
      </c>
      <c r="F53" s="509" t="s">
        <v>47</v>
      </c>
      <c r="G53" s="546" t="s">
        <v>48</v>
      </c>
      <c r="H53" s="534" t="s">
        <v>49</v>
      </c>
      <c r="I53" s="534" t="s">
        <v>50</v>
      </c>
      <c r="J53" s="540" t="s">
        <v>28</v>
      </c>
      <c r="K53" s="498" t="s">
        <v>51</v>
      </c>
      <c r="L53" s="549" t="s">
        <v>52</v>
      </c>
      <c r="M53" s="540" t="s">
        <v>53</v>
      </c>
      <c r="N53" s="13"/>
      <c r="O53" s="13"/>
      <c r="P53" s="50"/>
    </row>
    <row r="54" spans="1:57" ht="28.5" customHeight="1" thickTop="1" thickBot="1">
      <c r="B54" s="535"/>
      <c r="C54" s="536"/>
      <c r="D54" s="538"/>
      <c r="E54" s="539"/>
      <c r="F54" s="551"/>
      <c r="G54" s="547"/>
      <c r="H54" s="535"/>
      <c r="I54" s="535"/>
      <c r="J54" s="541"/>
      <c r="K54" s="548"/>
      <c r="L54" s="550"/>
      <c r="M54" s="541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1:57" s="54" customFormat="1" ht="36.75" customHeight="1" thickBot="1">
      <c r="B55" s="483" t="str">
        <f>I28</f>
        <v>GUINNESS</v>
      </c>
      <c r="C55" s="479">
        <v>46072</v>
      </c>
      <c r="D55" s="442">
        <f>[29]February_2026!$V$23</f>
        <v>219.79999999999998</v>
      </c>
      <c r="E55" s="443">
        <f>SUM([31]GUINNESS!$S$15)</f>
        <v>0</v>
      </c>
      <c r="F55" s="444"/>
      <c r="G55" s="445">
        <f>[29]February_2026!$V$28</f>
        <v>191.10000000000002</v>
      </c>
      <c r="H55" s="458"/>
      <c r="I55" s="458"/>
      <c r="J55" s="448" t="s">
        <v>190</v>
      </c>
      <c r="K55" s="449">
        <f>[30]February_2026!$V$32</f>
        <v>0.16763157894736844</v>
      </c>
      <c r="L55" s="457">
        <f>(((D55+E55)-G55)/(D55+E55))*100</f>
        <v>13.057324840764315</v>
      </c>
      <c r="M55" s="455" t="s">
        <v>189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[10]January_2019!L5</f>
        <v>0</v>
      </c>
      <c r="AC55" s="57">
        <f>[10]January_2019!M5</f>
        <v>0</v>
      </c>
      <c r="AD55" s="57">
        <f>[10]January_2019!N5</f>
        <v>0</v>
      </c>
      <c r="AE55" s="57">
        <f>[10]January_2019!O5</f>
        <v>0</v>
      </c>
      <c r="AF55" s="57">
        <f>[10]January_2019!P5</f>
        <v>0</v>
      </c>
      <c r="AG55" s="57">
        <f>[10]January_2019!Q5</f>
        <v>0</v>
      </c>
      <c r="AH55" s="57">
        <f>[10]January_2019!R5</f>
        <v>0</v>
      </c>
      <c r="AI55" s="57">
        <f>[10]January_2019!S5</f>
        <v>0</v>
      </c>
      <c r="AJ55" s="57">
        <f>[10]January_2019!T5</f>
        <v>0</v>
      </c>
      <c r="AK55" s="57">
        <f>[10]January_2019!U5</f>
        <v>0</v>
      </c>
      <c r="AL55" s="57">
        <f>[10]January_2019!V5</f>
        <v>0</v>
      </c>
      <c r="AM55" s="57">
        <f>[10]January_2019!W5</f>
        <v>0</v>
      </c>
      <c r="AN55" s="57">
        <f>[10]January_2019!X5</f>
        <v>0</v>
      </c>
      <c r="AO55" s="57">
        <f>[10]January_2019!Y5</f>
        <v>0</v>
      </c>
      <c r="AP55" s="57">
        <f>[10]January_2019!Z5</f>
        <v>0</v>
      </c>
      <c r="AQ55" s="57">
        <f>[10]January_2019!AA5</f>
        <v>0</v>
      </c>
      <c r="AR55" s="57">
        <f>[10]January_2019!AB5</f>
        <v>0</v>
      </c>
      <c r="AS55" s="57">
        <f>[10]January_2019!AC5</f>
        <v>0</v>
      </c>
      <c r="AT55" s="57">
        <f>[10]January_2019!AD5</f>
        <v>0</v>
      </c>
      <c r="AU55" s="57">
        <f>[10]January_2019!AE5</f>
        <v>0</v>
      </c>
      <c r="AV55" s="57">
        <f>[10]January_2019!AF5</f>
        <v>0</v>
      </c>
      <c r="AW55" s="57">
        <f>[10]January_2019!AG5</f>
        <v>0</v>
      </c>
      <c r="AX55" s="277">
        <f>[10]January_2019!AH5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14.25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[10]January_2019!L6</f>
        <v>0</v>
      </c>
      <c r="AC56" s="57">
        <f>[10]January_2019!M6</f>
        <v>0</v>
      </c>
      <c r="AD56" s="57">
        <f>[10]January_2019!N6</f>
        <v>0</v>
      </c>
      <c r="AE56" s="57">
        <f>[10]January_2019!O6</f>
        <v>0</v>
      </c>
      <c r="AF56" s="57">
        <f>[10]January_2019!P6</f>
        <v>0</v>
      </c>
      <c r="AG56" s="57">
        <f>[10]January_2019!Q6</f>
        <v>0</v>
      </c>
      <c r="AH56" s="57">
        <f>[10]January_2019!R6</f>
        <v>0</v>
      </c>
      <c r="AI56" s="57">
        <f>[10]January_2019!S6</f>
        <v>0</v>
      </c>
      <c r="AJ56" s="57">
        <f>[10]January_2019!T6</f>
        <v>0</v>
      </c>
      <c r="AK56" s="57">
        <f>[10]January_2019!U6</f>
        <v>0</v>
      </c>
      <c r="AL56" s="57">
        <f>[10]January_2019!V6</f>
        <v>0</v>
      </c>
      <c r="AM56" s="57">
        <f>[10]January_2019!W6</f>
        <v>0</v>
      </c>
      <c r="AN56" s="57">
        <f>[10]January_2019!X6</f>
        <v>0</v>
      </c>
      <c r="AO56" s="57">
        <f>[10]January_2019!Y6</f>
        <v>0</v>
      </c>
      <c r="AP56" s="57">
        <f>[10]January_2019!Z6</f>
        <v>0</v>
      </c>
      <c r="AQ56" s="57">
        <f>[10]January_2019!AA6</f>
        <v>0</v>
      </c>
      <c r="AR56" s="57">
        <f>[10]January_2019!AB6</f>
        <v>0</v>
      </c>
      <c r="AS56" s="57">
        <f>[10]January_2019!AC6</f>
        <v>0</v>
      </c>
      <c r="AT56" s="57">
        <f>[10]January_2019!AD6</f>
        <v>0</v>
      </c>
      <c r="AU56" s="57">
        <f>[10]January_2019!AE6</f>
        <v>0</v>
      </c>
      <c r="AV56" s="57">
        <f>[10]January_2019!AF6</f>
        <v>0</v>
      </c>
      <c r="AW56" s="57">
        <f>[10]January_2019!AG6</f>
        <v>0</v>
      </c>
      <c r="AX56" s="277">
        <f>[10]January_2019!AH6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37.15" hidden="1" customHeight="1" thickBot="1">
      <c r="A57" s="54" t="s">
        <v>170</v>
      </c>
      <c r="B57" s="480"/>
      <c r="C57" s="479"/>
      <c r="D57" s="442"/>
      <c r="E57" s="443"/>
      <c r="F57" s="444"/>
      <c r="G57" s="445"/>
      <c r="H57" s="458"/>
      <c r="I57" s="458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[10]January_2019!L7</f>
        <v>285.8</v>
      </c>
      <c r="AC57" s="57">
        <f>[10]January_2019!M7</f>
        <v>508.1</v>
      </c>
      <c r="AD57" s="57">
        <f>[10]January_2019!N7</f>
        <v>0</v>
      </c>
      <c r="AE57" s="57">
        <f>[10]January_2019!O7</f>
        <v>0</v>
      </c>
      <c r="AF57" s="57">
        <f>[10]January_2019!P7</f>
        <v>109.56666666666666</v>
      </c>
      <c r="AG57" s="57">
        <f>[10]January_2019!Q7</f>
        <v>297.64999999999998</v>
      </c>
      <c r="AH57" s="57">
        <f>[10]January_2019!R7</f>
        <v>122.3</v>
      </c>
      <c r="AI57" s="57">
        <f>[10]January_2019!S7</f>
        <v>0</v>
      </c>
      <c r="AJ57" s="57">
        <f>[10]January_2019!T7</f>
        <v>294.7</v>
      </c>
      <c r="AK57" s="57">
        <f>[10]January_2019!U7</f>
        <v>280.5</v>
      </c>
      <c r="AL57" s="57">
        <f>[10]January_2019!V7</f>
        <v>0</v>
      </c>
      <c r="AM57" s="57">
        <f>[10]January_2019!W7</f>
        <v>0</v>
      </c>
      <c r="AN57" s="57">
        <f>[10]January_2019!X7</f>
        <v>188.25</v>
      </c>
      <c r="AO57" s="57">
        <f>[10]January_2019!Y7</f>
        <v>295.7</v>
      </c>
      <c r="AP57" s="57">
        <f>[10]January_2019!Z7</f>
        <v>257.8</v>
      </c>
      <c r="AQ57" s="57">
        <f>[10]January_2019!AA7</f>
        <v>291.2</v>
      </c>
      <c r="AR57" s="57">
        <f>[10]January_2019!AB7</f>
        <v>187</v>
      </c>
      <c r="AS57" s="57">
        <f>[10]January_2019!AC7</f>
        <v>0</v>
      </c>
      <c r="AT57" s="57">
        <f>[10]January_2019!AD7</f>
        <v>0</v>
      </c>
      <c r="AU57" s="57">
        <f>[10]January_2019!AE7</f>
        <v>485.1</v>
      </c>
      <c r="AV57" s="57">
        <f>[10]January_2019!AF7</f>
        <v>171.55</v>
      </c>
      <c r="AW57" s="57">
        <f>[10]January_2019!AG7</f>
        <v>423.8</v>
      </c>
      <c r="AX57" s="277">
        <f>[10]January_2019!AH7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19.5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8.450000000000003" hidden="1" customHeight="1" thickBot="1">
      <c r="B59" s="480"/>
      <c r="C59" s="479"/>
      <c r="D59" s="442"/>
      <c r="E59" s="443"/>
      <c r="F59" s="444"/>
      <c r="G59" s="445"/>
      <c r="H59" s="458"/>
      <c r="I59" s="458"/>
      <c r="J59" s="448" t="s">
        <v>182</v>
      </c>
      <c r="K59" s="459"/>
      <c r="L59" s="457" t="e">
        <f>(((D59+E59)-G59)/(D59+E59))*100</f>
        <v>#DIV/0!</v>
      </c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7.15" hidden="1" customHeight="1" thickBot="1">
      <c r="B61" s="480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1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7.15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42" t="s">
        <v>55</v>
      </c>
      <c r="C66" s="543"/>
      <c r="D66" s="543"/>
      <c r="E66" s="543"/>
      <c r="F66" s="544"/>
      <c r="G66" s="542" t="s">
        <v>56</v>
      </c>
      <c r="H66" s="543"/>
      <c r="I66" s="543"/>
      <c r="J66" s="544"/>
      <c r="K66" s="542" t="s">
        <v>51</v>
      </c>
      <c r="L66" s="543"/>
      <c r="M66" s="543"/>
      <c r="N66" s="545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282"/>
      <c r="D68" s="76">
        <v>5.9644441986811714</v>
      </c>
      <c r="E68" s="76">
        <v>7.36</v>
      </c>
      <c r="F68" s="66">
        <v>4.8</v>
      </c>
      <c r="G68" s="65"/>
      <c r="H68" s="477">
        <v>5.7090797382052054</v>
      </c>
      <c r="I68" s="477">
        <v>6.71</v>
      </c>
      <c r="J68" s="66">
        <v>4.8</v>
      </c>
      <c r="K68" s="67"/>
      <c r="L68" s="194">
        <v>0.62154893163749736</v>
      </c>
      <c r="M68" s="194">
        <v>0.51800000000000002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6.7976820357772665</v>
      </c>
      <c r="E69" s="76">
        <v>6.32</v>
      </c>
      <c r="F69" s="66">
        <v>4.8</v>
      </c>
      <c r="G69" s="65"/>
      <c r="H69" s="76">
        <v>6.0935964542765948</v>
      </c>
      <c r="I69" s="76">
        <v>6.45</v>
      </c>
      <c r="J69" s="66">
        <v>4.8</v>
      </c>
      <c r="K69" s="67"/>
      <c r="L69" s="194">
        <v>0.38310065836709234</v>
      </c>
      <c r="M69" s="194">
        <v>0.51500000000000001</v>
      </c>
      <c r="N69" s="68">
        <v>1</v>
      </c>
      <c r="P69" s="69"/>
    </row>
    <row r="70" spans="2:16" ht="15">
      <c r="B70" s="34" t="s">
        <v>40</v>
      </c>
      <c r="C70" s="65">
        <f>L55</f>
        <v>13.057324840764315</v>
      </c>
      <c r="D70" s="76">
        <v>13.291724456772998</v>
      </c>
      <c r="E70" s="76">
        <v>12.39</v>
      </c>
      <c r="F70" s="66">
        <v>5.5</v>
      </c>
      <c r="G70" s="65">
        <f>[29]February_2026!$V$32</f>
        <v>13.916854158971063</v>
      </c>
      <c r="H70" s="76">
        <v>13.268548232646971</v>
      </c>
      <c r="I70" s="76">
        <v>12.64</v>
      </c>
      <c r="J70" s="66">
        <v>5.5</v>
      </c>
      <c r="K70" s="67">
        <f>K55</f>
        <v>0.16763157894736844</v>
      </c>
      <c r="L70" s="194">
        <v>0.16451754385964915</v>
      </c>
      <c r="M70" s="194">
        <v>0.33800000000000002</v>
      </c>
      <c r="N70" s="68">
        <v>1</v>
      </c>
      <c r="P70" s="69"/>
    </row>
    <row r="71" spans="2:16" ht="15">
      <c r="B71" s="22" t="s">
        <v>33</v>
      </c>
      <c r="C71" s="65"/>
      <c r="D71" s="76"/>
      <c r="E71" s="76">
        <v>5.08</v>
      </c>
      <c r="F71" s="66">
        <v>3.3</v>
      </c>
      <c r="G71" s="65"/>
      <c r="H71" s="76"/>
      <c r="I71" s="76">
        <v>4.6399999999999997</v>
      </c>
      <c r="J71" s="66">
        <v>3.3</v>
      </c>
      <c r="K71" s="67"/>
      <c r="L71" s="194"/>
      <c r="M71" s="194">
        <v>0.66800000000000004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65"/>
      <c r="D73" s="76"/>
      <c r="E73" s="76">
        <v>5.1100000000000003</v>
      </c>
      <c r="F73" s="70">
        <f>[11]May_2022!$M$43</f>
        <v>3.4878406700073312</v>
      </c>
      <c r="G73" s="282"/>
      <c r="H73" s="76"/>
      <c r="I73" s="76">
        <v>7.91</v>
      </c>
      <c r="J73" s="66">
        <v>5.5</v>
      </c>
      <c r="K73" s="67"/>
      <c r="L73" s="194"/>
      <c r="M73" s="194">
        <v>1.355</v>
      </c>
      <c r="N73" s="68">
        <v>1</v>
      </c>
      <c r="P73" s="69"/>
    </row>
    <row r="74" spans="2:16" ht="15">
      <c r="B74" s="37" t="s">
        <v>16</v>
      </c>
      <c r="C74" s="65"/>
      <c r="D74" s="76"/>
      <c r="E74" s="76">
        <v>2.06</v>
      </c>
      <c r="F74" s="66">
        <v>3.3</v>
      </c>
      <c r="G74" s="282"/>
      <c r="H74" s="76"/>
      <c r="I74" s="76">
        <v>2.1800000000000002</v>
      </c>
      <c r="J74" s="66">
        <v>3.3</v>
      </c>
      <c r="K74" s="67"/>
      <c r="L74" s="194"/>
      <c r="M74" s="194">
        <v>0.88500000000000001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6.8899319875970617</v>
      </c>
      <c r="E77" s="76">
        <v>6.92</v>
      </c>
      <c r="F77" s="341">
        <v>5.5</v>
      </c>
      <c r="H77" s="76">
        <v>6.4551561783243558</v>
      </c>
      <c r="I77" s="76">
        <v>6.75</v>
      </c>
      <c r="J77" s="341">
        <v>5.5</v>
      </c>
      <c r="L77" s="194">
        <v>0.52478143274853795</v>
      </c>
      <c r="M77" s="194">
        <v>0.55300000000000005</v>
      </c>
      <c r="N77" s="386">
        <v>1</v>
      </c>
    </row>
    <row r="78" spans="2:16">
      <c r="I78" s="477"/>
    </row>
  </sheetData>
  <mergeCells count="51"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B38:B47"/>
    <mergeCell ref="D38:E39"/>
    <mergeCell ref="J38:K38"/>
    <mergeCell ref="L39:N39"/>
    <mergeCell ref="D40:E41"/>
    <mergeCell ref="D42:E43"/>
    <mergeCell ref="D44:E45"/>
    <mergeCell ref="D46:E47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8:B49">
    <cfRule type="cellIs" dxfId="1118" priority="60" operator="notBetween">
      <formula>#REF!</formula>
      <formula>#REF!</formula>
    </cfRule>
  </conditionalFormatting>
  <conditionalFormatting sqref="C52">
    <cfRule type="cellIs" dxfId="1117" priority="173" stopIfTrue="1" operator="lessThan">
      <formula>96</formula>
    </cfRule>
    <cfRule type="cellIs" dxfId="1116" priority="174" stopIfTrue="1" operator="greaterThan">
      <formula>100</formula>
    </cfRule>
  </conditionalFormatting>
  <conditionalFormatting sqref="C68:C72">
    <cfRule type="cellIs" dxfId="1115" priority="131" stopIfTrue="1" operator="lessThanOrEqual">
      <formula>0</formula>
    </cfRule>
  </conditionalFormatting>
  <conditionalFormatting sqref="C68:C76">
    <cfRule type="cellIs" dxfId="1114" priority="130" stopIfTrue="1" operator="greaterThan">
      <formula>$F68</formula>
    </cfRule>
  </conditionalFormatting>
  <conditionalFormatting sqref="C69">
    <cfRule type="cellIs" dxfId="1113" priority="177" stopIfTrue="1" operator="greaterThan">
      <formula>$F68</formula>
    </cfRule>
  </conditionalFormatting>
  <conditionalFormatting sqref="C73">
    <cfRule type="cellIs" dxfId="1112" priority="84" stopIfTrue="1" operator="lessThanOrEqual">
      <formula>0</formula>
    </cfRule>
    <cfRule type="cellIs" dxfId="1111" priority="85" stopIfTrue="1" operator="greaterThan">
      <formula>$F72</formula>
    </cfRule>
  </conditionalFormatting>
  <conditionalFormatting sqref="C79:C83">
    <cfRule type="cellIs" dxfId="1110" priority="165" stopIfTrue="1" operator="lessThanOrEqual">
      <formula>0</formula>
    </cfRule>
  </conditionalFormatting>
  <conditionalFormatting sqref="C80:C83">
    <cfRule type="cellIs" dxfId="1109" priority="164" stopIfTrue="1" operator="greaterThan">
      <formula>$F$79</formula>
    </cfRule>
  </conditionalFormatting>
  <conditionalFormatting sqref="C85">
    <cfRule type="cellIs" dxfId="1108" priority="167" stopIfTrue="1" operator="lessThanOrEqual">
      <formula>0</formula>
    </cfRule>
    <cfRule type="cellIs" dxfId="1107" priority="166" stopIfTrue="1" operator="greaterThan">
      <formula>$F$79</formula>
    </cfRule>
  </conditionalFormatting>
  <conditionalFormatting sqref="C79:D79 D81:D87">
    <cfRule type="cellIs" dxfId="1106" priority="159" stopIfTrue="1" operator="greaterThan">
      <formula>4.5</formula>
    </cfRule>
  </conditionalFormatting>
  <conditionalFormatting sqref="D48:D49">
    <cfRule type="cellIs" dxfId="1105" priority="61" operator="notBetween">
      <formula>#REF!</formula>
      <formula>#REF!</formula>
    </cfRule>
  </conditionalFormatting>
  <conditionalFormatting sqref="D68:D75">
    <cfRule type="cellIs" dxfId="1104" priority="139" stopIfTrue="1" operator="lessThanOrEqual">
      <formula>0</formula>
    </cfRule>
  </conditionalFormatting>
  <conditionalFormatting sqref="D76">
    <cfRule type="cellIs" dxfId="1103" priority="138" stopIfTrue="1" operator="lessThanOrEqual">
      <formula>0</formula>
    </cfRule>
  </conditionalFormatting>
  <conditionalFormatting sqref="D77">
    <cfRule type="cellIs" dxfId="1102" priority="129" stopIfTrue="1" operator="lessThanOrEqual">
      <formula>0</formula>
    </cfRule>
  </conditionalFormatting>
  <conditionalFormatting sqref="D79 D81:D87">
    <cfRule type="cellIs" dxfId="1101" priority="160" stopIfTrue="1" operator="lessThanOrEqual">
      <formula>0</formula>
    </cfRule>
  </conditionalFormatting>
  <conditionalFormatting sqref="D80">
    <cfRule type="cellIs" dxfId="1100" priority="151" stopIfTrue="1" operator="greaterThan">
      <formula>$F$79</formula>
    </cfRule>
    <cfRule type="cellIs" dxfId="1099" priority="152" stopIfTrue="1" operator="lessThanOrEqual">
      <formula>0</formula>
    </cfRule>
  </conditionalFormatting>
  <conditionalFormatting sqref="D68:E77">
    <cfRule type="cellIs" dxfId="1098" priority="2" stopIfTrue="1" operator="greaterThan">
      <formula>$F68</formula>
    </cfRule>
  </conditionalFormatting>
  <conditionalFormatting sqref="E10:E23">
    <cfRule type="cellIs" dxfId="1097" priority="17" operator="lessThan">
      <formula>48</formula>
    </cfRule>
  </conditionalFormatting>
  <conditionalFormatting sqref="E51 E52:F52">
    <cfRule type="cellIs" dxfId="1096" priority="156" stopIfTrue="1" operator="greaterThan">
      <formula>100</formula>
    </cfRule>
  </conditionalFormatting>
  <conditionalFormatting sqref="E52">
    <cfRule type="cellIs" dxfId="1095" priority="153" stopIfTrue="1" operator="lessThan">
      <formula>96.8</formula>
    </cfRule>
    <cfRule type="cellIs" dxfId="1094" priority="154" stopIfTrue="1" operator="greaterThan">
      <formula>100</formula>
    </cfRule>
  </conditionalFormatting>
  <conditionalFormatting sqref="E68:E76">
    <cfRule type="cellIs" dxfId="1093" priority="1" stopIfTrue="1" operator="lessThanOrEqual">
      <formula>0</formula>
    </cfRule>
  </conditionalFormatting>
  <conditionalFormatting sqref="E68:E77">
    <cfRule type="cellIs" dxfId="1092" priority="3" stopIfTrue="1" operator="lessThanOrEqual">
      <formula>0</formula>
    </cfRule>
  </conditionalFormatting>
  <conditionalFormatting sqref="E77">
    <cfRule type="cellIs" dxfId="1091" priority="4" stopIfTrue="1" operator="lessThanOrEqual">
      <formula>0</formula>
    </cfRule>
  </conditionalFormatting>
  <conditionalFormatting sqref="E79:E87">
    <cfRule type="cellIs" dxfId="1090" priority="145" stopIfTrue="1" operator="greaterThan">
      <formula>4.5</formula>
    </cfRule>
    <cfRule type="cellIs" dxfId="1089" priority="146" stopIfTrue="1" operator="lessThanOrEqual">
      <formula>0</formula>
    </cfRule>
  </conditionalFormatting>
  <conditionalFormatting sqref="E52:F52 E51">
    <cfRule type="cellIs" dxfId="1088" priority="155" stopIfTrue="1" operator="lessThan">
      <formula>96.5</formula>
    </cfRule>
  </conditionalFormatting>
  <conditionalFormatting sqref="F10:F12 F18:F20 F22:F23">
    <cfRule type="cellIs" dxfId="1087" priority="50" operator="greaterThan">
      <formula>60</formula>
    </cfRule>
  </conditionalFormatting>
  <conditionalFormatting sqref="F52">
    <cfRule type="cellIs" dxfId="1086" priority="172" stopIfTrue="1" operator="greaterThan">
      <formula>100</formula>
    </cfRule>
    <cfRule type="cellIs" dxfId="1085" priority="171" stopIfTrue="1" operator="lessThan">
      <formula>96.8</formula>
    </cfRule>
  </conditionalFormatting>
  <conditionalFormatting sqref="F77">
    <cfRule type="cellIs" dxfId="1084" priority="137" stopIfTrue="1" operator="lessThanOrEqual">
      <formula>0</formula>
    </cfRule>
    <cfRule type="cellIs" dxfId="1083" priority="136" stopIfTrue="1" operator="greaterThan">
      <formula>$F77</formula>
    </cfRule>
  </conditionalFormatting>
  <conditionalFormatting sqref="G10:G22">
    <cfRule type="expression" dxfId="1082" priority="19">
      <formula>IF(+(IF(G10&lt;S10,0,IF(G10&gt;T10,0,1)))=0,1)</formula>
    </cfRule>
  </conditionalFormatting>
  <conditionalFormatting sqref="G68:G69 C74:C76">
    <cfRule type="cellIs" dxfId="1081" priority="141" stopIfTrue="1" operator="lessThanOrEqual">
      <formula>0</formula>
    </cfRule>
  </conditionalFormatting>
  <conditionalFormatting sqref="G68:G69">
    <cfRule type="cellIs" dxfId="1080" priority="132" stopIfTrue="1" operator="greaterThan">
      <formula>$F68</formula>
    </cfRule>
    <cfRule type="cellIs" dxfId="1079" priority="140" stopIfTrue="1" operator="greaterThan">
      <formula>$F68</formula>
    </cfRule>
    <cfRule type="cellIs" dxfId="1078" priority="133" stopIfTrue="1" operator="lessThanOrEqual">
      <formula>0</formula>
    </cfRule>
  </conditionalFormatting>
  <conditionalFormatting sqref="G70">
    <cfRule type="cellIs" dxfId="1077" priority="175" stopIfTrue="1" operator="greaterThan">
      <formula>$F69</formula>
    </cfRule>
    <cfRule type="cellIs" dxfId="1076" priority="176" stopIfTrue="1" operator="lessThanOrEqual">
      <formula>0</formula>
    </cfRule>
  </conditionalFormatting>
  <conditionalFormatting sqref="G71">
    <cfRule type="cellIs" dxfId="1075" priority="56" stopIfTrue="1" operator="greaterThan">
      <formula>$F71</formula>
    </cfRule>
    <cfRule type="cellIs" dxfId="1074" priority="57" stopIfTrue="1" operator="lessThanOrEqual">
      <formula>0</formula>
    </cfRule>
    <cfRule type="cellIs" dxfId="1073" priority="58" stopIfTrue="1" operator="greaterThan">
      <formula>$F71</formula>
    </cfRule>
    <cfRule type="cellIs" dxfId="1072" priority="59" stopIfTrue="1" operator="lessThanOrEqual">
      <formula>0</formula>
    </cfRule>
  </conditionalFormatting>
  <conditionalFormatting sqref="G72:G76">
    <cfRule type="cellIs" dxfId="1071" priority="142" stopIfTrue="1" operator="greaterThan">
      <formula>$J72</formula>
    </cfRule>
    <cfRule type="cellIs" dxfId="1070" priority="143" stopIfTrue="1" operator="lessThanOrEqual">
      <formula>0</formula>
    </cfRule>
  </conditionalFormatting>
  <conditionalFormatting sqref="G81:G86 C84 C86">
    <cfRule type="cellIs" dxfId="1069" priority="169" stopIfTrue="1" operator="lessThanOrEqual">
      <formula>0</formula>
    </cfRule>
    <cfRule type="cellIs" dxfId="1068" priority="168" stopIfTrue="1" operator="greaterThan">
      <formula>4.5</formula>
    </cfRule>
  </conditionalFormatting>
  <conditionalFormatting sqref="G23:H23">
    <cfRule type="expression" dxfId="1067" priority="53">
      <formula>IF(+(IF(G23&lt;#REF!,0,IF(G23&gt;#REF!,0,1)))=0,1)</formula>
    </cfRule>
  </conditionalFormatting>
  <conditionalFormatting sqref="G80:H80">
    <cfRule type="cellIs" dxfId="1066" priority="150" stopIfTrue="1" operator="lessThanOrEqual">
      <formula>0</formula>
    </cfRule>
    <cfRule type="cellIs" dxfId="1065" priority="149" stopIfTrue="1" operator="greaterThan">
      <formula>$F$79</formula>
    </cfRule>
  </conditionalFormatting>
  <conditionalFormatting sqref="H10:H22">
    <cfRule type="expression" dxfId="1064" priority="22">
      <formula>IF(+(IF(H10&lt;#REF!,0,IF(H10&gt;#REF!,0,1)))=0,1)</formula>
    </cfRule>
  </conditionalFormatting>
  <conditionalFormatting sqref="H37:H51">
    <cfRule type="cellIs" dxfId="1063" priority="147" stopIfTrue="1" operator="greaterThan">
      <formula>0</formula>
    </cfRule>
  </conditionalFormatting>
  <conditionalFormatting sqref="H55:H59">
    <cfRule type="cellIs" dxfId="1062" priority="35" stopIfTrue="1" operator="lessThanOrEqual">
      <formula>0</formula>
    </cfRule>
    <cfRule type="cellIs" dxfId="1061" priority="36" stopIfTrue="1" operator="greaterThan">
      <formula>$F$68</formula>
    </cfRule>
    <cfRule type="cellIs" dxfId="1060" priority="47" stopIfTrue="1" operator="lessThanOrEqual">
      <formula>0</formula>
    </cfRule>
    <cfRule type="cellIs" dxfId="1059" priority="46" stopIfTrue="1" operator="greaterThan">
      <formula>$F$69</formula>
    </cfRule>
    <cfRule type="cellIs" dxfId="1058" priority="45" stopIfTrue="1" operator="lessThanOrEqual">
      <formula>0</formula>
    </cfRule>
    <cfRule type="cellIs" dxfId="1057" priority="44" stopIfTrue="1" operator="greaterThan">
      <formula>$F$71</formula>
    </cfRule>
  </conditionalFormatting>
  <conditionalFormatting sqref="H60:H61">
    <cfRule type="cellIs" dxfId="1056" priority="96" stopIfTrue="1" operator="greaterThan">
      <formula>$F$23</formula>
    </cfRule>
    <cfRule type="cellIs" dxfId="1055" priority="88" stopIfTrue="1" operator="greaterThan">
      <formula>#REF!</formula>
    </cfRule>
    <cfRule type="cellIs" dxfId="1054" priority="87" stopIfTrue="1" operator="lessThanOrEqual">
      <formula>0</formula>
    </cfRule>
    <cfRule type="cellIs" dxfId="1053" priority="99" stopIfTrue="1" operator="lessThanOrEqual">
      <formula>0</formula>
    </cfRule>
    <cfRule type="cellIs" dxfId="1052" priority="98" stopIfTrue="1" operator="greaterThan">
      <formula>#REF!</formula>
    </cfRule>
    <cfRule type="cellIs" dxfId="1051" priority="97" stopIfTrue="1" operator="lessThanOrEqual">
      <formula>0</formula>
    </cfRule>
  </conditionalFormatting>
  <conditionalFormatting sqref="H62">
    <cfRule type="cellIs" dxfId="1050" priority="102" stopIfTrue="1" operator="lessThanOrEqual">
      <formula>0</formula>
    </cfRule>
    <cfRule type="cellIs" dxfId="1049" priority="103" stopIfTrue="1" operator="greaterThan">
      <formula>$F$36</formula>
    </cfRule>
    <cfRule type="cellIs" dxfId="1048" priority="111" stopIfTrue="1" operator="greaterThan">
      <formula>$F$39</formula>
    </cfRule>
    <cfRule type="cellIs" dxfId="1047" priority="112" stopIfTrue="1" operator="lessThanOrEqual">
      <formula>0</formula>
    </cfRule>
    <cfRule type="cellIs" dxfId="1046" priority="114" stopIfTrue="1" operator="lessThanOrEqual">
      <formula>0</formula>
    </cfRule>
    <cfRule type="cellIs" dxfId="1045" priority="113" stopIfTrue="1" operator="greaterThan">
      <formula>$F$37</formula>
    </cfRule>
  </conditionalFormatting>
  <conditionalFormatting sqref="H63:H64">
    <cfRule type="cellIs" dxfId="1044" priority="71" stopIfTrue="1" operator="lessThanOrEqual">
      <formula>0</formula>
    </cfRule>
    <cfRule type="cellIs" dxfId="1043" priority="80" stopIfTrue="1" operator="greaterThan">
      <formula>$F$23</formula>
    </cfRule>
    <cfRule type="cellIs" dxfId="1042" priority="81" stopIfTrue="1" operator="lessThanOrEqual">
      <formula>0</formula>
    </cfRule>
    <cfRule type="cellIs" dxfId="1041" priority="82" stopIfTrue="1" operator="greaterThan">
      <formula>#REF!</formula>
    </cfRule>
    <cfRule type="cellIs" dxfId="1040" priority="83" stopIfTrue="1" operator="lessThanOrEqual">
      <formula>0</formula>
    </cfRule>
    <cfRule type="cellIs" dxfId="1039" priority="72" stopIfTrue="1" operator="greaterThan">
      <formula>#REF!</formula>
    </cfRule>
  </conditionalFormatting>
  <conditionalFormatting sqref="H79 H81:H87">
    <cfRule type="cellIs" dxfId="1038" priority="161" stopIfTrue="1" operator="greaterThan">
      <formula>4.5</formula>
    </cfRule>
    <cfRule type="cellIs" dxfId="1037" priority="162" stopIfTrue="1" operator="lessThanOrEqual">
      <formula>0</formula>
    </cfRule>
  </conditionalFormatting>
  <conditionalFormatting sqref="H55:I59">
    <cfRule type="cellIs" dxfId="1036" priority="34" stopIfTrue="1" operator="greaterThan">
      <formula>$F$70</formula>
    </cfRule>
    <cfRule type="cellIs" dxfId="1035" priority="37" stopIfTrue="1" operator="lessThanOrEqual">
      <formula>0</formula>
    </cfRule>
  </conditionalFormatting>
  <conditionalFormatting sqref="H60:I61">
    <cfRule type="cellIs" dxfId="1034" priority="89" stopIfTrue="1" operator="lessThanOrEqual">
      <formula>0</formula>
    </cfRule>
    <cfRule type="cellIs" dxfId="1033" priority="86" stopIfTrue="1" operator="greaterThan">
      <formula>#REF!</formula>
    </cfRule>
  </conditionalFormatting>
  <conditionalFormatting sqref="H62:I62">
    <cfRule type="cellIs" dxfId="1032" priority="101" stopIfTrue="1" operator="greaterThan">
      <formula>$F$38</formula>
    </cfRule>
    <cfRule type="cellIs" dxfId="1031" priority="104" stopIfTrue="1" operator="lessThanOrEqual">
      <formula>0</formula>
    </cfRule>
  </conditionalFormatting>
  <conditionalFormatting sqref="H63:I64">
    <cfRule type="cellIs" dxfId="1030" priority="70" stopIfTrue="1" operator="greaterThan">
      <formula>#REF!</formula>
    </cfRule>
    <cfRule type="cellIs" dxfId="1029" priority="73" stopIfTrue="1" operator="lessThanOrEqual">
      <formula>0</formula>
    </cfRule>
  </conditionalFormatting>
  <conditionalFormatting sqref="H68:I75 I78">
    <cfRule type="cellIs" dxfId="1028" priority="6" stopIfTrue="1" operator="lessThanOrEqual">
      <formula>0</formula>
    </cfRule>
    <cfRule type="cellIs" dxfId="1027" priority="5" stopIfTrue="1" operator="greaterThan">
      <formula>$J68</formula>
    </cfRule>
  </conditionalFormatting>
  <conditionalFormatting sqref="H76:I76">
    <cfRule type="cellIs" dxfId="1026" priority="9" operator="greaterThan">
      <formula>5.3</formula>
    </cfRule>
  </conditionalFormatting>
  <conditionalFormatting sqref="H77:I77">
    <cfRule type="cellIs" dxfId="1025" priority="8" stopIfTrue="1" operator="lessThanOrEqual">
      <formula>0</formula>
    </cfRule>
    <cfRule type="cellIs" dxfId="1024" priority="7" stopIfTrue="1" operator="greaterThan">
      <formula>$J77</formula>
    </cfRule>
  </conditionalFormatting>
  <conditionalFormatting sqref="I55:I59">
    <cfRule type="cellIs" dxfId="1023" priority="39" stopIfTrue="1" operator="lessThanOrEqual">
      <formula>0</formula>
    </cfRule>
    <cfRule type="cellIs" dxfId="1022" priority="43" stopIfTrue="1" operator="lessThanOrEqual">
      <formula>0</formula>
    </cfRule>
    <cfRule type="cellIs" dxfId="1021" priority="42" stopIfTrue="1" operator="greaterThan">
      <formula>$F$68</formula>
    </cfRule>
    <cfRule type="cellIs" dxfId="1020" priority="38" stopIfTrue="1" operator="greaterThan">
      <formula>$F$68</formula>
    </cfRule>
    <cfRule type="cellIs" dxfId="1019" priority="41" stopIfTrue="1" operator="lessThanOrEqual">
      <formula>0</formula>
    </cfRule>
    <cfRule type="cellIs" dxfId="1018" priority="40" stopIfTrue="1" operator="greaterThan">
      <formula>$F$70</formula>
    </cfRule>
  </conditionalFormatting>
  <conditionalFormatting sqref="I60:I61">
    <cfRule type="cellIs" dxfId="1017" priority="95" stopIfTrue="1" operator="lessThanOrEqual">
      <formula>0</formula>
    </cfRule>
    <cfRule type="cellIs" dxfId="1016" priority="91" stopIfTrue="1" operator="lessThanOrEqual">
      <formula>0</formula>
    </cfRule>
    <cfRule type="cellIs" dxfId="1015" priority="93" stopIfTrue="1" operator="lessThanOrEqual">
      <formula>0</formula>
    </cfRule>
    <cfRule type="cellIs" dxfId="1014" priority="94" stopIfTrue="1" operator="greaterThan">
      <formula>#REF!</formula>
    </cfRule>
    <cfRule type="cellIs" dxfId="1013" priority="90" stopIfTrue="1" operator="greaterThan">
      <formula>#REF!</formula>
    </cfRule>
    <cfRule type="cellIs" dxfId="1012" priority="92" stopIfTrue="1" operator="greaterThan">
      <formula>#REF!</formula>
    </cfRule>
  </conditionalFormatting>
  <conditionalFormatting sqref="I62">
    <cfRule type="cellIs" dxfId="1011" priority="106" stopIfTrue="1" operator="lessThanOrEqual">
      <formula>0</formula>
    </cfRule>
    <cfRule type="cellIs" dxfId="1010" priority="108" stopIfTrue="1" operator="lessThanOrEqual">
      <formula>0</formula>
    </cfRule>
    <cfRule type="cellIs" dxfId="1009" priority="109" stopIfTrue="1" operator="greaterThan">
      <formula>$F$36</formula>
    </cfRule>
    <cfRule type="cellIs" dxfId="1008" priority="110" stopIfTrue="1" operator="lessThanOrEqual">
      <formula>0</formula>
    </cfRule>
    <cfRule type="cellIs" dxfId="1007" priority="107" stopIfTrue="1" operator="greaterThan">
      <formula>$F$38</formula>
    </cfRule>
    <cfRule type="cellIs" dxfId="1006" priority="105" stopIfTrue="1" operator="greaterThan">
      <formula>$F$36</formula>
    </cfRule>
  </conditionalFormatting>
  <conditionalFormatting sqref="I63:I64">
    <cfRule type="cellIs" dxfId="1005" priority="79" stopIfTrue="1" operator="lessThanOrEqual">
      <formula>0</formula>
    </cfRule>
    <cfRule type="cellIs" dxfId="1004" priority="75" stopIfTrue="1" operator="lessThanOrEqual">
      <formula>0</formula>
    </cfRule>
    <cfRule type="cellIs" dxfId="1003" priority="76" stopIfTrue="1" operator="greaterThan">
      <formula>#REF!</formula>
    </cfRule>
    <cfRule type="cellIs" dxfId="1002" priority="74" stopIfTrue="1" operator="greaterThan">
      <formula>#REF!</formula>
    </cfRule>
    <cfRule type="cellIs" dxfId="1001" priority="78" stopIfTrue="1" operator="greaterThan">
      <formula>#REF!</formula>
    </cfRule>
    <cfRule type="cellIs" dxfId="1000" priority="77" stopIfTrue="1" operator="lessThanOrEqual">
      <formula>0</formula>
    </cfRule>
  </conditionalFormatting>
  <conditionalFormatting sqref="I79:I87">
    <cfRule type="cellIs" dxfId="999" priority="158" stopIfTrue="1" operator="lessThanOrEqual">
      <formula>0</formula>
    </cfRule>
    <cfRule type="cellIs" dxfId="998" priority="157" stopIfTrue="1" operator="greaterThan">
      <formula>4.5</formula>
    </cfRule>
  </conditionalFormatting>
  <conditionalFormatting sqref="I10:J23">
    <cfRule type="cellIs" dxfId="997" priority="13" operator="lessThan">
      <formula>97.9</formula>
    </cfRule>
  </conditionalFormatting>
  <conditionalFormatting sqref="J26">
    <cfRule type="cellIs" dxfId="996" priority="23" operator="lessThan">
      <formula>97.95</formula>
    </cfRule>
  </conditionalFormatting>
  <conditionalFormatting sqref="J28">
    <cfRule type="cellIs" dxfId="995" priority="116" stopIfTrue="1" operator="lessThan">
      <formula>96.8</formula>
    </cfRule>
    <cfRule type="cellIs" dxfId="994" priority="117" stopIfTrue="1" operator="greaterThan">
      <formula>100</formula>
    </cfRule>
    <cfRule type="cellIs" dxfId="993" priority="118" operator="lessThan">
      <formula>98</formula>
    </cfRule>
  </conditionalFormatting>
  <conditionalFormatting sqref="J28:J30">
    <cfRule type="cellIs" dxfId="992" priority="115" operator="lessThan">
      <formula>97.4</formula>
    </cfRule>
  </conditionalFormatting>
  <conditionalFormatting sqref="J31:J32">
    <cfRule type="cellIs" dxfId="991" priority="119" operator="lessThan">
      <formula>98</formula>
    </cfRule>
  </conditionalFormatting>
  <conditionalFormatting sqref="J33:J34">
    <cfRule type="cellIs" dxfId="990" priority="120" stopIfTrue="1" operator="lessThan">
      <formula>96.8</formula>
    </cfRule>
    <cfRule type="cellIs" dxfId="989" priority="121" stopIfTrue="1" operator="greaterThan">
      <formula>100</formula>
    </cfRule>
  </conditionalFormatting>
  <conditionalFormatting sqref="J33:J35">
    <cfRule type="cellIs" dxfId="988" priority="122" operator="lessThan">
      <formula>98</formula>
    </cfRule>
  </conditionalFormatting>
  <conditionalFormatting sqref="J64">
    <cfRule type="cellIs" dxfId="987" priority="69" stopIfTrue="1" operator="lessThanOrEqual">
      <formula>0</formula>
    </cfRule>
    <cfRule type="cellIs" dxfId="986" priority="68" stopIfTrue="1" operator="greaterThan">
      <formula>#REF!</formula>
    </cfRule>
    <cfRule type="cellIs" dxfId="985" priority="67" stopIfTrue="1" operator="lessThanOrEqual">
      <formula>0</formula>
    </cfRule>
    <cfRule type="cellIs" dxfId="984" priority="66" stopIfTrue="1" operator="greaterThan">
      <formula>#REF!</formula>
    </cfRule>
    <cfRule type="cellIs" dxfId="983" priority="65" stopIfTrue="1" operator="lessThanOrEqual">
      <formula>0</formula>
    </cfRule>
    <cfRule type="cellIs" dxfId="982" priority="64" stopIfTrue="1" operator="greaterThan">
      <formula>#REF!</formula>
    </cfRule>
    <cfRule type="cellIs" dxfId="981" priority="63" stopIfTrue="1" operator="lessThanOrEqual">
      <formula>0</formula>
    </cfRule>
    <cfRule type="cellIs" dxfId="980" priority="62" stopIfTrue="1" operator="greaterThan">
      <formula>#REF!</formula>
    </cfRule>
  </conditionalFormatting>
  <conditionalFormatting sqref="J77">
    <cfRule type="cellIs" dxfId="979" priority="123" stopIfTrue="1" operator="greaterThan">
      <formula>$F77</formula>
    </cfRule>
    <cfRule type="cellIs" dxfId="978" priority="124" stopIfTrue="1" operator="lessThanOrEqual">
      <formula>0</formula>
    </cfRule>
  </conditionalFormatting>
  <conditionalFormatting sqref="K10:K23">
    <cfRule type="cellIs" dxfId="977" priority="16" operator="greaterThan">
      <formula>6.4</formula>
    </cfRule>
    <cfRule type="cellIs" dxfId="976" priority="15" operator="lessThan">
      <formula>4</formula>
    </cfRule>
    <cfRule type="cellIs" dxfId="975" priority="14" operator="greaterThan">
      <formula>6</formula>
    </cfRule>
  </conditionalFormatting>
  <conditionalFormatting sqref="K55:K64">
    <cfRule type="cellIs" dxfId="974" priority="49" stopIfTrue="1" operator="lessThan">
      <formula>100%</formula>
    </cfRule>
  </conditionalFormatting>
  <conditionalFormatting sqref="K79:K84">
    <cfRule type="cellIs" dxfId="973" priority="163" stopIfTrue="1" operator="lessThan">
      <formula>100%</formula>
    </cfRule>
  </conditionalFormatting>
  <conditionalFormatting sqref="K86:K87">
    <cfRule type="cellIs" dxfId="972" priority="170" stopIfTrue="1" operator="lessThan">
      <formula>100%</formula>
    </cfRule>
  </conditionalFormatting>
  <conditionalFormatting sqref="K68:L76">
    <cfRule type="cellIs" dxfId="971" priority="100" stopIfTrue="1" operator="lessThan">
      <formula>100%</formula>
    </cfRule>
  </conditionalFormatting>
  <conditionalFormatting sqref="L10:L23">
    <cfRule type="cellIs" dxfId="970" priority="20" operator="between">
      <formula>61</formula>
      <formula>65</formula>
    </cfRule>
    <cfRule type="cellIs" dxfId="969" priority="21" operator="greaterThan">
      <formula>65</formula>
    </cfRule>
  </conditionalFormatting>
  <conditionalFormatting sqref="L77">
    <cfRule type="cellIs" dxfId="968" priority="125" stopIfTrue="1" operator="lessThan">
      <formula>100%</formula>
    </cfRule>
  </conditionalFormatting>
  <conditionalFormatting sqref="L26:M37">
    <cfRule type="cellIs" dxfId="967" priority="54" operator="lessThan">
      <formula>97.95</formula>
    </cfRule>
  </conditionalFormatting>
  <conditionalFormatting sqref="L41:N41">
    <cfRule type="cellIs" dxfId="966" priority="55" operator="notEqual">
      <formula>#REF!</formula>
    </cfRule>
  </conditionalFormatting>
  <conditionalFormatting sqref="L79:N87">
    <cfRule type="cellIs" dxfId="965" priority="148" stopIfTrue="1" operator="lessThan">
      <formula>100%</formula>
    </cfRule>
  </conditionalFormatting>
  <conditionalFormatting sqref="M10:M22">
    <cfRule type="expression" dxfId="964" priority="18">
      <formula>IF(+(IF(M10&lt;U10,0,IF(M10&gt;V10,0,1)))=0,1)</formula>
    </cfRule>
  </conditionalFormatting>
  <conditionalFormatting sqref="M23:N23">
    <cfRule type="expression" dxfId="963" priority="178">
      <formula>IF(+(IF(M23&lt;#REF!,0,IF(M23&gt;#REF!,0,1)))=0,1)</formula>
    </cfRule>
  </conditionalFormatting>
  <conditionalFormatting sqref="M68:N77">
    <cfRule type="cellIs" dxfId="962" priority="10" stopIfTrue="1" operator="lessThan">
      <formula>100%</formula>
    </cfRule>
  </conditionalFormatting>
  <conditionalFormatting sqref="N10:N22">
    <cfRule type="expression" dxfId="961" priority="12">
      <formula>IF(+(IF(N10&lt;W10,0,IF(N10&gt;X10,0,1)))=0,1)</formula>
    </cfRule>
  </conditionalFormatting>
  <conditionalFormatting sqref="P6">
    <cfRule type="cellIs" dxfId="960" priority="144" operator="greaterThanOrEqual">
      <formula>19</formula>
    </cfRule>
  </conditionalFormatting>
  <dataValidations count="1">
    <dataValidation type="list" allowBlank="1" showInputMessage="1" showErrorMessage="1" sqref="R8" xr:uid="{A2548F1C-FBDC-4C34-A6D2-05209345AD7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B6EE-D361-4B9A-8045-7B6F5B5CFD6D}">
  <sheetPr>
    <pageSetUpPr fitToPage="1"/>
  </sheetPr>
  <dimension ref="A1:BE78"/>
  <sheetViews>
    <sheetView topLeftCell="A2" zoomScale="80" zoomScaleNormal="80" workbookViewId="0">
      <selection activeCell="B17" sqref="B17:O1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46076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33" t="s">
        <v>9</v>
      </c>
      <c r="C10" s="366" t="str">
        <f>[4]Brewhouse!$A116</f>
        <v>ST065</v>
      </c>
      <c r="D10" s="279">
        <f>[4]Brewhouse!$AB116</f>
        <v>52</v>
      </c>
      <c r="E10" s="279">
        <f>[4]Brewhouse!$AG116</f>
        <v>48</v>
      </c>
      <c r="F10" s="278">
        <f>[4]Brewhouse!$V116</f>
        <v>61</v>
      </c>
      <c r="G10" s="279">
        <f>[4]Brewhouse!$AE116</f>
        <v>12</v>
      </c>
      <c r="H10" s="482"/>
      <c r="I10" s="368">
        <f>[4]Brewhouse!$AS116</f>
        <v>97.080519007256299</v>
      </c>
      <c r="J10" s="368">
        <f>[4]Brewhouse!$AT116</f>
        <v>97.840911016249095</v>
      </c>
      <c r="K10" s="281">
        <f>[4]Brewhouse!$Q116</f>
        <v>9.9519230769230713</v>
      </c>
      <c r="L10" s="276">
        <f>[4]Brewhouse!$P116</f>
        <v>60</v>
      </c>
      <c r="M10" s="374">
        <f>[4]Brewhouse!$U116-[4]Brewhouse!$T116</f>
        <v>0.18680555555555556</v>
      </c>
      <c r="N10" s="370">
        <f>[4]Brewhouse!$AW116</f>
        <v>0.35277777777777775</v>
      </c>
      <c r="O10" s="371" t="str">
        <f>[4]Brewhouse!$AV116</f>
        <v>K. Benjamin</v>
      </c>
      <c r="P10" s="418"/>
      <c r="R10" s="277" t="str">
        <f t="shared" ref="R10:R20" si="0">B10</f>
        <v>STAG</v>
      </c>
      <c r="S10" s="472">
        <f t="shared" ref="S10:S37" si="1">VLOOKUP($B10,$R$3:$X$9,2,FALSE)</f>
        <v>11.6</v>
      </c>
      <c r="T10" s="472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472">
        <f t="shared" ref="Z10:Z37" si="8">VLOOKUP($B10,$R$3:$Z$9,9,FALSE)</f>
        <v>60</v>
      </c>
    </row>
    <row r="11" spans="2:29" ht="16.5" customHeight="1">
      <c r="B11" s="33" t="s">
        <v>9</v>
      </c>
      <c r="C11" s="366" t="str">
        <f>[4]Brewhouse!$A117</f>
        <v>ST066</v>
      </c>
      <c r="D11" s="279">
        <f>[4]Brewhouse!$AB117</f>
        <v>52.1</v>
      </c>
      <c r="E11" s="279">
        <f>[4]Brewhouse!$AG117</f>
        <v>50.5</v>
      </c>
      <c r="F11" s="278">
        <f>[4]Brewhouse!$V117</f>
        <v>65</v>
      </c>
      <c r="G11" s="279">
        <f>[4]Brewhouse!$AE117</f>
        <v>11.5</v>
      </c>
      <c r="H11" s="482"/>
      <c r="I11" s="368">
        <f>[4]Brewhouse!$AS117</f>
        <v>97.541311782322396</v>
      </c>
      <c r="J11" s="368">
        <f>[4]Brewhouse!$AT117</f>
        <v>98.305566386457855</v>
      </c>
      <c r="K11" s="281">
        <f>[4]Brewhouse!$Q117</f>
        <v>11.084452975047981</v>
      </c>
      <c r="L11" s="276">
        <f>[4]Brewhouse!$P117</f>
        <v>59</v>
      </c>
      <c r="M11" s="374">
        <f>[4]Brewhouse!$U117-[4]Brewhouse!$T117</f>
        <v>0.13819444444444451</v>
      </c>
      <c r="N11" s="370">
        <f>[4]Brewhouse!$AW117</f>
        <v>0.51597222222222228</v>
      </c>
      <c r="O11" s="371" t="str">
        <f>[4]Brewhouse!$AV117</f>
        <v>R. Regis</v>
      </c>
      <c r="P11" s="418" t="s">
        <v>192</v>
      </c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33" t="s">
        <v>9</v>
      </c>
      <c r="C12" s="366" t="str">
        <f>[4]Brewhouse!$A118</f>
        <v>ST067</v>
      </c>
      <c r="D12" s="279">
        <f>[4]Brewhouse!$AB118</f>
        <v>52.1</v>
      </c>
      <c r="E12" s="279">
        <f>[4]Brewhouse!$AG118</f>
        <v>49.3</v>
      </c>
      <c r="F12" s="278">
        <f>[4]Brewhouse!$V118</f>
        <v>66</v>
      </c>
      <c r="G12" s="279">
        <f>[4]Brewhouse!$AE118</f>
        <v>11.8</v>
      </c>
      <c r="H12" s="482"/>
      <c r="I12" s="368">
        <f>[4]Brewhouse!$AS118</f>
        <v>97.594273454571933</v>
      </c>
      <c r="J12" s="368">
        <f>[4]Brewhouse!$AT118</f>
        <v>98.359448180023122</v>
      </c>
      <c r="K12" s="281">
        <f>[4]Brewhouse!$Q118</f>
        <v>7.2456813819577706</v>
      </c>
      <c r="L12" s="276">
        <f>[4]Brewhouse!$P118</f>
        <v>57</v>
      </c>
      <c r="M12" s="374">
        <f>[4]Brewhouse!$U118-[4]Brewhouse!$T118</f>
        <v>0.12361111111111112</v>
      </c>
      <c r="N12" s="370">
        <f>[4]Brewhouse!$AW118</f>
        <v>0.4777777777777778</v>
      </c>
      <c r="O12" s="371" t="str">
        <f>[4]Brewhouse!$AV118</f>
        <v>R.Sookram</v>
      </c>
      <c r="P12" s="418" t="s">
        <v>193</v>
      </c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33" t="s">
        <v>9</v>
      </c>
      <c r="C13" s="366" t="str">
        <f>[4]Brewhouse!$A119</f>
        <v>ST068</v>
      </c>
      <c r="D13" s="279">
        <f>[4]Brewhouse!$AB119</f>
        <v>52.1</v>
      </c>
      <c r="E13" s="279">
        <f>[4]Brewhouse!$AG119</f>
        <v>46.9</v>
      </c>
      <c r="F13" s="278">
        <f>[4]Brewhouse!$V119</f>
        <v>68</v>
      </c>
      <c r="G13" s="279">
        <f>[4]Brewhouse!$AE119</f>
        <v>11.8</v>
      </c>
      <c r="H13" s="482"/>
      <c r="I13" s="368">
        <f>[4]Brewhouse!$AS119</f>
        <v>92.293331261823425</v>
      </c>
      <c r="J13" s="368">
        <f>[4]Brewhouse!$AT119</f>
        <v>93.454059426954956</v>
      </c>
      <c r="K13" s="281">
        <f>[4]Brewhouse!$Q119</f>
        <v>7.8214971209213102</v>
      </c>
      <c r="L13" s="276">
        <f>[4]Brewhouse!$P119</f>
        <v>60</v>
      </c>
      <c r="M13" s="374">
        <f>[4]Brewhouse!$U119-[4]Brewhouse!$T119</f>
        <v>0.12291666666666679</v>
      </c>
      <c r="N13" s="370">
        <f>[4]Brewhouse!$AW119</f>
        <v>0.29722222222222228</v>
      </c>
      <c r="O13" s="371" t="str">
        <f>[4]Brewhouse!$AV119</f>
        <v>R.Sookram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33" t="s">
        <v>9</v>
      </c>
      <c r="C14" s="366" t="str">
        <f>[4]Brewhouse!$A120</f>
        <v>ST069</v>
      </c>
      <c r="D14" s="279">
        <f>[4]Brewhouse!$AB120</f>
        <v>52.1</v>
      </c>
      <c r="E14" s="279">
        <f>[4]Brewhouse!$AG120</f>
        <v>48.6</v>
      </c>
      <c r="F14" s="278">
        <f>[4]Brewhouse!$V120</f>
        <v>64</v>
      </c>
      <c r="G14" s="279">
        <f>[4]Brewhouse!$AE120</f>
        <v>12</v>
      </c>
      <c r="H14" s="482"/>
      <c r="I14" s="368">
        <f>[4]Brewhouse!$AS120</f>
        <v>97.343784830508056</v>
      </c>
      <c r="J14" s="368">
        <f>[4]Brewhouse!$AT120</f>
        <v>98.568030084292829</v>
      </c>
      <c r="K14" s="281">
        <f>[4]Brewhouse!$Q120</f>
        <v>6.2859884836852178</v>
      </c>
      <c r="L14" s="276">
        <f>[4]Brewhouse!$P120</f>
        <v>59</v>
      </c>
      <c r="M14" s="374">
        <f>[4]Brewhouse!$U120-[4]Brewhouse!$T120</f>
        <v>0.1201388888888888</v>
      </c>
      <c r="N14" s="370">
        <f>[4]Brewhouse!$AW120</f>
        <v>0.2847222222222221</v>
      </c>
      <c r="O14" s="371" t="str">
        <f>[4]Brewhouse!$AV120</f>
        <v>R.Sookram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486">
        <v>46074</v>
      </c>
      <c r="C15" s="366"/>
      <c r="D15" s="279"/>
      <c r="E15" s="279"/>
      <c r="F15" s="278"/>
      <c r="G15" s="279"/>
      <c r="H15" s="482"/>
      <c r="I15" s="368"/>
      <c r="J15" s="368"/>
      <c r="K15" s="281"/>
      <c r="L15" s="276"/>
      <c r="M15" s="374"/>
      <c r="N15" s="370"/>
      <c r="O15" s="371"/>
      <c r="P15" s="418"/>
      <c r="R15" s="277"/>
      <c r="S15" s="472"/>
      <c r="T15" s="472"/>
      <c r="U15" s="297"/>
      <c r="V15" s="297"/>
      <c r="W15" s="297"/>
      <c r="X15" s="297"/>
      <c r="Y15" s="297"/>
      <c r="Z15" s="472"/>
    </row>
    <row r="16" spans="2:29" ht="16.5" customHeight="1">
      <c r="B16" s="33" t="s">
        <v>9</v>
      </c>
      <c r="C16" s="366" t="str">
        <f>[4]Brewhouse!$A121</f>
        <v>ST070</v>
      </c>
      <c r="D16" s="279">
        <f>[4]Brewhouse!$AB121</f>
        <v>52.1</v>
      </c>
      <c r="E16" s="279">
        <f>[4]Brewhouse!$AG121</f>
        <v>49.1</v>
      </c>
      <c r="F16" s="278">
        <f>[4]Brewhouse!$V121</f>
        <v>64</v>
      </c>
      <c r="G16" s="279">
        <f>[4]Brewhouse!$AE121</f>
        <v>11.8</v>
      </c>
      <c r="H16" s="482"/>
      <c r="I16" s="368">
        <f>[4]Brewhouse!$AS121</f>
        <v>96.622655969201077</v>
      </c>
      <c r="J16" s="368">
        <f>[4]Brewhouse!$AT121</f>
        <v>97.837831937387804</v>
      </c>
      <c r="K16" s="281">
        <f>[4]Brewhouse!$Q121</f>
        <v>6.6698656429942442</v>
      </c>
      <c r="L16" s="276">
        <f>[4]Brewhouse!$P121</f>
        <v>77</v>
      </c>
      <c r="M16" s="374">
        <f>[4]Brewhouse!$U121-[4]Brewhouse!$T121</f>
        <v>0.13055555555555554</v>
      </c>
      <c r="N16" s="370">
        <f>[4]Brewhouse!$AW121</f>
        <v>0.31180555555555567</v>
      </c>
      <c r="O16" s="371" t="str">
        <f>[4]Brewhouse!$AV121</f>
        <v>R.Sookram</v>
      </c>
      <c r="P16" s="418"/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6.5" customHeight="1">
      <c r="B17" s="33" t="s">
        <v>9</v>
      </c>
      <c r="C17" s="366" t="str">
        <f>[4]Brewhouse!$A122</f>
        <v>ST071</v>
      </c>
      <c r="D17" s="279">
        <f>[4]Brewhouse!$AB122</f>
        <v>52.1</v>
      </c>
      <c r="E17" s="279">
        <f>[4]Brewhouse!$AG122</f>
        <v>50.5</v>
      </c>
      <c r="F17" s="278">
        <f>[4]Brewhouse!$V122</f>
        <v>62</v>
      </c>
      <c r="G17" s="279">
        <f>[4]Brewhouse!$AE122</f>
        <v>11.8</v>
      </c>
      <c r="H17" s="482"/>
      <c r="I17" s="368">
        <f>[4]Brewhouse!$AS122</f>
        <v>99.627850959740556</v>
      </c>
      <c r="J17" s="368">
        <f>[4]Brewhouse!$AT122</f>
        <v>100.8799969488483</v>
      </c>
      <c r="K17" s="281">
        <f>[4]Brewhouse!$Q122</f>
        <v>6.2859884836852178</v>
      </c>
      <c r="L17" s="276">
        <f>[4]Brewhouse!$P122</f>
        <v>61</v>
      </c>
      <c r="M17" s="374">
        <f>[4]Brewhouse!$U122-[4]Brewhouse!$T122</f>
        <v>0.1159722222222222</v>
      </c>
      <c r="N17" s="370">
        <f>[4]Brewhouse!$AW122</f>
        <v>0.33888888888888891</v>
      </c>
      <c r="O17" s="371" t="str">
        <f>[4]Brewhouse!$AV122</f>
        <v>R.Sookram</v>
      </c>
      <c r="P17" s="418"/>
      <c r="R17" s="277" t="str">
        <f t="shared" si="0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6.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6.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6.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6.5" customHeight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ref="R21:R37" si="9">B21</f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8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6.5" customHeight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11"/>
      <c r="J24" s="511"/>
      <c r="K24" s="511"/>
      <c r="L24" s="511"/>
      <c r="M24" s="511"/>
      <c r="N24" s="511"/>
      <c r="O24" s="1"/>
      <c r="P24" s="12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.75" customHeight="1" thickBot="1">
      <c r="B25" s="388" t="s">
        <v>162</v>
      </c>
      <c r="C25" s="388"/>
      <c r="D25" s="512" t="s">
        <v>35</v>
      </c>
      <c r="E25" s="513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5" customHeight="1">
      <c r="A26" s="28"/>
      <c r="B26" s="580" t="str">
        <f>I26</f>
        <v>CARIB</v>
      </c>
      <c r="C26" s="362" cm="1">
        <f t="array" ref="C26:C31">[3]Process!$D$128:$D$133</f>
        <v>11.8</v>
      </c>
      <c r="D26" s="517">
        <v>11.89</v>
      </c>
      <c r="E26" s="518"/>
      <c r="F26" s="294"/>
      <c r="G26" s="294"/>
      <c r="H26" s="348"/>
      <c r="I26" s="29" t="s">
        <v>6</v>
      </c>
      <c r="J26" s="323"/>
      <c r="K26" s="284">
        <f>COUNTA([3]Brewhouse!$A$125:$A$172)</f>
        <v>48</v>
      </c>
      <c r="L26" s="305">
        <f>AVERAGE([3]Brewhouse!$AU$125:$AU$172)</f>
        <v>97.230605505755889</v>
      </c>
      <c r="M26" s="305">
        <f>AVERAGE([3]Brewhouse!$AU$42:$AU$123,[3]Brewhouse!$AU$125:$AU$172)</f>
        <v>97.68248336972249</v>
      </c>
      <c r="N26" s="30">
        <v>98</v>
      </c>
      <c r="O26" s="11"/>
      <c r="P26" s="31"/>
      <c r="R26" s="277" t="str">
        <f t="shared" si="9"/>
        <v>CARIB</v>
      </c>
      <c r="S26" s="472">
        <f t="shared" si="1"/>
        <v>11.6</v>
      </c>
      <c r="T26" s="472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472">
        <f t="shared" si="8"/>
        <v>60</v>
      </c>
    </row>
    <row r="27" spans="1:27" ht="15" customHeight="1">
      <c r="A27" s="28"/>
      <c r="B27" s="581"/>
      <c r="C27" s="362">
        <v>11.7</v>
      </c>
      <c r="D27" s="519"/>
      <c r="E27" s="520"/>
      <c r="F27" s="294"/>
      <c r="G27" s="294"/>
      <c r="H27" s="348"/>
      <c r="I27" s="33" t="s">
        <v>9</v>
      </c>
      <c r="J27" s="280">
        <f>AVERAGE(I10:I17)</f>
        <v>96.871961037917671</v>
      </c>
      <c r="K27" s="284">
        <f>COUNTA([4]Brewhouse!$A$83:$A$122)</f>
        <v>40</v>
      </c>
      <c r="L27" s="302">
        <f>AVERAGE([4]Brewhouse!$AS$83:$AS$122)</f>
        <v>98.003478332443095</v>
      </c>
      <c r="M27" s="302">
        <f>AVERAGE([4]Brewhouse!$AS$52:$AS$81,[4]Brewhouse!$AS$83:$AS$122)</f>
        <v>98.441363082116183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81"/>
      <c r="C28" s="362">
        <v>11.8</v>
      </c>
      <c r="D28" s="521">
        <v>11.83</v>
      </c>
      <c r="E28" s="522"/>
      <c r="F28" s="294"/>
      <c r="G28" s="294"/>
      <c r="H28" s="348"/>
      <c r="I28" s="34" t="s">
        <v>12</v>
      </c>
      <c r="J28" s="280"/>
      <c r="K28" s="284">
        <f>COUNTA([6]Brewhouse!$A$25:$A$27)</f>
        <v>3</v>
      </c>
      <c r="L28" s="302">
        <f>AVERAGE([6]Brewhouse!$AU$25:$AU$27)</f>
        <v>98.383718888256155</v>
      </c>
      <c r="M28" s="302">
        <f>AVERAGE([6]Brewhouse!$AU$16:$AU$23,[6]Brewhouse!$AU$25:$AU$27)</f>
        <v>97.933890431198279</v>
      </c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81"/>
      <c r="C29" s="362">
        <v>11.4</v>
      </c>
      <c r="D29" s="523"/>
      <c r="E29" s="520"/>
      <c r="F29" s="294"/>
      <c r="G29" s="294"/>
      <c r="H29" s="348"/>
      <c r="I29" s="22" t="s">
        <v>33</v>
      </c>
      <c r="J29" s="280"/>
      <c r="K29" s="284"/>
      <c r="L29" s="302"/>
      <c r="M29" s="302">
        <f>AVERAGE([5]Brewhouse!$AV$23:$AV$34)</f>
        <v>98.31387229810305</v>
      </c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81"/>
      <c r="C30" s="362">
        <v>12</v>
      </c>
      <c r="D30" s="521">
        <v>11.74</v>
      </c>
      <c r="E30" s="522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65" customHeight="1">
      <c r="A31" s="28"/>
      <c r="B31" s="581"/>
      <c r="C31" s="362">
        <v>11.9</v>
      </c>
      <c r="D31" s="523"/>
      <c r="E31" s="520"/>
      <c r="F31" s="417"/>
      <c r="G31" s="294"/>
      <c r="H31" s="348"/>
      <c r="I31" s="36" t="s">
        <v>15</v>
      </c>
      <c r="J31" s="323"/>
      <c r="K31" s="284"/>
      <c r="L31" s="302"/>
      <c r="M31" s="302">
        <f>AVERAGE([7]Brewhouse!$AT$4:$AT$11)</f>
        <v>92.826224508052405</v>
      </c>
      <c r="N31" s="30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4.65" customHeight="1">
      <c r="A32" s="28"/>
      <c r="B32" s="581"/>
      <c r="C32" s="362"/>
      <c r="D32" s="521"/>
      <c r="E32" s="522"/>
      <c r="F32" s="417"/>
      <c r="G32" s="294"/>
      <c r="H32" s="348"/>
      <c r="I32" s="37" t="s">
        <v>16</v>
      </c>
      <c r="J32" s="323"/>
      <c r="K32" s="284"/>
      <c r="L32" s="302"/>
      <c r="M32" s="302">
        <f>AVERAGE([8]Brewhouse!$AY$5:$AY$7)</f>
        <v>98.128633252159673</v>
      </c>
      <c r="N32" s="30">
        <v>98</v>
      </c>
      <c r="O32" s="11"/>
      <c r="P32" s="31" t="s">
        <v>41</v>
      </c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4.65" customHeight="1">
      <c r="A33" s="28"/>
      <c r="B33" s="581"/>
      <c r="C33" s="362"/>
      <c r="D33" s="523"/>
      <c r="E33" s="520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4.65" customHeight="1">
      <c r="A34" s="28"/>
      <c r="B34" s="581"/>
      <c r="C34" s="349"/>
      <c r="D34" s="521"/>
      <c r="E34" s="522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9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81"/>
      <c r="C35" s="349"/>
      <c r="D35" s="523"/>
      <c r="E35" s="520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9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81"/>
      <c r="C36" s="349"/>
      <c r="D36" s="517"/>
      <c r="E36" s="518"/>
      <c r="F36" s="294"/>
      <c r="G36" s="294"/>
      <c r="H36" s="348"/>
      <c r="I36" s="1"/>
      <c r="J36" s="39"/>
      <c r="K36" s="404">
        <f>SUM(K26:K35)</f>
        <v>91</v>
      </c>
      <c r="L36" s="405">
        <f>((L26*K26)+(L27*K27)+(L28*K28)+(L29*K29)+(L30*K30)+(K33*L33)+(L31*K31)+(L32*K32)+(L35*K35))/(K36)</f>
        <v>97.608344552074456</v>
      </c>
      <c r="M36" s="405">
        <f>AVERAGE('[9]Jan30th-31st'!$L$42,L36)</f>
        <v>97.718193143957961</v>
      </c>
      <c r="N36" s="40">
        <v>98</v>
      </c>
      <c r="O36" s="11"/>
      <c r="P36" s="31"/>
      <c r="R36" s="277">
        <f t="shared" si="9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82"/>
      <c r="C37" s="350"/>
      <c r="D37" s="519"/>
      <c r="E37" s="520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9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14"/>
      <c r="C38" s="362"/>
      <c r="D38" s="525"/>
      <c r="E38" s="526"/>
      <c r="F38" s="294"/>
      <c r="G38" s="42"/>
      <c r="H38" s="41"/>
      <c r="I38" s="42"/>
      <c r="J38" s="527" t="s">
        <v>129</v>
      </c>
      <c r="K38" s="527"/>
      <c r="L38" s="294"/>
      <c r="M38" s="294"/>
      <c r="N38" s="294"/>
      <c r="O38" s="294"/>
      <c r="P38" s="12"/>
    </row>
    <row r="39" spans="1:56" ht="15.75" thickBot="1">
      <c r="B39" s="515"/>
      <c r="C39" s="362"/>
      <c r="D39" s="523"/>
      <c r="E39" s="520"/>
      <c r="F39" s="294"/>
      <c r="G39" s="42"/>
      <c r="H39" s="41"/>
      <c r="I39" s="292" t="s">
        <v>17</v>
      </c>
      <c r="J39" s="293" t="s">
        <v>147</v>
      </c>
      <c r="K39" s="293" t="s">
        <v>191</v>
      </c>
      <c r="L39" s="528" t="s">
        <v>136</v>
      </c>
      <c r="M39" s="528"/>
      <c r="N39" s="529"/>
      <c r="O39" s="294"/>
      <c r="P39" s="12"/>
    </row>
    <row r="40" spans="1:56" ht="15" customHeight="1" thickBot="1">
      <c r="B40" s="515"/>
      <c r="C40" s="349"/>
      <c r="D40" s="521"/>
      <c r="E40" s="522"/>
      <c r="F40" s="294"/>
      <c r="G40" s="42"/>
      <c r="H40" s="41"/>
      <c r="I40" s="287" t="s">
        <v>6</v>
      </c>
      <c r="J40" s="324"/>
      <c r="K40" s="324"/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15"/>
      <c r="C41" s="349"/>
      <c r="D41" s="523"/>
      <c r="E41" s="520"/>
      <c r="F41" s="294"/>
      <c r="G41" s="42"/>
      <c r="H41" s="41"/>
      <c r="I41" s="345" t="s">
        <v>9</v>
      </c>
      <c r="J41" s="324">
        <v>5</v>
      </c>
      <c r="K41" s="324">
        <v>2</v>
      </c>
      <c r="L41" s="344">
        <f>AVERAGE(K50,'Feb 2nd'!K49,'Feb 3rd'!K54,'Feb 4th'!K53,'Feb 4th'!K53,'Feb 5th'!K49,'Feb 6th'!K49,'Feb 9th'!K52,'Feb 10th'!K54,'Feb 11th'!K48,'Feb 12th'!K49,'Feb 13th'!K46,'Feb 16th'!K54,'Feb 17th'!K50,'Feb 18th '!K48,'Feb 19th'!K50,J50)</f>
        <v>6.117647058823529</v>
      </c>
      <c r="M41" s="325">
        <f>AVERAGE('[9]Jan30th-31st'!$L$47,L41)</f>
        <v>6.1023017902813299</v>
      </c>
      <c r="N41" s="416">
        <v>9.1999999999999993</v>
      </c>
      <c r="O41" s="294"/>
      <c r="P41" s="12"/>
    </row>
    <row r="42" spans="1:56" ht="15" customHeight="1">
      <c r="B42" s="515"/>
      <c r="C42" s="349"/>
      <c r="D42" s="521"/>
      <c r="E42" s="522"/>
      <c r="F42" s="294"/>
      <c r="G42" s="42"/>
      <c r="H42" s="41"/>
      <c r="I42" s="288" t="s">
        <v>40</v>
      </c>
      <c r="J42" s="324"/>
      <c r="K42" s="324"/>
      <c r="L42" s="294"/>
      <c r="M42" s="294"/>
      <c r="N42" s="294"/>
      <c r="O42" s="294"/>
      <c r="P42" s="12"/>
    </row>
    <row r="43" spans="1:56" ht="15" customHeight="1">
      <c r="B43" s="515"/>
      <c r="C43" s="349"/>
      <c r="D43" s="523"/>
      <c r="E43" s="520"/>
      <c r="F43" s="294"/>
      <c r="G43" s="42"/>
      <c r="H43" s="41"/>
      <c r="I43" s="289" t="s">
        <v>33</v>
      </c>
      <c r="J43" s="324"/>
      <c r="K43" s="324"/>
      <c r="L43" s="294"/>
      <c r="M43" s="294"/>
      <c r="N43" s="294"/>
      <c r="O43" s="294"/>
      <c r="P43" s="12"/>
    </row>
    <row r="44" spans="1:56" ht="15">
      <c r="B44" s="515"/>
      <c r="C44" s="349"/>
      <c r="D44" s="521"/>
      <c r="E44" s="522"/>
      <c r="F44" s="294"/>
      <c r="G44" s="42"/>
      <c r="H44" s="41"/>
      <c r="I44" s="290" t="s">
        <v>16</v>
      </c>
      <c r="J44" s="324"/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15"/>
      <c r="C45" s="349"/>
      <c r="D45" s="523"/>
      <c r="E45" s="520"/>
      <c r="F45" s="294"/>
      <c r="G45" s="42"/>
      <c r="H45" s="41"/>
      <c r="I45" s="291" t="s">
        <v>15</v>
      </c>
      <c r="J45" s="324"/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15"/>
      <c r="C46" s="349"/>
      <c r="D46" s="521"/>
      <c r="E46" s="522"/>
      <c r="F46" s="294"/>
      <c r="G46" s="42"/>
      <c r="H46" s="41"/>
      <c r="I46" s="291" t="s">
        <v>149</v>
      </c>
      <c r="J46" s="324"/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4"/>
      <c r="C47" s="350"/>
      <c r="D47" s="530"/>
      <c r="E47" s="531"/>
      <c r="F47" s="294" t="s">
        <v>166</v>
      </c>
      <c r="G47" s="42"/>
      <c r="H47" s="41"/>
      <c r="I47" s="291" t="s">
        <v>148</v>
      </c>
      <c r="J47" s="324"/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32"/>
      <c r="E48" s="533"/>
      <c r="F48" s="294"/>
      <c r="H48" s="41"/>
      <c r="I48" s="295" t="s">
        <v>134</v>
      </c>
      <c r="J48" s="324"/>
      <c r="K48" s="324"/>
      <c r="L48" s="294"/>
      <c r="M48" s="294"/>
      <c r="N48" s="294"/>
      <c r="O48" s="294"/>
      <c r="P48" s="12"/>
      <c r="BC48" s="44"/>
      <c r="BD48" s="44"/>
    </row>
    <row r="49" spans="1:57" ht="17.649999999999999" customHeight="1">
      <c r="B49" s="363"/>
      <c r="C49" s="364"/>
      <c r="D49" s="365"/>
      <c r="E49" s="365"/>
      <c r="F49" s="294"/>
      <c r="G49" s="42"/>
      <c r="H49" s="41"/>
      <c r="I49" s="295" t="s">
        <v>131</v>
      </c>
      <c r="J49" s="324"/>
      <c r="K49" s="324"/>
      <c r="L49" s="294"/>
      <c r="M49" s="294"/>
      <c r="N49" s="294"/>
      <c r="O49" s="294"/>
      <c r="P49" s="12"/>
      <c r="BC49" s="44"/>
      <c r="BD49" s="44"/>
    </row>
    <row r="50" spans="1:57" ht="15.6" customHeight="1">
      <c r="B50" s="45"/>
      <c r="C50" s="11"/>
      <c r="D50" s="11"/>
      <c r="E50" s="46"/>
      <c r="F50" s="294"/>
      <c r="G50" s="42"/>
      <c r="H50" s="41"/>
      <c r="I50" s="346" t="s">
        <v>130</v>
      </c>
      <c r="J50" s="324">
        <f>SUM(J40:J49)</f>
        <v>5</v>
      </c>
      <c r="K50" s="324">
        <f>SUM(K40:K49)</f>
        <v>2</v>
      </c>
      <c r="L50" s="294"/>
      <c r="M50" s="294"/>
      <c r="N50" s="294"/>
      <c r="O50" s="294"/>
      <c r="P50" s="12"/>
    </row>
    <row r="51" spans="1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294"/>
      <c r="N51" s="315"/>
      <c r="P51" s="334"/>
    </row>
    <row r="52" spans="1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1:57" ht="15" customHeight="1" thickBot="1">
      <c r="B53" s="534" t="s">
        <v>17</v>
      </c>
      <c r="C53" s="534" t="s">
        <v>44</v>
      </c>
      <c r="D53" s="537" t="s">
        <v>45</v>
      </c>
      <c r="E53" s="500" t="s">
        <v>46</v>
      </c>
      <c r="F53" s="509" t="s">
        <v>47</v>
      </c>
      <c r="G53" s="546" t="s">
        <v>48</v>
      </c>
      <c r="H53" s="534" t="s">
        <v>49</v>
      </c>
      <c r="I53" s="534" t="s">
        <v>50</v>
      </c>
      <c r="J53" s="540" t="s">
        <v>28</v>
      </c>
      <c r="K53" s="498" t="s">
        <v>51</v>
      </c>
      <c r="L53" s="549" t="s">
        <v>52</v>
      </c>
      <c r="M53" s="540" t="s">
        <v>53</v>
      </c>
      <c r="N53" s="13"/>
      <c r="O53" s="13"/>
      <c r="P53" s="50"/>
    </row>
    <row r="54" spans="1:57" ht="28.5" customHeight="1" thickTop="1" thickBot="1">
      <c r="B54" s="535"/>
      <c r="C54" s="536"/>
      <c r="D54" s="538"/>
      <c r="E54" s="539"/>
      <c r="F54" s="551"/>
      <c r="G54" s="547"/>
      <c r="H54" s="535"/>
      <c r="I54" s="535"/>
      <c r="J54" s="541"/>
      <c r="K54" s="548"/>
      <c r="L54" s="550"/>
      <c r="M54" s="541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1:57" s="54" customFormat="1" ht="36.75" customHeight="1" thickBot="1">
      <c r="B55" s="480" t="str">
        <f>I40</f>
        <v>CARIB</v>
      </c>
      <c r="C55" s="479">
        <v>46073</v>
      </c>
      <c r="D55" s="442">
        <f>[29]February_2026!$W$3</f>
        <v>309.3</v>
      </c>
      <c r="E55" s="443"/>
      <c r="F55" s="444"/>
      <c r="G55" s="445">
        <f>[29]February_2026!$W$7</f>
        <v>280.39999999999998</v>
      </c>
      <c r="H55" s="458"/>
      <c r="I55" s="458"/>
      <c r="J55" s="448" t="s">
        <v>190</v>
      </c>
      <c r="K55" s="449">
        <f>[30]February_2026!$W$18</f>
        <v>0.24596491228070175</v>
      </c>
      <c r="L55" s="457">
        <f>(((D55+E55)-G55)/(D55+E55))*100</f>
        <v>9.343679275784039</v>
      </c>
      <c r="M55" s="455" t="s">
        <v>174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[10]January_2019!L5</f>
        <v>0</v>
      </c>
      <c r="AC55" s="57">
        <f>[10]January_2019!M5</f>
        <v>0</v>
      </c>
      <c r="AD55" s="57">
        <f>[10]January_2019!N5</f>
        <v>0</v>
      </c>
      <c r="AE55" s="57">
        <f>[10]January_2019!O5</f>
        <v>0</v>
      </c>
      <c r="AF55" s="57">
        <f>[10]January_2019!P5</f>
        <v>0</v>
      </c>
      <c r="AG55" s="57">
        <f>[10]January_2019!Q5</f>
        <v>0</v>
      </c>
      <c r="AH55" s="57">
        <f>[10]January_2019!R5</f>
        <v>0</v>
      </c>
      <c r="AI55" s="57">
        <f>[10]January_2019!S5</f>
        <v>0</v>
      </c>
      <c r="AJ55" s="57">
        <f>[10]January_2019!T5</f>
        <v>0</v>
      </c>
      <c r="AK55" s="57">
        <f>[10]January_2019!U5</f>
        <v>0</v>
      </c>
      <c r="AL55" s="57">
        <f>[10]January_2019!V5</f>
        <v>0</v>
      </c>
      <c r="AM55" s="57">
        <f>[10]January_2019!W5</f>
        <v>0</v>
      </c>
      <c r="AN55" s="57">
        <f>[10]January_2019!X5</f>
        <v>0</v>
      </c>
      <c r="AO55" s="57">
        <f>[10]January_2019!Y5</f>
        <v>0</v>
      </c>
      <c r="AP55" s="57">
        <f>[10]January_2019!Z5</f>
        <v>0</v>
      </c>
      <c r="AQ55" s="57">
        <f>[10]January_2019!AA5</f>
        <v>0</v>
      </c>
      <c r="AR55" s="57">
        <f>[10]January_2019!AB5</f>
        <v>0</v>
      </c>
      <c r="AS55" s="57">
        <f>[10]January_2019!AC5</f>
        <v>0</v>
      </c>
      <c r="AT55" s="57">
        <f>[10]January_2019!AD5</f>
        <v>0</v>
      </c>
      <c r="AU55" s="57">
        <f>[10]January_2019!AE5</f>
        <v>0</v>
      </c>
      <c r="AV55" s="57">
        <f>[10]January_2019!AF5</f>
        <v>0</v>
      </c>
      <c r="AW55" s="57">
        <f>[10]January_2019!AG5</f>
        <v>0</v>
      </c>
      <c r="AX55" s="277">
        <f>[10]January_2019!AH5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14.25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[10]January_2019!L6</f>
        <v>0</v>
      </c>
      <c r="AC56" s="57">
        <f>[10]January_2019!M6</f>
        <v>0</v>
      </c>
      <c r="AD56" s="57">
        <f>[10]January_2019!N6</f>
        <v>0</v>
      </c>
      <c r="AE56" s="57">
        <f>[10]January_2019!O6</f>
        <v>0</v>
      </c>
      <c r="AF56" s="57">
        <f>[10]January_2019!P6</f>
        <v>0</v>
      </c>
      <c r="AG56" s="57">
        <f>[10]January_2019!Q6</f>
        <v>0</v>
      </c>
      <c r="AH56" s="57">
        <f>[10]January_2019!R6</f>
        <v>0</v>
      </c>
      <c r="AI56" s="57">
        <f>[10]January_2019!S6</f>
        <v>0</v>
      </c>
      <c r="AJ56" s="57">
        <f>[10]January_2019!T6</f>
        <v>0</v>
      </c>
      <c r="AK56" s="57">
        <f>[10]January_2019!U6</f>
        <v>0</v>
      </c>
      <c r="AL56" s="57">
        <f>[10]January_2019!V6</f>
        <v>0</v>
      </c>
      <c r="AM56" s="57">
        <f>[10]January_2019!W6</f>
        <v>0</v>
      </c>
      <c r="AN56" s="57">
        <f>[10]January_2019!X6</f>
        <v>0</v>
      </c>
      <c r="AO56" s="57">
        <f>[10]January_2019!Y6</f>
        <v>0</v>
      </c>
      <c r="AP56" s="57">
        <f>[10]January_2019!Z6</f>
        <v>0</v>
      </c>
      <c r="AQ56" s="57">
        <f>[10]January_2019!AA6</f>
        <v>0</v>
      </c>
      <c r="AR56" s="57">
        <f>[10]January_2019!AB6</f>
        <v>0</v>
      </c>
      <c r="AS56" s="57">
        <f>[10]January_2019!AC6</f>
        <v>0</v>
      </c>
      <c r="AT56" s="57">
        <f>[10]January_2019!AD6</f>
        <v>0</v>
      </c>
      <c r="AU56" s="57">
        <f>[10]January_2019!AE6</f>
        <v>0</v>
      </c>
      <c r="AV56" s="57">
        <f>[10]January_2019!AF6</f>
        <v>0</v>
      </c>
      <c r="AW56" s="57">
        <f>[10]January_2019!AG6</f>
        <v>0</v>
      </c>
      <c r="AX56" s="277">
        <f>[10]January_2019!AH6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37.15" hidden="1" customHeight="1" thickBot="1">
      <c r="A57" s="54" t="s">
        <v>170</v>
      </c>
      <c r="B57" s="480"/>
      <c r="C57" s="479"/>
      <c r="D57" s="442"/>
      <c r="E57" s="443"/>
      <c r="F57" s="444"/>
      <c r="G57" s="445"/>
      <c r="H57" s="458"/>
      <c r="I57" s="458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[10]January_2019!L7</f>
        <v>285.8</v>
      </c>
      <c r="AC57" s="57">
        <f>[10]January_2019!M7</f>
        <v>508.1</v>
      </c>
      <c r="AD57" s="57">
        <f>[10]January_2019!N7</f>
        <v>0</v>
      </c>
      <c r="AE57" s="57">
        <f>[10]January_2019!O7</f>
        <v>0</v>
      </c>
      <c r="AF57" s="57">
        <f>[10]January_2019!P7</f>
        <v>109.56666666666666</v>
      </c>
      <c r="AG57" s="57">
        <f>[10]January_2019!Q7</f>
        <v>297.64999999999998</v>
      </c>
      <c r="AH57" s="57">
        <f>[10]January_2019!R7</f>
        <v>122.3</v>
      </c>
      <c r="AI57" s="57">
        <f>[10]January_2019!S7</f>
        <v>0</v>
      </c>
      <c r="AJ57" s="57">
        <f>[10]January_2019!T7</f>
        <v>294.7</v>
      </c>
      <c r="AK57" s="57">
        <f>[10]January_2019!U7</f>
        <v>280.5</v>
      </c>
      <c r="AL57" s="57">
        <f>[10]January_2019!V7</f>
        <v>0</v>
      </c>
      <c r="AM57" s="57">
        <f>[10]January_2019!W7</f>
        <v>0</v>
      </c>
      <c r="AN57" s="57">
        <f>[10]January_2019!X7</f>
        <v>188.25</v>
      </c>
      <c r="AO57" s="57">
        <f>[10]January_2019!Y7</f>
        <v>295.7</v>
      </c>
      <c r="AP57" s="57">
        <f>[10]January_2019!Z7</f>
        <v>257.8</v>
      </c>
      <c r="AQ57" s="57">
        <f>[10]January_2019!AA7</f>
        <v>291.2</v>
      </c>
      <c r="AR57" s="57">
        <f>[10]January_2019!AB7</f>
        <v>187</v>
      </c>
      <c r="AS57" s="57">
        <f>[10]January_2019!AC7</f>
        <v>0</v>
      </c>
      <c r="AT57" s="57">
        <f>[10]January_2019!AD7</f>
        <v>0</v>
      </c>
      <c r="AU57" s="57">
        <f>[10]January_2019!AE7</f>
        <v>485.1</v>
      </c>
      <c r="AV57" s="57">
        <f>[10]January_2019!AF7</f>
        <v>171.55</v>
      </c>
      <c r="AW57" s="57">
        <f>[10]January_2019!AG7</f>
        <v>423.8</v>
      </c>
      <c r="AX57" s="277">
        <f>[10]January_2019!AH7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19.5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8.450000000000003" hidden="1" customHeight="1" thickBot="1">
      <c r="B59" s="480"/>
      <c r="C59" s="479"/>
      <c r="D59" s="442"/>
      <c r="E59" s="443"/>
      <c r="F59" s="444"/>
      <c r="G59" s="445"/>
      <c r="H59" s="458"/>
      <c r="I59" s="458"/>
      <c r="J59" s="448" t="s">
        <v>182</v>
      </c>
      <c r="K59" s="459"/>
      <c r="L59" s="457" t="e">
        <f>(((D59+E59)-G59)/(D59+E59))*100</f>
        <v>#DIV/0!</v>
      </c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7.15" hidden="1" customHeight="1" thickBot="1">
      <c r="B61" s="480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1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7.15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42" t="s">
        <v>55</v>
      </c>
      <c r="C66" s="543"/>
      <c r="D66" s="543"/>
      <c r="E66" s="543"/>
      <c r="F66" s="544"/>
      <c r="G66" s="542" t="s">
        <v>56</v>
      </c>
      <c r="H66" s="543"/>
      <c r="I66" s="543"/>
      <c r="J66" s="544"/>
      <c r="K66" s="542" t="s">
        <v>51</v>
      </c>
      <c r="L66" s="543"/>
      <c r="M66" s="543"/>
      <c r="N66" s="545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282">
        <f>L55</f>
        <v>9.343679275784039</v>
      </c>
      <c r="D68" s="76">
        <v>5.8467020936200154</v>
      </c>
      <c r="E68" s="76">
        <v>7.2246258451056438</v>
      </c>
      <c r="F68" s="66">
        <v>4.8</v>
      </c>
      <c r="G68" s="65">
        <f>[29]February_2026!$W$11</f>
        <v>9.1227459190231617</v>
      </c>
      <c r="H68" s="477">
        <v>9.1568823941535964</v>
      </c>
      <c r="I68" s="477">
        <v>9.0447566920781437</v>
      </c>
      <c r="J68" s="66">
        <v>4.8</v>
      </c>
      <c r="K68" s="67">
        <f>[30]February_2026!$W$18</f>
        <v>0.24596491228070175</v>
      </c>
      <c r="L68" s="194">
        <v>0.41153369396431788</v>
      </c>
      <c r="M68" s="194">
        <v>0.41094943602839412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6.7976820357772665</v>
      </c>
      <c r="E69" s="76">
        <v>6.3248924166345786</v>
      </c>
      <c r="F69" s="66">
        <v>4.8</v>
      </c>
      <c r="G69" s="65"/>
      <c r="H69" s="76">
        <v>6.0935964542765948</v>
      </c>
      <c r="I69" s="76">
        <v>6.4503322940568122</v>
      </c>
      <c r="J69" s="66">
        <v>4.8</v>
      </c>
      <c r="K69" s="67"/>
      <c r="L69" s="194">
        <v>0.38310065836709234</v>
      </c>
      <c r="M69" s="194">
        <v>0.51544123449192847</v>
      </c>
      <c r="N69" s="68">
        <v>1</v>
      </c>
      <c r="P69" s="69"/>
    </row>
    <row r="70" spans="2:16" ht="15">
      <c r="B70" s="34" t="s">
        <v>40</v>
      </c>
      <c r="C70" s="65"/>
      <c r="D70" s="76">
        <v>13.291724456772998</v>
      </c>
      <c r="E70" s="76">
        <v>12.39060340856747</v>
      </c>
      <c r="F70" s="66">
        <v>5.5</v>
      </c>
      <c r="G70" s="65"/>
      <c r="H70" s="76">
        <v>13.268548232646971</v>
      </c>
      <c r="I70" s="76">
        <v>12.638020855379756</v>
      </c>
      <c r="J70" s="66">
        <v>5.5</v>
      </c>
      <c r="K70" s="67"/>
      <c r="L70" s="194">
        <v>0.16451754385964915</v>
      </c>
      <c r="M70" s="194">
        <v>0.33833333333333332</v>
      </c>
      <c r="N70" s="68">
        <v>1</v>
      </c>
      <c r="P70" s="69"/>
    </row>
    <row r="71" spans="2:16" ht="15">
      <c r="B71" s="22" t="s">
        <v>33</v>
      </c>
      <c r="C71" s="65"/>
      <c r="D71" s="76" t="e">
        <v>#DIV/0!</v>
      </c>
      <c r="E71" s="76">
        <v>5.0755456997699637</v>
      </c>
      <c r="F71" s="66">
        <v>3.3</v>
      </c>
      <c r="G71" s="65"/>
      <c r="H71" s="76"/>
      <c r="I71" s="76">
        <v>4.6359882890480018</v>
      </c>
      <c r="J71" s="66">
        <v>3.3</v>
      </c>
      <c r="K71" s="67"/>
      <c r="L71" s="194"/>
      <c r="M71" s="194">
        <v>0.66833333333333345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65"/>
      <c r="D73" s="76"/>
      <c r="E73" s="76">
        <v>5.1105651105651271</v>
      </c>
      <c r="F73" s="70">
        <f>[11]May_2022!$M$43</f>
        <v>3.4878406700073312</v>
      </c>
      <c r="G73" s="282"/>
      <c r="H73" s="76"/>
      <c r="I73" s="76">
        <v>7.9131369535794072</v>
      </c>
      <c r="J73" s="66">
        <v>5.5</v>
      </c>
      <c r="K73" s="67"/>
      <c r="L73" s="194"/>
      <c r="M73" s="194">
        <v>1.3550877192982456</v>
      </c>
      <c r="N73" s="68">
        <v>1</v>
      </c>
      <c r="P73" s="69"/>
    </row>
    <row r="74" spans="2:16" ht="15">
      <c r="B74" s="37" t="s">
        <v>16</v>
      </c>
      <c r="C74" s="65"/>
      <c r="D74" s="76"/>
      <c r="E74" s="76">
        <v>2.0590520590520631</v>
      </c>
      <c r="F74" s="66">
        <v>3.3</v>
      </c>
      <c r="G74" s="282"/>
      <c r="H74" s="76"/>
      <c r="I74" s="76">
        <v>2.1755040108015784</v>
      </c>
      <c r="J74" s="66">
        <v>3.3</v>
      </c>
      <c r="K74" s="67"/>
      <c r="L74" s="194"/>
      <c r="M74" s="194">
        <v>0.88456140350877199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6.7495116668798483</v>
      </c>
      <c r="E77" s="76">
        <v>6.8594339212091242</v>
      </c>
      <c r="F77" s="341">
        <v>5.5</v>
      </c>
      <c r="H77" s="76">
        <v>9.0842459822961992</v>
      </c>
      <c r="I77" s="76">
        <v>7.9208302375752435</v>
      </c>
      <c r="J77" s="341">
        <v>5.5</v>
      </c>
      <c r="L77" s="194">
        <v>0.3780244238046096</v>
      </c>
      <c r="M77" s="194">
        <v>0.48684872268390272</v>
      </c>
      <c r="N77" s="386">
        <v>1</v>
      </c>
    </row>
    <row r="78" spans="2:16">
      <c r="I78" s="477"/>
    </row>
  </sheetData>
  <mergeCells count="51"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B38:B47"/>
    <mergeCell ref="D38:E39"/>
    <mergeCell ref="J38:K38"/>
    <mergeCell ref="L39:N39"/>
    <mergeCell ref="D40:E41"/>
    <mergeCell ref="D42:E43"/>
    <mergeCell ref="D44:E45"/>
    <mergeCell ref="D46:E47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8:B49">
    <cfRule type="cellIs" dxfId="959" priority="46" operator="notBetween">
      <formula>#REF!</formula>
      <formula>#REF!</formula>
    </cfRule>
  </conditionalFormatting>
  <conditionalFormatting sqref="C52">
    <cfRule type="cellIs" dxfId="958" priority="155" stopIfTrue="1" operator="greaterThan">
      <formula>100</formula>
    </cfRule>
    <cfRule type="cellIs" dxfId="957" priority="154" stopIfTrue="1" operator="lessThan">
      <formula>96</formula>
    </cfRule>
  </conditionalFormatting>
  <conditionalFormatting sqref="C68:C72">
    <cfRule type="cellIs" dxfId="956" priority="114" stopIfTrue="1" operator="lessThanOrEqual">
      <formula>0</formula>
    </cfRule>
  </conditionalFormatting>
  <conditionalFormatting sqref="C68:C76">
    <cfRule type="cellIs" dxfId="955" priority="113" stopIfTrue="1" operator="greaterThan">
      <formula>$F68</formula>
    </cfRule>
  </conditionalFormatting>
  <conditionalFormatting sqref="C69">
    <cfRule type="cellIs" dxfId="954" priority="158" stopIfTrue="1" operator="greaterThan">
      <formula>$F68</formula>
    </cfRule>
  </conditionalFormatting>
  <conditionalFormatting sqref="C73">
    <cfRule type="cellIs" dxfId="953" priority="71" stopIfTrue="1" operator="greaterThan">
      <formula>$F72</formula>
    </cfRule>
    <cfRule type="cellIs" dxfId="952" priority="70" stopIfTrue="1" operator="lessThanOrEqual">
      <formula>0</formula>
    </cfRule>
  </conditionalFormatting>
  <conditionalFormatting sqref="C79:C83">
    <cfRule type="cellIs" dxfId="951" priority="146" stopIfTrue="1" operator="lessThanOrEqual">
      <formula>0</formula>
    </cfRule>
  </conditionalFormatting>
  <conditionalFormatting sqref="C80:C83">
    <cfRule type="cellIs" dxfId="950" priority="145" stopIfTrue="1" operator="greaterThan">
      <formula>$F$79</formula>
    </cfRule>
  </conditionalFormatting>
  <conditionalFormatting sqref="C85">
    <cfRule type="cellIs" dxfId="949" priority="148" stopIfTrue="1" operator="lessThanOrEqual">
      <formula>0</formula>
    </cfRule>
    <cfRule type="cellIs" dxfId="948" priority="147" stopIfTrue="1" operator="greaterThan">
      <formula>$F$79</formula>
    </cfRule>
  </conditionalFormatting>
  <conditionalFormatting sqref="C79:D79 D81:D87">
    <cfRule type="cellIs" dxfId="947" priority="140" stopIfTrue="1" operator="greaterThan">
      <formula>4.5</formula>
    </cfRule>
  </conditionalFormatting>
  <conditionalFormatting sqref="D48:D49">
    <cfRule type="cellIs" dxfId="946" priority="47" operator="notBetween">
      <formula>#REF!</formula>
      <formula>#REF!</formula>
    </cfRule>
  </conditionalFormatting>
  <conditionalFormatting sqref="D68:D75">
    <cfRule type="cellIs" dxfId="945" priority="120" stopIfTrue="1" operator="lessThanOrEqual">
      <formula>0</formula>
    </cfRule>
  </conditionalFormatting>
  <conditionalFormatting sqref="D76">
    <cfRule type="cellIs" dxfId="944" priority="119" stopIfTrue="1" operator="lessThanOrEqual">
      <formula>0</formula>
    </cfRule>
  </conditionalFormatting>
  <conditionalFormatting sqref="D77">
    <cfRule type="cellIs" dxfId="943" priority="112" stopIfTrue="1" operator="lessThanOrEqual">
      <formula>0</formula>
    </cfRule>
  </conditionalFormatting>
  <conditionalFormatting sqref="D79 D81:D87">
    <cfRule type="cellIs" dxfId="942" priority="141" stopIfTrue="1" operator="lessThanOrEqual">
      <formula>0</formula>
    </cfRule>
  </conditionalFormatting>
  <conditionalFormatting sqref="D80">
    <cfRule type="cellIs" dxfId="941" priority="133" stopIfTrue="1" operator="lessThanOrEqual">
      <formula>0</formula>
    </cfRule>
    <cfRule type="cellIs" dxfId="940" priority="132" stopIfTrue="1" operator="greaterThan">
      <formula>$F$79</formula>
    </cfRule>
  </conditionalFormatting>
  <conditionalFormatting sqref="D68:E77">
    <cfRule type="cellIs" dxfId="939" priority="2" stopIfTrue="1" operator="greaterThan">
      <formula>$F68</formula>
    </cfRule>
  </conditionalFormatting>
  <conditionalFormatting sqref="E10:E23">
    <cfRule type="cellIs" dxfId="938" priority="16" operator="lessThan">
      <formula>48</formula>
    </cfRule>
  </conditionalFormatting>
  <conditionalFormatting sqref="E51 E52:F52">
    <cfRule type="cellIs" dxfId="937" priority="137" stopIfTrue="1" operator="greaterThan">
      <formula>100</formula>
    </cfRule>
  </conditionalFormatting>
  <conditionalFormatting sqref="E52">
    <cfRule type="cellIs" dxfId="936" priority="135" stopIfTrue="1" operator="greaterThan">
      <formula>100</formula>
    </cfRule>
    <cfRule type="cellIs" dxfId="935" priority="134" stopIfTrue="1" operator="lessThan">
      <formula>96.8</formula>
    </cfRule>
  </conditionalFormatting>
  <conditionalFormatting sqref="E68:E76">
    <cfRule type="cellIs" dxfId="934" priority="1" stopIfTrue="1" operator="lessThanOrEqual">
      <formula>0</formula>
    </cfRule>
  </conditionalFormatting>
  <conditionalFormatting sqref="E68:E77">
    <cfRule type="cellIs" dxfId="933" priority="3" stopIfTrue="1" operator="lessThanOrEqual">
      <formula>0</formula>
    </cfRule>
  </conditionalFormatting>
  <conditionalFormatting sqref="E77">
    <cfRule type="cellIs" dxfId="932" priority="4" stopIfTrue="1" operator="lessThanOrEqual">
      <formula>0</formula>
    </cfRule>
  </conditionalFormatting>
  <conditionalFormatting sqref="E79:E87">
    <cfRule type="cellIs" dxfId="931" priority="126" stopIfTrue="1" operator="greaterThan">
      <formula>4.5</formula>
    </cfRule>
    <cfRule type="cellIs" dxfId="930" priority="127" stopIfTrue="1" operator="lessThanOrEqual">
      <formula>0</formula>
    </cfRule>
  </conditionalFormatting>
  <conditionalFormatting sqref="E52:F52 E51">
    <cfRule type="cellIs" dxfId="929" priority="136" stopIfTrue="1" operator="lessThan">
      <formula>96.5</formula>
    </cfRule>
  </conditionalFormatting>
  <conditionalFormatting sqref="F18:F20 F22:F23">
    <cfRule type="cellIs" dxfId="928" priority="38" operator="greaterThan">
      <formula>60</formula>
    </cfRule>
  </conditionalFormatting>
  <conditionalFormatting sqref="F52">
    <cfRule type="cellIs" dxfId="927" priority="153" stopIfTrue="1" operator="greaterThan">
      <formula>100</formula>
    </cfRule>
    <cfRule type="cellIs" dxfId="926" priority="152" stopIfTrue="1" operator="lessThan">
      <formula>96.8</formula>
    </cfRule>
  </conditionalFormatting>
  <conditionalFormatting sqref="F77">
    <cfRule type="cellIs" dxfId="925" priority="117" stopIfTrue="1" operator="greaterThan">
      <formula>$F77</formula>
    </cfRule>
    <cfRule type="cellIs" dxfId="924" priority="118" stopIfTrue="1" operator="lessThanOrEqual">
      <formula>0</formula>
    </cfRule>
  </conditionalFormatting>
  <conditionalFormatting sqref="G10:G22">
    <cfRule type="expression" dxfId="923" priority="18">
      <formula>IF(+(IF(G10&lt;S10,0,IF(G10&gt;T10,0,1)))=0,1)</formula>
    </cfRule>
  </conditionalFormatting>
  <conditionalFormatting sqref="G68:G69 C74:C76">
    <cfRule type="cellIs" dxfId="922" priority="122" stopIfTrue="1" operator="lessThanOrEqual">
      <formula>0</formula>
    </cfRule>
  </conditionalFormatting>
  <conditionalFormatting sqref="G68:G69">
    <cfRule type="cellIs" dxfId="921" priority="121" stopIfTrue="1" operator="greaterThan">
      <formula>$F68</formula>
    </cfRule>
    <cfRule type="cellIs" dxfId="920" priority="116" stopIfTrue="1" operator="lessThanOrEqual">
      <formula>0</formula>
    </cfRule>
    <cfRule type="cellIs" dxfId="919" priority="115" stopIfTrue="1" operator="greaterThan">
      <formula>$F68</formula>
    </cfRule>
  </conditionalFormatting>
  <conditionalFormatting sqref="G70">
    <cfRule type="cellIs" dxfId="918" priority="156" stopIfTrue="1" operator="greaterThan">
      <formula>$F69</formula>
    </cfRule>
    <cfRule type="cellIs" dxfId="917" priority="157" stopIfTrue="1" operator="lessThanOrEqual">
      <formula>0</formula>
    </cfRule>
  </conditionalFormatting>
  <conditionalFormatting sqref="G71">
    <cfRule type="cellIs" dxfId="916" priority="42" stopIfTrue="1" operator="greaterThan">
      <formula>$F71</formula>
    </cfRule>
    <cfRule type="cellIs" dxfId="915" priority="43" stopIfTrue="1" operator="lessThanOrEqual">
      <formula>0</formula>
    </cfRule>
    <cfRule type="cellIs" dxfId="914" priority="44" stopIfTrue="1" operator="greaterThan">
      <formula>$F71</formula>
    </cfRule>
    <cfRule type="cellIs" dxfId="913" priority="45" stopIfTrue="1" operator="lessThanOrEqual">
      <formula>0</formula>
    </cfRule>
  </conditionalFormatting>
  <conditionalFormatting sqref="G72:G76">
    <cfRule type="cellIs" dxfId="912" priority="124" stopIfTrue="1" operator="lessThanOrEqual">
      <formula>0</formula>
    </cfRule>
    <cfRule type="cellIs" dxfId="911" priority="123" stopIfTrue="1" operator="greaterThan">
      <formula>$J72</formula>
    </cfRule>
  </conditionalFormatting>
  <conditionalFormatting sqref="G81:G86 C84 C86">
    <cfRule type="cellIs" dxfId="910" priority="149" stopIfTrue="1" operator="greaterThan">
      <formula>4.5</formula>
    </cfRule>
    <cfRule type="cellIs" dxfId="909" priority="150" stopIfTrue="1" operator="lessThanOrEqual">
      <formula>0</formula>
    </cfRule>
  </conditionalFormatting>
  <conditionalFormatting sqref="G80:H80">
    <cfRule type="cellIs" dxfId="908" priority="131" stopIfTrue="1" operator="lessThanOrEqual">
      <formula>0</formula>
    </cfRule>
    <cfRule type="cellIs" dxfId="907" priority="130" stopIfTrue="1" operator="greaterThan">
      <formula>$F$79</formula>
    </cfRule>
  </conditionalFormatting>
  <conditionalFormatting sqref="H10:H22 G23:H23">
    <cfRule type="expression" dxfId="906" priority="39">
      <formula>IF(+(IF(G10&lt;#REF!,0,IF(G10&gt;#REF!,0,1)))=0,1)</formula>
    </cfRule>
  </conditionalFormatting>
  <conditionalFormatting sqref="H37:H51">
    <cfRule type="cellIs" dxfId="905" priority="128" stopIfTrue="1" operator="greaterThan">
      <formula>0</formula>
    </cfRule>
  </conditionalFormatting>
  <conditionalFormatting sqref="H55:H59">
    <cfRule type="cellIs" dxfId="904" priority="33" stopIfTrue="1" operator="greaterThan">
      <formula>$F$71</formula>
    </cfRule>
    <cfRule type="cellIs" dxfId="903" priority="34" stopIfTrue="1" operator="lessThanOrEqual">
      <formula>0</formula>
    </cfRule>
    <cfRule type="cellIs" dxfId="902" priority="24" stopIfTrue="1" operator="lessThanOrEqual">
      <formula>0</formula>
    </cfRule>
    <cfRule type="cellIs" dxfId="901" priority="25" stopIfTrue="1" operator="greaterThan">
      <formula>$F$68</formula>
    </cfRule>
    <cfRule type="cellIs" dxfId="900" priority="35" stopIfTrue="1" operator="greaterThan">
      <formula>$F$69</formula>
    </cfRule>
    <cfRule type="cellIs" dxfId="899" priority="36" stopIfTrue="1" operator="lessThanOrEqual">
      <formula>0</formula>
    </cfRule>
  </conditionalFormatting>
  <conditionalFormatting sqref="H60:H61">
    <cfRule type="cellIs" dxfId="898" priority="83" stopIfTrue="1" operator="lessThanOrEqual">
      <formula>0</formula>
    </cfRule>
    <cfRule type="cellIs" dxfId="897" priority="74" stopIfTrue="1" operator="greaterThan">
      <formula>#REF!</formula>
    </cfRule>
    <cfRule type="cellIs" dxfId="896" priority="85" stopIfTrue="1" operator="lessThanOrEqual">
      <formula>0</formula>
    </cfRule>
    <cfRule type="cellIs" dxfId="895" priority="73" stopIfTrue="1" operator="lessThanOrEqual">
      <formula>0</formula>
    </cfRule>
    <cfRule type="cellIs" dxfId="894" priority="84" stopIfTrue="1" operator="greaterThan">
      <formula>#REF!</formula>
    </cfRule>
    <cfRule type="cellIs" dxfId="893" priority="82" stopIfTrue="1" operator="greaterThan">
      <formula>$F$23</formula>
    </cfRule>
  </conditionalFormatting>
  <conditionalFormatting sqref="H62">
    <cfRule type="cellIs" dxfId="892" priority="100" stopIfTrue="1" operator="lessThanOrEqual">
      <formula>0</formula>
    </cfRule>
    <cfRule type="cellIs" dxfId="891" priority="98" stopIfTrue="1" operator="lessThanOrEqual">
      <formula>0</formula>
    </cfRule>
    <cfRule type="cellIs" dxfId="890" priority="89" stopIfTrue="1" operator="greaterThan">
      <formula>$F$36</formula>
    </cfRule>
    <cfRule type="cellIs" dxfId="889" priority="99" stopIfTrue="1" operator="greaterThan">
      <formula>$F$37</formula>
    </cfRule>
    <cfRule type="cellIs" dxfId="888" priority="97" stopIfTrue="1" operator="greaterThan">
      <formula>$F$39</formula>
    </cfRule>
    <cfRule type="cellIs" dxfId="887" priority="88" stopIfTrue="1" operator="lessThanOrEqual">
      <formula>0</formula>
    </cfRule>
  </conditionalFormatting>
  <conditionalFormatting sqref="H63:H64">
    <cfRule type="cellIs" dxfId="886" priority="67" stopIfTrue="1" operator="lessThanOrEqual">
      <formula>0</formula>
    </cfRule>
    <cfRule type="cellIs" dxfId="885" priority="66" stopIfTrue="1" operator="greaterThan">
      <formula>$F$23</formula>
    </cfRule>
    <cfRule type="cellIs" dxfId="884" priority="58" stopIfTrue="1" operator="greaterThan">
      <formula>#REF!</formula>
    </cfRule>
    <cfRule type="cellIs" dxfId="883" priority="57" stopIfTrue="1" operator="lessThanOrEqual">
      <formula>0</formula>
    </cfRule>
    <cfRule type="cellIs" dxfId="882" priority="69" stopIfTrue="1" operator="lessThanOrEqual">
      <formula>0</formula>
    </cfRule>
    <cfRule type="cellIs" dxfId="881" priority="68" stopIfTrue="1" operator="greaterThan">
      <formula>#REF!</formula>
    </cfRule>
  </conditionalFormatting>
  <conditionalFormatting sqref="H79 H81:H87">
    <cfRule type="cellIs" dxfId="880" priority="143" stopIfTrue="1" operator="lessThanOrEqual">
      <formula>0</formula>
    </cfRule>
    <cfRule type="cellIs" dxfId="879" priority="142" stopIfTrue="1" operator="greaterThan">
      <formula>4.5</formula>
    </cfRule>
  </conditionalFormatting>
  <conditionalFormatting sqref="H55:I59">
    <cfRule type="cellIs" dxfId="878" priority="26" stopIfTrue="1" operator="lessThanOrEqual">
      <formula>0</formula>
    </cfRule>
    <cfRule type="cellIs" dxfId="877" priority="23" stopIfTrue="1" operator="greaterThan">
      <formula>$F$70</formula>
    </cfRule>
  </conditionalFormatting>
  <conditionalFormatting sqref="H60:I61">
    <cfRule type="cellIs" dxfId="876" priority="75" stopIfTrue="1" operator="lessThanOrEqual">
      <formula>0</formula>
    </cfRule>
    <cfRule type="cellIs" dxfId="875" priority="72" stopIfTrue="1" operator="greaterThan">
      <formula>#REF!</formula>
    </cfRule>
  </conditionalFormatting>
  <conditionalFormatting sqref="H62:I62">
    <cfRule type="cellIs" dxfId="874" priority="87" stopIfTrue="1" operator="greaterThan">
      <formula>$F$38</formula>
    </cfRule>
    <cfRule type="cellIs" dxfId="873" priority="90" stopIfTrue="1" operator="lessThanOrEqual">
      <formula>0</formula>
    </cfRule>
  </conditionalFormatting>
  <conditionalFormatting sqref="H63:I64">
    <cfRule type="cellIs" dxfId="872" priority="59" stopIfTrue="1" operator="lessThanOrEqual">
      <formula>0</formula>
    </cfRule>
    <cfRule type="cellIs" dxfId="871" priority="56" stopIfTrue="1" operator="greaterThan">
      <formula>#REF!</formula>
    </cfRule>
  </conditionalFormatting>
  <conditionalFormatting sqref="H68:I75 I78">
    <cfRule type="cellIs" dxfId="870" priority="5" stopIfTrue="1" operator="greaterThan">
      <formula>$J68</formula>
    </cfRule>
    <cfRule type="cellIs" dxfId="869" priority="6" stopIfTrue="1" operator="lessThanOrEqual">
      <formula>0</formula>
    </cfRule>
  </conditionalFormatting>
  <conditionalFormatting sqref="H76:I76">
    <cfRule type="cellIs" dxfId="868" priority="9" operator="greaterThan">
      <formula>5.3</formula>
    </cfRule>
  </conditionalFormatting>
  <conditionalFormatting sqref="H77:I77">
    <cfRule type="cellIs" dxfId="867" priority="8" stopIfTrue="1" operator="lessThanOrEqual">
      <formula>0</formula>
    </cfRule>
    <cfRule type="cellIs" dxfId="866" priority="7" stopIfTrue="1" operator="greaterThan">
      <formula>$J77</formula>
    </cfRule>
  </conditionalFormatting>
  <conditionalFormatting sqref="I55:I59">
    <cfRule type="cellIs" dxfId="865" priority="27" stopIfTrue="1" operator="greaterThan">
      <formula>$F$68</formula>
    </cfRule>
    <cfRule type="cellIs" dxfId="864" priority="32" stopIfTrue="1" operator="lessThanOrEqual">
      <formula>0</formula>
    </cfRule>
    <cfRule type="cellIs" dxfId="863" priority="31" stopIfTrue="1" operator="greaterThan">
      <formula>$F$68</formula>
    </cfRule>
    <cfRule type="cellIs" dxfId="862" priority="30" stopIfTrue="1" operator="lessThanOrEqual">
      <formula>0</formula>
    </cfRule>
    <cfRule type="cellIs" dxfId="861" priority="29" stopIfTrue="1" operator="greaterThan">
      <formula>$F$70</formula>
    </cfRule>
    <cfRule type="cellIs" dxfId="860" priority="28" stopIfTrue="1" operator="lessThanOrEqual">
      <formula>0</formula>
    </cfRule>
  </conditionalFormatting>
  <conditionalFormatting sqref="I60:I61">
    <cfRule type="cellIs" dxfId="859" priority="78" stopIfTrue="1" operator="greaterThan">
      <formula>#REF!</formula>
    </cfRule>
    <cfRule type="cellIs" dxfId="858" priority="79" stopIfTrue="1" operator="lessThanOrEqual">
      <formula>0</formula>
    </cfRule>
    <cfRule type="cellIs" dxfId="857" priority="80" stopIfTrue="1" operator="greaterThan">
      <formula>#REF!</formula>
    </cfRule>
    <cfRule type="cellIs" dxfId="856" priority="81" stopIfTrue="1" operator="lessThanOrEqual">
      <formula>0</formula>
    </cfRule>
    <cfRule type="cellIs" dxfId="855" priority="76" stopIfTrue="1" operator="greaterThan">
      <formula>#REF!</formula>
    </cfRule>
    <cfRule type="cellIs" dxfId="854" priority="77" stopIfTrue="1" operator="lessThanOrEqual">
      <formula>0</formula>
    </cfRule>
  </conditionalFormatting>
  <conditionalFormatting sqref="I62">
    <cfRule type="cellIs" dxfId="853" priority="91" stopIfTrue="1" operator="greaterThan">
      <formula>$F$36</formula>
    </cfRule>
    <cfRule type="cellIs" dxfId="852" priority="96" stopIfTrue="1" operator="lessThanOrEqual">
      <formula>0</formula>
    </cfRule>
    <cfRule type="cellIs" dxfId="851" priority="95" stopIfTrue="1" operator="greaterThan">
      <formula>$F$36</formula>
    </cfRule>
    <cfRule type="cellIs" dxfId="850" priority="94" stopIfTrue="1" operator="lessThanOrEqual">
      <formula>0</formula>
    </cfRule>
    <cfRule type="cellIs" dxfId="849" priority="93" stopIfTrue="1" operator="greaterThan">
      <formula>$F$38</formula>
    </cfRule>
    <cfRule type="cellIs" dxfId="848" priority="92" stopIfTrue="1" operator="lessThanOrEqual">
      <formula>0</formula>
    </cfRule>
  </conditionalFormatting>
  <conditionalFormatting sqref="I63:I64">
    <cfRule type="cellIs" dxfId="847" priority="61" stopIfTrue="1" operator="lessThanOrEqual">
      <formula>0</formula>
    </cfRule>
    <cfRule type="cellIs" dxfId="846" priority="60" stopIfTrue="1" operator="greaterThan">
      <formula>#REF!</formula>
    </cfRule>
    <cfRule type="cellIs" dxfId="845" priority="62" stopIfTrue="1" operator="greaterThan">
      <formula>#REF!</formula>
    </cfRule>
    <cfRule type="cellIs" dxfId="844" priority="65" stopIfTrue="1" operator="lessThanOrEqual">
      <formula>0</formula>
    </cfRule>
    <cfRule type="cellIs" dxfId="843" priority="64" stopIfTrue="1" operator="greaterThan">
      <formula>#REF!</formula>
    </cfRule>
    <cfRule type="cellIs" dxfId="842" priority="63" stopIfTrue="1" operator="lessThanOrEqual">
      <formula>0</formula>
    </cfRule>
  </conditionalFormatting>
  <conditionalFormatting sqref="I79:I87">
    <cfRule type="cellIs" dxfId="841" priority="139" stopIfTrue="1" operator="lessThanOrEqual">
      <formula>0</formula>
    </cfRule>
    <cfRule type="cellIs" dxfId="840" priority="138" stopIfTrue="1" operator="greaterThan">
      <formula>4.5</formula>
    </cfRule>
  </conditionalFormatting>
  <conditionalFormatting sqref="I10:J23">
    <cfRule type="cellIs" dxfId="839" priority="12" operator="lessThan">
      <formula>97.9</formula>
    </cfRule>
  </conditionalFormatting>
  <conditionalFormatting sqref="J26">
    <cfRule type="cellIs" dxfId="838" priority="22" operator="lessThan">
      <formula>97.95</formula>
    </cfRule>
  </conditionalFormatting>
  <conditionalFormatting sqref="J28">
    <cfRule type="cellIs" dxfId="837" priority="104" operator="lessThan">
      <formula>98</formula>
    </cfRule>
    <cfRule type="cellIs" dxfId="836" priority="103" stopIfTrue="1" operator="greaterThan">
      <formula>100</formula>
    </cfRule>
    <cfRule type="cellIs" dxfId="835" priority="102" stopIfTrue="1" operator="lessThan">
      <formula>96.8</formula>
    </cfRule>
  </conditionalFormatting>
  <conditionalFormatting sqref="J28:J30">
    <cfRule type="cellIs" dxfId="834" priority="101" operator="lessThan">
      <formula>97.4</formula>
    </cfRule>
  </conditionalFormatting>
  <conditionalFormatting sqref="J31:J32">
    <cfRule type="cellIs" dxfId="833" priority="105" operator="lessThan">
      <formula>98</formula>
    </cfRule>
  </conditionalFormatting>
  <conditionalFormatting sqref="J33:J34">
    <cfRule type="cellIs" dxfId="832" priority="106" stopIfTrue="1" operator="lessThan">
      <formula>96.8</formula>
    </cfRule>
    <cfRule type="cellIs" dxfId="831" priority="107" stopIfTrue="1" operator="greaterThan">
      <formula>100</formula>
    </cfRule>
  </conditionalFormatting>
  <conditionalFormatting sqref="J33:J35">
    <cfRule type="cellIs" dxfId="830" priority="108" operator="lessThan">
      <formula>98</formula>
    </cfRule>
  </conditionalFormatting>
  <conditionalFormatting sqref="J64">
    <cfRule type="cellIs" dxfId="829" priority="48" stopIfTrue="1" operator="greaterThan">
      <formula>#REF!</formula>
    </cfRule>
    <cfRule type="cellIs" dxfId="828" priority="55" stopIfTrue="1" operator="lessThanOrEqual">
      <formula>0</formula>
    </cfRule>
    <cfRule type="cellIs" dxfId="827" priority="52" stopIfTrue="1" operator="greaterThan">
      <formula>#REF!</formula>
    </cfRule>
    <cfRule type="cellIs" dxfId="826" priority="54" stopIfTrue="1" operator="greaterThan">
      <formula>#REF!</formula>
    </cfRule>
    <cfRule type="cellIs" dxfId="825" priority="53" stopIfTrue="1" operator="lessThanOrEqual">
      <formula>0</formula>
    </cfRule>
    <cfRule type="cellIs" dxfId="824" priority="51" stopIfTrue="1" operator="lessThanOrEqual">
      <formula>0</formula>
    </cfRule>
    <cfRule type="cellIs" dxfId="823" priority="50" stopIfTrue="1" operator="greaterThan">
      <formula>#REF!</formula>
    </cfRule>
    <cfRule type="cellIs" dxfId="822" priority="49" stopIfTrue="1" operator="lessThanOrEqual">
      <formula>0</formula>
    </cfRule>
  </conditionalFormatting>
  <conditionalFormatting sqref="J77">
    <cfRule type="cellIs" dxfId="821" priority="110" stopIfTrue="1" operator="lessThanOrEqual">
      <formula>0</formula>
    </cfRule>
    <cfRule type="cellIs" dxfId="820" priority="109" stopIfTrue="1" operator="greaterThan">
      <formula>$F77</formula>
    </cfRule>
  </conditionalFormatting>
  <conditionalFormatting sqref="K10:K23">
    <cfRule type="cellIs" dxfId="819" priority="13" operator="greaterThan">
      <formula>6</formula>
    </cfRule>
    <cfRule type="cellIs" dxfId="818" priority="14" operator="lessThan">
      <formula>4</formula>
    </cfRule>
    <cfRule type="cellIs" dxfId="817" priority="15" operator="greaterThan">
      <formula>6.4</formula>
    </cfRule>
  </conditionalFormatting>
  <conditionalFormatting sqref="K55:K64">
    <cfRule type="cellIs" dxfId="816" priority="37" stopIfTrue="1" operator="lessThan">
      <formula>100%</formula>
    </cfRule>
  </conditionalFormatting>
  <conditionalFormatting sqref="K79:K84">
    <cfRule type="cellIs" dxfId="815" priority="144" stopIfTrue="1" operator="lessThan">
      <formula>100%</formula>
    </cfRule>
  </conditionalFormatting>
  <conditionalFormatting sqref="K86:K87">
    <cfRule type="cellIs" dxfId="814" priority="151" stopIfTrue="1" operator="lessThan">
      <formula>100%</formula>
    </cfRule>
  </conditionalFormatting>
  <conditionalFormatting sqref="K68:L76">
    <cfRule type="cellIs" dxfId="813" priority="86" stopIfTrue="1" operator="lessThan">
      <formula>100%</formula>
    </cfRule>
  </conditionalFormatting>
  <conditionalFormatting sqref="L10:L23">
    <cfRule type="cellIs" dxfId="812" priority="20" operator="greaterThan">
      <formula>65</formula>
    </cfRule>
    <cfRule type="cellIs" dxfId="811" priority="19" operator="between">
      <formula>61</formula>
      <formula>65</formula>
    </cfRule>
  </conditionalFormatting>
  <conditionalFormatting sqref="L77">
    <cfRule type="cellIs" dxfId="810" priority="111" stopIfTrue="1" operator="lessThan">
      <formula>100%</formula>
    </cfRule>
  </conditionalFormatting>
  <conditionalFormatting sqref="L26:M37">
    <cfRule type="cellIs" dxfId="809" priority="40" operator="lessThan">
      <formula>97.95</formula>
    </cfRule>
  </conditionalFormatting>
  <conditionalFormatting sqref="L41:N41">
    <cfRule type="cellIs" dxfId="808" priority="41" operator="notEqual">
      <formula>#REF!</formula>
    </cfRule>
  </conditionalFormatting>
  <conditionalFormatting sqref="L79:N87">
    <cfRule type="cellIs" dxfId="807" priority="129" stopIfTrue="1" operator="lessThan">
      <formula>100%</formula>
    </cfRule>
  </conditionalFormatting>
  <conditionalFormatting sqref="M10:M22">
    <cfRule type="expression" dxfId="806" priority="17">
      <formula>IF(+(IF(M10&lt;U10,0,IF(M10&gt;V10,0,1)))=0,1)</formula>
    </cfRule>
  </conditionalFormatting>
  <conditionalFormatting sqref="M23:N23">
    <cfRule type="expression" dxfId="805" priority="159">
      <formula>IF(+(IF(M23&lt;#REF!,0,IF(M23&gt;#REF!,0,1)))=0,1)</formula>
    </cfRule>
  </conditionalFormatting>
  <conditionalFormatting sqref="M68:N77">
    <cfRule type="cellIs" dxfId="804" priority="10" stopIfTrue="1" operator="lessThan">
      <formula>100%</formula>
    </cfRule>
  </conditionalFormatting>
  <conditionalFormatting sqref="N10:N22">
    <cfRule type="expression" dxfId="803" priority="11">
      <formula>IF(+(IF(N10&lt;W10,0,IF(N10&gt;X10,0,1)))=0,1)</formula>
    </cfRule>
  </conditionalFormatting>
  <conditionalFormatting sqref="P6">
    <cfRule type="cellIs" dxfId="802" priority="125" operator="greaterThanOrEqual">
      <formula>19</formula>
    </cfRule>
  </conditionalFormatting>
  <dataValidations count="1">
    <dataValidation type="list" allowBlank="1" showInputMessage="1" showErrorMessage="1" sqref="R8" xr:uid="{27801720-5030-4611-B4C4-9AE5896C4FB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ECCA-4CB8-4C3B-AF43-BB1E62C92307}">
  <sheetPr>
    <pageSetUpPr fitToPage="1"/>
  </sheetPr>
  <dimension ref="A1:BE74"/>
  <sheetViews>
    <sheetView topLeftCell="A3" zoomScale="80" zoomScaleNormal="80" workbookViewId="0">
      <selection activeCell="D64" sqref="D64:M73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46077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37" t="s">
        <v>16</v>
      </c>
      <c r="C10" s="366" t="str">
        <f>[8]Brewhouse!$A16</f>
        <v>SM011</v>
      </c>
      <c r="D10" s="279">
        <f>[8]Brewhouse!$AH16</f>
        <v>53</v>
      </c>
      <c r="E10" s="279">
        <f>[8]Brewhouse!$AM16</f>
        <v>51.4</v>
      </c>
      <c r="F10" s="278">
        <f>[8]Brewhouse!$Z16</f>
        <v>90</v>
      </c>
      <c r="G10" s="279">
        <f>[8]Brewhouse!$AK16</f>
        <v>16.899999999999999</v>
      </c>
      <c r="H10" s="482">
        <v>16.8</v>
      </c>
      <c r="I10" s="368">
        <f>[8]Brewhouse!$AY16</f>
        <v>93.855429141534003</v>
      </c>
      <c r="J10" s="368">
        <f>[8]Brewhouse!$AZ16</f>
        <v>94.555302090855903</v>
      </c>
      <c r="K10" s="281">
        <f>[8]Brewhouse!$U16</f>
        <v>105.43396226415094</v>
      </c>
      <c r="L10" s="276">
        <f>[8]Brewhouse!$T16</f>
        <v>60</v>
      </c>
      <c r="M10" s="374">
        <f>[8]Brewhouse!$Y16-[8]Brewhouse!$X16</f>
        <v>0.17986111111111108</v>
      </c>
      <c r="N10" s="370">
        <f>[8]Brewhouse!$AD16</f>
        <v>0.44999999999999996</v>
      </c>
      <c r="O10" s="371" t="str">
        <f>[8]Brewhouse!$BC16</f>
        <v>R.Sookram</v>
      </c>
      <c r="P10" s="418"/>
      <c r="R10" s="277" t="str">
        <f t="shared" ref="R10:R33" si="0">B10</f>
        <v>STARMALT</v>
      </c>
      <c r="S10" s="472">
        <f t="shared" ref="S10:S33" si="1">VLOOKUP($B10,$R$3:$X$9,2,FALSE)</f>
        <v>17</v>
      </c>
      <c r="T10" s="472">
        <f t="shared" ref="T10:T33" si="2">VLOOKUP($B10,$R$3:$X$9,3,FALSE)</f>
        <v>17.399999999999999</v>
      </c>
      <c r="U10" s="297">
        <f t="shared" ref="U10:U33" si="3">VLOOKUP($B10,$R$3:$X$9,4,FALSE)</f>
        <v>0</v>
      </c>
      <c r="V10" s="297">
        <f t="shared" ref="V10:V33" si="4">VLOOKUP($B10,$R$3:$X$9,5,FALSE)</f>
        <v>0.13605324074074074</v>
      </c>
      <c r="W10" s="297">
        <f t="shared" ref="W10:W33" si="5">VLOOKUP($B10,$R$3:$X$9,6,FALSE)</f>
        <v>0.27430555555555552</v>
      </c>
      <c r="X10" s="297">
        <f t="shared" ref="X10:X33" si="6">VLOOKUP($B10,$R$3:$X$9,7,FALSE)</f>
        <v>0.30902777777777779</v>
      </c>
      <c r="Y10" s="297">
        <f t="shared" ref="Y10:Y33" si="7">VLOOKUP($B10,$R$3:$Z$9,8,FALSE)</f>
        <v>0</v>
      </c>
      <c r="Z10" s="472">
        <f t="shared" ref="Z10:Z33" si="8">VLOOKUP($B10,$R$3:$Z$9,9,FALSE)</f>
        <v>85</v>
      </c>
    </row>
    <row r="11" spans="2:29" ht="16.5" customHeight="1">
      <c r="B11" s="37" t="s">
        <v>16</v>
      </c>
      <c r="C11" s="366" t="str">
        <f>[8]Brewhouse!$A17</f>
        <v>SM012</v>
      </c>
      <c r="D11" s="279">
        <f>[8]Brewhouse!$AH17</f>
        <v>53.1</v>
      </c>
      <c r="E11" s="279">
        <f>[8]Brewhouse!$AM17</f>
        <v>61</v>
      </c>
      <c r="F11" s="278">
        <f>[8]Brewhouse!$Z17</f>
        <v>77</v>
      </c>
      <c r="G11" s="279">
        <f>[8]Brewhouse!$AK17</f>
        <v>16</v>
      </c>
      <c r="H11" s="482">
        <v>15.6</v>
      </c>
      <c r="I11" s="368">
        <f>[8]Brewhouse!$AY17</f>
        <v>105.14531945603353</v>
      </c>
      <c r="J11" s="368">
        <f>[8]Brewhouse!$AZ17</f>
        <v>105.92938027710885</v>
      </c>
      <c r="K11" s="281">
        <f>[8]Brewhouse!$U17</f>
        <v>-13.785310734463263</v>
      </c>
      <c r="L11" s="276">
        <f>[8]Brewhouse!$T17</f>
        <v>64</v>
      </c>
      <c r="M11" s="374">
        <f>[8]Brewhouse!$Y17-[8]Brewhouse!$X17</f>
        <v>0.16319444444444453</v>
      </c>
      <c r="N11" s="370">
        <f>[8]Brewhouse!$AD17</f>
        <v>0.5708333333333333</v>
      </c>
      <c r="O11" s="371" t="str">
        <f>[8]Brewhouse!$BC17</f>
        <v>R. Regis</v>
      </c>
      <c r="P11" s="418"/>
      <c r="R11" s="277" t="str">
        <f t="shared" si="0"/>
        <v>STARMALT</v>
      </c>
      <c r="S11" s="472">
        <f t="shared" si="1"/>
        <v>17</v>
      </c>
      <c r="T11" s="472">
        <f t="shared" si="2"/>
        <v>17.399999999999999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472">
        <f t="shared" si="8"/>
        <v>85</v>
      </c>
    </row>
    <row r="12" spans="2:29" ht="16.5" customHeight="1">
      <c r="B12" s="37" t="s">
        <v>16</v>
      </c>
      <c r="C12" s="366" t="str">
        <f>[8]Brewhouse!$A18</f>
        <v>SM013</v>
      </c>
      <c r="D12" s="279">
        <f>[8]Brewhouse!$AH18</f>
        <v>48.1</v>
      </c>
      <c r="E12" s="279">
        <f>[8]Brewhouse!$AM18</f>
        <v>44</v>
      </c>
      <c r="F12" s="278">
        <f>[8]Brewhouse!$Z18</f>
        <v>58</v>
      </c>
      <c r="G12" s="279">
        <f>[8]Brewhouse!$AK18</f>
        <v>19.5</v>
      </c>
      <c r="H12" s="482">
        <v>19.399999999999999</v>
      </c>
      <c r="I12" s="368">
        <f>[8]Brewhouse!$AY18</f>
        <v>93.755977480319771</v>
      </c>
      <c r="J12" s="368">
        <f>[8]Brewhouse!$AZ18</f>
        <v>94.455108826006324</v>
      </c>
      <c r="K12" s="281">
        <f>[8]Brewhouse!$U18</f>
        <v>11.185031185031189</v>
      </c>
      <c r="L12" s="276">
        <f>[8]Brewhouse!$T18</f>
        <v>59</v>
      </c>
      <c r="M12" s="374">
        <f>[8]Brewhouse!$Y18-[8]Brewhouse!$X18</f>
        <v>0.11597222222222214</v>
      </c>
      <c r="N12" s="370">
        <f>[8]Brewhouse!$AD18</f>
        <v>0.29374999999999996</v>
      </c>
      <c r="O12" s="371" t="str">
        <f>[8]Brewhouse!$BC18</f>
        <v>R. Regis</v>
      </c>
      <c r="P12" s="418"/>
      <c r="R12" s="277" t="str">
        <f t="shared" si="0"/>
        <v>STARMALT</v>
      </c>
      <c r="S12" s="472">
        <f t="shared" si="1"/>
        <v>17</v>
      </c>
      <c r="T12" s="472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472">
        <f t="shared" si="8"/>
        <v>85</v>
      </c>
    </row>
    <row r="13" spans="2:29" ht="16.5" customHeight="1">
      <c r="B13" s="37" t="s">
        <v>16</v>
      </c>
      <c r="C13" s="366" t="str">
        <f>[8]Brewhouse!$A19</f>
        <v>SM014</v>
      </c>
      <c r="D13" s="279">
        <f>[8]Brewhouse!$AH19</f>
        <v>53.1</v>
      </c>
      <c r="E13" s="279">
        <f>[8]Brewhouse!$AM19</f>
        <v>50.8</v>
      </c>
      <c r="F13" s="278">
        <f>[8]Brewhouse!$Z19</f>
        <v>100</v>
      </c>
      <c r="G13" s="279">
        <f>[8]Brewhouse!$AK19</f>
        <v>17.600000000000001</v>
      </c>
      <c r="H13" s="482">
        <v>17.600000000000001</v>
      </c>
      <c r="I13" s="368">
        <f>[8]Brewhouse!$AY19</f>
        <v>98.497810820823545</v>
      </c>
      <c r="J13" s="368">
        <f>[8]Brewhouse!$AZ19</f>
        <v>99.218976290625648</v>
      </c>
      <c r="K13" s="281">
        <f>[8]Brewhouse!$U19</f>
        <v>15.969868173258012</v>
      </c>
      <c r="L13" s="276">
        <f>[8]Brewhouse!$T19</f>
        <v>60</v>
      </c>
      <c r="M13" s="374">
        <f>[8]Brewhouse!$Y19-[8]Brewhouse!$X19</f>
        <v>0.15138888888888902</v>
      </c>
      <c r="N13" s="370">
        <f>[8]Brewhouse!$AD19</f>
        <v>0.3305555555555556</v>
      </c>
      <c r="O13" s="371" t="str">
        <f>[8]Brewhouse!$BC19</f>
        <v>R.Sookram</v>
      </c>
      <c r="P13" s="418"/>
      <c r="R13" s="277" t="str">
        <f t="shared" ref="R13:R29" si="9">B13</f>
        <v>STARMALT</v>
      </c>
      <c r="S13" s="472">
        <f t="shared" si="1"/>
        <v>17</v>
      </c>
      <c r="T13" s="472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472">
        <f t="shared" si="8"/>
        <v>85</v>
      </c>
    </row>
    <row r="14" spans="2:29" ht="16.5" customHeight="1">
      <c r="B14" s="37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18"/>
      <c r="R14" s="277">
        <f t="shared" si="9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6.5" customHeight="1">
      <c r="B15" s="37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9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6.5" hidden="1" customHeight="1">
      <c r="B16" s="37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6.5" hidden="1" customHeight="1">
      <c r="B17" s="37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8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6.5" hidden="1" customHeight="1">
      <c r="B19" s="22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5.75" customHeight="1" thickBot="1">
      <c r="B20" s="358"/>
      <c r="C20" s="358"/>
      <c r="D20" s="358"/>
      <c r="E20" s="358"/>
      <c r="F20" s="294"/>
      <c r="G20" s="294"/>
      <c r="H20" s="348"/>
      <c r="I20" s="511"/>
      <c r="J20" s="511"/>
      <c r="K20" s="511"/>
      <c r="L20" s="511"/>
      <c r="M20" s="511"/>
      <c r="N20" s="511"/>
      <c r="O20" s="1"/>
      <c r="P20" s="12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5.75" customHeight="1" thickBot="1">
      <c r="B21" s="388" t="s">
        <v>162</v>
      </c>
      <c r="C21" s="388"/>
      <c r="D21" s="512" t="s">
        <v>35</v>
      </c>
      <c r="E21" s="513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9"/>
        <v xml:space="preserve">BRAND 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" customHeight="1">
      <c r="A22" s="28"/>
      <c r="B22" s="580"/>
      <c r="C22" s="362"/>
      <c r="D22" s="517"/>
      <c r="E22" s="518"/>
      <c r="F22" s="294"/>
      <c r="G22" s="294"/>
      <c r="H22" s="348"/>
      <c r="I22" s="29" t="s">
        <v>6</v>
      </c>
      <c r="J22" s="323"/>
      <c r="K22" s="284">
        <f>COUNTA([3]Brewhouse!$A$125:$A$172)</f>
        <v>48</v>
      </c>
      <c r="L22" s="305">
        <f>AVERAGE([3]Brewhouse!$AU$125:$AU$172)</f>
        <v>97.230605505755889</v>
      </c>
      <c r="M22" s="305">
        <f>AVERAGE([3]Brewhouse!$AU$42:$AU$123,[3]Brewhouse!$AU$125:$AU$172)</f>
        <v>97.68248336972249</v>
      </c>
      <c r="N22" s="30">
        <v>98</v>
      </c>
      <c r="O22" s="11"/>
      <c r="P22" s="31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" customHeight="1">
      <c r="A23" s="28"/>
      <c r="B23" s="581"/>
      <c r="C23" s="362"/>
      <c r="D23" s="519"/>
      <c r="E23" s="520"/>
      <c r="F23" s="294"/>
      <c r="G23" s="294"/>
      <c r="H23" s="348"/>
      <c r="I23" s="33" t="s">
        <v>9</v>
      </c>
      <c r="J23" s="280"/>
      <c r="K23" s="284">
        <f>COUNTA([4]Brewhouse!$A$83:$A$122)</f>
        <v>40</v>
      </c>
      <c r="L23" s="302">
        <f>AVERAGE([4]Brewhouse!$AS$83:$AS$122)</f>
        <v>98.003478332443095</v>
      </c>
      <c r="M23" s="302">
        <f>AVERAGE([4]Brewhouse!$AS$52:$AS$81,[4]Brewhouse!$AS$83:$AS$122)</f>
        <v>98.441363082116183</v>
      </c>
      <c r="N23" s="30">
        <v>98</v>
      </c>
      <c r="O23" s="11"/>
      <c r="P23" s="31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81"/>
      <c r="C24" s="362"/>
      <c r="D24" s="521"/>
      <c r="E24" s="522"/>
      <c r="F24" s="294"/>
      <c r="G24" s="294"/>
      <c r="H24" s="348"/>
      <c r="I24" s="34" t="s">
        <v>12</v>
      </c>
      <c r="J24" s="280"/>
      <c r="K24" s="284">
        <f>COUNTA([6]Brewhouse!$A$25:$A$27)</f>
        <v>3</v>
      </c>
      <c r="L24" s="302">
        <f>AVERAGE([6]Brewhouse!$AU$25:$AU$27)</f>
        <v>98.383718888256155</v>
      </c>
      <c r="M24" s="302">
        <f>AVERAGE([6]Brewhouse!$AU$16:$AU$23,[6]Brewhouse!$AU$25:$AU$27)</f>
        <v>97.933890431198279</v>
      </c>
      <c r="N24" s="30">
        <v>98</v>
      </c>
      <c r="O24" s="11"/>
      <c r="P24" s="31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81"/>
      <c r="C25" s="362"/>
      <c r="D25" s="523"/>
      <c r="E25" s="520"/>
      <c r="F25" s="294"/>
      <c r="G25" s="294"/>
      <c r="H25" s="348"/>
      <c r="I25" s="22" t="s">
        <v>33</v>
      </c>
      <c r="J25" s="280"/>
      <c r="K25" s="284"/>
      <c r="L25" s="302"/>
      <c r="M25" s="302">
        <f>AVERAGE([5]Brewhouse!$AV$23:$AV$34)</f>
        <v>98.31387229810305</v>
      </c>
      <c r="N25" s="30">
        <v>98</v>
      </c>
      <c r="O25" s="11"/>
      <c r="P25" s="31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81"/>
      <c r="C26" s="362"/>
      <c r="D26" s="521"/>
      <c r="E26" s="522"/>
      <c r="F26" s="417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81"/>
      <c r="C27" s="362"/>
      <c r="D27" s="523"/>
      <c r="E27" s="520"/>
      <c r="F27" s="417"/>
      <c r="G27" s="294"/>
      <c r="H27" s="348"/>
      <c r="I27" s="36" t="s">
        <v>15</v>
      </c>
      <c r="J27" s="323"/>
      <c r="K27" s="284"/>
      <c r="L27" s="302"/>
      <c r="M27" s="302">
        <f>AVERAGE([7]Brewhouse!$AT$4:$AT$11)</f>
        <v>92.826224508052405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  <c r="AA27" s="472"/>
    </row>
    <row r="28" spans="1:27" ht="14.65" customHeight="1">
      <c r="A28" s="28"/>
      <c r="B28" s="581"/>
      <c r="C28" s="362"/>
      <c r="D28" s="521"/>
      <c r="E28" s="522"/>
      <c r="F28" s="417"/>
      <c r="G28" s="294"/>
      <c r="H28" s="348"/>
      <c r="I28" s="37" t="s">
        <v>16</v>
      </c>
      <c r="J28" s="323">
        <f>AVERAGE(I10:I13)</f>
        <v>97.813634224677713</v>
      </c>
      <c r="K28" s="284">
        <f>COUNTA([8]Brewhouse!$A$16:$A$19)</f>
        <v>4</v>
      </c>
      <c r="L28" s="302">
        <f>AVERAGE([8]Brewhouse!$AY$16:$AY$19)</f>
        <v>97.813634224677713</v>
      </c>
      <c r="M28" s="302">
        <f>AVERAGE([8]Brewhouse!$AY$5:$AY$7,[8]Brewhouse!$AY$16:$AY$19)</f>
        <v>97.948633807884264</v>
      </c>
      <c r="N28" s="30">
        <v>98</v>
      </c>
      <c r="O28" s="11"/>
      <c r="P28" s="31" t="s">
        <v>41</v>
      </c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  <c r="AA28" s="472"/>
    </row>
    <row r="29" spans="1:27" ht="14.65" customHeight="1">
      <c r="A29" s="28"/>
      <c r="B29" s="581"/>
      <c r="C29" s="362"/>
      <c r="D29" s="523"/>
      <c r="E29" s="520"/>
      <c r="F29" s="294"/>
      <c r="G29" s="294"/>
      <c r="H29" s="348"/>
      <c r="I29" s="411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4.65" customHeight="1">
      <c r="A30" s="28"/>
      <c r="B30" s="581"/>
      <c r="C30" s="349"/>
      <c r="D30" s="521"/>
      <c r="E30" s="522"/>
      <c r="F30" s="294"/>
      <c r="G30" s="294"/>
      <c r="H30" s="348"/>
      <c r="I30" s="410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" customHeight="1" thickBot="1">
      <c r="A31" s="28"/>
      <c r="B31" s="581"/>
      <c r="C31" s="349"/>
      <c r="D31" s="523"/>
      <c r="E31" s="520"/>
      <c r="F31" s="294"/>
      <c r="G31" s="294"/>
      <c r="H31" s="348"/>
      <c r="I31" s="406" t="s">
        <v>156</v>
      </c>
      <c r="J31" s="327"/>
      <c r="K31" s="407"/>
      <c r="L31" s="408"/>
      <c r="M31" s="408"/>
      <c r="N31" s="409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5" customHeight="1" thickBot="1">
      <c r="A32" s="28"/>
      <c r="B32" s="581"/>
      <c r="C32" s="349"/>
      <c r="D32" s="517"/>
      <c r="E32" s="518"/>
      <c r="F32" s="294"/>
      <c r="G32" s="294"/>
      <c r="H32" s="348"/>
      <c r="I32" s="1"/>
      <c r="J32" s="39"/>
      <c r="K32" s="404">
        <f>SUM(K22:K31)</f>
        <v>95</v>
      </c>
      <c r="L32" s="405">
        <f>((L22*K22)+(L23*K23)+(L24*K24)+(L25*K25)+(L26*K26)+(K29*L29)+(L27*K27)+(L28*K28)+(L31*K31))/(K32)</f>
        <v>97.616988327763011</v>
      </c>
      <c r="M32" s="405">
        <f>AVERAGE('[9]Jan30th-31st'!$L$42,L32)</f>
        <v>97.722515031802232</v>
      </c>
      <c r="N32" s="4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2:56" ht="15.75" thickBot="1">
      <c r="B33" s="582"/>
      <c r="C33" s="350"/>
      <c r="D33" s="519"/>
      <c r="E33" s="520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2:56" ht="15.75" thickBot="1">
      <c r="B34" s="514"/>
      <c r="C34" s="362"/>
      <c r="D34" s="525"/>
      <c r="E34" s="526"/>
      <c r="F34" s="294"/>
      <c r="G34" s="42"/>
      <c r="H34" s="41"/>
      <c r="I34" s="42"/>
      <c r="J34" s="527" t="s">
        <v>129</v>
      </c>
      <c r="K34" s="527"/>
      <c r="L34" s="294"/>
      <c r="M34" s="294"/>
      <c r="N34" s="294"/>
      <c r="O34" s="294"/>
      <c r="P34" s="12"/>
    </row>
    <row r="35" spans="2:56" ht="15.75" thickBot="1">
      <c r="B35" s="515"/>
      <c r="C35" s="362"/>
      <c r="D35" s="523"/>
      <c r="E35" s="520"/>
      <c r="F35" s="294"/>
      <c r="G35" s="42"/>
      <c r="H35" s="41"/>
      <c r="I35" s="41"/>
      <c r="J35" s="292" t="s">
        <v>17</v>
      </c>
      <c r="K35" s="293" t="s">
        <v>194</v>
      </c>
      <c r="L35" s="528" t="s">
        <v>136</v>
      </c>
      <c r="M35" s="528"/>
      <c r="N35" s="529"/>
      <c r="O35" s="294"/>
      <c r="P35" s="12"/>
    </row>
    <row r="36" spans="2:56" ht="15" customHeight="1" thickBot="1">
      <c r="B36" s="515"/>
      <c r="C36" s="349"/>
      <c r="D36" s="521"/>
      <c r="E36" s="522"/>
      <c r="F36" s="294"/>
      <c r="G36" s="42"/>
      <c r="H36" s="41"/>
      <c r="I36" s="41"/>
      <c r="J36" s="287" t="s">
        <v>6</v>
      </c>
      <c r="K36" s="324"/>
      <c r="L36" s="473" t="s">
        <v>37</v>
      </c>
      <c r="M36" s="474" t="s">
        <v>38</v>
      </c>
      <c r="N36" s="474" t="s">
        <v>84</v>
      </c>
      <c r="O36" s="294"/>
      <c r="P36" s="12"/>
    </row>
    <row r="37" spans="2:56" ht="15.75" customHeight="1" thickBot="1">
      <c r="B37" s="515"/>
      <c r="C37" s="349"/>
      <c r="D37" s="523"/>
      <c r="E37" s="520"/>
      <c r="F37" s="294"/>
      <c r="G37" s="42"/>
      <c r="H37" s="41"/>
      <c r="I37" s="41"/>
      <c r="J37" s="345" t="s">
        <v>9</v>
      </c>
      <c r="K37" s="324"/>
      <c r="L37" s="344">
        <f>AVERAGE(K46,'Feb 2nd'!K49,'Feb 3rd'!K54,'Feb 4th'!K53,'Feb 4th'!K53,'Feb 5th'!K49,'Feb 6th'!K49,'Feb 9th'!K52,'Feb 10th'!K54,'Feb 11th'!K48,'Feb 12th'!K49,'Feb 13th'!K46,'Feb 16th'!K54,'Feb 17th'!K50,'Feb 18th '!K48,'Feb 19th'!K50,'Feb 20th'!J50,'Feb 20th'!K50)</f>
        <v>6</v>
      </c>
      <c r="M37" s="325">
        <f>AVERAGE('[9]Jan30th-31st'!$L$47,L37)</f>
        <v>6.0434782608695654</v>
      </c>
      <c r="N37" s="416">
        <v>9.1999999999999993</v>
      </c>
      <c r="O37" s="294"/>
      <c r="P37" s="12"/>
    </row>
    <row r="38" spans="2:56" ht="15" customHeight="1">
      <c r="B38" s="515"/>
      <c r="C38" s="349"/>
      <c r="D38" s="521"/>
      <c r="E38" s="522"/>
      <c r="F38" s="294"/>
      <c r="G38" s="42"/>
      <c r="H38" s="41"/>
      <c r="I38" s="41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15"/>
      <c r="C39" s="349"/>
      <c r="D39" s="523"/>
      <c r="E39" s="520"/>
      <c r="F39" s="294"/>
      <c r="G39" s="42"/>
      <c r="H39" s="41"/>
      <c r="I39" s="41"/>
      <c r="J39" s="289" t="s">
        <v>33</v>
      </c>
      <c r="K39" s="324"/>
      <c r="L39" s="294"/>
      <c r="M39" s="294"/>
      <c r="N39" s="294"/>
      <c r="O39" s="294"/>
      <c r="P39" s="12"/>
    </row>
    <row r="40" spans="2:56" ht="15">
      <c r="B40" s="515"/>
      <c r="C40" s="349"/>
      <c r="D40" s="521"/>
      <c r="E40" s="522"/>
      <c r="F40" s="294"/>
      <c r="G40" s="42"/>
      <c r="H40" s="41"/>
      <c r="I40" s="41"/>
      <c r="J40" s="290" t="s">
        <v>16</v>
      </c>
      <c r="K40" s="324">
        <v>4</v>
      </c>
      <c r="L40" s="294"/>
      <c r="M40" s="294"/>
      <c r="N40" s="294"/>
      <c r="O40" s="294"/>
      <c r="P40" s="12"/>
      <c r="BC40" s="44"/>
      <c r="BD40" s="44"/>
    </row>
    <row r="41" spans="2:56" ht="15">
      <c r="B41" s="515"/>
      <c r="C41" s="349"/>
      <c r="D41" s="523"/>
      <c r="E41" s="520"/>
      <c r="F41" s="294"/>
      <c r="G41" s="42"/>
      <c r="H41" s="41"/>
      <c r="I41" s="41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15"/>
      <c r="C42" s="349"/>
      <c r="D42" s="521"/>
      <c r="E42" s="522"/>
      <c r="F42" s="294"/>
      <c r="G42" s="42"/>
      <c r="H42" s="41"/>
      <c r="I42" s="41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24"/>
      <c r="C43" s="350"/>
      <c r="D43" s="530"/>
      <c r="E43" s="531"/>
      <c r="F43" s="294" t="s">
        <v>166</v>
      </c>
      <c r="G43" s="42"/>
      <c r="H43" s="41"/>
      <c r="I43" s="41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32"/>
      <c r="E44" s="533"/>
      <c r="F44" s="294"/>
      <c r="H44" s="41"/>
      <c r="I44" s="41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1"/>
      <c r="I45" s="41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1"/>
      <c r="I46" s="41"/>
      <c r="J46" s="346" t="s">
        <v>130</v>
      </c>
      <c r="K46" s="324">
        <f>SUM(K36:K45)</f>
        <v>4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294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1:57" ht="15" customHeight="1" thickBot="1">
      <c r="B49" s="534" t="s">
        <v>17</v>
      </c>
      <c r="C49" s="534" t="s">
        <v>44</v>
      </c>
      <c r="D49" s="537" t="s">
        <v>45</v>
      </c>
      <c r="E49" s="500" t="s">
        <v>46</v>
      </c>
      <c r="F49" s="509" t="s">
        <v>47</v>
      </c>
      <c r="G49" s="546" t="s">
        <v>48</v>
      </c>
      <c r="H49" s="534" t="s">
        <v>49</v>
      </c>
      <c r="I49" s="534" t="s">
        <v>50</v>
      </c>
      <c r="J49" s="540" t="s">
        <v>28</v>
      </c>
      <c r="K49" s="498" t="s">
        <v>51</v>
      </c>
      <c r="L49" s="549" t="s">
        <v>52</v>
      </c>
      <c r="M49" s="540" t="s">
        <v>53</v>
      </c>
      <c r="N49" s="13"/>
      <c r="O49" s="13"/>
      <c r="P49" s="50"/>
    </row>
    <row r="50" spans="1:57" ht="28.5" customHeight="1" thickTop="1" thickBot="1">
      <c r="B50" s="535"/>
      <c r="C50" s="536"/>
      <c r="D50" s="538"/>
      <c r="E50" s="539"/>
      <c r="F50" s="551"/>
      <c r="G50" s="547"/>
      <c r="H50" s="535"/>
      <c r="I50" s="535"/>
      <c r="J50" s="541"/>
      <c r="K50" s="548"/>
      <c r="L50" s="550"/>
      <c r="M50" s="541"/>
      <c r="N50" s="13"/>
      <c r="O50" s="13"/>
      <c r="P50" s="50"/>
      <c r="Q50" s="355"/>
      <c r="AB50" s="475">
        <v>43474</v>
      </c>
      <c r="AC50" s="475">
        <v>43475</v>
      </c>
      <c r="AD50" s="475">
        <v>43476</v>
      </c>
      <c r="AE50" s="475">
        <v>43477</v>
      </c>
      <c r="AF50" s="475">
        <v>43478</v>
      </c>
      <c r="AG50" s="475">
        <v>43479</v>
      </c>
      <c r="AH50" s="475">
        <v>43480</v>
      </c>
      <c r="AI50" s="475">
        <v>43481</v>
      </c>
      <c r="AJ50" s="475">
        <v>43482</v>
      </c>
      <c r="AK50" s="475">
        <v>43483</v>
      </c>
      <c r="AL50" s="475">
        <v>43484</v>
      </c>
      <c r="AM50" s="475">
        <v>43485</v>
      </c>
      <c r="AN50" s="475">
        <v>43486</v>
      </c>
      <c r="AO50" s="475">
        <v>43487</v>
      </c>
      <c r="AP50" s="475">
        <v>43488</v>
      </c>
      <c r="AQ50" s="475">
        <v>43489</v>
      </c>
      <c r="AR50" s="475">
        <v>43490</v>
      </c>
      <c r="AS50" s="475">
        <v>43491</v>
      </c>
      <c r="AT50" s="475">
        <v>43492</v>
      </c>
      <c r="AU50" s="475">
        <v>43493</v>
      </c>
      <c r="AV50" s="475">
        <v>43494</v>
      </c>
      <c r="AW50" s="475">
        <v>43495</v>
      </c>
      <c r="AX50" s="475">
        <v>43496</v>
      </c>
    </row>
    <row r="51" spans="1:57" s="54" customFormat="1" ht="36.75" customHeight="1" thickBot="1">
      <c r="B51" s="480" t="str">
        <f>J36</f>
        <v>CARIB</v>
      </c>
      <c r="C51" s="479">
        <v>46076</v>
      </c>
      <c r="D51" s="442">
        <f>[29]February_2026!$Y$3</f>
        <v>91.9</v>
      </c>
      <c r="E51" s="443"/>
      <c r="F51" s="444"/>
      <c r="G51" s="445">
        <f>[29]February_2026!$Y$7</f>
        <v>87.8</v>
      </c>
      <c r="H51" s="458"/>
      <c r="I51" s="458"/>
      <c r="J51" s="448" t="s">
        <v>195</v>
      </c>
      <c r="K51" s="449">
        <f>[30]February_2026!$Y$18</f>
        <v>0.15403508771929825</v>
      </c>
      <c r="L51" s="476">
        <f>(((D51+E51)-G51)/(D51+E51))*100</f>
        <v>4.4613710554951123</v>
      </c>
      <c r="M51" s="455" t="s">
        <v>183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[10]January_2019!L5</f>
        <v>0</v>
      </c>
      <c r="AC51" s="57">
        <f>[10]January_2019!M5</f>
        <v>0</v>
      </c>
      <c r="AD51" s="57">
        <f>[10]January_2019!N5</f>
        <v>0</v>
      </c>
      <c r="AE51" s="57">
        <f>[10]January_2019!O5</f>
        <v>0</v>
      </c>
      <c r="AF51" s="57">
        <f>[10]January_2019!P5</f>
        <v>0</v>
      </c>
      <c r="AG51" s="57">
        <f>[10]January_2019!Q5</f>
        <v>0</v>
      </c>
      <c r="AH51" s="57">
        <f>[10]January_2019!R5</f>
        <v>0</v>
      </c>
      <c r="AI51" s="57">
        <f>[10]January_2019!S5</f>
        <v>0</v>
      </c>
      <c r="AJ51" s="57">
        <f>[10]January_2019!T5</f>
        <v>0</v>
      </c>
      <c r="AK51" s="57">
        <f>[10]January_2019!U5</f>
        <v>0</v>
      </c>
      <c r="AL51" s="57">
        <f>[10]January_2019!V5</f>
        <v>0</v>
      </c>
      <c r="AM51" s="57">
        <f>[10]January_2019!W5</f>
        <v>0</v>
      </c>
      <c r="AN51" s="57">
        <f>[10]January_2019!X5</f>
        <v>0</v>
      </c>
      <c r="AO51" s="57">
        <f>[10]January_2019!Y5</f>
        <v>0</v>
      </c>
      <c r="AP51" s="57">
        <f>[10]January_2019!Z5</f>
        <v>0</v>
      </c>
      <c r="AQ51" s="57">
        <f>[10]January_2019!AA5</f>
        <v>0</v>
      </c>
      <c r="AR51" s="57">
        <f>[10]January_2019!AB5</f>
        <v>0</v>
      </c>
      <c r="AS51" s="57">
        <f>[10]January_2019!AC5</f>
        <v>0</v>
      </c>
      <c r="AT51" s="57">
        <f>[10]January_2019!AD5</f>
        <v>0</v>
      </c>
      <c r="AU51" s="57">
        <f>[10]January_2019!AE5</f>
        <v>0</v>
      </c>
      <c r="AV51" s="57">
        <f>[10]January_2019!AF5</f>
        <v>0</v>
      </c>
      <c r="AW51" s="57">
        <f>[10]January_2019!AG5</f>
        <v>0</v>
      </c>
      <c r="AX51" s="277">
        <f>[10]January_2019!AH5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1:57" s="54" customFormat="1" ht="14.25" customHeight="1" thickBot="1">
      <c r="B52" s="480"/>
      <c r="C52" s="479"/>
      <c r="D52" s="442"/>
      <c r="E52" s="443"/>
      <c r="F52" s="444"/>
      <c r="G52" s="445"/>
      <c r="H52" s="458"/>
      <c r="I52" s="458"/>
      <c r="J52" s="476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[10]January_2019!L6</f>
        <v>0</v>
      </c>
      <c r="AC52" s="57">
        <f>[10]January_2019!M6</f>
        <v>0</v>
      </c>
      <c r="AD52" s="57">
        <f>[10]January_2019!N6</f>
        <v>0</v>
      </c>
      <c r="AE52" s="57">
        <f>[10]January_2019!O6</f>
        <v>0</v>
      </c>
      <c r="AF52" s="57">
        <f>[10]January_2019!P6</f>
        <v>0</v>
      </c>
      <c r="AG52" s="57">
        <f>[10]January_2019!Q6</f>
        <v>0</v>
      </c>
      <c r="AH52" s="57">
        <f>[10]January_2019!R6</f>
        <v>0</v>
      </c>
      <c r="AI52" s="57">
        <f>[10]January_2019!S6</f>
        <v>0</v>
      </c>
      <c r="AJ52" s="57">
        <f>[10]January_2019!T6</f>
        <v>0</v>
      </c>
      <c r="AK52" s="57">
        <f>[10]January_2019!U6</f>
        <v>0</v>
      </c>
      <c r="AL52" s="57">
        <f>[10]January_2019!V6</f>
        <v>0</v>
      </c>
      <c r="AM52" s="57">
        <f>[10]January_2019!W6</f>
        <v>0</v>
      </c>
      <c r="AN52" s="57">
        <f>[10]January_2019!X6</f>
        <v>0</v>
      </c>
      <c r="AO52" s="57">
        <f>[10]January_2019!Y6</f>
        <v>0</v>
      </c>
      <c r="AP52" s="57">
        <f>[10]January_2019!Z6</f>
        <v>0</v>
      </c>
      <c r="AQ52" s="57">
        <f>[10]January_2019!AA6</f>
        <v>0</v>
      </c>
      <c r="AR52" s="57">
        <f>[10]January_2019!AB6</f>
        <v>0</v>
      </c>
      <c r="AS52" s="57">
        <f>[10]January_2019!AC6</f>
        <v>0</v>
      </c>
      <c r="AT52" s="57">
        <f>[10]January_2019!AD6</f>
        <v>0</v>
      </c>
      <c r="AU52" s="57">
        <f>[10]January_2019!AE6</f>
        <v>0</v>
      </c>
      <c r="AV52" s="57">
        <f>[10]January_2019!AF6</f>
        <v>0</v>
      </c>
      <c r="AW52" s="57">
        <f>[10]January_2019!AG6</f>
        <v>0</v>
      </c>
      <c r="AX52" s="277">
        <f>[10]January_2019!AH6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1:57" s="54" customFormat="1" ht="37.15" customHeight="1" thickBot="1">
      <c r="A53" s="54" t="s">
        <v>170</v>
      </c>
      <c r="B53" s="480" t="str">
        <f>J36</f>
        <v>CARIB</v>
      </c>
      <c r="C53" s="479">
        <v>46076</v>
      </c>
      <c r="D53" s="442">
        <f>[29]February_2026!$Z$3</f>
        <v>200.4</v>
      </c>
      <c r="E53" s="443"/>
      <c r="F53" s="444"/>
      <c r="G53" s="445">
        <f>[29]February_2026!$Z$7</f>
        <v>184.9</v>
      </c>
      <c r="H53" s="458"/>
      <c r="I53" s="458"/>
      <c r="J53" s="448" t="s">
        <v>195</v>
      </c>
      <c r="K53" s="449">
        <f>[30]February_2026!$Z$18</f>
        <v>0.32438596491228072</v>
      </c>
      <c r="L53" s="457">
        <f>(((D53+E53)-G53)/(D53+E53))*100</f>
        <v>7.7345309381237533</v>
      </c>
      <c r="M53" s="455" t="s">
        <v>181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[10]January_2019!L7</f>
        <v>285.8</v>
      </c>
      <c r="AC53" s="57">
        <f>[10]January_2019!M7</f>
        <v>508.1</v>
      </c>
      <c r="AD53" s="57">
        <f>[10]January_2019!N7</f>
        <v>0</v>
      </c>
      <c r="AE53" s="57">
        <f>[10]January_2019!O7</f>
        <v>0</v>
      </c>
      <c r="AF53" s="57">
        <f>[10]January_2019!P7</f>
        <v>109.56666666666666</v>
      </c>
      <c r="AG53" s="57">
        <f>[10]January_2019!Q7</f>
        <v>297.64999999999998</v>
      </c>
      <c r="AH53" s="57">
        <f>[10]January_2019!R7</f>
        <v>122.3</v>
      </c>
      <c r="AI53" s="57">
        <f>[10]January_2019!S7</f>
        <v>0</v>
      </c>
      <c r="AJ53" s="57">
        <f>[10]January_2019!T7</f>
        <v>294.7</v>
      </c>
      <c r="AK53" s="57">
        <f>[10]January_2019!U7</f>
        <v>280.5</v>
      </c>
      <c r="AL53" s="57">
        <f>[10]January_2019!V7</f>
        <v>0</v>
      </c>
      <c r="AM53" s="57">
        <f>[10]January_2019!W7</f>
        <v>0</v>
      </c>
      <c r="AN53" s="57">
        <f>[10]January_2019!X7</f>
        <v>188.25</v>
      </c>
      <c r="AO53" s="57">
        <f>[10]January_2019!Y7</f>
        <v>295.7</v>
      </c>
      <c r="AP53" s="57">
        <f>[10]January_2019!Z7</f>
        <v>257.8</v>
      </c>
      <c r="AQ53" s="57">
        <f>[10]January_2019!AA7</f>
        <v>291.2</v>
      </c>
      <c r="AR53" s="57">
        <f>[10]January_2019!AB7</f>
        <v>187</v>
      </c>
      <c r="AS53" s="57">
        <f>[10]January_2019!AC7</f>
        <v>0</v>
      </c>
      <c r="AT53" s="57">
        <f>[10]January_2019!AD7</f>
        <v>0</v>
      </c>
      <c r="AU53" s="57">
        <f>[10]January_2019!AE7</f>
        <v>485.1</v>
      </c>
      <c r="AV53" s="57">
        <f>[10]January_2019!AF7</f>
        <v>171.55</v>
      </c>
      <c r="AW53" s="57">
        <f>[10]January_2019!AG7</f>
        <v>423.8</v>
      </c>
      <c r="AX53" s="277">
        <f>[10]January_2019!AH7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1:57" s="54" customFormat="1" ht="19.5" hidden="1" customHeight="1" thickBot="1">
      <c r="B54" s="478"/>
      <c r="C54" s="430"/>
      <c r="D54" s="431"/>
      <c r="E54" s="432"/>
      <c r="F54" s="433"/>
      <c r="G54" s="434"/>
      <c r="H54" s="458"/>
      <c r="I54" s="458"/>
      <c r="J54" s="451"/>
      <c r="K54" s="436"/>
      <c r="L54" s="452"/>
      <c r="M54" s="421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1:57" s="54" customFormat="1" ht="38.450000000000003" hidden="1" customHeight="1" thickBot="1">
      <c r="B55" s="480"/>
      <c r="C55" s="479"/>
      <c r="D55" s="442"/>
      <c r="E55" s="443"/>
      <c r="F55" s="444"/>
      <c r="G55" s="445"/>
      <c r="H55" s="458"/>
      <c r="I55" s="458"/>
      <c r="J55" s="448" t="s">
        <v>182</v>
      </c>
      <c r="K55" s="459"/>
      <c r="L55" s="457" t="e">
        <f>(((D55+E55)-G55)/(D55+E55))*100</f>
        <v>#DIV/0!</v>
      </c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15.75" hidden="1" thickBot="1">
      <c r="B56" s="453"/>
      <c r="C56" s="430"/>
      <c r="D56" s="431"/>
      <c r="E56" s="432"/>
      <c r="F56" s="433"/>
      <c r="G56" s="434"/>
      <c r="H56" s="435"/>
      <c r="I56" s="450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37.15" hidden="1" customHeight="1" thickBot="1">
      <c r="B57" s="480"/>
      <c r="C57" s="479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16.5" hidden="1" customHeight="1" thickBot="1">
      <c r="B58" s="437"/>
      <c r="C58" s="423"/>
      <c r="D58" s="424"/>
      <c r="E58" s="425"/>
      <c r="F58" s="426"/>
      <c r="G58" s="427"/>
      <c r="H58" s="428"/>
      <c r="I58" s="438"/>
      <c r="J58" s="439"/>
      <c r="K58" s="429"/>
      <c r="L58" s="440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1:57" s="54" customFormat="1" ht="37.15" hidden="1" customHeight="1" thickBot="1">
      <c r="B59" s="456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7.15" customHeight="1">
      <c r="B60" s="466"/>
      <c r="C60" s="430"/>
      <c r="D60" s="460"/>
      <c r="E60" s="461"/>
      <c r="F60" s="462"/>
      <c r="G60" s="460"/>
      <c r="H60" s="463"/>
      <c r="I60" s="463"/>
      <c r="J60" s="463"/>
      <c r="K60" s="464"/>
      <c r="L60" s="465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1:57" ht="15.75" thickBot="1">
      <c r="B62" s="542" t="s">
        <v>55</v>
      </c>
      <c r="C62" s="543"/>
      <c r="D62" s="543"/>
      <c r="E62" s="543"/>
      <c r="F62" s="544"/>
      <c r="G62" s="542" t="s">
        <v>56</v>
      </c>
      <c r="H62" s="543"/>
      <c r="I62" s="543"/>
      <c r="J62" s="544"/>
      <c r="K62" s="542" t="s">
        <v>51</v>
      </c>
      <c r="L62" s="543"/>
      <c r="M62" s="543"/>
      <c r="N62" s="545"/>
      <c r="O62" s="56"/>
      <c r="P62" s="50"/>
    </row>
    <row r="63" spans="1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1:57" ht="15">
      <c r="B64" s="29" t="s">
        <v>6</v>
      </c>
      <c r="C64" s="282">
        <f>AVERAGE(L51,L53)</f>
        <v>6.0979509968094323</v>
      </c>
      <c r="D64" s="76">
        <v>6.3254632225871905</v>
      </c>
      <c r="E64" s="76">
        <v>7.4320556566072558</v>
      </c>
      <c r="F64" s="66">
        <v>4.8</v>
      </c>
      <c r="G64" s="65">
        <f>AVERAGE([29]February_2026!$Y$11:$Z$11)</f>
        <v>8.1662737959531064</v>
      </c>
      <c r="H64" s="477">
        <v>7.0311365049862324</v>
      </c>
      <c r="I64" s="477">
        <v>7.8076072694889795</v>
      </c>
      <c r="J64" s="66">
        <v>4.8</v>
      </c>
      <c r="K64" s="67">
        <f>AVERAGE(K51,K53)</f>
        <v>0.23921052631578948</v>
      </c>
      <c r="L64" s="194">
        <v>0.3928586655956004</v>
      </c>
      <c r="M64" s="194">
        <v>0.40042720720873864</v>
      </c>
      <c r="N64" s="68">
        <v>1</v>
      </c>
      <c r="O64" s="56"/>
      <c r="P64" s="69"/>
    </row>
    <row r="65" spans="2:16" ht="15">
      <c r="B65" s="33" t="s">
        <v>9</v>
      </c>
      <c r="C65" s="65"/>
      <c r="D65" s="76">
        <v>6.7976820357772665</v>
      </c>
      <c r="E65" s="76">
        <v>6.3248924166345786</v>
      </c>
      <c r="F65" s="66">
        <v>4.8</v>
      </c>
      <c r="G65" s="65"/>
      <c r="H65" s="76">
        <v>6.0935964542765948</v>
      </c>
      <c r="I65" s="76">
        <v>6.4503322940568122</v>
      </c>
      <c r="J65" s="66">
        <v>4.8</v>
      </c>
      <c r="K65" s="67"/>
      <c r="L65" s="194">
        <v>0.38310065836709234</v>
      </c>
      <c r="M65" s="194">
        <v>0.51544123449192847</v>
      </c>
      <c r="N65" s="68">
        <v>1</v>
      </c>
      <c r="P65" s="69"/>
    </row>
    <row r="66" spans="2:16" ht="15">
      <c r="B66" s="34" t="s">
        <v>40</v>
      </c>
      <c r="C66" s="65"/>
      <c r="D66" s="76">
        <v>13.291724456772998</v>
      </c>
      <c r="E66" s="76">
        <v>12.39060340856747</v>
      </c>
      <c r="F66" s="66">
        <v>5.5</v>
      </c>
      <c r="G66" s="65"/>
      <c r="H66" s="76">
        <v>13.268548232646971</v>
      </c>
      <c r="I66" s="76">
        <v>12.638020855379756</v>
      </c>
      <c r="J66" s="66">
        <v>5.5</v>
      </c>
      <c r="K66" s="67"/>
      <c r="L66" s="194">
        <v>0.16451754385964915</v>
      </c>
      <c r="M66" s="194">
        <v>0.33833333333333332</v>
      </c>
      <c r="N66" s="68">
        <v>1</v>
      </c>
      <c r="P66" s="69"/>
    </row>
    <row r="67" spans="2:16" ht="15">
      <c r="B67" s="22" t="s">
        <v>33</v>
      </c>
      <c r="C67" s="65"/>
      <c r="D67" s="76"/>
      <c r="E67" s="76">
        <v>5.0755456997699637</v>
      </c>
      <c r="F67" s="66">
        <v>3.3</v>
      </c>
      <c r="G67" s="65"/>
      <c r="H67" s="76"/>
      <c r="I67" s="76">
        <v>4.6359882890480018</v>
      </c>
      <c r="J67" s="66">
        <v>3.3</v>
      </c>
      <c r="K67" s="67"/>
      <c r="L67" s="194"/>
      <c r="M67" s="194">
        <v>0.66833333333333345</v>
      </c>
      <c r="N67" s="68">
        <v>1</v>
      </c>
      <c r="P67" s="69"/>
    </row>
    <row r="68" spans="2:16" ht="15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 ht="15">
      <c r="B69" s="36" t="s">
        <v>15</v>
      </c>
      <c r="C69" s="65"/>
      <c r="D69" s="76"/>
      <c r="E69" s="76">
        <v>5.1105651105651271</v>
      </c>
      <c r="F69" s="70">
        <f>[11]May_2022!$M$43</f>
        <v>3.4878406700073312</v>
      </c>
      <c r="G69" s="282"/>
      <c r="H69" s="76"/>
      <c r="I69" s="76">
        <v>7.9131369535794072</v>
      </c>
      <c r="J69" s="66">
        <v>5.5</v>
      </c>
      <c r="K69" s="67"/>
      <c r="L69" s="194"/>
      <c r="M69" s="194">
        <v>1.3550877192982456</v>
      </c>
      <c r="N69" s="68">
        <v>1</v>
      </c>
      <c r="P69" s="69"/>
    </row>
    <row r="70" spans="2:16" ht="15">
      <c r="B70" s="37" t="s">
        <v>16</v>
      </c>
      <c r="C70" s="65"/>
      <c r="D70" s="76"/>
      <c r="E70" s="76">
        <v>2.0590520590520631</v>
      </c>
      <c r="F70" s="66">
        <v>3.3</v>
      </c>
      <c r="G70" s="282"/>
      <c r="H70" s="76"/>
      <c r="I70" s="76">
        <v>2.1755040108015784</v>
      </c>
      <c r="J70" s="66">
        <v>3.3</v>
      </c>
      <c r="K70" s="67"/>
      <c r="L70" s="194"/>
      <c r="M70" s="194">
        <v>0.88456140350877199</v>
      </c>
      <c r="N70" s="71">
        <v>1</v>
      </c>
      <c r="P70" s="69"/>
    </row>
    <row r="71" spans="2:16" ht="15.75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 ht="15">
      <c r="D73" s="76">
        <v>7.0332301475834136</v>
      </c>
      <c r="E73" s="76">
        <v>6.9846546468141941</v>
      </c>
      <c r="F73" s="341">
        <v>5.5</v>
      </c>
      <c r="H73" s="76">
        <v>7.6372332968059204</v>
      </c>
      <c r="I73" s="76">
        <v>7.3158414177887323</v>
      </c>
      <c r="J73" s="341">
        <v>5.5</v>
      </c>
      <c r="L73" s="194">
        <v>0.36745675592489996</v>
      </c>
      <c r="M73" s="194">
        <v>0.47638786549707601</v>
      </c>
      <c r="N73" s="386">
        <v>1</v>
      </c>
    </row>
    <row r="74" spans="2:16">
      <c r="I74" s="477"/>
    </row>
  </sheetData>
  <mergeCells count="51"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  <mergeCell ref="D44:E44"/>
    <mergeCell ref="B49:B50"/>
    <mergeCell ref="C49:C50"/>
    <mergeCell ref="D49:D50"/>
    <mergeCell ref="E49:E50"/>
    <mergeCell ref="B34:B43"/>
    <mergeCell ref="D34:E35"/>
    <mergeCell ref="J34:K34"/>
    <mergeCell ref="L35:N35"/>
    <mergeCell ref="D36:E37"/>
    <mergeCell ref="D38:E39"/>
    <mergeCell ref="D40:E41"/>
    <mergeCell ref="D42:E43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4:B45">
    <cfRule type="cellIs" dxfId="801" priority="56" operator="notBetween">
      <formula>#REF!</formula>
      <formula>#REF!</formula>
    </cfRule>
  </conditionalFormatting>
  <conditionalFormatting sqref="C48">
    <cfRule type="cellIs" dxfId="800" priority="165" stopIfTrue="1" operator="greaterThan">
      <formula>100</formula>
    </cfRule>
    <cfRule type="cellIs" dxfId="799" priority="164" stopIfTrue="1" operator="lessThan">
      <formula>96</formula>
    </cfRule>
  </conditionalFormatting>
  <conditionalFormatting sqref="C64:C68">
    <cfRule type="cellIs" dxfId="798" priority="124" stopIfTrue="1" operator="lessThanOrEqual">
      <formula>0</formula>
    </cfRule>
  </conditionalFormatting>
  <conditionalFormatting sqref="C64:C72">
    <cfRule type="cellIs" dxfId="797" priority="123" stopIfTrue="1" operator="greaterThan">
      <formula>$F64</formula>
    </cfRule>
  </conditionalFormatting>
  <conditionalFormatting sqref="C65">
    <cfRule type="cellIs" dxfId="796" priority="168" stopIfTrue="1" operator="greaterThan">
      <formula>$F64</formula>
    </cfRule>
  </conditionalFormatting>
  <conditionalFormatting sqref="C69">
    <cfRule type="cellIs" dxfId="795" priority="81" stopIfTrue="1" operator="greaterThan">
      <formula>$F68</formula>
    </cfRule>
    <cfRule type="cellIs" dxfId="794" priority="80" stopIfTrue="1" operator="lessThanOrEqual">
      <formula>0</formula>
    </cfRule>
  </conditionalFormatting>
  <conditionalFormatting sqref="C75:C79">
    <cfRule type="cellIs" dxfId="793" priority="156" stopIfTrue="1" operator="lessThanOrEqual">
      <formula>0</formula>
    </cfRule>
  </conditionalFormatting>
  <conditionalFormatting sqref="C76:C79">
    <cfRule type="cellIs" dxfId="792" priority="155" stopIfTrue="1" operator="greaterThan">
      <formula>$F$75</formula>
    </cfRule>
  </conditionalFormatting>
  <conditionalFormatting sqref="C81">
    <cfRule type="cellIs" dxfId="791" priority="158" stopIfTrue="1" operator="lessThanOrEqual">
      <formula>0</formula>
    </cfRule>
    <cfRule type="cellIs" dxfId="790" priority="157" stopIfTrue="1" operator="greaterThan">
      <formula>$F$75</formula>
    </cfRule>
  </conditionalFormatting>
  <conditionalFormatting sqref="C75:D75 D77:D83">
    <cfRule type="cellIs" dxfId="789" priority="150" stopIfTrue="1" operator="greaterThan">
      <formula>4.5</formula>
    </cfRule>
  </conditionalFormatting>
  <conditionalFormatting sqref="D44:D45">
    <cfRule type="cellIs" dxfId="788" priority="57" operator="notBetween">
      <formula>#REF!</formula>
      <formula>#REF!</formula>
    </cfRule>
  </conditionalFormatting>
  <conditionalFormatting sqref="D64:D71">
    <cfRule type="cellIs" dxfId="787" priority="130" stopIfTrue="1" operator="lessThanOrEqual">
      <formula>0</formula>
    </cfRule>
  </conditionalFormatting>
  <conditionalFormatting sqref="D72">
    <cfRule type="cellIs" dxfId="786" priority="129" stopIfTrue="1" operator="lessThanOrEqual">
      <formula>0</formula>
    </cfRule>
  </conditionalFormatting>
  <conditionalFormatting sqref="D73">
    <cfRule type="cellIs" dxfId="785" priority="122" stopIfTrue="1" operator="lessThanOrEqual">
      <formula>0</formula>
    </cfRule>
  </conditionalFormatting>
  <conditionalFormatting sqref="D75 D77:D83">
    <cfRule type="cellIs" dxfId="784" priority="151" stopIfTrue="1" operator="lessThanOrEqual">
      <formula>0</formula>
    </cfRule>
  </conditionalFormatting>
  <conditionalFormatting sqref="D76">
    <cfRule type="cellIs" dxfId="783" priority="143" stopIfTrue="1" operator="lessThanOrEqual">
      <formula>0</formula>
    </cfRule>
    <cfRule type="cellIs" dxfId="782" priority="142" stopIfTrue="1" operator="greaterThan">
      <formula>$F$75</formula>
    </cfRule>
  </conditionalFormatting>
  <conditionalFormatting sqref="D64:E73">
    <cfRule type="cellIs" dxfId="781" priority="13" stopIfTrue="1" operator="greaterThan">
      <formula>$F64</formula>
    </cfRule>
  </conditionalFormatting>
  <conditionalFormatting sqref="E10:E19">
    <cfRule type="cellIs" dxfId="780" priority="27" operator="lessThan">
      <formula>48</formula>
    </cfRule>
  </conditionalFormatting>
  <conditionalFormatting sqref="E47 E48:F48">
    <cfRule type="cellIs" dxfId="779" priority="147" stopIfTrue="1" operator="greaterThan">
      <formula>100</formula>
    </cfRule>
  </conditionalFormatting>
  <conditionalFormatting sqref="E48">
    <cfRule type="cellIs" dxfId="778" priority="145" stopIfTrue="1" operator="greaterThan">
      <formula>100</formula>
    </cfRule>
    <cfRule type="cellIs" dxfId="777" priority="144" stopIfTrue="1" operator="lessThan">
      <formula>96.8</formula>
    </cfRule>
  </conditionalFormatting>
  <conditionalFormatting sqref="E64:E72">
    <cfRule type="cellIs" dxfId="776" priority="12" stopIfTrue="1" operator="lessThanOrEqual">
      <formula>0</formula>
    </cfRule>
  </conditionalFormatting>
  <conditionalFormatting sqref="E64:E73">
    <cfRule type="cellIs" dxfId="775" priority="14" stopIfTrue="1" operator="lessThanOrEqual">
      <formula>0</formula>
    </cfRule>
  </conditionalFormatting>
  <conditionalFormatting sqref="E73">
    <cfRule type="cellIs" dxfId="774" priority="15" stopIfTrue="1" operator="lessThanOrEqual">
      <formula>0</formula>
    </cfRule>
  </conditionalFormatting>
  <conditionalFormatting sqref="E75:E83">
    <cfRule type="cellIs" dxfId="773" priority="136" stopIfTrue="1" operator="greaterThan">
      <formula>4.5</formula>
    </cfRule>
    <cfRule type="cellIs" dxfId="772" priority="137" stopIfTrue="1" operator="lessThanOrEqual">
      <formula>0</formula>
    </cfRule>
  </conditionalFormatting>
  <conditionalFormatting sqref="E48:F48 E47">
    <cfRule type="cellIs" dxfId="771" priority="146" stopIfTrue="1" operator="lessThan">
      <formula>96.5</formula>
    </cfRule>
  </conditionalFormatting>
  <conditionalFormatting sqref="F18:F19">
    <cfRule type="cellIs" dxfId="770" priority="48" operator="greaterThan">
      <formula>60</formula>
    </cfRule>
  </conditionalFormatting>
  <conditionalFormatting sqref="F48">
    <cfRule type="cellIs" dxfId="769" priority="163" stopIfTrue="1" operator="greaterThan">
      <formula>100</formula>
    </cfRule>
    <cfRule type="cellIs" dxfId="768" priority="162" stopIfTrue="1" operator="lessThan">
      <formula>96.8</formula>
    </cfRule>
  </conditionalFormatting>
  <conditionalFormatting sqref="F73">
    <cfRule type="cellIs" dxfId="767" priority="127" stopIfTrue="1" operator="greaterThan">
      <formula>$F73</formula>
    </cfRule>
    <cfRule type="cellIs" dxfId="766" priority="128" stopIfTrue="1" operator="lessThanOrEqual">
      <formula>0</formula>
    </cfRule>
  </conditionalFormatting>
  <conditionalFormatting sqref="G10:G18">
    <cfRule type="expression" dxfId="765" priority="29">
      <formula>IF(+(IF(G10&lt;S10,0,IF(G10&gt;T10,0,1)))=0,1)</formula>
    </cfRule>
  </conditionalFormatting>
  <conditionalFormatting sqref="G64:G65 C70:C72">
    <cfRule type="cellIs" dxfId="764" priority="132" stopIfTrue="1" operator="lessThanOrEqual">
      <formula>0</formula>
    </cfRule>
  </conditionalFormatting>
  <conditionalFormatting sqref="G64:G65">
    <cfRule type="cellIs" dxfId="763" priority="131" stopIfTrue="1" operator="greaterThan">
      <formula>$F64</formula>
    </cfRule>
    <cfRule type="cellIs" dxfId="762" priority="126" stopIfTrue="1" operator="lessThanOrEqual">
      <formula>0</formula>
    </cfRule>
    <cfRule type="cellIs" dxfId="761" priority="125" stopIfTrue="1" operator="greaterThan">
      <formula>$F64</formula>
    </cfRule>
  </conditionalFormatting>
  <conditionalFormatting sqref="G66">
    <cfRule type="cellIs" dxfId="760" priority="166" stopIfTrue="1" operator="greaterThan">
      <formula>$F65</formula>
    </cfRule>
    <cfRule type="cellIs" dxfId="759" priority="167" stopIfTrue="1" operator="lessThanOrEqual">
      <formula>0</formula>
    </cfRule>
  </conditionalFormatting>
  <conditionalFormatting sqref="G67">
    <cfRule type="cellIs" dxfId="758" priority="52" stopIfTrue="1" operator="greaterThan">
      <formula>$F67</formula>
    </cfRule>
    <cfRule type="cellIs" dxfId="757" priority="53" stopIfTrue="1" operator="lessThanOrEqual">
      <formula>0</formula>
    </cfRule>
    <cfRule type="cellIs" dxfId="756" priority="54" stopIfTrue="1" operator="greaterThan">
      <formula>$F67</formula>
    </cfRule>
    <cfRule type="cellIs" dxfId="755" priority="55" stopIfTrue="1" operator="lessThanOrEqual">
      <formula>0</formula>
    </cfRule>
  </conditionalFormatting>
  <conditionalFormatting sqref="G68:G72">
    <cfRule type="cellIs" dxfId="754" priority="134" stopIfTrue="1" operator="lessThanOrEqual">
      <formula>0</formula>
    </cfRule>
    <cfRule type="cellIs" dxfId="753" priority="133" stopIfTrue="1" operator="greaterThan">
      <formula>$J68</formula>
    </cfRule>
  </conditionalFormatting>
  <conditionalFormatting sqref="G77:G82 C80 C82">
    <cfRule type="cellIs" dxfId="752" priority="159" stopIfTrue="1" operator="greaterThan">
      <formula>4.5</formula>
    </cfRule>
    <cfRule type="cellIs" dxfId="751" priority="160" stopIfTrue="1" operator="lessThanOrEqual">
      <formula>0</formula>
    </cfRule>
  </conditionalFormatting>
  <conditionalFormatting sqref="G76:H76">
    <cfRule type="cellIs" dxfId="750" priority="141" stopIfTrue="1" operator="lessThanOrEqual">
      <formula>0</formula>
    </cfRule>
    <cfRule type="cellIs" dxfId="749" priority="140" stopIfTrue="1" operator="greaterThan">
      <formula>$F$75</formula>
    </cfRule>
  </conditionalFormatting>
  <conditionalFormatting sqref="H10:H18 G19:H19">
    <cfRule type="expression" dxfId="748" priority="49">
      <formula>IF(+(IF(G10&lt;#REF!,0,IF(G10&gt;#REF!,0,1)))=0,1)</formula>
    </cfRule>
  </conditionalFormatting>
  <conditionalFormatting sqref="H33:H47 I35:I46">
    <cfRule type="cellIs" dxfId="747" priority="138" stopIfTrue="1" operator="greaterThan">
      <formula>0</formula>
    </cfRule>
  </conditionalFormatting>
  <conditionalFormatting sqref="H51:H55">
    <cfRule type="cellIs" dxfId="746" priority="43" stopIfTrue="1" operator="greaterThan">
      <formula>$F$67</formula>
    </cfRule>
    <cfRule type="cellIs" dxfId="745" priority="44" stopIfTrue="1" operator="lessThanOrEqual">
      <formula>0</formula>
    </cfRule>
    <cfRule type="cellIs" dxfId="744" priority="34" stopIfTrue="1" operator="lessThanOrEqual">
      <formula>0</formula>
    </cfRule>
    <cfRule type="cellIs" dxfId="743" priority="35" stopIfTrue="1" operator="greaterThan">
      <formula>$F$64</formula>
    </cfRule>
    <cfRule type="cellIs" dxfId="742" priority="45" stopIfTrue="1" operator="greaterThan">
      <formula>$F$65</formula>
    </cfRule>
    <cfRule type="cellIs" dxfId="741" priority="46" stopIfTrue="1" operator="lessThanOrEqual">
      <formula>0</formula>
    </cfRule>
  </conditionalFormatting>
  <conditionalFormatting sqref="H56:H57">
    <cfRule type="cellIs" dxfId="740" priority="93" stopIfTrue="1" operator="lessThanOrEqual">
      <formula>0</formula>
    </cfRule>
    <cfRule type="cellIs" dxfId="739" priority="84" stopIfTrue="1" operator="greaterThan">
      <formula>#REF!</formula>
    </cfRule>
    <cfRule type="cellIs" dxfId="738" priority="95" stopIfTrue="1" operator="lessThanOrEqual">
      <formula>0</formula>
    </cfRule>
    <cfRule type="cellIs" dxfId="737" priority="83" stopIfTrue="1" operator="lessThanOrEqual">
      <formula>0</formula>
    </cfRule>
    <cfRule type="cellIs" dxfId="736" priority="94" stopIfTrue="1" operator="greaterThan">
      <formula>#REF!</formula>
    </cfRule>
    <cfRule type="cellIs" dxfId="735" priority="92" stopIfTrue="1" operator="greaterThan">
      <formula>$F$19</formula>
    </cfRule>
  </conditionalFormatting>
  <conditionalFormatting sqref="H58">
    <cfRule type="cellIs" dxfId="734" priority="110" stopIfTrue="1" operator="lessThanOrEqual">
      <formula>0</formula>
    </cfRule>
    <cfRule type="cellIs" dxfId="733" priority="108" stopIfTrue="1" operator="lessThanOrEqual">
      <formula>0</formula>
    </cfRule>
    <cfRule type="cellIs" dxfId="732" priority="99" stopIfTrue="1" operator="greaterThan">
      <formula>$F$32</formula>
    </cfRule>
    <cfRule type="cellIs" dxfId="731" priority="109" stopIfTrue="1" operator="greaterThan">
      <formula>$F$33</formula>
    </cfRule>
    <cfRule type="cellIs" dxfId="730" priority="107" stopIfTrue="1" operator="greaterThan">
      <formula>$F$35</formula>
    </cfRule>
    <cfRule type="cellIs" dxfId="729" priority="98" stopIfTrue="1" operator="lessThanOrEqual">
      <formula>0</formula>
    </cfRule>
  </conditionalFormatting>
  <conditionalFormatting sqref="H59:H60">
    <cfRule type="cellIs" dxfId="728" priority="77" stopIfTrue="1" operator="lessThanOrEqual">
      <formula>0</formula>
    </cfRule>
    <cfRule type="cellIs" dxfId="727" priority="76" stopIfTrue="1" operator="greaterThan">
      <formula>$F$19</formula>
    </cfRule>
    <cfRule type="cellIs" dxfId="726" priority="68" stopIfTrue="1" operator="greaterThan">
      <formula>#REF!</formula>
    </cfRule>
    <cfRule type="cellIs" dxfId="725" priority="67" stopIfTrue="1" operator="lessThanOrEqual">
      <formula>0</formula>
    </cfRule>
    <cfRule type="cellIs" dxfId="724" priority="79" stopIfTrue="1" operator="lessThanOrEqual">
      <formula>0</formula>
    </cfRule>
    <cfRule type="cellIs" dxfId="723" priority="78" stopIfTrue="1" operator="greaterThan">
      <formula>#REF!</formula>
    </cfRule>
  </conditionalFormatting>
  <conditionalFormatting sqref="H75 H77:H83">
    <cfRule type="cellIs" dxfId="722" priority="153" stopIfTrue="1" operator="lessThanOrEqual">
      <formula>0</formula>
    </cfRule>
    <cfRule type="cellIs" dxfId="721" priority="152" stopIfTrue="1" operator="greaterThan">
      <formula>4.5</formula>
    </cfRule>
  </conditionalFormatting>
  <conditionalFormatting sqref="H51:I55">
    <cfRule type="cellIs" dxfId="720" priority="36" stopIfTrue="1" operator="lessThanOrEqual">
      <formula>0</formula>
    </cfRule>
    <cfRule type="cellIs" dxfId="719" priority="33" stopIfTrue="1" operator="greaterThan">
      <formula>$F$66</formula>
    </cfRule>
  </conditionalFormatting>
  <conditionalFormatting sqref="H56:I57">
    <cfRule type="cellIs" dxfId="718" priority="85" stopIfTrue="1" operator="lessThanOrEqual">
      <formula>0</formula>
    </cfRule>
    <cfRule type="cellIs" dxfId="717" priority="82" stopIfTrue="1" operator="greaterThan">
      <formula>#REF!</formula>
    </cfRule>
  </conditionalFormatting>
  <conditionalFormatting sqref="H58:I58">
    <cfRule type="cellIs" dxfId="716" priority="97" stopIfTrue="1" operator="greaterThan">
      <formula>$F$34</formula>
    </cfRule>
    <cfRule type="cellIs" dxfId="715" priority="100" stopIfTrue="1" operator="lessThanOrEqual">
      <formula>0</formula>
    </cfRule>
  </conditionalFormatting>
  <conditionalFormatting sqref="H59:I60">
    <cfRule type="cellIs" dxfId="714" priority="69" stopIfTrue="1" operator="lessThanOrEqual">
      <formula>0</formula>
    </cfRule>
    <cfRule type="cellIs" dxfId="713" priority="66" stopIfTrue="1" operator="greaterThan">
      <formula>#REF!</formula>
    </cfRule>
  </conditionalFormatting>
  <conditionalFormatting sqref="H64:I71 I74">
    <cfRule type="cellIs" dxfId="712" priority="16" stopIfTrue="1" operator="greaterThan">
      <formula>$J64</formula>
    </cfRule>
    <cfRule type="cellIs" dxfId="711" priority="17" stopIfTrue="1" operator="lessThanOrEqual">
      <formula>0</formula>
    </cfRule>
  </conditionalFormatting>
  <conditionalFormatting sqref="H72:I72">
    <cfRule type="cellIs" dxfId="710" priority="20" operator="greaterThan">
      <formula>5.3</formula>
    </cfRule>
  </conditionalFormatting>
  <conditionalFormatting sqref="H73:I73">
    <cfRule type="cellIs" dxfId="709" priority="19" stopIfTrue="1" operator="lessThanOrEqual">
      <formula>0</formula>
    </cfRule>
    <cfRule type="cellIs" dxfId="708" priority="18" stopIfTrue="1" operator="greaterThan">
      <formula>$J73</formula>
    </cfRule>
  </conditionalFormatting>
  <conditionalFormatting sqref="I51:I55">
    <cfRule type="cellIs" dxfId="707" priority="37" stopIfTrue="1" operator="greaterThan">
      <formula>$F$64</formula>
    </cfRule>
    <cfRule type="cellIs" dxfId="706" priority="42" stopIfTrue="1" operator="lessThanOrEqual">
      <formula>0</formula>
    </cfRule>
    <cfRule type="cellIs" dxfId="705" priority="41" stopIfTrue="1" operator="greaterThan">
      <formula>$F$64</formula>
    </cfRule>
    <cfRule type="cellIs" dxfId="704" priority="40" stopIfTrue="1" operator="lessThanOrEqual">
      <formula>0</formula>
    </cfRule>
    <cfRule type="cellIs" dxfId="703" priority="39" stopIfTrue="1" operator="greaterThan">
      <formula>$F$66</formula>
    </cfRule>
    <cfRule type="cellIs" dxfId="702" priority="38" stopIfTrue="1" operator="lessThanOrEqual">
      <formula>0</formula>
    </cfRule>
  </conditionalFormatting>
  <conditionalFormatting sqref="I56:I57">
    <cfRule type="cellIs" dxfId="701" priority="88" stopIfTrue="1" operator="greaterThan">
      <formula>#REF!</formula>
    </cfRule>
    <cfRule type="cellIs" dxfId="700" priority="89" stopIfTrue="1" operator="lessThanOrEqual">
      <formula>0</formula>
    </cfRule>
    <cfRule type="cellIs" dxfId="699" priority="90" stopIfTrue="1" operator="greaterThan">
      <formula>#REF!</formula>
    </cfRule>
    <cfRule type="cellIs" dxfId="698" priority="91" stopIfTrue="1" operator="lessThanOrEqual">
      <formula>0</formula>
    </cfRule>
    <cfRule type="cellIs" dxfId="697" priority="86" stopIfTrue="1" operator="greaterThan">
      <formula>#REF!</formula>
    </cfRule>
    <cfRule type="cellIs" dxfId="696" priority="87" stopIfTrue="1" operator="lessThanOrEqual">
      <formula>0</formula>
    </cfRule>
  </conditionalFormatting>
  <conditionalFormatting sqref="I58">
    <cfRule type="cellIs" dxfId="695" priority="101" stopIfTrue="1" operator="greaterThan">
      <formula>$F$32</formula>
    </cfRule>
    <cfRule type="cellIs" dxfId="694" priority="106" stopIfTrue="1" operator="lessThanOrEqual">
      <formula>0</formula>
    </cfRule>
    <cfRule type="cellIs" dxfId="693" priority="105" stopIfTrue="1" operator="greaterThan">
      <formula>$F$32</formula>
    </cfRule>
    <cfRule type="cellIs" dxfId="692" priority="104" stopIfTrue="1" operator="lessThanOrEqual">
      <formula>0</formula>
    </cfRule>
    <cfRule type="cellIs" dxfId="691" priority="103" stopIfTrue="1" operator="greaterThan">
      <formula>$F$34</formula>
    </cfRule>
    <cfRule type="cellIs" dxfId="690" priority="102" stopIfTrue="1" operator="lessThanOrEqual">
      <formula>0</formula>
    </cfRule>
  </conditionalFormatting>
  <conditionalFormatting sqref="I59:I60">
    <cfRule type="cellIs" dxfId="689" priority="71" stopIfTrue="1" operator="lessThanOrEqual">
      <formula>0</formula>
    </cfRule>
    <cfRule type="cellIs" dxfId="688" priority="70" stopIfTrue="1" operator="greaterThan">
      <formula>#REF!</formula>
    </cfRule>
    <cfRule type="cellIs" dxfId="687" priority="72" stopIfTrue="1" operator="greaterThan">
      <formula>#REF!</formula>
    </cfRule>
    <cfRule type="cellIs" dxfId="686" priority="75" stopIfTrue="1" operator="lessThanOrEqual">
      <formula>0</formula>
    </cfRule>
    <cfRule type="cellIs" dxfId="685" priority="74" stopIfTrue="1" operator="greaterThan">
      <formula>#REF!</formula>
    </cfRule>
    <cfRule type="cellIs" dxfId="684" priority="73" stopIfTrue="1" operator="lessThanOrEqual">
      <formula>0</formula>
    </cfRule>
  </conditionalFormatting>
  <conditionalFormatting sqref="I75:I83">
    <cfRule type="cellIs" dxfId="683" priority="149" stopIfTrue="1" operator="lessThanOrEqual">
      <formula>0</formula>
    </cfRule>
    <cfRule type="cellIs" dxfId="682" priority="148" stopIfTrue="1" operator="greaterThan">
      <formula>4.5</formula>
    </cfRule>
  </conditionalFormatting>
  <conditionalFormatting sqref="I10:J19">
    <cfRule type="cellIs" dxfId="681" priority="23" operator="lessThan">
      <formula>97.9</formula>
    </cfRule>
  </conditionalFormatting>
  <conditionalFormatting sqref="J22">
    <cfRule type="cellIs" dxfId="680" priority="32" operator="lessThan">
      <formula>97.95</formula>
    </cfRule>
  </conditionalFormatting>
  <conditionalFormatting sqref="J24">
    <cfRule type="cellIs" dxfId="679" priority="114" operator="lessThan">
      <formula>98</formula>
    </cfRule>
    <cfRule type="cellIs" dxfId="678" priority="113" stopIfTrue="1" operator="greaterThan">
      <formula>100</formula>
    </cfRule>
    <cfRule type="cellIs" dxfId="677" priority="112" stopIfTrue="1" operator="lessThan">
      <formula>96.8</formula>
    </cfRule>
  </conditionalFormatting>
  <conditionalFormatting sqref="J24:J26">
    <cfRule type="cellIs" dxfId="676" priority="111" operator="lessThan">
      <formula>97.4</formula>
    </cfRule>
  </conditionalFormatting>
  <conditionalFormatting sqref="J27:J28">
    <cfRule type="cellIs" dxfId="675" priority="115" operator="lessThan">
      <formula>98</formula>
    </cfRule>
  </conditionalFormatting>
  <conditionalFormatting sqref="J29:J30">
    <cfRule type="cellIs" dxfId="674" priority="116" stopIfTrue="1" operator="lessThan">
      <formula>96.8</formula>
    </cfRule>
    <cfRule type="cellIs" dxfId="673" priority="117" stopIfTrue="1" operator="greaterThan">
      <formula>100</formula>
    </cfRule>
  </conditionalFormatting>
  <conditionalFormatting sqref="J29:J31">
    <cfRule type="cellIs" dxfId="672" priority="118" operator="lessThan">
      <formula>98</formula>
    </cfRule>
  </conditionalFormatting>
  <conditionalFormatting sqref="J60">
    <cfRule type="cellIs" dxfId="671" priority="58" stopIfTrue="1" operator="greaterThan">
      <formula>#REF!</formula>
    </cfRule>
    <cfRule type="cellIs" dxfId="670" priority="65" stopIfTrue="1" operator="lessThanOrEqual">
      <formula>0</formula>
    </cfRule>
    <cfRule type="cellIs" dxfId="669" priority="62" stopIfTrue="1" operator="greaterThan">
      <formula>#REF!</formula>
    </cfRule>
    <cfRule type="cellIs" dxfId="668" priority="64" stopIfTrue="1" operator="greaterThan">
      <formula>#REF!</formula>
    </cfRule>
    <cfRule type="cellIs" dxfId="667" priority="63" stopIfTrue="1" operator="lessThanOrEqual">
      <formula>0</formula>
    </cfRule>
    <cfRule type="cellIs" dxfId="666" priority="61" stopIfTrue="1" operator="lessThanOrEqual">
      <formula>0</formula>
    </cfRule>
    <cfRule type="cellIs" dxfId="665" priority="60" stopIfTrue="1" operator="greaterThan">
      <formula>#REF!</formula>
    </cfRule>
    <cfRule type="cellIs" dxfId="664" priority="59" stopIfTrue="1" operator="lessThanOrEqual">
      <formula>0</formula>
    </cfRule>
  </conditionalFormatting>
  <conditionalFormatting sqref="J73">
    <cfRule type="cellIs" dxfId="663" priority="120" stopIfTrue="1" operator="lessThanOrEqual">
      <formula>0</formula>
    </cfRule>
    <cfRule type="cellIs" dxfId="662" priority="119" stopIfTrue="1" operator="greaterThan">
      <formula>$F73</formula>
    </cfRule>
  </conditionalFormatting>
  <conditionalFormatting sqref="K10:K19">
    <cfRule type="cellIs" dxfId="661" priority="24" operator="greaterThan">
      <formula>6</formula>
    </cfRule>
    <cfRule type="cellIs" dxfId="660" priority="25" operator="lessThan">
      <formula>4</formula>
    </cfRule>
    <cfRule type="cellIs" dxfId="659" priority="26" operator="greaterThan">
      <formula>6.4</formula>
    </cfRule>
  </conditionalFormatting>
  <conditionalFormatting sqref="K51:K60">
    <cfRule type="cellIs" dxfId="658" priority="47" stopIfTrue="1" operator="lessThan">
      <formula>100%</formula>
    </cfRule>
  </conditionalFormatting>
  <conditionalFormatting sqref="K75:K80">
    <cfRule type="cellIs" dxfId="657" priority="154" stopIfTrue="1" operator="lessThan">
      <formula>100%</formula>
    </cfRule>
  </conditionalFormatting>
  <conditionalFormatting sqref="K82:K83">
    <cfRule type="cellIs" dxfId="656" priority="161" stopIfTrue="1" operator="lessThan">
      <formula>100%</formula>
    </cfRule>
  </conditionalFormatting>
  <conditionalFormatting sqref="K64:L72">
    <cfRule type="cellIs" dxfId="655" priority="96" stopIfTrue="1" operator="lessThan">
      <formula>100%</formula>
    </cfRule>
  </conditionalFormatting>
  <conditionalFormatting sqref="L10:L19">
    <cfRule type="cellIs" dxfId="654" priority="31" operator="greaterThan">
      <formula>65</formula>
    </cfRule>
    <cfRule type="cellIs" dxfId="653" priority="30" operator="between">
      <formula>61</formula>
      <formula>65</formula>
    </cfRule>
  </conditionalFormatting>
  <conditionalFormatting sqref="L73">
    <cfRule type="cellIs" dxfId="652" priority="121" stopIfTrue="1" operator="lessThan">
      <formula>100%</formula>
    </cfRule>
  </conditionalFormatting>
  <conditionalFormatting sqref="L22:M33">
    <cfRule type="cellIs" dxfId="651" priority="50" operator="lessThan">
      <formula>97.95</formula>
    </cfRule>
  </conditionalFormatting>
  <conditionalFormatting sqref="L37:N37">
    <cfRule type="cellIs" dxfId="650" priority="51" operator="notEqual">
      <formula>#REF!</formula>
    </cfRule>
  </conditionalFormatting>
  <conditionalFormatting sqref="L75:N83">
    <cfRule type="cellIs" dxfId="649" priority="139" stopIfTrue="1" operator="lessThan">
      <formula>100%</formula>
    </cfRule>
  </conditionalFormatting>
  <conditionalFormatting sqref="M10:M18">
    <cfRule type="expression" dxfId="648" priority="28">
      <formula>IF(+(IF(M10&lt;U10,0,IF(M10&gt;V10,0,1)))=0,1)</formula>
    </cfRule>
  </conditionalFormatting>
  <conditionalFormatting sqref="M19:N19">
    <cfRule type="expression" dxfId="647" priority="169">
      <formula>IF(+(IF(M19&lt;#REF!,0,IF(M19&gt;#REF!,0,1)))=0,1)</formula>
    </cfRule>
  </conditionalFormatting>
  <conditionalFormatting sqref="M64:N73">
    <cfRule type="cellIs" dxfId="646" priority="21" stopIfTrue="1" operator="lessThan">
      <formula>100%</formula>
    </cfRule>
  </conditionalFormatting>
  <conditionalFormatting sqref="N10:N18">
    <cfRule type="expression" dxfId="645" priority="22">
      <formula>IF(+(IF(N10&lt;W10,0,IF(N10&gt;X10,0,1)))=0,1)</formula>
    </cfRule>
  </conditionalFormatting>
  <conditionalFormatting sqref="P6">
    <cfRule type="cellIs" dxfId="644" priority="135" operator="greaterThanOrEqual">
      <formula>19</formula>
    </cfRule>
  </conditionalFormatting>
  <dataValidations disablePrompts="1" count="1">
    <dataValidation type="list" allowBlank="1" showInputMessage="1" showErrorMessage="1" sqref="R8" xr:uid="{A1CEA5DE-CDE8-4CE2-A621-62653CDA71A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AB962-043B-42DB-BD93-48DB34BFB1CE}">
  <sheetPr>
    <pageSetUpPr fitToPage="1"/>
  </sheetPr>
  <dimension ref="A1:BE78"/>
  <sheetViews>
    <sheetView zoomScale="80" zoomScaleNormal="80" workbookViewId="0">
      <selection activeCell="B16" sqref="B16:O16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46078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37" t="s">
        <v>16</v>
      </c>
      <c r="C10" s="366" t="str">
        <f>[8]Brewhouse!$A20</f>
        <v>SM015</v>
      </c>
      <c r="D10" s="279">
        <f>[8]Brewhouse!$AH20</f>
        <v>53</v>
      </c>
      <c r="E10" s="279">
        <f>[8]Brewhouse!$AM20</f>
        <v>51</v>
      </c>
      <c r="F10" s="278">
        <f>[8]Brewhouse!$Z20</f>
        <v>75</v>
      </c>
      <c r="G10" s="279">
        <f>[8]Brewhouse!$AK20</f>
        <v>17.399999999999999</v>
      </c>
      <c r="H10" s="396"/>
      <c r="I10" s="368">
        <f>[8]Brewhouse!$AY20</f>
        <v>97.678395385249857</v>
      </c>
      <c r="J10" s="368">
        <f>[8]Brewhouse!$AZ20</f>
        <v>98.393561390570113</v>
      </c>
      <c r="K10" s="281">
        <f>[8]Brewhouse!$U20</f>
        <v>16.18867924528303</v>
      </c>
      <c r="L10" s="276">
        <f>[8]Brewhouse!$T20</f>
        <v>56</v>
      </c>
      <c r="M10" s="374">
        <f>[8]Brewhouse!$Y20-[8]Brewhouse!$X20</f>
        <v>0.13055555555555554</v>
      </c>
      <c r="N10" s="370">
        <f>[8]Brewhouse!$AD20</f>
        <v>0.3090277777777779</v>
      </c>
      <c r="O10" s="371" t="str">
        <f>[8]Brewhouse!$BC20</f>
        <v>R.Sookram</v>
      </c>
      <c r="P10" s="418"/>
      <c r="R10" s="277" t="str">
        <f t="shared" ref="R10:R38" si="0">B10</f>
        <v>STARMALT</v>
      </c>
      <c r="S10" s="472">
        <f t="shared" ref="S10:S38" si="1">VLOOKUP($B10,$R$3:$X$9,2,FALSE)</f>
        <v>17</v>
      </c>
      <c r="T10" s="472">
        <f t="shared" ref="T10:T38" si="2">VLOOKUP($B10,$R$3:$X$9,3,FALSE)</f>
        <v>17.399999999999999</v>
      </c>
      <c r="U10" s="297">
        <f t="shared" ref="U10:U38" si="3">VLOOKUP($B10,$R$3:$X$9,4,FALSE)</f>
        <v>0</v>
      </c>
      <c r="V10" s="297">
        <f t="shared" ref="V10:V38" si="4">VLOOKUP($B10,$R$3:$X$9,5,FALSE)</f>
        <v>0.13605324074074074</v>
      </c>
      <c r="W10" s="297">
        <f t="shared" ref="W10:W38" si="5">VLOOKUP($B10,$R$3:$X$9,6,FALSE)</f>
        <v>0.27430555555555552</v>
      </c>
      <c r="X10" s="297">
        <f t="shared" ref="X10:X38" si="6">VLOOKUP($B10,$R$3:$X$9,7,FALSE)</f>
        <v>0.30902777777777779</v>
      </c>
      <c r="Y10" s="297">
        <f t="shared" ref="Y10:Y38" si="7">VLOOKUP($B10,$R$3:$Z$9,8,FALSE)</f>
        <v>0</v>
      </c>
      <c r="Z10" s="472">
        <f t="shared" ref="Z10:Z38" si="8">VLOOKUP($B10,$R$3:$Z$9,9,FALSE)</f>
        <v>85</v>
      </c>
    </row>
    <row r="11" spans="2:29" ht="16.5" customHeight="1">
      <c r="B11" s="37" t="s">
        <v>16</v>
      </c>
      <c r="C11" s="366" t="str">
        <f>[8]Brewhouse!$A21</f>
        <v>SM016</v>
      </c>
      <c r="D11" s="279">
        <f>[8]Brewhouse!$AH21</f>
        <v>53.1</v>
      </c>
      <c r="E11" s="279">
        <f>[8]Brewhouse!$AM21</f>
        <v>51.5</v>
      </c>
      <c r="F11" s="278">
        <f>[8]Brewhouse!$Z21</f>
        <v>78</v>
      </c>
      <c r="G11" s="279">
        <f>[8]Brewhouse!$AK21</f>
        <v>17.3</v>
      </c>
      <c r="H11" s="396"/>
      <c r="I11" s="368">
        <f>[8]Brewhouse!$AY21</f>
        <v>97.894369029995005</v>
      </c>
      <c r="J11" s="368">
        <f>[8]Brewhouse!$AZ21</f>
        <v>98.612459812382227</v>
      </c>
      <c r="K11" s="281">
        <f>[8]Brewhouse!$U21</f>
        <v>12.768361581920907</v>
      </c>
      <c r="L11" s="276">
        <f>[8]Brewhouse!$T21</f>
        <v>60</v>
      </c>
      <c r="M11" s="374">
        <f>[8]Brewhouse!$Y21-[8]Brewhouse!$X21</f>
        <v>0.14305555555555555</v>
      </c>
      <c r="N11" s="370">
        <f>[8]Brewhouse!$AD21</f>
        <v>0.31874999999999998</v>
      </c>
      <c r="O11" s="371" t="str">
        <f>[8]Brewhouse!$BC21</f>
        <v>K. Benjamin</v>
      </c>
      <c r="P11" s="418"/>
      <c r="R11" s="277" t="str">
        <f t="shared" ref="R11:R24" si="9">B11</f>
        <v>STARMALT</v>
      </c>
      <c r="S11" s="472">
        <f t="shared" si="1"/>
        <v>17</v>
      </c>
      <c r="T11" s="472">
        <f t="shared" si="2"/>
        <v>17.399999999999999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472">
        <f t="shared" si="8"/>
        <v>85</v>
      </c>
    </row>
    <row r="12" spans="2:29" ht="16.5" customHeight="1">
      <c r="B12" s="37" t="s">
        <v>16</v>
      </c>
      <c r="C12" s="366" t="str">
        <f>[8]Brewhouse!$A22</f>
        <v>SM017</v>
      </c>
      <c r="D12" s="279">
        <f>[8]Brewhouse!$AH22</f>
        <v>53</v>
      </c>
      <c r="E12" s="279">
        <f>[8]Brewhouse!$AM22</f>
        <v>51.1</v>
      </c>
      <c r="F12" s="278">
        <f>[8]Brewhouse!$Z22</f>
        <v>94</v>
      </c>
      <c r="G12" s="279">
        <f>[8]Brewhouse!$AK22</f>
        <v>17.2</v>
      </c>
      <c r="H12" s="396"/>
      <c r="I12" s="368">
        <f>[8]Brewhouse!$AY22</f>
        <v>96.582095881806836</v>
      </c>
      <c r="J12" s="368">
        <f>[8]Brewhouse!$AZ22</f>
        <v>97.289898452507032</v>
      </c>
      <c r="K12" s="281">
        <f>[8]Brewhouse!$U22</f>
        <v>14.490566037735849</v>
      </c>
      <c r="L12" s="276">
        <f>[8]Brewhouse!$T22</f>
        <v>60</v>
      </c>
      <c r="M12" s="374">
        <f>[8]Brewhouse!$Y22-[8]Brewhouse!$X22</f>
        <v>0.14236111111111116</v>
      </c>
      <c r="N12" s="370">
        <f>[8]Brewhouse!$AD22</f>
        <v>0.33958333333333335</v>
      </c>
      <c r="O12" s="371" t="str">
        <f>[8]Brewhouse!$BC22</f>
        <v>K. Benjamin</v>
      </c>
      <c r="P12" s="418"/>
      <c r="R12" s="277" t="str">
        <f t="shared" si="9"/>
        <v>STARMALT</v>
      </c>
      <c r="S12" s="472">
        <f t="shared" si="1"/>
        <v>17</v>
      </c>
      <c r="T12" s="472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472">
        <f t="shared" si="8"/>
        <v>85</v>
      </c>
    </row>
    <row r="13" spans="2:29" ht="16.5" customHeight="1">
      <c r="B13" s="37" t="s">
        <v>16</v>
      </c>
      <c r="C13" s="366" t="str">
        <f>[8]Brewhouse!$A23</f>
        <v>SM018</v>
      </c>
      <c r="D13" s="279">
        <f>[8]Brewhouse!$AH23</f>
        <v>53</v>
      </c>
      <c r="E13" s="279">
        <f>[8]Brewhouse!$AM23</f>
        <v>53.3</v>
      </c>
      <c r="F13" s="278">
        <f>[8]Brewhouse!$Z23</f>
        <v>98</v>
      </c>
      <c r="G13" s="279">
        <f>[8]Brewhouse!$AK23</f>
        <v>17.2</v>
      </c>
      <c r="H13" s="396"/>
      <c r="I13" s="368">
        <f>[8]Brewhouse!$AY23</f>
        <v>100.57737346889346</v>
      </c>
      <c r="J13" s="368">
        <f>[8]Brewhouse!$AZ23</f>
        <v>101.31583356327047</v>
      </c>
      <c r="K13" s="281">
        <f>[8]Brewhouse!$U23</f>
        <v>13.358490566037744</v>
      </c>
      <c r="L13" s="276">
        <f>[8]Brewhouse!$T23</f>
        <v>60</v>
      </c>
      <c r="M13" s="374">
        <f>[8]Brewhouse!$Y23-[8]Brewhouse!$X23</f>
        <v>0.15347222222222223</v>
      </c>
      <c r="N13" s="370">
        <f>[8]Brewhouse!$AD23</f>
        <v>0.3347222222222222</v>
      </c>
      <c r="O13" s="371" t="str">
        <f>[8]Brewhouse!$BC23</f>
        <v>K. Benjamin</v>
      </c>
      <c r="P13" s="418"/>
      <c r="R13" s="277" t="str">
        <f t="shared" si="9"/>
        <v>STARMALT</v>
      </c>
      <c r="S13" s="472">
        <f t="shared" si="1"/>
        <v>17</v>
      </c>
      <c r="T13" s="472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472">
        <f t="shared" si="8"/>
        <v>85</v>
      </c>
    </row>
    <row r="14" spans="2:29" ht="16.5" customHeight="1">
      <c r="B14" s="37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18"/>
      <c r="R14" s="277">
        <f t="shared" si="9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6.5" customHeight="1">
      <c r="B15" s="37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9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6.5" customHeight="1">
      <c r="B16" s="33" t="s">
        <v>9</v>
      </c>
      <c r="C16" s="366" t="str">
        <f>[4]Brewhouse!$A123</f>
        <v>ST072</v>
      </c>
      <c r="D16" s="279">
        <f>[4]Brewhouse!$AB123</f>
        <v>52.1</v>
      </c>
      <c r="E16" s="279">
        <f>[4]Brewhouse!$AG123</f>
        <v>47.6</v>
      </c>
      <c r="F16" s="278">
        <f>[4]Brewhouse!$V123</f>
        <v>61</v>
      </c>
      <c r="G16" s="279">
        <f>[4]Brewhouse!$AE123</f>
        <v>12</v>
      </c>
      <c r="H16" s="482"/>
      <c r="I16" s="368">
        <f>[4]Brewhouse!$AS123</f>
        <v>95.822053579237433</v>
      </c>
      <c r="J16" s="368">
        <f>[4]Brewhouse!$AT123</f>
        <v>97.025570091113693</v>
      </c>
      <c r="K16" s="281">
        <f>[4]Brewhouse!$Q123</f>
        <v>17.226487523992326</v>
      </c>
      <c r="L16" s="276">
        <f>[4]Brewhouse!$P123</f>
        <v>60</v>
      </c>
      <c r="M16" s="374">
        <f>[4]Brewhouse!$U123-[4]Brewhouse!$T123</f>
        <v>0.11249999999999993</v>
      </c>
      <c r="N16" s="370">
        <f>[4]Brewhouse!$AW123</f>
        <v>0.26805555555555549</v>
      </c>
      <c r="O16" s="371" t="str">
        <f>[4]Brewhouse!$AV123</f>
        <v>R. Regis</v>
      </c>
      <c r="P16" s="418"/>
      <c r="R16" s="277" t="str">
        <f t="shared" si="9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6.5" customHeight="1">
      <c r="B17" s="37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6.5" customHeight="1">
      <c r="B18" s="29" t="s">
        <v>6</v>
      </c>
      <c r="C18" s="366" t="str">
        <f>[3]Brewhouse!$A173</f>
        <v>CA131</v>
      </c>
      <c r="D18" s="279">
        <f>[3]Brewhouse!$AF173</f>
        <v>48.8</v>
      </c>
      <c r="E18" s="279">
        <f>[3]Brewhouse!$AI173</f>
        <v>49.5</v>
      </c>
      <c r="F18" s="278">
        <f>[3]Brewhouse!$V173</f>
        <v>65</v>
      </c>
      <c r="G18" s="279">
        <f>[3]Brewhouse!AG173</f>
        <v>11.8</v>
      </c>
      <c r="H18" s="396"/>
      <c r="I18" s="368">
        <f>[3]Brewhouse!$AU173</f>
        <v>96.511183978216323</v>
      </c>
      <c r="J18" s="368">
        <f>[3]Brewhouse!$AV173</f>
        <v>97.948822759155831</v>
      </c>
      <c r="K18" s="281">
        <f>[3]Brewhouse!$Q173</f>
        <v>13.785310734463277</v>
      </c>
      <c r="L18" s="276">
        <f>[3]Brewhouse!$P173</f>
        <v>60</v>
      </c>
      <c r="M18" s="397">
        <f>[3]Brewhouse!$U173-[3]Brewhouse!$T173</f>
        <v>0.1131944444444446</v>
      </c>
      <c r="N18" s="370">
        <f>[3]Brewhouse!$Z173</f>
        <v>0.26597222222222228</v>
      </c>
      <c r="O18" s="420" t="str">
        <f>[3]Brewhouse!$AX173</f>
        <v>R. Regis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7" ht="16.5" customHeight="1">
      <c r="B19" s="29" t="s">
        <v>6</v>
      </c>
      <c r="C19" s="366" t="str">
        <f>[3]Brewhouse!$A174</f>
        <v>CA132</v>
      </c>
      <c r="D19" s="279">
        <f>[3]Brewhouse!$AF174</f>
        <v>50.1</v>
      </c>
      <c r="E19" s="279">
        <f>[3]Brewhouse!$AI174</f>
        <v>50.9</v>
      </c>
      <c r="F19" s="278">
        <f>[3]Brewhouse!$V174</f>
        <v>81</v>
      </c>
      <c r="G19" s="279">
        <f>[3]Brewhouse!AG174</f>
        <v>11.6</v>
      </c>
      <c r="H19" s="396"/>
      <c r="I19" s="368">
        <f>[3]Brewhouse!$AU174</f>
        <v>96.273917789076862</v>
      </c>
      <c r="J19" s="368">
        <f>[3]Brewhouse!$AV174</f>
        <v>97.709180399224294</v>
      </c>
      <c r="K19" s="281">
        <f>[3]Brewhouse!$Q174</f>
        <v>14.915254237288138</v>
      </c>
      <c r="L19" s="276">
        <f>[3]Brewhouse!$P174</f>
        <v>60</v>
      </c>
      <c r="M19" s="397">
        <f>[3]Brewhouse!$U174-[3]Brewhouse!$T174</f>
        <v>0.12152777777777768</v>
      </c>
      <c r="N19" s="370">
        <f>[3]Brewhouse!$Z174</f>
        <v>0.2729166666666667</v>
      </c>
      <c r="O19" s="420" t="str">
        <f>[3]Brewhouse!$AX174</f>
        <v>R.Sookram</v>
      </c>
      <c r="P19" s="418"/>
      <c r="R19" s="277" t="str">
        <f t="shared" si="9"/>
        <v>CARIB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1:27" ht="16.5" customHeight="1">
      <c r="B20" s="29" t="s">
        <v>6</v>
      </c>
      <c r="C20" s="366" t="str">
        <f>[3]Brewhouse!$A175</f>
        <v>CA133</v>
      </c>
      <c r="D20" s="279">
        <f>[3]Brewhouse!$AF175</f>
        <v>49.6</v>
      </c>
      <c r="E20" s="279">
        <f>[3]Brewhouse!$AI175</f>
        <v>50</v>
      </c>
      <c r="F20" s="278">
        <f>[3]Brewhouse!$V175</f>
        <v>71</v>
      </c>
      <c r="G20" s="279">
        <f>[3]Brewhouse!AG175</f>
        <v>11.8</v>
      </c>
      <c r="H20" s="396"/>
      <c r="I20" s="368">
        <f>[3]Brewhouse!$AU175</f>
        <v>96.763833489372473</v>
      </c>
      <c r="J20" s="368">
        <f>[3]Brewhouse!$AV175</f>
        <v>98.205937641133232</v>
      </c>
      <c r="K20" s="281">
        <f>[3]Brewhouse!$Q175</f>
        <v>16.986817325800381</v>
      </c>
      <c r="L20" s="276">
        <f>[3]Brewhouse!$P175</f>
        <v>57</v>
      </c>
      <c r="M20" s="397">
        <f>[3]Brewhouse!$U175-[3]Brewhouse!$T175</f>
        <v>0.12569444444444455</v>
      </c>
      <c r="N20" s="370">
        <f>[3]Brewhouse!$Z175</f>
        <v>0.29513888888888895</v>
      </c>
      <c r="O20" s="420" t="str">
        <f>[3]Brewhouse!$AX175</f>
        <v>R.Sookram</v>
      </c>
      <c r="P20" s="418"/>
      <c r="R20" s="277" t="str">
        <f t="shared" si="9"/>
        <v>CARIB</v>
      </c>
      <c r="S20" s="472">
        <f t="shared" si="1"/>
        <v>11.6</v>
      </c>
      <c r="T20" s="472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2">
        <f t="shared" si="8"/>
        <v>60</v>
      </c>
    </row>
    <row r="21" spans="1:27" ht="16.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6.5" customHeight="1">
      <c r="B22" s="37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8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6.5" customHeight="1">
      <c r="B24" s="22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11"/>
      <c r="J25" s="511"/>
      <c r="K25" s="511"/>
      <c r="L25" s="511"/>
      <c r="M25" s="511"/>
      <c r="N25" s="511"/>
      <c r="O25" s="1"/>
      <c r="P25" s="12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5.75" customHeight="1" thickBot="1">
      <c r="B26" s="388" t="s">
        <v>162</v>
      </c>
      <c r="C26" s="388"/>
      <c r="D26" s="512" t="s">
        <v>35</v>
      </c>
      <c r="E26" s="513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0"/>
        <v xml:space="preserve">BRAND 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5" customHeight="1">
      <c r="A27" s="28"/>
      <c r="B27" s="514" t="str">
        <f>J42</f>
        <v>STAG</v>
      </c>
      <c r="C27" s="362" cm="1">
        <f t="array" ref="C27:C34">[4]Process!$D$83:$D$90</f>
        <v>11.8</v>
      </c>
      <c r="D27" s="517">
        <v>11.98</v>
      </c>
      <c r="E27" s="518"/>
      <c r="F27" s="294"/>
      <c r="G27" s="294"/>
      <c r="H27" s="348"/>
      <c r="I27" s="29" t="s">
        <v>6</v>
      </c>
      <c r="J27" s="323">
        <f>AVERAGE(I18:I20)</f>
        <v>96.516311752221895</v>
      </c>
      <c r="K27" s="284">
        <f>COUNTA([3]Brewhouse!$A$125:$A$175)</f>
        <v>51</v>
      </c>
      <c r="L27" s="305">
        <f>AVERAGE([3]Brewhouse!$AU$125:$AU$175)</f>
        <v>97.188588226136261</v>
      </c>
      <c r="M27" s="305">
        <f>AVERAGE([3]Brewhouse!$AU$42:$AU$123,[3]Brewhouse!$AU$125:$AU$175)</f>
        <v>97.65617874677136</v>
      </c>
      <c r="N27" s="30">
        <v>98</v>
      </c>
      <c r="O27" s="11"/>
      <c r="P27" s="31"/>
      <c r="R27" s="277" t="str">
        <f t="shared" si="0"/>
        <v>STAG</v>
      </c>
      <c r="S27" s="472">
        <f t="shared" si="1"/>
        <v>11.6</v>
      </c>
      <c r="T27" s="472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472">
        <f t="shared" si="8"/>
        <v>60</v>
      </c>
    </row>
    <row r="28" spans="1:27" ht="15" customHeight="1">
      <c r="A28" s="28"/>
      <c r="B28" s="515"/>
      <c r="C28" s="362">
        <v>12</v>
      </c>
      <c r="D28" s="519"/>
      <c r="E28" s="520"/>
      <c r="F28" s="294"/>
      <c r="G28" s="294"/>
      <c r="H28" s="348"/>
      <c r="I28" s="33" t="s">
        <v>9</v>
      </c>
      <c r="J28" s="280">
        <f>I16</f>
        <v>95.822053579237433</v>
      </c>
      <c r="K28" s="284">
        <f>COUNTA([4]Brewhouse!$A$83:$A$123)</f>
        <v>41</v>
      </c>
      <c r="L28" s="302">
        <f>AVERAGE([4]Brewhouse!$AS$83:$AS$123)</f>
        <v>97.950272850657583</v>
      </c>
      <c r="M28" s="302">
        <f>AVERAGE([4]Brewhouse!$AS$52:$AS$81,[4]Brewhouse!$AS$83:$AS$123)</f>
        <v>98.404471398977037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15"/>
      <c r="C29" s="362">
        <v>11.8</v>
      </c>
      <c r="D29" s="521">
        <v>2.06</v>
      </c>
      <c r="E29" s="522"/>
      <c r="F29" s="294"/>
      <c r="G29" s="294"/>
      <c r="H29" s="348"/>
      <c r="I29" s="34" t="s">
        <v>12</v>
      </c>
      <c r="J29" s="280"/>
      <c r="K29" s="284">
        <f>COUNTA([6]Brewhouse!$A$25:$A$27)</f>
        <v>3</v>
      </c>
      <c r="L29" s="302">
        <f>AVERAGE([6]Brewhouse!$AU$25:$AU$27)</f>
        <v>98.383718888256155</v>
      </c>
      <c r="M29" s="302">
        <f>AVERAGE([6]Brewhouse!$AU$16:$AU$23,[6]Brewhouse!$AU$25:$AU$27)</f>
        <v>97.933890431198279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15"/>
      <c r="C30" s="362">
        <v>11.9</v>
      </c>
      <c r="D30" s="523"/>
      <c r="E30" s="520"/>
      <c r="F30" s="294"/>
      <c r="G30" s="294"/>
      <c r="H30" s="348"/>
      <c r="I30" s="22" t="s">
        <v>33</v>
      </c>
      <c r="J30" s="280"/>
      <c r="K30" s="284"/>
      <c r="L30" s="302"/>
      <c r="M30" s="302">
        <f>AVERAGE([5]Brewhouse!$AV$23:$AV$34)</f>
        <v>98.31387229810305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65" customHeight="1">
      <c r="A31" s="28"/>
      <c r="B31" s="515"/>
      <c r="C31" s="362">
        <v>11.8</v>
      </c>
      <c r="D31" s="521">
        <v>11.94</v>
      </c>
      <c r="E31" s="522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7" ht="14.65" customHeight="1">
      <c r="A32" s="28"/>
      <c r="B32" s="515"/>
      <c r="C32" s="362">
        <v>11.8</v>
      </c>
      <c r="D32" s="523"/>
      <c r="E32" s="520"/>
      <c r="F32" s="417"/>
      <c r="G32" s="294"/>
      <c r="H32" s="348"/>
      <c r="I32" s="36" t="s">
        <v>15</v>
      </c>
      <c r="J32" s="323"/>
      <c r="K32" s="284"/>
      <c r="L32" s="302"/>
      <c r="M32" s="302">
        <f>AVERAGE([7]Brewhouse!$AT$4:$AT$11)</f>
        <v>92.826224508052405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4.65" customHeight="1">
      <c r="A33" s="28"/>
      <c r="B33" s="515"/>
      <c r="C33" s="362">
        <v>11.9</v>
      </c>
      <c r="D33" s="521">
        <v>11.77</v>
      </c>
      <c r="E33" s="522"/>
      <c r="F33" s="417"/>
      <c r="G33" s="294"/>
      <c r="H33" s="348"/>
      <c r="I33" s="37" t="s">
        <v>16</v>
      </c>
      <c r="J33" s="323">
        <f>AVERAGE(I10:I13)</f>
        <v>98.183058441486281</v>
      </c>
      <c r="K33" s="284">
        <f>COUNTA([8]Brewhouse!$A$16:$A$23)</f>
        <v>8</v>
      </c>
      <c r="L33" s="302">
        <f>AVERAGE([8]Brewhouse!$AY$16:$AY$23)</f>
        <v>97.998346333082011</v>
      </c>
      <c r="M33" s="302">
        <f>AVERAGE([8]Brewhouse!$AY$5:$AY$7,[8]Brewhouse!$AY$16:$AY$23)</f>
        <v>98.033879129194077</v>
      </c>
      <c r="N33" s="30">
        <v>98</v>
      </c>
      <c r="O33" s="11"/>
      <c r="P33" s="31" t="s">
        <v>41</v>
      </c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4.65" customHeight="1">
      <c r="A34" s="28"/>
      <c r="B34" s="515"/>
      <c r="C34" s="362">
        <v>12.2</v>
      </c>
      <c r="D34" s="523"/>
      <c r="E34" s="520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4.65" customHeight="1">
      <c r="A35" s="28"/>
      <c r="B35" s="515"/>
      <c r="C35" s="349"/>
      <c r="D35" s="521"/>
      <c r="E35" s="522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15"/>
      <c r="C36" s="349"/>
      <c r="D36" s="523"/>
      <c r="E36" s="520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15"/>
      <c r="C37" s="349"/>
      <c r="D37" s="517"/>
      <c r="E37" s="518"/>
      <c r="F37" s="294"/>
      <c r="G37" s="294"/>
      <c r="H37" s="348"/>
      <c r="I37" s="1"/>
      <c r="J37" s="39"/>
      <c r="K37" s="404">
        <f>SUM(K27:K36)</f>
        <v>103</v>
      </c>
      <c r="L37" s="405">
        <f>((L27*K27)+(L28*K28)+(L29*K29)+(L30*K30)+(L31*K31)+(K34*L34)+(L32*K32)+(L33*K33)+(L36*K36))/(K37)</f>
        <v>97.589486541158593</v>
      </c>
      <c r="M37" s="405">
        <f>AVERAGE('[9]Jan30th-31st'!$L$42,L37)</f>
        <v>97.70876413850003</v>
      </c>
      <c r="N37" s="4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16"/>
      <c r="C38" s="350"/>
      <c r="D38" s="519"/>
      <c r="E38" s="520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514"/>
      <c r="C39" s="362"/>
      <c r="D39" s="525"/>
      <c r="E39" s="526"/>
      <c r="F39" s="294"/>
      <c r="G39" s="42"/>
      <c r="H39" s="41"/>
      <c r="I39" s="42"/>
      <c r="J39" s="527" t="s">
        <v>129</v>
      </c>
      <c r="K39" s="527"/>
      <c r="L39" s="294"/>
      <c r="M39" s="294"/>
      <c r="N39" s="294"/>
      <c r="O39" s="294"/>
      <c r="P39" s="12"/>
    </row>
    <row r="40" spans="1:56" ht="15.75" thickBot="1">
      <c r="B40" s="515"/>
      <c r="C40" s="362"/>
      <c r="D40" s="523"/>
      <c r="E40" s="520"/>
      <c r="F40" s="294"/>
      <c r="G40" s="42"/>
      <c r="H40" s="41"/>
      <c r="I40" s="41"/>
      <c r="J40" s="292" t="s">
        <v>17</v>
      </c>
      <c r="K40" s="293" t="s">
        <v>194</v>
      </c>
      <c r="L40" s="528" t="s">
        <v>136</v>
      </c>
      <c r="M40" s="528"/>
      <c r="N40" s="529"/>
      <c r="O40" s="294"/>
      <c r="P40" s="12"/>
    </row>
    <row r="41" spans="1:56" ht="15" customHeight="1" thickBot="1">
      <c r="B41" s="515"/>
      <c r="C41" s="349"/>
      <c r="D41" s="521"/>
      <c r="E41" s="522"/>
      <c r="F41" s="294"/>
      <c r="G41" s="42"/>
      <c r="H41" s="41"/>
      <c r="I41" s="41"/>
      <c r="J41" s="287" t="s">
        <v>6</v>
      </c>
      <c r="K41" s="324">
        <v>3</v>
      </c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515"/>
      <c r="C42" s="349"/>
      <c r="D42" s="523"/>
      <c r="E42" s="520"/>
      <c r="F42" s="294"/>
      <c r="G42" s="42"/>
      <c r="H42" s="41"/>
      <c r="I42" s="41"/>
      <c r="J42" s="345" t="s">
        <v>9</v>
      </c>
      <c r="K42" s="324">
        <v>1</v>
      </c>
      <c r="L42" s="344">
        <f>AVERAGE(K51,'Feb 2nd'!K49,'Feb 3rd'!K54,'Feb 4th'!K53,'Feb 4th'!K53,'Feb 5th'!K49,'Feb 6th'!K49,'Feb 9th'!K52,'Feb 10th'!K54,'Feb 11th'!K48,'Feb 12th'!K49,'Feb 13th'!K46,'Feb 16th'!K54,'Feb 17th'!K50,'Feb 18th '!K48,'Feb 19th'!K50,'Feb 20th'!J50,'Feb 20th'!K50,'Feb 23rd'!K46)</f>
        <v>6.1052631578947372</v>
      </c>
      <c r="M42" s="325">
        <f>AVERAGE('[9]Jan30th-31st'!$L$47,L42)</f>
        <v>6.0961098398169344</v>
      </c>
      <c r="N42" s="416">
        <v>9.1999999999999993</v>
      </c>
      <c r="O42" s="294"/>
      <c r="P42" s="12"/>
    </row>
    <row r="43" spans="1:56" ht="15" customHeight="1">
      <c r="B43" s="515"/>
      <c r="C43" s="349"/>
      <c r="D43" s="521"/>
      <c r="E43" s="522"/>
      <c r="F43" s="294"/>
      <c r="G43" s="42"/>
      <c r="H43" s="41"/>
      <c r="I43" s="41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15"/>
      <c r="C44" s="349"/>
      <c r="D44" s="523"/>
      <c r="E44" s="520"/>
      <c r="F44" s="294"/>
      <c r="G44" s="42"/>
      <c r="H44" s="41"/>
      <c r="I44" s="41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15"/>
      <c r="C45" s="349"/>
      <c r="D45" s="521"/>
      <c r="E45" s="522"/>
      <c r="F45" s="294"/>
      <c r="G45" s="42"/>
      <c r="H45" s="41"/>
      <c r="I45" s="41"/>
      <c r="J45" s="290" t="s">
        <v>16</v>
      </c>
      <c r="K45" s="324">
        <v>4</v>
      </c>
      <c r="L45" s="294"/>
      <c r="M45" s="294"/>
      <c r="N45" s="294"/>
      <c r="O45" s="294"/>
      <c r="P45" s="12"/>
      <c r="BC45" s="44"/>
      <c r="BD45" s="44"/>
    </row>
    <row r="46" spans="1:56" ht="15">
      <c r="B46" s="515"/>
      <c r="C46" s="349"/>
      <c r="D46" s="523"/>
      <c r="E46" s="520"/>
      <c r="F46" s="294"/>
      <c r="G46" s="42"/>
      <c r="H46" s="41"/>
      <c r="I46" s="41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15"/>
      <c r="C47" s="349"/>
      <c r="D47" s="521"/>
      <c r="E47" s="522"/>
      <c r="F47" s="294"/>
      <c r="G47" s="42"/>
      <c r="H47" s="41"/>
      <c r="I47" s="41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24"/>
      <c r="C48" s="350"/>
      <c r="D48" s="530"/>
      <c r="E48" s="531"/>
      <c r="F48" s="294" t="s">
        <v>166</v>
      </c>
      <c r="G48" s="42"/>
      <c r="H48" s="41"/>
      <c r="I48" s="41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1:57" ht="17.649999999999999" customHeight="1" thickBot="1">
      <c r="B49" s="312" t="s">
        <v>139</v>
      </c>
      <c r="C49" s="313"/>
      <c r="D49" s="532"/>
      <c r="E49" s="533"/>
      <c r="F49" s="294"/>
      <c r="H49" s="41"/>
      <c r="I49" s="41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1:57" ht="17.649999999999999" customHeight="1">
      <c r="B50" s="363"/>
      <c r="C50" s="364"/>
      <c r="D50" s="365"/>
      <c r="E50" s="365"/>
      <c r="F50" s="294"/>
      <c r="G50" s="42"/>
      <c r="H50" s="41"/>
      <c r="I50" s="41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1:57" ht="15.6" customHeight="1">
      <c r="B51" s="45"/>
      <c r="C51" s="11"/>
      <c r="D51" s="11"/>
      <c r="E51" s="46"/>
      <c r="F51" s="294"/>
      <c r="G51" s="42"/>
      <c r="H51" s="41"/>
      <c r="I51" s="41"/>
      <c r="J51" s="346" t="s">
        <v>130</v>
      </c>
      <c r="K51" s="324">
        <f>SUM(K41:K50)</f>
        <v>8</v>
      </c>
      <c r="L51" s="294"/>
      <c r="M51" s="294"/>
      <c r="N51" s="294"/>
      <c r="O51" s="294"/>
      <c r="P51" s="12"/>
    </row>
    <row r="52" spans="1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1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1:57" ht="15" customHeight="1" thickBot="1">
      <c r="B54" s="534" t="s">
        <v>17</v>
      </c>
      <c r="C54" s="534" t="s">
        <v>44</v>
      </c>
      <c r="D54" s="537" t="s">
        <v>45</v>
      </c>
      <c r="E54" s="500" t="s">
        <v>46</v>
      </c>
      <c r="F54" s="509" t="s">
        <v>47</v>
      </c>
      <c r="G54" s="546" t="s">
        <v>48</v>
      </c>
      <c r="H54" s="534" t="s">
        <v>49</v>
      </c>
      <c r="I54" s="534" t="s">
        <v>50</v>
      </c>
      <c r="J54" s="540" t="s">
        <v>28</v>
      </c>
      <c r="K54" s="498" t="s">
        <v>51</v>
      </c>
      <c r="L54" s="549" t="s">
        <v>52</v>
      </c>
      <c r="M54" s="540" t="s">
        <v>53</v>
      </c>
      <c r="N54" s="13"/>
      <c r="O54" s="13"/>
      <c r="P54" s="50"/>
    </row>
    <row r="55" spans="1:57" ht="28.5" customHeight="1" thickTop="1" thickBot="1">
      <c r="B55" s="535"/>
      <c r="C55" s="536"/>
      <c r="D55" s="538"/>
      <c r="E55" s="539"/>
      <c r="F55" s="551"/>
      <c r="G55" s="547"/>
      <c r="H55" s="535"/>
      <c r="I55" s="535"/>
      <c r="J55" s="541"/>
      <c r="K55" s="548"/>
      <c r="L55" s="550"/>
      <c r="M55" s="541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1:57" s="54" customFormat="1" ht="36.75" customHeight="1" thickBot="1">
      <c r="B56" s="481" t="str">
        <f>J42</f>
        <v>STAG</v>
      </c>
      <c r="C56" s="479">
        <v>46077</v>
      </c>
      <c r="D56" s="442">
        <f>[29]February_2026!$AA$13</f>
        <v>393.6</v>
      </c>
      <c r="E56" s="443"/>
      <c r="F56" s="444"/>
      <c r="G56" s="445">
        <f>[29]February_2026!$AA$17</f>
        <v>374.1</v>
      </c>
      <c r="H56" s="458"/>
      <c r="I56" s="458"/>
      <c r="J56" s="448" t="s">
        <v>195</v>
      </c>
      <c r="K56" s="449">
        <f>[30]February_2026!$AA$25</f>
        <v>0.6563157894736843</v>
      </c>
      <c r="L56" s="457">
        <f>(((D56+E56)-G56)/(D56+E56))*100</f>
        <v>4.9542682926829267</v>
      </c>
      <c r="M56" s="455" t="s">
        <v>181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[10]January_2019!L5</f>
        <v>0</v>
      </c>
      <c r="AC56" s="57">
        <f>[10]January_2019!M5</f>
        <v>0</v>
      </c>
      <c r="AD56" s="57">
        <f>[10]January_2019!N5</f>
        <v>0</v>
      </c>
      <c r="AE56" s="57">
        <f>[10]January_2019!O5</f>
        <v>0</v>
      </c>
      <c r="AF56" s="57">
        <f>[10]January_2019!P5</f>
        <v>0</v>
      </c>
      <c r="AG56" s="57">
        <f>[10]January_2019!Q5</f>
        <v>0</v>
      </c>
      <c r="AH56" s="57">
        <f>[10]January_2019!R5</f>
        <v>0</v>
      </c>
      <c r="AI56" s="57">
        <f>[10]January_2019!S5</f>
        <v>0</v>
      </c>
      <c r="AJ56" s="57">
        <f>[10]January_2019!T5</f>
        <v>0</v>
      </c>
      <c r="AK56" s="57">
        <f>[10]January_2019!U5</f>
        <v>0</v>
      </c>
      <c r="AL56" s="57">
        <f>[10]January_2019!V5</f>
        <v>0</v>
      </c>
      <c r="AM56" s="57">
        <f>[10]January_2019!W5</f>
        <v>0</v>
      </c>
      <c r="AN56" s="57">
        <f>[10]January_2019!X5</f>
        <v>0</v>
      </c>
      <c r="AO56" s="57">
        <f>[10]January_2019!Y5</f>
        <v>0</v>
      </c>
      <c r="AP56" s="57">
        <f>[10]January_2019!Z5</f>
        <v>0</v>
      </c>
      <c r="AQ56" s="57">
        <f>[10]January_2019!AA5</f>
        <v>0</v>
      </c>
      <c r="AR56" s="57">
        <f>[10]January_2019!AB5</f>
        <v>0</v>
      </c>
      <c r="AS56" s="57">
        <f>[10]January_2019!AC5</f>
        <v>0</v>
      </c>
      <c r="AT56" s="57">
        <f>[10]January_2019!AD5</f>
        <v>0</v>
      </c>
      <c r="AU56" s="57">
        <f>[10]January_2019!AE5</f>
        <v>0</v>
      </c>
      <c r="AV56" s="57">
        <f>[10]January_2019!AF5</f>
        <v>0</v>
      </c>
      <c r="AW56" s="57">
        <f>[10]January_2019!AG5</f>
        <v>0</v>
      </c>
      <c r="AX56" s="277">
        <f>[10]January_2019!AH5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14.25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[10]January_2019!L6</f>
        <v>0</v>
      </c>
      <c r="AC57" s="57">
        <f>[10]January_2019!M6</f>
        <v>0</v>
      </c>
      <c r="AD57" s="57">
        <f>[10]January_2019!N6</f>
        <v>0</v>
      </c>
      <c r="AE57" s="57">
        <f>[10]January_2019!O6</f>
        <v>0</v>
      </c>
      <c r="AF57" s="57">
        <f>[10]January_2019!P6</f>
        <v>0</v>
      </c>
      <c r="AG57" s="57">
        <f>[10]January_2019!Q6</f>
        <v>0</v>
      </c>
      <c r="AH57" s="57">
        <f>[10]January_2019!R6</f>
        <v>0</v>
      </c>
      <c r="AI57" s="57">
        <f>[10]January_2019!S6</f>
        <v>0</v>
      </c>
      <c r="AJ57" s="57">
        <f>[10]January_2019!T6</f>
        <v>0</v>
      </c>
      <c r="AK57" s="57">
        <f>[10]January_2019!U6</f>
        <v>0</v>
      </c>
      <c r="AL57" s="57">
        <f>[10]January_2019!V6</f>
        <v>0</v>
      </c>
      <c r="AM57" s="57">
        <f>[10]January_2019!W6</f>
        <v>0</v>
      </c>
      <c r="AN57" s="57">
        <f>[10]January_2019!X6</f>
        <v>0</v>
      </c>
      <c r="AO57" s="57">
        <f>[10]January_2019!Y6</f>
        <v>0</v>
      </c>
      <c r="AP57" s="57">
        <f>[10]January_2019!Z6</f>
        <v>0</v>
      </c>
      <c r="AQ57" s="57">
        <f>[10]January_2019!AA6</f>
        <v>0</v>
      </c>
      <c r="AR57" s="57">
        <f>[10]January_2019!AB6</f>
        <v>0</v>
      </c>
      <c r="AS57" s="57">
        <f>[10]January_2019!AC6</f>
        <v>0</v>
      </c>
      <c r="AT57" s="57">
        <f>[10]January_2019!AD6</f>
        <v>0</v>
      </c>
      <c r="AU57" s="57">
        <f>[10]January_2019!AE6</f>
        <v>0</v>
      </c>
      <c r="AV57" s="57">
        <f>[10]January_2019!AF6</f>
        <v>0</v>
      </c>
      <c r="AW57" s="57">
        <f>[10]January_2019!AG6</f>
        <v>0</v>
      </c>
      <c r="AX57" s="277">
        <f>[10]January_2019!AH6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37.15" hidden="1" customHeight="1" thickBot="1">
      <c r="A58" s="54" t="s">
        <v>170</v>
      </c>
      <c r="B58" s="480"/>
      <c r="C58" s="479"/>
      <c r="D58" s="442"/>
      <c r="E58" s="443"/>
      <c r="F58" s="444"/>
      <c r="G58" s="445"/>
      <c r="H58" s="458"/>
      <c r="I58" s="458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[10]January_2019!L7</f>
        <v>285.8</v>
      </c>
      <c r="AC58" s="57">
        <f>[10]January_2019!M7</f>
        <v>508.1</v>
      </c>
      <c r="AD58" s="57">
        <f>[10]January_2019!N7</f>
        <v>0</v>
      </c>
      <c r="AE58" s="57">
        <f>[10]January_2019!O7</f>
        <v>0</v>
      </c>
      <c r="AF58" s="57">
        <f>[10]January_2019!P7</f>
        <v>109.56666666666666</v>
      </c>
      <c r="AG58" s="57">
        <f>[10]January_2019!Q7</f>
        <v>297.64999999999998</v>
      </c>
      <c r="AH58" s="57">
        <f>[10]January_2019!R7</f>
        <v>122.3</v>
      </c>
      <c r="AI58" s="57">
        <f>[10]January_2019!S7</f>
        <v>0</v>
      </c>
      <c r="AJ58" s="57">
        <f>[10]January_2019!T7</f>
        <v>294.7</v>
      </c>
      <c r="AK58" s="57">
        <f>[10]January_2019!U7</f>
        <v>280.5</v>
      </c>
      <c r="AL58" s="57">
        <f>[10]January_2019!V7</f>
        <v>0</v>
      </c>
      <c r="AM58" s="57">
        <f>[10]January_2019!W7</f>
        <v>0</v>
      </c>
      <c r="AN58" s="57">
        <f>[10]January_2019!X7</f>
        <v>188.25</v>
      </c>
      <c r="AO58" s="57">
        <f>[10]January_2019!Y7</f>
        <v>295.7</v>
      </c>
      <c r="AP58" s="57">
        <f>[10]January_2019!Z7</f>
        <v>257.8</v>
      </c>
      <c r="AQ58" s="57">
        <f>[10]January_2019!AA7</f>
        <v>291.2</v>
      </c>
      <c r="AR58" s="57">
        <f>[10]January_2019!AB7</f>
        <v>187</v>
      </c>
      <c r="AS58" s="57">
        <f>[10]January_2019!AC7</f>
        <v>0</v>
      </c>
      <c r="AT58" s="57">
        <f>[10]January_2019!AD7</f>
        <v>0</v>
      </c>
      <c r="AU58" s="57">
        <f>[10]January_2019!AE7</f>
        <v>485.1</v>
      </c>
      <c r="AV58" s="57">
        <f>[10]January_2019!AF7</f>
        <v>171.55</v>
      </c>
      <c r="AW58" s="57">
        <f>[10]January_2019!AG7</f>
        <v>423.8</v>
      </c>
      <c r="AX58" s="277">
        <f>[10]January_2019!AH7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19.5" hidden="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8.450000000000003" hidden="1" customHeight="1" thickBot="1">
      <c r="B60" s="480"/>
      <c r="C60" s="479"/>
      <c r="D60" s="442"/>
      <c r="E60" s="443"/>
      <c r="F60" s="444"/>
      <c r="G60" s="445"/>
      <c r="H60" s="458"/>
      <c r="I60" s="458"/>
      <c r="J60" s="448" t="s">
        <v>182</v>
      </c>
      <c r="K60" s="459"/>
      <c r="L60" s="457" t="e">
        <f>(((D60+E60)-G60)/(D60+E60))*100</f>
        <v>#DIV/0!</v>
      </c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hidden="1" customHeight="1" thickBot="1">
      <c r="B62" s="480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1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42" t="s">
        <v>55</v>
      </c>
      <c r="C67" s="543"/>
      <c r="D67" s="543"/>
      <c r="E67" s="543"/>
      <c r="F67" s="544"/>
      <c r="G67" s="542" t="s">
        <v>56</v>
      </c>
      <c r="H67" s="543"/>
      <c r="I67" s="543"/>
      <c r="J67" s="544"/>
      <c r="K67" s="542" t="s">
        <v>51</v>
      </c>
      <c r="L67" s="543"/>
      <c r="M67" s="543"/>
      <c r="N67" s="545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/>
      <c r="D69" s="76">
        <v>6.35</v>
      </c>
      <c r="E69" s="76">
        <v>7.4486517346220982</v>
      </c>
      <c r="F69" s="66">
        <v>4.8</v>
      </c>
      <c r="G69" s="65"/>
      <c r="H69" s="477">
        <v>6.98</v>
      </c>
      <c r="I69" s="477">
        <v>7.78</v>
      </c>
      <c r="J69" s="66">
        <v>4.8</v>
      </c>
      <c r="K69" s="67"/>
      <c r="L69" s="194">
        <v>0.39300000000000002</v>
      </c>
      <c r="M69" s="194">
        <v>0.40100000000000002</v>
      </c>
      <c r="N69" s="68">
        <v>1</v>
      </c>
      <c r="O69" s="56"/>
      <c r="P69" s="69"/>
    </row>
    <row r="70" spans="2:57" ht="15">
      <c r="B70" s="33" t="s">
        <v>9</v>
      </c>
      <c r="C70" s="65">
        <f>L56</f>
        <v>4.9542682926829267</v>
      </c>
      <c r="D70" s="76">
        <v>6.59</v>
      </c>
      <c r="E70" s="76">
        <v>6.2924710015741816</v>
      </c>
      <c r="F70" s="66">
        <v>4.8</v>
      </c>
      <c r="G70" s="65">
        <f>[29]February_2026!$AA$21</f>
        <v>4.3435326672543786</v>
      </c>
      <c r="H70" s="76">
        <v>5.91</v>
      </c>
      <c r="I70" s="76">
        <v>6.32</v>
      </c>
      <c r="J70" s="66">
        <v>4.8</v>
      </c>
      <c r="K70" s="67">
        <f>K56</f>
        <v>0.6563157894736843</v>
      </c>
      <c r="L70" s="194">
        <v>0.45600000000000002</v>
      </c>
      <c r="M70" s="194">
        <v>0.53300000000000003</v>
      </c>
      <c r="N70" s="68">
        <v>1</v>
      </c>
      <c r="P70" s="69"/>
    </row>
    <row r="71" spans="2:57" ht="15">
      <c r="B71" s="34" t="s">
        <v>40</v>
      </c>
      <c r="C71" s="65"/>
      <c r="D71" s="76">
        <v>12.83</v>
      </c>
      <c r="E71" s="76">
        <v>12.083525257177943</v>
      </c>
      <c r="F71" s="66">
        <v>5.5</v>
      </c>
      <c r="G71" s="65"/>
      <c r="H71" s="76">
        <v>12.8</v>
      </c>
      <c r="I71" s="76">
        <v>12.33</v>
      </c>
      <c r="J71" s="66">
        <v>5.5</v>
      </c>
      <c r="K71" s="67"/>
      <c r="L71" s="194">
        <v>0.16500000000000001</v>
      </c>
      <c r="M71" s="194">
        <v>0.33900000000000002</v>
      </c>
      <c r="N71" s="68">
        <v>1</v>
      </c>
      <c r="P71" s="69"/>
    </row>
    <row r="72" spans="2:57" ht="15">
      <c r="B72" s="22" t="s">
        <v>33</v>
      </c>
      <c r="C72" s="65"/>
      <c r="D72" s="76"/>
      <c r="E72" s="76">
        <v>5.0755456997699637</v>
      </c>
      <c r="F72" s="66">
        <v>3.3</v>
      </c>
      <c r="G72" s="65"/>
      <c r="H72" s="76"/>
      <c r="I72" s="76">
        <v>4.6399999999999997</v>
      </c>
      <c r="J72" s="66">
        <v>3.3</v>
      </c>
      <c r="K72" s="67"/>
      <c r="L72" s="194"/>
      <c r="M72" s="194">
        <v>0.66800000000000004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/>
      <c r="E74" s="76">
        <v>5.1105651105651271</v>
      </c>
      <c r="F74" s="70">
        <f>[11]May_2022!$M$43</f>
        <v>3.4878406700073312</v>
      </c>
      <c r="G74" s="282"/>
      <c r="H74" s="76"/>
      <c r="I74" s="76">
        <v>7.91</v>
      </c>
      <c r="J74" s="66">
        <v>5.5</v>
      </c>
      <c r="K74" s="67"/>
      <c r="L74" s="194"/>
      <c r="M74" s="194">
        <v>1.355</v>
      </c>
      <c r="N74" s="68">
        <v>1</v>
      </c>
      <c r="P74" s="69"/>
    </row>
    <row r="75" spans="2:57" ht="15">
      <c r="B75" s="37" t="s">
        <v>16</v>
      </c>
      <c r="C75" s="65"/>
      <c r="D75" s="76"/>
      <c r="E75" s="76">
        <v>2.0590520590520631</v>
      </c>
      <c r="F75" s="66">
        <v>3.3</v>
      </c>
      <c r="G75" s="282"/>
      <c r="H75" s="76"/>
      <c r="I75" s="76">
        <v>2.1800000000000002</v>
      </c>
      <c r="J75" s="66">
        <v>3.3</v>
      </c>
      <c r="K75" s="67"/>
      <c r="L75" s="194"/>
      <c r="M75" s="194">
        <v>0.88500000000000001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6.94</v>
      </c>
      <c r="E78" s="76">
        <v>6.943917041369299</v>
      </c>
      <c r="F78" s="341">
        <v>5.5</v>
      </c>
      <c r="H78" s="76">
        <v>7.39</v>
      </c>
      <c r="I78" s="76">
        <v>7.22</v>
      </c>
      <c r="J78" s="341">
        <v>5.5</v>
      </c>
      <c r="L78" s="194">
        <v>0.38200000000000001</v>
      </c>
      <c r="M78" s="194">
        <v>0.48099999999999998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643" priority="105" operator="notBetween">
      <formula>#REF!</formula>
      <formula>#REF!</formula>
    </cfRule>
  </conditionalFormatting>
  <conditionalFormatting sqref="C53">
    <cfRule type="cellIs" dxfId="642" priority="214" stopIfTrue="1" operator="greaterThan">
      <formula>100</formula>
    </cfRule>
    <cfRule type="cellIs" dxfId="641" priority="213" stopIfTrue="1" operator="lessThan">
      <formula>96</formula>
    </cfRule>
  </conditionalFormatting>
  <conditionalFormatting sqref="C69:C73">
    <cfRule type="cellIs" dxfId="640" priority="173" stopIfTrue="1" operator="lessThanOrEqual">
      <formula>0</formula>
    </cfRule>
  </conditionalFormatting>
  <conditionalFormatting sqref="C69:C77">
    <cfRule type="cellIs" dxfId="639" priority="172" stopIfTrue="1" operator="greaterThan">
      <formula>$F69</formula>
    </cfRule>
  </conditionalFormatting>
  <conditionalFormatting sqref="C70">
    <cfRule type="cellIs" dxfId="638" priority="217" stopIfTrue="1" operator="greaterThan">
      <formula>$F69</formula>
    </cfRule>
  </conditionalFormatting>
  <conditionalFormatting sqref="C74">
    <cfRule type="cellIs" dxfId="637" priority="129" stopIfTrue="1" operator="lessThanOrEqual">
      <formula>0</formula>
    </cfRule>
    <cfRule type="cellIs" dxfId="636" priority="130" stopIfTrue="1" operator="greaterThan">
      <formula>$F73</formula>
    </cfRule>
  </conditionalFormatting>
  <conditionalFormatting sqref="C75:C77">
    <cfRule type="cellIs" dxfId="635" priority="181" stopIfTrue="1" operator="lessThanOrEqual">
      <formula>0</formula>
    </cfRule>
  </conditionalFormatting>
  <conditionalFormatting sqref="C80:C84">
    <cfRule type="cellIs" dxfId="634" priority="205" stopIfTrue="1" operator="lessThanOrEqual">
      <formula>0</formula>
    </cfRule>
  </conditionalFormatting>
  <conditionalFormatting sqref="C81:C84">
    <cfRule type="cellIs" dxfId="633" priority="204" stopIfTrue="1" operator="greaterThan">
      <formula>$F$80</formula>
    </cfRule>
  </conditionalFormatting>
  <conditionalFormatting sqref="C86">
    <cfRule type="cellIs" dxfId="632" priority="207" stopIfTrue="1" operator="lessThanOrEqual">
      <formula>0</formula>
    </cfRule>
    <cfRule type="cellIs" dxfId="631" priority="206" stopIfTrue="1" operator="greaterThan">
      <formula>$F$80</formula>
    </cfRule>
  </conditionalFormatting>
  <conditionalFormatting sqref="C80:D80 D82:D88">
    <cfRule type="cellIs" dxfId="630" priority="199" stopIfTrue="1" operator="greaterThan">
      <formula>4.5</formula>
    </cfRule>
  </conditionalFormatting>
  <conditionalFormatting sqref="D49:D50">
    <cfRule type="cellIs" dxfId="629" priority="106" operator="notBetween">
      <formula>#REF!</formula>
      <formula>#REF!</formula>
    </cfRule>
  </conditionalFormatting>
  <conditionalFormatting sqref="D69:D76">
    <cfRule type="cellIs" dxfId="628" priority="54" stopIfTrue="1" operator="lessThanOrEqual">
      <formula>0</formula>
    </cfRule>
  </conditionalFormatting>
  <conditionalFormatting sqref="D69:D78">
    <cfRule type="cellIs" dxfId="627" priority="28" stopIfTrue="1" operator="lessThanOrEqual">
      <formula>0</formula>
    </cfRule>
  </conditionalFormatting>
  <conditionalFormatting sqref="D77">
    <cfRule type="cellIs" dxfId="626" priority="53" stopIfTrue="1" operator="lessThanOrEqual">
      <formula>0</formula>
    </cfRule>
  </conditionalFormatting>
  <conditionalFormatting sqref="D78">
    <cfRule type="cellIs" dxfId="625" priority="48" stopIfTrue="1" operator="lessThanOrEqual">
      <formula>0</formula>
    </cfRule>
  </conditionalFormatting>
  <conditionalFormatting sqref="D80 D82:D88">
    <cfRule type="cellIs" dxfId="624" priority="200" stopIfTrue="1" operator="lessThanOrEqual">
      <formula>0</formula>
    </cfRule>
  </conditionalFormatting>
  <conditionalFormatting sqref="D81">
    <cfRule type="cellIs" dxfId="623" priority="192" stopIfTrue="1" operator="lessThanOrEqual">
      <formula>0</formula>
    </cfRule>
    <cfRule type="cellIs" dxfId="622" priority="191" stopIfTrue="1" operator="greaterThan">
      <formula>$F$80</formula>
    </cfRule>
  </conditionalFormatting>
  <conditionalFormatting sqref="D69:E78">
    <cfRule type="cellIs" dxfId="621" priority="31" stopIfTrue="1" operator="greaterThan">
      <formula>$F69</formula>
    </cfRule>
  </conditionalFormatting>
  <conditionalFormatting sqref="D78:E78">
    <cfRule type="cellIs" dxfId="620" priority="33" stopIfTrue="1" operator="lessThanOrEqual">
      <formula>0</formula>
    </cfRule>
  </conditionalFormatting>
  <conditionalFormatting sqref="E10:E24">
    <cfRule type="cellIs" dxfId="619" priority="6" operator="lessThan">
      <formula>48</formula>
    </cfRule>
  </conditionalFormatting>
  <conditionalFormatting sqref="E52 E53:F53">
    <cfRule type="cellIs" dxfId="618" priority="196" stopIfTrue="1" operator="greaterThan">
      <formula>100</formula>
    </cfRule>
  </conditionalFormatting>
  <conditionalFormatting sqref="E53">
    <cfRule type="cellIs" dxfId="617" priority="193" stopIfTrue="1" operator="lessThan">
      <formula>96.8</formula>
    </cfRule>
    <cfRule type="cellIs" dxfId="616" priority="194" stopIfTrue="1" operator="greaterThan">
      <formula>100</formula>
    </cfRule>
  </conditionalFormatting>
  <conditionalFormatting sqref="E69:E77">
    <cfRule type="cellIs" dxfId="615" priority="30" stopIfTrue="1" operator="lessThanOrEqual">
      <formula>0</formula>
    </cfRule>
  </conditionalFormatting>
  <conditionalFormatting sqref="E69:E78">
    <cfRule type="cellIs" dxfId="614" priority="32" stopIfTrue="1" operator="lessThanOrEqual">
      <formula>0</formula>
    </cfRule>
  </conditionalFormatting>
  <conditionalFormatting sqref="E80:E88">
    <cfRule type="cellIs" dxfId="613" priority="185" stopIfTrue="1" operator="greaterThan">
      <formula>4.5</formula>
    </cfRule>
    <cfRule type="cellIs" dxfId="612" priority="186" stopIfTrue="1" operator="lessThanOrEqual">
      <formula>0</formula>
    </cfRule>
  </conditionalFormatting>
  <conditionalFormatting sqref="E53:F53 E52">
    <cfRule type="cellIs" dxfId="611" priority="195" stopIfTrue="1" operator="lessThan">
      <formula>96.5</formula>
    </cfRule>
  </conditionalFormatting>
  <conditionalFormatting sqref="F18:F21">
    <cfRule type="cellIs" dxfId="610" priority="12" operator="greaterThan">
      <formula>60</formula>
    </cfRule>
  </conditionalFormatting>
  <conditionalFormatting sqref="F23:F24">
    <cfRule type="cellIs" dxfId="609" priority="97" operator="greaterThan">
      <formula>60</formula>
    </cfRule>
  </conditionalFormatting>
  <conditionalFormatting sqref="F53">
    <cfRule type="cellIs" dxfId="608" priority="212" stopIfTrue="1" operator="greaterThan">
      <formula>100</formula>
    </cfRule>
    <cfRule type="cellIs" dxfId="607" priority="211" stopIfTrue="1" operator="lessThan">
      <formula>96.8</formula>
    </cfRule>
  </conditionalFormatting>
  <conditionalFormatting sqref="F78">
    <cfRule type="cellIs" dxfId="606" priority="52" stopIfTrue="1" operator="lessThanOrEqual">
      <formula>0</formula>
    </cfRule>
    <cfRule type="cellIs" dxfId="605" priority="51" stopIfTrue="1" operator="greaterThan">
      <formula>$F78</formula>
    </cfRule>
  </conditionalFormatting>
  <conditionalFormatting sqref="G10:G23">
    <cfRule type="expression" dxfId="604" priority="8">
      <formula>IF(+(IF(G10&lt;S10,0,IF(G10&gt;T10,0,1)))=0,1)</formula>
    </cfRule>
  </conditionalFormatting>
  <conditionalFormatting sqref="G69:G70">
    <cfRule type="cellIs" dxfId="603" priority="49" stopIfTrue="1" operator="greaterThan">
      <formula>$F69</formula>
    </cfRule>
    <cfRule type="cellIs" dxfId="602" priority="50" stopIfTrue="1" operator="lessThanOrEqual">
      <formula>0</formula>
    </cfRule>
    <cfRule type="cellIs" dxfId="601" priority="55" stopIfTrue="1" operator="greaterThan">
      <formula>$F69</formula>
    </cfRule>
    <cfRule type="cellIs" dxfId="600" priority="56" stopIfTrue="1" operator="lessThanOrEqual">
      <formula>0</formula>
    </cfRule>
  </conditionalFormatting>
  <conditionalFormatting sqref="G71">
    <cfRule type="cellIs" dxfId="599" priority="59" stopIfTrue="1" operator="greaterThan">
      <formula>$F70</formula>
    </cfRule>
    <cfRule type="cellIs" dxfId="598" priority="60" stopIfTrue="1" operator="lessThanOrEqual">
      <formula>0</formula>
    </cfRule>
  </conditionalFormatting>
  <conditionalFormatting sqref="G72">
    <cfRule type="cellIs" dxfId="597" priority="41" stopIfTrue="1" operator="lessThanOrEqual">
      <formula>0</formula>
    </cfRule>
    <cfRule type="cellIs" dxfId="596" priority="40" stopIfTrue="1" operator="greaterThan">
      <formula>$F72</formula>
    </cfRule>
    <cfRule type="cellIs" dxfId="595" priority="42" stopIfTrue="1" operator="greaterThan">
      <formula>$F72</formula>
    </cfRule>
    <cfRule type="cellIs" dxfId="594" priority="43" stopIfTrue="1" operator="lessThanOrEqual">
      <formula>0</formula>
    </cfRule>
  </conditionalFormatting>
  <conditionalFormatting sqref="G73:G77">
    <cfRule type="cellIs" dxfId="593" priority="58" stopIfTrue="1" operator="lessThanOrEqual">
      <formula>0</formula>
    </cfRule>
    <cfRule type="cellIs" dxfId="592" priority="57" stopIfTrue="1" operator="greaterThan">
      <formula>$J73</formula>
    </cfRule>
  </conditionalFormatting>
  <conditionalFormatting sqref="G82:G87 C85 C87">
    <cfRule type="cellIs" dxfId="591" priority="209" stopIfTrue="1" operator="lessThanOrEqual">
      <formula>0</formula>
    </cfRule>
    <cfRule type="cellIs" dxfId="590" priority="208" stopIfTrue="1" operator="greaterThan">
      <formula>4.5</formula>
    </cfRule>
  </conditionalFormatting>
  <conditionalFormatting sqref="G24:H24">
    <cfRule type="expression" dxfId="589" priority="98">
      <formula>IF(+(IF(G24&lt;#REF!,0,IF(G24&gt;#REF!,0,1)))=0,1)</formula>
    </cfRule>
  </conditionalFormatting>
  <conditionalFormatting sqref="G81:H81">
    <cfRule type="cellIs" dxfId="588" priority="190" stopIfTrue="1" operator="lessThanOrEqual">
      <formula>0</formula>
    </cfRule>
    <cfRule type="cellIs" dxfId="587" priority="189" stopIfTrue="1" operator="greaterThan">
      <formula>$F$80</formula>
    </cfRule>
  </conditionalFormatting>
  <conditionalFormatting sqref="H10:H23">
    <cfRule type="expression" dxfId="586" priority="11">
      <formula>IF(+(IF(H10&lt;#REF!,0,IF(H10&gt;#REF!,0,1)))=0,1)</formula>
    </cfRule>
  </conditionalFormatting>
  <conditionalFormatting sqref="H38:H52 I40:I51">
    <cfRule type="cellIs" dxfId="585" priority="187" stopIfTrue="1" operator="greaterThan">
      <formula>0</formula>
    </cfRule>
  </conditionalFormatting>
  <conditionalFormatting sqref="H56:H60">
    <cfRule type="cellIs" dxfId="584" priority="83" stopIfTrue="1" operator="lessThanOrEqual">
      <formula>0</formula>
    </cfRule>
    <cfRule type="cellIs" dxfId="583" priority="92" stopIfTrue="1" operator="greaterThan">
      <formula>$F$72</formula>
    </cfRule>
    <cfRule type="cellIs" dxfId="582" priority="93" stopIfTrue="1" operator="lessThanOrEqual">
      <formula>0</formula>
    </cfRule>
    <cfRule type="cellIs" dxfId="581" priority="94" stopIfTrue="1" operator="greaterThan">
      <formula>$F$70</formula>
    </cfRule>
    <cfRule type="cellIs" dxfId="580" priority="95" stopIfTrue="1" operator="lessThanOrEqual">
      <formula>0</formula>
    </cfRule>
    <cfRule type="cellIs" dxfId="579" priority="84" stopIfTrue="1" operator="greaterThan">
      <formula>$F$69</formula>
    </cfRule>
  </conditionalFormatting>
  <conditionalFormatting sqref="H61:H62">
    <cfRule type="cellIs" dxfId="578" priority="141" stopIfTrue="1" operator="greaterThan">
      <formula>$F$24</formula>
    </cfRule>
    <cfRule type="cellIs" dxfId="577" priority="133" stopIfTrue="1" operator="greaterThan">
      <formula>#REF!</formula>
    </cfRule>
    <cfRule type="cellIs" dxfId="576" priority="132" stopIfTrue="1" operator="lessThanOrEqual">
      <formula>0</formula>
    </cfRule>
    <cfRule type="cellIs" dxfId="575" priority="143" stopIfTrue="1" operator="greaterThan">
      <formula>#REF!</formula>
    </cfRule>
    <cfRule type="cellIs" dxfId="574" priority="144" stopIfTrue="1" operator="lessThanOrEqual">
      <formula>0</formula>
    </cfRule>
    <cfRule type="cellIs" dxfId="573" priority="142" stopIfTrue="1" operator="lessThanOrEqual">
      <formula>0</formula>
    </cfRule>
  </conditionalFormatting>
  <conditionalFormatting sqref="H63">
    <cfRule type="cellIs" dxfId="572" priority="159" stopIfTrue="1" operator="lessThanOrEqual">
      <formula>0</formula>
    </cfRule>
    <cfRule type="cellIs" dxfId="571" priority="147" stopIfTrue="1" operator="lessThanOrEqual">
      <formula>0</formula>
    </cfRule>
    <cfRule type="cellIs" dxfId="570" priority="148" stopIfTrue="1" operator="greaterThan">
      <formula>$F$37</formula>
    </cfRule>
    <cfRule type="cellIs" dxfId="569" priority="156" stopIfTrue="1" operator="greaterThan">
      <formula>$F$40</formula>
    </cfRule>
    <cfRule type="cellIs" dxfId="568" priority="157" stopIfTrue="1" operator="lessThanOrEqual">
      <formula>0</formula>
    </cfRule>
    <cfRule type="cellIs" dxfId="567" priority="158" stopIfTrue="1" operator="greaterThan">
      <formula>$F$38</formula>
    </cfRule>
  </conditionalFormatting>
  <conditionalFormatting sqref="H64:H65">
    <cfRule type="cellIs" dxfId="566" priority="128" stopIfTrue="1" operator="lessThanOrEqual">
      <formula>0</formula>
    </cfRule>
    <cfRule type="cellIs" dxfId="565" priority="116" stopIfTrue="1" operator="lessThanOrEqual">
      <formula>0</formula>
    </cfRule>
    <cfRule type="cellIs" dxfId="564" priority="117" stopIfTrue="1" operator="greaterThan">
      <formula>#REF!</formula>
    </cfRule>
    <cfRule type="cellIs" dxfId="563" priority="127" stopIfTrue="1" operator="greaterThan">
      <formula>#REF!</formula>
    </cfRule>
    <cfRule type="cellIs" dxfId="562" priority="126" stopIfTrue="1" operator="lessThanOrEqual">
      <formula>0</formula>
    </cfRule>
    <cfRule type="cellIs" dxfId="561" priority="125" stopIfTrue="1" operator="greaterThan">
      <formula>$F$24</formula>
    </cfRule>
  </conditionalFormatting>
  <conditionalFormatting sqref="H80 H82:H88">
    <cfRule type="cellIs" dxfId="560" priority="202" stopIfTrue="1" operator="lessThanOrEqual">
      <formula>0</formula>
    </cfRule>
    <cfRule type="cellIs" dxfId="559" priority="201" stopIfTrue="1" operator="greaterThan">
      <formula>4.5</formula>
    </cfRule>
  </conditionalFormatting>
  <conditionalFormatting sqref="H56:I60">
    <cfRule type="cellIs" dxfId="558" priority="82" stopIfTrue="1" operator="greaterThan">
      <formula>$F$71</formula>
    </cfRule>
    <cfRule type="cellIs" dxfId="557" priority="85" stopIfTrue="1" operator="lessThanOrEqual">
      <formula>0</formula>
    </cfRule>
  </conditionalFormatting>
  <conditionalFormatting sqref="H61:I62">
    <cfRule type="cellIs" dxfId="556" priority="134" stopIfTrue="1" operator="lessThanOrEqual">
      <formula>0</formula>
    </cfRule>
    <cfRule type="cellIs" dxfId="555" priority="131" stopIfTrue="1" operator="greaterThan">
      <formula>#REF!</formula>
    </cfRule>
  </conditionalFormatting>
  <conditionalFormatting sqref="H63:I63">
    <cfRule type="cellIs" dxfId="554" priority="146" stopIfTrue="1" operator="greaterThan">
      <formula>$F$39</formula>
    </cfRule>
    <cfRule type="cellIs" dxfId="553" priority="149" stopIfTrue="1" operator="lessThanOrEqual">
      <formula>0</formula>
    </cfRule>
  </conditionalFormatting>
  <conditionalFormatting sqref="H64:I65">
    <cfRule type="cellIs" dxfId="552" priority="115" stopIfTrue="1" operator="greaterThan">
      <formula>#REF!</formula>
    </cfRule>
    <cfRule type="cellIs" dxfId="551" priority="118" stopIfTrue="1" operator="lessThanOrEqual">
      <formula>0</formula>
    </cfRule>
  </conditionalFormatting>
  <conditionalFormatting sqref="H69:I76">
    <cfRule type="cellIs" dxfId="550" priority="26" stopIfTrue="1" operator="greaterThan">
      <formula>$J69</formula>
    </cfRule>
    <cfRule type="cellIs" dxfId="549" priority="27" stopIfTrue="1" operator="lessThanOrEqual">
      <formula>0</formula>
    </cfRule>
  </conditionalFormatting>
  <conditionalFormatting sqref="H77:I77">
    <cfRule type="cellIs" dxfId="548" priority="38" operator="greaterThan">
      <formula>5.3</formula>
    </cfRule>
  </conditionalFormatting>
  <conditionalFormatting sqref="H78:I78">
    <cfRule type="cellIs" dxfId="547" priority="37" stopIfTrue="1" operator="lessThanOrEqual">
      <formula>0</formula>
    </cfRule>
    <cfRule type="cellIs" dxfId="546" priority="36" stopIfTrue="1" operator="greaterThan">
      <formula>$J78</formula>
    </cfRule>
  </conditionalFormatting>
  <conditionalFormatting sqref="I56:I60">
    <cfRule type="cellIs" dxfId="545" priority="90" stopIfTrue="1" operator="greaterThan">
      <formula>$F$69</formula>
    </cfRule>
    <cfRule type="cellIs" dxfId="544" priority="87" stopIfTrue="1" operator="lessThanOrEqual">
      <formula>0</formula>
    </cfRule>
    <cfRule type="cellIs" dxfId="543" priority="91" stopIfTrue="1" operator="lessThanOrEqual">
      <formula>0</formula>
    </cfRule>
    <cfRule type="cellIs" dxfId="542" priority="88" stopIfTrue="1" operator="greaterThan">
      <formula>$F$71</formula>
    </cfRule>
    <cfRule type="cellIs" dxfId="541" priority="89" stopIfTrue="1" operator="lessThanOrEqual">
      <formula>0</formula>
    </cfRule>
    <cfRule type="cellIs" dxfId="540" priority="86" stopIfTrue="1" operator="greaterThan">
      <formula>$F$69</formula>
    </cfRule>
  </conditionalFormatting>
  <conditionalFormatting sqref="I61:I62">
    <cfRule type="cellIs" dxfId="539" priority="140" stopIfTrue="1" operator="lessThanOrEqual">
      <formula>0</formula>
    </cfRule>
    <cfRule type="cellIs" dxfId="538" priority="139" stopIfTrue="1" operator="greaterThan">
      <formula>#REF!</formula>
    </cfRule>
    <cfRule type="cellIs" dxfId="537" priority="135" stopIfTrue="1" operator="greaterThan">
      <formula>#REF!</formula>
    </cfRule>
    <cfRule type="cellIs" dxfId="536" priority="136" stopIfTrue="1" operator="lessThanOrEqual">
      <formula>0</formula>
    </cfRule>
    <cfRule type="cellIs" dxfId="535" priority="137" stopIfTrue="1" operator="greaterThan">
      <formula>#REF!</formula>
    </cfRule>
    <cfRule type="cellIs" dxfId="534" priority="138" stopIfTrue="1" operator="lessThanOrEqual">
      <formula>0</formula>
    </cfRule>
  </conditionalFormatting>
  <conditionalFormatting sqref="I63">
    <cfRule type="cellIs" dxfId="533" priority="150" stopIfTrue="1" operator="greaterThan">
      <formula>$F$37</formula>
    </cfRule>
    <cfRule type="cellIs" dxfId="532" priority="151" stopIfTrue="1" operator="lessThanOrEqual">
      <formula>0</formula>
    </cfRule>
    <cfRule type="cellIs" dxfId="531" priority="152" stopIfTrue="1" operator="greaterThan">
      <formula>$F$39</formula>
    </cfRule>
    <cfRule type="cellIs" dxfId="530" priority="153" stopIfTrue="1" operator="lessThanOrEqual">
      <formula>0</formula>
    </cfRule>
    <cfRule type="cellIs" dxfId="529" priority="154" stopIfTrue="1" operator="greaterThan">
      <formula>$F$37</formula>
    </cfRule>
    <cfRule type="cellIs" dxfId="528" priority="155" stopIfTrue="1" operator="lessThanOrEqual">
      <formula>0</formula>
    </cfRule>
  </conditionalFormatting>
  <conditionalFormatting sqref="I64:I65">
    <cfRule type="cellIs" dxfId="527" priority="122" stopIfTrue="1" operator="lessThanOrEqual">
      <formula>0</formula>
    </cfRule>
    <cfRule type="cellIs" dxfId="526" priority="120" stopIfTrue="1" operator="lessThanOrEqual">
      <formula>0</formula>
    </cfRule>
    <cfRule type="cellIs" dxfId="525" priority="121" stopIfTrue="1" operator="greaterThan">
      <formula>#REF!</formula>
    </cfRule>
    <cfRule type="cellIs" dxfId="524" priority="124" stopIfTrue="1" operator="lessThanOrEqual">
      <formula>0</formula>
    </cfRule>
    <cfRule type="cellIs" dxfId="523" priority="123" stopIfTrue="1" operator="greaterThan">
      <formula>#REF!</formula>
    </cfRule>
    <cfRule type="cellIs" dxfId="522" priority="119" stopIfTrue="1" operator="greaterThan">
      <formula>#REF!</formula>
    </cfRule>
  </conditionalFormatting>
  <conditionalFormatting sqref="I80:I88">
    <cfRule type="cellIs" dxfId="521" priority="198" stopIfTrue="1" operator="lessThanOrEqual">
      <formula>0</formula>
    </cfRule>
    <cfRule type="cellIs" dxfId="520" priority="197" stopIfTrue="1" operator="greaterThan">
      <formula>4.5</formula>
    </cfRule>
  </conditionalFormatting>
  <conditionalFormatting sqref="I10:J24">
    <cfRule type="cellIs" dxfId="519" priority="2" operator="lessThan">
      <formula>97.9</formula>
    </cfRule>
  </conditionalFormatting>
  <conditionalFormatting sqref="J27">
    <cfRule type="cellIs" dxfId="518" priority="81" operator="lessThan">
      <formula>97.95</formula>
    </cfRule>
  </conditionalFormatting>
  <conditionalFormatting sqref="J29">
    <cfRule type="cellIs" dxfId="517" priority="161" stopIfTrue="1" operator="lessThan">
      <formula>96.8</formula>
    </cfRule>
    <cfRule type="cellIs" dxfId="516" priority="162" stopIfTrue="1" operator="greaterThan">
      <formula>100</formula>
    </cfRule>
    <cfRule type="cellIs" dxfId="515" priority="163" operator="lessThan">
      <formula>98</formula>
    </cfRule>
  </conditionalFormatting>
  <conditionalFormatting sqref="J29:J31">
    <cfRule type="cellIs" dxfId="514" priority="160" operator="lessThan">
      <formula>97.4</formula>
    </cfRule>
  </conditionalFormatting>
  <conditionalFormatting sqref="J32:J33">
    <cfRule type="cellIs" dxfId="513" priority="164" operator="lessThan">
      <formula>98</formula>
    </cfRule>
  </conditionalFormatting>
  <conditionalFormatting sqref="J34:J35">
    <cfRule type="cellIs" dxfId="512" priority="165" stopIfTrue="1" operator="lessThan">
      <formula>96.8</formula>
    </cfRule>
    <cfRule type="cellIs" dxfId="511" priority="166" stopIfTrue="1" operator="greaterThan">
      <formula>100</formula>
    </cfRule>
  </conditionalFormatting>
  <conditionalFormatting sqref="J34:J36">
    <cfRule type="cellIs" dxfId="510" priority="167" operator="lessThan">
      <formula>98</formula>
    </cfRule>
  </conditionalFormatting>
  <conditionalFormatting sqref="J65">
    <cfRule type="cellIs" dxfId="509" priority="112" stopIfTrue="1" operator="lessThanOrEqual">
      <formula>0</formula>
    </cfRule>
    <cfRule type="cellIs" dxfId="508" priority="111" stopIfTrue="1" operator="greaterThan">
      <formula>#REF!</formula>
    </cfRule>
    <cfRule type="cellIs" dxfId="507" priority="109" stopIfTrue="1" operator="greaterThan">
      <formula>#REF!</formula>
    </cfRule>
    <cfRule type="cellIs" dxfId="506" priority="108" stopIfTrue="1" operator="lessThanOrEqual">
      <formula>0</formula>
    </cfRule>
    <cfRule type="cellIs" dxfId="505" priority="110" stopIfTrue="1" operator="lessThanOrEqual">
      <formula>0</formula>
    </cfRule>
    <cfRule type="cellIs" dxfId="504" priority="107" stopIfTrue="1" operator="greaterThan">
      <formula>#REF!</formula>
    </cfRule>
    <cfRule type="cellIs" dxfId="503" priority="114" stopIfTrue="1" operator="lessThanOrEqual">
      <formula>0</formula>
    </cfRule>
    <cfRule type="cellIs" dxfId="502" priority="113" stopIfTrue="1" operator="greaterThan">
      <formula>#REF!</formula>
    </cfRule>
  </conditionalFormatting>
  <conditionalFormatting sqref="J78">
    <cfRule type="cellIs" dxfId="501" priority="45" stopIfTrue="1" operator="greaterThan">
      <formula>$F78</formula>
    </cfRule>
    <cfRule type="cellIs" dxfId="500" priority="46" stopIfTrue="1" operator="lessThanOrEqual">
      <formula>0</formula>
    </cfRule>
  </conditionalFormatting>
  <conditionalFormatting sqref="K10:K24">
    <cfRule type="cellIs" dxfId="499" priority="5" operator="greaterThan">
      <formula>6.4</formula>
    </cfRule>
    <cfRule type="cellIs" dxfId="498" priority="4" operator="lessThan">
      <formula>4</formula>
    </cfRule>
    <cfRule type="cellIs" dxfId="497" priority="3" operator="greaterThan">
      <formula>6</formula>
    </cfRule>
  </conditionalFormatting>
  <conditionalFormatting sqref="K56:K65">
    <cfRule type="cellIs" dxfId="496" priority="96" stopIfTrue="1" operator="lessThan">
      <formula>100%</formula>
    </cfRule>
  </conditionalFormatting>
  <conditionalFormatting sqref="K80:K85">
    <cfRule type="cellIs" dxfId="495" priority="203" stopIfTrue="1" operator="lessThan">
      <formula>100%</formula>
    </cfRule>
  </conditionalFormatting>
  <conditionalFormatting sqref="K87:K88">
    <cfRule type="cellIs" dxfId="494" priority="210" stopIfTrue="1" operator="lessThan">
      <formula>100%</formula>
    </cfRule>
  </conditionalFormatting>
  <conditionalFormatting sqref="K69:M77">
    <cfRule type="cellIs" dxfId="493" priority="24" stopIfTrue="1" operator="lessThan">
      <formula>100%</formula>
    </cfRule>
  </conditionalFormatting>
  <conditionalFormatting sqref="L10:L24">
    <cfRule type="cellIs" dxfId="492" priority="10" operator="greaterThan">
      <formula>65</formula>
    </cfRule>
    <cfRule type="cellIs" dxfId="491" priority="9" operator="between">
      <formula>61</formula>
      <formula>65</formula>
    </cfRule>
  </conditionalFormatting>
  <conditionalFormatting sqref="L27:M38">
    <cfRule type="cellIs" dxfId="490" priority="99" operator="lessThan">
      <formula>97.95</formula>
    </cfRule>
  </conditionalFormatting>
  <conditionalFormatting sqref="L78:M78">
    <cfRule type="cellIs" dxfId="489" priority="47" stopIfTrue="1" operator="lessThan">
      <formula>100%</formula>
    </cfRule>
  </conditionalFormatting>
  <conditionalFormatting sqref="L42:N42">
    <cfRule type="cellIs" dxfId="488" priority="100" operator="notEqual">
      <formula>#REF!</formula>
    </cfRule>
  </conditionalFormatting>
  <conditionalFormatting sqref="L80:N88">
    <cfRule type="cellIs" dxfId="487" priority="188" stopIfTrue="1" operator="lessThan">
      <formula>100%</formula>
    </cfRule>
  </conditionalFormatting>
  <conditionalFormatting sqref="M10:M23">
    <cfRule type="expression" dxfId="486" priority="7">
      <formula>IF(+(IF(M10&lt;U10,0,IF(M10&gt;V10,0,1)))=0,1)</formula>
    </cfRule>
  </conditionalFormatting>
  <conditionalFormatting sqref="M24:N24">
    <cfRule type="expression" dxfId="485" priority="218">
      <formula>IF(+(IF(M24&lt;#REF!,0,IF(M24&gt;#REF!,0,1)))=0,1)</formula>
    </cfRule>
  </conditionalFormatting>
  <conditionalFormatting sqref="N10:N23">
    <cfRule type="expression" dxfId="484" priority="1">
      <formula>IF(+(IF(N10&lt;W10,0,IF(N10&gt;X10,0,1)))=0,1)</formula>
    </cfRule>
  </conditionalFormatting>
  <conditionalFormatting sqref="N69:N78">
    <cfRule type="cellIs" dxfId="483" priority="70" stopIfTrue="1" operator="lessThan">
      <formula>100%</formula>
    </cfRule>
  </conditionalFormatting>
  <conditionalFormatting sqref="P6">
    <cfRule type="cellIs" dxfId="482" priority="184" operator="greaterThanOrEqual">
      <formula>19</formula>
    </cfRule>
  </conditionalFormatting>
  <dataValidations count="1">
    <dataValidation type="list" allowBlank="1" showInputMessage="1" showErrorMessage="1" sqref="R8" xr:uid="{4EF07605-732C-4E8C-AC73-31C1827F279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15A2-949F-4E7C-8822-19FCCA948EBE}">
  <sheetPr>
    <pageSetUpPr fitToPage="1"/>
  </sheetPr>
  <dimension ref="A1:BE75"/>
  <sheetViews>
    <sheetView topLeftCell="A2" zoomScale="80" zoomScaleNormal="80" workbookViewId="0">
      <selection activeCell="C62" sqref="C62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46079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[3]Brewhouse!$A176</f>
        <v>CA134</v>
      </c>
      <c r="D10" s="279">
        <f>[3]Brewhouse!$AF176</f>
        <v>50.6</v>
      </c>
      <c r="E10" s="279">
        <f>[3]Brewhouse!$AI176</f>
        <v>51.1</v>
      </c>
      <c r="F10" s="278">
        <f>[3]Brewhouse!$V176</f>
        <v>69</v>
      </c>
      <c r="G10" s="279">
        <f>[3]Brewhouse!AG176</f>
        <v>11.7</v>
      </c>
      <c r="H10" s="396">
        <v>11.6</v>
      </c>
      <c r="I10" s="368">
        <f>[3]Brewhouse!$AU176</f>
        <v>98.253731658657813</v>
      </c>
      <c r="J10" s="368">
        <f>[3]Brewhouse!$AV176</f>
        <v>99.717803878923064</v>
      </c>
      <c r="K10" s="281">
        <f>[3]Brewhouse!$Q176</f>
        <v>12.090395480225991</v>
      </c>
      <c r="L10" s="276">
        <f>[3]Brewhouse!$P176</f>
        <v>57</v>
      </c>
      <c r="M10" s="397">
        <f>[3]Brewhouse!$U176-[3]Brewhouse!$T176</f>
        <v>0.12569444444444441</v>
      </c>
      <c r="N10" s="370">
        <f>[3]Brewhouse!$Z176</f>
        <v>0.2895833333333333</v>
      </c>
      <c r="O10" s="420" t="str">
        <f>[3]Brewhouse!$AX176</f>
        <v>R.Sookram</v>
      </c>
      <c r="P10" s="418"/>
      <c r="R10" s="277" t="str">
        <f t="shared" ref="R10:R20" si="0">B10</f>
        <v>CARIB</v>
      </c>
      <c r="S10" s="472">
        <f t="shared" ref="S10:S35" si="1">VLOOKUP($B10,$R$3:$X$9,2,FALSE)</f>
        <v>11.6</v>
      </c>
      <c r="T10" s="472">
        <f t="shared" ref="T10:T35" si="2">VLOOKUP($B10,$R$3:$X$9,3,FALSE)</f>
        <v>12</v>
      </c>
      <c r="U10" s="297">
        <f t="shared" ref="U10:U35" si="3">VLOOKUP($B10,$R$3:$X$9,4,FALSE)</f>
        <v>0</v>
      </c>
      <c r="V10" s="297">
        <f t="shared" ref="V10:V35" si="4">VLOOKUP($B10,$R$3:$X$9,5,FALSE)</f>
        <v>0.118055555555556</v>
      </c>
      <c r="W10" s="297">
        <f t="shared" ref="W10:W35" si="5">VLOOKUP($B10,$R$3:$X$9,6,FALSE)</f>
        <v>0.22569444444444445</v>
      </c>
      <c r="X10" s="297">
        <f t="shared" ref="X10:X35" si="6">VLOOKUP($B10,$R$3:$X$9,7,FALSE)</f>
        <v>0.2638888888888889</v>
      </c>
      <c r="Y10" s="297">
        <f t="shared" ref="Y10:Y35" si="7">VLOOKUP($B10,$R$3:$Z$9,8,FALSE)</f>
        <v>0</v>
      </c>
      <c r="Z10" s="472">
        <f t="shared" ref="Z10:Z35" si="8">VLOOKUP($B10,$R$3:$Z$9,9,FALSE)</f>
        <v>60</v>
      </c>
    </row>
    <row r="11" spans="2:29" ht="16.5" customHeight="1">
      <c r="B11" s="29" t="s">
        <v>6</v>
      </c>
      <c r="C11" s="366" t="str">
        <f>[3]Brewhouse!$A177</f>
        <v>CA135</v>
      </c>
      <c r="D11" s="279">
        <f>[3]Brewhouse!$AF177</f>
        <v>49.1</v>
      </c>
      <c r="E11" s="279">
        <f>[3]Brewhouse!$AI177</f>
        <v>49.1</v>
      </c>
      <c r="F11" s="278">
        <f>[3]Brewhouse!$V177</f>
        <v>70</v>
      </c>
      <c r="G11" s="279">
        <f>[3]Brewhouse!AG177</f>
        <v>11.9</v>
      </c>
      <c r="H11" s="396">
        <v>11.7</v>
      </c>
      <c r="I11" s="368">
        <f>[3]Brewhouse!$AU177</f>
        <v>96.225557296455349</v>
      </c>
      <c r="J11" s="368">
        <f>[3]Brewhouse!$AV177</f>
        <v>97.65929164332654</v>
      </c>
      <c r="K11" s="281">
        <f>[3]Brewhouse!$Q177</f>
        <v>12.490566037735844</v>
      </c>
      <c r="L11" s="276">
        <f>[3]Brewhouse!$P177</f>
        <v>63</v>
      </c>
      <c r="M11" s="397">
        <f>[3]Brewhouse!$U177-[3]Brewhouse!$T177</f>
        <v>0.12083333333333335</v>
      </c>
      <c r="N11" s="370">
        <f>[3]Brewhouse!$Z177</f>
        <v>0.27500000000000002</v>
      </c>
      <c r="O11" s="420" t="str">
        <f>[3]Brewhouse!$AX177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[3]Brewhouse!$A178</f>
        <v>CA136</v>
      </c>
      <c r="D12" s="279">
        <f>[3]Brewhouse!$AF178</f>
        <v>49.1</v>
      </c>
      <c r="E12" s="279">
        <f>[3]Brewhouse!$AI178</f>
        <v>49.3</v>
      </c>
      <c r="F12" s="278">
        <f>[3]Brewhouse!$V178</f>
        <v>69</v>
      </c>
      <c r="G12" s="279">
        <f>[3]Brewhouse!AG178</f>
        <v>11.8</v>
      </c>
      <c r="H12" s="396">
        <v>11.8</v>
      </c>
      <c r="I12" s="368">
        <f>[3]Brewhouse!$AU178</f>
        <v>95.76386603519768</v>
      </c>
      <c r="J12" s="368">
        <f>[3]Brewhouse!$AV178</f>
        <v>97.190721309216372</v>
      </c>
      <c r="K12" s="281">
        <f>[3]Brewhouse!$Q178</f>
        <v>13.811320754716983</v>
      </c>
      <c r="L12" s="276">
        <f>[3]Brewhouse!$P178</f>
        <v>63</v>
      </c>
      <c r="M12" s="397">
        <f>[3]Brewhouse!$U178-[3]Brewhouse!$T178</f>
        <v>0.12638888888888888</v>
      </c>
      <c r="N12" s="370">
        <f>[3]Brewhouse!$Z178</f>
        <v>0.28055555555555556</v>
      </c>
      <c r="O12" s="420" t="str">
        <f>[3]Brewhouse!$AX178</f>
        <v>K. Benjamin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[3]Brewhouse!$A179</f>
        <v>CA137</v>
      </c>
      <c r="D13" s="279">
        <f>[3]Brewhouse!$AF179</f>
        <v>49.1</v>
      </c>
      <c r="E13" s="279">
        <f>[3]Brewhouse!$AI179</f>
        <v>48.7</v>
      </c>
      <c r="F13" s="278">
        <f>[3]Brewhouse!$V179</f>
        <v>94</v>
      </c>
      <c r="G13" s="279">
        <f>[3]Brewhouse!AG179</f>
        <v>12</v>
      </c>
      <c r="H13" s="396">
        <v>12</v>
      </c>
      <c r="I13" s="368">
        <f>[3]Brewhouse!$AU179</f>
        <v>97.861559996128506</v>
      </c>
      <c r="J13" s="368">
        <f>[3]Brewhouse!$AV179</f>
        <v>99.318107198139543</v>
      </c>
      <c r="K13" s="281">
        <f>[3]Brewhouse!$Q179</f>
        <v>10.981132075471699</v>
      </c>
      <c r="L13" s="276">
        <f>[3]Brewhouse!$P179</f>
        <v>59</v>
      </c>
      <c r="M13" s="397">
        <f>[3]Brewhouse!$U179-[3]Brewhouse!$T179</f>
        <v>0.12569444444444444</v>
      </c>
      <c r="N13" s="370">
        <f>[3]Brewhouse!$Z179</f>
        <v>0.27569444444444441</v>
      </c>
      <c r="O13" s="420" t="str">
        <f>[3]Brewhouse!$AX179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 t="s">
        <v>6</v>
      </c>
      <c r="C14" s="366" t="str">
        <f>[3]Brewhouse!$A180</f>
        <v>CA138</v>
      </c>
      <c r="D14" s="279">
        <f>[3]Brewhouse!$AF180</f>
        <v>50.2</v>
      </c>
      <c r="E14" s="279">
        <f>[3]Brewhouse!$AI180</f>
        <v>50.1</v>
      </c>
      <c r="F14" s="278">
        <f>[3]Brewhouse!$V180</f>
        <v>102</v>
      </c>
      <c r="G14" s="279">
        <f>[3]Brewhouse!AG180</f>
        <v>11.9</v>
      </c>
      <c r="H14" s="396">
        <v>11.8</v>
      </c>
      <c r="I14" s="368">
        <f>[3]Brewhouse!$AU180</f>
        <v>98.551754908063671</v>
      </c>
      <c r="J14" s="368">
        <f>[3]Brewhouse!$AV180</f>
        <v>100.01979020661993</v>
      </c>
      <c r="K14" s="281">
        <f>[3]Brewhouse!$Q180</f>
        <v>11.337099811676088</v>
      </c>
      <c r="L14" s="276">
        <f>[3]Brewhouse!$P180</f>
        <v>61</v>
      </c>
      <c r="M14" s="397">
        <f>[3]Brewhouse!$U180-[3]Brewhouse!$T180</f>
        <v>0.14513888888888882</v>
      </c>
      <c r="N14" s="370">
        <f>[3]Brewhouse!$Z180</f>
        <v>0.29583333333333328</v>
      </c>
      <c r="O14" s="420" t="str">
        <f>[3]Brewhouse!$AX180</f>
        <v>R. Regis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29" t="s">
        <v>6</v>
      </c>
      <c r="C15" s="366" t="str">
        <f>[3]Brewhouse!$A181</f>
        <v>CA139</v>
      </c>
      <c r="D15" s="279">
        <f>[3]Brewhouse!$AF181</f>
        <v>47.6</v>
      </c>
      <c r="E15" s="279">
        <f>[3]Brewhouse!$AI181</f>
        <v>46.2</v>
      </c>
      <c r="F15" s="278">
        <f>[3]Brewhouse!$V181</f>
        <v>72</v>
      </c>
      <c r="G15" s="279">
        <f>[3]Brewhouse!AG181</f>
        <v>11.8</v>
      </c>
      <c r="H15" s="396">
        <v>12.1</v>
      </c>
      <c r="I15" s="368">
        <f>[3]Brewhouse!$AU181</f>
        <v>90.189295198187452</v>
      </c>
      <c r="J15" s="368">
        <f>[3]Brewhouse!$AV181</f>
        <v>91.532652605830151</v>
      </c>
      <c r="K15" s="281">
        <f>[3]Brewhouse!$Q181</f>
        <v>13.220338983050853</v>
      </c>
      <c r="L15" s="276">
        <f>[3]Brewhouse!$P181</f>
        <v>60</v>
      </c>
      <c r="M15" s="397">
        <f>[3]Brewhouse!$U181-[3]Brewhouse!$T181</f>
        <v>0.12152777777777779</v>
      </c>
      <c r="N15" s="370">
        <f>[3]Brewhouse!$Z181</f>
        <v>0.27083333333333337</v>
      </c>
      <c r="O15" s="420" t="str">
        <f>[3]Brewhouse!$AX181</f>
        <v>R. Regis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6.5" customHeight="1">
      <c r="B16" s="29" t="s">
        <v>6</v>
      </c>
      <c r="C16" s="366" t="str">
        <f>[3]Brewhouse!$A182</f>
        <v>CA140</v>
      </c>
      <c r="D16" s="279">
        <f>[3]Brewhouse!$AF182</f>
        <v>49</v>
      </c>
      <c r="E16" s="279">
        <f>[3]Brewhouse!$AI182</f>
        <v>51.2</v>
      </c>
      <c r="F16" s="278">
        <f>[3]Brewhouse!$V182</f>
        <v>128</v>
      </c>
      <c r="G16" s="279">
        <f>[3]Brewhouse!AG182</f>
        <v>11.8</v>
      </c>
      <c r="H16" s="396">
        <v>11.8</v>
      </c>
      <c r="I16" s="368">
        <f>[3]Brewhouse!$AU182</f>
        <v>99.950041431757512</v>
      </c>
      <c r="J16" s="368">
        <f>[3]Brewhouse!$AV182</f>
        <v>101.43878384022733</v>
      </c>
      <c r="K16" s="281">
        <f>[3]Brewhouse!$Q182</f>
        <v>13.40866290018832</v>
      </c>
      <c r="L16" s="276">
        <f>[3]Brewhouse!$P182</f>
        <v>60</v>
      </c>
      <c r="M16" s="397">
        <f>[3]Brewhouse!$U182-[3]Brewhouse!$T182</f>
        <v>0.15763888888888888</v>
      </c>
      <c r="N16" s="370">
        <f>[3]Brewhouse!$Z182</f>
        <v>0.31944444444444442</v>
      </c>
      <c r="O16" s="420" t="str">
        <f>[3]Brewhouse!$AX182</f>
        <v>R. Regis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6.5" customHeight="1">
      <c r="B17" s="29" t="s">
        <v>6</v>
      </c>
      <c r="C17" s="366" t="str">
        <f>[3]Brewhouse!$A183</f>
        <v>CA141</v>
      </c>
      <c r="D17" s="279">
        <f>[3]Brewhouse!$AF183</f>
        <v>47.7</v>
      </c>
      <c r="E17" s="279">
        <f>[3]Brewhouse!$AI183</f>
        <v>49.4</v>
      </c>
      <c r="F17" s="278">
        <f>[3]Brewhouse!$V183</f>
        <v>146</v>
      </c>
      <c r="G17" s="279">
        <f>[3]Brewhouse!AG183</f>
        <v>12</v>
      </c>
      <c r="H17" s="367"/>
      <c r="I17" s="368">
        <f>[3]Brewhouse!$AU183</f>
        <v>97.547980983941912</v>
      </c>
      <c r="J17" s="368">
        <f>[3]Brewhouse!$AV183</f>
        <v>99.001536861063343</v>
      </c>
      <c r="K17" s="281">
        <f>[3]Brewhouse!$Q183</f>
        <v>14.915254237288138</v>
      </c>
      <c r="L17" s="276">
        <f>[3]Brewhouse!$P183</f>
        <v>57</v>
      </c>
      <c r="M17" s="397">
        <f>[3]Brewhouse!$U183-[3]Brewhouse!$T183</f>
        <v>0.18819444444444455</v>
      </c>
      <c r="N17" s="370">
        <f>[3]Brewhouse!$Z183</f>
        <v>0.35277777777777786</v>
      </c>
      <c r="O17" s="420" t="str">
        <f>[3]Brewhouse!$AX183</f>
        <v>R.Sookram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7" ht="16.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6.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8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6.5" hidden="1" customHeight="1">
      <c r="B21" s="22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ref="R21:R35" si="9">B21</f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511"/>
      <c r="J22" s="511"/>
      <c r="K22" s="511"/>
      <c r="L22" s="511"/>
      <c r="M22" s="511"/>
      <c r="N22" s="511"/>
      <c r="O22" s="1"/>
      <c r="P22" s="12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.75" customHeight="1" thickBot="1">
      <c r="B23" s="388" t="s">
        <v>162</v>
      </c>
      <c r="C23" s="388"/>
      <c r="D23" s="512" t="s">
        <v>35</v>
      </c>
      <c r="E23" s="513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9"/>
        <v xml:space="preserve">BRAND 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" customHeight="1">
      <c r="A24" s="28"/>
      <c r="B24" s="514"/>
      <c r="C24" s="362"/>
      <c r="D24" s="517"/>
      <c r="E24" s="518"/>
      <c r="F24" s="294"/>
      <c r="G24" s="294"/>
      <c r="H24" s="348"/>
      <c r="I24" s="29" t="s">
        <v>6</v>
      </c>
      <c r="J24" s="323">
        <f>AVERAGE(I10:I17)</f>
        <v>96.792973438548742</v>
      </c>
      <c r="K24" s="284">
        <f>COUNTA([3]Brewhouse!$A$125:$A$183)</f>
        <v>59</v>
      </c>
      <c r="L24" s="305">
        <f>AVERAGE([3]Brewhouse!$AU$125:$AU$183)</f>
        <v>97.134945543073513</v>
      </c>
      <c r="M24" s="305">
        <f>AVERAGE([3]Brewhouse!$AU$42:$AU$123,[3]Brewhouse!$AU$125:$AU$183)</f>
        <v>97.607202559070785</v>
      </c>
      <c r="N24" s="30">
        <v>98</v>
      </c>
      <c r="O24" s="11"/>
      <c r="P24" s="31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" customHeight="1">
      <c r="A25" s="28"/>
      <c r="B25" s="515"/>
      <c r="C25" s="362"/>
      <c r="D25" s="519"/>
      <c r="E25" s="520"/>
      <c r="F25" s="294"/>
      <c r="G25" s="294"/>
      <c r="H25" s="348"/>
      <c r="I25" s="33" t="s">
        <v>9</v>
      </c>
      <c r="J25" s="280"/>
      <c r="K25" s="284">
        <f>COUNTA([4]Brewhouse!$A$83:$A$123)</f>
        <v>41</v>
      </c>
      <c r="L25" s="302">
        <f>AVERAGE([4]Brewhouse!$AS$83:$AS$123)</f>
        <v>97.950272850657583</v>
      </c>
      <c r="M25" s="302">
        <f>AVERAGE([4]Brewhouse!$AS$52:$AS$81,[4]Brewhouse!$AS$83:$AS$123)</f>
        <v>98.404471398977037</v>
      </c>
      <c r="N25" s="30">
        <v>98</v>
      </c>
      <c r="O25" s="11"/>
      <c r="P25" s="31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15"/>
      <c r="C26" s="362"/>
      <c r="D26" s="521"/>
      <c r="E26" s="522"/>
      <c r="F26" s="294"/>
      <c r="G26" s="294"/>
      <c r="H26" s="348"/>
      <c r="I26" s="34" t="s">
        <v>12</v>
      </c>
      <c r="J26" s="280"/>
      <c r="K26" s="284">
        <f>COUNTA([6]Brewhouse!$A$25:$A$27)</f>
        <v>3</v>
      </c>
      <c r="L26" s="302">
        <f>AVERAGE([6]Brewhouse!$AU$25:$AU$27)</f>
        <v>98.383718888256155</v>
      </c>
      <c r="M26" s="302">
        <f>AVERAGE([6]Brewhouse!$AU$16:$AU$23,[6]Brewhouse!$AU$25:$AU$27)</f>
        <v>97.933890431198279</v>
      </c>
      <c r="N26" s="30">
        <v>98</v>
      </c>
      <c r="O26" s="11"/>
      <c r="P26" s="31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15"/>
      <c r="C27" s="362"/>
      <c r="D27" s="523"/>
      <c r="E27" s="520"/>
      <c r="F27" s="294"/>
      <c r="G27" s="294"/>
      <c r="H27" s="348"/>
      <c r="I27" s="22" t="s">
        <v>33</v>
      </c>
      <c r="J27" s="280"/>
      <c r="K27" s="284"/>
      <c r="L27" s="302"/>
      <c r="M27" s="302">
        <f>AVERAGE([5]Brewhouse!$AV$23:$AV$34)</f>
        <v>98.31387229810305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15"/>
      <c r="C28" s="362"/>
      <c r="D28" s="521"/>
      <c r="E28" s="522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15"/>
      <c r="C29" s="362"/>
      <c r="D29" s="523"/>
      <c r="E29" s="520"/>
      <c r="F29" s="417"/>
      <c r="G29" s="294"/>
      <c r="H29" s="348"/>
      <c r="I29" s="36" t="s">
        <v>15</v>
      </c>
      <c r="J29" s="323"/>
      <c r="K29" s="284"/>
      <c r="L29" s="302"/>
      <c r="M29" s="302">
        <f>AVERAGE([7]Brewhouse!$AT$4:$AT$11)</f>
        <v>92.826224508052405</v>
      </c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4.65" customHeight="1">
      <c r="A30" s="28"/>
      <c r="B30" s="515"/>
      <c r="C30" s="362"/>
      <c r="D30" s="521"/>
      <c r="E30" s="522"/>
      <c r="F30" s="417"/>
      <c r="G30" s="294"/>
      <c r="H30" s="348"/>
      <c r="I30" s="37" t="s">
        <v>16</v>
      </c>
      <c r="J30" s="323"/>
      <c r="K30" s="284">
        <f>COUNTA([8]Brewhouse!$A$16:$A$23)</f>
        <v>8</v>
      </c>
      <c r="L30" s="302">
        <f>AVERAGE([8]Brewhouse!$AY$16:$AY$23)</f>
        <v>97.998346333082011</v>
      </c>
      <c r="M30" s="302">
        <f>AVERAGE([8]Brewhouse!$AY$5:$AY$14,[8]Brewhouse!$AY$16:$AY$23)</f>
        <v>97.293615171264676</v>
      </c>
      <c r="N30" s="30">
        <v>98</v>
      </c>
      <c r="O30" s="11"/>
      <c r="P30" s="31" t="s">
        <v>41</v>
      </c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4.65" customHeight="1">
      <c r="A31" s="28"/>
      <c r="B31" s="515"/>
      <c r="C31" s="362"/>
      <c r="D31" s="523"/>
      <c r="E31" s="520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4.65" customHeight="1">
      <c r="A32" s="28"/>
      <c r="B32" s="515"/>
      <c r="C32" s="349"/>
      <c r="D32" s="521"/>
      <c r="E32" s="522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15"/>
      <c r="C33" s="349"/>
      <c r="D33" s="523"/>
      <c r="E33" s="520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15"/>
      <c r="C34" s="349"/>
      <c r="D34" s="517"/>
      <c r="E34" s="518"/>
      <c r="F34" s="294"/>
      <c r="G34" s="294"/>
      <c r="H34" s="348"/>
      <c r="I34" s="1"/>
      <c r="J34" s="39"/>
      <c r="K34" s="404">
        <f>SUM(K24:K33)</f>
        <v>111</v>
      </c>
      <c r="L34" s="405">
        <f>((L24*K24)+(L25*K25)+(L26*K26)+(L27*K27)+(L28*K28)+(K31*L31)+(L29*K29)+(L30*K30)+(L33*K33))/(K34)</f>
        <v>97.532080191420931</v>
      </c>
      <c r="M34" s="405">
        <f>AVERAGE('[9]Jan30th-31st'!$L$42,L34)</f>
        <v>97.680060963631206</v>
      </c>
      <c r="N34" s="40">
        <v>98</v>
      </c>
      <c r="O34" s="11"/>
      <c r="P34" s="31"/>
      <c r="R34" s="277">
        <f t="shared" si="9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.75" thickBot="1">
      <c r="B35" s="516"/>
      <c r="C35" s="350"/>
      <c r="D35" s="519"/>
      <c r="E35" s="520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9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14"/>
      <c r="C36" s="362"/>
      <c r="D36" s="525"/>
      <c r="E36" s="526"/>
      <c r="F36" s="294"/>
      <c r="G36" s="42"/>
      <c r="H36" s="41"/>
      <c r="I36" s="42"/>
      <c r="J36" s="527" t="s">
        <v>129</v>
      </c>
      <c r="K36" s="527"/>
      <c r="L36" s="294"/>
      <c r="M36" s="294"/>
      <c r="N36" s="294"/>
      <c r="O36" s="294"/>
      <c r="P36" s="12"/>
    </row>
    <row r="37" spans="1:56" ht="15.75" thickBot="1">
      <c r="B37" s="515"/>
      <c r="C37" s="362"/>
      <c r="D37" s="523"/>
      <c r="E37" s="520"/>
      <c r="F37" s="294"/>
      <c r="G37" s="42"/>
      <c r="H37" s="41"/>
      <c r="I37" s="41"/>
      <c r="J37" s="292" t="s">
        <v>17</v>
      </c>
      <c r="K37" s="293" t="s">
        <v>194</v>
      </c>
      <c r="L37" s="528" t="s">
        <v>136</v>
      </c>
      <c r="M37" s="528"/>
      <c r="N37" s="529"/>
      <c r="O37" s="294"/>
      <c r="P37" s="12"/>
    </row>
    <row r="38" spans="1:56" ht="15" customHeight="1" thickBot="1">
      <c r="B38" s="515"/>
      <c r="C38" s="349"/>
      <c r="D38" s="521"/>
      <c r="E38" s="522"/>
      <c r="F38" s="294"/>
      <c r="G38" s="42"/>
      <c r="H38" s="41"/>
      <c r="I38" s="41"/>
      <c r="J38" s="287" t="s">
        <v>6</v>
      </c>
      <c r="K38" s="324">
        <v>8</v>
      </c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15"/>
      <c r="C39" s="349"/>
      <c r="D39" s="523"/>
      <c r="E39" s="520"/>
      <c r="F39" s="294"/>
      <c r="G39" s="42"/>
      <c r="H39" s="41"/>
      <c r="I39" s="41"/>
      <c r="J39" s="345" t="s">
        <v>9</v>
      </c>
      <c r="K39" s="324"/>
      <c r="L39" s="344">
        <f>AVERAGE(K48,'Feb 2nd'!K49,'Feb 3rd'!K54,'Feb 4th'!K53,'Feb 4th'!K53,'Feb 5th'!K49,'Feb 6th'!K49,'Feb 9th'!K52,'Feb 10th'!K54,'Feb 11th'!K48,'Feb 12th'!K49,'Feb 13th'!K46,'Feb 16th'!K54,'Feb 17th'!K50,'Feb 18th '!K48,'Feb 19th'!K50,'Feb 20th'!J50,'Feb 20th'!K50,'Feb 23rd'!K46)</f>
        <v>6.1052631578947372</v>
      </c>
      <c r="M39" s="325">
        <f>AVERAGE('[9]Jan30th-31st'!$L$47,L39)</f>
        <v>6.0961098398169344</v>
      </c>
      <c r="N39" s="416">
        <v>9.1999999999999993</v>
      </c>
      <c r="O39" s="294"/>
      <c r="P39" s="12"/>
    </row>
    <row r="40" spans="1:56" ht="15" customHeight="1">
      <c r="B40" s="515"/>
      <c r="C40" s="349"/>
      <c r="D40" s="521"/>
      <c r="E40" s="522"/>
      <c r="F40" s="294"/>
      <c r="G40" s="42"/>
      <c r="H40" s="41"/>
      <c r="I40" s="41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15"/>
      <c r="C41" s="349"/>
      <c r="D41" s="523"/>
      <c r="E41" s="520"/>
      <c r="F41" s="294"/>
      <c r="G41" s="42"/>
      <c r="H41" s="41"/>
      <c r="I41" s="41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15"/>
      <c r="C42" s="349"/>
      <c r="D42" s="521"/>
      <c r="E42" s="522"/>
      <c r="F42" s="294"/>
      <c r="G42" s="42"/>
      <c r="H42" s="41"/>
      <c r="I42" s="41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15"/>
      <c r="C43" s="349"/>
      <c r="D43" s="523"/>
      <c r="E43" s="520"/>
      <c r="F43" s="294"/>
      <c r="G43" s="42"/>
      <c r="H43" s="41"/>
      <c r="I43" s="41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15"/>
      <c r="C44" s="349"/>
      <c r="D44" s="521"/>
      <c r="E44" s="522"/>
      <c r="F44" s="294"/>
      <c r="G44" s="42"/>
      <c r="H44" s="41"/>
      <c r="I44" s="41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4"/>
      <c r="C45" s="350"/>
      <c r="D45" s="530"/>
      <c r="E45" s="531"/>
      <c r="F45" s="294" t="s">
        <v>166</v>
      </c>
      <c r="G45" s="42"/>
      <c r="H45" s="41"/>
      <c r="I45" s="41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32"/>
      <c r="E46" s="533"/>
      <c r="F46" s="294"/>
      <c r="H46" s="41"/>
      <c r="I46" s="41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1"/>
      <c r="I47" s="41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1"/>
      <c r="I48" s="41"/>
      <c r="J48" s="346" t="s">
        <v>130</v>
      </c>
      <c r="K48" s="324">
        <f>SUM(K38:K47)</f>
        <v>8</v>
      </c>
      <c r="L48" s="294"/>
      <c r="M48" s="294"/>
      <c r="N48" s="294"/>
      <c r="O48" s="294"/>
      <c r="P48" s="12"/>
    </row>
    <row r="49" spans="1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1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1:57" ht="15" customHeight="1" thickBot="1">
      <c r="B51" s="534" t="s">
        <v>17</v>
      </c>
      <c r="C51" s="534" t="s">
        <v>44</v>
      </c>
      <c r="D51" s="537" t="s">
        <v>45</v>
      </c>
      <c r="E51" s="500" t="s">
        <v>46</v>
      </c>
      <c r="F51" s="509" t="s">
        <v>47</v>
      </c>
      <c r="G51" s="546" t="s">
        <v>48</v>
      </c>
      <c r="H51" s="534" t="s">
        <v>49</v>
      </c>
      <c r="I51" s="534" t="s">
        <v>50</v>
      </c>
      <c r="J51" s="540" t="s">
        <v>28</v>
      </c>
      <c r="K51" s="498" t="s">
        <v>51</v>
      </c>
      <c r="L51" s="549" t="s">
        <v>52</v>
      </c>
      <c r="M51" s="540" t="s">
        <v>53</v>
      </c>
      <c r="N51" s="13"/>
      <c r="O51" s="13"/>
      <c r="P51" s="50"/>
    </row>
    <row r="52" spans="1:57" ht="28.5" customHeight="1" thickTop="1" thickBot="1">
      <c r="B52" s="535"/>
      <c r="C52" s="536"/>
      <c r="D52" s="538"/>
      <c r="E52" s="539"/>
      <c r="F52" s="551"/>
      <c r="G52" s="547"/>
      <c r="H52" s="535"/>
      <c r="I52" s="535"/>
      <c r="J52" s="541"/>
      <c r="K52" s="548"/>
      <c r="L52" s="550"/>
      <c r="M52" s="541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1:57" s="54" customFormat="1" ht="36.75" customHeight="1" thickBot="1">
      <c r="B53" s="480" t="str">
        <f>J38</f>
        <v>CARIB</v>
      </c>
      <c r="C53" s="479">
        <v>46077</v>
      </c>
      <c r="D53" s="442">
        <f>[29]February_2026!$AB$3</f>
        <v>212.5</v>
      </c>
      <c r="E53" s="443"/>
      <c r="F53" s="444"/>
      <c r="G53" s="445">
        <f>[29]February_2026!$AB$7</f>
        <v>201.6</v>
      </c>
      <c r="H53" s="458"/>
      <c r="I53" s="458"/>
      <c r="J53" s="448" t="s">
        <v>177</v>
      </c>
      <c r="K53" s="449">
        <f>[30]February_2026!$AB$18</f>
        <v>0.23578947368421055</v>
      </c>
      <c r="L53" s="457">
        <f>(((D53+E53)-G53)/(D53+E53))*100</f>
        <v>5.1294117647058854</v>
      </c>
      <c r="M53" s="455" t="s">
        <v>172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[10]January_2019!L5</f>
        <v>0</v>
      </c>
      <c r="AC53" s="57">
        <f>[10]January_2019!M5</f>
        <v>0</v>
      </c>
      <c r="AD53" s="57">
        <f>[10]January_2019!N5</f>
        <v>0</v>
      </c>
      <c r="AE53" s="57">
        <f>[10]January_2019!O5</f>
        <v>0</v>
      </c>
      <c r="AF53" s="57">
        <f>[10]January_2019!P5</f>
        <v>0</v>
      </c>
      <c r="AG53" s="57">
        <f>[10]January_2019!Q5</f>
        <v>0</v>
      </c>
      <c r="AH53" s="57">
        <f>[10]January_2019!R5</f>
        <v>0</v>
      </c>
      <c r="AI53" s="57">
        <f>[10]January_2019!S5</f>
        <v>0</v>
      </c>
      <c r="AJ53" s="57">
        <f>[10]January_2019!T5</f>
        <v>0</v>
      </c>
      <c r="AK53" s="57">
        <f>[10]January_2019!U5</f>
        <v>0</v>
      </c>
      <c r="AL53" s="57">
        <f>[10]January_2019!V5</f>
        <v>0</v>
      </c>
      <c r="AM53" s="57">
        <f>[10]January_2019!W5</f>
        <v>0</v>
      </c>
      <c r="AN53" s="57">
        <f>[10]January_2019!X5</f>
        <v>0</v>
      </c>
      <c r="AO53" s="57">
        <f>[10]January_2019!Y5</f>
        <v>0</v>
      </c>
      <c r="AP53" s="57">
        <f>[10]January_2019!Z5</f>
        <v>0</v>
      </c>
      <c r="AQ53" s="57">
        <f>[10]January_2019!AA5</f>
        <v>0</v>
      </c>
      <c r="AR53" s="57">
        <f>[10]January_2019!AB5</f>
        <v>0</v>
      </c>
      <c r="AS53" s="57">
        <f>[10]January_2019!AC5</f>
        <v>0</v>
      </c>
      <c r="AT53" s="57">
        <f>[10]January_2019!AD5</f>
        <v>0</v>
      </c>
      <c r="AU53" s="57">
        <f>[10]January_2019!AE5</f>
        <v>0</v>
      </c>
      <c r="AV53" s="57">
        <f>[10]January_2019!AF5</f>
        <v>0</v>
      </c>
      <c r="AW53" s="57">
        <f>[10]January_2019!AG5</f>
        <v>0</v>
      </c>
      <c r="AX53" s="277">
        <f>[10]January_2019!AH5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1:57" s="54" customFormat="1" ht="14.25" hidden="1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[10]January_2019!L6</f>
        <v>0</v>
      </c>
      <c r="AC54" s="57">
        <f>[10]January_2019!M6</f>
        <v>0</v>
      </c>
      <c r="AD54" s="57">
        <f>[10]January_2019!N6</f>
        <v>0</v>
      </c>
      <c r="AE54" s="57">
        <f>[10]January_2019!O6</f>
        <v>0</v>
      </c>
      <c r="AF54" s="57">
        <f>[10]January_2019!P6</f>
        <v>0</v>
      </c>
      <c r="AG54" s="57">
        <f>[10]January_2019!Q6</f>
        <v>0</v>
      </c>
      <c r="AH54" s="57">
        <f>[10]January_2019!R6</f>
        <v>0</v>
      </c>
      <c r="AI54" s="57">
        <f>[10]January_2019!S6</f>
        <v>0</v>
      </c>
      <c r="AJ54" s="57">
        <f>[10]January_2019!T6</f>
        <v>0</v>
      </c>
      <c r="AK54" s="57">
        <f>[10]January_2019!U6</f>
        <v>0</v>
      </c>
      <c r="AL54" s="57">
        <f>[10]January_2019!V6</f>
        <v>0</v>
      </c>
      <c r="AM54" s="57">
        <f>[10]January_2019!W6</f>
        <v>0</v>
      </c>
      <c r="AN54" s="57">
        <f>[10]January_2019!X6</f>
        <v>0</v>
      </c>
      <c r="AO54" s="57">
        <f>[10]January_2019!Y6</f>
        <v>0</v>
      </c>
      <c r="AP54" s="57">
        <f>[10]January_2019!Z6</f>
        <v>0</v>
      </c>
      <c r="AQ54" s="57">
        <f>[10]January_2019!AA6</f>
        <v>0</v>
      </c>
      <c r="AR54" s="57">
        <f>[10]January_2019!AB6</f>
        <v>0</v>
      </c>
      <c r="AS54" s="57">
        <f>[10]January_2019!AC6</f>
        <v>0</v>
      </c>
      <c r="AT54" s="57">
        <f>[10]January_2019!AD6</f>
        <v>0</v>
      </c>
      <c r="AU54" s="57">
        <f>[10]January_2019!AE6</f>
        <v>0</v>
      </c>
      <c r="AV54" s="57">
        <f>[10]January_2019!AF6</f>
        <v>0</v>
      </c>
      <c r="AW54" s="57">
        <f>[10]January_2019!AG6</f>
        <v>0</v>
      </c>
      <c r="AX54" s="277">
        <f>[10]January_2019!AH6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1:57" s="54" customFormat="1" ht="37.15" hidden="1" customHeight="1" thickBot="1">
      <c r="A55" s="54" t="s">
        <v>170</v>
      </c>
      <c r="B55" s="480"/>
      <c r="C55" s="479"/>
      <c r="D55" s="442"/>
      <c r="E55" s="443"/>
      <c r="F55" s="444"/>
      <c r="G55" s="445"/>
      <c r="H55" s="458"/>
      <c r="I55" s="458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[10]January_2019!L7</f>
        <v>285.8</v>
      </c>
      <c r="AC55" s="57">
        <f>[10]January_2019!M7</f>
        <v>508.1</v>
      </c>
      <c r="AD55" s="57">
        <f>[10]January_2019!N7</f>
        <v>0</v>
      </c>
      <c r="AE55" s="57">
        <f>[10]January_2019!O7</f>
        <v>0</v>
      </c>
      <c r="AF55" s="57">
        <f>[10]January_2019!P7</f>
        <v>109.56666666666666</v>
      </c>
      <c r="AG55" s="57">
        <f>[10]January_2019!Q7</f>
        <v>297.64999999999998</v>
      </c>
      <c r="AH55" s="57">
        <f>[10]January_2019!R7</f>
        <v>122.3</v>
      </c>
      <c r="AI55" s="57">
        <f>[10]January_2019!S7</f>
        <v>0</v>
      </c>
      <c r="AJ55" s="57">
        <f>[10]January_2019!T7</f>
        <v>294.7</v>
      </c>
      <c r="AK55" s="57">
        <f>[10]January_2019!U7</f>
        <v>280.5</v>
      </c>
      <c r="AL55" s="57">
        <f>[10]January_2019!V7</f>
        <v>0</v>
      </c>
      <c r="AM55" s="57">
        <f>[10]January_2019!W7</f>
        <v>0</v>
      </c>
      <c r="AN55" s="57">
        <f>[10]January_2019!X7</f>
        <v>188.25</v>
      </c>
      <c r="AO55" s="57">
        <f>[10]January_2019!Y7</f>
        <v>295.7</v>
      </c>
      <c r="AP55" s="57">
        <f>[10]January_2019!Z7</f>
        <v>257.8</v>
      </c>
      <c r="AQ55" s="57">
        <f>[10]January_2019!AA7</f>
        <v>291.2</v>
      </c>
      <c r="AR55" s="57">
        <f>[10]January_2019!AB7</f>
        <v>187</v>
      </c>
      <c r="AS55" s="57">
        <f>[10]January_2019!AC7</f>
        <v>0</v>
      </c>
      <c r="AT55" s="57">
        <f>[10]January_2019!AD7</f>
        <v>0</v>
      </c>
      <c r="AU55" s="57">
        <f>[10]January_2019!AE7</f>
        <v>485.1</v>
      </c>
      <c r="AV55" s="57">
        <f>[10]January_2019!AF7</f>
        <v>171.55</v>
      </c>
      <c r="AW55" s="57">
        <f>[10]January_2019!AG7</f>
        <v>423.8</v>
      </c>
      <c r="AX55" s="277">
        <f>[10]January_2019!AH7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19.5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38.450000000000003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48" t="s">
        <v>182</v>
      </c>
      <c r="K57" s="459"/>
      <c r="L57" s="457" t="e">
        <f>(((D57+E57)-G57)/(D57+E57))*100</f>
        <v>#DIV/0!</v>
      </c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7.15" hidden="1" customHeight="1" thickBot="1">
      <c r="B59" s="480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1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1:57" ht="15.75" thickBot="1">
      <c r="B64" s="542" t="s">
        <v>55</v>
      </c>
      <c r="C64" s="543"/>
      <c r="D64" s="543"/>
      <c r="E64" s="543"/>
      <c r="F64" s="544"/>
      <c r="G64" s="542" t="s">
        <v>56</v>
      </c>
      <c r="H64" s="543"/>
      <c r="I64" s="543"/>
      <c r="J64" s="544"/>
      <c r="K64" s="542" t="s">
        <v>51</v>
      </c>
      <c r="L64" s="543"/>
      <c r="M64" s="543"/>
      <c r="N64" s="545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282">
        <f>L53</f>
        <v>5.1294117647058854</v>
      </c>
      <c r="D66" s="76">
        <v>6.2838832877510518</v>
      </c>
      <c r="E66" s="76">
        <v>7.3696461377167939</v>
      </c>
      <c r="F66" s="66">
        <v>4.8</v>
      </c>
      <c r="G66" s="65">
        <f>[29]February_2026!$AB$11</f>
        <v>4.1283422459893195</v>
      </c>
      <c r="H66" s="477">
        <v>5.404317462603589</v>
      </c>
      <c r="I66" s="477">
        <v>6.7965850885289916</v>
      </c>
      <c r="J66" s="66">
        <v>4.8</v>
      </c>
      <c r="K66" s="67">
        <f>K53</f>
        <v>0.23578947368421055</v>
      </c>
      <c r="L66" s="194">
        <v>0.3887953403572954</v>
      </c>
      <c r="M66" s="194">
        <v>0.39777343814731958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6.4184435544972427</v>
      </c>
      <c r="E67" s="76">
        <v>6.2142510274519545</v>
      </c>
      <c r="F67" s="66">
        <v>4.8</v>
      </c>
      <c r="G67" s="65"/>
      <c r="H67" s="76">
        <v>5.7398544512411318</v>
      </c>
      <c r="I67" s="76">
        <v>6.2442524170129747</v>
      </c>
      <c r="J67" s="66">
        <v>4.8</v>
      </c>
      <c r="K67" s="67"/>
      <c r="L67" s="194">
        <v>0.45737082659367095</v>
      </c>
      <c r="M67" s="194">
        <v>0.53364949315775001</v>
      </c>
      <c r="N67" s="68">
        <v>1</v>
      </c>
      <c r="P67" s="69"/>
    </row>
    <row r="68" spans="2:16" ht="15">
      <c r="B68" s="34" t="s">
        <v>40</v>
      </c>
      <c r="C68" s="65"/>
      <c r="D68" s="76">
        <v>12.829403606102636</v>
      </c>
      <c r="E68" s="76">
        <v>12.083525257177943</v>
      </c>
      <c r="F68" s="66">
        <v>5.5</v>
      </c>
      <c r="G68" s="65"/>
      <c r="H68" s="76">
        <v>12.804756752111219</v>
      </c>
      <c r="I68" s="76">
        <v>12.329305540954939</v>
      </c>
      <c r="J68" s="66">
        <v>5.5</v>
      </c>
      <c r="K68" s="67"/>
      <c r="L68" s="194">
        <v>0.16539473684210526</v>
      </c>
      <c r="M68" s="194">
        <v>0.33891812865497073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5.0755456997699637</v>
      </c>
      <c r="F69" s="66">
        <v>3.3</v>
      </c>
      <c r="G69" s="65"/>
      <c r="H69" s="76"/>
      <c r="I69" s="76">
        <v>4.6359882890480018</v>
      </c>
      <c r="J69" s="66">
        <v>3.3</v>
      </c>
      <c r="K69" s="67"/>
      <c r="L69" s="194"/>
      <c r="M69" s="194">
        <v>0.66833333333333345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/>
      <c r="E71" s="76">
        <v>5.1105651105651271</v>
      </c>
      <c r="F71" s="70">
        <f>[11]May_2022!$M$43</f>
        <v>3.4878406700073312</v>
      </c>
      <c r="G71" s="282"/>
      <c r="H71" s="76"/>
      <c r="I71" s="76">
        <v>7.9131369535794072</v>
      </c>
      <c r="J71" s="66">
        <v>5.5</v>
      </c>
      <c r="K71" s="67"/>
      <c r="L71" s="194"/>
      <c r="M71" s="194">
        <v>1.3550877192982456</v>
      </c>
      <c r="N71" s="68">
        <v>1</v>
      </c>
      <c r="P71" s="69"/>
    </row>
    <row r="72" spans="2:16" ht="15">
      <c r="B72" s="37" t="s">
        <v>16</v>
      </c>
      <c r="C72" s="65"/>
      <c r="D72" s="76"/>
      <c r="E72" s="76">
        <v>2.0590520590520631</v>
      </c>
      <c r="F72" s="66">
        <v>3.3</v>
      </c>
      <c r="G72" s="282"/>
      <c r="H72" s="76"/>
      <c r="I72" s="76">
        <v>2.1755040108015784</v>
      </c>
      <c r="J72" s="66">
        <v>3.3</v>
      </c>
      <c r="K72" s="67"/>
      <c r="L72" s="194"/>
      <c r="M72" s="194">
        <v>0.88456140350877199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6.8300389248701183</v>
      </c>
      <c r="E75" s="76">
        <v>6.889441171194548</v>
      </c>
      <c r="F75" s="341">
        <v>5.5</v>
      </c>
      <c r="H75" s="76">
        <v>6.3113603612935307</v>
      </c>
      <c r="I75" s="76">
        <v>6.7113426621961754</v>
      </c>
      <c r="J75" s="341">
        <v>5.5</v>
      </c>
      <c r="L75" s="194">
        <v>0.37947006404901146</v>
      </c>
      <c r="M75" s="194">
        <v>0.47720732386521864</v>
      </c>
      <c r="N75" s="386">
        <v>1</v>
      </c>
    </row>
  </sheetData>
  <mergeCells count="51"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481" priority="65" operator="notBetween">
      <formula>#REF!</formula>
      <formula>#REF!</formula>
    </cfRule>
  </conditionalFormatting>
  <conditionalFormatting sqref="C50">
    <cfRule type="cellIs" dxfId="480" priority="159" stopIfTrue="1" operator="lessThan">
      <formula>96</formula>
    </cfRule>
    <cfRule type="cellIs" dxfId="479" priority="160" stopIfTrue="1" operator="greaterThan">
      <formula>100</formula>
    </cfRule>
  </conditionalFormatting>
  <conditionalFormatting sqref="C66:C70">
    <cfRule type="cellIs" dxfId="478" priority="128" stopIfTrue="1" operator="lessThanOrEqual">
      <formula>0</formula>
    </cfRule>
  </conditionalFormatting>
  <conditionalFormatting sqref="C66:C74">
    <cfRule type="cellIs" dxfId="477" priority="127" stopIfTrue="1" operator="greaterThan">
      <formula>$F66</formula>
    </cfRule>
  </conditionalFormatting>
  <conditionalFormatting sqref="C67">
    <cfRule type="cellIs" dxfId="476" priority="161" stopIfTrue="1" operator="greaterThan">
      <formula>$F66</formula>
    </cfRule>
  </conditionalFormatting>
  <conditionalFormatting sqref="C71">
    <cfRule type="cellIs" dxfId="475" priority="89" stopIfTrue="1" operator="lessThanOrEqual">
      <formula>0</formula>
    </cfRule>
    <cfRule type="cellIs" dxfId="474" priority="90" stopIfTrue="1" operator="greaterThan">
      <formula>$F70</formula>
    </cfRule>
  </conditionalFormatting>
  <conditionalFormatting sqref="C72:C74">
    <cfRule type="cellIs" dxfId="473" priority="129" stopIfTrue="1" operator="lessThanOrEqual">
      <formula>0</formula>
    </cfRule>
  </conditionalFormatting>
  <conditionalFormatting sqref="C77:C81">
    <cfRule type="cellIs" dxfId="472" priority="151" stopIfTrue="1" operator="lessThanOrEqual">
      <formula>0</formula>
    </cfRule>
  </conditionalFormatting>
  <conditionalFormatting sqref="C78:C81">
    <cfRule type="cellIs" dxfId="471" priority="150" stopIfTrue="1" operator="greaterThan">
      <formula>$F$77</formula>
    </cfRule>
  </conditionalFormatting>
  <conditionalFormatting sqref="C83">
    <cfRule type="cellIs" dxfId="470" priority="152" stopIfTrue="1" operator="greaterThan">
      <formula>$F$77</formula>
    </cfRule>
    <cfRule type="cellIs" dxfId="469" priority="153" stopIfTrue="1" operator="lessThanOrEqual">
      <formula>0</formula>
    </cfRule>
  </conditionalFormatting>
  <conditionalFormatting sqref="C77:D77 D79:D85">
    <cfRule type="cellIs" dxfId="468" priority="145" stopIfTrue="1" operator="greaterThan">
      <formula>4.5</formula>
    </cfRule>
  </conditionalFormatting>
  <conditionalFormatting sqref="D46:D47">
    <cfRule type="cellIs" dxfId="467" priority="66" operator="notBetween">
      <formula>#REF!</formula>
      <formula>#REF!</formula>
    </cfRule>
  </conditionalFormatting>
  <conditionalFormatting sqref="D66:D73">
    <cfRule type="cellIs" dxfId="466" priority="37" stopIfTrue="1" operator="lessThanOrEqual">
      <formula>0</formula>
    </cfRule>
  </conditionalFormatting>
  <conditionalFormatting sqref="D66:D75">
    <cfRule type="cellIs" dxfId="465" priority="16" stopIfTrue="1" operator="lessThanOrEqual">
      <formula>0</formula>
    </cfRule>
  </conditionalFormatting>
  <conditionalFormatting sqref="D74">
    <cfRule type="cellIs" dxfId="464" priority="36" stopIfTrue="1" operator="lessThanOrEqual">
      <formula>0</formula>
    </cfRule>
  </conditionalFormatting>
  <conditionalFormatting sqref="D75">
    <cfRule type="cellIs" dxfId="463" priority="31" stopIfTrue="1" operator="lessThanOrEqual">
      <formula>0</formula>
    </cfRule>
  </conditionalFormatting>
  <conditionalFormatting sqref="D77 D79:D85">
    <cfRule type="cellIs" dxfId="462" priority="146" stopIfTrue="1" operator="lessThanOrEqual">
      <formula>0</formula>
    </cfRule>
  </conditionalFormatting>
  <conditionalFormatting sqref="D78">
    <cfRule type="cellIs" dxfId="461" priority="138" stopIfTrue="1" operator="lessThanOrEqual">
      <formula>0</formula>
    </cfRule>
    <cfRule type="cellIs" dxfId="460" priority="137" stopIfTrue="1" operator="greaterThan">
      <formula>$F$77</formula>
    </cfRule>
  </conditionalFormatting>
  <conditionalFormatting sqref="D66:E75">
    <cfRule type="cellIs" dxfId="459" priority="18" stopIfTrue="1" operator="greaterThan">
      <formula>$F66</formula>
    </cfRule>
  </conditionalFormatting>
  <conditionalFormatting sqref="D75:E75">
    <cfRule type="cellIs" dxfId="458" priority="20" stopIfTrue="1" operator="lessThanOrEqual">
      <formula>0</formula>
    </cfRule>
  </conditionalFormatting>
  <conditionalFormatting sqref="E10:E21">
    <cfRule type="cellIs" dxfId="457" priority="6" operator="lessThan">
      <formula>48</formula>
    </cfRule>
  </conditionalFormatting>
  <conditionalFormatting sqref="E49 E50:F50">
    <cfRule type="cellIs" dxfId="456" priority="142" stopIfTrue="1" operator="greaterThan">
      <formula>100</formula>
    </cfRule>
  </conditionalFormatting>
  <conditionalFormatting sqref="E50">
    <cfRule type="cellIs" dxfId="455" priority="139" stopIfTrue="1" operator="lessThan">
      <formula>96.8</formula>
    </cfRule>
    <cfRule type="cellIs" dxfId="454" priority="140" stopIfTrue="1" operator="greaterThan">
      <formula>100</formula>
    </cfRule>
  </conditionalFormatting>
  <conditionalFormatting sqref="E66:E74">
    <cfRule type="cellIs" dxfId="453" priority="17" stopIfTrue="1" operator="lessThanOrEqual">
      <formula>0</formula>
    </cfRule>
  </conditionalFormatting>
  <conditionalFormatting sqref="E66:E75">
    <cfRule type="cellIs" dxfId="452" priority="19" stopIfTrue="1" operator="lessThanOrEqual">
      <formula>0</formula>
    </cfRule>
  </conditionalFormatting>
  <conditionalFormatting sqref="E77:E85">
    <cfRule type="cellIs" dxfId="451" priority="131" stopIfTrue="1" operator="greaterThan">
      <formula>4.5</formula>
    </cfRule>
    <cfRule type="cellIs" dxfId="450" priority="132" stopIfTrue="1" operator="lessThanOrEqual">
      <formula>0</formula>
    </cfRule>
  </conditionalFormatting>
  <conditionalFormatting sqref="E50:F50 E49">
    <cfRule type="cellIs" dxfId="449" priority="141" stopIfTrue="1" operator="lessThan">
      <formula>96.5</formula>
    </cfRule>
  </conditionalFormatting>
  <conditionalFormatting sqref="F10:F21">
    <cfRule type="cellIs" dxfId="448" priority="12" operator="greaterThan">
      <formula>60</formula>
    </cfRule>
  </conditionalFormatting>
  <conditionalFormatting sqref="F50">
    <cfRule type="cellIs" dxfId="447" priority="158" stopIfTrue="1" operator="greaterThan">
      <formula>100</formula>
    </cfRule>
    <cfRule type="cellIs" dxfId="446" priority="157" stopIfTrue="1" operator="lessThan">
      <formula>96.8</formula>
    </cfRule>
  </conditionalFormatting>
  <conditionalFormatting sqref="F75">
    <cfRule type="cellIs" dxfId="445" priority="35" stopIfTrue="1" operator="lessThanOrEqual">
      <formula>0</formula>
    </cfRule>
    <cfRule type="cellIs" dxfId="444" priority="34" stopIfTrue="1" operator="greaterThan">
      <formula>$F75</formula>
    </cfRule>
  </conditionalFormatting>
  <conditionalFormatting sqref="G10:G20">
    <cfRule type="expression" dxfId="443" priority="8">
      <formula>IF(+(IF(G10&lt;S10,0,IF(G10&gt;T10,0,1)))=0,1)</formula>
    </cfRule>
  </conditionalFormatting>
  <conditionalFormatting sqref="G66:G67">
    <cfRule type="cellIs" dxfId="442" priority="32" stopIfTrue="1" operator="greaterThan">
      <formula>$F66</formula>
    </cfRule>
    <cfRule type="cellIs" dxfId="441" priority="33" stopIfTrue="1" operator="lessThanOrEqual">
      <formula>0</formula>
    </cfRule>
    <cfRule type="cellIs" dxfId="440" priority="38" stopIfTrue="1" operator="greaterThan">
      <formula>$F66</formula>
    </cfRule>
    <cfRule type="cellIs" dxfId="439" priority="39" stopIfTrue="1" operator="lessThanOrEqual">
      <formula>0</formula>
    </cfRule>
  </conditionalFormatting>
  <conditionalFormatting sqref="G68">
    <cfRule type="cellIs" dxfId="438" priority="42" stopIfTrue="1" operator="greaterThan">
      <formula>$F67</formula>
    </cfRule>
    <cfRule type="cellIs" dxfId="437" priority="43" stopIfTrue="1" operator="lessThanOrEqual">
      <formula>0</formula>
    </cfRule>
  </conditionalFormatting>
  <conditionalFormatting sqref="G69">
    <cfRule type="cellIs" dxfId="436" priority="26" stopIfTrue="1" operator="greaterThan">
      <formula>$F69</formula>
    </cfRule>
    <cfRule type="cellIs" dxfId="435" priority="27" stopIfTrue="1" operator="lessThanOrEqual">
      <formula>0</formula>
    </cfRule>
    <cfRule type="cellIs" dxfId="434" priority="25" stopIfTrue="1" operator="lessThanOrEqual">
      <formula>0</formula>
    </cfRule>
    <cfRule type="cellIs" dxfId="433" priority="24" stopIfTrue="1" operator="greaterThan">
      <formula>$F69</formula>
    </cfRule>
  </conditionalFormatting>
  <conditionalFormatting sqref="G70:G74">
    <cfRule type="cellIs" dxfId="432" priority="40" stopIfTrue="1" operator="greaterThan">
      <formula>$J70</formula>
    </cfRule>
    <cfRule type="cellIs" dxfId="431" priority="41" stopIfTrue="1" operator="lessThanOrEqual">
      <formula>0</formula>
    </cfRule>
  </conditionalFormatting>
  <conditionalFormatting sqref="G79:G84 C82 C84">
    <cfRule type="cellIs" dxfId="430" priority="155" stopIfTrue="1" operator="lessThanOrEqual">
      <formula>0</formula>
    </cfRule>
    <cfRule type="cellIs" dxfId="429" priority="154" stopIfTrue="1" operator="greaterThan">
      <formula>4.5</formula>
    </cfRule>
  </conditionalFormatting>
  <conditionalFormatting sqref="G78:H78">
    <cfRule type="cellIs" dxfId="428" priority="136" stopIfTrue="1" operator="lessThanOrEqual">
      <formula>0</formula>
    </cfRule>
    <cfRule type="cellIs" dxfId="427" priority="135" stopIfTrue="1" operator="greaterThan">
      <formula>$F$77</formula>
    </cfRule>
  </conditionalFormatting>
  <conditionalFormatting sqref="H10:H20 G21:H21">
    <cfRule type="expression" dxfId="426" priority="62">
      <formula>IF(+(IF(G10&lt;#REF!,0,IF(G10&gt;#REF!,0,1)))=0,1)</formula>
    </cfRule>
  </conditionalFormatting>
  <conditionalFormatting sqref="H35:H49 I37:I48">
    <cfRule type="cellIs" dxfId="425" priority="133" stopIfTrue="1" operator="greaterThan">
      <formula>0</formula>
    </cfRule>
  </conditionalFormatting>
  <conditionalFormatting sqref="H53:H57">
    <cfRule type="cellIs" dxfId="424" priority="48" stopIfTrue="1" operator="greaterThan">
      <formula>$F$66</formula>
    </cfRule>
    <cfRule type="cellIs" dxfId="423" priority="57" stopIfTrue="1" operator="lessThanOrEqual">
      <formula>0</formula>
    </cfRule>
    <cfRule type="cellIs" dxfId="422" priority="47" stopIfTrue="1" operator="lessThanOrEqual">
      <formula>0</formula>
    </cfRule>
    <cfRule type="cellIs" dxfId="421" priority="59" stopIfTrue="1" operator="lessThanOrEqual">
      <formula>0</formula>
    </cfRule>
    <cfRule type="cellIs" dxfId="420" priority="56" stopIfTrue="1" operator="greaterThan">
      <formula>$F$69</formula>
    </cfRule>
    <cfRule type="cellIs" dxfId="419" priority="58" stopIfTrue="1" operator="greaterThan">
      <formula>$F$67</formula>
    </cfRule>
  </conditionalFormatting>
  <conditionalFormatting sqref="H58:H59">
    <cfRule type="cellIs" dxfId="418" priority="102" stopIfTrue="1" operator="lessThanOrEqual">
      <formula>0</formula>
    </cfRule>
    <cfRule type="cellIs" dxfId="417" priority="101" stopIfTrue="1" operator="greaterThan">
      <formula>$F$21</formula>
    </cfRule>
    <cfRule type="cellIs" dxfId="416" priority="104" stopIfTrue="1" operator="lessThanOrEqual">
      <formula>0</formula>
    </cfRule>
    <cfRule type="cellIs" dxfId="415" priority="103" stopIfTrue="1" operator="greaterThan">
      <formula>#REF!</formula>
    </cfRule>
    <cfRule type="cellIs" dxfId="414" priority="92" stopIfTrue="1" operator="lessThanOrEqual">
      <formula>0</formula>
    </cfRule>
    <cfRule type="cellIs" dxfId="413" priority="93" stopIfTrue="1" operator="greaterThan">
      <formula>#REF!</formula>
    </cfRule>
  </conditionalFormatting>
  <conditionalFormatting sqref="H60">
    <cfRule type="cellIs" dxfId="412" priority="118" stopIfTrue="1" operator="lessThanOrEqual">
      <formula>0</formula>
    </cfRule>
    <cfRule type="cellIs" dxfId="411" priority="117" stopIfTrue="1" operator="greaterThan">
      <formula>$F$35</formula>
    </cfRule>
    <cfRule type="cellIs" dxfId="410" priority="116" stopIfTrue="1" operator="lessThanOrEqual">
      <formula>0</formula>
    </cfRule>
    <cfRule type="cellIs" dxfId="409" priority="115" stopIfTrue="1" operator="greaterThan">
      <formula>$F$37</formula>
    </cfRule>
    <cfRule type="cellIs" dxfId="408" priority="106" stopIfTrue="1" operator="lessThanOrEqual">
      <formula>0</formula>
    </cfRule>
    <cfRule type="cellIs" dxfId="407" priority="107" stopIfTrue="1" operator="greaterThan">
      <formula>$F$34</formula>
    </cfRule>
  </conditionalFormatting>
  <conditionalFormatting sqref="H61:H62">
    <cfRule type="cellIs" dxfId="406" priority="87" stopIfTrue="1" operator="greaterThan">
      <formula>#REF!</formula>
    </cfRule>
    <cfRule type="cellIs" dxfId="405" priority="86" stopIfTrue="1" operator="lessThanOrEqual">
      <formula>0</formula>
    </cfRule>
    <cfRule type="cellIs" dxfId="404" priority="76" stopIfTrue="1" operator="lessThanOrEqual">
      <formula>0</formula>
    </cfRule>
    <cfRule type="cellIs" dxfId="403" priority="77" stopIfTrue="1" operator="greaterThan">
      <formula>#REF!</formula>
    </cfRule>
    <cfRule type="cellIs" dxfId="402" priority="85" stopIfTrue="1" operator="greaterThan">
      <formula>$F$21</formula>
    </cfRule>
    <cfRule type="cellIs" dxfId="401" priority="88" stopIfTrue="1" operator="lessThanOrEqual">
      <formula>0</formula>
    </cfRule>
  </conditionalFormatting>
  <conditionalFormatting sqref="H77 H79:H85">
    <cfRule type="cellIs" dxfId="400" priority="147" stopIfTrue="1" operator="greaterThan">
      <formula>4.5</formula>
    </cfRule>
    <cfRule type="cellIs" dxfId="399" priority="148" stopIfTrue="1" operator="lessThanOrEqual">
      <formula>0</formula>
    </cfRule>
  </conditionalFormatting>
  <conditionalFormatting sqref="H53:I57">
    <cfRule type="cellIs" dxfId="398" priority="49" stopIfTrue="1" operator="lessThanOrEqual">
      <formula>0</formula>
    </cfRule>
    <cfRule type="cellIs" dxfId="397" priority="46" stopIfTrue="1" operator="greaterThan">
      <formula>$F$68</formula>
    </cfRule>
  </conditionalFormatting>
  <conditionalFormatting sqref="H58:I59">
    <cfRule type="cellIs" dxfId="396" priority="91" stopIfTrue="1" operator="greaterThan">
      <formula>#REF!</formula>
    </cfRule>
    <cfRule type="cellIs" dxfId="395" priority="94" stopIfTrue="1" operator="lessThanOrEqual">
      <formula>0</formula>
    </cfRule>
  </conditionalFormatting>
  <conditionalFormatting sqref="H60:I60">
    <cfRule type="cellIs" dxfId="394" priority="105" stopIfTrue="1" operator="greaterThan">
      <formula>$F$36</formula>
    </cfRule>
    <cfRule type="cellIs" dxfId="393" priority="108" stopIfTrue="1" operator="lessThanOrEqual">
      <formula>0</formula>
    </cfRule>
  </conditionalFormatting>
  <conditionalFormatting sqref="H61:I62">
    <cfRule type="cellIs" dxfId="392" priority="75" stopIfTrue="1" operator="greaterThan">
      <formula>#REF!</formula>
    </cfRule>
    <cfRule type="cellIs" dxfId="391" priority="78" stopIfTrue="1" operator="lessThanOrEqual">
      <formula>0</formula>
    </cfRule>
  </conditionalFormatting>
  <conditionalFormatting sqref="H66:I73">
    <cfRule type="cellIs" dxfId="390" priority="14" stopIfTrue="1" operator="greaterThan">
      <formula>$J66</formula>
    </cfRule>
    <cfRule type="cellIs" dxfId="389" priority="15" stopIfTrue="1" operator="lessThanOrEqual">
      <formula>0</formula>
    </cfRule>
  </conditionalFormatting>
  <conditionalFormatting sqref="H74:I74">
    <cfRule type="cellIs" dxfId="388" priority="23" operator="greaterThan">
      <formula>5.3</formula>
    </cfRule>
  </conditionalFormatting>
  <conditionalFormatting sqref="H75:I75">
    <cfRule type="cellIs" dxfId="387" priority="22" stopIfTrue="1" operator="lessThanOrEqual">
      <formula>0</formula>
    </cfRule>
    <cfRule type="cellIs" dxfId="386" priority="21" stopIfTrue="1" operator="greaterThan">
      <formula>$J75</formula>
    </cfRule>
  </conditionalFormatting>
  <conditionalFormatting sqref="I53:I57">
    <cfRule type="cellIs" dxfId="385" priority="52" stopIfTrue="1" operator="greaterThan">
      <formula>$F$68</formula>
    </cfRule>
    <cfRule type="cellIs" dxfId="384" priority="54" stopIfTrue="1" operator="greaterThan">
      <formula>$F$66</formula>
    </cfRule>
    <cfRule type="cellIs" dxfId="383" priority="53" stopIfTrue="1" operator="lessThanOrEqual">
      <formula>0</formula>
    </cfRule>
    <cfRule type="cellIs" dxfId="382" priority="51" stopIfTrue="1" operator="lessThanOrEqual">
      <formula>0</formula>
    </cfRule>
    <cfRule type="cellIs" dxfId="381" priority="50" stopIfTrue="1" operator="greaterThan">
      <formula>$F$66</formula>
    </cfRule>
    <cfRule type="cellIs" dxfId="380" priority="55" stopIfTrue="1" operator="lessThanOrEqual">
      <formula>0</formula>
    </cfRule>
  </conditionalFormatting>
  <conditionalFormatting sqref="I58:I59">
    <cfRule type="cellIs" dxfId="379" priority="96" stopIfTrue="1" operator="lessThanOrEqual">
      <formula>0</formula>
    </cfRule>
    <cfRule type="cellIs" dxfId="378" priority="97" stopIfTrue="1" operator="greaterThan">
      <formula>#REF!</formula>
    </cfRule>
    <cfRule type="cellIs" dxfId="377" priority="95" stopIfTrue="1" operator="greaterThan">
      <formula>#REF!</formula>
    </cfRule>
    <cfRule type="cellIs" dxfId="376" priority="99" stopIfTrue="1" operator="greaterThan">
      <formula>#REF!</formula>
    </cfRule>
    <cfRule type="cellIs" dxfId="375" priority="100" stopIfTrue="1" operator="lessThanOrEqual">
      <formula>0</formula>
    </cfRule>
    <cfRule type="cellIs" dxfId="374" priority="98" stopIfTrue="1" operator="lessThanOrEqual">
      <formula>0</formula>
    </cfRule>
  </conditionalFormatting>
  <conditionalFormatting sqref="I60">
    <cfRule type="cellIs" dxfId="373" priority="114" stopIfTrue="1" operator="lessThanOrEqual">
      <formula>0</formula>
    </cfRule>
    <cfRule type="cellIs" dxfId="372" priority="112" stopIfTrue="1" operator="lessThanOrEqual">
      <formula>0</formula>
    </cfRule>
    <cfRule type="cellIs" dxfId="371" priority="111" stopIfTrue="1" operator="greaterThan">
      <formula>$F$36</formula>
    </cfRule>
    <cfRule type="cellIs" dxfId="370" priority="110" stopIfTrue="1" operator="lessThanOrEqual">
      <formula>0</formula>
    </cfRule>
    <cfRule type="cellIs" dxfId="369" priority="113" stopIfTrue="1" operator="greaterThan">
      <formula>$F$34</formula>
    </cfRule>
    <cfRule type="cellIs" dxfId="368" priority="109" stopIfTrue="1" operator="greaterThan">
      <formula>$F$34</formula>
    </cfRule>
  </conditionalFormatting>
  <conditionalFormatting sqref="I61:I62">
    <cfRule type="cellIs" dxfId="367" priority="81" stopIfTrue="1" operator="greaterThan">
      <formula>#REF!</formula>
    </cfRule>
    <cfRule type="cellIs" dxfId="366" priority="82" stopIfTrue="1" operator="lessThanOrEqual">
      <formula>0</formula>
    </cfRule>
    <cfRule type="cellIs" dxfId="365" priority="83" stopIfTrue="1" operator="greaterThan">
      <formula>#REF!</formula>
    </cfRule>
    <cfRule type="cellIs" dxfId="364" priority="84" stopIfTrue="1" operator="lessThanOrEqual">
      <formula>0</formula>
    </cfRule>
    <cfRule type="cellIs" dxfId="363" priority="79" stopIfTrue="1" operator="greaterThan">
      <formula>#REF!</formula>
    </cfRule>
    <cfRule type="cellIs" dxfId="362" priority="80" stopIfTrue="1" operator="lessThanOrEqual">
      <formula>0</formula>
    </cfRule>
  </conditionalFormatting>
  <conditionalFormatting sqref="I77:I85">
    <cfRule type="cellIs" dxfId="361" priority="143" stopIfTrue="1" operator="greaterThan">
      <formula>4.5</formula>
    </cfRule>
    <cfRule type="cellIs" dxfId="360" priority="144" stopIfTrue="1" operator="lessThanOrEqual">
      <formula>0</formula>
    </cfRule>
  </conditionalFormatting>
  <conditionalFormatting sqref="I10:J21">
    <cfRule type="cellIs" dxfId="359" priority="2" operator="lessThan">
      <formula>97.9</formula>
    </cfRule>
  </conditionalFormatting>
  <conditionalFormatting sqref="J24">
    <cfRule type="cellIs" dxfId="358" priority="45" operator="lessThan">
      <formula>97.95</formula>
    </cfRule>
  </conditionalFormatting>
  <conditionalFormatting sqref="J26">
    <cfRule type="cellIs" dxfId="357" priority="121" stopIfTrue="1" operator="greaterThan">
      <formula>100</formula>
    </cfRule>
    <cfRule type="cellIs" dxfId="356" priority="120" stopIfTrue="1" operator="lessThan">
      <formula>96.8</formula>
    </cfRule>
    <cfRule type="cellIs" dxfId="355" priority="122" operator="lessThan">
      <formula>98</formula>
    </cfRule>
  </conditionalFormatting>
  <conditionalFormatting sqref="J26:J28">
    <cfRule type="cellIs" dxfId="354" priority="119" operator="lessThan">
      <formula>97.4</formula>
    </cfRule>
  </conditionalFormatting>
  <conditionalFormatting sqref="J29:J30">
    <cfRule type="cellIs" dxfId="353" priority="123" operator="lessThan">
      <formula>98</formula>
    </cfRule>
  </conditionalFormatting>
  <conditionalFormatting sqref="J31:J32">
    <cfRule type="cellIs" dxfId="352" priority="124" stopIfTrue="1" operator="lessThan">
      <formula>96.8</formula>
    </cfRule>
    <cfRule type="cellIs" dxfId="351" priority="125" stopIfTrue="1" operator="greaterThan">
      <formula>100</formula>
    </cfRule>
  </conditionalFormatting>
  <conditionalFormatting sqref="J31:J33">
    <cfRule type="cellIs" dxfId="350" priority="126" operator="lessThan">
      <formula>98</formula>
    </cfRule>
  </conditionalFormatting>
  <conditionalFormatting sqref="J62">
    <cfRule type="cellIs" dxfId="349" priority="74" stopIfTrue="1" operator="lessThanOrEqual">
      <formula>0</formula>
    </cfRule>
    <cfRule type="cellIs" dxfId="348" priority="73" stopIfTrue="1" operator="greaterThan">
      <formula>#REF!</formula>
    </cfRule>
    <cfRule type="cellIs" dxfId="347" priority="72" stopIfTrue="1" operator="lessThanOrEqual">
      <formula>0</formula>
    </cfRule>
    <cfRule type="cellIs" dxfId="346" priority="71" stopIfTrue="1" operator="greaterThan">
      <formula>#REF!</formula>
    </cfRule>
    <cfRule type="cellIs" dxfId="345" priority="70" stopIfTrue="1" operator="lessThanOrEqual">
      <formula>0</formula>
    </cfRule>
    <cfRule type="cellIs" dxfId="344" priority="69" stopIfTrue="1" operator="greaterThan">
      <formula>#REF!</formula>
    </cfRule>
    <cfRule type="cellIs" dxfId="343" priority="68" stopIfTrue="1" operator="lessThanOrEqual">
      <formula>0</formula>
    </cfRule>
    <cfRule type="cellIs" dxfId="342" priority="67" stopIfTrue="1" operator="greaterThan">
      <formula>#REF!</formula>
    </cfRule>
  </conditionalFormatting>
  <conditionalFormatting sqref="J75">
    <cfRule type="cellIs" dxfId="341" priority="29" stopIfTrue="1" operator="lessThanOrEqual">
      <formula>0</formula>
    </cfRule>
    <cfRule type="cellIs" dxfId="340" priority="28" stopIfTrue="1" operator="greaterThan">
      <formula>$F75</formula>
    </cfRule>
  </conditionalFormatting>
  <conditionalFormatting sqref="K10:K21">
    <cfRule type="cellIs" dxfId="339" priority="4" operator="lessThan">
      <formula>4</formula>
    </cfRule>
    <cfRule type="cellIs" dxfId="338" priority="3" operator="greaterThan">
      <formula>6</formula>
    </cfRule>
    <cfRule type="cellIs" dxfId="337" priority="5" operator="greaterThan">
      <formula>6.4</formula>
    </cfRule>
  </conditionalFormatting>
  <conditionalFormatting sqref="K53:K62">
    <cfRule type="cellIs" dxfId="336" priority="60" stopIfTrue="1" operator="lessThan">
      <formula>100%</formula>
    </cfRule>
  </conditionalFormatting>
  <conditionalFormatting sqref="K77:K82">
    <cfRule type="cellIs" dxfId="335" priority="149" stopIfTrue="1" operator="lessThan">
      <formula>100%</formula>
    </cfRule>
  </conditionalFormatting>
  <conditionalFormatting sqref="K84:K85">
    <cfRule type="cellIs" dxfId="334" priority="156" stopIfTrue="1" operator="lessThan">
      <formula>100%</formula>
    </cfRule>
  </conditionalFormatting>
  <conditionalFormatting sqref="K66:M74">
    <cfRule type="cellIs" dxfId="333" priority="13" stopIfTrue="1" operator="lessThan">
      <formula>100%</formula>
    </cfRule>
  </conditionalFormatting>
  <conditionalFormatting sqref="L10:L21">
    <cfRule type="cellIs" dxfId="332" priority="10" operator="greaterThan">
      <formula>65</formula>
    </cfRule>
    <cfRule type="cellIs" dxfId="331" priority="9" operator="between">
      <formula>61</formula>
      <formula>65</formula>
    </cfRule>
  </conditionalFormatting>
  <conditionalFormatting sqref="L24:M35">
    <cfRule type="cellIs" dxfId="330" priority="63" operator="lessThan">
      <formula>97.95</formula>
    </cfRule>
  </conditionalFormatting>
  <conditionalFormatting sqref="L75:M75">
    <cfRule type="cellIs" dxfId="329" priority="30" stopIfTrue="1" operator="lessThan">
      <formula>100%</formula>
    </cfRule>
  </conditionalFormatting>
  <conditionalFormatting sqref="L39:N39">
    <cfRule type="cellIs" dxfId="328" priority="64" operator="notEqual">
      <formula>#REF!</formula>
    </cfRule>
  </conditionalFormatting>
  <conditionalFormatting sqref="L77:N85">
    <cfRule type="cellIs" dxfId="327" priority="134" stopIfTrue="1" operator="lessThan">
      <formula>100%</formula>
    </cfRule>
  </conditionalFormatting>
  <conditionalFormatting sqref="M10:M20">
    <cfRule type="expression" dxfId="326" priority="7">
      <formula>IF(+(IF(M10&lt;U10,0,IF(M10&gt;V10,0,1)))=0,1)</formula>
    </cfRule>
  </conditionalFormatting>
  <conditionalFormatting sqref="M21:N21">
    <cfRule type="expression" dxfId="325" priority="162">
      <formula>IF(+(IF(M21&lt;#REF!,0,IF(M21&gt;#REF!,0,1)))=0,1)</formula>
    </cfRule>
  </conditionalFormatting>
  <conditionalFormatting sqref="N10:N20">
    <cfRule type="expression" dxfId="324" priority="1">
      <formula>IF(+(IF(N10&lt;W10,0,IF(N10&gt;X10,0,1)))=0,1)</formula>
    </cfRule>
  </conditionalFormatting>
  <conditionalFormatting sqref="N66:N75">
    <cfRule type="cellIs" dxfId="323" priority="44" stopIfTrue="1" operator="lessThan">
      <formula>100%</formula>
    </cfRule>
  </conditionalFormatting>
  <conditionalFormatting sqref="P6">
    <cfRule type="cellIs" dxfId="322" priority="130" operator="greaterThanOrEqual">
      <formula>19</formula>
    </cfRule>
  </conditionalFormatting>
  <dataValidations count="1">
    <dataValidation type="list" allowBlank="1" showInputMessage="1" showErrorMessage="1" sqref="R8" xr:uid="{5B6E4763-26DB-413F-B74E-A4A1EC8C50A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0519-D943-4BE5-A0E7-E12CE448C20A}">
  <sheetPr>
    <pageSetUpPr fitToPage="1"/>
  </sheetPr>
  <dimension ref="A1:BE75"/>
  <sheetViews>
    <sheetView topLeftCell="A41" zoomScale="80" zoomScaleNormal="80" workbookViewId="0">
      <selection activeCell="G72" sqref="G72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46080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[3]Brewhouse!$A184</f>
        <v>CA142</v>
      </c>
      <c r="D10" s="279">
        <f>[3]Brewhouse!$AF184</f>
        <v>49.6</v>
      </c>
      <c r="E10" s="279">
        <f>[3]Brewhouse!$AI184</f>
        <v>49.7</v>
      </c>
      <c r="F10" s="278">
        <f>[3]Brewhouse!$V184</f>
        <v>52</v>
      </c>
      <c r="G10" s="279">
        <f>[3]Brewhouse!AG184</f>
        <v>11.8</v>
      </c>
      <c r="H10" s="396">
        <v>12</v>
      </c>
      <c r="I10" s="368">
        <f>[3]Brewhouse!$AU184</f>
        <v>97.02181756168649</v>
      </c>
      <c r="J10" s="368">
        <f>[3]Brewhouse!$AV184</f>
        <v>98.466944469908185</v>
      </c>
      <c r="K10" s="281">
        <f>[3]Brewhouse!$Q184</f>
        <v>11.547169811320749</v>
      </c>
      <c r="L10" s="276">
        <f>[3]Brewhouse!$P184</f>
        <v>57</v>
      </c>
      <c r="M10" s="397">
        <f>[3]Brewhouse!$U184-[3]Brewhouse!$T184</f>
        <v>0.10277777777777775</v>
      </c>
      <c r="N10" s="370">
        <f>[3]Brewhouse!$Z184</f>
        <v>0.25138888888888888</v>
      </c>
      <c r="O10" s="420" t="str">
        <f>[3]Brewhouse!$AX184</f>
        <v>K. Benjamin</v>
      </c>
      <c r="P10" s="418"/>
      <c r="R10" s="277" t="str">
        <f t="shared" ref="R10:R35" si="0">B10</f>
        <v>CARIB</v>
      </c>
      <c r="S10" s="472">
        <f t="shared" ref="S10:S35" si="1">VLOOKUP($B10,$R$3:$X$9,2,FALSE)</f>
        <v>11.6</v>
      </c>
      <c r="T10" s="472">
        <f t="shared" ref="T10:T35" si="2">VLOOKUP($B10,$R$3:$X$9,3,FALSE)</f>
        <v>12</v>
      </c>
      <c r="U10" s="297">
        <f t="shared" ref="U10:U35" si="3">VLOOKUP($B10,$R$3:$X$9,4,FALSE)</f>
        <v>0</v>
      </c>
      <c r="V10" s="297">
        <f t="shared" ref="V10:V35" si="4">VLOOKUP($B10,$R$3:$X$9,5,FALSE)</f>
        <v>0.118055555555556</v>
      </c>
      <c r="W10" s="297">
        <f t="shared" ref="W10:W35" si="5">VLOOKUP($B10,$R$3:$X$9,6,FALSE)</f>
        <v>0.22569444444444445</v>
      </c>
      <c r="X10" s="297">
        <f t="shared" ref="X10:X35" si="6">VLOOKUP($B10,$R$3:$X$9,7,FALSE)</f>
        <v>0.2638888888888889</v>
      </c>
      <c r="Y10" s="297">
        <f t="shared" ref="Y10:Y35" si="7">VLOOKUP($B10,$R$3:$Z$9,8,FALSE)</f>
        <v>0</v>
      </c>
      <c r="Z10" s="472">
        <f t="shared" ref="Z10:Z35" si="8">VLOOKUP($B10,$R$3:$Z$9,9,FALSE)</f>
        <v>60</v>
      </c>
    </row>
    <row r="11" spans="2:29" ht="16.5" customHeight="1">
      <c r="B11" s="29" t="s">
        <v>6</v>
      </c>
      <c r="C11" s="366" t="str">
        <f>[3]Brewhouse!$A185</f>
        <v>CA143</v>
      </c>
      <c r="D11" s="279">
        <f>[3]Brewhouse!$AF185</f>
        <v>49.2</v>
      </c>
      <c r="E11" s="279">
        <f>[3]Brewhouse!$AI185</f>
        <v>49.2</v>
      </c>
      <c r="F11" s="278">
        <f>[3]Brewhouse!$V185</f>
        <v>51</v>
      </c>
      <c r="G11" s="279">
        <f>[3]Brewhouse!AG185</f>
        <v>12</v>
      </c>
      <c r="H11" s="396">
        <v>12.2</v>
      </c>
      <c r="I11" s="368">
        <f>[3]Brewhouse!$AU185</f>
        <v>97.515157399606437</v>
      </c>
      <c r="J11" s="368">
        <f>[3]Brewhouse!$AV185</f>
        <v>98.967870074061807</v>
      </c>
      <c r="K11" s="281">
        <f>[3]Brewhouse!$Q185</f>
        <v>11.547169811320749</v>
      </c>
      <c r="L11" s="276">
        <f>[3]Brewhouse!$P185</f>
        <v>60</v>
      </c>
      <c r="M11" s="397">
        <f>[3]Brewhouse!$U185-[3]Brewhouse!$T185</f>
        <v>0.10694444444444445</v>
      </c>
      <c r="N11" s="370">
        <f>[3]Brewhouse!$Z185</f>
        <v>0.25694444444444448</v>
      </c>
      <c r="O11" s="420" t="str">
        <f>[3]Brewhouse!$AX185</f>
        <v>K. Benjamin</v>
      </c>
      <c r="P11" s="418"/>
      <c r="R11" s="277" t="str">
        <f t="shared" ref="R11:R22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[3]Brewhouse!$A186</f>
        <v>CA144</v>
      </c>
      <c r="D12" s="279">
        <f>[3]Brewhouse!$AF186</f>
        <v>49</v>
      </c>
      <c r="E12" s="279">
        <f>[3]Brewhouse!$AI186</f>
        <v>48.5</v>
      </c>
      <c r="F12" s="278">
        <f>[3]Brewhouse!$V186</f>
        <v>56</v>
      </c>
      <c r="G12" s="279">
        <f>[3]Brewhouse!AG186</f>
        <v>11.9</v>
      </c>
      <c r="H12" s="396">
        <v>12</v>
      </c>
      <c r="I12" s="368">
        <f>[3]Brewhouse!$AU186</f>
        <v>95.404393473874009</v>
      </c>
      <c r="J12" s="368">
        <f>[3]Brewhouse!$AV186</f>
        <v>96.825545409602114</v>
      </c>
      <c r="K12" s="281">
        <f>[3]Brewhouse!$Q186</f>
        <v>11.16981132075472</v>
      </c>
      <c r="L12" s="276">
        <f>[3]Brewhouse!$P186</f>
        <v>60</v>
      </c>
      <c r="M12" s="397">
        <f>[3]Brewhouse!$U186-[3]Brewhouse!$T186</f>
        <v>0.10624999999999996</v>
      </c>
      <c r="N12" s="370">
        <f>[3]Brewhouse!$Z186</f>
        <v>0.25694444444444442</v>
      </c>
      <c r="O12" s="420" t="str">
        <f>[3]Brewhouse!$AX186</f>
        <v>K. Benjamin</v>
      </c>
      <c r="P12" s="418"/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[3]Brewhouse!$A187</f>
        <v>CA145</v>
      </c>
      <c r="D13" s="279">
        <f>[3]Brewhouse!$AF187</f>
        <v>49.5</v>
      </c>
      <c r="E13" s="279">
        <f>[3]Brewhouse!$AI187</f>
        <v>49.4</v>
      </c>
      <c r="F13" s="278">
        <f>[3]Brewhouse!$V187</f>
        <v>60</v>
      </c>
      <c r="G13" s="279">
        <f>[3]Brewhouse!AG187</f>
        <v>12.1</v>
      </c>
      <c r="H13" s="396">
        <v>12.1</v>
      </c>
      <c r="I13" s="368">
        <f>[3]Brewhouse!$AU187</f>
        <v>99.138574114682569</v>
      </c>
      <c r="J13" s="368">
        <f>[3]Brewhouse!$AV187</f>
        <v>100.61510863032765</v>
      </c>
      <c r="K13" s="281">
        <f>[3]Brewhouse!$Q187</f>
        <v>11.902071563088512</v>
      </c>
      <c r="L13" s="276">
        <f>[3]Brewhouse!$P187</f>
        <v>60</v>
      </c>
      <c r="M13" s="397">
        <f>[3]Brewhouse!$U187-[3]Brewhouse!$T187</f>
        <v>0.1069444444444444</v>
      </c>
      <c r="N13" s="370">
        <f>[3]Brewhouse!$Z187</f>
        <v>0.26180555555555551</v>
      </c>
      <c r="O13" s="420" t="str">
        <f>[3]Brewhouse!$AX187</f>
        <v>R. Regis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 t="s">
        <v>6</v>
      </c>
      <c r="C14" s="366" t="str">
        <f>[3]Brewhouse!$A188</f>
        <v>CA146</v>
      </c>
      <c r="D14" s="279">
        <f>[3]Brewhouse!$AF188</f>
        <v>50.1</v>
      </c>
      <c r="E14" s="279">
        <f>[3]Brewhouse!$AI188</f>
        <v>49.5</v>
      </c>
      <c r="F14" s="278">
        <f>[3]Brewhouse!$V188</f>
        <v>62</v>
      </c>
      <c r="G14" s="279">
        <f>[3]Brewhouse!AG188</f>
        <v>11.9</v>
      </c>
      <c r="H14" s="396">
        <v>11.9</v>
      </c>
      <c r="I14" s="368">
        <f>[3]Brewhouse!$AU188</f>
        <v>97.371494370242544</v>
      </c>
      <c r="J14" s="368">
        <f>[3]Brewhouse!$AV188</f>
        <v>98.821948407738233</v>
      </c>
      <c r="K14" s="281">
        <f>[3]Brewhouse!$Q188</f>
        <v>10.018832391713747</v>
      </c>
      <c r="L14" s="276">
        <f>[3]Brewhouse!$P188</f>
        <v>59</v>
      </c>
      <c r="M14" s="397">
        <f>[3]Brewhouse!$U188-[3]Brewhouse!$T188</f>
        <v>0.10972222222222217</v>
      </c>
      <c r="N14" s="370">
        <f>[3]Brewhouse!$Z188</f>
        <v>0.44791666666666663</v>
      </c>
      <c r="O14" s="420" t="str">
        <f>[3]Brewhouse!$AX188</f>
        <v>R. Regis</v>
      </c>
      <c r="P14" s="418" t="s">
        <v>192</v>
      </c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9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6.5" customHeight="1">
      <c r="B16" s="33" t="s">
        <v>9</v>
      </c>
      <c r="C16" s="366" t="str">
        <f>[4]Brewhouse!$A124</f>
        <v>ST073</v>
      </c>
      <c r="D16" s="279">
        <f>[4]Brewhouse!$AB124</f>
        <v>52.1</v>
      </c>
      <c r="E16" s="279">
        <f>[4]Brewhouse!$AG124</f>
        <v>47.7</v>
      </c>
      <c r="F16" s="278">
        <f>[4]Brewhouse!$V124</f>
        <v>58</v>
      </c>
      <c r="G16" s="279">
        <f>[4]Brewhouse!$AE124</f>
        <v>11.6</v>
      </c>
      <c r="H16" s="482">
        <v>12.2</v>
      </c>
      <c r="I16" s="368">
        <f>[4]Brewhouse!$AS124</f>
        <v>92.078533418077527</v>
      </c>
      <c r="J16" s="368">
        <f>[4]Brewhouse!$AT124</f>
        <v>93.236939919390878</v>
      </c>
      <c r="K16" s="281">
        <f>[4]Brewhouse!$Q124</f>
        <v>22.984644913627641</v>
      </c>
      <c r="L16" s="276">
        <f>[4]Brewhouse!$P124</f>
        <v>59</v>
      </c>
      <c r="M16" s="374">
        <f>[4]Brewhouse!$U124-[4]Brewhouse!$T124</f>
        <v>0.14583333333333326</v>
      </c>
      <c r="N16" s="370">
        <f>[4]Brewhouse!$AW124</f>
        <v>0.30486111111111103</v>
      </c>
      <c r="O16" s="371" t="str">
        <f>[4]Brewhouse!$AV124</f>
        <v>R.Sookram</v>
      </c>
      <c r="P16" s="418"/>
      <c r="R16" s="277" t="str">
        <f t="shared" si="9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6.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6.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6.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8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6.5" customHeight="1">
      <c r="B21" s="22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511"/>
      <c r="J22" s="511"/>
      <c r="K22" s="511"/>
      <c r="L22" s="511"/>
      <c r="M22" s="511"/>
      <c r="N22" s="511"/>
      <c r="O22" s="1"/>
      <c r="P22" s="12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.75" customHeight="1" thickBot="1">
      <c r="B23" s="388" t="s">
        <v>162</v>
      </c>
      <c r="C23" s="388"/>
      <c r="D23" s="512" t="s">
        <v>35</v>
      </c>
      <c r="E23" s="513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0"/>
        <v xml:space="preserve">BRAND 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" customHeight="1">
      <c r="A24" s="28"/>
      <c r="B24" s="514"/>
      <c r="C24" s="362"/>
      <c r="D24" s="517"/>
      <c r="E24" s="518"/>
      <c r="F24" s="294"/>
      <c r="G24" s="294"/>
      <c r="H24" s="348"/>
      <c r="I24" s="29" t="s">
        <v>6</v>
      </c>
      <c r="J24" s="323">
        <f>AVERAGE(I10:I14)</f>
        <v>97.290287384018399</v>
      </c>
      <c r="K24" s="284">
        <f>COUNTA([3]Brewhouse!$A$125:$A$188)</f>
        <v>64</v>
      </c>
      <c r="L24" s="305">
        <f>AVERAGE([3]Brewhouse!$AU$125:$AU$188)</f>
        <v>97.14708162439733</v>
      </c>
      <c r="M24" s="305">
        <f>AVERAGE([3]Brewhouse!$AU$42:$AU$123,[3]Brewhouse!$AU$125:$AU$188)</f>
        <v>97.59634929965118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" customHeight="1">
      <c r="A25" s="28"/>
      <c r="B25" s="515"/>
      <c r="C25" s="362"/>
      <c r="D25" s="519"/>
      <c r="E25" s="520"/>
      <c r="F25" s="294"/>
      <c r="G25" s="294"/>
      <c r="H25" s="348"/>
      <c r="I25" s="33" t="s">
        <v>9</v>
      </c>
      <c r="J25" s="280">
        <f>I16</f>
        <v>92.078533418077527</v>
      </c>
      <c r="K25" s="284">
        <f>COUNTA([4]Brewhouse!$A$83:$A$124)</f>
        <v>42</v>
      </c>
      <c r="L25" s="302">
        <f>AVERAGE([4]Brewhouse!$AS$83:$AS$124)</f>
        <v>97.810469530834254</v>
      </c>
      <c r="M25" s="302">
        <f>AVERAGE([4]Brewhouse!$AS$52:$AS$81,[4]Brewhouse!$AS$83:$AS$124)</f>
        <v>98.31661114924232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15"/>
      <c r="C26" s="362"/>
      <c r="D26" s="521"/>
      <c r="E26" s="522"/>
      <c r="F26" s="294"/>
      <c r="G26" s="294"/>
      <c r="H26" s="348"/>
      <c r="I26" s="34" t="s">
        <v>12</v>
      </c>
      <c r="J26" s="280"/>
      <c r="K26" s="284">
        <f>COUNTA([6]Brewhouse!$A$25:$A$27)</f>
        <v>3</v>
      </c>
      <c r="L26" s="302">
        <f>AVERAGE([6]Brewhouse!$AU$25:$AU$27)</f>
        <v>98.383718888256155</v>
      </c>
      <c r="M26" s="302">
        <f>AVERAGE([6]Brewhouse!$AU$16:$AU$23,[6]Brewhouse!$AU$25:$AU$27)</f>
        <v>97.933890431198279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15"/>
      <c r="C27" s="362"/>
      <c r="D27" s="523"/>
      <c r="E27" s="520"/>
      <c r="F27" s="294"/>
      <c r="G27" s="294"/>
      <c r="H27" s="348"/>
      <c r="I27" s="22" t="s">
        <v>33</v>
      </c>
      <c r="J27" s="280"/>
      <c r="K27" s="284"/>
      <c r="L27" s="302"/>
      <c r="M27" s="302">
        <f>AVERAGE([5]Brewhouse!$AV$23:$AV$34)</f>
        <v>98.31387229810305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15"/>
      <c r="C28" s="362"/>
      <c r="D28" s="521"/>
      <c r="E28" s="522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15"/>
      <c r="C29" s="362"/>
      <c r="D29" s="523"/>
      <c r="E29" s="520"/>
      <c r="F29" s="417"/>
      <c r="G29" s="294"/>
      <c r="H29" s="348"/>
      <c r="I29" s="36" t="s">
        <v>15</v>
      </c>
      <c r="J29" s="323"/>
      <c r="K29" s="284"/>
      <c r="L29" s="302"/>
      <c r="M29" s="302">
        <f>AVERAGE([7]Brewhouse!$AT$4:$AT$11)</f>
        <v>92.826224508052405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4.65" customHeight="1">
      <c r="A30" s="28"/>
      <c r="B30" s="515"/>
      <c r="C30" s="362"/>
      <c r="D30" s="521"/>
      <c r="E30" s="522"/>
      <c r="F30" s="417"/>
      <c r="G30" s="294"/>
      <c r="H30" s="348"/>
      <c r="I30" s="37" t="s">
        <v>16</v>
      </c>
      <c r="J30" s="323"/>
      <c r="K30" s="284">
        <f>COUNTA([8]Brewhouse!$A$16:$A$23)</f>
        <v>8</v>
      </c>
      <c r="L30" s="302">
        <f>AVERAGE([8]Brewhouse!$AY$16:$AY$23)</f>
        <v>97.998346333082011</v>
      </c>
      <c r="M30" s="302">
        <f>AVERAGE([8]Brewhouse!$AY$5:$AY$14,[8]Brewhouse!$AY$16:$AY$23)</f>
        <v>97.293615171264676</v>
      </c>
      <c r="N30" s="30">
        <v>98</v>
      </c>
      <c r="O30" s="11"/>
      <c r="P30" s="31" t="s">
        <v>41</v>
      </c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4.65" customHeight="1">
      <c r="A31" s="28"/>
      <c r="B31" s="515"/>
      <c r="C31" s="362"/>
      <c r="D31" s="523"/>
      <c r="E31" s="520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4.65" customHeight="1">
      <c r="A32" s="28"/>
      <c r="B32" s="515"/>
      <c r="C32" s="349"/>
      <c r="D32" s="521"/>
      <c r="E32" s="522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15"/>
      <c r="C33" s="349"/>
      <c r="D33" s="523"/>
      <c r="E33" s="520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15"/>
      <c r="C34" s="349"/>
      <c r="D34" s="517"/>
      <c r="E34" s="518"/>
      <c r="F34" s="294"/>
      <c r="G34" s="294"/>
      <c r="H34" s="348"/>
      <c r="I34" s="1"/>
      <c r="J34" s="39"/>
      <c r="K34" s="404">
        <f>SUM(K24:K33)</f>
        <v>117</v>
      </c>
      <c r="L34" s="405">
        <f>((L24*K24)+(L25*K25)+(L26*K26)+(L27*K27)+(L28*K28)+(K31*L31)+(L29*K29)+(L30*K30)+(L33*K33))/(K34)</f>
        <v>97.475135654580271</v>
      </c>
      <c r="M34" s="405">
        <f>AVERAGE('[9]Jan30th-31st'!$L$42,L34)</f>
        <v>97.651588695210876</v>
      </c>
      <c r="N34" s="4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.75" thickBot="1">
      <c r="B35" s="516"/>
      <c r="C35" s="350"/>
      <c r="D35" s="519"/>
      <c r="E35" s="520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14"/>
      <c r="C36" s="362"/>
      <c r="D36" s="525"/>
      <c r="E36" s="526"/>
      <c r="F36" s="294"/>
      <c r="G36" s="42"/>
      <c r="H36" s="41"/>
      <c r="I36" s="42"/>
      <c r="J36" s="527" t="s">
        <v>129</v>
      </c>
      <c r="K36" s="527"/>
      <c r="L36" s="294"/>
      <c r="M36" s="294"/>
      <c r="N36" s="294"/>
      <c r="O36" s="294"/>
      <c r="P36" s="12"/>
    </row>
    <row r="37" spans="1:56" ht="15.75" thickBot="1">
      <c r="B37" s="515"/>
      <c r="C37" s="362"/>
      <c r="D37" s="523"/>
      <c r="E37" s="520"/>
      <c r="F37" s="294"/>
      <c r="G37" s="42"/>
      <c r="H37" s="41"/>
      <c r="I37" s="41"/>
      <c r="J37" s="292" t="s">
        <v>17</v>
      </c>
      <c r="K37" s="293" t="s">
        <v>194</v>
      </c>
      <c r="L37" s="528" t="s">
        <v>136</v>
      </c>
      <c r="M37" s="528"/>
      <c r="N37" s="529"/>
      <c r="O37" s="294"/>
      <c r="P37" s="12"/>
    </row>
    <row r="38" spans="1:56" ht="15" customHeight="1" thickBot="1">
      <c r="B38" s="515"/>
      <c r="C38" s="349"/>
      <c r="D38" s="521"/>
      <c r="E38" s="522"/>
      <c r="F38" s="294"/>
      <c r="G38" s="42"/>
      <c r="H38" s="41"/>
      <c r="I38" s="41"/>
      <c r="J38" s="287" t="s">
        <v>6</v>
      </c>
      <c r="K38" s="324">
        <v>5</v>
      </c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15"/>
      <c r="C39" s="349"/>
      <c r="D39" s="523"/>
      <c r="E39" s="520"/>
      <c r="F39" s="294"/>
      <c r="G39" s="42"/>
      <c r="H39" s="41"/>
      <c r="I39" s="41"/>
      <c r="J39" s="345" t="s">
        <v>9</v>
      </c>
      <c r="K39" s="324">
        <v>1</v>
      </c>
      <c r="L39" s="344">
        <f>AVERAGE(K48,'Feb 2nd'!K49,'Feb 3rd'!K54,'Feb 4th'!K53,'Feb 4th'!K53,'Feb 5th'!K49,'Feb 6th'!K49,'Feb 9th'!K52,'Feb 10th'!K54,'Feb 11th'!K48,'Feb 12th'!K49,'Feb 13th'!K46,'Feb 16th'!K54,'Feb 17th'!K50,'Feb 18th '!K48,'Feb 19th'!K50,'Feb 20th'!J50,'Feb 20th'!K50,'Feb 23rd'!K46,'Feb 25th'!K48)</f>
        <v>6.1</v>
      </c>
      <c r="M39" s="325">
        <f>AVERAGE('[9]Jan30th-31st'!$L$47,L39)</f>
        <v>6.0934782608695652</v>
      </c>
      <c r="N39" s="416">
        <v>9.1999999999999993</v>
      </c>
      <c r="O39" s="294"/>
      <c r="P39" s="12"/>
    </row>
    <row r="40" spans="1:56" ht="15" customHeight="1">
      <c r="B40" s="515"/>
      <c r="C40" s="349"/>
      <c r="D40" s="521"/>
      <c r="E40" s="522"/>
      <c r="F40" s="294"/>
      <c r="G40" s="42"/>
      <c r="H40" s="41"/>
      <c r="I40" s="41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15"/>
      <c r="C41" s="349"/>
      <c r="D41" s="523"/>
      <c r="E41" s="520"/>
      <c r="F41" s="294"/>
      <c r="G41" s="42"/>
      <c r="H41" s="41"/>
      <c r="I41" s="41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15"/>
      <c r="C42" s="349"/>
      <c r="D42" s="521"/>
      <c r="E42" s="522"/>
      <c r="F42" s="294"/>
      <c r="G42" s="42"/>
      <c r="H42" s="41"/>
      <c r="I42" s="41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15"/>
      <c r="C43" s="349"/>
      <c r="D43" s="523"/>
      <c r="E43" s="520"/>
      <c r="F43" s="294"/>
      <c r="G43" s="42"/>
      <c r="H43" s="41"/>
      <c r="I43" s="41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15"/>
      <c r="C44" s="349"/>
      <c r="D44" s="521"/>
      <c r="E44" s="522"/>
      <c r="F44" s="294"/>
      <c r="G44" s="42"/>
      <c r="H44" s="41"/>
      <c r="I44" s="41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4"/>
      <c r="C45" s="350"/>
      <c r="D45" s="530"/>
      <c r="E45" s="531"/>
      <c r="F45" s="294" t="s">
        <v>166</v>
      </c>
      <c r="G45" s="42"/>
      <c r="H45" s="41"/>
      <c r="I45" s="41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32"/>
      <c r="E46" s="533"/>
      <c r="F46" s="294"/>
      <c r="H46" s="41"/>
      <c r="I46" s="41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1"/>
      <c r="I47" s="41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1"/>
      <c r="I48" s="41"/>
      <c r="J48" s="346" t="s">
        <v>130</v>
      </c>
      <c r="K48" s="324">
        <f>SUM(K38:K47)</f>
        <v>6</v>
      </c>
      <c r="L48" s="294"/>
      <c r="M48" s="294"/>
      <c r="N48" s="294"/>
      <c r="O48" s="294"/>
      <c r="P48" s="12"/>
    </row>
    <row r="49" spans="1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1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1:57" ht="15" customHeight="1" thickBot="1">
      <c r="B51" s="534" t="s">
        <v>17</v>
      </c>
      <c r="C51" s="534" t="s">
        <v>44</v>
      </c>
      <c r="D51" s="537" t="s">
        <v>45</v>
      </c>
      <c r="E51" s="500" t="s">
        <v>46</v>
      </c>
      <c r="F51" s="509" t="s">
        <v>47</v>
      </c>
      <c r="G51" s="546" t="s">
        <v>48</v>
      </c>
      <c r="H51" s="534" t="s">
        <v>49</v>
      </c>
      <c r="I51" s="534" t="s">
        <v>50</v>
      </c>
      <c r="J51" s="540" t="s">
        <v>28</v>
      </c>
      <c r="K51" s="498" t="s">
        <v>51</v>
      </c>
      <c r="L51" s="549" t="s">
        <v>52</v>
      </c>
      <c r="M51" s="540" t="s">
        <v>53</v>
      </c>
      <c r="N51" s="13"/>
      <c r="O51" s="13"/>
      <c r="P51" s="50"/>
    </row>
    <row r="52" spans="1:57" ht="28.5" customHeight="1" thickTop="1" thickBot="1">
      <c r="B52" s="535"/>
      <c r="C52" s="536"/>
      <c r="D52" s="538"/>
      <c r="E52" s="539"/>
      <c r="F52" s="551"/>
      <c r="G52" s="547"/>
      <c r="H52" s="535"/>
      <c r="I52" s="535"/>
      <c r="J52" s="541"/>
      <c r="K52" s="548"/>
      <c r="L52" s="550"/>
      <c r="M52" s="541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1:57" s="54" customFormat="1" ht="36.75" customHeight="1" thickBot="1">
      <c r="B53" s="487" t="str">
        <f>I30</f>
        <v>STARMALT</v>
      </c>
      <c r="C53" s="479">
        <v>46078</v>
      </c>
      <c r="D53" s="442">
        <f>[29]February_2026!$AC$55</f>
        <v>208.89999999999998</v>
      </c>
      <c r="E53" s="443"/>
      <c r="F53" s="444"/>
      <c r="G53" s="445">
        <f>[29]February_2026!$AC$59</f>
        <v>200.1</v>
      </c>
      <c r="H53" s="458"/>
      <c r="I53" s="458"/>
      <c r="J53" s="448" t="s">
        <v>150</v>
      </c>
      <c r="K53" s="449">
        <f>[30]February_2026!$AC$53</f>
        <v>0.70210526315789468</v>
      </c>
      <c r="L53" s="457">
        <f>(((D53+E53)-G53)/(D53+E53))*100</f>
        <v>4.2125418860698822</v>
      </c>
      <c r="M53" s="455" t="s">
        <v>172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[10]January_2019!L5</f>
        <v>0</v>
      </c>
      <c r="AC53" s="57">
        <f>[10]January_2019!M5</f>
        <v>0</v>
      </c>
      <c r="AD53" s="57">
        <f>[10]January_2019!N5</f>
        <v>0</v>
      </c>
      <c r="AE53" s="57">
        <f>[10]January_2019!O5</f>
        <v>0</v>
      </c>
      <c r="AF53" s="57">
        <f>[10]January_2019!P5</f>
        <v>0</v>
      </c>
      <c r="AG53" s="57">
        <f>[10]January_2019!Q5</f>
        <v>0</v>
      </c>
      <c r="AH53" s="57">
        <f>[10]January_2019!R5</f>
        <v>0</v>
      </c>
      <c r="AI53" s="57">
        <f>[10]January_2019!S5</f>
        <v>0</v>
      </c>
      <c r="AJ53" s="57">
        <f>[10]January_2019!T5</f>
        <v>0</v>
      </c>
      <c r="AK53" s="57">
        <f>[10]January_2019!U5</f>
        <v>0</v>
      </c>
      <c r="AL53" s="57">
        <f>[10]January_2019!V5</f>
        <v>0</v>
      </c>
      <c r="AM53" s="57">
        <f>[10]January_2019!W5</f>
        <v>0</v>
      </c>
      <c r="AN53" s="57">
        <f>[10]January_2019!X5</f>
        <v>0</v>
      </c>
      <c r="AO53" s="57">
        <f>[10]January_2019!Y5</f>
        <v>0</v>
      </c>
      <c r="AP53" s="57">
        <f>[10]January_2019!Z5</f>
        <v>0</v>
      </c>
      <c r="AQ53" s="57">
        <f>[10]January_2019!AA5</f>
        <v>0</v>
      </c>
      <c r="AR53" s="57">
        <f>[10]January_2019!AB5</f>
        <v>0</v>
      </c>
      <c r="AS53" s="57">
        <f>[10]January_2019!AC5</f>
        <v>0</v>
      </c>
      <c r="AT53" s="57">
        <f>[10]January_2019!AD5</f>
        <v>0</v>
      </c>
      <c r="AU53" s="57">
        <f>[10]January_2019!AE5</f>
        <v>0</v>
      </c>
      <c r="AV53" s="57">
        <f>[10]January_2019!AF5</f>
        <v>0</v>
      </c>
      <c r="AW53" s="57">
        <f>[10]January_2019!AG5</f>
        <v>0</v>
      </c>
      <c r="AX53" s="277">
        <f>[10]January_2019!AH5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1:57" s="54" customFormat="1" ht="14.25" hidden="1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[10]January_2019!L6</f>
        <v>0</v>
      </c>
      <c r="AC54" s="57">
        <f>[10]January_2019!M6</f>
        <v>0</v>
      </c>
      <c r="AD54" s="57">
        <f>[10]January_2019!N6</f>
        <v>0</v>
      </c>
      <c r="AE54" s="57">
        <f>[10]January_2019!O6</f>
        <v>0</v>
      </c>
      <c r="AF54" s="57">
        <f>[10]January_2019!P6</f>
        <v>0</v>
      </c>
      <c r="AG54" s="57">
        <f>[10]January_2019!Q6</f>
        <v>0</v>
      </c>
      <c r="AH54" s="57">
        <f>[10]January_2019!R6</f>
        <v>0</v>
      </c>
      <c r="AI54" s="57">
        <f>[10]January_2019!S6</f>
        <v>0</v>
      </c>
      <c r="AJ54" s="57">
        <f>[10]January_2019!T6</f>
        <v>0</v>
      </c>
      <c r="AK54" s="57">
        <f>[10]January_2019!U6</f>
        <v>0</v>
      </c>
      <c r="AL54" s="57">
        <f>[10]January_2019!V6</f>
        <v>0</v>
      </c>
      <c r="AM54" s="57">
        <f>[10]January_2019!W6</f>
        <v>0</v>
      </c>
      <c r="AN54" s="57">
        <f>[10]January_2019!X6</f>
        <v>0</v>
      </c>
      <c r="AO54" s="57">
        <f>[10]January_2019!Y6</f>
        <v>0</v>
      </c>
      <c r="AP54" s="57">
        <f>[10]January_2019!Z6</f>
        <v>0</v>
      </c>
      <c r="AQ54" s="57">
        <f>[10]January_2019!AA6</f>
        <v>0</v>
      </c>
      <c r="AR54" s="57">
        <f>[10]January_2019!AB6</f>
        <v>0</v>
      </c>
      <c r="AS54" s="57">
        <f>[10]January_2019!AC6</f>
        <v>0</v>
      </c>
      <c r="AT54" s="57">
        <f>[10]January_2019!AD6</f>
        <v>0</v>
      </c>
      <c r="AU54" s="57">
        <f>[10]January_2019!AE6</f>
        <v>0</v>
      </c>
      <c r="AV54" s="57">
        <f>[10]January_2019!AF6</f>
        <v>0</v>
      </c>
      <c r="AW54" s="57">
        <f>[10]January_2019!AG6</f>
        <v>0</v>
      </c>
      <c r="AX54" s="277">
        <f>[10]January_2019!AH6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1:57" s="54" customFormat="1" ht="37.15" hidden="1" customHeight="1" thickBot="1">
      <c r="A55" s="54" t="s">
        <v>170</v>
      </c>
      <c r="B55" s="480"/>
      <c r="C55" s="479"/>
      <c r="D55" s="442"/>
      <c r="E55" s="443"/>
      <c r="F55" s="444"/>
      <c r="G55" s="445"/>
      <c r="H55" s="458"/>
      <c r="I55" s="458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[10]January_2019!L7</f>
        <v>285.8</v>
      </c>
      <c r="AC55" s="57">
        <f>[10]January_2019!M7</f>
        <v>508.1</v>
      </c>
      <c r="AD55" s="57">
        <f>[10]January_2019!N7</f>
        <v>0</v>
      </c>
      <c r="AE55" s="57">
        <f>[10]January_2019!O7</f>
        <v>0</v>
      </c>
      <c r="AF55" s="57">
        <f>[10]January_2019!P7</f>
        <v>109.56666666666666</v>
      </c>
      <c r="AG55" s="57">
        <f>[10]January_2019!Q7</f>
        <v>297.64999999999998</v>
      </c>
      <c r="AH55" s="57">
        <f>[10]January_2019!R7</f>
        <v>122.3</v>
      </c>
      <c r="AI55" s="57">
        <f>[10]January_2019!S7</f>
        <v>0</v>
      </c>
      <c r="AJ55" s="57">
        <f>[10]January_2019!T7</f>
        <v>294.7</v>
      </c>
      <c r="AK55" s="57">
        <f>[10]January_2019!U7</f>
        <v>280.5</v>
      </c>
      <c r="AL55" s="57">
        <f>[10]January_2019!V7</f>
        <v>0</v>
      </c>
      <c r="AM55" s="57">
        <f>[10]January_2019!W7</f>
        <v>0</v>
      </c>
      <c r="AN55" s="57">
        <f>[10]January_2019!X7</f>
        <v>188.25</v>
      </c>
      <c r="AO55" s="57">
        <f>[10]January_2019!Y7</f>
        <v>295.7</v>
      </c>
      <c r="AP55" s="57">
        <f>[10]January_2019!Z7</f>
        <v>257.8</v>
      </c>
      <c r="AQ55" s="57">
        <f>[10]January_2019!AA7</f>
        <v>291.2</v>
      </c>
      <c r="AR55" s="57">
        <f>[10]January_2019!AB7</f>
        <v>187</v>
      </c>
      <c r="AS55" s="57">
        <f>[10]January_2019!AC7</f>
        <v>0</v>
      </c>
      <c r="AT55" s="57">
        <f>[10]January_2019!AD7</f>
        <v>0</v>
      </c>
      <c r="AU55" s="57">
        <f>[10]January_2019!AE7</f>
        <v>485.1</v>
      </c>
      <c r="AV55" s="57">
        <f>[10]January_2019!AF7</f>
        <v>171.55</v>
      </c>
      <c r="AW55" s="57">
        <f>[10]January_2019!AG7</f>
        <v>423.8</v>
      </c>
      <c r="AX55" s="277">
        <f>[10]January_2019!AH7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19.5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38.450000000000003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48" t="s">
        <v>182</v>
      </c>
      <c r="K57" s="459"/>
      <c r="L57" s="457" t="e">
        <f>(((D57+E57)-G57)/(D57+E57))*100</f>
        <v>#DIV/0!</v>
      </c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7.15" hidden="1" customHeight="1" thickBot="1">
      <c r="B59" s="480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1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1:57" ht="15.75" thickBot="1">
      <c r="B64" s="542" t="s">
        <v>55</v>
      </c>
      <c r="C64" s="543"/>
      <c r="D64" s="543"/>
      <c r="E64" s="543"/>
      <c r="F64" s="544"/>
      <c r="G64" s="542" t="s">
        <v>56</v>
      </c>
      <c r="H64" s="543"/>
      <c r="I64" s="543"/>
      <c r="J64" s="544"/>
      <c r="K64" s="542" t="s">
        <v>51</v>
      </c>
      <c r="L64" s="543"/>
      <c r="M64" s="543"/>
      <c r="N64" s="545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282"/>
      <c r="D66" s="76">
        <v>6.2838832877510518</v>
      </c>
      <c r="E66" s="76">
        <v>7.3696461377167939</v>
      </c>
      <c r="F66" s="66">
        <v>4.8</v>
      </c>
      <c r="G66" s="65"/>
      <c r="H66" s="477">
        <v>5.404317462603589</v>
      </c>
      <c r="I66" s="477">
        <v>6.7965850885289916</v>
      </c>
      <c r="J66" s="66">
        <v>4.8</v>
      </c>
      <c r="K66" s="67"/>
      <c r="L66" s="194">
        <v>0.3887953403572954</v>
      </c>
      <c r="M66" s="194">
        <v>0.39777343814731958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6.4184435544972427</v>
      </c>
      <c r="E67" s="76">
        <v>6.2142510274519545</v>
      </c>
      <c r="F67" s="66">
        <v>4.8</v>
      </c>
      <c r="G67" s="65"/>
      <c r="H67" s="76">
        <v>5.7398544512411318</v>
      </c>
      <c r="I67" s="76">
        <v>6.2442524170129747</v>
      </c>
      <c r="J67" s="66">
        <v>4.8</v>
      </c>
      <c r="K67" s="67"/>
      <c r="L67" s="194">
        <v>0.45737082659367095</v>
      </c>
      <c r="M67" s="194">
        <v>0.53364949315775001</v>
      </c>
      <c r="N67" s="68">
        <v>1</v>
      </c>
      <c r="P67" s="69"/>
    </row>
    <row r="68" spans="2:16" ht="15">
      <c r="B68" s="34" t="s">
        <v>40</v>
      </c>
      <c r="C68" s="65"/>
      <c r="D68" s="76">
        <v>12.829403606102636</v>
      </c>
      <c r="E68" s="76">
        <v>12.083525257177943</v>
      </c>
      <c r="F68" s="66">
        <v>5.5</v>
      </c>
      <c r="G68" s="65"/>
      <c r="H68" s="76">
        <v>12.804756752111219</v>
      </c>
      <c r="I68" s="76">
        <v>12.329305540954939</v>
      </c>
      <c r="J68" s="66">
        <v>5.5</v>
      </c>
      <c r="K68" s="67"/>
      <c r="L68" s="194">
        <v>0.16539473684210526</v>
      </c>
      <c r="M68" s="194">
        <v>0.33891812865497073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5.0755456997699637</v>
      </c>
      <c r="F69" s="66">
        <v>3.3</v>
      </c>
      <c r="G69" s="65"/>
      <c r="H69" s="76"/>
      <c r="I69" s="76">
        <v>4.6359882890480018</v>
      </c>
      <c r="J69" s="66">
        <v>3.3</v>
      </c>
      <c r="K69" s="67"/>
      <c r="L69" s="194"/>
      <c r="M69" s="194">
        <v>0.66833333333333345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/>
      <c r="E71" s="76">
        <v>5.1105651105651271</v>
      </c>
      <c r="F71" s="70">
        <f>[11]May_2022!$M$43</f>
        <v>3.4878406700073312</v>
      </c>
      <c r="G71" s="282"/>
      <c r="H71" s="76"/>
      <c r="I71" s="76">
        <v>7.9131369535794072</v>
      </c>
      <c r="J71" s="66">
        <v>5.5</v>
      </c>
      <c r="K71" s="67"/>
      <c r="L71" s="194"/>
      <c r="M71" s="194">
        <v>1.3550877192982456</v>
      </c>
      <c r="N71" s="68">
        <v>1</v>
      </c>
      <c r="P71" s="69"/>
    </row>
    <row r="72" spans="2:16" ht="15">
      <c r="B72" s="37" t="s">
        <v>16</v>
      </c>
      <c r="C72" s="65">
        <f>L53</f>
        <v>4.2125418860698822</v>
      </c>
      <c r="D72" s="76">
        <v>4.2125418860698822</v>
      </c>
      <c r="E72" s="76">
        <v>2.6806687854083151</v>
      </c>
      <c r="F72" s="66">
        <v>3.3</v>
      </c>
      <c r="G72" s="282">
        <f>[29]February_2026!$AC$63</f>
        <v>5.5609305763580101</v>
      </c>
      <c r="H72" s="76">
        <v>5.5609305763580101</v>
      </c>
      <c r="I72" s="76">
        <v>3.1599356869466901</v>
      </c>
      <c r="J72" s="66">
        <v>3.3</v>
      </c>
      <c r="K72" s="67">
        <f>K53</f>
        <v>0.70210526315789468</v>
      </c>
      <c r="L72" s="194">
        <v>0.70210526315789468</v>
      </c>
      <c r="M72" s="194">
        <v>0.82374269005847967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6.7346942334082467</v>
      </c>
      <c r="E75" s="76">
        <v>6.8416155230334574</v>
      </c>
      <c r="F75" s="341">
        <v>5.5</v>
      </c>
      <c r="H75" s="76">
        <v>6.2734106691005085</v>
      </c>
      <c r="I75" s="76">
        <v>6.6833237767813678</v>
      </c>
      <c r="J75" s="341">
        <v>5.5</v>
      </c>
      <c r="L75" s="194">
        <v>0.39413530037214251</v>
      </c>
      <c r="M75" s="194">
        <v>0.482437508499932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321" priority="74" operator="notBetween">
      <formula>#REF!</formula>
      <formula>#REF!</formula>
    </cfRule>
  </conditionalFormatting>
  <conditionalFormatting sqref="C50">
    <cfRule type="cellIs" dxfId="320" priority="168" stopIfTrue="1" operator="lessThan">
      <formula>96</formula>
    </cfRule>
    <cfRule type="cellIs" dxfId="319" priority="169" stopIfTrue="1" operator="greaterThan">
      <formula>100</formula>
    </cfRule>
  </conditionalFormatting>
  <conditionalFormatting sqref="C66:C70">
    <cfRule type="cellIs" dxfId="318" priority="137" stopIfTrue="1" operator="lessThanOrEqual">
      <formula>0</formula>
    </cfRule>
  </conditionalFormatting>
  <conditionalFormatting sqref="C66:C74">
    <cfRule type="cellIs" dxfId="317" priority="136" stopIfTrue="1" operator="greaterThan">
      <formula>$F66</formula>
    </cfRule>
  </conditionalFormatting>
  <conditionalFormatting sqref="C67">
    <cfRule type="cellIs" dxfId="316" priority="170" stopIfTrue="1" operator="greaterThan">
      <formula>$F66</formula>
    </cfRule>
  </conditionalFormatting>
  <conditionalFormatting sqref="C71">
    <cfRule type="cellIs" dxfId="315" priority="98" stopIfTrue="1" operator="lessThanOrEqual">
      <formula>0</formula>
    </cfRule>
    <cfRule type="cellIs" dxfId="314" priority="99" stopIfTrue="1" operator="greaterThan">
      <formula>$F70</formula>
    </cfRule>
  </conditionalFormatting>
  <conditionalFormatting sqref="C72:C74">
    <cfRule type="cellIs" dxfId="313" priority="138" stopIfTrue="1" operator="lessThanOrEqual">
      <formula>0</formula>
    </cfRule>
  </conditionalFormatting>
  <conditionalFormatting sqref="C77:C81">
    <cfRule type="cellIs" dxfId="312" priority="160" stopIfTrue="1" operator="lessThanOrEqual">
      <formula>0</formula>
    </cfRule>
  </conditionalFormatting>
  <conditionalFormatting sqref="C78:C81">
    <cfRule type="cellIs" dxfId="311" priority="159" stopIfTrue="1" operator="greaterThan">
      <formula>$F$77</formula>
    </cfRule>
  </conditionalFormatting>
  <conditionalFormatting sqref="C83">
    <cfRule type="cellIs" dxfId="310" priority="161" stopIfTrue="1" operator="greaterThan">
      <formula>$F$77</formula>
    </cfRule>
    <cfRule type="cellIs" dxfId="309" priority="162" stopIfTrue="1" operator="lessThanOrEqual">
      <formula>0</formula>
    </cfRule>
  </conditionalFormatting>
  <conditionalFormatting sqref="C77:D77 D79:D85">
    <cfRule type="cellIs" dxfId="308" priority="154" stopIfTrue="1" operator="greaterThan">
      <formula>4.5</formula>
    </cfRule>
  </conditionalFormatting>
  <conditionalFormatting sqref="D46:D47">
    <cfRule type="cellIs" dxfId="307" priority="75" operator="notBetween">
      <formula>#REF!</formula>
      <formula>#REF!</formula>
    </cfRule>
  </conditionalFormatting>
  <conditionalFormatting sqref="D66:D73">
    <cfRule type="cellIs" dxfId="306" priority="47" stopIfTrue="1" operator="lessThanOrEqual">
      <formula>0</formula>
    </cfRule>
  </conditionalFormatting>
  <conditionalFormatting sqref="D66:D75">
    <cfRule type="cellIs" dxfId="305" priority="26" stopIfTrue="1" operator="lessThanOrEqual">
      <formula>0</formula>
    </cfRule>
  </conditionalFormatting>
  <conditionalFormatting sqref="D74">
    <cfRule type="cellIs" dxfId="304" priority="46" stopIfTrue="1" operator="lessThanOrEqual">
      <formula>0</formula>
    </cfRule>
  </conditionalFormatting>
  <conditionalFormatting sqref="D75">
    <cfRule type="cellIs" dxfId="303" priority="41" stopIfTrue="1" operator="lessThanOrEqual">
      <formula>0</formula>
    </cfRule>
  </conditionalFormatting>
  <conditionalFormatting sqref="D77 D79:D85">
    <cfRule type="cellIs" dxfId="302" priority="155" stopIfTrue="1" operator="lessThanOrEqual">
      <formula>0</formula>
    </cfRule>
  </conditionalFormatting>
  <conditionalFormatting sqref="D78">
    <cfRule type="cellIs" dxfId="301" priority="147" stopIfTrue="1" operator="lessThanOrEqual">
      <formula>0</formula>
    </cfRule>
    <cfRule type="cellIs" dxfId="300" priority="146" stopIfTrue="1" operator="greaterThan">
      <formula>$F$77</formula>
    </cfRule>
  </conditionalFormatting>
  <conditionalFormatting sqref="D66:E75">
    <cfRule type="cellIs" dxfId="299" priority="28" stopIfTrue="1" operator="greaterThan">
      <formula>$F66</formula>
    </cfRule>
  </conditionalFormatting>
  <conditionalFormatting sqref="D75:E75">
    <cfRule type="cellIs" dxfId="298" priority="30" stopIfTrue="1" operator="lessThanOrEqual">
      <formula>0</formula>
    </cfRule>
  </conditionalFormatting>
  <conditionalFormatting sqref="E10:E21">
    <cfRule type="cellIs" dxfId="297" priority="17" operator="lessThan">
      <formula>48</formula>
    </cfRule>
  </conditionalFormatting>
  <conditionalFormatting sqref="E49 E50:F50">
    <cfRule type="cellIs" dxfId="296" priority="151" stopIfTrue="1" operator="greaterThan">
      <formula>100</formula>
    </cfRule>
  </conditionalFormatting>
  <conditionalFormatting sqref="E50">
    <cfRule type="cellIs" dxfId="295" priority="148" stopIfTrue="1" operator="lessThan">
      <formula>96.8</formula>
    </cfRule>
    <cfRule type="cellIs" dxfId="294" priority="149" stopIfTrue="1" operator="greaterThan">
      <formula>100</formula>
    </cfRule>
  </conditionalFormatting>
  <conditionalFormatting sqref="E66:E74">
    <cfRule type="cellIs" dxfId="293" priority="27" stopIfTrue="1" operator="lessThanOrEqual">
      <formula>0</formula>
    </cfRule>
  </conditionalFormatting>
  <conditionalFormatting sqref="E66:E75">
    <cfRule type="cellIs" dxfId="292" priority="29" stopIfTrue="1" operator="lessThanOrEqual">
      <formula>0</formula>
    </cfRule>
  </conditionalFormatting>
  <conditionalFormatting sqref="E77:E85">
    <cfRule type="cellIs" dxfId="291" priority="140" stopIfTrue="1" operator="greaterThan">
      <formula>4.5</formula>
    </cfRule>
    <cfRule type="cellIs" dxfId="290" priority="141" stopIfTrue="1" operator="lessThanOrEqual">
      <formula>0</formula>
    </cfRule>
  </conditionalFormatting>
  <conditionalFormatting sqref="E50:F50 E49">
    <cfRule type="cellIs" dxfId="289" priority="150" stopIfTrue="1" operator="lessThan">
      <formula>96.5</formula>
    </cfRule>
  </conditionalFormatting>
  <conditionalFormatting sqref="F10:F15 F17:F21">
    <cfRule type="cellIs" dxfId="288" priority="22" operator="greaterThan">
      <formula>60</formula>
    </cfRule>
  </conditionalFormatting>
  <conditionalFormatting sqref="F50">
    <cfRule type="cellIs" dxfId="287" priority="167" stopIfTrue="1" operator="greaterThan">
      <formula>100</formula>
    </cfRule>
    <cfRule type="cellIs" dxfId="286" priority="166" stopIfTrue="1" operator="lessThan">
      <formula>96.8</formula>
    </cfRule>
  </conditionalFormatting>
  <conditionalFormatting sqref="F75">
    <cfRule type="cellIs" dxfId="285" priority="45" stopIfTrue="1" operator="lessThanOrEqual">
      <formula>0</formula>
    </cfRule>
    <cfRule type="cellIs" dxfId="284" priority="44" stopIfTrue="1" operator="greaterThan">
      <formula>$F75</formula>
    </cfRule>
  </conditionalFormatting>
  <conditionalFormatting sqref="G10:G20">
    <cfRule type="expression" dxfId="283" priority="19">
      <formula>IF(+(IF(G10&lt;S10,0,IF(G10&gt;T10,0,1)))=0,1)</formula>
    </cfRule>
  </conditionalFormatting>
  <conditionalFormatting sqref="G66:G67">
    <cfRule type="cellIs" dxfId="282" priority="42" stopIfTrue="1" operator="greaterThan">
      <formula>$F66</formula>
    </cfRule>
    <cfRule type="cellIs" dxfId="281" priority="43" stopIfTrue="1" operator="lessThanOrEqual">
      <formula>0</formula>
    </cfRule>
    <cfRule type="cellIs" dxfId="280" priority="48" stopIfTrue="1" operator="greaterThan">
      <formula>$F66</formula>
    </cfRule>
    <cfRule type="cellIs" dxfId="279" priority="49" stopIfTrue="1" operator="lessThanOrEqual">
      <formula>0</formula>
    </cfRule>
  </conditionalFormatting>
  <conditionalFormatting sqref="G68">
    <cfRule type="cellIs" dxfId="278" priority="52" stopIfTrue="1" operator="greaterThan">
      <formula>$F67</formula>
    </cfRule>
    <cfRule type="cellIs" dxfId="277" priority="53" stopIfTrue="1" operator="lessThanOrEqual">
      <formula>0</formula>
    </cfRule>
  </conditionalFormatting>
  <conditionalFormatting sqref="G69">
    <cfRule type="cellIs" dxfId="276" priority="36" stopIfTrue="1" operator="greaterThan">
      <formula>$F69</formula>
    </cfRule>
    <cfRule type="cellIs" dxfId="275" priority="37" stopIfTrue="1" operator="lessThanOrEqual">
      <formula>0</formula>
    </cfRule>
    <cfRule type="cellIs" dxfId="274" priority="35" stopIfTrue="1" operator="lessThanOrEqual">
      <formula>0</formula>
    </cfRule>
    <cfRule type="cellIs" dxfId="273" priority="34" stopIfTrue="1" operator="greaterThan">
      <formula>$F69</formula>
    </cfRule>
  </conditionalFormatting>
  <conditionalFormatting sqref="G70:G74">
    <cfRule type="cellIs" dxfId="272" priority="50" stopIfTrue="1" operator="greaterThan">
      <formula>$J70</formula>
    </cfRule>
    <cfRule type="cellIs" dxfId="271" priority="51" stopIfTrue="1" operator="lessThanOrEqual">
      <formula>0</formula>
    </cfRule>
  </conditionalFormatting>
  <conditionalFormatting sqref="G79:G84 C82 C84">
    <cfRule type="cellIs" dxfId="270" priority="164" stopIfTrue="1" operator="lessThanOrEqual">
      <formula>0</formula>
    </cfRule>
    <cfRule type="cellIs" dxfId="269" priority="163" stopIfTrue="1" operator="greaterThan">
      <formula>4.5</formula>
    </cfRule>
  </conditionalFormatting>
  <conditionalFormatting sqref="G78:H78">
    <cfRule type="cellIs" dxfId="268" priority="145" stopIfTrue="1" operator="lessThanOrEqual">
      <formula>0</formula>
    </cfRule>
    <cfRule type="cellIs" dxfId="267" priority="144" stopIfTrue="1" operator="greaterThan">
      <formula>$F$77</formula>
    </cfRule>
  </conditionalFormatting>
  <conditionalFormatting sqref="H10:H20 G21:H21">
    <cfRule type="expression" dxfId="266" priority="71">
      <formula>IF(+(IF(G10&lt;#REF!,0,IF(G10&gt;#REF!,0,1)))=0,1)</formula>
    </cfRule>
  </conditionalFormatting>
  <conditionalFormatting sqref="H35:H49 I37:I48">
    <cfRule type="cellIs" dxfId="265" priority="142" stopIfTrue="1" operator="greaterThan">
      <formula>0</formula>
    </cfRule>
  </conditionalFormatting>
  <conditionalFormatting sqref="H53:H57">
    <cfRule type="cellIs" dxfId="264" priority="58" stopIfTrue="1" operator="greaterThan">
      <formula>$F$66</formula>
    </cfRule>
    <cfRule type="cellIs" dxfId="263" priority="67" stopIfTrue="1" operator="lessThanOrEqual">
      <formula>0</formula>
    </cfRule>
    <cfRule type="cellIs" dxfId="262" priority="57" stopIfTrue="1" operator="lessThanOrEqual">
      <formula>0</formula>
    </cfRule>
    <cfRule type="cellIs" dxfId="261" priority="69" stopIfTrue="1" operator="lessThanOrEqual">
      <formula>0</formula>
    </cfRule>
    <cfRule type="cellIs" dxfId="260" priority="66" stopIfTrue="1" operator="greaterThan">
      <formula>$F$69</formula>
    </cfRule>
    <cfRule type="cellIs" dxfId="259" priority="68" stopIfTrue="1" operator="greaterThan">
      <formula>$F$67</formula>
    </cfRule>
  </conditionalFormatting>
  <conditionalFormatting sqref="H58:H59">
    <cfRule type="cellIs" dxfId="258" priority="111" stopIfTrue="1" operator="lessThanOrEqual">
      <formula>0</formula>
    </cfRule>
    <cfRule type="cellIs" dxfId="257" priority="110" stopIfTrue="1" operator="greaterThan">
      <formula>$F$21</formula>
    </cfRule>
    <cfRule type="cellIs" dxfId="256" priority="113" stopIfTrue="1" operator="lessThanOrEqual">
      <formula>0</formula>
    </cfRule>
    <cfRule type="cellIs" dxfId="255" priority="112" stopIfTrue="1" operator="greaterThan">
      <formula>#REF!</formula>
    </cfRule>
    <cfRule type="cellIs" dxfId="254" priority="101" stopIfTrue="1" operator="lessThanOrEqual">
      <formula>0</formula>
    </cfRule>
    <cfRule type="cellIs" dxfId="253" priority="102" stopIfTrue="1" operator="greaterThan">
      <formula>#REF!</formula>
    </cfRule>
  </conditionalFormatting>
  <conditionalFormatting sqref="H60">
    <cfRule type="cellIs" dxfId="252" priority="127" stopIfTrue="1" operator="lessThanOrEqual">
      <formula>0</formula>
    </cfRule>
    <cfRule type="cellIs" dxfId="251" priority="126" stopIfTrue="1" operator="greaterThan">
      <formula>$F$35</formula>
    </cfRule>
    <cfRule type="cellIs" dxfId="250" priority="125" stopIfTrue="1" operator="lessThanOrEqual">
      <formula>0</formula>
    </cfRule>
    <cfRule type="cellIs" dxfId="249" priority="124" stopIfTrue="1" operator="greaterThan">
      <formula>$F$37</formula>
    </cfRule>
    <cfRule type="cellIs" dxfId="248" priority="115" stopIfTrue="1" operator="lessThanOrEqual">
      <formula>0</formula>
    </cfRule>
    <cfRule type="cellIs" dxfId="247" priority="116" stopIfTrue="1" operator="greaterThan">
      <formula>$F$34</formula>
    </cfRule>
  </conditionalFormatting>
  <conditionalFormatting sqref="H61:H62">
    <cfRule type="cellIs" dxfId="246" priority="96" stopIfTrue="1" operator="greaterThan">
      <formula>#REF!</formula>
    </cfRule>
    <cfRule type="cellIs" dxfId="245" priority="95" stopIfTrue="1" operator="lessThanOrEqual">
      <formula>0</formula>
    </cfRule>
    <cfRule type="cellIs" dxfId="244" priority="85" stopIfTrue="1" operator="lessThanOrEqual">
      <formula>0</formula>
    </cfRule>
    <cfRule type="cellIs" dxfId="243" priority="86" stopIfTrue="1" operator="greaterThan">
      <formula>#REF!</formula>
    </cfRule>
    <cfRule type="cellIs" dxfId="242" priority="94" stopIfTrue="1" operator="greaterThan">
      <formula>$F$21</formula>
    </cfRule>
    <cfRule type="cellIs" dxfId="241" priority="97" stopIfTrue="1" operator="lessThanOrEqual">
      <formula>0</formula>
    </cfRule>
  </conditionalFormatting>
  <conditionalFormatting sqref="H77 H79:H85">
    <cfRule type="cellIs" dxfId="240" priority="156" stopIfTrue="1" operator="greaterThan">
      <formula>4.5</formula>
    </cfRule>
    <cfRule type="cellIs" dxfId="239" priority="157" stopIfTrue="1" operator="lessThanOrEqual">
      <formula>0</formula>
    </cfRule>
  </conditionalFormatting>
  <conditionalFormatting sqref="H53:I57">
    <cfRule type="cellIs" dxfId="238" priority="59" stopIfTrue="1" operator="lessThanOrEqual">
      <formula>0</formula>
    </cfRule>
    <cfRule type="cellIs" dxfId="237" priority="56" stopIfTrue="1" operator="greaterThan">
      <formula>$F$68</formula>
    </cfRule>
  </conditionalFormatting>
  <conditionalFormatting sqref="H58:I59">
    <cfRule type="cellIs" dxfId="236" priority="100" stopIfTrue="1" operator="greaterThan">
      <formula>#REF!</formula>
    </cfRule>
    <cfRule type="cellIs" dxfId="235" priority="103" stopIfTrue="1" operator="lessThanOrEqual">
      <formula>0</formula>
    </cfRule>
  </conditionalFormatting>
  <conditionalFormatting sqref="H60:I60">
    <cfRule type="cellIs" dxfId="234" priority="114" stopIfTrue="1" operator="greaterThan">
      <formula>$F$36</formula>
    </cfRule>
    <cfRule type="cellIs" dxfId="233" priority="117" stopIfTrue="1" operator="lessThanOrEqual">
      <formula>0</formula>
    </cfRule>
  </conditionalFormatting>
  <conditionalFormatting sqref="H61:I62">
    <cfRule type="cellIs" dxfId="232" priority="84" stopIfTrue="1" operator="greaterThan">
      <formula>#REF!</formula>
    </cfRule>
    <cfRule type="cellIs" dxfId="231" priority="87" stopIfTrue="1" operator="lessThanOrEqual">
      <formula>0</formula>
    </cfRule>
  </conditionalFormatting>
  <conditionalFormatting sqref="H66:I73">
    <cfRule type="cellIs" dxfId="230" priority="24" stopIfTrue="1" operator="greaterThan">
      <formula>$J66</formula>
    </cfRule>
    <cfRule type="cellIs" dxfId="229" priority="25" stopIfTrue="1" operator="lessThanOrEqual">
      <formula>0</formula>
    </cfRule>
  </conditionalFormatting>
  <conditionalFormatting sqref="H74:I74">
    <cfRule type="cellIs" dxfId="228" priority="33" operator="greaterThan">
      <formula>5.3</formula>
    </cfRule>
  </conditionalFormatting>
  <conditionalFormatting sqref="H75:I75">
    <cfRule type="cellIs" dxfId="227" priority="32" stopIfTrue="1" operator="lessThanOrEqual">
      <formula>0</formula>
    </cfRule>
    <cfRule type="cellIs" dxfId="226" priority="31" stopIfTrue="1" operator="greaterThan">
      <formula>$J75</formula>
    </cfRule>
  </conditionalFormatting>
  <conditionalFormatting sqref="I53:I57">
    <cfRule type="cellIs" dxfId="225" priority="62" stopIfTrue="1" operator="greaterThan">
      <formula>$F$68</formula>
    </cfRule>
    <cfRule type="cellIs" dxfId="224" priority="64" stopIfTrue="1" operator="greaterThan">
      <formula>$F$66</formula>
    </cfRule>
    <cfRule type="cellIs" dxfId="223" priority="63" stopIfTrue="1" operator="lessThanOrEqual">
      <formula>0</formula>
    </cfRule>
    <cfRule type="cellIs" dxfId="222" priority="61" stopIfTrue="1" operator="lessThanOrEqual">
      <formula>0</formula>
    </cfRule>
    <cfRule type="cellIs" dxfId="221" priority="60" stopIfTrue="1" operator="greaterThan">
      <formula>$F$66</formula>
    </cfRule>
    <cfRule type="cellIs" dxfId="220" priority="65" stopIfTrue="1" operator="lessThanOrEqual">
      <formula>0</formula>
    </cfRule>
  </conditionalFormatting>
  <conditionalFormatting sqref="I58:I59">
    <cfRule type="cellIs" dxfId="219" priority="105" stopIfTrue="1" operator="lessThanOrEqual">
      <formula>0</formula>
    </cfRule>
    <cfRule type="cellIs" dxfId="218" priority="106" stopIfTrue="1" operator="greaterThan">
      <formula>#REF!</formula>
    </cfRule>
    <cfRule type="cellIs" dxfId="217" priority="104" stopIfTrue="1" operator="greaterThan">
      <formula>#REF!</formula>
    </cfRule>
    <cfRule type="cellIs" dxfId="216" priority="108" stopIfTrue="1" operator="greaterThan">
      <formula>#REF!</formula>
    </cfRule>
    <cfRule type="cellIs" dxfId="215" priority="109" stopIfTrue="1" operator="lessThanOrEqual">
      <formula>0</formula>
    </cfRule>
    <cfRule type="cellIs" dxfId="214" priority="107" stopIfTrue="1" operator="lessThanOrEqual">
      <formula>0</formula>
    </cfRule>
  </conditionalFormatting>
  <conditionalFormatting sqref="I60">
    <cfRule type="cellIs" dxfId="213" priority="123" stopIfTrue="1" operator="lessThanOrEqual">
      <formula>0</formula>
    </cfRule>
    <cfRule type="cellIs" dxfId="212" priority="121" stopIfTrue="1" operator="lessThanOrEqual">
      <formula>0</formula>
    </cfRule>
    <cfRule type="cellIs" dxfId="211" priority="120" stopIfTrue="1" operator="greaterThan">
      <formula>$F$36</formula>
    </cfRule>
    <cfRule type="cellIs" dxfId="210" priority="119" stopIfTrue="1" operator="lessThanOrEqual">
      <formula>0</formula>
    </cfRule>
    <cfRule type="cellIs" dxfId="209" priority="122" stopIfTrue="1" operator="greaterThan">
      <formula>$F$34</formula>
    </cfRule>
    <cfRule type="cellIs" dxfId="208" priority="118" stopIfTrue="1" operator="greaterThan">
      <formula>$F$34</formula>
    </cfRule>
  </conditionalFormatting>
  <conditionalFormatting sqref="I61:I62">
    <cfRule type="cellIs" dxfId="207" priority="90" stopIfTrue="1" operator="greaterThan">
      <formula>#REF!</formula>
    </cfRule>
    <cfRule type="cellIs" dxfId="206" priority="91" stopIfTrue="1" operator="lessThanOrEqual">
      <formula>0</formula>
    </cfRule>
    <cfRule type="cellIs" dxfId="205" priority="92" stopIfTrue="1" operator="greaterThan">
      <formula>#REF!</formula>
    </cfRule>
    <cfRule type="cellIs" dxfId="204" priority="93" stopIfTrue="1" operator="lessThanOrEqual">
      <formula>0</formula>
    </cfRule>
    <cfRule type="cellIs" dxfId="203" priority="88" stopIfTrue="1" operator="greaterThan">
      <formula>#REF!</formula>
    </cfRule>
    <cfRule type="cellIs" dxfId="202" priority="89" stopIfTrue="1" operator="lessThanOrEqual">
      <formula>0</formula>
    </cfRule>
  </conditionalFormatting>
  <conditionalFormatting sqref="I77:I85">
    <cfRule type="cellIs" dxfId="201" priority="152" stopIfTrue="1" operator="greaterThan">
      <formula>4.5</formula>
    </cfRule>
    <cfRule type="cellIs" dxfId="200" priority="153" stopIfTrue="1" operator="lessThanOrEqual">
      <formula>0</formula>
    </cfRule>
  </conditionalFormatting>
  <conditionalFormatting sqref="I10:J21">
    <cfRule type="cellIs" dxfId="199" priority="13" operator="lessThan">
      <formula>97.9</formula>
    </cfRule>
  </conditionalFormatting>
  <conditionalFormatting sqref="J24">
    <cfRule type="cellIs" dxfId="198" priority="55" operator="lessThan">
      <formula>97.95</formula>
    </cfRule>
  </conditionalFormatting>
  <conditionalFormatting sqref="J26">
    <cfRule type="cellIs" dxfId="197" priority="130" stopIfTrue="1" operator="greaterThan">
      <formula>100</formula>
    </cfRule>
    <cfRule type="cellIs" dxfId="196" priority="129" stopIfTrue="1" operator="lessThan">
      <formula>96.8</formula>
    </cfRule>
    <cfRule type="cellIs" dxfId="195" priority="131" operator="lessThan">
      <formula>98</formula>
    </cfRule>
  </conditionalFormatting>
  <conditionalFormatting sqref="J26:J28">
    <cfRule type="cellIs" dxfId="194" priority="128" operator="lessThan">
      <formula>97.4</formula>
    </cfRule>
  </conditionalFormatting>
  <conditionalFormatting sqref="J29:J30">
    <cfRule type="cellIs" dxfId="193" priority="132" operator="lessThan">
      <formula>98</formula>
    </cfRule>
  </conditionalFormatting>
  <conditionalFormatting sqref="J31:J32">
    <cfRule type="cellIs" dxfId="192" priority="133" stopIfTrue="1" operator="lessThan">
      <formula>96.8</formula>
    </cfRule>
    <cfRule type="cellIs" dxfId="191" priority="134" stopIfTrue="1" operator="greaterThan">
      <formula>100</formula>
    </cfRule>
  </conditionalFormatting>
  <conditionalFormatting sqref="J31:J33">
    <cfRule type="cellIs" dxfId="190" priority="135" operator="lessThan">
      <formula>98</formula>
    </cfRule>
  </conditionalFormatting>
  <conditionalFormatting sqref="J62">
    <cfRule type="cellIs" dxfId="189" priority="83" stopIfTrue="1" operator="lessThanOrEqual">
      <formula>0</formula>
    </cfRule>
    <cfRule type="cellIs" dxfId="188" priority="82" stopIfTrue="1" operator="greaterThan">
      <formula>#REF!</formula>
    </cfRule>
    <cfRule type="cellIs" dxfId="187" priority="81" stopIfTrue="1" operator="lessThanOrEqual">
      <formula>0</formula>
    </cfRule>
    <cfRule type="cellIs" dxfId="186" priority="80" stopIfTrue="1" operator="greaterThan">
      <formula>#REF!</formula>
    </cfRule>
    <cfRule type="cellIs" dxfId="185" priority="79" stopIfTrue="1" operator="lessThanOrEqual">
      <formula>0</formula>
    </cfRule>
    <cfRule type="cellIs" dxfId="184" priority="78" stopIfTrue="1" operator="greaterThan">
      <formula>#REF!</formula>
    </cfRule>
    <cfRule type="cellIs" dxfId="183" priority="77" stopIfTrue="1" operator="lessThanOrEqual">
      <formula>0</formula>
    </cfRule>
    <cfRule type="cellIs" dxfId="182" priority="76" stopIfTrue="1" operator="greaterThan">
      <formula>#REF!</formula>
    </cfRule>
  </conditionalFormatting>
  <conditionalFormatting sqref="J75">
    <cfRule type="cellIs" dxfId="181" priority="39" stopIfTrue="1" operator="lessThanOrEqual">
      <formula>0</formula>
    </cfRule>
    <cfRule type="cellIs" dxfId="180" priority="38" stopIfTrue="1" operator="greaterThan">
      <formula>$F75</formula>
    </cfRule>
  </conditionalFormatting>
  <conditionalFormatting sqref="K10:K21">
    <cfRule type="cellIs" dxfId="179" priority="15" operator="lessThan">
      <formula>4</formula>
    </cfRule>
    <cfRule type="cellIs" dxfId="178" priority="14" operator="greaterThan">
      <formula>6</formula>
    </cfRule>
    <cfRule type="cellIs" dxfId="177" priority="16" operator="greaterThan">
      <formula>6.4</formula>
    </cfRule>
  </conditionalFormatting>
  <conditionalFormatting sqref="K53:K62">
    <cfRule type="cellIs" dxfId="176" priority="70" stopIfTrue="1" operator="lessThan">
      <formula>100%</formula>
    </cfRule>
  </conditionalFormatting>
  <conditionalFormatting sqref="K77:K82">
    <cfRule type="cellIs" dxfId="175" priority="158" stopIfTrue="1" operator="lessThan">
      <formula>100%</formula>
    </cfRule>
  </conditionalFormatting>
  <conditionalFormatting sqref="K84:K85">
    <cfRule type="cellIs" dxfId="174" priority="165" stopIfTrue="1" operator="lessThan">
      <formula>100%</formula>
    </cfRule>
  </conditionalFormatting>
  <conditionalFormatting sqref="K66:M74">
    <cfRule type="cellIs" dxfId="173" priority="23" stopIfTrue="1" operator="lessThan">
      <formula>100%</formula>
    </cfRule>
  </conditionalFormatting>
  <conditionalFormatting sqref="L10:L21">
    <cfRule type="cellIs" dxfId="172" priority="21" operator="greaterThan">
      <formula>65</formula>
    </cfRule>
    <cfRule type="cellIs" dxfId="171" priority="20" operator="between">
      <formula>61</formula>
      <formula>65</formula>
    </cfRule>
  </conditionalFormatting>
  <conditionalFormatting sqref="L24:M35">
    <cfRule type="cellIs" dxfId="170" priority="72" operator="lessThan">
      <formula>97.95</formula>
    </cfRule>
  </conditionalFormatting>
  <conditionalFormatting sqref="L75:M75">
    <cfRule type="cellIs" dxfId="169" priority="40" stopIfTrue="1" operator="lessThan">
      <formula>100%</formula>
    </cfRule>
  </conditionalFormatting>
  <conditionalFormatting sqref="L39:N39">
    <cfRule type="cellIs" dxfId="168" priority="73" operator="notEqual">
      <formula>#REF!</formula>
    </cfRule>
  </conditionalFormatting>
  <conditionalFormatting sqref="L77:N85">
    <cfRule type="cellIs" dxfId="167" priority="143" stopIfTrue="1" operator="lessThan">
      <formula>100%</formula>
    </cfRule>
  </conditionalFormatting>
  <conditionalFormatting sqref="M10:M20">
    <cfRule type="expression" dxfId="166" priority="18">
      <formula>IF(+(IF(M10&lt;U10,0,IF(M10&gt;V10,0,1)))=0,1)</formula>
    </cfRule>
  </conditionalFormatting>
  <conditionalFormatting sqref="M21:N21">
    <cfRule type="expression" dxfId="165" priority="171">
      <formula>IF(+(IF(M21&lt;#REF!,0,IF(M21&gt;#REF!,0,1)))=0,1)</formula>
    </cfRule>
  </conditionalFormatting>
  <conditionalFormatting sqref="N10:N20">
    <cfRule type="expression" dxfId="164" priority="12">
      <formula>IF(+(IF(N10&lt;W10,0,IF(N10&gt;X10,0,1)))=0,1)</formula>
    </cfRule>
  </conditionalFormatting>
  <conditionalFormatting sqref="N66:N75">
    <cfRule type="cellIs" dxfId="163" priority="54" stopIfTrue="1" operator="lessThan">
      <formula>100%</formula>
    </cfRule>
  </conditionalFormatting>
  <conditionalFormatting sqref="P6">
    <cfRule type="cellIs" dxfId="162" priority="139" operator="greaterThanOrEqual">
      <formula>19</formula>
    </cfRule>
  </conditionalFormatting>
  <dataValidations count="1">
    <dataValidation type="list" allowBlank="1" showInputMessage="1" showErrorMessage="1" sqref="R8" xr:uid="{6656408F-B2EE-4E91-93D0-270CA870CEC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7101-6800-49DD-B244-C7EB4D279E01}">
  <sheetPr>
    <pageSetUpPr fitToPage="1"/>
  </sheetPr>
  <dimension ref="A1:BE86"/>
  <sheetViews>
    <sheetView tabSelected="1" topLeftCell="A18" zoomScale="80" zoomScaleNormal="80" workbookViewId="0">
      <selection activeCell="I73" sqref="I73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46080</v>
      </c>
      <c r="J4" s="398" t="s">
        <v>167</v>
      </c>
      <c r="K4" s="398"/>
      <c r="L4" s="11"/>
      <c r="M4" s="491" t="s">
        <v>8</v>
      </c>
      <c r="N4" s="492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178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165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173</v>
      </c>
      <c r="O8" s="509" t="s">
        <v>155</v>
      </c>
      <c r="P8" s="495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.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510"/>
      <c r="P9" s="496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[3]Brewhouse!$A189</f>
        <v>CA147</v>
      </c>
      <c r="D10" s="279">
        <f>[3]Brewhouse!$AF189</f>
        <v>48.8</v>
      </c>
      <c r="E10" s="279">
        <f>[3]Brewhouse!$AI189</f>
        <v>49.4</v>
      </c>
      <c r="F10" s="278">
        <f>[3]Brewhouse!$V189</f>
        <v>52</v>
      </c>
      <c r="G10" s="279">
        <f>[3]Brewhouse!AG189</f>
        <v>11.7</v>
      </c>
      <c r="H10" s="396">
        <v>11.7</v>
      </c>
      <c r="I10" s="368">
        <f>[3]Brewhouse!$AU189</f>
        <v>95.457639498137169</v>
      </c>
      <c r="J10" s="368">
        <f>[3]Brewhouse!$AV189</f>
        <v>96.879584591158093</v>
      </c>
      <c r="K10" s="281">
        <f>[3]Brewhouse!$Q189</f>
        <v>13.785310734463277</v>
      </c>
      <c r="L10" s="276">
        <f>[3]Brewhouse!$P189</f>
        <v>58</v>
      </c>
      <c r="M10" s="397">
        <f>[3]Brewhouse!$U189-[3]Brewhouse!$T189</f>
        <v>0.1159722222222222</v>
      </c>
      <c r="N10" s="370">
        <f>[3]Brewhouse!$Z189</f>
        <v>0.26458333333333328</v>
      </c>
      <c r="O10" s="420" t="str">
        <f>[3]Brewhouse!$AX189</f>
        <v>R.Sookram</v>
      </c>
      <c r="P10" s="418"/>
      <c r="R10" s="277" t="str">
        <f t="shared" ref="R10:R28" si="0">B10</f>
        <v>CARIB</v>
      </c>
      <c r="S10" s="472">
        <f t="shared" ref="S10:S28" si="1">VLOOKUP($B10,$R$3:$X$9,2,FALSE)</f>
        <v>11.6</v>
      </c>
      <c r="T10" s="472">
        <f t="shared" ref="T10:T28" si="2">VLOOKUP($B10,$R$3:$X$9,3,FALSE)</f>
        <v>12</v>
      </c>
      <c r="U10" s="297">
        <f t="shared" ref="U10:U28" si="3">VLOOKUP($B10,$R$3:$X$9,4,FALSE)</f>
        <v>0</v>
      </c>
      <c r="V10" s="297">
        <f t="shared" ref="V10:V28" si="4">VLOOKUP($B10,$R$3:$X$9,5,FALSE)</f>
        <v>0.118055555555556</v>
      </c>
      <c r="W10" s="297">
        <f t="shared" ref="W10:W28" si="5">VLOOKUP($B10,$R$3:$X$9,6,FALSE)</f>
        <v>0.22569444444444445</v>
      </c>
      <c r="X10" s="297">
        <f t="shared" ref="X10:X28" si="6">VLOOKUP($B10,$R$3:$X$9,7,FALSE)</f>
        <v>0.2638888888888889</v>
      </c>
      <c r="Y10" s="297">
        <f t="shared" ref="Y10:Y28" si="7">VLOOKUP($B10,$R$3:$Z$9,8,FALSE)</f>
        <v>0</v>
      </c>
      <c r="Z10" s="472">
        <f t="shared" ref="Z10:Z28" si="8">VLOOKUP($B10,$R$3:$Z$9,9,FALSE)</f>
        <v>60</v>
      </c>
    </row>
    <row r="11" spans="2:29" ht="16.5" customHeight="1">
      <c r="B11" s="29" t="s">
        <v>6</v>
      </c>
      <c r="C11" s="366" t="str">
        <f>[3]Brewhouse!$A190</f>
        <v>CA148</v>
      </c>
      <c r="D11" s="279">
        <f>[3]Brewhouse!$AF190</f>
        <v>49.9</v>
      </c>
      <c r="E11" s="279">
        <f>[3]Brewhouse!$AI190</f>
        <v>50.6</v>
      </c>
      <c r="F11" s="278">
        <f>[3]Brewhouse!$V190</f>
        <v>56</v>
      </c>
      <c r="G11" s="279">
        <f>[3]Brewhouse!AG190</f>
        <v>11.7</v>
      </c>
      <c r="H11" s="396">
        <v>11.8</v>
      </c>
      <c r="I11" s="368">
        <f>[3]Brewhouse!$AU190</f>
        <v>97.412920809468176</v>
      </c>
      <c r="J11" s="368">
        <f>[3]Brewhouse!$AV190</f>
        <v>98.864346546222237</v>
      </c>
      <c r="K11" s="281">
        <f>[3]Brewhouse!$Q190</f>
        <v>11.16981132075472</v>
      </c>
      <c r="L11" s="276">
        <f>[3]Brewhouse!$P190</f>
        <v>60</v>
      </c>
      <c r="M11" s="397">
        <f>[3]Brewhouse!$U190-[3]Brewhouse!$T190</f>
        <v>0.11458333333333331</v>
      </c>
      <c r="N11" s="370">
        <f>[3]Brewhouse!$Z190</f>
        <v>0.26666666666666666</v>
      </c>
      <c r="O11" s="420" t="str">
        <f>[3]Brewhouse!$AX190</f>
        <v>K. Benjamin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[3]Brewhouse!$A191</f>
        <v>CA149</v>
      </c>
      <c r="D12" s="279">
        <f>[3]Brewhouse!$AF191</f>
        <v>50.3</v>
      </c>
      <c r="E12" s="279">
        <f>[3]Brewhouse!$AI191</f>
        <v>50.7</v>
      </c>
      <c r="F12" s="278">
        <f>[3]Brewhouse!$V191</f>
        <v>53</v>
      </c>
      <c r="G12" s="279">
        <f>[3]Brewhouse!AG191</f>
        <v>12</v>
      </c>
      <c r="H12" s="482">
        <v>12.1</v>
      </c>
      <c r="I12" s="368">
        <f>[3]Brewhouse!$AU191</f>
        <v>100.36348935151436</v>
      </c>
      <c r="J12" s="368">
        <f>[3]Brewhouse!$AV191</f>
        <v>101.85875626746336</v>
      </c>
      <c r="K12" s="281">
        <f>[3]Brewhouse!$Q191</f>
        <v>13.056603773584911</v>
      </c>
      <c r="L12" s="276">
        <f>[3]Brewhouse!$P191</f>
        <v>61</v>
      </c>
      <c r="M12" s="397">
        <f>[3]Brewhouse!$U191-[3]Brewhouse!$T191</f>
        <v>0.10902777777777783</v>
      </c>
      <c r="N12" s="370">
        <f>[3]Brewhouse!$Z191</f>
        <v>0.26250000000000001</v>
      </c>
      <c r="O12" s="420" t="str">
        <f>[3]Brewhouse!$AX191</f>
        <v>K. Benjamin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[3]Brewhouse!$A192</f>
        <v>CA150</v>
      </c>
      <c r="D13" s="279">
        <f>[3]Brewhouse!$AF192</f>
        <v>49.2</v>
      </c>
      <c r="E13" s="279">
        <f>[3]Brewhouse!$AI192</f>
        <v>49.3</v>
      </c>
      <c r="F13" s="278">
        <f>[3]Brewhouse!$V192</f>
        <v>60</v>
      </c>
      <c r="G13" s="279">
        <f>[3]Brewhouse!AG192</f>
        <v>12</v>
      </c>
      <c r="H13" s="396">
        <v>11.8</v>
      </c>
      <c r="I13" s="368">
        <f>[3]Brewhouse!$AU192</f>
        <v>97.834908581411128</v>
      </c>
      <c r="J13" s="368">
        <f>[3]Brewhouse!$AV192</f>
        <v>99.292265676295131</v>
      </c>
      <c r="K13" s="281">
        <f>[3]Brewhouse!$Q192</f>
        <v>12.301886792452823</v>
      </c>
      <c r="L13" s="276">
        <f>[3]Brewhouse!$P192</f>
        <v>61</v>
      </c>
      <c r="M13" s="397">
        <f>[3]Brewhouse!$U192-[3]Brewhouse!$T192</f>
        <v>0.10416666666666663</v>
      </c>
      <c r="N13" s="370">
        <f>[3]Brewhouse!$Z192</f>
        <v>0.26180555555555557</v>
      </c>
      <c r="O13" s="420" t="str">
        <f>[3]Brewhouse!$AX192</f>
        <v>K. Benjamin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 t="s">
        <v>6</v>
      </c>
      <c r="C14" s="366" t="str">
        <f>[3]Brewhouse!$A193</f>
        <v>CA151</v>
      </c>
      <c r="D14" s="279">
        <f>[3]Brewhouse!$AF193</f>
        <v>49.8</v>
      </c>
      <c r="E14" s="279">
        <f>[3]Brewhouse!$AI193</f>
        <v>49.9</v>
      </c>
      <c r="F14" s="278">
        <f>[3]Brewhouse!$V193</f>
        <v>60</v>
      </c>
      <c r="G14" s="279">
        <f>[3]Brewhouse!AG193</f>
        <v>12</v>
      </c>
      <c r="H14" s="396">
        <v>11.8</v>
      </c>
      <c r="I14" s="368">
        <f>[3]Brewhouse!$AU193</f>
        <v>98.657425109332848</v>
      </c>
      <c r="J14" s="368">
        <f>[3]Brewhouse!$AV193</f>
        <v>100.12739361798322</v>
      </c>
      <c r="K14" s="281">
        <f>[3]Brewhouse!$Q193</f>
        <v>12.090395480225991</v>
      </c>
      <c r="L14" s="276">
        <f>[3]Brewhouse!$P193</f>
        <v>60</v>
      </c>
      <c r="M14" s="397">
        <f>[3]Brewhouse!$U193-[3]Brewhouse!$T193</f>
        <v>0.11736111111111114</v>
      </c>
      <c r="N14" s="370">
        <f>[3]Brewhouse!$Z193</f>
        <v>0.27083333333333337</v>
      </c>
      <c r="O14" s="420" t="str">
        <f>[3]Brewhouse!$AX193</f>
        <v>R. Regis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29" t="s">
        <v>6</v>
      </c>
      <c r="C15" s="366" t="str">
        <f>[3]Brewhouse!$A194</f>
        <v>CA152</v>
      </c>
      <c r="D15" s="279">
        <f>[3]Brewhouse!$AF194</f>
        <v>49.8</v>
      </c>
      <c r="E15" s="279">
        <f>[3]Brewhouse!$AI194</f>
        <v>49.7</v>
      </c>
      <c r="F15" s="278">
        <f>[3]Brewhouse!$V194</f>
        <v>60</v>
      </c>
      <c r="G15" s="279">
        <f>[3]Brewhouse!AG194</f>
        <v>12</v>
      </c>
      <c r="H15" s="396">
        <v>11.7</v>
      </c>
      <c r="I15" s="368">
        <f>[3]Brewhouse!$AU194</f>
        <v>98.140377629593388</v>
      </c>
      <c r="J15" s="368">
        <f>[3]Brewhouse!$AV194</f>
        <v>99.60276076912649</v>
      </c>
      <c r="K15" s="281">
        <f>[3]Brewhouse!$Q194</f>
        <v>11.337099811676088</v>
      </c>
      <c r="L15" s="276">
        <f>[3]Brewhouse!$P194</f>
        <v>61</v>
      </c>
      <c r="M15" s="397">
        <f>[3]Brewhouse!$U194-[3]Brewhouse!$T194</f>
        <v>0.11249999999999993</v>
      </c>
      <c r="N15" s="370">
        <f>[3]Brewhouse!$Z194</f>
        <v>0.27083333333333326</v>
      </c>
      <c r="O15" s="420" t="str">
        <f>[3]Brewhouse!$AX194</f>
        <v>R. Regis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6.5" customHeight="1">
      <c r="B16" s="29" t="s">
        <v>6</v>
      </c>
      <c r="C16" s="366" t="str">
        <f>[3]Brewhouse!$A195</f>
        <v>CA153</v>
      </c>
      <c r="D16" s="279">
        <f>[3]Brewhouse!$AF195</f>
        <v>47.7</v>
      </c>
      <c r="E16" s="279">
        <f>[3]Brewhouse!$AI195</f>
        <v>47.4</v>
      </c>
      <c r="F16" s="278">
        <f>[3]Brewhouse!$V195</f>
        <v>56</v>
      </c>
      <c r="G16" s="279">
        <f>[3]Brewhouse!AG195</f>
        <v>12</v>
      </c>
      <c r="H16" s="396">
        <v>12</v>
      </c>
      <c r="I16" s="368">
        <f>[3]Brewhouse!$AU195</f>
        <v>93.367532714581799</v>
      </c>
      <c r="J16" s="368">
        <f>[3]Brewhouse!$AV195</f>
        <v>94.759020646714475</v>
      </c>
      <c r="K16" s="281">
        <f>[3]Brewhouse!$Q195</f>
        <v>11.525423728813553</v>
      </c>
      <c r="L16" s="276">
        <f>[3]Brewhouse!$P195</f>
        <v>0</v>
      </c>
      <c r="M16" s="397">
        <f>[3]Brewhouse!$U195-[3]Brewhouse!$T195</f>
        <v>0.1020833333333333</v>
      </c>
      <c r="N16" s="370">
        <f>[3]Brewhouse!$Z195</f>
        <v>0.25624999999999998</v>
      </c>
      <c r="O16" s="420" t="str">
        <f>[3]Brewhouse!$AX195</f>
        <v>R.Sookram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2:26" ht="16.5" customHeight="1">
      <c r="B17" s="29" t="s">
        <v>6</v>
      </c>
      <c r="C17" s="366" t="str">
        <f>[3]Brewhouse!$A196</f>
        <v>CA154</v>
      </c>
      <c r="D17" s="279">
        <f>[3]Brewhouse!$AF196</f>
        <v>50.3</v>
      </c>
      <c r="E17" s="279">
        <f>[3]Brewhouse!$AI196</f>
        <v>50.4</v>
      </c>
      <c r="F17" s="278">
        <f>[3]Brewhouse!$V196</f>
        <v>61</v>
      </c>
      <c r="G17" s="279">
        <f>[3]Brewhouse!AG196</f>
        <v>11.8</v>
      </c>
      <c r="H17" s="396">
        <v>11.8</v>
      </c>
      <c r="I17" s="368">
        <f>[3]Brewhouse!$AU196</f>
        <v>97.177979816275325</v>
      </c>
      <c r="J17" s="368">
        <f>[3]Brewhouse!$AV196</f>
        <v>98.626604675676447</v>
      </c>
      <c r="K17" s="281">
        <f>[3]Brewhouse!$Q196</f>
        <v>11.148775894538609</v>
      </c>
      <c r="L17" s="276">
        <f>[3]Brewhouse!$P196</f>
        <v>58</v>
      </c>
      <c r="M17" s="397">
        <f>[3]Brewhouse!$U196-[3]Brewhouse!$T196</f>
        <v>0.11041666666666661</v>
      </c>
      <c r="N17" s="370">
        <f>[3]Brewhouse!$Z196</f>
        <v>0.26319444444444451</v>
      </c>
      <c r="O17" s="420" t="str">
        <f>[3]Brewhouse!$AX196</f>
        <v>R.Sookram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2:26" ht="16.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2:26" ht="16.5" customHeight="1">
      <c r="B19" s="486">
        <v>46081</v>
      </c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46081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2:26" ht="16.5" customHeight="1">
      <c r="B20" s="33" t="s">
        <v>9</v>
      </c>
      <c r="C20" s="366" t="str">
        <f>[4]Brewhouse!$A125</f>
        <v>ST074</v>
      </c>
      <c r="D20" s="279">
        <f>[4]Brewhouse!$AB125</f>
        <v>52.1</v>
      </c>
      <c r="E20" s="279">
        <f>[4]Brewhouse!$AG125</f>
        <v>45.9</v>
      </c>
      <c r="F20" s="278">
        <f>[4]Brewhouse!$V125</f>
        <v>53</v>
      </c>
      <c r="G20" s="279">
        <f>[4]Brewhouse!$AE125</f>
        <v>11.9</v>
      </c>
      <c r="H20" s="396">
        <v>11.9</v>
      </c>
      <c r="I20" s="368">
        <f>[4]Brewhouse!$AS125</f>
        <v>91.706323721321553</v>
      </c>
      <c r="J20" s="368">
        <f>[4]Brewhouse!$AT125</f>
        <v>92.857764046854285</v>
      </c>
      <c r="K20" s="281">
        <f>[4]Brewhouse!$Q125</f>
        <v>19.721689059500957</v>
      </c>
      <c r="L20" s="276">
        <f>[4]Brewhouse!$P125</f>
        <v>0</v>
      </c>
      <c r="M20" s="374">
        <f>[4]Brewhouse!$U125-[4]Brewhouse!$T125</f>
        <v>0.10555555555555554</v>
      </c>
      <c r="N20" s="370">
        <f>[4]Brewhouse!$AW125</f>
        <v>0.25277777777777777</v>
      </c>
      <c r="O20" s="371" t="str">
        <f>[4]Brewhouse!$AV125</f>
        <v>R.Sookram</v>
      </c>
      <c r="P20" s="418"/>
      <c r="R20" s="277" t="str">
        <f t="shared" si="0"/>
        <v>STAG</v>
      </c>
      <c r="S20" s="472">
        <f t="shared" si="1"/>
        <v>11.6</v>
      </c>
      <c r="T20" s="472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2">
        <f t="shared" si="8"/>
        <v>60</v>
      </c>
    </row>
    <row r="21" spans="2:26" ht="16.5" customHeight="1">
      <c r="B21" s="33" t="s">
        <v>9</v>
      </c>
      <c r="C21" s="366" t="str">
        <f>[4]Brewhouse!$A126</f>
        <v>ST075</v>
      </c>
      <c r="D21" s="279">
        <f>[4]Brewhouse!$AB126</f>
        <v>52.1</v>
      </c>
      <c r="E21" s="279">
        <f>[4]Brewhouse!$AG126</f>
        <v>48.8</v>
      </c>
      <c r="F21" s="278">
        <f>[4]Brewhouse!$V126</f>
        <v>59</v>
      </c>
      <c r="G21" s="279">
        <f>[4]Brewhouse!$AE126</f>
        <v>12</v>
      </c>
      <c r="H21" s="482">
        <v>12.2</v>
      </c>
      <c r="I21" s="368">
        <f>[4]Brewhouse!$AS126</f>
        <v>97.990435086817186</v>
      </c>
      <c r="J21" s="368">
        <f>[4]Brewhouse!$AT126</f>
        <v>99.22200165262079</v>
      </c>
      <c r="K21" s="281">
        <f>[4]Brewhouse!$Q126</f>
        <v>18.761996161228403</v>
      </c>
      <c r="L21" s="276">
        <f>[4]Brewhouse!$P126</f>
        <v>59</v>
      </c>
      <c r="M21" s="374">
        <f>[4]Brewhouse!$U126-[4]Brewhouse!$T126</f>
        <v>0.11319444444444443</v>
      </c>
      <c r="N21" s="370">
        <f>[4]Brewhouse!$AW126</f>
        <v>0.26597222222222217</v>
      </c>
      <c r="O21" s="371" t="str">
        <f>[4]Brewhouse!$AV126</f>
        <v>R. Regis</v>
      </c>
      <c r="P21" s="418"/>
      <c r="R21" s="277" t="str">
        <f t="shared" si="0"/>
        <v>STAG</v>
      </c>
      <c r="S21" s="472">
        <f t="shared" si="1"/>
        <v>11.6</v>
      </c>
      <c r="T21" s="472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472">
        <f t="shared" si="8"/>
        <v>60</v>
      </c>
    </row>
    <row r="22" spans="2:26" ht="16.5" customHeight="1">
      <c r="B22" s="33" t="s">
        <v>9</v>
      </c>
      <c r="C22" s="366" t="str">
        <f>[4]Brewhouse!$A127</f>
        <v>ST076</v>
      </c>
      <c r="D22" s="279">
        <f>[4]Brewhouse!$AB127</f>
        <v>52.1</v>
      </c>
      <c r="E22" s="279">
        <f>[4]Brewhouse!$AG127</f>
        <v>49.1</v>
      </c>
      <c r="F22" s="278">
        <f>[4]Brewhouse!$V127</f>
        <v>59</v>
      </c>
      <c r="G22" s="279">
        <f>[4]Brewhouse!$AE127</f>
        <v>11.9</v>
      </c>
      <c r="H22" s="396">
        <v>11.9</v>
      </c>
      <c r="I22" s="368">
        <f>[4]Brewhouse!$AS127</f>
        <v>98.099792913221961</v>
      </c>
      <c r="J22" s="368">
        <f>[4]Brewhouse!$AT127</f>
        <v>99.331507945545653</v>
      </c>
      <c r="K22" s="281">
        <f>[4]Brewhouse!$Q127</f>
        <v>16.266794625719772</v>
      </c>
      <c r="L22" s="276">
        <f>[4]Brewhouse!$P127</f>
        <v>61</v>
      </c>
      <c r="M22" s="374">
        <f>[4]Brewhouse!$U127-[4]Brewhouse!$T127</f>
        <v>0.11041666666666672</v>
      </c>
      <c r="N22" s="370">
        <f>[4]Brewhouse!$AW127</f>
        <v>0.26944444444444449</v>
      </c>
      <c r="O22" s="371" t="str">
        <f>[4]Brewhouse!$AV127</f>
        <v>R. Regis</v>
      </c>
      <c r="P22" s="418"/>
      <c r="R22" s="277" t="str">
        <f t="shared" si="0"/>
        <v>STAG</v>
      </c>
      <c r="S22" s="472">
        <f t="shared" si="1"/>
        <v>11.6</v>
      </c>
      <c r="T22" s="472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472">
        <f t="shared" si="8"/>
        <v>60</v>
      </c>
    </row>
    <row r="23" spans="2:26" ht="16.5" customHeight="1">
      <c r="B23" s="33" t="s">
        <v>9</v>
      </c>
      <c r="C23" s="366" t="str">
        <f>[4]Brewhouse!$A128</f>
        <v>ST077</v>
      </c>
      <c r="D23" s="279">
        <f>[4]Brewhouse!$AB128</f>
        <v>52.1</v>
      </c>
      <c r="E23" s="279">
        <f>[4]Brewhouse!$AG128</f>
        <v>49.3</v>
      </c>
      <c r="F23" s="278">
        <f>[4]Brewhouse!$V128</f>
        <v>60</v>
      </c>
      <c r="G23" s="279">
        <f>[4]Brewhouse!$AE128</f>
        <v>11.8</v>
      </c>
      <c r="H23" s="396">
        <v>11.8</v>
      </c>
      <c r="I23" s="368">
        <f>[4]Brewhouse!$AS128</f>
        <v>97.016230942599037</v>
      </c>
      <c r="J23" s="368">
        <f>[4]Brewhouse!$AT128</f>
        <v>98.236356711063507</v>
      </c>
      <c r="K23" s="281">
        <f>[4]Brewhouse!$Q128</f>
        <v>16.266794625719772</v>
      </c>
      <c r="L23" s="276">
        <f>[4]Brewhouse!$P128</f>
        <v>60</v>
      </c>
      <c r="M23" s="374">
        <f>[4]Brewhouse!$U128-[4]Brewhouse!$T128</f>
        <v>0.11319444444444449</v>
      </c>
      <c r="N23" s="370">
        <f>[4]Brewhouse!$AW128</f>
        <v>0.26319444444444445</v>
      </c>
      <c r="O23" s="371" t="str">
        <f>[4]Brewhouse!$AV128</f>
        <v>R. Regis</v>
      </c>
      <c r="P23" s="418"/>
      <c r="R23" s="277" t="str">
        <f t="shared" si="0"/>
        <v>STAG</v>
      </c>
      <c r="S23" s="472">
        <f t="shared" si="1"/>
        <v>11.6</v>
      </c>
      <c r="T23" s="472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472">
        <f t="shared" si="8"/>
        <v>60</v>
      </c>
    </row>
    <row r="24" spans="2:26" ht="16.5" customHeight="1">
      <c r="B24" s="33" t="s">
        <v>9</v>
      </c>
      <c r="C24" s="366" t="str">
        <f>[4]Brewhouse!$A129</f>
        <v>ST078</v>
      </c>
      <c r="D24" s="279">
        <f>[4]Brewhouse!$AB129</f>
        <v>52.1</v>
      </c>
      <c r="E24" s="279">
        <f>[4]Brewhouse!$AG129</f>
        <v>49.6</v>
      </c>
      <c r="F24" s="278">
        <f>[4]Brewhouse!$V129</f>
        <v>60</v>
      </c>
      <c r="G24" s="279">
        <f>[4]Brewhouse!$AE129</f>
        <v>11.7</v>
      </c>
      <c r="H24" s="396">
        <v>11.8</v>
      </c>
      <c r="I24" s="368">
        <f>[4]Brewhouse!$AS129</f>
        <v>97.224790380282329</v>
      </c>
      <c r="J24" s="368">
        <f>[4]Brewhouse!$AT129</f>
        <v>98.445925142225377</v>
      </c>
      <c r="K24" s="281">
        <f>[4]Brewhouse!$Q129</f>
        <v>16.266794625719772</v>
      </c>
      <c r="L24" s="276">
        <f>[4]Brewhouse!$P129</f>
        <v>60</v>
      </c>
      <c r="M24" s="374">
        <f>[4]Brewhouse!$U129-[4]Brewhouse!$T129</f>
        <v>0.11805555555555547</v>
      </c>
      <c r="N24" s="370">
        <f>[4]Brewhouse!$AW129</f>
        <v>0.27083333333333331</v>
      </c>
      <c r="O24" s="371" t="str">
        <f>[4]Brewhouse!$AV129</f>
        <v>R. Regis</v>
      </c>
      <c r="P24" s="418"/>
      <c r="R24" s="277" t="str">
        <f t="shared" si="0"/>
        <v>STAG</v>
      </c>
      <c r="S24" s="472">
        <f t="shared" si="1"/>
        <v>11.6</v>
      </c>
      <c r="T24" s="472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472">
        <f t="shared" si="8"/>
        <v>60</v>
      </c>
    </row>
    <row r="25" spans="2:26" ht="16.5" customHeight="1">
      <c r="B25" s="33" t="s">
        <v>9</v>
      </c>
      <c r="C25" s="366" t="str">
        <f>[4]Brewhouse!$A130</f>
        <v>ST079</v>
      </c>
      <c r="D25" s="279">
        <f>[4]Brewhouse!$AB130</f>
        <v>52.1</v>
      </c>
      <c r="E25" s="279">
        <f>[4]Brewhouse!$AG130</f>
        <v>49.8</v>
      </c>
      <c r="F25" s="278">
        <f>[4]Brewhouse!$V130</f>
        <v>56</v>
      </c>
      <c r="G25" s="279">
        <f>[4]Brewhouse!$AE130</f>
        <v>12</v>
      </c>
      <c r="H25" s="396">
        <v>11.8</v>
      </c>
      <c r="I25" s="368">
        <f>[4]Brewhouse!$AS130</f>
        <v>100.12446085425042</v>
      </c>
      <c r="J25" s="368">
        <f>[4]Brewhouse!$AT130</f>
        <v>101.38243230959803</v>
      </c>
      <c r="K25" s="281">
        <f>[4]Brewhouse!$Q130</f>
        <v>15.30710172744722</v>
      </c>
      <c r="L25" s="276">
        <f>[4]Brewhouse!$P130</f>
        <v>60</v>
      </c>
      <c r="M25" s="374">
        <f>[4]Brewhouse!$U130-[4]Brewhouse!$T130</f>
        <v>0.10902777777777772</v>
      </c>
      <c r="N25" s="370">
        <f>[4]Brewhouse!$AW130</f>
        <v>0.26041666666666663</v>
      </c>
      <c r="O25" s="371" t="str">
        <f>[4]Brewhouse!$AV130</f>
        <v>R. Regis</v>
      </c>
      <c r="P25" s="418"/>
      <c r="R25" s="277" t="str">
        <f t="shared" si="0"/>
        <v>STAG</v>
      </c>
      <c r="S25" s="472">
        <f t="shared" si="1"/>
        <v>11.6</v>
      </c>
      <c r="T25" s="472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472">
        <f t="shared" si="8"/>
        <v>60</v>
      </c>
    </row>
    <row r="26" spans="2:26" ht="16.5" customHeight="1">
      <c r="B26" s="33" t="s">
        <v>9</v>
      </c>
      <c r="C26" s="366" t="str">
        <f>[4]Brewhouse!$A131</f>
        <v>ST080</v>
      </c>
      <c r="D26" s="279">
        <f>[4]Brewhouse!$AB131</f>
        <v>52.1</v>
      </c>
      <c r="E26" s="279">
        <f>[4]Brewhouse!$AG131</f>
        <v>48.4</v>
      </c>
      <c r="F26" s="278">
        <f>[4]Brewhouse!$V131</f>
        <v>53</v>
      </c>
      <c r="G26" s="279">
        <f>[4]Brewhouse!$AE131</f>
        <v>12</v>
      </c>
      <c r="H26" s="396">
        <v>12</v>
      </c>
      <c r="I26" s="368">
        <f>[4]Brewhouse!$AS131</f>
        <v>97.065060568710209</v>
      </c>
      <c r="J26" s="368">
        <f>[4]Brewhouse!$AT131</f>
        <v>98.285399131485491</v>
      </c>
      <c r="K26" s="281">
        <f>[4]Brewhouse!$Q131</f>
        <v>15.882917466410746</v>
      </c>
      <c r="L26" s="276">
        <f>[4]Brewhouse!$P131</f>
        <v>60</v>
      </c>
      <c r="M26" s="374">
        <f>[4]Brewhouse!$U131-[4]Brewhouse!$T131</f>
        <v>0.11458333333333337</v>
      </c>
      <c r="N26" s="370">
        <f>[4]Brewhouse!$AW131</f>
        <v>0.2680555555555556</v>
      </c>
      <c r="O26" s="371" t="str">
        <f>[4]Brewhouse!$AV131</f>
        <v>R. Regis</v>
      </c>
      <c r="P26" s="418"/>
      <c r="R26" s="277" t="str">
        <f t="shared" si="0"/>
        <v>STAG</v>
      </c>
      <c r="S26" s="472">
        <f t="shared" si="1"/>
        <v>11.6</v>
      </c>
      <c r="T26" s="472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472">
        <f t="shared" si="8"/>
        <v>60</v>
      </c>
    </row>
    <row r="27" spans="2:26" ht="16.5" customHeight="1">
      <c r="B27" s="33" t="s">
        <v>9</v>
      </c>
      <c r="C27" s="366" t="str">
        <f>[4]Brewhouse!$A132</f>
        <v>ST081</v>
      </c>
      <c r="D27" s="279">
        <f>[4]Brewhouse!$AB132</f>
        <v>52</v>
      </c>
      <c r="E27" s="279">
        <f>[4]Brewhouse!$AG132</f>
        <v>47.7</v>
      </c>
      <c r="F27" s="278">
        <f>[4]Brewhouse!$V132</f>
        <v>77</v>
      </c>
      <c r="G27" s="279">
        <f>[4]Brewhouse!$AE132</f>
        <v>12.5</v>
      </c>
      <c r="H27" s="482">
        <v>12.3</v>
      </c>
      <c r="I27" s="368">
        <f>[4]Brewhouse!$AS132</f>
        <v>99.975893759521298</v>
      </c>
      <c r="J27" s="368">
        <f>[4]Brewhouse!$AT132</f>
        <v>101.23241403143837</v>
      </c>
      <c r="K27" s="281">
        <f>[4]Brewhouse!$Q132</f>
        <v>21.49038461538461</v>
      </c>
      <c r="L27" s="276">
        <f>[4]Brewhouse!$P132</f>
        <v>61</v>
      </c>
      <c r="M27" s="374">
        <f>[4]Brewhouse!$U132-[4]Brewhouse!$T132</f>
        <v>0.14722222222222214</v>
      </c>
      <c r="N27" s="370">
        <f>[4]Brewhouse!$AW132</f>
        <v>0.29861111111111105</v>
      </c>
      <c r="O27" s="371" t="str">
        <f>[4]Brewhouse!$AV132</f>
        <v>K. Benjamin</v>
      </c>
      <c r="P27" s="418"/>
      <c r="R27" s="277" t="str">
        <f t="shared" si="0"/>
        <v>STAG</v>
      </c>
      <c r="S27" s="472">
        <f t="shared" si="1"/>
        <v>11.6</v>
      </c>
      <c r="T27" s="472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472">
        <f t="shared" si="8"/>
        <v>60</v>
      </c>
    </row>
    <row r="28" spans="2:26" ht="16.5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74"/>
      <c r="N28" s="370"/>
      <c r="O28" s="371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2:26" ht="16.5" customHeight="1">
      <c r="B29" s="22" t="s">
        <v>33</v>
      </c>
      <c r="C29" s="366" t="str">
        <f>[5]Brewhouse!A36</f>
        <v>VM013</v>
      </c>
      <c r="D29" s="279">
        <f>[5]Brewhouse!AE36</f>
        <v>50</v>
      </c>
      <c r="E29" s="279">
        <f>[5]Brewhouse!AJ36</f>
        <v>46.2</v>
      </c>
      <c r="F29" s="278">
        <f>[5]Brewhouse!X36</f>
        <v>82</v>
      </c>
      <c r="G29" s="279">
        <f>[5]Brewhouse!AH36</f>
        <v>14.7</v>
      </c>
      <c r="H29" s="482">
        <v>14.7</v>
      </c>
      <c r="I29" s="368">
        <f>[5]Brewhouse!AV36</f>
        <v>96.535163112888242</v>
      </c>
      <c r="J29" s="368">
        <f>[5]Brewhouse!AW36</f>
        <v>96.839367191150771</v>
      </c>
      <c r="K29" s="281">
        <f>[5]Brewhouse!S36</f>
        <v>11.52000000000001</v>
      </c>
      <c r="L29" s="276">
        <f>[5]Brewhouse!R36</f>
        <v>60</v>
      </c>
      <c r="M29" s="374">
        <f>[5]Brewhouse!$W36-[5]Brewhouse!$V36</f>
        <v>0.14444444444444438</v>
      </c>
      <c r="N29" s="370">
        <f>[5]Brewhouse!AB36</f>
        <v>0.35000000000000009</v>
      </c>
      <c r="O29" s="371" t="str">
        <f>[5]Brewhouse!$AZ36</f>
        <v>K. Benjamin</v>
      </c>
      <c r="P29" s="418"/>
      <c r="R29" s="277" t="str">
        <f t="shared" ref="R29:R46" si="9">B29</f>
        <v>VITAMALT</v>
      </c>
      <c r="S29" s="472">
        <f t="shared" ref="S29:S46" si="10">VLOOKUP($B29,$R$3:$X$9,2,FALSE)</f>
        <v>14.2</v>
      </c>
      <c r="T29" s="472">
        <f t="shared" ref="T29:T46" si="11">VLOOKUP($B29,$R$3:$X$9,3,FALSE)</f>
        <v>14.6</v>
      </c>
      <c r="U29" s="297">
        <f t="shared" ref="U29:U46" si="12">VLOOKUP($B29,$R$3:$X$9,4,FALSE)</f>
        <v>0</v>
      </c>
      <c r="V29" s="297">
        <f t="shared" ref="V29:V46" si="13">VLOOKUP($B29,$R$3:$X$9,5,FALSE)</f>
        <v>0.13905092592592591</v>
      </c>
      <c r="W29" s="297">
        <f t="shared" ref="W29:W46" si="14">VLOOKUP($B29,$R$3:$X$9,6,FALSE)</f>
        <v>0.26041666666666669</v>
      </c>
      <c r="X29" s="297">
        <f t="shared" ref="X29:X46" si="15">VLOOKUP($B29,$R$3:$X$9,7,FALSE)</f>
        <v>0.2951388888888889</v>
      </c>
      <c r="Y29" s="297">
        <f t="shared" ref="Y29:Y46" si="16">VLOOKUP($B29,$R$3:$Z$9,8,FALSE)</f>
        <v>0</v>
      </c>
      <c r="Z29" s="472">
        <f t="shared" ref="Z29:Z46" si="17">VLOOKUP($B29,$R$3:$Z$9,9,FALSE)</f>
        <v>75</v>
      </c>
    </row>
    <row r="30" spans="2:26" ht="16.5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74"/>
      <c r="N30" s="370"/>
      <c r="O30" s="371"/>
      <c r="P30" s="418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2:26" ht="18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420"/>
      <c r="P31" s="418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2:26" ht="16.5" customHeight="1">
      <c r="B32" s="22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18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27" ht="15.75" customHeight="1" thickBot="1">
      <c r="B33" s="358"/>
      <c r="C33" s="358"/>
      <c r="D33" s="358"/>
      <c r="E33" s="358"/>
      <c r="F33" s="294"/>
      <c r="G33" s="294"/>
      <c r="H33" s="348"/>
      <c r="I33" s="511"/>
      <c r="J33" s="511"/>
      <c r="K33" s="511"/>
      <c r="L33" s="511"/>
      <c r="M33" s="511"/>
      <c r="N33" s="511"/>
      <c r="O33" s="1"/>
      <c r="P33" s="12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27" ht="15.75" customHeight="1" thickBot="1">
      <c r="B34" s="388" t="s">
        <v>162</v>
      </c>
      <c r="C34" s="388"/>
      <c r="D34" s="512" t="s">
        <v>35</v>
      </c>
      <c r="E34" s="513"/>
      <c r="F34" s="294"/>
      <c r="G34" s="294"/>
      <c r="H34" s="348"/>
      <c r="I34" s="24" t="s">
        <v>17</v>
      </c>
      <c r="J34" s="25"/>
      <c r="K34" s="26" t="s">
        <v>138</v>
      </c>
      <c r="L34" s="25" t="s">
        <v>37</v>
      </c>
      <c r="M34" s="25" t="s">
        <v>38</v>
      </c>
      <c r="N34" s="27" t="s">
        <v>39</v>
      </c>
      <c r="O34" s="294"/>
      <c r="P34" s="12"/>
      <c r="R34" s="277" t="str">
        <f t="shared" si="9"/>
        <v xml:space="preserve">BRAND 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</row>
    <row r="35" spans="1:27" ht="15" customHeight="1">
      <c r="A35" s="28"/>
      <c r="B35" s="514"/>
      <c r="C35" s="362"/>
      <c r="D35" s="517"/>
      <c r="E35" s="518"/>
      <c r="F35" s="294"/>
      <c r="G35" s="294"/>
      <c r="H35" s="348"/>
      <c r="I35" s="29" t="s">
        <v>6</v>
      </c>
      <c r="J35" s="323">
        <f>AVERAGE(I10:I17)</f>
        <v>97.301534188789262</v>
      </c>
      <c r="K35" s="284">
        <f>COUNTA([3]Brewhouse!$A$125:$A$196)</f>
        <v>72</v>
      </c>
      <c r="L35" s="488">
        <f>AVERAGE([3]Brewhouse!$AU$125:$AU$196)</f>
        <v>97.164243020440892</v>
      </c>
      <c r="M35" s="488">
        <f>AVERAGE([3]Brewhouse!$AU$42:$AU$123,[3]Brewhouse!$AU$125:$AU$196)</f>
        <v>97.581034228957051</v>
      </c>
      <c r="N35" s="3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</row>
    <row r="36" spans="1:27" ht="15" customHeight="1">
      <c r="A36" s="28"/>
      <c r="B36" s="515"/>
      <c r="C36" s="362"/>
      <c r="D36" s="519"/>
      <c r="E36" s="520"/>
      <c r="F36" s="294"/>
      <c r="G36" s="294"/>
      <c r="H36" s="348"/>
      <c r="I36" s="33" t="s">
        <v>9</v>
      </c>
      <c r="J36" s="280">
        <f>AVERAGE(I20:I27)</f>
        <v>97.400373528340509</v>
      </c>
      <c r="K36" s="284">
        <f>COUNTA([4]Brewhouse!$A$83:$A$132)</f>
        <v>50</v>
      </c>
      <c r="L36" s="282">
        <f>AVERAGE([4]Brewhouse!$AS$83:$AS$132)</f>
        <v>97.744854170435261</v>
      </c>
      <c r="M36" s="282">
        <f>AVERAGE([4]Brewhouse!$AS$52:$AS$81,[4]Brewhouse!$AS$83:$AS$132)</f>
        <v>98.22498738715214</v>
      </c>
      <c r="N36" s="30">
        <v>98</v>
      </c>
      <c r="O36" s="11"/>
      <c r="P36" s="31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</row>
    <row r="37" spans="1:27" ht="14.65" customHeight="1">
      <c r="A37" s="28"/>
      <c r="B37" s="515"/>
      <c r="C37" s="362"/>
      <c r="D37" s="521"/>
      <c r="E37" s="522"/>
      <c r="F37" s="294"/>
      <c r="G37" s="294"/>
      <c r="H37" s="348"/>
      <c r="I37" s="34" t="s">
        <v>12</v>
      </c>
      <c r="J37" s="280"/>
      <c r="K37" s="284">
        <f>COUNTA([6]Brewhouse!$A$25:$A$32)</f>
        <v>8</v>
      </c>
      <c r="L37" s="282">
        <f>AVERAGE([6]Brewhouse!$AU$25:$AU$32)</f>
        <v>98.866545856718233</v>
      </c>
      <c r="M37" s="282">
        <f>AVERAGE([6]Brewhouse!$AU$16:$AU$23,[6]Brewhouse!$AU$25:$AU$32)</f>
        <v>98.315875308259905</v>
      </c>
      <c r="N37" s="30">
        <v>98</v>
      </c>
      <c r="O37" s="11"/>
      <c r="P37" s="31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</row>
    <row r="38" spans="1:27" ht="14.65" customHeight="1">
      <c r="A38" s="28"/>
      <c r="B38" s="515"/>
      <c r="C38" s="362"/>
      <c r="D38" s="523"/>
      <c r="E38" s="520"/>
      <c r="F38" s="294"/>
      <c r="G38" s="294"/>
      <c r="H38" s="348"/>
      <c r="I38" s="22" t="s">
        <v>33</v>
      </c>
      <c r="J38" s="280">
        <f>I29</f>
        <v>96.535163112888242</v>
      </c>
      <c r="K38" s="284">
        <f>COUNTA([5]Brewhouse!$A$36)</f>
        <v>1</v>
      </c>
      <c r="L38" s="282">
        <f>AVERAGE([5]Brewhouse!$AV$36)</f>
        <v>96.535163112888242</v>
      </c>
      <c r="M38" s="282">
        <f>AVERAGE([5]Brewhouse!$AV$23:$AV$34,[5]Brewhouse!$AV$36)</f>
        <v>98.177048514625</v>
      </c>
      <c r="N38" s="30">
        <v>98</v>
      </c>
      <c r="O38" s="11"/>
      <c r="P38" s="31"/>
      <c r="R38" s="277">
        <f t="shared" si="9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</row>
    <row r="39" spans="1:27" ht="14.65" customHeight="1">
      <c r="A39" s="28"/>
      <c r="B39" s="515"/>
      <c r="C39" s="362"/>
      <c r="D39" s="521"/>
      <c r="E39" s="522"/>
      <c r="F39" s="417"/>
      <c r="G39" s="294"/>
      <c r="H39" s="348"/>
      <c r="I39" s="35" t="s">
        <v>29</v>
      </c>
      <c r="J39" s="280"/>
      <c r="K39" s="284"/>
      <c r="L39" s="282"/>
      <c r="M39" s="282"/>
      <c r="N39" s="30">
        <v>98</v>
      </c>
      <c r="O39" s="11"/>
      <c r="P39" s="31"/>
      <c r="R39" s="277">
        <f t="shared" si="9"/>
        <v>0</v>
      </c>
      <c r="S39" s="472" t="e">
        <f t="shared" si="10"/>
        <v>#N/A</v>
      </c>
      <c r="T39" s="472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472" t="e">
        <f t="shared" si="17"/>
        <v>#N/A</v>
      </c>
    </row>
    <row r="40" spans="1:27" ht="14.65" customHeight="1">
      <c r="A40" s="28"/>
      <c r="B40" s="515"/>
      <c r="C40" s="362"/>
      <c r="D40" s="523"/>
      <c r="E40" s="520"/>
      <c r="F40" s="417"/>
      <c r="G40" s="294"/>
      <c r="H40" s="348"/>
      <c r="I40" s="36" t="s">
        <v>15</v>
      </c>
      <c r="J40" s="323"/>
      <c r="K40" s="284"/>
      <c r="L40" s="282"/>
      <c r="M40" s="282">
        <f>AVERAGE([7]Brewhouse!$AT$4:$AT$11)</f>
        <v>92.826224508052405</v>
      </c>
      <c r="N40" s="30">
        <v>98</v>
      </c>
      <c r="O40" s="11"/>
      <c r="P40" s="31"/>
      <c r="R40" s="277">
        <f t="shared" si="9"/>
        <v>0</v>
      </c>
      <c r="S40" s="472" t="e">
        <f t="shared" si="10"/>
        <v>#N/A</v>
      </c>
      <c r="T40" s="472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472" t="e">
        <f t="shared" si="17"/>
        <v>#N/A</v>
      </c>
      <c r="AA40" s="472"/>
    </row>
    <row r="41" spans="1:27" ht="14.65" customHeight="1">
      <c r="A41" s="28"/>
      <c r="B41" s="515"/>
      <c r="C41" s="362"/>
      <c r="D41" s="521"/>
      <c r="E41" s="522"/>
      <c r="F41" s="417"/>
      <c r="G41" s="294"/>
      <c r="H41" s="348"/>
      <c r="I41" s="37" t="s">
        <v>16</v>
      </c>
      <c r="J41" s="323"/>
      <c r="K41" s="284">
        <f>COUNTA([8]Brewhouse!$A$16:$A$23)</f>
        <v>8</v>
      </c>
      <c r="L41" s="282">
        <f>AVERAGE([8]Brewhouse!$AY$16:$AY$23)</f>
        <v>97.998346333082011</v>
      </c>
      <c r="M41" s="282">
        <f>AVERAGE([8]Brewhouse!$AY$5:$AY$14,[8]Brewhouse!$AY$16:$AY$23)</f>
        <v>97.293615171264676</v>
      </c>
      <c r="N41" s="30">
        <v>98</v>
      </c>
      <c r="O41" s="11"/>
      <c r="P41" s="31" t="s">
        <v>41</v>
      </c>
      <c r="R41" s="277">
        <f t="shared" si="9"/>
        <v>0</v>
      </c>
      <c r="S41" s="472" t="e">
        <f t="shared" si="10"/>
        <v>#N/A</v>
      </c>
      <c r="T41" s="472" t="e">
        <f t="shared" si="11"/>
        <v>#N/A</v>
      </c>
      <c r="U41" s="297" t="e">
        <f t="shared" si="12"/>
        <v>#N/A</v>
      </c>
      <c r="V41" s="297" t="e">
        <f t="shared" si="13"/>
        <v>#N/A</v>
      </c>
      <c r="W41" s="297" t="e">
        <f t="shared" si="14"/>
        <v>#N/A</v>
      </c>
      <c r="X41" s="297" t="e">
        <f t="shared" si="15"/>
        <v>#N/A</v>
      </c>
      <c r="Y41" s="297" t="e">
        <f t="shared" si="16"/>
        <v>#N/A</v>
      </c>
      <c r="Z41" s="472" t="e">
        <f t="shared" si="17"/>
        <v>#N/A</v>
      </c>
      <c r="AA41" s="472"/>
    </row>
    <row r="42" spans="1:27" ht="14.65" customHeight="1">
      <c r="A42" s="28"/>
      <c r="B42" s="515"/>
      <c r="C42" s="362"/>
      <c r="D42" s="523"/>
      <c r="E42" s="520"/>
      <c r="F42" s="294"/>
      <c r="G42" s="294"/>
      <c r="H42" s="348"/>
      <c r="I42" s="411" t="s">
        <v>158</v>
      </c>
      <c r="J42" s="326"/>
      <c r="K42" s="284"/>
      <c r="L42" s="488"/>
      <c r="M42" s="488"/>
      <c r="N42" s="30">
        <v>98</v>
      </c>
      <c r="O42" s="11"/>
      <c r="P42" s="31"/>
      <c r="R42" s="277">
        <f t="shared" si="9"/>
        <v>0</v>
      </c>
      <c r="S42" s="472" t="e">
        <f t="shared" si="10"/>
        <v>#N/A</v>
      </c>
      <c r="T42" s="472" t="e">
        <f t="shared" si="11"/>
        <v>#N/A</v>
      </c>
      <c r="U42" s="297" t="e">
        <f t="shared" si="12"/>
        <v>#N/A</v>
      </c>
      <c r="V42" s="297" t="e">
        <f t="shared" si="13"/>
        <v>#N/A</v>
      </c>
      <c r="W42" s="297" t="e">
        <f t="shared" si="14"/>
        <v>#N/A</v>
      </c>
      <c r="X42" s="297" t="e">
        <f t="shared" si="15"/>
        <v>#N/A</v>
      </c>
      <c r="Y42" s="297" t="e">
        <f t="shared" si="16"/>
        <v>#N/A</v>
      </c>
      <c r="Z42" s="472" t="e">
        <f t="shared" si="17"/>
        <v>#N/A</v>
      </c>
      <c r="AA42" s="472"/>
    </row>
    <row r="43" spans="1:27" ht="14.65" customHeight="1">
      <c r="A43" s="28"/>
      <c r="B43" s="515"/>
      <c r="C43" s="349"/>
      <c r="D43" s="521"/>
      <c r="E43" s="522"/>
      <c r="F43" s="294"/>
      <c r="G43" s="294"/>
      <c r="H43" s="348"/>
      <c r="I43" s="410" t="s">
        <v>157</v>
      </c>
      <c r="J43" s="326"/>
      <c r="K43" s="284"/>
      <c r="L43" s="488"/>
      <c r="M43" s="305"/>
      <c r="N43" s="30">
        <v>98</v>
      </c>
      <c r="O43" s="11"/>
      <c r="P43" s="31"/>
      <c r="R43" s="277">
        <f t="shared" si="9"/>
        <v>0</v>
      </c>
      <c r="S43" s="472" t="e">
        <f t="shared" si="10"/>
        <v>#N/A</v>
      </c>
      <c r="T43" s="472" t="e">
        <f t="shared" si="11"/>
        <v>#N/A</v>
      </c>
      <c r="U43" s="297" t="e">
        <f t="shared" si="12"/>
        <v>#N/A</v>
      </c>
      <c r="V43" s="297" t="e">
        <f t="shared" si="13"/>
        <v>#N/A</v>
      </c>
      <c r="W43" s="297" t="e">
        <f t="shared" si="14"/>
        <v>#N/A</v>
      </c>
      <c r="X43" s="297" t="e">
        <f t="shared" si="15"/>
        <v>#N/A</v>
      </c>
      <c r="Y43" s="297" t="e">
        <f t="shared" si="16"/>
        <v>#N/A</v>
      </c>
      <c r="Z43" s="472" t="e">
        <f t="shared" si="17"/>
        <v>#N/A</v>
      </c>
      <c r="AA43" s="472"/>
    </row>
    <row r="44" spans="1:27" ht="15" customHeight="1" thickBot="1">
      <c r="A44" s="28"/>
      <c r="B44" s="515"/>
      <c r="C44" s="349"/>
      <c r="D44" s="523"/>
      <c r="E44" s="520"/>
      <c r="F44" s="294"/>
      <c r="G44" s="294"/>
      <c r="H44" s="348"/>
      <c r="I44" s="406" t="s">
        <v>156</v>
      </c>
      <c r="J44" s="327"/>
      <c r="K44" s="407"/>
      <c r="L44" s="489"/>
      <c r="M44" s="408"/>
      <c r="N44" s="409">
        <v>98</v>
      </c>
      <c r="O44" s="11"/>
      <c r="P44" s="31"/>
      <c r="R44" s="277">
        <f t="shared" si="9"/>
        <v>0</v>
      </c>
      <c r="S44" s="472" t="e">
        <f t="shared" si="10"/>
        <v>#N/A</v>
      </c>
      <c r="T44" s="472" t="e">
        <f t="shared" si="11"/>
        <v>#N/A</v>
      </c>
      <c r="U44" s="297" t="e">
        <f t="shared" si="12"/>
        <v>#N/A</v>
      </c>
      <c r="V44" s="297" t="e">
        <f t="shared" si="13"/>
        <v>#N/A</v>
      </c>
      <c r="W44" s="297" t="e">
        <f t="shared" si="14"/>
        <v>#N/A</v>
      </c>
      <c r="X44" s="297" t="e">
        <f t="shared" si="15"/>
        <v>#N/A</v>
      </c>
      <c r="Y44" s="297" t="e">
        <f t="shared" si="16"/>
        <v>#N/A</v>
      </c>
      <c r="Z44" s="472" t="e">
        <f t="shared" si="17"/>
        <v>#N/A</v>
      </c>
      <c r="AA44" s="472"/>
    </row>
    <row r="45" spans="1:27" ht="15" customHeight="1" thickBot="1">
      <c r="A45" s="28"/>
      <c r="B45" s="515"/>
      <c r="C45" s="349"/>
      <c r="D45" s="517"/>
      <c r="E45" s="518"/>
      <c r="F45" s="294"/>
      <c r="G45" s="294"/>
      <c r="H45" s="348"/>
      <c r="I45" s="1"/>
      <c r="J45" s="39"/>
      <c r="K45" s="404">
        <f>SUM(K35:K44)</f>
        <v>139</v>
      </c>
      <c r="L45" s="490">
        <f>((L35*K35)+(L36*K36)+(L37*K37)+(L38*K38)+(L39*K39)+(K42*L42)+(L40*K40)+(L41*K41)+(L44*K44))/(K45)</f>
        <v>97.514550407372639</v>
      </c>
      <c r="M45" s="490">
        <f>AVERAGE('[9]Jan30th-31st'!$L$42,L45)</f>
        <v>97.67129607160706</v>
      </c>
      <c r="N45" s="40">
        <v>98</v>
      </c>
      <c r="O45" s="11"/>
      <c r="P45" s="31"/>
      <c r="R45" s="277">
        <f t="shared" si="9"/>
        <v>0</v>
      </c>
      <c r="S45" s="472" t="e">
        <f t="shared" si="10"/>
        <v>#N/A</v>
      </c>
      <c r="T45" s="472" t="e">
        <f t="shared" si="11"/>
        <v>#N/A</v>
      </c>
      <c r="U45" s="297" t="e">
        <f t="shared" si="12"/>
        <v>#N/A</v>
      </c>
      <c r="V45" s="297" t="e">
        <f t="shared" si="13"/>
        <v>#N/A</v>
      </c>
      <c r="W45" s="297" t="e">
        <f t="shared" si="14"/>
        <v>#N/A</v>
      </c>
      <c r="X45" s="297" t="e">
        <f t="shared" si="15"/>
        <v>#N/A</v>
      </c>
      <c r="Y45" s="297" t="e">
        <f t="shared" si="16"/>
        <v>#N/A</v>
      </c>
      <c r="Z45" s="472" t="e">
        <f t="shared" si="17"/>
        <v>#N/A</v>
      </c>
      <c r="AA45" s="472"/>
    </row>
    <row r="46" spans="1:27" ht="15.75" thickBot="1">
      <c r="B46" s="516"/>
      <c r="C46" s="350"/>
      <c r="D46" s="519"/>
      <c r="E46" s="520"/>
      <c r="F46" s="294"/>
      <c r="G46" s="42"/>
      <c r="H46" s="41"/>
      <c r="I46" s="42"/>
      <c r="J46" s="42"/>
      <c r="K46" s="351"/>
      <c r="L46" s="348"/>
      <c r="M46" s="348"/>
      <c r="N46" s="11"/>
      <c r="O46" s="294"/>
      <c r="P46" s="12"/>
      <c r="R46" s="277">
        <f t="shared" si="9"/>
        <v>0</v>
      </c>
      <c r="S46" s="472" t="e">
        <f t="shared" si="10"/>
        <v>#N/A</v>
      </c>
      <c r="T46" s="472" t="e">
        <f t="shared" si="11"/>
        <v>#N/A</v>
      </c>
      <c r="U46" s="297" t="e">
        <f t="shared" si="12"/>
        <v>#N/A</v>
      </c>
      <c r="V46" s="297" t="e">
        <f t="shared" si="13"/>
        <v>#N/A</v>
      </c>
      <c r="W46" s="297" t="e">
        <f t="shared" si="14"/>
        <v>#N/A</v>
      </c>
      <c r="X46" s="297" t="e">
        <f t="shared" si="15"/>
        <v>#N/A</v>
      </c>
      <c r="Y46" s="297" t="e">
        <f t="shared" si="16"/>
        <v>#N/A</v>
      </c>
      <c r="Z46" s="472" t="e">
        <f t="shared" si="17"/>
        <v>#N/A</v>
      </c>
      <c r="AA46" s="472"/>
    </row>
    <row r="47" spans="1:27" ht="15.75" thickBot="1">
      <c r="B47" s="514"/>
      <c r="C47" s="362"/>
      <c r="D47" s="525"/>
      <c r="E47" s="526"/>
      <c r="F47" s="294"/>
      <c r="G47" s="42"/>
      <c r="H47" s="41"/>
      <c r="I47" s="42"/>
      <c r="J47" s="527" t="s">
        <v>129</v>
      </c>
      <c r="K47" s="527"/>
      <c r="L47" s="294"/>
      <c r="M47" s="294"/>
      <c r="N47" s="294"/>
      <c r="O47" s="294"/>
      <c r="P47" s="12"/>
    </row>
    <row r="48" spans="1:27" ht="15.75" thickBot="1">
      <c r="B48" s="515"/>
      <c r="C48" s="362"/>
      <c r="D48" s="523"/>
      <c r="E48" s="520"/>
      <c r="F48" s="294"/>
      <c r="G48" s="42"/>
      <c r="H48" s="41"/>
      <c r="I48" s="292" t="s">
        <v>17</v>
      </c>
      <c r="J48" s="293" t="s">
        <v>194</v>
      </c>
      <c r="K48" s="293" t="s">
        <v>196</v>
      </c>
      <c r="L48" s="528" t="s">
        <v>136</v>
      </c>
      <c r="M48" s="528"/>
      <c r="N48" s="529"/>
      <c r="O48" s="294"/>
      <c r="P48" s="12"/>
    </row>
    <row r="49" spans="2:57" ht="15" customHeight="1" thickBot="1">
      <c r="B49" s="515"/>
      <c r="C49" s="349"/>
      <c r="D49" s="521"/>
      <c r="E49" s="522"/>
      <c r="F49" s="294"/>
      <c r="G49" s="42"/>
      <c r="H49" s="41"/>
      <c r="I49" s="287" t="s">
        <v>6</v>
      </c>
      <c r="J49" s="324">
        <v>8</v>
      </c>
      <c r="K49" s="324"/>
      <c r="L49" s="473" t="s">
        <v>37</v>
      </c>
      <c r="M49" s="474" t="s">
        <v>38</v>
      </c>
      <c r="N49" s="474" t="s">
        <v>84</v>
      </c>
      <c r="O49" s="294"/>
      <c r="P49" s="12"/>
    </row>
    <row r="50" spans="2:57" ht="15.75" customHeight="1" thickBot="1">
      <c r="B50" s="515"/>
      <c r="C50" s="349"/>
      <c r="D50" s="523"/>
      <c r="E50" s="520"/>
      <c r="F50" s="294"/>
      <c r="G50" s="42"/>
      <c r="H50" s="41"/>
      <c r="I50" s="345" t="s">
        <v>9</v>
      </c>
      <c r="J50" s="324"/>
      <c r="K50" s="324">
        <v>8</v>
      </c>
      <c r="L50" s="344">
        <f>AVERAGE(K59,'Feb 2nd'!K49,'Feb 3rd'!K54,'Feb 4th'!K53,'Feb 4th'!K53,'Feb 5th'!K49,'Feb 6th'!K49,'Feb 9th'!K52,'Feb 10th'!K54,'Feb 11th'!K48,'Feb 12th'!K49,'Feb 13th'!K46,'Feb 16th'!K54,'Feb 17th'!K50,'Feb 18th '!K48,'Feb 19th'!K50,'Feb 20th'!J50,'Feb 20th'!K50,'Feb 23rd'!K46,'Feb 25th'!K48,J59,'Feb 26th '!K48)</f>
        <v>6.3181818181818183</v>
      </c>
      <c r="M50" s="325">
        <f>AVERAGE('[9]Jan30th-31st'!$L$47,L50)</f>
        <v>6.2025691699604746</v>
      </c>
      <c r="N50" s="416">
        <v>9.1999999999999993</v>
      </c>
      <c r="O50" s="294"/>
      <c r="P50" s="12"/>
    </row>
    <row r="51" spans="2:57" ht="15" customHeight="1">
      <c r="B51" s="515"/>
      <c r="C51" s="349"/>
      <c r="D51" s="521"/>
      <c r="E51" s="522"/>
      <c r="F51" s="294"/>
      <c r="G51" s="42"/>
      <c r="H51" s="41"/>
      <c r="I51" s="288" t="s">
        <v>40</v>
      </c>
      <c r="J51" s="324"/>
      <c r="K51" s="324"/>
      <c r="L51" s="294"/>
      <c r="M51" s="294"/>
      <c r="N51" s="294"/>
      <c r="O51" s="294"/>
      <c r="P51" s="12"/>
    </row>
    <row r="52" spans="2:57" ht="15" customHeight="1">
      <c r="B52" s="515"/>
      <c r="C52" s="349"/>
      <c r="D52" s="523"/>
      <c r="E52" s="520"/>
      <c r="F52" s="294"/>
      <c r="G52" s="42"/>
      <c r="H52" s="41"/>
      <c r="I52" s="289" t="s">
        <v>33</v>
      </c>
      <c r="J52" s="324"/>
      <c r="K52" s="324">
        <v>1</v>
      </c>
      <c r="L52" s="294"/>
      <c r="M52" s="294"/>
      <c r="N52" s="294"/>
      <c r="O52" s="294"/>
      <c r="P52" s="12"/>
    </row>
    <row r="53" spans="2:57" ht="15">
      <c r="B53" s="515"/>
      <c r="C53" s="349"/>
      <c r="D53" s="521"/>
      <c r="E53" s="522"/>
      <c r="F53" s="294"/>
      <c r="G53" s="42"/>
      <c r="H53" s="41"/>
      <c r="I53" s="290" t="s">
        <v>16</v>
      </c>
      <c r="J53" s="324"/>
      <c r="K53" s="324"/>
      <c r="L53" s="294"/>
      <c r="M53" s="294"/>
      <c r="N53" s="294"/>
      <c r="O53" s="294"/>
      <c r="P53" s="12"/>
      <c r="BC53" s="44"/>
      <c r="BD53" s="44"/>
    </row>
    <row r="54" spans="2:57" ht="15">
      <c r="B54" s="515"/>
      <c r="C54" s="349"/>
      <c r="D54" s="523"/>
      <c r="E54" s="520"/>
      <c r="F54" s="294"/>
      <c r="G54" s="42"/>
      <c r="H54" s="41"/>
      <c r="I54" s="291" t="s">
        <v>15</v>
      </c>
      <c r="J54" s="324"/>
      <c r="K54" s="324"/>
      <c r="L54" s="294"/>
      <c r="M54" s="294"/>
      <c r="N54" s="294"/>
      <c r="O54" s="294"/>
      <c r="P54" s="12"/>
      <c r="BC54" s="44"/>
      <c r="BD54" s="44"/>
    </row>
    <row r="55" spans="2:57" ht="15">
      <c r="B55" s="515"/>
      <c r="C55" s="349"/>
      <c r="D55" s="521"/>
      <c r="E55" s="522"/>
      <c r="F55" s="294"/>
      <c r="G55" s="42"/>
      <c r="H55" s="41"/>
      <c r="I55" s="291" t="s">
        <v>149</v>
      </c>
      <c r="J55" s="324"/>
      <c r="K55" s="324"/>
      <c r="L55" s="294"/>
      <c r="M55" s="294"/>
      <c r="N55" s="294"/>
      <c r="O55" s="294"/>
      <c r="P55" s="12"/>
      <c r="BC55" s="44"/>
      <c r="BD55" s="44"/>
    </row>
    <row r="56" spans="2:57" ht="15.75" thickBot="1">
      <c r="B56" s="524"/>
      <c r="C56" s="350"/>
      <c r="D56" s="530"/>
      <c r="E56" s="531"/>
      <c r="F56" s="294" t="s">
        <v>166</v>
      </c>
      <c r="G56" s="42"/>
      <c r="H56" s="41"/>
      <c r="I56" s="291" t="s">
        <v>148</v>
      </c>
      <c r="J56" s="324"/>
      <c r="K56" s="324"/>
      <c r="L56" s="294"/>
      <c r="M56" s="294"/>
      <c r="N56" s="294" t="s">
        <v>41</v>
      </c>
      <c r="O56" s="294"/>
      <c r="P56" s="12"/>
      <c r="BC56" s="44"/>
      <c r="BD56" s="44"/>
    </row>
    <row r="57" spans="2:57" ht="17.649999999999999" customHeight="1" thickBot="1">
      <c r="B57" s="312" t="s">
        <v>139</v>
      </c>
      <c r="C57" s="313"/>
      <c r="D57" s="532"/>
      <c r="E57" s="533"/>
      <c r="F57" s="294"/>
      <c r="H57" s="41"/>
      <c r="I57" s="295" t="s">
        <v>134</v>
      </c>
      <c r="J57" s="324"/>
      <c r="K57" s="324"/>
      <c r="L57" s="294"/>
      <c r="M57" s="294"/>
      <c r="N57" s="294"/>
      <c r="O57" s="294"/>
      <c r="P57" s="12"/>
      <c r="BC57" s="44"/>
      <c r="BD57" s="44"/>
    </row>
    <row r="58" spans="2:57" ht="17.649999999999999" customHeight="1">
      <c r="B58" s="363"/>
      <c r="C58" s="364"/>
      <c r="D58" s="365"/>
      <c r="E58" s="365"/>
      <c r="F58" s="294"/>
      <c r="G58" s="42"/>
      <c r="H58" s="41"/>
      <c r="I58" s="295" t="s">
        <v>131</v>
      </c>
      <c r="J58" s="324"/>
      <c r="K58" s="324"/>
      <c r="L58" s="294"/>
      <c r="M58" s="294"/>
      <c r="N58" s="294"/>
      <c r="O58" s="294"/>
      <c r="P58" s="12"/>
      <c r="BC58" s="44"/>
      <c r="BD58" s="44"/>
    </row>
    <row r="59" spans="2:57" ht="15.6" customHeight="1">
      <c r="B59" s="45"/>
      <c r="C59" s="11"/>
      <c r="D59" s="11"/>
      <c r="E59" s="46"/>
      <c r="F59" s="294"/>
      <c r="G59" s="42"/>
      <c r="H59" s="41"/>
      <c r="I59" s="346" t="s">
        <v>130</v>
      </c>
      <c r="J59" s="324">
        <f>SUM(J49:J58)</f>
        <v>8</v>
      </c>
      <c r="K59" s="324">
        <f>SUM(K49:K58)</f>
        <v>9</v>
      </c>
      <c r="L59" s="294"/>
      <c r="M59" s="294"/>
      <c r="N59" s="294"/>
      <c r="O59" s="294"/>
      <c r="P59" s="12"/>
    </row>
    <row r="60" spans="2:57" ht="20.25" customHeight="1">
      <c r="B60" s="15" t="s">
        <v>42</v>
      </c>
      <c r="C60" s="1" t="s">
        <v>43</v>
      </c>
      <c r="D60" s="1"/>
      <c r="E60" s="1"/>
      <c r="F60" s="294"/>
      <c r="G60" s="42"/>
      <c r="H60" s="41"/>
      <c r="I60" s="42"/>
      <c r="L60" s="294"/>
      <c r="N60" s="315"/>
      <c r="P60" s="334"/>
    </row>
    <row r="61" spans="2:57" ht="15" customHeight="1" thickBot="1"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1"/>
      <c r="O61" s="48"/>
      <c r="P61" s="49"/>
    </row>
    <row r="62" spans="2:57" ht="15" customHeight="1" thickBot="1">
      <c r="B62" s="534" t="s">
        <v>17</v>
      </c>
      <c r="C62" s="534" t="s">
        <v>44</v>
      </c>
      <c r="D62" s="537" t="s">
        <v>45</v>
      </c>
      <c r="E62" s="500" t="s">
        <v>46</v>
      </c>
      <c r="F62" s="509" t="s">
        <v>47</v>
      </c>
      <c r="G62" s="546" t="s">
        <v>48</v>
      </c>
      <c r="H62" s="534" t="s">
        <v>49</v>
      </c>
      <c r="I62" s="534" t="s">
        <v>50</v>
      </c>
      <c r="J62" s="540" t="s">
        <v>28</v>
      </c>
      <c r="K62" s="498" t="s">
        <v>51</v>
      </c>
      <c r="L62" s="549" t="s">
        <v>52</v>
      </c>
      <c r="M62" s="540" t="s">
        <v>53</v>
      </c>
      <c r="N62" s="13"/>
      <c r="O62" s="13"/>
      <c r="P62" s="50"/>
    </row>
    <row r="63" spans="2:57" ht="28.5" customHeight="1" thickTop="1" thickBot="1">
      <c r="B63" s="535"/>
      <c r="C63" s="536"/>
      <c r="D63" s="538"/>
      <c r="E63" s="539"/>
      <c r="F63" s="551"/>
      <c r="G63" s="547"/>
      <c r="H63" s="535"/>
      <c r="I63" s="535"/>
      <c r="J63" s="541"/>
      <c r="K63" s="548"/>
      <c r="L63" s="550"/>
      <c r="M63" s="541"/>
      <c r="N63" s="13"/>
      <c r="O63" s="13"/>
      <c r="P63" s="50"/>
      <c r="Q63" s="355"/>
      <c r="AB63" s="475">
        <v>43474</v>
      </c>
      <c r="AC63" s="475">
        <v>43475</v>
      </c>
      <c r="AD63" s="475">
        <v>43476</v>
      </c>
      <c r="AE63" s="475">
        <v>43477</v>
      </c>
      <c r="AF63" s="475">
        <v>43478</v>
      </c>
      <c r="AG63" s="475">
        <v>43479</v>
      </c>
      <c r="AH63" s="475">
        <v>43480</v>
      </c>
      <c r="AI63" s="475">
        <v>43481</v>
      </c>
      <c r="AJ63" s="475">
        <v>43482</v>
      </c>
      <c r="AK63" s="475">
        <v>43483</v>
      </c>
      <c r="AL63" s="475">
        <v>43484</v>
      </c>
      <c r="AM63" s="475">
        <v>43485</v>
      </c>
      <c r="AN63" s="475">
        <v>43486</v>
      </c>
      <c r="AO63" s="475">
        <v>43487</v>
      </c>
      <c r="AP63" s="475">
        <v>43488</v>
      </c>
      <c r="AQ63" s="475">
        <v>43489</v>
      </c>
      <c r="AR63" s="475">
        <v>43490</v>
      </c>
      <c r="AS63" s="475">
        <v>43491</v>
      </c>
      <c r="AT63" s="475">
        <v>43492</v>
      </c>
      <c r="AU63" s="475">
        <v>43493</v>
      </c>
      <c r="AV63" s="475">
        <v>43494</v>
      </c>
      <c r="AW63" s="475">
        <v>43495</v>
      </c>
      <c r="AX63" s="475">
        <v>43496</v>
      </c>
    </row>
    <row r="64" spans="2:57" s="54" customFormat="1" ht="36.75" customHeight="1" thickBot="1">
      <c r="B64" s="487" t="str">
        <f>I41</f>
        <v>STARMALT</v>
      </c>
      <c r="C64" s="479"/>
      <c r="D64" s="442"/>
      <c r="E64" s="443"/>
      <c r="F64" s="444"/>
      <c r="G64" s="445"/>
      <c r="H64" s="458"/>
      <c r="I64" s="458"/>
      <c r="J64" s="448" t="s">
        <v>150</v>
      </c>
      <c r="K64" s="449"/>
      <c r="L64" s="457" t="e">
        <f>(((D64+E64)-G64)/(D64+E64))*100</f>
        <v>#DIV/0!</v>
      </c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[10]January_2019!L5</f>
        <v>0</v>
      </c>
      <c r="AC64" s="57">
        <f>[10]January_2019!M5</f>
        <v>0</v>
      </c>
      <c r="AD64" s="57">
        <f>[10]January_2019!N5</f>
        <v>0</v>
      </c>
      <c r="AE64" s="57">
        <f>[10]January_2019!O5</f>
        <v>0</v>
      </c>
      <c r="AF64" s="57">
        <f>[10]January_2019!P5</f>
        <v>0</v>
      </c>
      <c r="AG64" s="57">
        <f>[10]January_2019!Q5</f>
        <v>0</v>
      </c>
      <c r="AH64" s="57">
        <f>[10]January_2019!R5</f>
        <v>0</v>
      </c>
      <c r="AI64" s="57">
        <f>[10]January_2019!S5</f>
        <v>0</v>
      </c>
      <c r="AJ64" s="57">
        <f>[10]January_2019!T5</f>
        <v>0</v>
      </c>
      <c r="AK64" s="57">
        <f>[10]January_2019!U5</f>
        <v>0</v>
      </c>
      <c r="AL64" s="57">
        <f>[10]January_2019!V5</f>
        <v>0</v>
      </c>
      <c r="AM64" s="57">
        <f>[10]January_2019!W5</f>
        <v>0</v>
      </c>
      <c r="AN64" s="57">
        <f>[10]January_2019!X5</f>
        <v>0</v>
      </c>
      <c r="AO64" s="57">
        <f>[10]January_2019!Y5</f>
        <v>0</v>
      </c>
      <c r="AP64" s="57">
        <f>[10]January_2019!Z5</f>
        <v>0</v>
      </c>
      <c r="AQ64" s="57">
        <f>[10]January_2019!AA5</f>
        <v>0</v>
      </c>
      <c r="AR64" s="57">
        <f>[10]January_2019!AB5</f>
        <v>0</v>
      </c>
      <c r="AS64" s="57">
        <f>[10]January_2019!AC5</f>
        <v>0</v>
      </c>
      <c r="AT64" s="57">
        <f>[10]January_2019!AD5</f>
        <v>0</v>
      </c>
      <c r="AU64" s="57">
        <f>[10]January_2019!AE5</f>
        <v>0</v>
      </c>
      <c r="AV64" s="57">
        <f>[10]January_2019!AF5</f>
        <v>0</v>
      </c>
      <c r="AW64" s="57">
        <f>[10]January_2019!AG5</f>
        <v>0</v>
      </c>
      <c r="AX64" s="277">
        <f>[10]January_2019!AH5</f>
        <v>0</v>
      </c>
      <c r="AY64" s="277"/>
      <c r="AZ64" s="277"/>
      <c r="BA64" s="277"/>
      <c r="BB64" s="277"/>
      <c r="BC64" s="277"/>
      <c r="BD64" s="277"/>
      <c r="BE64" s="277"/>
    </row>
    <row r="65" spans="1:57" s="54" customFormat="1" ht="14.25" hidden="1" customHeight="1" thickBot="1">
      <c r="B65" s="480"/>
      <c r="C65" s="479"/>
      <c r="D65" s="442"/>
      <c r="E65" s="443"/>
      <c r="F65" s="444"/>
      <c r="G65" s="445"/>
      <c r="H65" s="458"/>
      <c r="I65" s="458"/>
      <c r="J65" s="476"/>
      <c r="K65" s="449"/>
      <c r="L65" s="457"/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>
        <f>[10]January_2019!L6</f>
        <v>0</v>
      </c>
      <c r="AC65" s="57">
        <f>[10]January_2019!M6</f>
        <v>0</v>
      </c>
      <c r="AD65" s="57">
        <f>[10]January_2019!N6</f>
        <v>0</v>
      </c>
      <c r="AE65" s="57">
        <f>[10]January_2019!O6</f>
        <v>0</v>
      </c>
      <c r="AF65" s="57">
        <f>[10]January_2019!P6</f>
        <v>0</v>
      </c>
      <c r="AG65" s="57">
        <f>[10]January_2019!Q6</f>
        <v>0</v>
      </c>
      <c r="AH65" s="57">
        <f>[10]January_2019!R6</f>
        <v>0</v>
      </c>
      <c r="AI65" s="57">
        <f>[10]January_2019!S6</f>
        <v>0</v>
      </c>
      <c r="AJ65" s="57">
        <f>[10]January_2019!T6</f>
        <v>0</v>
      </c>
      <c r="AK65" s="57">
        <f>[10]January_2019!U6</f>
        <v>0</v>
      </c>
      <c r="AL65" s="57">
        <f>[10]January_2019!V6</f>
        <v>0</v>
      </c>
      <c r="AM65" s="57">
        <f>[10]January_2019!W6</f>
        <v>0</v>
      </c>
      <c r="AN65" s="57">
        <f>[10]January_2019!X6</f>
        <v>0</v>
      </c>
      <c r="AO65" s="57">
        <f>[10]January_2019!Y6</f>
        <v>0</v>
      </c>
      <c r="AP65" s="57">
        <f>[10]January_2019!Z6</f>
        <v>0</v>
      </c>
      <c r="AQ65" s="57">
        <f>[10]January_2019!AA6</f>
        <v>0</v>
      </c>
      <c r="AR65" s="57">
        <f>[10]January_2019!AB6</f>
        <v>0</v>
      </c>
      <c r="AS65" s="57">
        <f>[10]January_2019!AC6</f>
        <v>0</v>
      </c>
      <c r="AT65" s="57">
        <f>[10]January_2019!AD6</f>
        <v>0</v>
      </c>
      <c r="AU65" s="57">
        <f>[10]January_2019!AE6</f>
        <v>0</v>
      </c>
      <c r="AV65" s="57">
        <f>[10]January_2019!AF6</f>
        <v>0</v>
      </c>
      <c r="AW65" s="57">
        <f>[10]January_2019!AG6</f>
        <v>0</v>
      </c>
      <c r="AX65" s="277">
        <f>[10]January_2019!AH6</f>
        <v>0</v>
      </c>
      <c r="AY65" s="277"/>
      <c r="AZ65" s="277"/>
      <c r="BA65" s="277"/>
      <c r="BB65" s="277"/>
      <c r="BC65" s="277"/>
      <c r="BD65" s="277"/>
      <c r="BE65" s="277"/>
    </row>
    <row r="66" spans="1:57" s="54" customFormat="1" ht="37.15" hidden="1" customHeight="1" thickBot="1">
      <c r="A66" s="54" t="s">
        <v>170</v>
      </c>
      <c r="B66" s="480"/>
      <c r="C66" s="479"/>
      <c r="D66" s="442"/>
      <c r="E66" s="443"/>
      <c r="F66" s="444"/>
      <c r="G66" s="445"/>
      <c r="H66" s="458"/>
      <c r="I66" s="458"/>
      <c r="J66" s="448"/>
      <c r="K66" s="44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>
        <f>[10]January_2019!L7</f>
        <v>285.8</v>
      </c>
      <c r="AC66" s="57">
        <f>[10]January_2019!M7</f>
        <v>508.1</v>
      </c>
      <c r="AD66" s="57">
        <f>[10]January_2019!N7</f>
        <v>0</v>
      </c>
      <c r="AE66" s="57">
        <f>[10]January_2019!O7</f>
        <v>0</v>
      </c>
      <c r="AF66" s="57">
        <f>[10]January_2019!P7</f>
        <v>109.56666666666666</v>
      </c>
      <c r="AG66" s="57">
        <f>[10]January_2019!Q7</f>
        <v>297.64999999999998</v>
      </c>
      <c r="AH66" s="57">
        <f>[10]January_2019!R7</f>
        <v>122.3</v>
      </c>
      <c r="AI66" s="57">
        <f>[10]January_2019!S7</f>
        <v>0</v>
      </c>
      <c r="AJ66" s="57">
        <f>[10]January_2019!T7</f>
        <v>294.7</v>
      </c>
      <c r="AK66" s="57">
        <f>[10]January_2019!U7</f>
        <v>280.5</v>
      </c>
      <c r="AL66" s="57">
        <f>[10]January_2019!V7</f>
        <v>0</v>
      </c>
      <c r="AM66" s="57">
        <f>[10]January_2019!W7</f>
        <v>0</v>
      </c>
      <c r="AN66" s="57">
        <f>[10]January_2019!X7</f>
        <v>188.25</v>
      </c>
      <c r="AO66" s="57">
        <f>[10]January_2019!Y7</f>
        <v>295.7</v>
      </c>
      <c r="AP66" s="57">
        <f>[10]January_2019!Z7</f>
        <v>257.8</v>
      </c>
      <c r="AQ66" s="57">
        <f>[10]January_2019!AA7</f>
        <v>291.2</v>
      </c>
      <c r="AR66" s="57">
        <f>[10]January_2019!AB7</f>
        <v>187</v>
      </c>
      <c r="AS66" s="57">
        <f>[10]January_2019!AC7</f>
        <v>0</v>
      </c>
      <c r="AT66" s="57">
        <f>[10]January_2019!AD7</f>
        <v>0</v>
      </c>
      <c r="AU66" s="57">
        <f>[10]January_2019!AE7</f>
        <v>485.1</v>
      </c>
      <c r="AV66" s="57">
        <f>[10]January_2019!AF7</f>
        <v>171.55</v>
      </c>
      <c r="AW66" s="57">
        <f>[10]January_2019!AG7</f>
        <v>423.8</v>
      </c>
      <c r="AX66" s="277">
        <f>[10]January_2019!AH7</f>
        <v>0</v>
      </c>
      <c r="AY66" s="277"/>
      <c r="AZ66" s="277"/>
      <c r="BA66" s="277"/>
      <c r="BB66" s="277"/>
      <c r="BC66" s="277"/>
      <c r="BD66" s="277"/>
      <c r="BE66" s="277"/>
    </row>
    <row r="67" spans="1:57" s="54" customFormat="1" ht="19.5" hidden="1" customHeight="1" thickBot="1">
      <c r="B67" s="478"/>
      <c r="C67" s="430"/>
      <c r="D67" s="431"/>
      <c r="E67" s="432"/>
      <c r="F67" s="433"/>
      <c r="G67" s="434"/>
      <c r="H67" s="458"/>
      <c r="I67" s="458"/>
      <c r="J67" s="451"/>
      <c r="K67" s="436"/>
      <c r="L67" s="452"/>
      <c r="M67" s="421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1:57" s="54" customFormat="1" ht="38.450000000000003" hidden="1" customHeight="1" thickBot="1">
      <c r="B68" s="480"/>
      <c r="C68" s="479"/>
      <c r="D68" s="442"/>
      <c r="E68" s="443"/>
      <c r="F68" s="444"/>
      <c r="G68" s="445"/>
      <c r="H68" s="458"/>
      <c r="I68" s="458"/>
      <c r="J68" s="448" t="s">
        <v>182</v>
      </c>
      <c r="K68" s="459"/>
      <c r="L68" s="457" t="e">
        <f>(((D68+E68)-G68)/(D68+E68))*100</f>
        <v>#DIV/0!</v>
      </c>
      <c r="M68" s="455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1:57" s="54" customFormat="1" ht="15" hidden="1">
      <c r="B69" s="453"/>
      <c r="C69" s="430"/>
      <c r="D69" s="431"/>
      <c r="E69" s="432"/>
      <c r="F69" s="433"/>
      <c r="G69" s="434"/>
      <c r="H69" s="435"/>
      <c r="I69" s="450"/>
      <c r="J69" s="451"/>
      <c r="K69" s="436"/>
      <c r="L69" s="452"/>
      <c r="M69" s="421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1:57" s="54" customFormat="1" ht="37.15" hidden="1" customHeight="1" thickBot="1">
      <c r="B70" s="480"/>
      <c r="C70" s="479"/>
      <c r="D70" s="442"/>
      <c r="E70" s="443"/>
      <c r="F70" s="444"/>
      <c r="G70" s="445"/>
      <c r="H70" s="446"/>
      <c r="I70" s="447"/>
      <c r="J70" s="448"/>
      <c r="K70" s="449"/>
      <c r="L70" s="457"/>
      <c r="M70" s="455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1:57" s="54" customFormat="1" ht="16.5" hidden="1" customHeight="1" thickBot="1">
      <c r="B71" s="437"/>
      <c r="C71" s="423"/>
      <c r="D71" s="424"/>
      <c r="E71" s="425"/>
      <c r="F71" s="426"/>
      <c r="G71" s="427"/>
      <c r="H71" s="428"/>
      <c r="I71" s="438"/>
      <c r="J71" s="439"/>
      <c r="K71" s="429"/>
      <c r="L71" s="440"/>
      <c r="M71" s="422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415"/>
      <c r="AC71" s="415"/>
      <c r="AD71" s="415"/>
      <c r="AE71" s="415"/>
      <c r="AF71" s="415"/>
      <c r="AG71" s="415"/>
      <c r="AH71" s="415"/>
      <c r="AI71" s="415"/>
      <c r="AJ71" s="415"/>
      <c r="AK71" s="415"/>
      <c r="AL71" s="415"/>
      <c r="AM71" s="415"/>
      <c r="AN71" s="415"/>
      <c r="AO71" s="415"/>
      <c r="AP71" s="415"/>
      <c r="AQ71" s="415"/>
      <c r="AR71" s="415"/>
      <c r="AS71" s="415"/>
      <c r="AT71" s="415"/>
      <c r="AU71" s="415"/>
      <c r="AV71" s="415"/>
      <c r="AW71" s="415"/>
    </row>
    <row r="72" spans="1:57" s="54" customFormat="1" ht="37.15" hidden="1" customHeight="1" thickBot="1">
      <c r="B72" s="456"/>
      <c r="C72" s="441"/>
      <c r="D72" s="442"/>
      <c r="E72" s="443"/>
      <c r="F72" s="444"/>
      <c r="G72" s="445"/>
      <c r="H72" s="446"/>
      <c r="I72" s="447"/>
      <c r="J72" s="448"/>
      <c r="K72" s="449"/>
      <c r="L72" s="457"/>
      <c r="M72" s="454"/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277"/>
      <c r="AY72" s="277"/>
      <c r="AZ72" s="277"/>
      <c r="BA72" s="277"/>
      <c r="BB72" s="277"/>
      <c r="BC72" s="277"/>
      <c r="BD72" s="277"/>
      <c r="BE72" s="277"/>
    </row>
    <row r="73" spans="1:57" s="54" customFormat="1" ht="37.15" customHeight="1">
      <c r="B73" s="466"/>
      <c r="C73" s="430"/>
      <c r="D73" s="460"/>
      <c r="E73" s="461"/>
      <c r="F73" s="462"/>
      <c r="G73" s="460"/>
      <c r="H73" s="463"/>
      <c r="I73" s="463"/>
      <c r="J73" s="463"/>
      <c r="K73" s="464"/>
      <c r="L73" s="465"/>
      <c r="M73" s="50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277"/>
      <c r="AY73" s="277"/>
      <c r="AZ73" s="277"/>
      <c r="BA73" s="277"/>
      <c r="BB73" s="277"/>
      <c r="BC73" s="277"/>
      <c r="BD73" s="277"/>
      <c r="BE73" s="277"/>
    </row>
    <row r="74" spans="1:57" ht="18" customHeight="1" thickBot="1">
      <c r="B74" s="59"/>
      <c r="C74" s="30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 t="s">
        <v>41</v>
      </c>
      <c r="O74" s="56"/>
      <c r="P74" s="60"/>
    </row>
    <row r="75" spans="1:57" ht="15.75" thickBot="1">
      <c r="B75" s="542" t="s">
        <v>55</v>
      </c>
      <c r="C75" s="543"/>
      <c r="D75" s="543"/>
      <c r="E75" s="543"/>
      <c r="F75" s="544"/>
      <c r="G75" s="542" t="s">
        <v>56</v>
      </c>
      <c r="H75" s="543"/>
      <c r="I75" s="543"/>
      <c r="J75" s="544"/>
      <c r="K75" s="542" t="s">
        <v>51</v>
      </c>
      <c r="L75" s="543"/>
      <c r="M75" s="543"/>
      <c r="N75" s="545"/>
      <c r="O75" s="56"/>
      <c r="P75" s="50"/>
    </row>
    <row r="76" spans="1:57" ht="15">
      <c r="B76" s="61" t="s">
        <v>17</v>
      </c>
      <c r="C76" s="62" t="s">
        <v>36</v>
      </c>
      <c r="D76" s="62" t="s">
        <v>37</v>
      </c>
      <c r="E76" s="62" t="s">
        <v>38</v>
      </c>
      <c r="F76" s="63" t="s">
        <v>39</v>
      </c>
      <c r="G76" s="62" t="s">
        <v>36</v>
      </c>
      <c r="H76" s="62" t="s">
        <v>37</v>
      </c>
      <c r="I76" s="62" t="s">
        <v>38</v>
      </c>
      <c r="J76" s="63" t="s">
        <v>39</v>
      </c>
      <c r="K76" s="62" t="s">
        <v>36</v>
      </c>
      <c r="L76" s="62" t="s">
        <v>37</v>
      </c>
      <c r="M76" s="62" t="s">
        <v>38</v>
      </c>
      <c r="N76" s="63" t="s">
        <v>39</v>
      </c>
      <c r="O76" s="56"/>
      <c r="P76" s="64"/>
    </row>
    <row r="77" spans="1:57" ht="15">
      <c r="B77" s="29" t="s">
        <v>6</v>
      </c>
      <c r="C77" s="282"/>
      <c r="D77" s="76">
        <v>6.2840625973217117</v>
      </c>
      <c r="E77" s="76">
        <v>7.3039460765120872</v>
      </c>
      <c r="F77" s="66">
        <v>4.8</v>
      </c>
      <c r="G77" s="65"/>
      <c r="H77" s="477">
        <v>5.404317462603589</v>
      </c>
      <c r="I77" s="477">
        <v>6.7965850885289916</v>
      </c>
      <c r="J77" s="66">
        <v>4.8</v>
      </c>
      <c r="K77" s="67"/>
      <c r="L77" s="194">
        <v>0.3887953403572954</v>
      </c>
      <c r="M77" s="194">
        <v>0.39777343814731958</v>
      </c>
      <c r="N77" s="68">
        <v>1</v>
      </c>
      <c r="O77" s="56"/>
      <c r="P77" s="69"/>
    </row>
    <row r="78" spans="1:57" ht="15">
      <c r="B78" s="33" t="s">
        <v>9</v>
      </c>
      <c r="C78" s="65"/>
      <c r="D78" s="76">
        <v>6.4184435544972427</v>
      </c>
      <c r="E78" s="76">
        <v>6.2142510274519545</v>
      </c>
      <c r="F78" s="66">
        <v>4.8</v>
      </c>
      <c r="G78" s="65"/>
      <c r="H78" s="76">
        <v>5.7398544512411318</v>
      </c>
      <c r="I78" s="76">
        <v>6.2442524170129747</v>
      </c>
      <c r="J78" s="66">
        <v>4.8</v>
      </c>
      <c r="K78" s="67"/>
      <c r="L78" s="194">
        <v>0.45737082659367095</v>
      </c>
      <c r="M78" s="194">
        <v>0.53364949315775001</v>
      </c>
      <c r="N78" s="68">
        <v>1</v>
      </c>
      <c r="P78" s="69"/>
    </row>
    <row r="79" spans="1:57" ht="15">
      <c r="B79" s="34" t="s">
        <v>40</v>
      </c>
      <c r="C79" s="65"/>
      <c r="D79" s="76">
        <v>13.350183823529404</v>
      </c>
      <c r="E79" s="76">
        <v>12.433093745220976</v>
      </c>
      <c r="F79" s="66">
        <v>5.5</v>
      </c>
      <c r="G79" s="65"/>
      <c r="H79" s="76">
        <v>12.804756752111219</v>
      </c>
      <c r="I79" s="76">
        <v>12.329305540954939</v>
      </c>
      <c r="J79" s="66">
        <v>5.5</v>
      </c>
      <c r="K79" s="67"/>
      <c r="L79" s="194">
        <v>0.16539473684210526</v>
      </c>
      <c r="M79" s="194">
        <v>0.33891812865497073</v>
      </c>
      <c r="N79" s="68">
        <v>1</v>
      </c>
      <c r="P79" s="69"/>
    </row>
    <row r="80" spans="1:57" ht="15">
      <c r="B80" s="22" t="s">
        <v>33</v>
      </c>
      <c r="C80" s="65"/>
      <c r="D80" s="76"/>
      <c r="E80" s="76">
        <v>5.0755456997699637</v>
      </c>
      <c r="F80" s="66">
        <v>3.3</v>
      </c>
      <c r="G80" s="65"/>
      <c r="H80" s="76"/>
      <c r="I80" s="76">
        <v>4.6359882890480018</v>
      </c>
      <c r="J80" s="66">
        <v>3.3</v>
      </c>
      <c r="K80" s="67"/>
      <c r="L80" s="194"/>
      <c r="M80" s="194">
        <v>0.66833333333333345</v>
      </c>
      <c r="N80" s="68">
        <v>1</v>
      </c>
      <c r="P80" s="69"/>
    </row>
    <row r="81" spans="2:16" ht="15">
      <c r="B81" s="35" t="s">
        <v>164</v>
      </c>
      <c r="C81" s="65"/>
      <c r="D81" s="76"/>
      <c r="E81" s="76"/>
      <c r="F81" s="66">
        <v>3.3</v>
      </c>
      <c r="G81" s="282"/>
      <c r="H81" s="76"/>
      <c r="I81" s="76"/>
      <c r="J81" s="66">
        <v>3</v>
      </c>
      <c r="K81" s="67"/>
      <c r="L81" s="194"/>
      <c r="M81" s="194"/>
      <c r="N81" s="68">
        <v>1</v>
      </c>
      <c r="P81" s="69"/>
    </row>
    <row r="82" spans="2:16" ht="15">
      <c r="B82" s="36" t="s">
        <v>15</v>
      </c>
      <c r="C82" s="65"/>
      <c r="D82" s="76"/>
      <c r="E82" s="76">
        <v>5.1105651105651271</v>
      </c>
      <c r="F82" s="70">
        <f>[11]May_2022!$M$43</f>
        <v>3.4878406700073312</v>
      </c>
      <c r="G82" s="282"/>
      <c r="H82" s="76"/>
      <c r="I82" s="76">
        <v>7.9131369535794072</v>
      </c>
      <c r="J82" s="66">
        <v>5.5</v>
      </c>
      <c r="K82" s="67"/>
      <c r="L82" s="194"/>
      <c r="M82" s="194">
        <v>1.3550877192982456</v>
      </c>
      <c r="N82" s="68">
        <v>1</v>
      </c>
      <c r="P82" s="69"/>
    </row>
    <row r="83" spans="2:16" ht="15">
      <c r="B83" s="37" t="s">
        <v>16</v>
      </c>
      <c r="C83" s="65"/>
      <c r="D83" s="76">
        <v>6.2786766481526062</v>
      </c>
      <c r="E83" s="76">
        <v>3.9401442566476499</v>
      </c>
      <c r="F83" s="66">
        <v>3.3</v>
      </c>
      <c r="G83" s="282"/>
      <c r="H83" s="76">
        <v>5.5609305763580101</v>
      </c>
      <c r="I83" s="76">
        <v>3.1599356869466901</v>
      </c>
      <c r="J83" s="66">
        <v>3.3</v>
      </c>
      <c r="K83" s="67"/>
      <c r="L83" s="194">
        <v>0.70210526315789468</v>
      </c>
      <c r="M83" s="194">
        <v>0.82374269005847967</v>
      </c>
      <c r="N83" s="71">
        <v>1</v>
      </c>
      <c r="P83" s="69"/>
    </row>
    <row r="84" spans="2:16" ht="15.75" thickBot="1">
      <c r="B84" s="38" t="s">
        <v>163</v>
      </c>
      <c r="C84" s="65"/>
      <c r="D84" s="76"/>
      <c r="E84" s="76"/>
      <c r="F84" s="66">
        <v>7.5</v>
      </c>
      <c r="G84" s="282"/>
      <c r="H84" s="76"/>
      <c r="I84" s="76"/>
      <c r="J84" s="66">
        <v>7.5</v>
      </c>
      <c r="K84" s="67"/>
      <c r="L84" s="194"/>
      <c r="M84" s="194"/>
      <c r="N84" s="71">
        <v>1</v>
      </c>
      <c r="P84" s="69"/>
    </row>
    <row r="85" spans="2:16" ht="15.75" thickBot="1">
      <c r="B85" s="414" t="s">
        <v>161</v>
      </c>
      <c r="C85" s="65"/>
      <c r="D85" s="76"/>
      <c r="E85" s="76"/>
      <c r="F85" s="66">
        <v>4.8</v>
      </c>
      <c r="G85" s="282"/>
      <c r="H85" s="76"/>
      <c r="I85" s="76"/>
      <c r="J85" s="66">
        <v>4.8</v>
      </c>
      <c r="K85" s="67"/>
      <c r="L85" s="194"/>
      <c r="M85" s="194"/>
      <c r="N85" s="71">
        <v>1</v>
      </c>
      <c r="O85" s="74"/>
      <c r="P85" s="75"/>
    </row>
    <row r="86" spans="2:16" ht="15">
      <c r="D86" s="76">
        <v>6.7977047325313649</v>
      </c>
      <c r="E86" s="76">
        <v>6.8688093662774454</v>
      </c>
      <c r="F86" s="341">
        <v>5.5</v>
      </c>
      <c r="H86" s="76">
        <v>6.2734106691005085</v>
      </c>
      <c r="I86" s="76">
        <v>6.6833237767813678</v>
      </c>
      <c r="J86" s="341">
        <v>5.5</v>
      </c>
      <c r="L86" s="194">
        <v>0.39413530037214251</v>
      </c>
      <c r="M86" s="194">
        <v>0.482437508499932</v>
      </c>
      <c r="N86" s="386">
        <v>1</v>
      </c>
    </row>
  </sheetData>
  <mergeCells count="51">
    <mergeCell ref="M62:M63"/>
    <mergeCell ref="B75:F75"/>
    <mergeCell ref="G75:J75"/>
    <mergeCell ref="K75:N75"/>
    <mergeCell ref="G62:G63"/>
    <mergeCell ref="H62:H63"/>
    <mergeCell ref="I62:I63"/>
    <mergeCell ref="J62:J63"/>
    <mergeCell ref="K62:K63"/>
    <mergeCell ref="L62:L63"/>
    <mergeCell ref="F62:F63"/>
    <mergeCell ref="D57:E57"/>
    <mergeCell ref="B62:B63"/>
    <mergeCell ref="C62:C63"/>
    <mergeCell ref="D62:D63"/>
    <mergeCell ref="E62:E63"/>
    <mergeCell ref="B47:B56"/>
    <mergeCell ref="D47:E48"/>
    <mergeCell ref="J47:K47"/>
    <mergeCell ref="L48:N48"/>
    <mergeCell ref="D49:E50"/>
    <mergeCell ref="D51:E52"/>
    <mergeCell ref="D53:E54"/>
    <mergeCell ref="D55:E56"/>
    <mergeCell ref="I33:N33"/>
    <mergeCell ref="D34:E34"/>
    <mergeCell ref="B35:B46"/>
    <mergeCell ref="D35:E36"/>
    <mergeCell ref="D37:E38"/>
    <mergeCell ref="D39:E40"/>
    <mergeCell ref="D41:E42"/>
    <mergeCell ref="D43:E44"/>
    <mergeCell ref="D45:E4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7:B58">
    <cfRule type="cellIs" dxfId="161" priority="74" operator="notBetween">
      <formula>#REF!</formula>
      <formula>#REF!</formula>
    </cfRule>
  </conditionalFormatting>
  <conditionalFormatting sqref="C61">
    <cfRule type="cellIs" dxfId="160" priority="169" stopIfTrue="1" operator="greaterThan">
      <formula>100</formula>
    </cfRule>
    <cfRule type="cellIs" dxfId="159" priority="168" stopIfTrue="1" operator="lessThan">
      <formula>96</formula>
    </cfRule>
  </conditionalFormatting>
  <conditionalFormatting sqref="C77:C81">
    <cfRule type="cellIs" dxfId="158" priority="137" stopIfTrue="1" operator="lessThanOrEqual">
      <formula>0</formula>
    </cfRule>
  </conditionalFormatting>
  <conditionalFormatting sqref="C77:C85">
    <cfRule type="cellIs" dxfId="157" priority="136" stopIfTrue="1" operator="greaterThan">
      <formula>$F77</formula>
    </cfRule>
  </conditionalFormatting>
  <conditionalFormatting sqref="C78">
    <cfRule type="cellIs" dxfId="156" priority="170" stopIfTrue="1" operator="greaterThan">
      <formula>$F77</formula>
    </cfRule>
  </conditionalFormatting>
  <conditionalFormatting sqref="C82">
    <cfRule type="cellIs" dxfId="155" priority="98" stopIfTrue="1" operator="lessThanOrEqual">
      <formula>0</formula>
    </cfRule>
    <cfRule type="cellIs" dxfId="154" priority="99" stopIfTrue="1" operator="greaterThan">
      <formula>$F81</formula>
    </cfRule>
  </conditionalFormatting>
  <conditionalFormatting sqref="C83:C85">
    <cfRule type="cellIs" dxfId="153" priority="138" stopIfTrue="1" operator="lessThanOrEqual">
      <formula>0</formula>
    </cfRule>
  </conditionalFormatting>
  <conditionalFormatting sqref="C88:C92">
    <cfRule type="cellIs" dxfId="152" priority="160" stopIfTrue="1" operator="lessThanOrEqual">
      <formula>0</formula>
    </cfRule>
  </conditionalFormatting>
  <conditionalFormatting sqref="C89:C92">
    <cfRule type="cellIs" dxfId="151" priority="159" stopIfTrue="1" operator="greaterThan">
      <formula>$F$88</formula>
    </cfRule>
  </conditionalFormatting>
  <conditionalFormatting sqref="C94">
    <cfRule type="cellIs" dxfId="150" priority="161" stopIfTrue="1" operator="greaterThan">
      <formula>$F$88</formula>
    </cfRule>
    <cfRule type="cellIs" dxfId="149" priority="162" stopIfTrue="1" operator="lessThanOrEqual">
      <formula>0</formula>
    </cfRule>
  </conditionalFormatting>
  <conditionalFormatting sqref="C88:D88 D90:D96">
    <cfRule type="cellIs" dxfId="148" priority="154" stopIfTrue="1" operator="greaterThan">
      <formula>4.5</formula>
    </cfRule>
  </conditionalFormatting>
  <conditionalFormatting sqref="D57:D58">
    <cfRule type="cellIs" dxfId="147" priority="75" operator="notBetween">
      <formula>#REF!</formula>
      <formula>#REF!</formula>
    </cfRule>
  </conditionalFormatting>
  <conditionalFormatting sqref="D77:D84">
    <cfRule type="cellIs" dxfId="146" priority="47" stopIfTrue="1" operator="lessThanOrEqual">
      <formula>0</formula>
    </cfRule>
  </conditionalFormatting>
  <conditionalFormatting sqref="D77:D86">
    <cfRule type="cellIs" dxfId="145" priority="26" stopIfTrue="1" operator="lessThanOrEqual">
      <formula>0</formula>
    </cfRule>
  </conditionalFormatting>
  <conditionalFormatting sqref="D85">
    <cfRule type="cellIs" dxfId="144" priority="46" stopIfTrue="1" operator="lessThanOrEqual">
      <formula>0</formula>
    </cfRule>
  </conditionalFormatting>
  <conditionalFormatting sqref="D86">
    <cfRule type="cellIs" dxfId="143" priority="41" stopIfTrue="1" operator="lessThanOrEqual">
      <formula>0</formula>
    </cfRule>
  </conditionalFormatting>
  <conditionalFormatting sqref="D88 D90:D96">
    <cfRule type="cellIs" dxfId="142" priority="155" stopIfTrue="1" operator="lessThanOrEqual">
      <formula>0</formula>
    </cfRule>
  </conditionalFormatting>
  <conditionalFormatting sqref="D89">
    <cfRule type="cellIs" dxfId="141" priority="147" stopIfTrue="1" operator="lessThanOrEqual">
      <formula>0</formula>
    </cfRule>
    <cfRule type="cellIs" dxfId="140" priority="146" stopIfTrue="1" operator="greaterThan">
      <formula>$F$88</formula>
    </cfRule>
  </conditionalFormatting>
  <conditionalFormatting sqref="D77:E86">
    <cfRule type="cellIs" dxfId="139" priority="28" stopIfTrue="1" operator="greaterThan">
      <formula>$F77</formula>
    </cfRule>
  </conditionalFormatting>
  <conditionalFormatting sqref="D86:E86">
    <cfRule type="cellIs" dxfId="138" priority="30" stopIfTrue="1" operator="lessThanOrEqual">
      <formula>0</formula>
    </cfRule>
  </conditionalFormatting>
  <conditionalFormatting sqref="E10:E32">
    <cfRule type="cellIs" dxfId="137" priority="6" operator="lessThan">
      <formula>48</formula>
    </cfRule>
  </conditionalFormatting>
  <conditionalFormatting sqref="E60 E61:F61">
    <cfRule type="cellIs" dxfId="136" priority="151" stopIfTrue="1" operator="greaterThan">
      <formula>100</formula>
    </cfRule>
  </conditionalFormatting>
  <conditionalFormatting sqref="E61">
    <cfRule type="cellIs" dxfId="135" priority="149" stopIfTrue="1" operator="greaterThan">
      <formula>100</formula>
    </cfRule>
    <cfRule type="cellIs" dxfId="134" priority="148" stopIfTrue="1" operator="lessThan">
      <formula>96.8</formula>
    </cfRule>
  </conditionalFormatting>
  <conditionalFormatting sqref="E77:E85">
    <cfRule type="cellIs" dxfId="133" priority="27" stopIfTrue="1" operator="lessThanOrEqual">
      <formula>0</formula>
    </cfRule>
  </conditionalFormatting>
  <conditionalFormatting sqref="E77:E86">
    <cfRule type="cellIs" dxfId="132" priority="29" stopIfTrue="1" operator="lessThanOrEqual">
      <formula>0</formula>
    </cfRule>
  </conditionalFormatting>
  <conditionalFormatting sqref="E88:E96">
    <cfRule type="cellIs" dxfId="131" priority="140" stopIfTrue="1" operator="greaterThan">
      <formula>4.5</formula>
    </cfRule>
    <cfRule type="cellIs" dxfId="130" priority="141" stopIfTrue="1" operator="lessThanOrEqual">
      <formula>0</formula>
    </cfRule>
  </conditionalFormatting>
  <conditionalFormatting sqref="E61:F61 E60">
    <cfRule type="cellIs" dxfId="129" priority="150" stopIfTrue="1" operator="lessThan">
      <formula>96.5</formula>
    </cfRule>
  </conditionalFormatting>
  <conditionalFormatting sqref="F10:F19">
    <cfRule type="cellIs" dxfId="128" priority="22" operator="greaterThan">
      <formula>60</formula>
    </cfRule>
  </conditionalFormatting>
  <conditionalFormatting sqref="F28:F32">
    <cfRule type="cellIs" dxfId="127" priority="7" operator="greaterThan">
      <formula>60</formula>
    </cfRule>
  </conditionalFormatting>
  <conditionalFormatting sqref="F61">
    <cfRule type="cellIs" dxfId="126" priority="166" stopIfTrue="1" operator="lessThan">
      <formula>96.8</formula>
    </cfRule>
    <cfRule type="cellIs" dxfId="125" priority="167" stopIfTrue="1" operator="greaterThan">
      <formula>100</formula>
    </cfRule>
  </conditionalFormatting>
  <conditionalFormatting sqref="F86">
    <cfRule type="cellIs" dxfId="124" priority="45" stopIfTrue="1" operator="lessThanOrEqual">
      <formula>0</formula>
    </cfRule>
    <cfRule type="cellIs" dxfId="123" priority="44" stopIfTrue="1" operator="greaterThan">
      <formula>$F86</formula>
    </cfRule>
  </conditionalFormatting>
  <conditionalFormatting sqref="G10:G31">
    <cfRule type="expression" dxfId="122" priority="19">
      <formula>IF(+(IF(G10&lt;S10,0,IF(G10&gt;T10,0,1)))=0,1)</formula>
    </cfRule>
  </conditionalFormatting>
  <conditionalFormatting sqref="G77:G78">
    <cfRule type="cellIs" dxfId="121" priority="42" stopIfTrue="1" operator="greaterThan">
      <formula>$F77</formula>
    </cfRule>
    <cfRule type="cellIs" dxfId="120" priority="43" stopIfTrue="1" operator="lessThanOrEqual">
      <formula>0</formula>
    </cfRule>
    <cfRule type="cellIs" dxfId="119" priority="48" stopIfTrue="1" operator="greaterThan">
      <formula>$F77</formula>
    </cfRule>
    <cfRule type="cellIs" dxfId="118" priority="49" stopIfTrue="1" operator="lessThanOrEqual">
      <formula>0</formula>
    </cfRule>
  </conditionalFormatting>
  <conditionalFormatting sqref="G79">
    <cfRule type="cellIs" dxfId="117" priority="52" stopIfTrue="1" operator="greaterThan">
      <formula>$F78</formula>
    </cfRule>
    <cfRule type="cellIs" dxfId="116" priority="53" stopIfTrue="1" operator="lessThanOrEqual">
      <formula>0</formula>
    </cfRule>
  </conditionalFormatting>
  <conditionalFormatting sqref="G80">
    <cfRule type="cellIs" dxfId="115" priority="35" stopIfTrue="1" operator="lessThanOrEqual">
      <formula>0</formula>
    </cfRule>
    <cfRule type="cellIs" dxfId="114" priority="37" stopIfTrue="1" operator="lessThanOrEqual">
      <formula>0</formula>
    </cfRule>
    <cfRule type="cellIs" dxfId="113" priority="36" stopIfTrue="1" operator="greaterThan">
      <formula>$F80</formula>
    </cfRule>
    <cfRule type="cellIs" dxfId="112" priority="34" stopIfTrue="1" operator="greaterThan">
      <formula>$F80</formula>
    </cfRule>
  </conditionalFormatting>
  <conditionalFormatting sqref="G81:G85">
    <cfRule type="cellIs" dxfId="111" priority="50" stopIfTrue="1" operator="greaterThan">
      <formula>$J81</formula>
    </cfRule>
    <cfRule type="cellIs" dxfId="110" priority="51" stopIfTrue="1" operator="lessThanOrEqual">
      <formula>0</formula>
    </cfRule>
  </conditionalFormatting>
  <conditionalFormatting sqref="G90:G95 C93 C95">
    <cfRule type="cellIs" dxfId="109" priority="164" stopIfTrue="1" operator="lessThanOrEqual">
      <formula>0</formula>
    </cfRule>
    <cfRule type="cellIs" dxfId="108" priority="163" stopIfTrue="1" operator="greaterThan">
      <formula>4.5</formula>
    </cfRule>
  </conditionalFormatting>
  <conditionalFormatting sqref="G32:H32">
    <cfRule type="expression" dxfId="107" priority="71">
      <formula>IF(+(IF(G32&lt;#REF!,0,IF(G32&gt;#REF!,0,1)))=0,1)</formula>
    </cfRule>
  </conditionalFormatting>
  <conditionalFormatting sqref="G89:H89">
    <cfRule type="cellIs" dxfId="106" priority="145" stopIfTrue="1" operator="lessThanOrEqual">
      <formula>0</formula>
    </cfRule>
    <cfRule type="cellIs" dxfId="105" priority="144" stopIfTrue="1" operator="greaterThan">
      <formula>$F$88</formula>
    </cfRule>
  </conditionalFormatting>
  <conditionalFormatting sqref="H10:H31">
    <cfRule type="expression" dxfId="104" priority="11">
      <formula>IF(+(IF(H10&lt;#REF!,0,IF(H10&gt;#REF!,0,1)))=0,1)</formula>
    </cfRule>
  </conditionalFormatting>
  <conditionalFormatting sqref="H46:H60">
    <cfRule type="cellIs" dxfId="103" priority="142" stopIfTrue="1" operator="greaterThan">
      <formula>0</formula>
    </cfRule>
  </conditionalFormatting>
  <conditionalFormatting sqref="H64:H68">
    <cfRule type="cellIs" dxfId="102" priority="57" stopIfTrue="1" operator="lessThanOrEqual">
      <formula>0</formula>
    </cfRule>
    <cfRule type="cellIs" dxfId="101" priority="58" stopIfTrue="1" operator="greaterThan">
      <formula>$F$77</formula>
    </cfRule>
    <cfRule type="cellIs" dxfId="100" priority="67" stopIfTrue="1" operator="lessThanOrEqual">
      <formula>0</formula>
    </cfRule>
    <cfRule type="cellIs" dxfId="99" priority="68" stopIfTrue="1" operator="greaterThan">
      <formula>$F$78</formula>
    </cfRule>
    <cfRule type="cellIs" dxfId="98" priority="69" stopIfTrue="1" operator="lessThanOrEqual">
      <formula>0</formula>
    </cfRule>
    <cfRule type="cellIs" dxfId="97" priority="66" stopIfTrue="1" operator="greaterThan">
      <formula>$F$80</formula>
    </cfRule>
  </conditionalFormatting>
  <conditionalFormatting sqref="H69:H70">
    <cfRule type="cellIs" dxfId="96" priority="102" stopIfTrue="1" operator="greaterThan">
      <formula>#REF!</formula>
    </cfRule>
    <cfRule type="cellIs" dxfId="95" priority="110" stopIfTrue="1" operator="greaterThan">
      <formula>$F$32</formula>
    </cfRule>
    <cfRule type="cellIs" dxfId="94" priority="112" stopIfTrue="1" operator="greaterThan">
      <formula>#REF!</formula>
    </cfRule>
    <cfRule type="cellIs" dxfId="93" priority="113" stopIfTrue="1" operator="lessThanOrEqual">
      <formula>0</formula>
    </cfRule>
    <cfRule type="cellIs" dxfId="92" priority="111" stopIfTrue="1" operator="lessThanOrEqual">
      <formula>0</formula>
    </cfRule>
    <cfRule type="cellIs" dxfId="91" priority="101" stopIfTrue="1" operator="lessThanOrEqual">
      <formula>0</formula>
    </cfRule>
  </conditionalFormatting>
  <conditionalFormatting sqref="H71">
    <cfRule type="cellIs" dxfId="90" priority="124" stopIfTrue="1" operator="greaterThan">
      <formula>$F$48</formula>
    </cfRule>
    <cfRule type="cellIs" dxfId="89" priority="125" stopIfTrue="1" operator="lessThanOrEqual">
      <formula>0</formula>
    </cfRule>
    <cfRule type="cellIs" dxfId="88" priority="126" stopIfTrue="1" operator="greaterThan">
      <formula>$F$46</formula>
    </cfRule>
    <cfRule type="cellIs" dxfId="87" priority="115" stopIfTrue="1" operator="lessThanOrEqual">
      <formula>0</formula>
    </cfRule>
    <cfRule type="cellIs" dxfId="86" priority="116" stopIfTrue="1" operator="greaterThan">
      <formula>$F$45</formula>
    </cfRule>
    <cfRule type="cellIs" dxfId="85" priority="127" stopIfTrue="1" operator="lessThanOrEqual">
      <formula>0</formula>
    </cfRule>
  </conditionalFormatting>
  <conditionalFormatting sqref="H72:H73">
    <cfRule type="cellIs" dxfId="84" priority="94" stopIfTrue="1" operator="greaterThan">
      <formula>$F$32</formula>
    </cfRule>
    <cfRule type="cellIs" dxfId="83" priority="95" stopIfTrue="1" operator="lessThanOrEqual">
      <formula>0</formula>
    </cfRule>
    <cfRule type="cellIs" dxfId="82" priority="96" stopIfTrue="1" operator="greaterThan">
      <formula>#REF!</formula>
    </cfRule>
    <cfRule type="cellIs" dxfId="81" priority="97" stopIfTrue="1" operator="lessThanOrEqual">
      <formula>0</formula>
    </cfRule>
    <cfRule type="cellIs" dxfId="80" priority="85" stopIfTrue="1" operator="lessThanOrEqual">
      <formula>0</formula>
    </cfRule>
    <cfRule type="cellIs" dxfId="79" priority="86" stopIfTrue="1" operator="greaterThan">
      <formula>#REF!</formula>
    </cfRule>
  </conditionalFormatting>
  <conditionalFormatting sqref="H88 H90:H96">
    <cfRule type="cellIs" dxfId="78" priority="157" stopIfTrue="1" operator="lessThanOrEqual">
      <formula>0</formula>
    </cfRule>
    <cfRule type="cellIs" dxfId="77" priority="156" stopIfTrue="1" operator="greaterThan">
      <formula>4.5</formula>
    </cfRule>
  </conditionalFormatting>
  <conditionalFormatting sqref="H64:I68">
    <cfRule type="cellIs" dxfId="76" priority="56" stopIfTrue="1" operator="greaterThan">
      <formula>$F$79</formula>
    </cfRule>
    <cfRule type="cellIs" dxfId="75" priority="59" stopIfTrue="1" operator="lessThanOrEqual">
      <formula>0</formula>
    </cfRule>
  </conditionalFormatting>
  <conditionalFormatting sqref="H69:I70">
    <cfRule type="cellIs" dxfId="74" priority="103" stopIfTrue="1" operator="lessThanOrEqual">
      <formula>0</formula>
    </cfRule>
    <cfRule type="cellIs" dxfId="73" priority="100" stopIfTrue="1" operator="greaterThan">
      <formula>#REF!</formula>
    </cfRule>
  </conditionalFormatting>
  <conditionalFormatting sqref="H71:I71">
    <cfRule type="cellIs" dxfId="72" priority="114" stopIfTrue="1" operator="greaterThan">
      <formula>$F$47</formula>
    </cfRule>
    <cfRule type="cellIs" dxfId="71" priority="117" stopIfTrue="1" operator="lessThanOrEqual">
      <formula>0</formula>
    </cfRule>
  </conditionalFormatting>
  <conditionalFormatting sqref="H72:I73">
    <cfRule type="cellIs" dxfId="70" priority="84" stopIfTrue="1" operator="greaterThan">
      <formula>#REF!</formula>
    </cfRule>
    <cfRule type="cellIs" dxfId="69" priority="87" stopIfTrue="1" operator="lessThanOrEqual">
      <formula>0</formula>
    </cfRule>
  </conditionalFormatting>
  <conditionalFormatting sqref="H77:I84">
    <cfRule type="cellIs" dxfId="68" priority="24" stopIfTrue="1" operator="greaterThan">
      <formula>$J77</formula>
    </cfRule>
    <cfRule type="cellIs" dxfId="67" priority="25" stopIfTrue="1" operator="lessThanOrEqual">
      <formula>0</formula>
    </cfRule>
  </conditionalFormatting>
  <conditionalFormatting sqref="H85:I85">
    <cfRule type="cellIs" dxfId="66" priority="33" operator="greaterThan">
      <formula>5.3</formula>
    </cfRule>
  </conditionalFormatting>
  <conditionalFormatting sqref="H86:I86">
    <cfRule type="cellIs" dxfId="65" priority="32" stopIfTrue="1" operator="lessThanOrEqual">
      <formula>0</formula>
    </cfRule>
    <cfRule type="cellIs" dxfId="64" priority="31" stopIfTrue="1" operator="greaterThan">
      <formula>$J86</formula>
    </cfRule>
  </conditionalFormatting>
  <conditionalFormatting sqref="I64:I68">
    <cfRule type="cellIs" dxfId="63" priority="64" stopIfTrue="1" operator="greaterThan">
      <formula>$F$77</formula>
    </cfRule>
    <cfRule type="cellIs" dxfId="62" priority="63" stopIfTrue="1" operator="lessThanOrEqual">
      <formula>0</formula>
    </cfRule>
    <cfRule type="cellIs" dxfId="61" priority="60" stopIfTrue="1" operator="greaterThan">
      <formula>$F$77</formula>
    </cfRule>
    <cfRule type="cellIs" dxfId="60" priority="62" stopIfTrue="1" operator="greaterThan">
      <formula>$F$79</formula>
    </cfRule>
    <cfRule type="cellIs" dxfId="59" priority="65" stopIfTrue="1" operator="lessThanOrEqual">
      <formula>0</formula>
    </cfRule>
    <cfRule type="cellIs" dxfId="58" priority="61" stopIfTrue="1" operator="lessThanOrEqual">
      <formula>0</formula>
    </cfRule>
  </conditionalFormatting>
  <conditionalFormatting sqref="I69:I70">
    <cfRule type="cellIs" dxfId="57" priority="105" stopIfTrue="1" operator="lessThanOrEqual">
      <formula>0</formula>
    </cfRule>
    <cfRule type="cellIs" dxfId="56" priority="107" stopIfTrue="1" operator="lessThanOrEqual">
      <formula>0</formula>
    </cfRule>
    <cfRule type="cellIs" dxfId="55" priority="108" stopIfTrue="1" operator="greaterThan">
      <formula>#REF!</formula>
    </cfRule>
    <cfRule type="cellIs" dxfId="54" priority="109" stopIfTrue="1" operator="lessThanOrEqual">
      <formula>0</formula>
    </cfRule>
    <cfRule type="cellIs" dxfId="53" priority="104" stopIfTrue="1" operator="greaterThan">
      <formula>#REF!</formula>
    </cfRule>
    <cfRule type="cellIs" dxfId="52" priority="106" stopIfTrue="1" operator="greaterThan">
      <formula>#REF!</formula>
    </cfRule>
  </conditionalFormatting>
  <conditionalFormatting sqref="I71">
    <cfRule type="cellIs" dxfId="51" priority="118" stopIfTrue="1" operator="greaterThan">
      <formula>$F$45</formula>
    </cfRule>
    <cfRule type="cellIs" dxfId="50" priority="123" stopIfTrue="1" operator="lessThanOrEqual">
      <formula>0</formula>
    </cfRule>
    <cfRule type="cellIs" dxfId="49" priority="122" stopIfTrue="1" operator="greaterThan">
      <formula>$F$45</formula>
    </cfRule>
    <cfRule type="cellIs" dxfId="48" priority="119" stopIfTrue="1" operator="lessThanOrEqual">
      <formula>0</formula>
    </cfRule>
    <cfRule type="cellIs" dxfId="47" priority="120" stopIfTrue="1" operator="greaterThan">
      <formula>$F$47</formula>
    </cfRule>
    <cfRule type="cellIs" dxfId="46" priority="121" stopIfTrue="1" operator="lessThanOrEqual">
      <formula>0</formula>
    </cfRule>
  </conditionalFormatting>
  <conditionalFormatting sqref="I72:I73">
    <cfRule type="cellIs" dxfId="45" priority="91" stopIfTrue="1" operator="lessThanOrEqual">
      <formula>0</formula>
    </cfRule>
    <cfRule type="cellIs" dxfId="44" priority="89" stopIfTrue="1" operator="lessThanOrEqual">
      <formula>0</formula>
    </cfRule>
    <cfRule type="cellIs" dxfId="43" priority="92" stopIfTrue="1" operator="greaterThan">
      <formula>#REF!</formula>
    </cfRule>
    <cfRule type="cellIs" dxfId="42" priority="93" stopIfTrue="1" operator="lessThanOrEqual">
      <formula>0</formula>
    </cfRule>
    <cfRule type="cellIs" dxfId="41" priority="90" stopIfTrue="1" operator="greaterThan">
      <formula>#REF!</formula>
    </cfRule>
    <cfRule type="cellIs" dxfId="40" priority="88" stopIfTrue="1" operator="greaterThan">
      <formula>#REF!</formula>
    </cfRule>
  </conditionalFormatting>
  <conditionalFormatting sqref="I88:I96">
    <cfRule type="cellIs" dxfId="39" priority="152" stopIfTrue="1" operator="greaterThan">
      <formula>4.5</formula>
    </cfRule>
    <cfRule type="cellIs" dxfId="38" priority="153" stopIfTrue="1" operator="lessThanOrEqual">
      <formula>0</formula>
    </cfRule>
  </conditionalFormatting>
  <conditionalFormatting sqref="I10:J32">
    <cfRule type="cellIs" dxfId="37" priority="2" operator="lessThan">
      <formula>97.9</formula>
    </cfRule>
  </conditionalFormatting>
  <conditionalFormatting sqref="J35">
    <cfRule type="cellIs" dxfId="36" priority="55" operator="lessThan">
      <formula>97.95</formula>
    </cfRule>
  </conditionalFormatting>
  <conditionalFormatting sqref="J37:J38">
    <cfRule type="cellIs" dxfId="35" priority="131" operator="lessThan">
      <formula>98</formula>
    </cfRule>
    <cfRule type="cellIs" dxfId="34" priority="129" stopIfTrue="1" operator="lessThan">
      <formula>96.8</formula>
    </cfRule>
    <cfRule type="cellIs" dxfId="33" priority="130" stopIfTrue="1" operator="greaterThan">
      <formula>100</formula>
    </cfRule>
  </conditionalFormatting>
  <conditionalFormatting sqref="J37:J39">
    <cfRule type="cellIs" dxfId="32" priority="128" operator="lessThan">
      <formula>97.4</formula>
    </cfRule>
  </conditionalFormatting>
  <conditionalFormatting sqref="J40:J41">
    <cfRule type="cellIs" dxfId="31" priority="132" operator="lessThan">
      <formula>98</formula>
    </cfRule>
  </conditionalFormatting>
  <conditionalFormatting sqref="J42:J43">
    <cfRule type="cellIs" dxfId="30" priority="133" stopIfTrue="1" operator="lessThan">
      <formula>96.8</formula>
    </cfRule>
    <cfRule type="cellIs" dxfId="29" priority="134" stopIfTrue="1" operator="greaterThan">
      <formula>100</formula>
    </cfRule>
  </conditionalFormatting>
  <conditionalFormatting sqref="J42:J44">
    <cfRule type="cellIs" dxfId="28" priority="135" operator="lessThan">
      <formula>98</formula>
    </cfRule>
  </conditionalFormatting>
  <conditionalFormatting sqref="J73">
    <cfRule type="cellIs" dxfId="27" priority="82" stopIfTrue="1" operator="greaterThan">
      <formula>#REF!</formula>
    </cfRule>
    <cfRule type="cellIs" dxfId="26" priority="79" stopIfTrue="1" operator="lessThanOrEqual">
      <formula>0</formula>
    </cfRule>
    <cfRule type="cellIs" dxfId="25" priority="81" stopIfTrue="1" operator="lessThanOrEqual">
      <formula>0</formula>
    </cfRule>
    <cfRule type="cellIs" dxfId="24" priority="76" stopIfTrue="1" operator="greaterThan">
      <formula>#REF!</formula>
    </cfRule>
    <cfRule type="cellIs" dxfId="23" priority="83" stopIfTrue="1" operator="lessThanOrEqual">
      <formula>0</formula>
    </cfRule>
    <cfRule type="cellIs" dxfId="22" priority="80" stopIfTrue="1" operator="greaterThan">
      <formula>#REF!</formula>
    </cfRule>
    <cfRule type="cellIs" dxfId="21" priority="78" stopIfTrue="1" operator="greaterThan">
      <formula>#REF!</formula>
    </cfRule>
    <cfRule type="cellIs" dxfId="20" priority="77" stopIfTrue="1" operator="lessThanOrEqual">
      <formula>0</formula>
    </cfRule>
  </conditionalFormatting>
  <conditionalFormatting sqref="J86">
    <cfRule type="cellIs" dxfId="19" priority="39" stopIfTrue="1" operator="lessThanOrEqual">
      <formula>0</formula>
    </cfRule>
    <cfRule type="cellIs" dxfId="18" priority="38" stopIfTrue="1" operator="greaterThan">
      <formula>$F86</formula>
    </cfRule>
  </conditionalFormatting>
  <conditionalFormatting sqref="K10:K32">
    <cfRule type="cellIs" dxfId="17" priority="5" operator="greaterThan">
      <formula>6.4</formula>
    </cfRule>
    <cfRule type="cellIs" dxfId="16" priority="4" operator="lessThan">
      <formula>4</formula>
    </cfRule>
    <cfRule type="cellIs" dxfId="15" priority="3" operator="greaterThan">
      <formula>6</formula>
    </cfRule>
  </conditionalFormatting>
  <conditionalFormatting sqref="K64:K73">
    <cfRule type="cellIs" dxfId="14" priority="70" stopIfTrue="1" operator="lessThan">
      <formula>100%</formula>
    </cfRule>
  </conditionalFormatting>
  <conditionalFormatting sqref="K88:K93">
    <cfRule type="cellIs" dxfId="13" priority="158" stopIfTrue="1" operator="lessThan">
      <formula>100%</formula>
    </cfRule>
  </conditionalFormatting>
  <conditionalFormatting sqref="K95:K96">
    <cfRule type="cellIs" dxfId="12" priority="165" stopIfTrue="1" operator="lessThan">
      <formula>100%</formula>
    </cfRule>
  </conditionalFormatting>
  <conditionalFormatting sqref="K77:M85">
    <cfRule type="cellIs" dxfId="11" priority="23" stopIfTrue="1" operator="lessThan">
      <formula>100%</formula>
    </cfRule>
  </conditionalFormatting>
  <conditionalFormatting sqref="L10:L32">
    <cfRule type="cellIs" dxfId="10" priority="10" operator="greaterThan">
      <formula>65</formula>
    </cfRule>
    <cfRule type="cellIs" dxfId="9" priority="9" operator="between">
      <formula>61</formula>
      <formula>65</formula>
    </cfRule>
  </conditionalFormatting>
  <conditionalFormatting sqref="L35:M46">
    <cfRule type="cellIs" dxfId="8" priority="72" operator="lessThan">
      <formula>97.95</formula>
    </cfRule>
  </conditionalFormatting>
  <conditionalFormatting sqref="L86:M86">
    <cfRule type="cellIs" dxfId="7" priority="40" stopIfTrue="1" operator="lessThan">
      <formula>100%</formula>
    </cfRule>
  </conditionalFormatting>
  <conditionalFormatting sqref="L50:N50">
    <cfRule type="cellIs" dxfId="6" priority="73" operator="notEqual">
      <formula>#REF!</formula>
    </cfRule>
  </conditionalFormatting>
  <conditionalFormatting sqref="L88:N96">
    <cfRule type="cellIs" dxfId="5" priority="143" stopIfTrue="1" operator="lessThan">
      <formula>100%</formula>
    </cfRule>
  </conditionalFormatting>
  <conditionalFormatting sqref="M10:M31">
    <cfRule type="expression" dxfId="4" priority="8">
      <formula>IF(+(IF(M10&lt;U10,0,IF(M10&gt;V10,0,1)))=0,1)</formula>
    </cfRule>
  </conditionalFormatting>
  <conditionalFormatting sqref="M32:N32">
    <cfRule type="expression" dxfId="3" priority="171">
      <formula>IF(+(IF(M32&lt;#REF!,0,IF(M32&gt;#REF!,0,1)))=0,1)</formula>
    </cfRule>
  </conditionalFormatting>
  <conditionalFormatting sqref="N10:N31">
    <cfRule type="expression" dxfId="2" priority="1">
      <formula>IF(+(IF(N10&lt;W10,0,IF(N10&gt;X10,0,1)))=0,1)</formula>
    </cfRule>
  </conditionalFormatting>
  <conditionalFormatting sqref="N77:N86">
    <cfRule type="cellIs" dxfId="1" priority="54" stopIfTrue="1" operator="lessThan">
      <formula>100%</formula>
    </cfRule>
  </conditionalFormatting>
  <conditionalFormatting sqref="P6">
    <cfRule type="cellIs" dxfId="0" priority="139" operator="greaterThanOrEqual">
      <formula>19</formula>
    </cfRule>
  </conditionalFormatting>
  <dataValidations count="1">
    <dataValidation type="list" allowBlank="1" showInputMessage="1" showErrorMessage="1" sqref="R8" xr:uid="{99C34984-0A29-4108-AB73-6D90307C865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90" max="16383" man="1"/>
  </rowBreaks>
  <colBreaks count="1" manualBreakCount="1">
    <brk id="15" max="89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D56" sqref="D56:D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hidden="1" customWidth="1"/>
    <col min="4" max="4" width="9.5703125" style="78" customWidth="1"/>
    <col min="5" max="5" width="8.5703125" style="78" customWidth="1"/>
    <col min="6" max="6" width="14.42578125" style="78" hidden="1" customWidth="1"/>
    <col min="7" max="8" width="9.42578125" style="78" bestFit="1" customWidth="1"/>
    <col min="9" max="9" width="11.5703125" style="78" hidden="1" customWidth="1"/>
    <col min="10" max="10" width="11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587" t="s">
        <v>58</v>
      </c>
      <c r="C2" s="587"/>
      <c r="D2" s="587"/>
      <c r="E2" s="587"/>
      <c r="F2" s="587"/>
      <c r="G2" s="587"/>
      <c r="H2" s="587"/>
      <c r="I2" s="587"/>
      <c r="J2" s="587"/>
      <c r="K2" s="587"/>
    </row>
    <row r="3" spans="2:14" ht="15.75" hidden="1" thickBot="1">
      <c r="B3" s="79"/>
    </row>
    <row r="4" spans="2:14" ht="13.5" hidden="1" thickBot="1">
      <c r="B4" s="78" t="s">
        <v>7</v>
      </c>
      <c r="C4" s="588">
        <v>41431</v>
      </c>
      <c r="D4" s="588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589" t="s">
        <v>17</v>
      </c>
      <c r="C8" s="591" t="s">
        <v>18</v>
      </c>
      <c r="D8" s="591" t="s">
        <v>59</v>
      </c>
      <c r="E8" s="80" t="s">
        <v>20</v>
      </c>
      <c r="F8" s="81" t="s">
        <v>21</v>
      </c>
      <c r="G8" s="591" t="s">
        <v>60</v>
      </c>
      <c r="H8" s="591" t="s">
        <v>61</v>
      </c>
      <c r="I8" s="593" t="s">
        <v>62</v>
      </c>
      <c r="J8" s="82" t="s">
        <v>25</v>
      </c>
      <c r="K8" s="595" t="s">
        <v>28</v>
      </c>
    </row>
    <row r="9" spans="2:14" ht="26.25" hidden="1" thickBot="1">
      <c r="B9" s="590"/>
      <c r="C9" s="592"/>
      <c r="D9" s="592"/>
      <c r="E9" s="83" t="s">
        <v>30</v>
      </c>
      <c r="F9" s="84" t="s">
        <v>63</v>
      </c>
      <c r="G9" s="592"/>
      <c r="H9" s="592"/>
      <c r="I9" s="594"/>
      <c r="J9" s="85" t="s">
        <v>32</v>
      </c>
      <c r="K9" s="596"/>
      <c r="L9" s="86"/>
      <c r="M9" s="86"/>
      <c r="N9" s="86"/>
    </row>
    <row r="10" spans="2:14" ht="13.5" hidden="1" thickBot="1">
      <c r="B10" s="87" t="s">
        <v>64</v>
      </c>
      <c r="C10" s="88" t="str">
        <f>[32]Brewhouse!A5359</f>
        <v>CA236</v>
      </c>
      <c r="D10" s="88">
        <f>[32]Brewhouse!B5359</f>
        <v>41437</v>
      </c>
      <c r="E10" s="89">
        <f>[32]Brewhouse!AG5359</f>
        <v>49.011000000000003</v>
      </c>
      <c r="F10" s="90">
        <f>[32]Brewhouse!T5359</f>
        <v>60</v>
      </c>
      <c r="G10" s="91">
        <f>[32]Brewhouse!I5359</f>
        <v>19.79</v>
      </c>
      <c r="H10" s="92">
        <f>[32]Brewhouse!AS5359</f>
        <v>94.981545664755075</v>
      </c>
      <c r="I10" s="92">
        <f>[32]Brewhouse!AT5359</f>
        <v>97.074072469002047</v>
      </c>
      <c r="J10" s="93">
        <f>[32]Brewhouse!S5359-[32]Brewhouse!R5359</f>
        <v>0.10694444444444451</v>
      </c>
      <c r="K10" s="94"/>
      <c r="N10" s="95"/>
    </row>
    <row r="11" spans="2:14" ht="13.5" hidden="1" thickBot="1">
      <c r="B11" s="96"/>
      <c r="C11" s="88" t="str">
        <f>[32]Brewhouse!A5360</f>
        <v>CA237</v>
      </c>
      <c r="D11" s="88">
        <f>[32]Brewhouse!B5360</f>
        <v>41437</v>
      </c>
      <c r="E11" s="89">
        <f>[32]Brewhouse!AG5360</f>
        <v>48.531999999999996</v>
      </c>
      <c r="F11" s="90">
        <f>[32]Brewhouse!T5360</f>
        <v>68</v>
      </c>
      <c r="G11" s="91">
        <f>[32]Brewhouse!I5360</f>
        <v>17.7</v>
      </c>
      <c r="H11" s="92">
        <f>[32]Brewhouse!AS5360</f>
        <v>94.053260986347809</v>
      </c>
      <c r="I11" s="92">
        <f>[32]Brewhouse!AT5360</f>
        <v>96.1253368644918</v>
      </c>
      <c r="J11" s="93">
        <f>[32]Brewhouse!S5360-[32]Brewhouse!R5360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[32]Brewhouse!A5361</f>
        <v>CA238</v>
      </c>
      <c r="D12" s="88">
        <f>[32]Brewhouse!B5361</f>
        <v>41437</v>
      </c>
      <c r="E12" s="89">
        <f>[32]Brewhouse!AG5361</f>
        <v>50.466999999999999</v>
      </c>
      <c r="F12" s="90">
        <f>[32]Brewhouse!T5361</f>
        <v>61</v>
      </c>
      <c r="G12" s="91">
        <f>[32]Brewhouse!I5361</f>
        <v>19.7</v>
      </c>
      <c r="H12" s="92">
        <f>[32]Brewhouse!AS5361</f>
        <v>96.931393272913695</v>
      </c>
      <c r="I12" s="92">
        <f>[32]Brewhouse!AT5361</f>
        <v>99.066876931102286</v>
      </c>
      <c r="J12" s="93">
        <f>[32]Brewhouse!S5361-[32]Brewhouse!R5361</f>
        <v>0.10208333333333341</v>
      </c>
      <c r="K12" s="98"/>
    </row>
    <row r="13" spans="2:14" ht="13.5" hidden="1" thickBot="1">
      <c r="B13" s="99"/>
      <c r="C13" s="88" t="str">
        <f>[32]Brewhouse!A5362</f>
        <v>CA239</v>
      </c>
      <c r="D13" s="88">
        <f>[32]Brewhouse!B5362</f>
        <v>41437</v>
      </c>
      <c r="E13" s="89">
        <f>[32]Brewhouse!AG5362</f>
        <v>49.374000000000002</v>
      </c>
      <c r="F13" s="90">
        <f>[32]Brewhouse!T5362</f>
        <v>62</v>
      </c>
      <c r="G13" s="91">
        <f>[32]Brewhouse!I5362</f>
        <v>19</v>
      </c>
      <c r="H13" s="92">
        <f>[32]Brewhouse!AS5362</f>
        <v>95.68502653795305</v>
      </c>
      <c r="I13" s="92">
        <f>[32]Brewhouse!AT5362</f>
        <v>97.793051643192499</v>
      </c>
      <c r="J13" s="93">
        <f>[32]Brewhouse!S5362-[32]Brewhouse!R5362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597" t="s">
        <v>69</v>
      </c>
      <c r="G21" s="598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[32]Brewhouse!N5359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[32]Brewhouse!N5360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[32]Brewhouse!N5361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[32]Brewhouse!N5362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AVERAGE([32]Brewhouse!$AS$5347:$AS$5362)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AVERAGE([33]Brewhouse!$AQ$641:$AQ$644)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AVERAGE([34]Brewhouse!$AU$708:$AU$711)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AVERAGE([35]Brewhouse!$AY$943:$AY$946)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589" t="s">
        <v>17</v>
      </c>
      <c r="C43" s="591" t="s">
        <v>18</v>
      </c>
      <c r="D43" s="591" t="s">
        <v>44</v>
      </c>
      <c r="E43" s="591" t="s">
        <v>79</v>
      </c>
      <c r="F43" s="591" t="s">
        <v>51</v>
      </c>
      <c r="G43" s="591" t="s">
        <v>48</v>
      </c>
      <c r="H43" s="606" t="s">
        <v>28</v>
      </c>
      <c r="I43" s="607"/>
      <c r="J43" s="607"/>
      <c r="K43" s="595" t="s">
        <v>27</v>
      </c>
    </row>
    <row r="44" spans="2:15" ht="15.75" hidden="1" customHeight="1" thickBot="1">
      <c r="B44" s="602"/>
      <c r="C44" s="603"/>
      <c r="D44" s="603"/>
      <c r="E44" s="603"/>
      <c r="F44" s="603"/>
      <c r="G44" s="603"/>
      <c r="H44" s="608"/>
      <c r="I44" s="609"/>
      <c r="J44" s="609"/>
      <c r="K44" s="599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0"/>
      <c r="I45" s="601"/>
      <c r="J45" s="601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0"/>
      <c r="I46" s="611"/>
      <c r="J46" s="611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0"/>
      <c r="I47" s="611"/>
      <c r="J47" s="611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0"/>
      <c r="I48" s="611"/>
      <c r="J48" s="611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04"/>
      <c r="I49" s="605"/>
      <c r="J49" s="605"/>
      <c r="K49" s="172"/>
    </row>
    <row r="50" spans="2:11" ht="13.5" hidden="1" thickBot="1">
      <c r="B50" s="173"/>
      <c r="C50" s="160"/>
      <c r="E50" s="168"/>
      <c r="F50" s="168"/>
      <c r="G50" s="145"/>
      <c r="H50" s="604"/>
      <c r="I50" s="605"/>
      <c r="J50" s="605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04"/>
      <c r="I51" s="605"/>
      <c r="J51" s="605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12"/>
      <c r="I52" s="613"/>
      <c r="J52" s="613"/>
      <c r="K52" s="183"/>
    </row>
    <row r="53" spans="2:11" ht="13.5" thickBot="1">
      <c r="B53" s="184"/>
      <c r="C53" s="117"/>
      <c r="D53" s="614" t="s">
        <v>80</v>
      </c>
      <c r="E53" s="614"/>
      <c r="F53" s="614"/>
      <c r="G53" s="614"/>
      <c r="H53" s="614"/>
      <c r="I53" s="614"/>
      <c r="J53" s="614"/>
      <c r="K53" s="185"/>
    </row>
    <row r="54" spans="2:11" ht="13.5" thickBot="1">
      <c r="B54" s="615" t="s">
        <v>55</v>
      </c>
      <c r="C54" s="616"/>
      <c r="D54" s="616"/>
      <c r="E54" s="617"/>
      <c r="F54" s="615" t="s">
        <v>56</v>
      </c>
      <c r="G54" s="616"/>
      <c r="H54" s="617"/>
      <c r="I54" s="618" t="s">
        <v>81</v>
      </c>
      <c r="J54" s="619"/>
      <c r="K54" s="620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5">
      <c r="B56" s="29" t="s">
        <v>64</v>
      </c>
      <c r="C56" s="191"/>
      <c r="D56" s="76">
        <f>[31]MTD!$E5</f>
        <v>6.2840625973217117</v>
      </c>
      <c r="E56" s="192">
        <v>5</v>
      </c>
      <c r="F56" s="191"/>
      <c r="G56" s="76">
        <f>[29]February_2026!$AN3</f>
        <v>6.5893832099850433</v>
      </c>
      <c r="H56" s="192">
        <v>5</v>
      </c>
      <c r="I56" s="193"/>
      <c r="J56" s="194">
        <f>[30]February_2026!$AN13</f>
        <v>0.3887953403572954</v>
      </c>
      <c r="K56" s="195">
        <v>1</v>
      </c>
    </row>
    <row r="57" spans="2:11" ht="15">
      <c r="B57" s="33" t="s">
        <v>72</v>
      </c>
      <c r="C57" s="191"/>
      <c r="D57" s="76">
        <f>[31]MTD!$E6</f>
        <v>6.4184435544972427</v>
      </c>
      <c r="E57" s="192">
        <v>5</v>
      </c>
      <c r="F57" s="191"/>
      <c r="G57" s="76">
        <f>[29]February_2026!$AN4</f>
        <v>5.7398544512411318</v>
      </c>
      <c r="H57" s="192">
        <v>5</v>
      </c>
      <c r="I57" s="196"/>
      <c r="J57" s="194">
        <f>[30]February_2026!$AN14</f>
        <v>0.45737082659367095</v>
      </c>
      <c r="K57" s="195">
        <v>1</v>
      </c>
    </row>
    <row r="58" spans="2:11" ht="15">
      <c r="B58" s="34" t="s">
        <v>73</v>
      </c>
      <c r="C58" s="191"/>
      <c r="D58" s="76">
        <f>[31]MTD!$E7</f>
        <v>13.350183823529404</v>
      </c>
      <c r="E58" s="192">
        <v>5</v>
      </c>
      <c r="F58" s="191"/>
      <c r="G58" s="76">
        <f>[29]February_2026!$AN5</f>
        <v>13.243826090033306</v>
      </c>
      <c r="H58" s="192">
        <v>5</v>
      </c>
      <c r="I58" s="196"/>
      <c r="J58" s="194">
        <f>[30]February_2026!$AN15</f>
        <v>0.16539473684210526</v>
      </c>
      <c r="K58" s="195">
        <v>1</v>
      </c>
    </row>
    <row r="59" spans="2:11" ht="15">
      <c r="B59" s="197" t="s">
        <v>74</v>
      </c>
      <c r="C59" s="191"/>
      <c r="D59" s="76" t="e">
        <f>[31]MTD!$E8</f>
        <v>#DIV/0!</v>
      </c>
      <c r="E59" s="192">
        <v>3.5</v>
      </c>
      <c r="F59" s="191"/>
      <c r="G59" s="76" t="e">
        <f>[29]February_2026!$AN6</f>
        <v>#DIV/0!</v>
      </c>
      <c r="H59" s="192">
        <v>3.5</v>
      </c>
      <c r="I59" s="196"/>
      <c r="J59" s="194" t="e">
        <f>[30]February_2026!$AN16</f>
        <v>#DIV/0!</v>
      </c>
      <c r="K59" s="195">
        <v>1</v>
      </c>
    </row>
    <row r="60" spans="2:11" ht="15.75" thickBot="1">
      <c r="B60" s="38" t="s">
        <v>160</v>
      </c>
      <c r="C60" s="191"/>
      <c r="D60" s="76" t="e">
        <f>[31]MTD!$E9</f>
        <v>#DIV/0!</v>
      </c>
      <c r="E60" s="192">
        <v>3.5</v>
      </c>
      <c r="F60" s="198"/>
      <c r="G60" s="76" t="e">
        <f>[29]February_2026!$AN7</f>
        <v>#DIV/0!</v>
      </c>
      <c r="H60" s="192">
        <v>3.5</v>
      </c>
      <c r="I60" s="196"/>
      <c r="J60" s="194" t="e">
        <f>[30]February_2026!$AN17</f>
        <v>#DIV/0!</v>
      </c>
      <c r="K60" s="195">
        <v>1</v>
      </c>
    </row>
    <row r="61" spans="2:11" ht="15">
      <c r="B61" s="199" t="s">
        <v>76</v>
      </c>
      <c r="C61" s="191"/>
      <c r="D61" s="76" t="e">
        <f>[31]MTD!$E10</f>
        <v>#DIV/0!</v>
      </c>
      <c r="E61" s="200">
        <v>5</v>
      </c>
      <c r="F61" s="191"/>
      <c r="G61" s="76" t="e">
        <f>[29]February_2026!$AN8</f>
        <v>#DIV/0!</v>
      </c>
      <c r="H61" s="200">
        <v>5</v>
      </c>
      <c r="I61" s="196"/>
      <c r="J61" s="194" t="e">
        <f>[30]February_2026!$AN18</f>
        <v>#DIV/0!</v>
      </c>
      <c r="K61" s="195">
        <v>1</v>
      </c>
    </row>
    <row r="62" spans="2:11" ht="15">
      <c r="B62" s="201" t="s">
        <v>82</v>
      </c>
      <c r="C62" s="202"/>
      <c r="D62" s="76">
        <f>[31]MTD!$E11</f>
        <v>6.2786766481526062</v>
      </c>
      <c r="E62" s="200">
        <v>3.3</v>
      </c>
      <c r="F62" s="202"/>
      <c r="G62" s="76">
        <f>[29]February_2026!$AN9</f>
        <v>7.7985362338171145</v>
      </c>
      <c r="H62" s="200">
        <v>3.3</v>
      </c>
      <c r="I62" s="203"/>
      <c r="J62" s="194">
        <f>[30]February_2026!$AN19</f>
        <v>0.70210526315789468</v>
      </c>
      <c r="K62" s="204">
        <v>1</v>
      </c>
    </row>
    <row r="63" spans="2:11" ht="15.75" thickBot="1">
      <c r="B63" s="38" t="s">
        <v>128</v>
      </c>
      <c r="C63" s="205"/>
      <c r="D63" s="76" t="e">
        <f>[31]MTD!$E12</f>
        <v>#DIV/0!</v>
      </c>
      <c r="E63" s="206">
        <v>3.5</v>
      </c>
      <c r="F63" s="205"/>
      <c r="G63" s="76" t="e">
        <f>[29]February_2026!$AN10</f>
        <v>#DIV/0!</v>
      </c>
      <c r="H63" s="206">
        <v>3.5</v>
      </c>
      <c r="I63" s="207"/>
      <c r="J63" s="194" t="e">
        <f>[30]February_2026!$AN20</f>
        <v>#DIV/0!</v>
      </c>
      <c r="K63" s="208">
        <v>1</v>
      </c>
    </row>
    <row r="64" spans="2:11" ht="15.75" thickBot="1">
      <c r="B64" s="413" t="s">
        <v>159</v>
      </c>
      <c r="C64" s="198"/>
      <c r="D64" s="76" t="e">
        <f>[31]MTD!$E13</f>
        <v>#DIV/0!</v>
      </c>
      <c r="E64" s="192">
        <v>5</v>
      </c>
      <c r="F64" s="198"/>
      <c r="G64" s="76" t="e">
        <f>[29]February_2026!$AN11</f>
        <v>#DIV/0!</v>
      </c>
      <c r="H64" s="192">
        <v>5</v>
      </c>
      <c r="I64" s="412"/>
      <c r="J64" s="194" t="e">
        <f>[30]February_2026!$AN21</f>
        <v>#DIV/0!</v>
      </c>
      <c r="K64" s="208">
        <v>1</v>
      </c>
    </row>
    <row r="65" spans="2:11">
      <c r="B65" s="209"/>
      <c r="C65" s="210"/>
      <c r="D65" s="76">
        <f>[31]MTD!$E14</f>
        <v>6.7977047325313649</v>
      </c>
      <c r="E65" s="210"/>
      <c r="F65" s="210"/>
      <c r="G65" s="76">
        <f>[29]February_2026!$AN12</f>
        <v>7.1707313789131133</v>
      </c>
      <c r="H65" s="211"/>
      <c r="I65" s="212"/>
      <c r="J65" s="194">
        <f>[30]February_2026!$AN22</f>
        <v>0.39413530037214251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4" zoomScale="115" zoomScaleNormal="115" workbookViewId="0">
      <selection activeCell="D56" sqref="D56:D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customWidth="1"/>
    <col min="4" max="4" width="9.5703125" style="78" customWidth="1"/>
    <col min="5" max="5" width="8.5703125" style="78" customWidth="1"/>
    <col min="6" max="6" width="14.42578125" style="78" customWidth="1"/>
    <col min="7" max="7" width="11.42578125" style="78" customWidth="1"/>
    <col min="8" max="8" width="9.42578125" style="78" bestFit="1" customWidth="1"/>
    <col min="9" max="9" width="11.5703125" style="78" customWidth="1"/>
    <col min="10" max="10" width="11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587" t="s">
        <v>58</v>
      </c>
      <c r="C2" s="587"/>
      <c r="D2" s="587"/>
      <c r="E2" s="587"/>
      <c r="F2" s="587"/>
      <c r="G2" s="587"/>
      <c r="H2" s="587"/>
      <c r="I2" s="587"/>
      <c r="J2" s="587"/>
      <c r="K2" s="587"/>
    </row>
    <row r="3" spans="2:14" ht="15.75" hidden="1" thickBot="1">
      <c r="B3" s="79"/>
    </row>
    <row r="4" spans="2:14" ht="13.5" hidden="1" thickBot="1">
      <c r="B4" s="78" t="s">
        <v>7</v>
      </c>
      <c r="C4" s="588">
        <v>41431</v>
      </c>
      <c r="D4" s="588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589" t="s">
        <v>17</v>
      </c>
      <c r="C8" s="591" t="s">
        <v>18</v>
      </c>
      <c r="D8" s="591" t="s">
        <v>59</v>
      </c>
      <c r="E8" s="80" t="s">
        <v>20</v>
      </c>
      <c r="F8" s="81" t="s">
        <v>21</v>
      </c>
      <c r="G8" s="591" t="s">
        <v>60</v>
      </c>
      <c r="H8" s="591" t="s">
        <v>61</v>
      </c>
      <c r="I8" s="593" t="s">
        <v>62</v>
      </c>
      <c r="J8" s="82" t="s">
        <v>25</v>
      </c>
      <c r="K8" s="595" t="s">
        <v>28</v>
      </c>
    </row>
    <row r="9" spans="2:14" ht="26.25" hidden="1" thickBot="1">
      <c r="B9" s="590"/>
      <c r="C9" s="592"/>
      <c r="D9" s="592"/>
      <c r="E9" s="83" t="s">
        <v>30</v>
      </c>
      <c r="F9" s="84" t="s">
        <v>63</v>
      </c>
      <c r="G9" s="592"/>
      <c r="H9" s="592"/>
      <c r="I9" s="594"/>
      <c r="J9" s="85" t="s">
        <v>32</v>
      </c>
      <c r="K9" s="596"/>
      <c r="L9" s="86"/>
      <c r="M9" s="86"/>
      <c r="N9" s="86"/>
    </row>
    <row r="10" spans="2:14" ht="13.5" hidden="1" thickBot="1">
      <c r="B10" s="87" t="s">
        <v>64</v>
      </c>
      <c r="C10" s="88" t="str">
        <f>[32]Brewhouse!A5359</f>
        <v>CA236</v>
      </c>
      <c r="D10" s="88">
        <f>[32]Brewhouse!B5359</f>
        <v>41437</v>
      </c>
      <c r="E10" s="89">
        <f>[32]Brewhouse!AG5359</f>
        <v>49.011000000000003</v>
      </c>
      <c r="F10" s="90">
        <f>[32]Brewhouse!T5359</f>
        <v>60</v>
      </c>
      <c r="G10" s="91">
        <f>[32]Brewhouse!I5359</f>
        <v>19.79</v>
      </c>
      <c r="H10" s="92">
        <f>[32]Brewhouse!AS5359</f>
        <v>94.981545664755075</v>
      </c>
      <c r="I10" s="92">
        <f>[32]Brewhouse!AT5359</f>
        <v>97.074072469002047</v>
      </c>
      <c r="J10" s="93">
        <f>[32]Brewhouse!S5359-[32]Brewhouse!R5359</f>
        <v>0.10694444444444451</v>
      </c>
      <c r="K10" s="94"/>
      <c r="N10" s="95"/>
    </row>
    <row r="11" spans="2:14" ht="13.5" hidden="1" thickBot="1">
      <c r="B11" s="96"/>
      <c r="C11" s="88" t="str">
        <f>[32]Brewhouse!A5360</f>
        <v>CA237</v>
      </c>
      <c r="D11" s="88">
        <f>[32]Brewhouse!B5360</f>
        <v>41437</v>
      </c>
      <c r="E11" s="89">
        <f>[32]Brewhouse!AG5360</f>
        <v>48.531999999999996</v>
      </c>
      <c r="F11" s="90">
        <f>[32]Brewhouse!T5360</f>
        <v>68</v>
      </c>
      <c r="G11" s="91">
        <f>[32]Brewhouse!I5360</f>
        <v>17.7</v>
      </c>
      <c r="H11" s="92">
        <f>[32]Brewhouse!AS5360</f>
        <v>94.053260986347809</v>
      </c>
      <c r="I11" s="92">
        <f>[32]Brewhouse!AT5360</f>
        <v>96.1253368644918</v>
      </c>
      <c r="J11" s="93">
        <f>[32]Brewhouse!S5360-[32]Brewhouse!R5360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[32]Brewhouse!A5361</f>
        <v>CA238</v>
      </c>
      <c r="D12" s="88">
        <f>[32]Brewhouse!B5361</f>
        <v>41437</v>
      </c>
      <c r="E12" s="89">
        <f>[32]Brewhouse!AG5361</f>
        <v>50.466999999999999</v>
      </c>
      <c r="F12" s="90">
        <f>[32]Brewhouse!T5361</f>
        <v>61</v>
      </c>
      <c r="G12" s="91">
        <f>[32]Brewhouse!I5361</f>
        <v>19.7</v>
      </c>
      <c r="H12" s="92">
        <f>[32]Brewhouse!AS5361</f>
        <v>96.931393272913695</v>
      </c>
      <c r="I12" s="92">
        <f>[32]Brewhouse!AT5361</f>
        <v>99.066876931102286</v>
      </c>
      <c r="J12" s="93">
        <f>[32]Brewhouse!S5361-[32]Brewhouse!R5361</f>
        <v>0.10208333333333341</v>
      </c>
      <c r="K12" s="98"/>
    </row>
    <row r="13" spans="2:14" ht="13.5" hidden="1" thickBot="1">
      <c r="B13" s="99"/>
      <c r="C13" s="88" t="str">
        <f>[32]Brewhouse!A5362</f>
        <v>CA239</v>
      </c>
      <c r="D13" s="88">
        <f>[32]Brewhouse!B5362</f>
        <v>41437</v>
      </c>
      <c r="E13" s="89">
        <f>[32]Brewhouse!AG5362</f>
        <v>49.374000000000002</v>
      </c>
      <c r="F13" s="90">
        <f>[32]Brewhouse!T5362</f>
        <v>62</v>
      </c>
      <c r="G13" s="91">
        <f>[32]Brewhouse!I5362</f>
        <v>19</v>
      </c>
      <c r="H13" s="92">
        <f>[32]Brewhouse!AS5362</f>
        <v>95.68502653795305</v>
      </c>
      <c r="I13" s="92">
        <f>[32]Brewhouse!AT5362</f>
        <v>97.793051643192499</v>
      </c>
      <c r="J13" s="93">
        <f>[32]Brewhouse!S5362-[32]Brewhouse!R5362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597" t="s">
        <v>69</v>
      </c>
      <c r="G21" s="598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[32]Brewhouse!N5359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[32]Brewhouse!N5360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[32]Brewhouse!N5361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[32]Brewhouse!N5362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AVERAGE([32]Brewhouse!$AS$5347:$AS$5362)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AVERAGE([33]Brewhouse!$AQ$641:$AQ$644)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AVERAGE([34]Brewhouse!$AU$708:$AU$711)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AVERAGE([35]Brewhouse!$AY$943:$AY$946)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589" t="s">
        <v>17</v>
      </c>
      <c r="C43" s="591" t="s">
        <v>18</v>
      </c>
      <c r="D43" s="591" t="s">
        <v>44</v>
      </c>
      <c r="E43" s="591" t="s">
        <v>79</v>
      </c>
      <c r="F43" s="591" t="s">
        <v>51</v>
      </c>
      <c r="G43" s="591" t="s">
        <v>48</v>
      </c>
      <c r="H43" s="606" t="s">
        <v>28</v>
      </c>
      <c r="I43" s="607"/>
      <c r="J43" s="607"/>
      <c r="K43" s="595" t="s">
        <v>27</v>
      </c>
    </row>
    <row r="44" spans="2:15" ht="15.75" hidden="1" customHeight="1" thickBot="1">
      <c r="B44" s="602"/>
      <c r="C44" s="603"/>
      <c r="D44" s="603"/>
      <c r="E44" s="603"/>
      <c r="F44" s="603"/>
      <c r="G44" s="603"/>
      <c r="H44" s="608"/>
      <c r="I44" s="609"/>
      <c r="J44" s="609"/>
      <c r="K44" s="599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0"/>
      <c r="I45" s="601"/>
      <c r="J45" s="601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0"/>
      <c r="I46" s="611"/>
      <c r="J46" s="611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0"/>
      <c r="I47" s="611"/>
      <c r="J47" s="611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0"/>
      <c r="I48" s="611"/>
      <c r="J48" s="611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04"/>
      <c r="I49" s="605"/>
      <c r="J49" s="605"/>
      <c r="K49" s="172"/>
    </row>
    <row r="50" spans="2:11" ht="13.5" hidden="1" thickBot="1">
      <c r="B50" s="173"/>
      <c r="C50" s="160"/>
      <c r="E50" s="168"/>
      <c r="F50" s="168"/>
      <c r="G50" s="145"/>
      <c r="H50" s="604"/>
      <c r="I50" s="605"/>
      <c r="J50" s="605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04"/>
      <c r="I51" s="605"/>
      <c r="J51" s="605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12"/>
      <c r="I52" s="613"/>
      <c r="J52" s="613"/>
      <c r="K52" s="183"/>
    </row>
    <row r="53" spans="2:11" ht="13.5" thickBot="1">
      <c r="B53" s="184"/>
      <c r="C53" s="117"/>
      <c r="D53" s="614" t="s">
        <v>80</v>
      </c>
      <c r="E53" s="614"/>
      <c r="F53" s="614"/>
      <c r="G53" s="614"/>
      <c r="H53" s="614"/>
      <c r="I53" s="614"/>
      <c r="J53" s="614"/>
      <c r="K53" s="185"/>
    </row>
    <row r="54" spans="2:11" ht="13.5" thickBot="1">
      <c r="B54" s="615" t="s">
        <v>55</v>
      </c>
      <c r="C54" s="616"/>
      <c r="D54" s="616"/>
      <c r="E54" s="617"/>
      <c r="F54" s="615" t="s">
        <v>56</v>
      </c>
      <c r="G54" s="616"/>
      <c r="H54" s="617"/>
      <c r="I54" s="618" t="s">
        <v>81</v>
      </c>
      <c r="J54" s="619"/>
      <c r="K54" s="620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5">
      <c r="B56" s="29" t="s">
        <v>64</v>
      </c>
      <c r="C56" s="191"/>
      <c r="D56" s="76">
        <f>'[31]YTD 2026'!$E5</f>
        <v>7.3039460765120872</v>
      </c>
      <c r="E56" s="192">
        <v>5</v>
      </c>
      <c r="F56" s="191"/>
      <c r="G56" s="76">
        <f>[29]February_2026!$AQ3</f>
        <v>7.4664910432255231</v>
      </c>
      <c r="H56" s="192">
        <v>5</v>
      </c>
      <c r="I56" s="193"/>
      <c r="J56" s="194">
        <f>[30]February_2026!$AQ13</f>
        <v>0.39777343814731958</v>
      </c>
      <c r="K56" s="195">
        <v>1</v>
      </c>
    </row>
    <row r="57" spans="2:11" ht="15">
      <c r="B57" s="33" t="s">
        <v>72</v>
      </c>
      <c r="C57" s="191"/>
      <c r="D57" s="76">
        <f>'[31]YTD 2026'!$E6</f>
        <v>6.2142510274519545</v>
      </c>
      <c r="E57" s="192">
        <v>5</v>
      </c>
      <c r="F57" s="191"/>
      <c r="G57" s="76">
        <f>[29]February_2026!$AQ4</f>
        <v>6.2442524170129747</v>
      </c>
      <c r="H57" s="192">
        <v>5</v>
      </c>
      <c r="I57" s="196"/>
      <c r="J57" s="194">
        <f>[30]February_2026!$AQ14</f>
        <v>0.53364949315775001</v>
      </c>
      <c r="K57" s="195">
        <v>1</v>
      </c>
    </row>
    <row r="58" spans="2:11" ht="15">
      <c r="B58" s="34" t="s">
        <v>73</v>
      </c>
      <c r="C58" s="191"/>
      <c r="D58" s="76">
        <f>'[31]YTD 2026'!$E7</f>
        <v>12.433093745220976</v>
      </c>
      <c r="E58" s="192">
        <v>5</v>
      </c>
      <c r="F58" s="191"/>
      <c r="G58" s="76">
        <f>[29]February_2026!$AQ5</f>
        <v>12.623654161138989</v>
      </c>
      <c r="H58" s="192">
        <v>5</v>
      </c>
      <c r="I58" s="196"/>
      <c r="J58" s="194">
        <f>[30]February_2026!$AQ15</f>
        <v>0.33891812865497073</v>
      </c>
      <c r="K58" s="195">
        <v>1</v>
      </c>
    </row>
    <row r="59" spans="2:11" ht="15">
      <c r="B59" s="197" t="s">
        <v>74</v>
      </c>
      <c r="C59" s="191"/>
      <c r="D59" s="76">
        <f>'[31]YTD 2026'!$E8</f>
        <v>5.0755456997699637</v>
      </c>
      <c r="E59" s="192">
        <v>3.5</v>
      </c>
      <c r="F59" s="191"/>
      <c r="G59" s="76">
        <f>[29]February_2026!$AQ6</f>
        <v>4.6359882890480018</v>
      </c>
      <c r="H59" s="192">
        <v>3.5</v>
      </c>
      <c r="I59" s="196"/>
      <c r="J59" s="194">
        <f>[30]February_2026!$AQ16</f>
        <v>0.66833333333333345</v>
      </c>
      <c r="K59" s="195">
        <v>1</v>
      </c>
    </row>
    <row r="60" spans="2:11" ht="15.75" thickBot="1">
      <c r="B60" s="38" t="s">
        <v>160</v>
      </c>
      <c r="C60" s="191"/>
      <c r="D60" s="76" t="e">
        <f>'[31]YTD 2026'!$E9</f>
        <v>#DIV/0!</v>
      </c>
      <c r="E60" s="192">
        <v>3.5</v>
      </c>
      <c r="F60" s="198"/>
      <c r="G60" s="76" t="e">
        <f>[29]February_2026!$AQ7</f>
        <v>#DIV/0!</v>
      </c>
      <c r="H60" s="192">
        <v>3.5</v>
      </c>
      <c r="I60" s="196"/>
      <c r="J60" s="194" t="e">
        <f>[30]February_2026!$AQ17</f>
        <v>#DIV/0!</v>
      </c>
      <c r="K60" s="195">
        <v>1</v>
      </c>
    </row>
    <row r="61" spans="2:11" ht="15">
      <c r="B61" s="199" t="s">
        <v>76</v>
      </c>
      <c r="C61" s="191"/>
      <c r="D61" s="76">
        <f>'[31]YTD 2026'!$E10</f>
        <v>5.1105651105651271</v>
      </c>
      <c r="E61" s="200">
        <v>5</v>
      </c>
      <c r="F61" s="191"/>
      <c r="G61" s="76">
        <f>[29]February_2026!$AQ8</f>
        <v>7.9131369535794072</v>
      </c>
      <c r="H61" s="200">
        <v>5</v>
      </c>
      <c r="I61" s="196"/>
      <c r="J61" s="194">
        <f>[30]February_2026!$AQ18</f>
        <v>1.3550877192982456</v>
      </c>
      <c r="K61" s="195">
        <v>1</v>
      </c>
    </row>
    <row r="62" spans="2:11" ht="15">
      <c r="B62" s="201" t="s">
        <v>82</v>
      </c>
      <c r="C62" s="202"/>
      <c r="D62" s="76">
        <f>'[31]YTD 2026'!$E11</f>
        <v>3.9401442566476499</v>
      </c>
      <c r="E62" s="200">
        <v>3.3</v>
      </c>
      <c r="F62" s="202"/>
      <c r="G62" s="76">
        <f>[29]February_2026!$AQ9</f>
        <v>4.7059150132172638</v>
      </c>
      <c r="H62" s="200">
        <v>3.3</v>
      </c>
      <c r="I62" s="203"/>
      <c r="J62" s="194">
        <f>[30]February_2026!$AQ19</f>
        <v>0.82374269005847967</v>
      </c>
      <c r="K62" s="204">
        <v>1</v>
      </c>
    </row>
    <row r="63" spans="2:11" ht="15.75" thickBot="1">
      <c r="B63" s="38" t="s">
        <v>128</v>
      </c>
      <c r="C63" s="205"/>
      <c r="D63" s="76" t="e">
        <f>'[31]YTD 2026'!$E12</f>
        <v>#DIV/0!</v>
      </c>
      <c r="E63" s="206">
        <v>3.5</v>
      </c>
      <c r="F63" s="205"/>
      <c r="G63" s="76" t="e">
        <f>[29]February_2026!$AQ10</f>
        <v>#DIV/0!</v>
      </c>
      <c r="H63" s="206">
        <v>3.5</v>
      </c>
      <c r="I63" s="207"/>
      <c r="J63" s="194" t="e">
        <f>[30]February_2026!$AQ20</f>
        <v>#DIV/0!</v>
      </c>
      <c r="K63" s="208">
        <v>1</v>
      </c>
    </row>
    <row r="64" spans="2:11" ht="15.75" thickBot="1">
      <c r="B64" s="413" t="s">
        <v>159</v>
      </c>
      <c r="C64" s="205"/>
      <c r="D64" s="76" t="e">
        <f>'[31]YTD 2026'!$E13</f>
        <v>#DIV/0!</v>
      </c>
      <c r="E64" s="206">
        <v>5</v>
      </c>
      <c r="F64" s="205"/>
      <c r="G64" s="76" t="e">
        <f>[29]February_2026!$AQ11</f>
        <v>#DIV/0!</v>
      </c>
      <c r="H64" s="206">
        <v>5</v>
      </c>
      <c r="I64" s="207"/>
      <c r="J64" s="194" t="e">
        <f>[30]February_2026!$AQ21</f>
        <v>#DIV/0!</v>
      </c>
      <c r="K64" s="208">
        <v>1</v>
      </c>
    </row>
    <row r="65" spans="2:11">
      <c r="B65" s="209"/>
      <c r="C65" s="210"/>
      <c r="D65" s="76">
        <f>'[31]YTD 2026'!$E14</f>
        <v>6.8688093662774454</v>
      </c>
      <c r="E65" s="210"/>
      <c r="F65" s="210"/>
      <c r="G65" s="76">
        <f>[29]February_2026!$AQ12</f>
        <v>7.1180614091075416</v>
      </c>
      <c r="H65" s="211"/>
      <c r="I65" s="212"/>
      <c r="J65" s="194">
        <f>[30]February_2026!$AQ22</f>
        <v>0.482437508499932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2.75"/>
  <cols>
    <col min="2" max="2" width="9.5703125" customWidth="1"/>
    <col min="3" max="3" width="11" customWidth="1"/>
    <col min="4" max="4" width="13.5703125" customWidth="1"/>
    <col min="5" max="5" width="15.5703125" customWidth="1"/>
    <col min="11" max="11" width="10.42578125" bestFit="1" customWidth="1"/>
    <col min="12" max="12" width="15.42578125" bestFit="1" customWidth="1"/>
    <col min="13" max="13" width="12.285156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75">
      <c r="A2" s="215"/>
      <c r="B2" s="621" t="s">
        <v>34</v>
      </c>
      <c r="C2" s="621"/>
      <c r="D2" s="621"/>
      <c r="E2" s="215"/>
      <c r="F2" s="215"/>
      <c r="G2" s="215"/>
      <c r="H2" s="215"/>
      <c r="I2" s="215"/>
      <c r="J2" s="215"/>
      <c r="K2" s="215"/>
    </row>
    <row r="3" spans="1:13" s="219" customFormat="1" ht="15.75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75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75">
      <c r="A14" s="215"/>
      <c r="B14" s="621" t="s">
        <v>100</v>
      </c>
      <c r="C14" s="621"/>
      <c r="D14" s="621"/>
      <c r="E14" s="215"/>
      <c r="F14" s="215"/>
      <c r="G14" s="215"/>
      <c r="H14" s="215"/>
      <c r="I14" s="215"/>
      <c r="J14" s="215"/>
      <c r="K14" s="215"/>
    </row>
    <row r="15" spans="1:13" ht="15.75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75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75">
      <c r="A27" s="215"/>
      <c r="B27" s="621" t="s">
        <v>101</v>
      </c>
      <c r="C27" s="621"/>
      <c r="D27" s="621"/>
      <c r="E27" s="215"/>
      <c r="F27" s="215"/>
      <c r="G27" s="215"/>
      <c r="H27" s="215"/>
      <c r="I27" s="215"/>
      <c r="J27" s="215"/>
      <c r="K27" s="215"/>
    </row>
    <row r="28" spans="1:13" ht="15.75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75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2.75"/>
  <cols>
    <col min="1" max="1" width="2.42578125" customWidth="1"/>
    <col min="2" max="2" width="6.42578125" customWidth="1"/>
    <col min="3" max="3" width="25.42578125" customWidth="1"/>
    <col min="4" max="4" width="19.42578125" customWidth="1"/>
    <col min="5" max="5" width="15" customWidth="1"/>
    <col min="6" max="6" width="17.5703125" customWidth="1"/>
    <col min="7" max="7" width="13.42578125" customWidth="1"/>
    <col min="8" max="11" width="13.5703125" customWidth="1"/>
    <col min="12" max="12" width="17.42578125" bestFit="1" customWidth="1"/>
    <col min="13" max="15" width="17.42578125" customWidth="1"/>
    <col min="16" max="16" width="13.42578125" customWidth="1"/>
    <col min="17" max="17" width="8.5703125" customWidth="1"/>
    <col min="18" max="20" width="11.5703125" customWidth="1"/>
  </cols>
  <sheetData>
    <row r="2" spans="3:23" ht="15.7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23" t="s">
        <v>102</v>
      </c>
      <c r="D3" s="624"/>
      <c r="E3" s="625">
        <f ca="1">TODAY()</f>
        <v>46085</v>
      </c>
      <c r="F3" s="625"/>
      <c r="G3" s="625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9.5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26" t="s">
        <v>143</v>
      </c>
      <c r="D14" s="626"/>
      <c r="E14" s="626"/>
      <c r="F14" s="626"/>
      <c r="G14" s="626"/>
      <c r="H14" s="626"/>
    </row>
    <row r="15" spans="3:23" ht="15" customHeight="1">
      <c r="C15" s="626"/>
      <c r="D15" s="626"/>
      <c r="E15" s="626"/>
      <c r="F15" s="626"/>
      <c r="G15" s="626"/>
      <c r="H15" s="626"/>
    </row>
    <row r="16" spans="3:23" ht="15" customHeight="1">
      <c r="C16" s="626"/>
      <c r="D16" s="626"/>
      <c r="E16" s="626"/>
      <c r="F16" s="626"/>
      <c r="G16" s="626"/>
      <c r="H16" s="626"/>
    </row>
    <row r="17" spans="3:8" ht="15" customHeight="1">
      <c r="C17" s="626"/>
      <c r="D17" s="626"/>
      <c r="E17" s="626"/>
      <c r="F17" s="626"/>
      <c r="G17" s="626"/>
      <c r="H17" s="626"/>
    </row>
    <row r="18" spans="3:8" ht="15" customHeight="1">
      <c r="C18" s="626"/>
      <c r="D18" s="626"/>
      <c r="E18" s="626"/>
      <c r="F18" s="626"/>
      <c r="G18" s="626"/>
      <c r="H18" s="626"/>
    </row>
    <row r="19" spans="3:8" ht="15" customHeight="1">
      <c r="C19" s="626"/>
      <c r="D19" s="626"/>
      <c r="E19" s="626"/>
      <c r="F19" s="626"/>
      <c r="G19" s="626"/>
      <c r="H19" s="626"/>
    </row>
    <row r="20" spans="3:8" ht="15" customHeight="1">
      <c r="C20" s="626"/>
      <c r="D20" s="626"/>
      <c r="E20" s="626"/>
      <c r="F20" s="626"/>
      <c r="G20" s="626"/>
      <c r="H20" s="626"/>
    </row>
    <row r="21" spans="3:8" ht="15" customHeight="1">
      <c r="C21" s="626"/>
      <c r="D21" s="626"/>
      <c r="E21" s="626"/>
      <c r="F21" s="626"/>
      <c r="G21" s="626"/>
      <c r="H21" s="626"/>
    </row>
    <row r="22" spans="3:8" ht="15" customHeight="1">
      <c r="C22" s="626"/>
      <c r="D22" s="626"/>
      <c r="E22" s="626"/>
      <c r="F22" s="626"/>
      <c r="G22" s="626"/>
      <c r="H22" s="626"/>
    </row>
    <row r="23" spans="3:8" ht="15" customHeight="1">
      <c r="C23" s="626"/>
      <c r="D23" s="626"/>
      <c r="E23" s="626"/>
      <c r="F23" s="626"/>
      <c r="G23" s="626"/>
      <c r="H23" s="626"/>
    </row>
    <row r="24" spans="3:8" ht="15" customHeight="1">
      <c r="C24" s="626"/>
      <c r="D24" s="626"/>
      <c r="E24" s="626"/>
      <c r="F24" s="626"/>
      <c r="G24" s="626"/>
      <c r="H24" s="626"/>
    </row>
    <row r="25" spans="3:8" ht="15" customHeight="1">
      <c r="C25" s="626"/>
      <c r="D25" s="626"/>
      <c r="E25" s="626"/>
      <c r="F25" s="626"/>
      <c r="G25" s="626"/>
      <c r="H25" s="626"/>
    </row>
    <row r="26" spans="3:8" ht="15" customHeight="1">
      <c r="C26" s="626"/>
      <c r="D26" s="626"/>
      <c r="E26" s="626"/>
      <c r="F26" s="626"/>
      <c r="G26" s="626"/>
      <c r="H26" s="626"/>
    </row>
    <row r="27" spans="3:8" ht="15" customHeight="1">
      <c r="C27" s="626"/>
      <c r="D27" s="626"/>
      <c r="E27" s="626"/>
      <c r="F27" s="626"/>
      <c r="G27" s="626"/>
      <c r="H27" s="626"/>
    </row>
    <row r="28" spans="3:8" ht="15" customHeight="1">
      <c r="C28" s="626"/>
      <c r="D28" s="626"/>
      <c r="E28" s="626"/>
      <c r="F28" s="626"/>
      <c r="G28" s="626"/>
      <c r="H28" s="626"/>
    </row>
    <row r="29" spans="3:8" ht="15" customHeight="1">
      <c r="C29" s="626"/>
      <c r="D29" s="626"/>
      <c r="E29" s="626"/>
      <c r="F29" s="626"/>
      <c r="G29" s="626"/>
      <c r="H29" s="626"/>
    </row>
    <row r="30" spans="3:8" ht="15" customHeight="1">
      <c r="C30" s="626"/>
      <c r="D30" s="626"/>
      <c r="E30" s="626"/>
      <c r="F30" s="626"/>
      <c r="G30" s="626"/>
      <c r="H30" s="626"/>
    </row>
    <row r="31" spans="3:8" ht="15" customHeight="1">
      <c r="C31" s="626"/>
      <c r="D31" s="626"/>
      <c r="E31" s="626"/>
      <c r="F31" s="626"/>
      <c r="G31" s="626"/>
      <c r="H31" s="626"/>
    </row>
    <row r="36" spans="2:17" ht="15" customHeight="1"/>
    <row r="37" spans="2:17" ht="15" customHeight="1"/>
    <row r="38" spans="2:17" ht="30.75" customHeight="1" thickBot="1">
      <c r="C38" s="627" t="s">
        <v>109</v>
      </c>
      <c r="D38" s="627"/>
      <c r="E38" s="627"/>
      <c r="F38" s="628">
        <f ca="1">TODAY()</f>
        <v>46085</v>
      </c>
      <c r="G38" s="628"/>
      <c r="H38" s="628"/>
      <c r="I38" s="628"/>
      <c r="J38" s="629" t="s">
        <v>110</v>
      </c>
      <c r="K38" s="629"/>
      <c r="L38" s="629"/>
      <c r="M38" s="629"/>
      <c r="N38" s="629"/>
      <c r="O38" s="629"/>
      <c r="P38" s="629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'[36]Brewer Performance'!D40</f>
        <v>96.507822129582451</v>
      </c>
      <c r="E40" s="259">
        <f>AVERAGE('[37]Feb. 1'!I12:I13,'[37]Feb. 2'!I11:I14,[37]Feb.4!I13,[37]Feb.8!I14:I16,[37]Feb.9!I14,[37]Feb.9!I17:I18,[37]Feb10!I13:I16,[37]Feb14!I17,[37]Feb14!I15:I17,[37]Feb17!I10,[37]Feb17!I19:I21,'[37]Feb 21'!I10:I12,'[37]Feb 22'!I11:I13,'[37]Feb 23'!I14:I16,'[37]Feb 24'!I10:I12,'[37]Feb 25'!I13:I15,'[37]Feb 28'!I15:I18)</f>
        <v>98.284801217583563</v>
      </c>
      <c r="F40" s="259">
        <v>98.226686244092193</v>
      </c>
      <c r="G40" s="259">
        <v>98.210530202427222</v>
      </c>
      <c r="H40" s="259">
        <f>'[38]Brewer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'[36]Brewer Performance'!D41</f>
        <v>97.99738587335284</v>
      </c>
      <c r="E41" s="259">
        <f>AVERAGE('[37]Feb. 1'!I10:I11,'[37]Feb. 2'!I10,[37]Feb.3!I11:I13,[37]Feb.4!I10:I12,[37]Feb.8!I10,[37]Feb.8!I13,[37]Feb.9!I10:I13,[37]Feb10!I10:I12,[37]Feb11!I11:I13,[37]Feb14!I13:I14,[37]Feb17!I16:I18,[37]Feb18!I13:I15,'[37]Feb 21'!I17:I19,'[37]Feb 22'!I10,'[37]Feb 22'!I20:I22,'[37]Feb 23'!I10:I11,'[37]Feb 23'!I21,'[37]Feb 25'!I10:I12,'[37]Feb 28'!I11:I14)</f>
        <v>97.918121549662388</v>
      </c>
      <c r="F41" s="259">
        <v>98.070081368185257</v>
      </c>
      <c r="G41" s="259">
        <v>97.79453968977019</v>
      </c>
      <c r="H41" s="259">
        <f>'[38]Brewer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'[36]Brewer Performance'!D43</f>
        <v>98.304611060419475</v>
      </c>
      <c r="E44" s="259">
        <f>AVERAGE('[37]Feb. 2'!I15,[37]Feb.3!I10,[37]Feb.4!I16:I17,[37]Feb.8!I19:I21,[37]Feb.9!I19:I20,[37]Feb10!I17:I18,[37]Feb11!I10,[37]Feb14!I10:I12,[37]Feb17!I11:I13,[37]Feb18!I10:I12,'[37]Feb 21'!I13,'[37]Feb 21'!I16,'[37]Feb 22'!I16:I19,'[37]Feb 23'!I17:I20,'[37]Feb 24'!I15:I18,'[37]Feb 25'!I16:I17,'[37]Feb 28'!I10,'[37]Feb 28'!I19:I20)</f>
        <v>97.289162940824014</v>
      </c>
      <c r="F44" s="259">
        <v>98.163642226187022</v>
      </c>
      <c r="G44" s="259">
        <v>97.964054285784258</v>
      </c>
      <c r="H44" s="259">
        <f>'[38]Brewer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'[36]Brewer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'[36]Brewer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22" t="s">
        <v>123</v>
      </c>
      <c r="C48" s="622"/>
      <c r="D48" s="622"/>
      <c r="E48" s="622"/>
      <c r="F48" s="622"/>
      <c r="G48" s="622"/>
      <c r="H48" s="622"/>
      <c r="I48" s="622"/>
      <c r="J48" s="622"/>
      <c r="K48" s="622"/>
      <c r="L48" s="622"/>
      <c r="M48" s="622"/>
      <c r="N48" s="622"/>
      <c r="O48" s="622"/>
      <c r="P48" s="622"/>
      <c r="Q48" s="622"/>
    </row>
    <row r="49" spans="2:17" ht="15" customHeight="1">
      <c r="B49" s="622"/>
      <c r="C49" s="622"/>
      <c r="D49" s="622"/>
      <c r="E49" s="622"/>
      <c r="F49" s="622"/>
      <c r="G49" s="622"/>
      <c r="H49" s="622"/>
      <c r="I49" s="622"/>
      <c r="J49" s="622"/>
      <c r="K49" s="622"/>
      <c r="L49" s="622"/>
      <c r="M49" s="622"/>
      <c r="N49" s="622"/>
      <c r="O49" s="622"/>
      <c r="P49" s="622"/>
      <c r="Q49" s="622"/>
    </row>
    <row r="50" spans="2:17" ht="15" customHeight="1">
      <c r="B50" s="622"/>
      <c r="C50" s="622"/>
      <c r="D50" s="622"/>
      <c r="E50" s="622"/>
      <c r="F50" s="622"/>
      <c r="G50" s="622"/>
      <c r="H50" s="622"/>
      <c r="I50" s="622"/>
      <c r="J50" s="622"/>
      <c r="K50" s="622"/>
      <c r="L50" s="622"/>
      <c r="M50" s="622"/>
      <c r="N50" s="622"/>
      <c r="O50" s="622"/>
      <c r="P50" s="622"/>
      <c r="Q50" s="622"/>
    </row>
    <row r="51" spans="2:17" ht="15" customHeight="1">
      <c r="B51" s="622"/>
      <c r="C51" s="622"/>
      <c r="D51" s="622"/>
      <c r="E51" s="622"/>
      <c r="F51" s="622"/>
      <c r="G51" s="622"/>
      <c r="H51" s="622"/>
      <c r="I51" s="622"/>
      <c r="J51" s="622"/>
      <c r="K51" s="622"/>
      <c r="L51" s="622"/>
      <c r="M51" s="622"/>
      <c r="N51" s="622"/>
      <c r="O51" s="622"/>
      <c r="P51" s="622"/>
      <c r="Q51" s="622"/>
    </row>
    <row r="52" spans="2:17" ht="15" customHeight="1">
      <c r="B52" s="622"/>
      <c r="C52" s="622"/>
      <c r="D52" s="622"/>
      <c r="E52" s="622"/>
      <c r="F52" s="622"/>
      <c r="G52" s="622"/>
      <c r="H52" s="622"/>
      <c r="I52" s="622"/>
      <c r="J52" s="622"/>
      <c r="K52" s="622"/>
      <c r="L52" s="622"/>
      <c r="M52" s="622"/>
      <c r="N52" s="622"/>
      <c r="O52" s="622"/>
      <c r="P52" s="622"/>
      <c r="Q52" s="622"/>
    </row>
    <row r="53" spans="2:17" ht="15" customHeight="1">
      <c r="B53" s="622"/>
      <c r="C53" s="622"/>
      <c r="D53" s="622"/>
      <c r="E53" s="622"/>
      <c r="F53" s="622"/>
      <c r="G53" s="622"/>
      <c r="H53" s="622"/>
      <c r="I53" s="622"/>
      <c r="J53" s="622"/>
      <c r="K53" s="622"/>
      <c r="L53" s="622"/>
      <c r="M53" s="622"/>
      <c r="N53" s="622"/>
      <c r="O53" s="622"/>
      <c r="P53" s="622"/>
      <c r="Q53" s="622"/>
    </row>
    <row r="54" spans="2:17" ht="15" customHeight="1">
      <c r="B54" s="622"/>
      <c r="C54" s="622"/>
      <c r="D54" s="622"/>
      <c r="E54" s="622"/>
      <c r="F54" s="622"/>
      <c r="G54" s="622"/>
      <c r="H54" s="622"/>
      <c r="I54" s="622"/>
      <c r="J54" s="622"/>
      <c r="K54" s="622"/>
      <c r="L54" s="622"/>
      <c r="M54" s="622"/>
      <c r="N54" s="622"/>
      <c r="O54" s="622"/>
      <c r="P54" s="622"/>
      <c r="Q54" s="622"/>
    </row>
    <row r="55" spans="2:17" ht="15" customHeight="1">
      <c r="B55" s="622"/>
      <c r="C55" s="622"/>
      <c r="D55" s="622"/>
      <c r="E55" s="622"/>
      <c r="F55" s="622"/>
      <c r="G55" s="622"/>
      <c r="H55" s="622"/>
      <c r="I55" s="622"/>
      <c r="J55" s="622"/>
      <c r="K55" s="622"/>
      <c r="L55" s="622"/>
      <c r="M55" s="622"/>
      <c r="N55" s="622"/>
      <c r="O55" s="622"/>
      <c r="P55" s="622"/>
      <c r="Q55" s="622"/>
    </row>
    <row r="56" spans="2:17" ht="15" customHeight="1">
      <c r="B56" s="622"/>
      <c r="C56" s="622"/>
      <c r="D56" s="622"/>
      <c r="E56" s="622"/>
      <c r="F56" s="622"/>
      <c r="G56" s="622"/>
      <c r="H56" s="622"/>
      <c r="I56" s="622"/>
      <c r="J56" s="622"/>
      <c r="K56" s="622"/>
      <c r="L56" s="622"/>
      <c r="M56" s="622"/>
      <c r="N56" s="622"/>
      <c r="O56" s="622"/>
      <c r="P56" s="622"/>
      <c r="Q56" s="622"/>
    </row>
    <row r="57" spans="2:17" ht="15" customHeight="1">
      <c r="B57" s="622"/>
      <c r="C57" s="622"/>
      <c r="D57" s="622"/>
      <c r="E57" s="622"/>
      <c r="F57" s="622"/>
      <c r="G57" s="622"/>
      <c r="H57" s="622"/>
      <c r="I57" s="622"/>
      <c r="J57" s="622"/>
      <c r="K57" s="622"/>
      <c r="L57" s="622"/>
      <c r="M57" s="622"/>
      <c r="N57" s="622"/>
      <c r="O57" s="622"/>
      <c r="P57" s="622"/>
      <c r="Q57" s="622"/>
    </row>
    <row r="58" spans="2:17" ht="15" customHeight="1">
      <c r="B58" s="622"/>
      <c r="C58" s="622"/>
      <c r="D58" s="622"/>
      <c r="E58" s="622"/>
      <c r="F58" s="622"/>
      <c r="G58" s="622"/>
      <c r="H58" s="622"/>
      <c r="I58" s="622"/>
      <c r="J58" s="622"/>
      <c r="K58" s="622"/>
      <c r="L58" s="622"/>
      <c r="M58" s="622"/>
      <c r="N58" s="622"/>
      <c r="O58" s="622"/>
      <c r="P58" s="622"/>
      <c r="Q58" s="622"/>
    </row>
    <row r="59" spans="2:17" ht="15" customHeight="1">
      <c r="B59" s="622"/>
      <c r="C59" s="622"/>
      <c r="D59" s="622"/>
      <c r="E59" s="622"/>
      <c r="F59" s="622"/>
      <c r="G59" s="622"/>
      <c r="H59" s="622"/>
      <c r="I59" s="622"/>
      <c r="J59" s="622"/>
      <c r="K59" s="622"/>
      <c r="L59" s="622"/>
      <c r="M59" s="622"/>
      <c r="N59" s="622"/>
      <c r="O59" s="622"/>
      <c r="P59" s="622"/>
      <c r="Q59" s="622"/>
    </row>
    <row r="60" spans="2:17" ht="15" customHeight="1">
      <c r="B60" s="622"/>
      <c r="C60" s="622"/>
      <c r="D60" s="622"/>
      <c r="E60" s="622"/>
      <c r="F60" s="622"/>
      <c r="G60" s="622"/>
      <c r="H60" s="622"/>
      <c r="I60" s="622"/>
      <c r="J60" s="622"/>
      <c r="K60" s="622"/>
      <c r="L60" s="622"/>
      <c r="M60" s="622"/>
      <c r="N60" s="622"/>
      <c r="O60" s="622"/>
      <c r="P60" s="622"/>
      <c r="Q60" s="622"/>
    </row>
    <row r="61" spans="2:17" ht="15" customHeight="1">
      <c r="B61" s="622"/>
      <c r="C61" s="622"/>
      <c r="D61" s="622"/>
      <c r="E61" s="622"/>
      <c r="F61" s="622"/>
      <c r="G61" s="622"/>
      <c r="H61" s="622"/>
      <c r="I61" s="622"/>
      <c r="J61" s="622"/>
      <c r="K61" s="622"/>
      <c r="L61" s="622"/>
      <c r="M61" s="622"/>
      <c r="N61" s="622"/>
      <c r="O61" s="622"/>
      <c r="P61" s="622"/>
      <c r="Q61" s="622"/>
    </row>
    <row r="62" spans="2:17" ht="15" customHeight="1">
      <c r="B62" s="622"/>
      <c r="C62" s="622"/>
      <c r="D62" s="622"/>
      <c r="E62" s="622"/>
      <c r="F62" s="622"/>
      <c r="G62" s="622"/>
      <c r="H62" s="622"/>
      <c r="I62" s="622"/>
      <c r="J62" s="622"/>
      <c r="K62" s="622"/>
      <c r="L62" s="622"/>
      <c r="M62" s="622"/>
      <c r="N62" s="622"/>
      <c r="O62" s="622"/>
      <c r="P62" s="622"/>
      <c r="Q62" s="622"/>
    </row>
    <row r="63" spans="2:17" ht="15" customHeight="1">
      <c r="B63" s="622"/>
      <c r="C63" s="622"/>
      <c r="D63" s="622"/>
      <c r="E63" s="622"/>
      <c r="F63" s="622"/>
      <c r="G63" s="622"/>
      <c r="H63" s="622"/>
      <c r="I63" s="622"/>
      <c r="J63" s="622"/>
      <c r="K63" s="622"/>
      <c r="L63" s="622"/>
      <c r="M63" s="622"/>
      <c r="N63" s="622"/>
      <c r="O63" s="622"/>
      <c r="P63" s="622"/>
      <c r="Q63" s="622"/>
    </row>
    <row r="64" spans="2:17" ht="15" customHeight="1">
      <c r="B64" s="622"/>
      <c r="C64" s="622"/>
      <c r="D64" s="622"/>
      <c r="E64" s="622"/>
      <c r="F64" s="622"/>
      <c r="G64" s="622"/>
      <c r="H64" s="622"/>
      <c r="I64" s="622"/>
      <c r="J64" s="622"/>
      <c r="K64" s="622"/>
      <c r="L64" s="622"/>
      <c r="M64" s="622"/>
      <c r="N64" s="622"/>
      <c r="O64" s="622"/>
      <c r="P64" s="622"/>
      <c r="Q64" s="622"/>
    </row>
    <row r="65" spans="2:17" ht="15" customHeight="1">
      <c r="B65" s="622"/>
      <c r="C65" s="622"/>
      <c r="D65" s="622"/>
      <c r="E65" s="622"/>
      <c r="F65" s="622"/>
      <c r="G65" s="622"/>
      <c r="H65" s="622"/>
      <c r="I65" s="622"/>
      <c r="J65" s="622"/>
      <c r="K65" s="622"/>
      <c r="L65" s="622"/>
      <c r="M65" s="622"/>
      <c r="N65" s="622"/>
      <c r="O65" s="622"/>
      <c r="P65" s="622"/>
      <c r="Q65" s="622"/>
    </row>
    <row r="66" spans="2:17" ht="15" customHeight="1">
      <c r="B66" s="622"/>
      <c r="C66" s="622"/>
      <c r="D66" s="622"/>
      <c r="E66" s="622"/>
      <c r="F66" s="622"/>
      <c r="G66" s="622"/>
      <c r="H66" s="622"/>
      <c r="I66" s="622"/>
      <c r="J66" s="622"/>
      <c r="K66" s="622"/>
      <c r="L66" s="622"/>
      <c r="M66" s="622"/>
      <c r="N66" s="622"/>
      <c r="O66" s="622"/>
      <c r="P66" s="622"/>
      <c r="Q66" s="622"/>
    </row>
    <row r="67" spans="2:17" ht="15" customHeight="1">
      <c r="B67" s="622"/>
      <c r="C67" s="622"/>
      <c r="D67" s="622"/>
      <c r="E67" s="622"/>
      <c r="F67" s="622"/>
      <c r="G67" s="622"/>
      <c r="H67" s="622"/>
      <c r="I67" s="622"/>
      <c r="J67" s="622"/>
      <c r="K67" s="622"/>
      <c r="L67" s="622"/>
      <c r="M67" s="622"/>
      <c r="N67" s="622"/>
      <c r="O67" s="622"/>
      <c r="P67" s="622"/>
      <c r="Q67" s="622"/>
    </row>
    <row r="68" spans="2:17" ht="15" customHeight="1">
      <c r="B68" s="622"/>
      <c r="C68" s="622"/>
      <c r="D68" s="622"/>
      <c r="E68" s="622"/>
      <c r="F68" s="622"/>
      <c r="G68" s="622"/>
      <c r="H68" s="622"/>
      <c r="I68" s="622"/>
      <c r="J68" s="622"/>
      <c r="K68" s="622"/>
      <c r="L68" s="622"/>
      <c r="M68" s="622"/>
      <c r="N68" s="622"/>
      <c r="O68" s="622"/>
      <c r="P68" s="622"/>
      <c r="Q68" s="622"/>
    </row>
    <row r="69" spans="2:17" ht="15" customHeight="1">
      <c r="B69" s="622"/>
      <c r="C69" s="622"/>
      <c r="D69" s="622"/>
      <c r="E69" s="622"/>
      <c r="F69" s="622"/>
      <c r="G69" s="622"/>
      <c r="H69" s="622"/>
      <c r="I69" s="622"/>
      <c r="J69" s="622"/>
      <c r="K69" s="622"/>
      <c r="L69" s="622"/>
      <c r="M69" s="622"/>
      <c r="N69" s="622"/>
      <c r="O69" s="622"/>
      <c r="P69" s="622"/>
      <c r="Q69" s="622"/>
    </row>
    <row r="70" spans="2:17" ht="15" customHeight="1">
      <c r="B70" s="622"/>
      <c r="C70" s="622"/>
      <c r="D70" s="622"/>
      <c r="E70" s="622"/>
      <c r="F70" s="622"/>
      <c r="G70" s="622"/>
      <c r="H70" s="622"/>
      <c r="I70" s="622"/>
      <c r="J70" s="622"/>
      <c r="K70" s="622"/>
      <c r="L70" s="622"/>
      <c r="M70" s="622"/>
      <c r="N70" s="622"/>
      <c r="O70" s="622"/>
      <c r="P70" s="622"/>
      <c r="Q70" s="622"/>
    </row>
    <row r="71" spans="2:17" ht="15" customHeight="1">
      <c r="B71" s="622"/>
      <c r="C71" s="622"/>
      <c r="D71" s="622"/>
      <c r="E71" s="622"/>
      <c r="F71" s="622"/>
      <c r="G71" s="622"/>
      <c r="H71" s="622"/>
      <c r="I71" s="622"/>
      <c r="J71" s="622"/>
      <c r="K71" s="622"/>
      <c r="L71" s="622"/>
      <c r="M71" s="622"/>
      <c r="N71" s="622"/>
      <c r="O71" s="622"/>
      <c r="P71" s="622"/>
      <c r="Q71" s="622"/>
    </row>
    <row r="72" spans="2:17" ht="15" customHeight="1">
      <c r="B72" s="622"/>
      <c r="C72" s="622"/>
      <c r="D72" s="622"/>
      <c r="E72" s="622"/>
      <c r="F72" s="622"/>
      <c r="G72" s="622"/>
      <c r="H72" s="622"/>
      <c r="I72" s="622"/>
      <c r="J72" s="622"/>
      <c r="K72" s="622"/>
      <c r="L72" s="622"/>
      <c r="M72" s="622"/>
      <c r="N72" s="622"/>
      <c r="O72" s="622"/>
      <c r="P72" s="622"/>
      <c r="Q72" s="622"/>
    </row>
    <row r="73" spans="2:17" ht="15" customHeight="1">
      <c r="B73" s="622"/>
      <c r="C73" s="622"/>
      <c r="D73" s="622"/>
      <c r="E73" s="622"/>
      <c r="F73" s="622"/>
      <c r="G73" s="622"/>
      <c r="H73" s="622"/>
      <c r="I73" s="622"/>
      <c r="J73" s="622"/>
      <c r="K73" s="622"/>
      <c r="L73" s="622"/>
      <c r="M73" s="622"/>
      <c r="N73" s="622"/>
      <c r="O73" s="622"/>
      <c r="P73" s="622"/>
      <c r="Q73" s="622"/>
    </row>
    <row r="74" spans="2:17" ht="15" customHeight="1">
      <c r="B74" s="622"/>
      <c r="C74" s="622"/>
      <c r="D74" s="622"/>
      <c r="E74" s="622"/>
      <c r="F74" s="622"/>
      <c r="G74" s="622"/>
      <c r="H74" s="622"/>
      <c r="I74" s="622"/>
      <c r="J74" s="622"/>
      <c r="K74" s="622"/>
      <c r="L74" s="622"/>
      <c r="M74" s="622"/>
      <c r="N74" s="622"/>
      <c r="O74" s="622"/>
      <c r="P74" s="622"/>
      <c r="Q74" s="622"/>
    </row>
    <row r="75" spans="2:17" ht="15" customHeight="1">
      <c r="B75" s="622"/>
      <c r="C75" s="622"/>
      <c r="D75" s="622"/>
      <c r="E75" s="622"/>
      <c r="F75" s="622"/>
      <c r="G75" s="622"/>
      <c r="H75" s="622"/>
      <c r="I75" s="622"/>
      <c r="J75" s="622"/>
      <c r="K75" s="622"/>
      <c r="L75" s="622"/>
      <c r="M75" s="622"/>
      <c r="N75" s="622"/>
      <c r="O75" s="622"/>
      <c r="P75" s="622"/>
      <c r="Q75" s="622"/>
    </row>
    <row r="76" spans="2:17">
      <c r="B76" s="622"/>
      <c r="C76" s="622"/>
      <c r="D76" s="622"/>
      <c r="E76" s="622"/>
      <c r="F76" s="622"/>
      <c r="G76" s="622"/>
      <c r="H76" s="622"/>
      <c r="I76" s="622"/>
      <c r="J76" s="622"/>
      <c r="K76" s="622"/>
      <c r="L76" s="622"/>
      <c r="M76" s="622"/>
      <c r="N76" s="622"/>
      <c r="O76" s="622"/>
      <c r="P76" s="622"/>
      <c r="Q76" s="622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Dec 18th</vt:lpstr>
      <vt:lpstr>Feb 2nd</vt:lpstr>
      <vt:lpstr>Feb 3rd</vt:lpstr>
      <vt:lpstr>Feb 4th</vt:lpstr>
      <vt:lpstr>Feb 5th</vt:lpstr>
      <vt:lpstr>Feb 6th</vt:lpstr>
      <vt:lpstr>Feb 9th</vt:lpstr>
      <vt:lpstr>Feb 10th</vt:lpstr>
      <vt:lpstr>Feb 11th</vt:lpstr>
      <vt:lpstr>Feb 12th</vt:lpstr>
      <vt:lpstr>Feb 13th</vt:lpstr>
      <vt:lpstr>Feb 16th</vt:lpstr>
      <vt:lpstr>Feb 17th</vt:lpstr>
      <vt:lpstr>Feb 18th </vt:lpstr>
      <vt:lpstr>Feb 19th</vt:lpstr>
      <vt:lpstr>Feb 20th</vt:lpstr>
      <vt:lpstr>Feb 23rd</vt:lpstr>
      <vt:lpstr>Feb 24th</vt:lpstr>
      <vt:lpstr>Feb 25th</vt:lpstr>
      <vt:lpstr>Feb 26th </vt:lpstr>
      <vt:lpstr>Feb 27th-28th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Kaylil Baptiste</cp:lastModifiedBy>
  <cp:lastPrinted>2024-01-26T11:36:30Z</cp:lastPrinted>
  <dcterms:created xsi:type="dcterms:W3CDTF">2020-01-28T18:21:11Z</dcterms:created>
  <dcterms:modified xsi:type="dcterms:W3CDTF">2026-03-04T17:15:25Z</dcterms:modified>
</cp:coreProperties>
</file>