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1.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3.xml" ContentType="application/vnd.openxmlformats-officedocument.spreadsheetml.comments+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fileSharing readOnlyRecommended="1"/>
  <workbookPr codeName="ThisWorkbook"/>
  <mc:AlternateContent xmlns:mc="http://schemas.openxmlformats.org/markup-compatibility/2006">
    <mc:Choice Requires="x15">
      <x15ac:absPath xmlns:x15ac="http://schemas.microsoft.com/office/spreadsheetml/2010/11/ac" url="F:\FTR Manufacturing- 2026\"/>
    </mc:Choice>
  </mc:AlternateContent>
  <xr:revisionPtr revIDLastSave="0" documentId="13_ncr:1_{BB9F50B0-DD93-4AD5-876A-E7F1A7683FAC}" xr6:coauthVersionLast="47" xr6:coauthVersionMax="47" xr10:uidLastSave="{00000000-0000-0000-0000-000000000000}"/>
  <bookViews>
    <workbookView xWindow="-120" yWindow="-120" windowWidth="29040" windowHeight="15720" tabRatio="601" activeTab="22" xr2:uid="{00000000-000D-0000-FFFF-FFFF00000000}"/>
  </bookViews>
  <sheets>
    <sheet name="FTR Spec Change (Overall)" sheetId="21" r:id="rId1"/>
    <sheet name="FTR Spec Change (By Area)" sheetId="22" state="hidden" r:id="rId2"/>
    <sheet name="January '25" sheetId="9" state="hidden" r:id="rId3"/>
    <sheet name="February '24" sheetId="8" state="hidden" r:id="rId4"/>
    <sheet name="March '24" sheetId="7" state="hidden" r:id="rId5"/>
    <sheet name="April '24" sheetId="6" state="hidden" r:id="rId6"/>
    <sheet name="June '24 " sheetId="25" state="hidden" r:id="rId7"/>
    <sheet name="July '24" sheetId="26" state="hidden" r:id="rId8"/>
    <sheet name="August '24" sheetId="27" state="hidden" r:id="rId9"/>
    <sheet name="September '24 " sheetId="28" state="hidden" r:id="rId10"/>
    <sheet name="October '24 " sheetId="29" state="hidden" r:id="rId11"/>
    <sheet name="November '24 " sheetId="30" state="hidden" r:id="rId12"/>
    <sheet name="December '24" sheetId="31" state="hidden" r:id="rId13"/>
    <sheet name="May '20" sheetId="4" state="hidden" r:id="rId14"/>
    <sheet name="June'20" sheetId="23" state="hidden" r:id="rId15"/>
    <sheet name="September '20" sheetId="13" state="hidden" r:id="rId16"/>
    <sheet name="November '18" sheetId="19" state="hidden" r:id="rId17"/>
    <sheet name="December '18" sheetId="20" state="hidden" r:id="rId18"/>
    <sheet name="FTR Trend" sheetId="16" state="hidden" r:id="rId19"/>
    <sheet name="FTR Parameter Trend" sheetId="17" state="hidden" r:id="rId20"/>
    <sheet name="February '25 " sheetId="32" state="hidden" r:id="rId21"/>
    <sheet name="March'25 " sheetId="33" state="hidden" r:id="rId22"/>
    <sheet name="Summary Report" sheetId="34" r:id="rId23"/>
    <sheet name="Monthly Comparison Graphs" sheetId="35" state="hidden" r:id="rId24"/>
    <sheet name="FTR Targets" sheetId="2" r:id="rId25"/>
    <sheet name="Sheet1" sheetId="14"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4" l="1"/>
  <c r="H45" i="34" a="1"/>
  <c r="N46" i="34" l="1"/>
  <c r="M46" i="34"/>
  <c r="L46" i="34"/>
  <c r="K46" i="34"/>
  <c r="J46" i="34"/>
  <c r="I46" i="34"/>
  <c r="H46" i="34"/>
  <c r="G46" i="34"/>
  <c r="F46" i="34"/>
  <c r="E46" i="34"/>
  <c r="D46" i="34"/>
  <c r="C46" i="34"/>
  <c r="C45" i="34" l="1"/>
  <c r="D45" i="34"/>
  <c r="E45" i="34"/>
  <c r="F45" i="34"/>
  <c r="G45" i="34"/>
  <c r="O16" i="34" l="1"/>
  <c r="N13" i="34" l="1"/>
  <c r="N12" i="34"/>
  <c r="N11" i="34"/>
  <c r="N10" i="34"/>
  <c r="N9" i="34"/>
  <c r="N8" i="34"/>
  <c r="L13" i="34" l="1"/>
  <c r="L12" i="34"/>
  <c r="L11" i="34"/>
  <c r="L10" i="34"/>
  <c r="L9" i="34"/>
  <c r="L8" i="34"/>
  <c r="G35" i="33"/>
  <c r="G34" i="33"/>
  <c r="G33" i="33"/>
  <c r="G31" i="33"/>
  <c r="G29" i="33"/>
  <c r="G28" i="33"/>
  <c r="G27" i="33"/>
  <c r="G25" i="33"/>
  <c r="G24" i="33"/>
  <c r="G23" i="33"/>
  <c r="G22" i="33"/>
  <c r="G21" i="33"/>
  <c r="G19" i="33"/>
  <c r="G18" i="33"/>
  <c r="G17" i="33"/>
  <c r="G15" i="33"/>
  <c r="G14" i="33"/>
  <c r="G35" i="32"/>
  <c r="G34" i="32"/>
  <c r="G33" i="32"/>
  <c r="G31" i="32"/>
  <c r="G29" i="32"/>
  <c r="G28" i="32"/>
  <c r="G27" i="32"/>
  <c r="G25" i="32"/>
  <c r="G24" i="32"/>
  <c r="G23" i="32"/>
  <c r="G22" i="32"/>
  <c r="G21" i="32"/>
  <c r="G19" i="32"/>
  <c r="G18" i="32"/>
  <c r="G17" i="32"/>
  <c r="G15" i="32"/>
  <c r="G14" i="32"/>
  <c r="C5" i="31" l="1"/>
  <c r="C4" i="31"/>
  <c r="C3" i="31"/>
  <c r="C2" i="31"/>
  <c r="C2" i="25"/>
  <c r="G25" i="30" l="1"/>
  <c r="G26" i="30"/>
  <c r="G27" i="30"/>
  <c r="G25" i="29"/>
  <c r="G26" i="29"/>
  <c r="G27" i="29"/>
  <c r="G25" i="28"/>
  <c r="G26" i="28"/>
  <c r="G27" i="28"/>
  <c r="G25" i="26"/>
  <c r="G30" i="25"/>
  <c r="G22" i="8"/>
  <c r="G21" i="8"/>
  <c r="G27" i="8"/>
  <c r="G28" i="8"/>
  <c r="G29" i="8"/>
  <c r="G15" i="9"/>
  <c r="G27" i="9"/>
  <c r="G28" i="9"/>
  <c r="G29" i="9"/>
  <c r="G26" i="25" l="1"/>
  <c r="G27" i="25"/>
  <c r="G28" i="25"/>
  <c r="G26" i="26" l="1"/>
  <c r="G27" i="26"/>
  <c r="C32" i="13" l="1"/>
  <c r="C31" i="13"/>
  <c r="C30" i="13"/>
  <c r="C29" i="13"/>
  <c r="C22" i="13"/>
  <c r="C21" i="13"/>
  <c r="C20" i="13"/>
  <c r="C16" i="13"/>
  <c r="C15" i="13"/>
  <c r="C14" i="13"/>
  <c r="C12" i="13"/>
  <c r="C10" i="13"/>
  <c r="C9" i="13"/>
  <c r="C8" i="13"/>
  <c r="C7" i="13"/>
  <c r="C4" i="13"/>
  <c r="C3" i="13"/>
  <c r="C2" i="13"/>
  <c r="C18" i="13"/>
  <c r="C17" i="13"/>
  <c r="C35" i="13" l="1"/>
  <c r="J8" i="16"/>
  <c r="J9" i="16"/>
  <c r="J7" i="16"/>
  <c r="J5" i="16"/>
  <c r="J4" i="16"/>
  <c r="I8" i="16" l="1"/>
  <c r="H8" i="16" l="1"/>
  <c r="G8" i="16" l="1"/>
  <c r="C22" i="4" l="1"/>
  <c r="C21" i="4"/>
  <c r="C20" i="4"/>
  <c r="G7" i="16" s="1"/>
  <c r="D8" i="16" l="1"/>
  <c r="N19" i="17" l="1"/>
  <c r="N18" i="17"/>
  <c r="M19" i="17"/>
  <c r="M18" i="17"/>
  <c r="L19" i="17"/>
  <c r="K19" i="17"/>
  <c r="L18" i="17"/>
  <c r="K18" i="17"/>
  <c r="H19" i="17" l="1"/>
  <c r="H18" i="17"/>
  <c r="G19" i="17" l="1"/>
  <c r="G18" i="17"/>
  <c r="F19" i="17"/>
  <c r="F18" i="17"/>
  <c r="E19" i="17"/>
  <c r="E18" i="17"/>
  <c r="P24" i="17"/>
  <c r="O6" i="22"/>
  <c r="O7" i="22"/>
  <c r="O5" i="22"/>
  <c r="O4" i="22"/>
  <c r="O5" i="21"/>
  <c r="O6" i="21"/>
  <c r="O4" i="21"/>
  <c r="D19" i="17"/>
  <c r="D18" i="17"/>
  <c r="C8" i="16"/>
  <c r="C19" i="17"/>
  <c r="C18" i="17"/>
  <c r="L37" i="14"/>
  <c r="L33" i="14"/>
  <c r="L27" i="14"/>
  <c r="L18" i="14"/>
  <c r="L10" i="14"/>
  <c r="L6" i="14"/>
  <c r="H37" i="14"/>
  <c r="H33" i="14"/>
  <c r="H27" i="14"/>
  <c r="H18" i="14"/>
  <c r="H10" i="14"/>
  <c r="H6" i="14"/>
  <c r="D37" i="14"/>
  <c r="D33" i="14"/>
  <c r="D27" i="14"/>
  <c r="D18" i="14"/>
  <c r="D10" i="14"/>
  <c r="D6" i="14"/>
  <c r="O8" i="16" l="1"/>
  <c r="H43" i="14"/>
  <c r="D43" i="14"/>
  <c r="L43" i="14"/>
  <c r="C34" i="20" l="1"/>
  <c r="N20" i="17" s="1"/>
  <c r="C24" i="20" l="1"/>
  <c r="N16" i="17" s="1"/>
  <c r="C26" i="20"/>
  <c r="C23" i="20"/>
  <c r="C25" i="20" l="1"/>
  <c r="N17" i="17" s="1"/>
  <c r="C33" i="20" l="1"/>
  <c r="C35" i="20"/>
  <c r="N21" i="17" s="1"/>
  <c r="C36" i="20"/>
  <c r="N22" i="17" s="1"/>
  <c r="N23" i="17" l="1"/>
  <c r="C19" i="20"/>
  <c r="N14" i="17" s="1"/>
  <c r="C20" i="20"/>
  <c r="C2" i="20"/>
  <c r="C8" i="20" l="1"/>
  <c r="N8" i="17" s="1"/>
  <c r="C15" i="20" l="1"/>
  <c r="N12" i="17" s="1"/>
  <c r="C3" i="20"/>
  <c r="N4" i="17" s="1"/>
  <c r="C4" i="20"/>
  <c r="N5" i="17" s="1"/>
  <c r="C16" i="20"/>
  <c r="N13" i="17" s="1"/>
  <c r="C14" i="20"/>
  <c r="C10" i="20" l="1"/>
  <c r="N10" i="17" s="1"/>
  <c r="C9" i="20"/>
  <c r="N9" i="17" s="1"/>
  <c r="C7" i="20"/>
  <c r="N7" i="17" s="1"/>
  <c r="C6" i="20"/>
  <c r="C12" i="20"/>
  <c r="N11" i="17" s="1"/>
  <c r="C39" i="20" l="1"/>
  <c r="N24" i="17" l="1"/>
  <c r="C26" i="19" l="1"/>
  <c r="C8" i="19"/>
  <c r="M8" i="17" s="1"/>
  <c r="C9" i="19"/>
  <c r="M9" i="17" s="1"/>
  <c r="C2" i="19"/>
  <c r="C19" i="19" l="1"/>
  <c r="M14" i="17" s="1"/>
  <c r="L14" i="17"/>
  <c r="C10" i="19"/>
  <c r="M10" i="17" s="1"/>
  <c r="C12" i="19"/>
  <c r="M11" i="17" s="1"/>
  <c r="C7" i="19"/>
  <c r="M7" i="17" s="1"/>
  <c r="C6" i="19"/>
  <c r="C33" i="19" l="1"/>
  <c r="C36" i="19"/>
  <c r="M22" i="17" s="1"/>
  <c r="C35" i="19"/>
  <c r="M21" i="17" s="1"/>
  <c r="C34" i="19"/>
  <c r="M20" i="17" s="1"/>
  <c r="C20" i="19" l="1"/>
  <c r="M23" i="17"/>
  <c r="C25" i="19"/>
  <c r="M17" i="17" s="1"/>
  <c r="C3" i="19"/>
  <c r="M4" i="17" s="1"/>
  <c r="C23" i="19"/>
  <c r="C24" i="19"/>
  <c r="M16" i="17" s="1"/>
  <c r="C14" i="19"/>
  <c r="C4" i="19"/>
  <c r="M5" i="17" s="1"/>
  <c r="C15" i="19" l="1"/>
  <c r="M12" i="17" s="1"/>
  <c r="C39" i="19"/>
  <c r="C16" i="19"/>
  <c r="M13" i="17" s="1"/>
  <c r="M24" i="17" l="1"/>
  <c r="L23" i="17" l="1"/>
  <c r="L11" i="17" l="1"/>
  <c r="K8" i="17" l="1"/>
  <c r="K20" i="17" l="1"/>
  <c r="K21" i="17"/>
  <c r="K22" i="17"/>
  <c r="K23" i="17" l="1"/>
  <c r="K17" i="17"/>
  <c r="K16" i="17"/>
  <c r="K10" i="17" l="1"/>
  <c r="K9" i="17" l="1"/>
  <c r="K11" i="17"/>
  <c r="K7" i="17"/>
  <c r="K14" i="17" l="1"/>
  <c r="K15" i="17"/>
  <c r="K12" i="17" l="1"/>
  <c r="K13" i="17"/>
  <c r="K24" i="17" l="1"/>
  <c r="J8" i="17" l="1"/>
  <c r="J11" i="17" l="1"/>
  <c r="J9" i="17" l="1"/>
  <c r="J7" i="17"/>
  <c r="J10" i="17"/>
  <c r="J14" i="17" l="1"/>
  <c r="I14" i="17"/>
  <c r="G23" i="17" l="1"/>
  <c r="J22" i="17"/>
  <c r="J21" i="17"/>
  <c r="J20" i="17"/>
  <c r="J16" i="17"/>
  <c r="I17" i="17"/>
  <c r="I16" i="17"/>
  <c r="J17" i="17"/>
  <c r="I20" i="17"/>
  <c r="I21" i="17"/>
  <c r="I22" i="17"/>
  <c r="I23" i="17" l="1"/>
  <c r="J23" i="17"/>
  <c r="K4" i="17" l="1"/>
  <c r="K5" i="17" l="1"/>
  <c r="G16" i="17" l="1"/>
  <c r="G17" i="17" l="1"/>
  <c r="C21" i="23" l="1"/>
  <c r="H16" i="17" s="1"/>
  <c r="C20" i="23"/>
  <c r="H7" i="16" s="1"/>
  <c r="C22" i="23"/>
  <c r="H17" i="17" s="1"/>
  <c r="C18" i="23" l="1"/>
  <c r="C18" i="4" l="1"/>
  <c r="G15" i="17" s="1"/>
  <c r="I7" i="16" l="1"/>
  <c r="J10" i="16" l="1"/>
  <c r="J6" i="16"/>
  <c r="I9" i="16" l="1"/>
  <c r="J18" i="17"/>
  <c r="I18" i="17"/>
  <c r="J19" i="17"/>
  <c r="I19" i="17"/>
  <c r="J12" i="17"/>
  <c r="I12" i="17"/>
  <c r="J13" i="17"/>
  <c r="I13" i="17"/>
  <c r="O19" i="17" l="1"/>
  <c r="R19" i="17" s="1"/>
  <c r="O18" i="17"/>
  <c r="R18" i="17" s="1"/>
  <c r="J4" i="17" l="1"/>
  <c r="I4" i="17"/>
  <c r="J5" i="17"/>
  <c r="I5" i="17"/>
  <c r="I4" i="16" l="1"/>
  <c r="C15" i="23" l="1"/>
  <c r="H12" i="17" s="1"/>
  <c r="C16" i="23"/>
  <c r="H13" i="17" s="1"/>
  <c r="C14" i="23"/>
  <c r="H6" i="16" s="1"/>
  <c r="C17" i="23" l="1"/>
  <c r="H14" i="17" s="1"/>
  <c r="C2" i="23" l="1"/>
  <c r="H28" i="34" l="1"/>
  <c r="H4" i="16"/>
  <c r="C3" i="23" l="1"/>
  <c r="H4" i="17" s="1"/>
  <c r="C4" i="23"/>
  <c r="H5" i="17" s="1"/>
  <c r="C16" i="4" l="1"/>
  <c r="G13" i="17" s="1"/>
  <c r="C17" i="4"/>
  <c r="G14" i="17" s="1"/>
  <c r="C15" i="4"/>
  <c r="G12" i="17" s="1"/>
  <c r="C14" i="4" l="1"/>
  <c r="G6" i="16" s="1"/>
  <c r="C3" i="4" l="1"/>
  <c r="G4" i="17" s="1"/>
  <c r="C2" i="4" l="1"/>
  <c r="C4" i="4"/>
  <c r="G5" i="17" s="1"/>
  <c r="G4" i="16" l="1"/>
  <c r="C29" i="23" l="1"/>
  <c r="C30" i="23"/>
  <c r="H20" i="17" s="1"/>
  <c r="C31" i="23"/>
  <c r="H21" i="17" s="1"/>
  <c r="C32" i="23"/>
  <c r="H22" i="17" s="1"/>
  <c r="C31" i="4"/>
  <c r="G21" i="17" s="1"/>
  <c r="C30" i="4"/>
  <c r="G20" i="17" s="1"/>
  <c r="C32" i="4"/>
  <c r="G22" i="17" s="1"/>
  <c r="C29" i="4"/>
  <c r="G9" i="16" l="1"/>
  <c r="H9" i="16"/>
  <c r="I6" i="16" l="1"/>
  <c r="J24" i="17"/>
  <c r="F26" i="34" l="1"/>
  <c r="F27" i="34"/>
  <c r="F25" i="34"/>
  <c r="L13" i="17"/>
  <c r="L12" i="17"/>
  <c r="F24" i="34" l="1"/>
  <c r="F28" i="34"/>
  <c r="L17" i="17"/>
  <c r="L16" i="17"/>
  <c r="L20" i="17" l="1"/>
  <c r="L21" i="17"/>
  <c r="L22" i="17" l="1"/>
  <c r="L4" i="17" l="1"/>
  <c r="L5" i="17" l="1"/>
  <c r="L7" i="17" l="1"/>
  <c r="L8" i="17" l="1"/>
  <c r="L9" i="17" l="1"/>
  <c r="L24" i="17" l="1"/>
  <c r="L10" i="17"/>
  <c r="I9" i="17" l="1"/>
  <c r="I8" i="17" l="1"/>
  <c r="I10" i="17"/>
  <c r="I11" i="17"/>
  <c r="C11" i="13" l="1"/>
  <c r="I5" i="16"/>
  <c r="I7" i="17"/>
  <c r="I10" i="16" l="1"/>
  <c r="I24" i="17"/>
  <c r="C7" i="23" l="1"/>
  <c r="C10" i="23"/>
  <c r="H9" i="17" s="1"/>
  <c r="C8" i="23"/>
  <c r="H7" i="17" s="1"/>
  <c r="C12" i="23"/>
  <c r="H11" i="17" s="1"/>
  <c r="C11" i="23"/>
  <c r="H10" i="17" s="1"/>
  <c r="C9" i="23"/>
  <c r="H8" i="17" s="1"/>
  <c r="H5" i="16" l="1"/>
  <c r="C35" i="23"/>
  <c r="H24" i="17" l="1"/>
  <c r="H10" i="16"/>
  <c r="C9" i="4" l="1"/>
  <c r="G8" i="17" s="1"/>
  <c r="C10" i="4" l="1"/>
  <c r="G9" i="17" s="1"/>
  <c r="C11" i="4"/>
  <c r="G10" i="17" s="1"/>
  <c r="C12" i="4"/>
  <c r="G11" i="17" s="1"/>
  <c r="C7" i="4"/>
  <c r="C8" i="4"/>
  <c r="G7" i="17" s="1"/>
  <c r="G5" i="16" l="1"/>
  <c r="C35" i="4"/>
  <c r="G24" i="17" l="1"/>
  <c r="G10" i="16"/>
  <c r="F39" i="20" l="1"/>
  <c r="F35" i="13"/>
  <c r="F39" i="19"/>
  <c r="D24" i="17" l="1"/>
  <c r="D10" i="16"/>
  <c r="F35" i="23" l="1"/>
  <c r="F35" i="4"/>
  <c r="G25" i="9" l="1"/>
  <c r="G14" i="9" l="1"/>
  <c r="G17" i="9" l="1"/>
  <c r="G19" i="9"/>
  <c r="G18" i="9"/>
  <c r="G21" i="9" l="1"/>
  <c r="G23" i="9"/>
  <c r="G22" i="9"/>
  <c r="G24" i="9"/>
  <c r="G31" i="9" l="1"/>
  <c r="G34" i="9" l="1"/>
  <c r="G35" i="9"/>
  <c r="G33" i="9"/>
  <c r="G30" i="6" l="1"/>
  <c r="G33" i="6" l="1"/>
  <c r="G31" i="6"/>
  <c r="G34" i="6"/>
  <c r="G32" i="6"/>
  <c r="G18" i="6"/>
  <c r="G17" i="6"/>
  <c r="G15" i="6"/>
  <c r="G19" i="6"/>
  <c r="C5" i="8" l="1"/>
  <c r="C3" i="8"/>
  <c r="D6" i="17" l="1"/>
  <c r="G5" i="8"/>
  <c r="D4" i="17"/>
  <c r="G3" i="8"/>
  <c r="G3" i="25" l="1"/>
  <c r="C3" i="6" l="1"/>
  <c r="F4" i="17" s="1"/>
  <c r="G3" i="6"/>
  <c r="C5" i="6"/>
  <c r="F6" i="17" s="1"/>
  <c r="G5" i="6"/>
  <c r="C2" i="8" l="1"/>
  <c r="C4" i="8"/>
  <c r="G4" i="8" l="1"/>
  <c r="D5" i="17"/>
  <c r="C4" i="7"/>
  <c r="E5" i="17" s="1"/>
  <c r="G4" i="7"/>
  <c r="G2" i="8"/>
  <c r="D4" i="16"/>
  <c r="C4" i="6"/>
  <c r="F5" i="17" s="1"/>
  <c r="G4" i="6"/>
  <c r="G4" i="25"/>
  <c r="G2" i="25"/>
  <c r="G5" i="25" l="1"/>
  <c r="G15" i="25" l="1"/>
  <c r="G18" i="25"/>
  <c r="G19" i="25"/>
  <c r="G17" i="25"/>
  <c r="C5" i="7" l="1"/>
  <c r="E6" i="17" s="1"/>
  <c r="G5" i="7"/>
  <c r="G3" i="7"/>
  <c r="C3" i="7"/>
  <c r="E4" i="17" s="1"/>
  <c r="G2" i="7" l="1"/>
  <c r="C2" i="7"/>
  <c r="E4" i="16" l="1"/>
  <c r="C2" i="6" l="1"/>
  <c r="G2" i="6"/>
  <c r="F4" i="16" l="1"/>
  <c r="G14" i="25" l="1"/>
  <c r="G14" i="6"/>
  <c r="C14" i="6" l="1"/>
  <c r="F6" i="16" s="1"/>
  <c r="C19" i="6"/>
  <c r="C18" i="6"/>
  <c r="F15" i="17" s="1"/>
  <c r="C16" i="6"/>
  <c r="F13" i="17" s="1"/>
  <c r="C17" i="6"/>
  <c r="F14" i="17" s="1"/>
  <c r="C15" i="6"/>
  <c r="F12" i="17" s="1"/>
  <c r="C16" i="7" l="1"/>
  <c r="E13" i="17" s="1"/>
  <c r="G18" i="7" l="1"/>
  <c r="C18" i="7"/>
  <c r="E15" i="17" s="1"/>
  <c r="C17" i="7"/>
  <c r="E14" i="17" s="1"/>
  <c r="G17" i="7"/>
  <c r="C19" i="7"/>
  <c r="G19" i="7"/>
  <c r="C18" i="8" l="1"/>
  <c r="G14" i="8"/>
  <c r="C19" i="8"/>
  <c r="G19" i="8" s="1"/>
  <c r="C17" i="8"/>
  <c r="D15" i="17" l="1"/>
  <c r="G18" i="8"/>
  <c r="D14" i="17"/>
  <c r="G17" i="8"/>
  <c r="C16" i="8"/>
  <c r="D13" i="17" s="1"/>
  <c r="C14" i="8"/>
  <c r="D6" i="16" s="1"/>
  <c r="G14" i="7" l="1"/>
  <c r="C14" i="7"/>
  <c r="G15" i="7" l="1"/>
  <c r="C15" i="7"/>
  <c r="E12" i="17" s="1"/>
  <c r="E6" i="16"/>
  <c r="C15" i="8" l="1"/>
  <c r="D12" i="17" l="1"/>
  <c r="G15" i="8"/>
  <c r="C11" i="8" l="1"/>
  <c r="D10" i="17" l="1"/>
  <c r="G11" i="8"/>
  <c r="C9" i="8" l="1"/>
  <c r="C12" i="8"/>
  <c r="D8" i="17" l="1"/>
  <c r="G9" i="8"/>
  <c r="D11" i="17"/>
  <c r="G12" i="8"/>
  <c r="C8" i="7"/>
  <c r="E7" i="17" s="1"/>
  <c r="C8" i="6" l="1"/>
  <c r="F7" i="17" s="1"/>
  <c r="G8" i="6"/>
  <c r="G8" i="7"/>
  <c r="C12" i="6"/>
  <c r="F11" i="17" s="1"/>
  <c r="G12" i="6"/>
  <c r="G12" i="7"/>
  <c r="C9" i="6"/>
  <c r="F8" i="17" s="1"/>
  <c r="G9" i="7"/>
  <c r="G9" i="6"/>
  <c r="G10" i="6" l="1"/>
  <c r="C10" i="6"/>
  <c r="F9" i="17" s="1"/>
  <c r="G10" i="7"/>
  <c r="G22" i="6" l="1"/>
  <c r="C22" i="6"/>
  <c r="F16" i="17" s="1"/>
  <c r="C24" i="7" l="1"/>
  <c r="G24" i="7"/>
  <c r="G25" i="8" l="1"/>
  <c r="C25" i="8"/>
  <c r="C24" i="6" l="1"/>
  <c r="G24" i="6"/>
  <c r="C30" i="6" l="1"/>
  <c r="F9" i="16" s="1"/>
  <c r="C33" i="6"/>
  <c r="F22" i="17" s="1"/>
  <c r="C32" i="6"/>
  <c r="F21" i="17" s="1"/>
  <c r="C34" i="6"/>
  <c r="F23" i="17" s="1"/>
  <c r="C31" i="6"/>
  <c r="F20" i="17" s="1"/>
  <c r="C11" i="6" l="1"/>
  <c r="F10" i="17" s="1"/>
  <c r="G11" i="7"/>
  <c r="G11" i="6"/>
  <c r="G7" i="7"/>
  <c r="G7" i="6"/>
  <c r="C7" i="6"/>
  <c r="F5" i="16" s="1"/>
  <c r="G23" i="6"/>
  <c r="C23" i="6"/>
  <c r="F17" i="17" s="1"/>
  <c r="G21" i="6"/>
  <c r="C21" i="6"/>
  <c r="G36" i="6" l="1"/>
  <c r="F7" i="16"/>
  <c r="C36" i="6"/>
  <c r="F24" i="17" l="1"/>
  <c r="F10" i="16"/>
  <c r="C33" i="7" l="1"/>
  <c r="E22" i="17" s="1"/>
  <c r="G33" i="7"/>
  <c r="G31" i="7"/>
  <c r="C31" i="7"/>
  <c r="E20" i="17" s="1"/>
  <c r="G30" i="7"/>
  <c r="C30" i="7"/>
  <c r="E9" i="16" s="1"/>
  <c r="C32" i="7"/>
  <c r="E21" i="17" s="1"/>
  <c r="G32" i="7"/>
  <c r="G34" i="7"/>
  <c r="C34" i="7"/>
  <c r="E23" i="17" s="1"/>
  <c r="G21" i="7"/>
  <c r="G36" i="7" s="1"/>
  <c r="C21" i="7"/>
  <c r="C22" i="7"/>
  <c r="E16" i="17" s="1"/>
  <c r="G22" i="7"/>
  <c r="E7" i="16" l="1"/>
  <c r="C9" i="7" l="1"/>
  <c r="E8" i="17" s="1"/>
  <c r="C11" i="7" l="1"/>
  <c r="E10" i="17" s="1"/>
  <c r="C10" i="7"/>
  <c r="E9" i="17" s="1"/>
  <c r="C12" i="7"/>
  <c r="E11" i="17" s="1"/>
  <c r="C7" i="7"/>
  <c r="E5" i="16" l="1"/>
  <c r="C36" i="7"/>
  <c r="E10" i="16" l="1"/>
  <c r="E24" i="17"/>
  <c r="C21" i="8" l="1"/>
  <c r="D7" i="16" l="1"/>
  <c r="C23" i="8"/>
  <c r="D17" i="17" s="1"/>
  <c r="G23" i="8"/>
  <c r="G24" i="8" l="1"/>
  <c r="C22" i="8"/>
  <c r="D16" i="17" s="1"/>
  <c r="C24" i="8"/>
  <c r="C8" i="8" l="1"/>
  <c r="C7" i="8"/>
  <c r="C10" i="8"/>
  <c r="D9" i="17" l="1"/>
  <c r="G10" i="8"/>
  <c r="G7" i="8"/>
  <c r="D5" i="16"/>
  <c r="D7" i="17"/>
  <c r="G8" i="8"/>
  <c r="C34" i="8" l="1"/>
  <c r="C32" i="8"/>
  <c r="D20" i="17" s="1"/>
  <c r="G31" i="8"/>
  <c r="G38" i="8" s="1"/>
  <c r="C33" i="8"/>
  <c r="D21" i="17" s="1"/>
  <c r="G34" i="8" l="1"/>
  <c r="D22" i="17"/>
  <c r="C35" i="8"/>
  <c r="G33" i="8"/>
  <c r="C31" i="8"/>
  <c r="D9" i="16" l="1"/>
  <c r="C38" i="8"/>
  <c r="G35" i="8"/>
  <c r="D23" i="17"/>
  <c r="G23" i="7" l="1"/>
  <c r="C23" i="7"/>
  <c r="E17" i="17" s="1"/>
  <c r="G10" i="29" l="1"/>
  <c r="G9" i="29" l="1"/>
  <c r="G8" i="29" l="1"/>
  <c r="G7" i="29"/>
  <c r="G12" i="29"/>
  <c r="G11" i="29"/>
  <c r="G5" i="29" l="1"/>
  <c r="G4" i="29" l="1"/>
  <c r="G3" i="29"/>
  <c r="G2" i="29" l="1"/>
  <c r="C9" i="27" l="1"/>
  <c r="G9" i="27" s="1"/>
  <c r="C7" i="26" l="1"/>
  <c r="C10" i="27" l="1"/>
  <c r="G10" i="27" s="1"/>
  <c r="C10" i="29"/>
  <c r="C12" i="27"/>
  <c r="G12" i="27" s="1"/>
  <c r="C11" i="26"/>
  <c r="C8" i="27"/>
  <c r="G8" i="27" s="1"/>
  <c r="C11" i="27"/>
  <c r="G11" i="27" s="1"/>
  <c r="C7" i="27"/>
  <c r="G7" i="27" s="1"/>
  <c r="C9" i="29" l="1"/>
  <c r="C9" i="28"/>
  <c r="G9" i="28" s="1"/>
  <c r="C9" i="26"/>
  <c r="C7" i="29" l="1"/>
  <c r="C12" i="29"/>
  <c r="C11" i="29"/>
  <c r="C8" i="29"/>
  <c r="C7" i="28"/>
  <c r="G7" i="28" s="1"/>
  <c r="C12" i="28"/>
  <c r="G12" i="28" s="1"/>
  <c r="C11" i="28"/>
  <c r="G11" i="28" s="1"/>
  <c r="C8" i="28"/>
  <c r="G8" i="28" s="1"/>
  <c r="C12" i="26"/>
  <c r="C8" i="26"/>
  <c r="C10" i="26"/>
  <c r="C12" i="25"/>
  <c r="G12" i="25" s="1"/>
  <c r="C11" i="25"/>
  <c r="G11" i="25" s="1"/>
  <c r="C7" i="25"/>
  <c r="G7" i="25" l="1"/>
  <c r="C9" i="25" l="1"/>
  <c r="G9" i="25" s="1"/>
  <c r="C10" i="28" l="1"/>
  <c r="G10" i="28" s="1"/>
  <c r="C8" i="25" l="1"/>
  <c r="G8" i="25" s="1"/>
  <c r="C10" i="25"/>
  <c r="G10" i="25" s="1"/>
  <c r="C9" i="30" l="1"/>
  <c r="G9" i="30" s="1"/>
  <c r="C10" i="30" l="1"/>
  <c r="G10" i="30" s="1"/>
  <c r="C12" i="30" l="1"/>
  <c r="G12" i="30" s="1"/>
  <c r="C8" i="30" l="1"/>
  <c r="G8" i="30" s="1"/>
  <c r="C11" i="30" l="1"/>
  <c r="G11" i="30" s="1"/>
  <c r="C7" i="30" l="1"/>
  <c r="G7" i="30" l="1"/>
  <c r="G29" i="28" l="1"/>
  <c r="C33" i="25" l="1"/>
  <c r="G33" i="25" s="1"/>
  <c r="G32" i="26"/>
  <c r="C32" i="26"/>
  <c r="C31" i="30" l="1"/>
  <c r="G31" i="30" s="1"/>
  <c r="C30" i="30"/>
  <c r="G30" i="30" s="1"/>
  <c r="C29" i="30"/>
  <c r="C32" i="30"/>
  <c r="G32" i="30" s="1"/>
  <c r="G29" i="30"/>
  <c r="C33" i="30" l="1"/>
  <c r="G33" i="30" s="1"/>
  <c r="C30" i="29" l="1"/>
  <c r="C33" i="28"/>
  <c r="G33" i="28" s="1"/>
  <c r="C30" i="28"/>
  <c r="G30" i="28" s="1"/>
  <c r="C32" i="28"/>
  <c r="G32" i="28" s="1"/>
  <c r="C31" i="28"/>
  <c r="G31" i="28" s="1"/>
  <c r="C29" i="28"/>
  <c r="G29" i="29" l="1"/>
  <c r="C29" i="29"/>
  <c r="G31" i="29"/>
  <c r="C31" i="29"/>
  <c r="C33" i="29"/>
  <c r="G33" i="29"/>
  <c r="G32" i="29"/>
  <c r="C32" i="29"/>
  <c r="C31" i="27" l="1"/>
  <c r="G31" i="27" s="1"/>
  <c r="G29" i="27"/>
  <c r="C30" i="27"/>
  <c r="C29" i="27"/>
  <c r="C33" i="27"/>
  <c r="G33" i="27" s="1"/>
  <c r="C32" i="27"/>
  <c r="G32" i="27" s="1"/>
  <c r="C31" i="25" l="1"/>
  <c r="C30" i="26"/>
  <c r="C33" i="26"/>
  <c r="G33" i="26"/>
  <c r="C34" i="25"/>
  <c r="G34" i="25" s="1"/>
  <c r="G29" i="26" l="1"/>
  <c r="C30" i="25" l="1"/>
  <c r="C29" i="26"/>
  <c r="G31" i="26"/>
  <c r="C32" i="25"/>
  <c r="G32" i="25" s="1"/>
  <c r="C31" i="26"/>
  <c r="C5" i="30" l="1"/>
  <c r="G5" i="30" s="1"/>
  <c r="C3" i="30" l="1"/>
  <c r="G3" i="30" s="1"/>
  <c r="C5" i="29" l="1"/>
  <c r="C5" i="28"/>
  <c r="G5" i="28" s="1"/>
  <c r="C3" i="28"/>
  <c r="G3" i="28" s="1"/>
  <c r="C3" i="29" l="1"/>
  <c r="C3" i="27"/>
  <c r="G3" i="27" s="1"/>
  <c r="C3" i="25" l="1"/>
  <c r="C3" i="26" l="1"/>
  <c r="G3" i="26" s="1"/>
  <c r="C5" i="26"/>
  <c r="G5" i="26" s="1"/>
  <c r="C4" i="30" l="1"/>
  <c r="G4" i="30" s="1"/>
  <c r="C2" i="30"/>
  <c r="C2" i="29"/>
  <c r="C4" i="29"/>
  <c r="C2" i="28"/>
  <c r="C4" i="28"/>
  <c r="G4" i="28" s="1"/>
  <c r="C2" i="27"/>
  <c r="C2" i="26"/>
  <c r="C4" i="26"/>
  <c r="G4" i="26" s="1"/>
  <c r="C4" i="25"/>
  <c r="G2" i="26" l="1"/>
  <c r="G2" i="28"/>
  <c r="G2" i="27"/>
  <c r="G2" i="30"/>
  <c r="C5" i="27" l="1"/>
  <c r="G5" i="27" s="1"/>
  <c r="C5" i="25" l="1"/>
  <c r="C4" i="27" l="1"/>
  <c r="G4" i="27" s="1"/>
  <c r="C10" i="31" l="1"/>
  <c r="C8" i="31"/>
  <c r="G3" i="31" l="1"/>
  <c r="G5" i="31"/>
  <c r="G14" i="27" l="1"/>
  <c r="G14" i="26"/>
  <c r="C9" i="31" l="1"/>
  <c r="G4" i="31" l="1"/>
  <c r="G2" i="31"/>
  <c r="C14" i="31" l="1"/>
  <c r="C18" i="31"/>
  <c r="C16" i="31" l="1"/>
  <c r="C15" i="31"/>
  <c r="C17" i="31"/>
  <c r="C14" i="30" l="1"/>
  <c r="G14" i="30"/>
  <c r="C17" i="30"/>
  <c r="G17" i="30" s="1"/>
  <c r="C18" i="30"/>
  <c r="G18" i="30" s="1"/>
  <c r="C16" i="30"/>
  <c r="C15" i="30"/>
  <c r="G15" i="30" s="1"/>
  <c r="C16" i="29" l="1"/>
  <c r="G17" i="29" l="1"/>
  <c r="C17" i="29"/>
  <c r="C15" i="29"/>
  <c r="G15" i="29"/>
  <c r="G14" i="29"/>
  <c r="C14" i="29"/>
  <c r="G18" i="29"/>
  <c r="C18" i="29"/>
  <c r="C18" i="28" l="1"/>
  <c r="G18" i="28"/>
  <c r="C14" i="27"/>
  <c r="C18" i="27"/>
  <c r="G18" i="27" s="1"/>
  <c r="C17" i="27"/>
  <c r="G17" i="27" s="1"/>
  <c r="C16" i="27"/>
  <c r="C15" i="27"/>
  <c r="G15" i="27" s="1"/>
  <c r="C14" i="26" l="1"/>
  <c r="C16" i="26"/>
  <c r="G17" i="26" l="1"/>
  <c r="C17" i="26"/>
  <c r="G18" i="26"/>
  <c r="C18" i="26"/>
  <c r="G15" i="26"/>
  <c r="C15" i="26"/>
  <c r="C17" i="25" l="1"/>
  <c r="C19" i="25"/>
  <c r="C16" i="25"/>
  <c r="C18" i="25"/>
  <c r="C14" i="25"/>
  <c r="C15" i="25"/>
  <c r="C16" i="28" l="1"/>
  <c r="G14" i="28"/>
  <c r="C14" i="28"/>
  <c r="C15" i="28"/>
  <c r="G15" i="28" s="1"/>
  <c r="G17" i="28" l="1"/>
  <c r="C17" i="28"/>
  <c r="C23" i="30" l="1"/>
  <c r="G23" i="30" s="1"/>
  <c r="C20" i="30" l="1"/>
  <c r="G20" i="30" l="1"/>
  <c r="G35" i="30" s="1"/>
  <c r="C35" i="30"/>
  <c r="C22" i="30"/>
  <c r="G22" i="30" s="1"/>
  <c r="C21" i="30"/>
  <c r="G21" i="30" s="1"/>
  <c r="G21" i="29" l="1"/>
  <c r="C21" i="29"/>
  <c r="G20" i="29"/>
  <c r="G35" i="29" s="1"/>
  <c r="C20" i="29"/>
  <c r="C35" i="29" s="1"/>
  <c r="C23" i="31" l="1"/>
  <c r="G23" i="31"/>
  <c r="G29" i="31" l="1"/>
  <c r="C29" i="31"/>
  <c r="C30" i="31" l="1"/>
  <c r="G30" i="31"/>
  <c r="C33" i="31"/>
  <c r="G33" i="31"/>
  <c r="G31" i="31"/>
  <c r="C31" i="31"/>
  <c r="G32" i="31"/>
  <c r="C32" i="31"/>
  <c r="C22" i="31" l="1"/>
  <c r="G22" i="31"/>
  <c r="G20" i="31" l="1"/>
  <c r="G35" i="31" s="1"/>
  <c r="C20" i="31"/>
  <c r="C21" i="31"/>
  <c r="G21" i="31"/>
  <c r="G23" i="29" l="1"/>
  <c r="C23" i="29"/>
  <c r="C23" i="28" l="1"/>
  <c r="G23" i="28" s="1"/>
  <c r="C21" i="28" l="1"/>
  <c r="G21" i="28" s="1"/>
  <c r="C22" i="28"/>
  <c r="G22" i="28" s="1"/>
  <c r="C20" i="28"/>
  <c r="G20" i="28" l="1"/>
  <c r="G35" i="28" s="1"/>
  <c r="C35" i="28"/>
  <c r="C22" i="29"/>
  <c r="G22" i="29"/>
  <c r="C21" i="27"/>
  <c r="G21" i="27" s="1"/>
  <c r="C20" i="27" l="1"/>
  <c r="G20" i="27" l="1"/>
  <c r="G35" i="27" s="1"/>
  <c r="C35" i="27"/>
  <c r="C23" i="27"/>
  <c r="G23" i="27" s="1"/>
  <c r="C22" i="27"/>
  <c r="G22" i="27" s="1"/>
  <c r="C24" i="25" l="1"/>
  <c r="G24" i="25" s="1"/>
  <c r="C23" i="26"/>
  <c r="G23" i="26"/>
  <c r="G22" i="26" l="1"/>
  <c r="C23" i="25"/>
  <c r="G23" i="25" s="1"/>
  <c r="C22" i="26"/>
  <c r="C22" i="25"/>
  <c r="G22" i="25" s="1"/>
  <c r="G21" i="26"/>
  <c r="C21" i="26"/>
  <c r="G20" i="26"/>
  <c r="G35" i="26" s="1"/>
  <c r="C21" i="25"/>
  <c r="C20" i="26"/>
  <c r="C35" i="26" s="1"/>
  <c r="G21" i="25" l="1"/>
  <c r="G36" i="25" s="1"/>
  <c r="C36" i="25"/>
  <c r="C12" i="31" l="1"/>
  <c r="C11" i="31" l="1"/>
  <c r="C7" i="31"/>
  <c r="C35" i="31" s="1"/>
  <c r="G36" i="30" l="1"/>
  <c r="G37" i="25"/>
  <c r="G36" i="28"/>
  <c r="G36" i="29"/>
  <c r="G36" i="31"/>
  <c r="G36" i="26"/>
  <c r="G36" i="27"/>
  <c r="C36" i="29" l="1"/>
  <c r="C36" i="31"/>
  <c r="C36" i="30"/>
  <c r="C37" i="25"/>
  <c r="C36" i="28"/>
  <c r="C36" i="26"/>
  <c r="C36" i="27"/>
  <c r="C25" i="33" l="1"/>
  <c r="C24" i="33" l="1"/>
  <c r="C22" i="33"/>
  <c r="C23" i="33" l="1"/>
  <c r="C15" i="33" l="1"/>
  <c r="C18" i="33" l="1"/>
  <c r="C19" i="33"/>
  <c r="C17" i="33"/>
  <c r="C16" i="33" l="1"/>
  <c r="C3" i="32" l="1"/>
  <c r="G3" i="32" s="1"/>
  <c r="C5" i="32"/>
  <c r="G5" i="32" s="1"/>
  <c r="C3" i="9" l="1"/>
  <c r="G3" i="9" l="1"/>
  <c r="C4" i="17"/>
  <c r="O4" i="17" s="1"/>
  <c r="R4" i="17" s="1"/>
  <c r="C4" i="33" l="1"/>
  <c r="G4" i="33" s="1"/>
  <c r="C2" i="32"/>
  <c r="C4" i="9"/>
  <c r="C4" i="32"/>
  <c r="G4" i="32" s="1"/>
  <c r="C5" i="17" l="1"/>
  <c r="O5" i="17" s="1"/>
  <c r="R5" i="17" s="1"/>
  <c r="G4" i="9"/>
  <c r="G2" i="32"/>
  <c r="C5" i="33" l="1"/>
  <c r="G5" i="33" s="1"/>
  <c r="C3" i="33"/>
  <c r="G3" i="33" s="1"/>
  <c r="C2" i="33" l="1"/>
  <c r="G2" i="33" l="1"/>
  <c r="C5" i="9" l="1"/>
  <c r="C2" i="9" l="1"/>
  <c r="C6" i="17"/>
  <c r="O6" i="17" s="1"/>
  <c r="R6" i="17" s="1"/>
  <c r="G5" i="9"/>
  <c r="C4" i="16" l="1"/>
  <c r="O4" i="16" s="1"/>
  <c r="G2" i="9"/>
  <c r="C9" i="33" l="1"/>
  <c r="G9" i="33" s="1"/>
  <c r="O10" i="34"/>
  <c r="C11" i="33" l="1"/>
  <c r="G11" i="33" s="1"/>
  <c r="O9" i="34"/>
  <c r="O11" i="34"/>
  <c r="C12" i="33"/>
  <c r="G12" i="33" s="1"/>
  <c r="C12" i="32"/>
  <c r="G12" i="32" s="1"/>
  <c r="O8" i="34"/>
  <c r="O12" i="34"/>
  <c r="C7" i="32"/>
  <c r="C10" i="33"/>
  <c r="G10" i="33" s="1"/>
  <c r="C7" i="33"/>
  <c r="C11" i="32"/>
  <c r="G11" i="32" s="1"/>
  <c r="O13" i="34"/>
  <c r="C8" i="33"/>
  <c r="G8" i="33" s="1"/>
  <c r="G7" i="33" l="1"/>
  <c r="G37" i="33" s="1"/>
  <c r="G7" i="32"/>
  <c r="G37" i="32" s="1"/>
  <c r="C8" i="32" l="1"/>
  <c r="G8" i="32" s="1"/>
  <c r="C10" i="32"/>
  <c r="G10" i="32" s="1"/>
  <c r="C9" i="32"/>
  <c r="G9" i="32" s="1"/>
  <c r="C9" i="9" l="1"/>
  <c r="C12" i="9" l="1"/>
  <c r="G9" i="9"/>
  <c r="C8" i="17"/>
  <c r="O8" i="17" s="1"/>
  <c r="R8" i="17" s="1"/>
  <c r="C10" i="9"/>
  <c r="C7" i="9" l="1"/>
  <c r="C8" i="9"/>
  <c r="G10" i="9"/>
  <c r="C9" i="17"/>
  <c r="O9" i="17" s="1"/>
  <c r="R9" i="17" s="1"/>
  <c r="C11" i="9"/>
  <c r="G12" i="9"/>
  <c r="C11" i="17"/>
  <c r="O11" i="17" s="1"/>
  <c r="R11" i="17" s="1"/>
  <c r="G11" i="9" l="1"/>
  <c r="C10" i="17"/>
  <c r="O10" i="17" s="1"/>
  <c r="R10" i="17" s="1"/>
  <c r="C7" i="17"/>
  <c r="O7" i="17" s="1"/>
  <c r="R7" i="17" s="1"/>
  <c r="G8" i="9"/>
  <c r="G7" i="9"/>
  <c r="G37" i="9" s="1"/>
  <c r="C5" i="16"/>
  <c r="O5" i="16" s="1"/>
  <c r="G37" i="6" l="1"/>
  <c r="G39" i="8"/>
  <c r="G37" i="7"/>
  <c r="M10" i="34" l="1"/>
  <c r="M11" i="34" l="1"/>
  <c r="M9" i="34"/>
  <c r="M8" i="34" l="1"/>
  <c r="M12" i="34" l="1"/>
  <c r="M13" i="34"/>
  <c r="N18" i="34" l="1"/>
  <c r="N19" i="34"/>
  <c r="N20" i="34"/>
  <c r="N16" i="34"/>
  <c r="N21" i="34"/>
  <c r="N17" i="34"/>
  <c r="M16" i="34" l="1"/>
  <c r="M18" i="34"/>
  <c r="M20" i="34"/>
  <c r="M21" i="34"/>
  <c r="M17" i="34"/>
  <c r="M19" i="34"/>
  <c r="L21" i="34" l="1"/>
  <c r="L19" i="34"/>
  <c r="L20" i="34"/>
  <c r="L17" i="34"/>
  <c r="L18" i="34"/>
  <c r="L16" i="34"/>
  <c r="L25" i="34" l="1"/>
  <c r="L27" i="34"/>
  <c r="L26" i="34"/>
  <c r="O24" i="34" l="1"/>
  <c r="O28" i="34"/>
  <c r="L28" i="34"/>
  <c r="L24" i="34"/>
  <c r="M28" i="34"/>
  <c r="M24" i="34"/>
  <c r="C14" i="33" l="1"/>
  <c r="C35" i="33" l="1"/>
  <c r="C32" i="33"/>
  <c r="C31" i="33"/>
  <c r="C33" i="33"/>
  <c r="C34" i="33"/>
  <c r="C21" i="33" l="1"/>
  <c r="C37" i="33" s="1"/>
  <c r="O17" i="34" l="1"/>
  <c r="O21" i="34"/>
  <c r="O19" i="34"/>
  <c r="O20" i="34"/>
  <c r="O18" i="34"/>
  <c r="C25" i="9" l="1"/>
  <c r="O26" i="34" l="1"/>
  <c r="O27" i="34" l="1"/>
  <c r="O25" i="34"/>
  <c r="M26" i="34"/>
  <c r="M25" i="34"/>
  <c r="M27" i="34"/>
  <c r="C25" i="32" l="1"/>
  <c r="N26" i="34" l="1"/>
  <c r="N24" i="34" l="1"/>
  <c r="N28" i="34"/>
  <c r="N25" i="34"/>
  <c r="N27" i="34"/>
  <c r="C15" i="32" l="1"/>
  <c r="C14" i="32" l="1"/>
  <c r="C22" i="32" l="1"/>
  <c r="C24" i="32"/>
  <c r="C23" i="32"/>
  <c r="C21" i="32" l="1"/>
  <c r="C17" i="32" l="1"/>
  <c r="C19" i="32"/>
  <c r="C18" i="32"/>
  <c r="C16" i="32" l="1"/>
  <c r="C31" i="32" l="1"/>
  <c r="C37" i="32" s="1"/>
  <c r="C34" i="32"/>
  <c r="C35" i="32"/>
  <c r="C32" i="32"/>
  <c r="C33" i="32"/>
  <c r="C16" i="9" l="1"/>
  <c r="C13" i="17" s="1"/>
  <c r="O13" i="17" s="1"/>
  <c r="S13" i="17" s="1"/>
  <c r="C15" i="9"/>
  <c r="C12" i="17" s="1"/>
  <c r="O12" i="17" s="1"/>
  <c r="R12" i="17" s="1"/>
  <c r="C18" i="9"/>
  <c r="C15" i="17" s="1"/>
  <c r="O15" i="17" s="1"/>
  <c r="R15" i="17" s="1"/>
  <c r="C17" i="9"/>
  <c r="C14" i="17" s="1"/>
  <c r="O14" i="17" s="1"/>
  <c r="R14" i="17" s="1"/>
  <c r="C19" i="9"/>
  <c r="C14" i="9"/>
  <c r="C6" i="16" l="1"/>
  <c r="O6" i="16" s="1"/>
  <c r="C21" i="9" l="1"/>
  <c r="C23" i="9"/>
  <c r="C17" i="17" s="1"/>
  <c r="O17" i="17" s="1"/>
  <c r="R17" i="17" s="1"/>
  <c r="C24" i="9"/>
  <c r="C22" i="9"/>
  <c r="C16" i="17" s="1"/>
  <c r="O16" i="17" s="1"/>
  <c r="R16" i="17" s="1"/>
  <c r="C7" i="16" l="1"/>
  <c r="O7" i="16" s="1"/>
  <c r="C34" i="9" l="1"/>
  <c r="C22" i="17" s="1"/>
  <c r="O22" i="17" s="1"/>
  <c r="R22" i="17" s="1"/>
  <c r="C35" i="9" l="1"/>
  <c r="C23" i="17" s="1"/>
  <c r="O23" i="17" s="1"/>
  <c r="R23" i="17" s="1"/>
  <c r="C32" i="9"/>
  <c r="C20" i="17" s="1"/>
  <c r="O20" i="17" s="1"/>
  <c r="S20" i="17" s="1"/>
  <c r="C31" i="9"/>
  <c r="C33" i="9"/>
  <c r="C21" i="17" s="1"/>
  <c r="O21" i="17" s="1"/>
  <c r="R21" i="17" s="1"/>
  <c r="C9" i="16" l="1"/>
  <c r="O9" i="16" s="1"/>
  <c r="C37" i="9"/>
  <c r="C37" i="7" l="1"/>
  <c r="C37" i="6"/>
  <c r="C38" i="32"/>
  <c r="C39" i="8"/>
  <c r="C10" i="16"/>
  <c r="O10" i="16" s="1"/>
  <c r="C38" i="33"/>
  <c r="C24" i="17"/>
  <c r="O24" i="17" s="1"/>
  <c r="F10" i="34" l="1"/>
  <c r="F9" i="34" l="1"/>
  <c r="F11" i="34"/>
  <c r="D5" i="34" l="1"/>
  <c r="F5" i="34" l="1"/>
  <c r="F3" i="34"/>
  <c r="C3" i="34" l="1"/>
  <c r="F2" i="34" l="1"/>
  <c r="F4" i="34"/>
  <c r="D4" i="34" l="1"/>
  <c r="C4" i="34"/>
  <c r="L2" i="34" l="1"/>
  <c r="M2" i="34"/>
  <c r="O2" i="34"/>
  <c r="E2" i="34"/>
  <c r="N2" i="34"/>
  <c r="L4" i="34"/>
  <c r="M4" i="34"/>
  <c r="N4" i="34"/>
  <c r="O4" i="34"/>
  <c r="E4" i="34"/>
  <c r="N3" i="34" l="1"/>
  <c r="E3" i="34"/>
  <c r="L3" i="34"/>
  <c r="M3" i="34"/>
  <c r="O3" i="34"/>
  <c r="L5" i="34"/>
  <c r="M5" i="34"/>
  <c r="N5" i="34"/>
  <c r="O5" i="34"/>
  <c r="E5" i="34"/>
  <c r="C5" i="34" l="1"/>
  <c r="F12" i="34" l="1"/>
  <c r="F13" i="34" l="1"/>
  <c r="F8" i="34"/>
  <c r="D10" i="34"/>
  <c r="D11" i="34"/>
  <c r="E10" i="34"/>
  <c r="E8" i="34" l="1"/>
  <c r="D13" i="34"/>
  <c r="D9" i="34"/>
  <c r="D12" i="34"/>
  <c r="D8" i="34"/>
  <c r="E12" i="34"/>
  <c r="E9" i="34"/>
  <c r="E11" i="34"/>
  <c r="E13" i="34"/>
  <c r="C11" i="34" l="1"/>
  <c r="C10" i="34" l="1"/>
  <c r="C13" i="34" l="1"/>
  <c r="C9" i="34"/>
  <c r="C12" i="34" l="1"/>
  <c r="C8" i="34"/>
  <c r="F17" i="34" l="1"/>
  <c r="G18" i="34" l="1"/>
  <c r="G17" i="34"/>
  <c r="E17" i="34"/>
  <c r="E18" i="34"/>
  <c r="E21" i="34"/>
  <c r="E19" i="34"/>
  <c r="E20" i="34"/>
  <c r="E16" i="34"/>
  <c r="L37" i="34" l="1"/>
  <c r="M37" i="34"/>
  <c r="O37" i="34"/>
  <c r="N37" i="34"/>
  <c r="N38" i="34"/>
  <c r="O38" i="34"/>
  <c r="L38" i="34"/>
  <c r="M38" i="34"/>
  <c r="L40" i="34"/>
  <c r="O40" i="34"/>
  <c r="N40" i="34"/>
  <c r="M40" i="34"/>
  <c r="L39" i="34"/>
  <c r="N39" i="34"/>
  <c r="M39" i="34"/>
  <c r="O39" i="34"/>
  <c r="L36" i="34"/>
  <c r="L42" i="34" s="1"/>
  <c r="M36" i="34"/>
  <c r="M42" i="34" s="1"/>
  <c r="N36" i="34"/>
  <c r="N42" i="34" s="1"/>
  <c r="O36" i="34"/>
  <c r="O42" i="34" s="1"/>
  <c r="D17" i="34" l="1"/>
  <c r="D16" i="34" l="1"/>
  <c r="K18" i="34"/>
  <c r="I25" i="34" l="1"/>
  <c r="D20" i="34"/>
  <c r="D21" i="34"/>
  <c r="D19" i="34"/>
  <c r="K19" i="34"/>
  <c r="K21" i="34"/>
  <c r="K16" i="34"/>
  <c r="K17" i="34"/>
  <c r="K20" i="34"/>
  <c r="J25" i="34" l="1"/>
  <c r="I27" i="34"/>
  <c r="I26" i="34"/>
  <c r="D18" i="34"/>
  <c r="I24" i="34" l="1"/>
  <c r="I28" i="34"/>
  <c r="C20" i="34"/>
  <c r="C18" i="34"/>
  <c r="C21" i="34"/>
  <c r="C19" i="34"/>
  <c r="C17" i="34"/>
  <c r="C16" i="34"/>
  <c r="J27" i="34"/>
  <c r="J26" i="34"/>
  <c r="J28" i="34" l="1"/>
  <c r="J24" i="34"/>
  <c r="F18" i="34"/>
  <c r="F19" i="34"/>
  <c r="F21" i="34"/>
  <c r="F16" i="34"/>
  <c r="F20" i="34"/>
  <c r="G10" i="34" l="1"/>
  <c r="G12" i="34"/>
  <c r="G13" i="34"/>
  <c r="J17" i="34"/>
  <c r="J21" i="34"/>
  <c r="J18" i="34"/>
  <c r="J20" i="34"/>
  <c r="G11" i="34" l="1"/>
  <c r="G8" i="34"/>
  <c r="G9" i="34"/>
  <c r="G3" i="34" l="1"/>
  <c r="G2" i="34" l="1"/>
  <c r="G4" i="34"/>
  <c r="G5" i="34" l="1"/>
  <c r="G16" i="34" l="1"/>
  <c r="G21" i="34"/>
  <c r="G19" i="34"/>
  <c r="G20" i="34"/>
  <c r="I20" i="34" l="1"/>
  <c r="I16" i="34" l="1"/>
  <c r="I18" i="34"/>
  <c r="I21" i="34" l="1"/>
  <c r="I19" i="34"/>
  <c r="I17" i="34"/>
  <c r="H3" i="34" l="1"/>
  <c r="J3" i="34" l="1"/>
  <c r="I3" i="34" l="1"/>
  <c r="I5" i="34"/>
  <c r="I2" i="34" l="1"/>
  <c r="J2" i="34"/>
  <c r="H2" i="34"/>
  <c r="I4" i="34"/>
  <c r="D2" i="34"/>
  <c r="H4" i="34"/>
  <c r="J5" i="34" l="1"/>
  <c r="H5" i="34" l="1"/>
  <c r="J4" i="34" l="1"/>
  <c r="C2" i="34" l="1"/>
  <c r="H18" i="34" l="1"/>
  <c r="H19" i="34"/>
  <c r="H21" i="34"/>
  <c r="H17" i="34"/>
  <c r="H20" i="34"/>
  <c r="H16" i="34"/>
  <c r="J16" i="34" l="1"/>
  <c r="J19" i="34" l="1"/>
  <c r="I12" i="34" l="1"/>
  <c r="I10" i="34"/>
  <c r="H10" i="34"/>
  <c r="I13" i="34" l="1"/>
  <c r="H11" i="34"/>
  <c r="I11" i="34"/>
  <c r="J8" i="34"/>
  <c r="H9" i="34"/>
  <c r="H12" i="34"/>
  <c r="I9" i="34"/>
  <c r="I8" i="34"/>
  <c r="H13" i="34"/>
  <c r="H8" i="34"/>
  <c r="J10" i="34" l="1"/>
  <c r="J13" i="34" l="1"/>
  <c r="J12" i="34"/>
  <c r="J9" i="34"/>
  <c r="J11" i="34"/>
  <c r="F40" i="34" l="1"/>
  <c r="F37" i="34"/>
  <c r="F39" i="34"/>
  <c r="F38" i="34"/>
  <c r="F36" i="34"/>
  <c r="F42" i="34" s="1"/>
  <c r="G27" i="34" l="1"/>
  <c r="G25" i="34"/>
  <c r="G26" i="34"/>
  <c r="G28" i="34" l="1"/>
  <c r="G24" i="34"/>
  <c r="C28" i="34" l="1"/>
  <c r="H27" i="34" l="1"/>
  <c r="H25" i="34"/>
  <c r="H24" i="34"/>
  <c r="H26" i="34"/>
  <c r="I36" i="34" l="1"/>
  <c r="I42" i="34" s="1"/>
  <c r="H39" i="34"/>
  <c r="G36" i="34"/>
  <c r="G42" i="34" s="1"/>
  <c r="H37" i="34"/>
  <c r="H38" i="34"/>
  <c r="H40" i="34"/>
  <c r="H36" i="34"/>
  <c r="H42" i="34" s="1"/>
  <c r="D28" i="34" l="1"/>
  <c r="I39" i="34" l="1"/>
  <c r="I38" i="34" l="1"/>
  <c r="I37" i="34"/>
  <c r="J38" i="34" l="1"/>
  <c r="J40" i="34"/>
  <c r="J39" i="34"/>
  <c r="I40" i="34" l="1"/>
  <c r="G38" i="34" l="1"/>
  <c r="G37" i="34"/>
  <c r="G40" i="34"/>
  <c r="G39" i="34"/>
  <c r="K25" i="34"/>
  <c r="K27" i="34" l="1"/>
  <c r="E27" i="34"/>
  <c r="E37" i="34"/>
  <c r="E38" i="34"/>
  <c r="E40" i="34"/>
  <c r="E39" i="34"/>
  <c r="E36" i="34"/>
  <c r="E25" i="34"/>
  <c r="E26" i="34"/>
  <c r="K26" i="34"/>
  <c r="K28" i="34" l="1"/>
  <c r="K24" i="34"/>
  <c r="E24" i="34"/>
  <c r="E42" i="34" s="1"/>
  <c r="E28" i="34"/>
  <c r="D26" i="34" l="1"/>
  <c r="D27" i="34" l="1"/>
  <c r="D25" i="34"/>
  <c r="D24" i="34"/>
  <c r="D39" i="34" l="1"/>
  <c r="D38" i="34"/>
  <c r="D40" i="34"/>
  <c r="D37" i="34"/>
  <c r="D36" i="34"/>
  <c r="D42" i="34" s="1"/>
  <c r="C25" i="34" l="1"/>
  <c r="C26" i="34"/>
  <c r="C24" i="34"/>
  <c r="C27" i="34"/>
  <c r="C40" i="34" l="1"/>
  <c r="C37" i="34"/>
  <c r="C38" i="34"/>
  <c r="C36" i="34"/>
  <c r="C42" i="34" s="1"/>
  <c r="C39" i="34"/>
  <c r="I43" i="34" l="1"/>
  <c r="G43" i="34"/>
  <c r="D43" i="34"/>
  <c r="H43" i="34"/>
  <c r="E43" i="34"/>
  <c r="F43" i="34"/>
  <c r="J37" i="34" l="1"/>
  <c r="J36" i="34"/>
  <c r="J42" i="34" s="1"/>
  <c r="J43" i="34" l="1"/>
  <c r="K10" i="34" l="1"/>
  <c r="K11" i="34" l="1"/>
  <c r="K9" i="34"/>
  <c r="K38" i="34" l="1"/>
  <c r="K37" i="34" l="1"/>
  <c r="K40" i="34"/>
  <c r="K36" i="34"/>
  <c r="K39" i="34"/>
  <c r="H45" i="34" l="1"/>
  <c r="K5" i="34" l="1"/>
  <c r="K3" i="34"/>
  <c r="K2" i="34" l="1"/>
  <c r="K4" i="34"/>
  <c r="K12" i="34" l="1"/>
  <c r="K13" i="34"/>
  <c r="K8" i="34"/>
  <c r="K42" i="34" s="1"/>
  <c r="N43" i="34" l="1"/>
  <c r="L43" i="34"/>
  <c r="K43" i="34"/>
  <c r="M43" i="34"/>
  <c r="O43"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Reshelle Fleming</author>
  </authors>
  <commentList>
    <comment ref="A5" authorId="0" shapeId="0" xr:uid="{FA024BAB-581C-421C-A58F-3CDF145E1EC7}">
      <text>
        <r>
          <rPr>
            <b/>
            <sz val="9"/>
            <color indexed="81"/>
            <rFont val="Tahoma"/>
            <family val="2"/>
          </rPr>
          <t>Reshelle Fleming:</t>
        </r>
        <r>
          <rPr>
            <sz val="9"/>
            <color indexed="81"/>
            <rFont val="Tahoma"/>
            <family val="2"/>
          </rPr>
          <t xml:space="preserve">
Lagers less than or equal to 14ppm
Guinness less than or equal to 18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H15" authorId="0" shapeId="0" xr:uid="{E7137047-AE4B-4B1B-B279-9ACD61209D4C}">
      <text>
        <r>
          <rPr>
            <b/>
            <sz val="9"/>
            <color indexed="81"/>
            <rFont val="Tahoma"/>
            <family val="2"/>
          </rPr>
          <t>Royd:</t>
        </r>
        <r>
          <rPr>
            <sz val="9"/>
            <color indexed="81"/>
            <rFont val="Tahoma"/>
            <family val="2"/>
          </rPr>
          <t xml:space="preserve">
DO machine not functional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C24" authorId="0" shapeId="0" xr:uid="{47118226-CBE6-45B4-AE35-D2BD7FCB3438}">
      <text>
        <r>
          <rPr>
            <b/>
            <sz val="9"/>
            <color indexed="81"/>
            <rFont val="Tahoma"/>
            <family val="2"/>
          </rPr>
          <t>Kaylil Baptiste:</t>
        </r>
        <r>
          <rPr>
            <sz val="9"/>
            <color indexed="81"/>
            <rFont val="Tahoma"/>
            <family val="2"/>
          </rPr>
          <t xml:space="preserve">
Spec change altered results- original reported 90%</t>
        </r>
      </text>
    </comment>
    <comment ref="D24" authorId="0" shapeId="0" xr:uid="{9BFC124B-2B25-42D2-AE5B-49B448AD3E5E}">
      <text>
        <r>
          <rPr>
            <b/>
            <sz val="9"/>
            <color indexed="81"/>
            <rFont val="Tahoma"/>
            <family val="2"/>
          </rPr>
          <t>Kaylil Baptiste:</t>
        </r>
        <r>
          <rPr>
            <sz val="9"/>
            <color indexed="81"/>
            <rFont val="Tahoma"/>
            <family val="2"/>
          </rPr>
          <t xml:space="preserve">
Change was made after reporting </t>
        </r>
      </text>
    </comment>
    <comment ref="C25" authorId="0" shapeId="0" xr:uid="{C8F0A459-2A60-4C49-B414-FD2E724BF329}">
      <text>
        <r>
          <rPr>
            <b/>
            <sz val="9"/>
            <color indexed="81"/>
            <rFont val="Tahoma"/>
            <family val="2"/>
          </rPr>
          <t>Kaylil Baptiste:</t>
        </r>
        <r>
          <rPr>
            <sz val="9"/>
            <color indexed="81"/>
            <rFont val="Tahoma"/>
            <family val="2"/>
          </rPr>
          <t xml:space="preserve">
originally 89%</t>
        </r>
      </text>
    </comment>
    <comment ref="H25" authorId="0" shapeId="0" xr:uid="{22D3ACAA-ADC0-4C50-8D50-5B9C45BC9EE0}">
      <text>
        <r>
          <rPr>
            <b/>
            <sz val="9"/>
            <color indexed="81"/>
            <rFont val="Tahoma"/>
            <family val="2"/>
          </rPr>
          <t>Kaylil Baptiste:</t>
        </r>
        <r>
          <rPr>
            <sz val="9"/>
            <color indexed="81"/>
            <rFont val="Tahoma"/>
            <family val="2"/>
          </rPr>
          <t xml:space="preserve">
Commissioning period</t>
        </r>
      </text>
    </comment>
    <comment ref="L31" authorId="0" shapeId="0" xr:uid="{6E2CB9CF-0B14-4F38-9A44-54619EFB08F4}">
      <text>
        <r>
          <rPr>
            <b/>
            <sz val="9"/>
            <color indexed="81"/>
            <rFont val="Tahoma"/>
            <family val="2"/>
          </rPr>
          <t>Kaylil Baptiste:</t>
        </r>
        <r>
          <rPr>
            <sz val="9"/>
            <color indexed="81"/>
            <rFont val="Tahoma"/>
            <family val="2"/>
          </rPr>
          <t xml:space="preserve">
previous 75.5% changed 11/26</t>
        </r>
      </text>
    </comment>
    <comment ref="H42" authorId="0" shapeId="0" xr:uid="{AB5C3C4A-2B05-445C-BE7D-9F90004DC2FE}">
      <text>
        <r>
          <rPr>
            <b/>
            <sz val="9"/>
            <color indexed="81"/>
            <rFont val="Tahoma"/>
            <family val="2"/>
          </rPr>
          <t>Kaylil Baptiste:</t>
        </r>
        <r>
          <rPr>
            <sz val="9"/>
            <color indexed="81"/>
            <rFont val="Tahoma"/>
            <family val="2"/>
          </rPr>
          <t xml:space="preserve">
pasteurizer installation month </t>
        </r>
      </text>
    </comment>
    <comment ref="L42" authorId="0" shapeId="0" xr:uid="{C0F9EDE1-4E1E-4BEF-99B0-1ED6CF6355C7}">
      <text>
        <r>
          <rPr>
            <b/>
            <sz val="9"/>
            <color indexed="81"/>
            <rFont val="Tahoma"/>
            <family val="2"/>
          </rPr>
          <t>Kaylil Baptiste:</t>
        </r>
        <r>
          <rPr>
            <sz val="9"/>
            <color indexed="81"/>
            <rFont val="Tahoma"/>
            <family val="2"/>
          </rPr>
          <t xml:space="preserve">
80.2</t>
        </r>
      </text>
    </comment>
    <comment ref="L43" authorId="0" shapeId="0" xr:uid="{9457F0A3-B94D-406C-89AF-8A1DABBA5170}">
      <text>
        <r>
          <rPr>
            <b/>
            <sz val="9"/>
            <color indexed="81"/>
            <rFont val="Tahoma"/>
            <family val="2"/>
          </rPr>
          <t>Kaylil Baptiste:</t>
        </r>
        <r>
          <rPr>
            <sz val="9"/>
            <color indexed="81"/>
            <rFont val="Tahoma"/>
            <family val="2"/>
          </rPr>
          <t xml:space="preserve">
76.4</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<sst xmlns="http://schemas.openxmlformats.org/spreadsheetml/2006/main" count="2305" uniqueCount="113">
  <si>
    <t>FTR Fermentation</t>
  </si>
  <si>
    <t>%</t>
  </si>
  <si>
    <t>FVSV Fill Duration</t>
  </si>
  <si>
    <t>Yeast Dosage</t>
  </si>
  <si>
    <t>Pitched Yeast Stain</t>
  </si>
  <si>
    <t>Yeast Storage Duration</t>
  </si>
  <si>
    <t>Harvest Moment</t>
  </si>
  <si>
    <t>Fermentation Speed</t>
  </si>
  <si>
    <t>FTR BBT</t>
  </si>
  <si>
    <t>Original Gravity</t>
  </si>
  <si>
    <t>Colour</t>
  </si>
  <si>
    <t>Haze - H90</t>
  </si>
  <si>
    <t>Haze - H25</t>
  </si>
  <si>
    <t>CO2</t>
  </si>
  <si>
    <t>DO</t>
  </si>
  <si>
    <t>Turbidity</t>
  </si>
  <si>
    <t>FTR Packaging</t>
  </si>
  <si>
    <t>Line 3</t>
  </si>
  <si>
    <t>PU</t>
  </si>
  <si>
    <t>Fill Volume</t>
  </si>
  <si>
    <t>TOP</t>
  </si>
  <si>
    <t>Line 6 B&amp;C</t>
  </si>
  <si>
    <t>FTR Micro</t>
  </si>
  <si>
    <t>MicroPack - MicroTunnel</t>
  </si>
  <si>
    <t>MicroBeer - MicroFerment</t>
  </si>
  <si>
    <t>FTR Finished Product</t>
  </si>
  <si>
    <t>ISO-H</t>
  </si>
  <si>
    <t>FTR Brewing</t>
  </si>
  <si>
    <t>Cast Gravity</t>
  </si>
  <si>
    <t>Process Time</t>
  </si>
  <si>
    <t>KPI</t>
  </si>
  <si>
    <t>Target</t>
  </si>
  <si>
    <t>Multiply</t>
  </si>
  <si>
    <t>Averaged</t>
  </si>
  <si>
    <t>-</t>
  </si>
  <si>
    <t>YTD</t>
  </si>
  <si>
    <t>July</t>
  </si>
  <si>
    <t>August</t>
  </si>
  <si>
    <t>September</t>
  </si>
  <si>
    <t>Jan</t>
  </si>
  <si>
    <t>Feb</t>
  </si>
  <si>
    <t>Mar</t>
  </si>
  <si>
    <t>Apr</t>
  </si>
  <si>
    <t>May</t>
  </si>
  <si>
    <t>Jun</t>
  </si>
  <si>
    <t>Jul</t>
  </si>
  <si>
    <t>Aug</t>
  </si>
  <si>
    <t>Sep</t>
  </si>
  <si>
    <t>Oct</t>
  </si>
  <si>
    <t>Overall</t>
  </si>
  <si>
    <t>Parameters</t>
  </si>
  <si>
    <t>FTR</t>
  </si>
  <si>
    <t>Nov</t>
  </si>
  <si>
    <t>Dec</t>
  </si>
  <si>
    <t>TARGET</t>
  </si>
  <si>
    <t>MTD</t>
  </si>
  <si>
    <t>BBT</t>
  </si>
  <si>
    <t>Micro</t>
  </si>
  <si>
    <t>Finished Product</t>
  </si>
  <si>
    <t>Brew</t>
  </si>
  <si>
    <t>Ferment</t>
  </si>
  <si>
    <t>Package</t>
  </si>
  <si>
    <t>FTR (Current)</t>
  </si>
  <si>
    <t>FTR (Without Color/Bitterness)</t>
  </si>
  <si>
    <t>JAN</t>
  </si>
  <si>
    <t>FEB</t>
  </si>
  <si>
    <t>MAR</t>
  </si>
  <si>
    <t>APR</t>
  </si>
  <si>
    <t>MAY</t>
  </si>
  <si>
    <t>JUN</t>
  </si>
  <si>
    <t>JUL</t>
  </si>
  <si>
    <t>AUG</t>
  </si>
  <si>
    <t>SEP</t>
  </si>
  <si>
    <t>OCT</t>
  </si>
  <si>
    <t>NOV</t>
  </si>
  <si>
    <t>DEC</t>
  </si>
  <si>
    <t>FTR (Proposed Spec change)</t>
  </si>
  <si>
    <t>FTR BBT (Current)</t>
  </si>
  <si>
    <t>FTR BBT (Proposed)</t>
  </si>
  <si>
    <t>FTR Finished Product (Current)</t>
  </si>
  <si>
    <t>FTR Finished Product (Proposed)</t>
  </si>
  <si>
    <t>Changing Color and Bitterness specification will improve FTR for BBT and Finished Product</t>
  </si>
  <si>
    <t>First fermentation temperature for Carib reduced from 12 to 11 degrees.  Faulty probes has been replaced.  Ensure temperature probes are on a calibration schedule &amp; local E&amp;I technicians are trained to perform calibratin.   automation of fermentation control to be completed</t>
  </si>
  <si>
    <t>Ensure Calibration of temperature probes on the Pasteuriser.  Resolve issues on equipment downstream of Pasteuriser (January Packer overhauled, Videojet technician visited late February and issues will be resolved by March 30th</t>
  </si>
  <si>
    <t xml:space="preserve">Check Beer pump for air pick up. Check for leak on Line to filler. Check filling parameters on Filler. </t>
  </si>
  <si>
    <t xml:space="preserve">Color for Mackeson 100% out of spec; the recipe will be reviewed to improve colour.  </t>
  </si>
  <si>
    <t>Actual</t>
  </si>
  <si>
    <t>Brewing Time</t>
  </si>
  <si>
    <t>Aeration Level</t>
  </si>
  <si>
    <t>TIPO</t>
  </si>
  <si>
    <t>Haze</t>
  </si>
  <si>
    <t>Packaging Index</t>
  </si>
  <si>
    <t xml:space="preserve">KPI- Without colour </t>
  </si>
  <si>
    <t>With Colour</t>
  </si>
  <si>
    <t>With-out Colour</t>
  </si>
  <si>
    <t>PG</t>
  </si>
  <si>
    <t xml:space="preserve"> </t>
  </si>
  <si>
    <t>KPI- JULY</t>
  </si>
  <si>
    <t>KPI- Aug</t>
  </si>
  <si>
    <t>KPI- Sept</t>
  </si>
  <si>
    <t>KPI- Jan</t>
  </si>
  <si>
    <t>KPI- Feb</t>
  </si>
  <si>
    <t>KPI- March</t>
  </si>
  <si>
    <t>KPI- April</t>
  </si>
  <si>
    <t>KPI- June</t>
  </si>
  <si>
    <t>January</t>
  </si>
  <si>
    <t>March</t>
  </si>
  <si>
    <t>February</t>
  </si>
  <si>
    <t>April</t>
  </si>
  <si>
    <t>June</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</si>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</sst>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_);[Red]\(0.00\)"/>
  </numFmts>
  <fonts count="29" x14ac:knownFonts="1">
    <font>
      <sz val="11"/>
      <color theme="1"/>
      <name val="Calibri"/>
      <family val="2"/>
      <scheme val="minor"/>
    </font>
    <font>
      <sz val="10"/>
      <name val="Arial"/>
      <family val="2"/>
    </font>
    <font>
      <sz val="12"/>
      <name val="Calibri"/>
      <family val="2"/>
      <scheme val="minor"/>
    </font>
    <font>
      <sz val="12"/>
      <name val="Arial"/>
      <family val="2"/>
    </font>
    <font>
      <sz val="12"/>
      <color theme="0"/>
      <name val="Arial"/>
      <family val="2"/>
    </font>
    <font>
      <sz val="12"/>
      <color indexed="8"/>
      <name val="Calibri"/>
      <family val="2"/>
      <scheme val="minor"/>
    </font>
    <font>
      <b/>
      <sz val="18"/>
      <color rgb="FFFF0000"/>
      <name val="Calibri"/>
      <family val="2"/>
      <scheme val="minor"/>
    </font>
    <font>
      <sz val="18"/>
      <color theme="1"/>
      <name val="Calibri"/>
      <family val="2"/>
      <scheme val="minor"/>
    </font>
    <font>
      <b/>
      <sz val="12"/>
      <color theme="0"/>
      <name val="Arial"/>
      <family val="2"/>
    </font>
    <font>
      <b/>
      <sz val="12"/>
      <color rgb="FFFF0000"/>
      <name val="Arial"/>
      <family val="2"/>
    </font>
    <font>
      <b/>
      <sz val="11"/>
      <color theme="1"/>
      <name val="Calibri"/>
      <family val="2"/>
      <scheme val="minor"/>
    </font>
    <font>
      <sz val="11"/>
      <color theme="1"/>
      <name val="Calibri"/>
      <family val="2"/>
      <scheme val="minor"/>
    </font>
    <font>
      <b/>
      <sz val="12"/>
      <name val="Calibri"/>
      <family val="2"/>
      <scheme val="minor"/>
    </font>
    <font>
      <b/>
      <sz val="12"/>
      <color theme="1"/>
      <name val="Calibri"/>
      <family val="2"/>
      <scheme val="minor"/>
    </font>
    <font>
      <b/>
      <i/>
      <sz val="12"/>
      <color theme="1"/>
      <name val="Calibri"/>
      <family val="2"/>
      <scheme val="minor"/>
    </font>
    <font>
      <b/>
      <i/>
      <sz val="14"/>
      <color theme="2" tint="-0.749992370372631"/>
      <name val="Calibri"/>
      <family val="2"/>
      <scheme val="minor"/>
    </font>
    <font>
      <sz val="13"/>
      <color theme="1"/>
      <name val="Calibri"/>
      <family val="2"/>
      <scheme val="minor"/>
    </font>
    <font>
      <b/>
      <sz val="11"/>
      <color theme="1" tint="4.9989318521683403E-2"/>
      <name val="Arial"/>
      <family val="2"/>
    </font>
    <font>
      <sz val="11"/>
      <color theme="0" tint="-0.499984740745262"/>
      <name val="Calibri"/>
      <family val="2"/>
      <scheme val="minor"/>
    </font>
    <font>
      <sz val="12"/>
      <color theme="1"/>
      <name val="Calibri"/>
      <family val="2"/>
      <scheme val="minor"/>
    </font>
    <font>
      <sz val="10"/>
      <color theme="1"/>
      <name val="Calibri"/>
      <family val="2"/>
      <scheme val="minor"/>
    </font>
    <font>
      <u/>
      <sz val="12"/>
      <color theme="0"/>
      <name val="Arial"/>
      <family val="2"/>
    </font>
    <font>
      <sz val="9"/>
      <color indexed="81"/>
      <name val="Tahoma"/>
      <family val="2"/>
    </font>
    <font>
      <b/>
      <sz val="9"/>
      <color indexed="81"/>
      <name val="Tahoma"/>
      <family val="2"/>
    </font>
    <font>
      <b/>
      <sz val="14"/>
      <name val="Calibri"/>
      <family val="2"/>
      <scheme val="minor"/>
    </font>
    <font>
      <b/>
      <sz val="12"/>
      <name val="Arial"/>
      <family val="2"/>
    </font>
    <font>
      <b/>
      <sz val="14"/>
      <color theme="1"/>
      <name val="Calibri"/>
      <family val="2"/>
      <scheme val="minor"/>
    </font>
    <font>
      <sz val="8"/>
      <name val="Calibri"/>
      <family val="2"/>
      <scheme val="minor"/>
    </font>
    <font>
      <b/>
      <sz val="18"/>
      <color theme="1"/>
      <name val="Calibri"/>
      <family val="2"/>
      <scheme val="minor"/>
    </font>
  </fonts>
  <fills count="26">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rgb="FFFF33CC"/>
        <bgColor indexed="64"/>
      </patternFill>
    </fill>
    <fill>
      <patternFill patternType="solid">
        <fgColor theme="1"/>
        <bgColor indexed="64"/>
      </patternFill>
    </fill>
    <fill>
      <patternFill patternType="solid">
        <fgColor rgb="FFFFC000"/>
        <bgColor indexed="64"/>
      </patternFill>
    </fill>
    <fill>
      <patternFill patternType="solid">
        <fgColor rgb="FFC00000"/>
        <bgColor indexed="64"/>
      </patternFill>
    </fill>
    <fill>
      <patternFill patternType="solid">
        <fgColor rgb="FF00B0F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1CE44C"/>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bgColor indexed="64"/>
      </patternFill>
    </fill>
    <fill>
      <patternFill patternType="solid">
        <fgColor theme="0" tint="-0.249977111117893"/>
        <bgColor indexed="64"/>
      </patternFill>
    </fill>
    <fill>
      <patternFill patternType="solid">
        <fgColor theme="2" tint="-0.89999084444715716"/>
        <bgColor indexed="64"/>
      </patternFill>
    </fill>
    <fill>
      <patternFill patternType="solid">
        <fgColor theme="2" tint="-9.9978637043366805E-2"/>
        <bgColor indexed="64"/>
      </patternFill>
    </fill>
    <fill>
      <patternFill patternType="solid">
        <fgColor theme="5" tint="-0.249977111117893"/>
        <bgColor indexed="64"/>
      </patternFill>
    </fill>
    <fill>
      <patternFill patternType="solid">
        <fgColor theme="5"/>
        <bgColor indexed="64"/>
      </patternFill>
    </fill>
    <fill>
      <patternFill patternType="solid">
        <fgColor theme="7" tint="-0.249977111117893"/>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bottom/>
      <diagonal/>
    </border>
    <border>
      <left/>
      <right style="thin">
        <color indexed="64"/>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diagonal/>
    </border>
    <border>
      <left style="thin">
        <color indexed="64"/>
      </left>
      <right/>
      <top style="thin">
        <color indexed="64"/>
      </top>
      <bottom/>
      <diagonal/>
    </border>
    <border>
      <left/>
      <right/>
      <top style="thin">
        <color indexed="64"/>
      </top>
      <bottom/>
      <diagonal/>
    </border>
    <border>
      <left/>
      <right style="medium">
        <color auto="1"/>
      </right>
      <top style="thin">
        <color indexed="64"/>
      </top>
      <bottom/>
      <diagonal/>
    </border>
    <border>
      <left style="medium">
        <color auto="1"/>
      </left>
      <right style="medium">
        <color auto="1"/>
      </right>
      <top style="thin">
        <color indexed="64"/>
      </top>
      <bottom/>
      <diagonal/>
    </border>
    <border>
      <left/>
      <right style="thin">
        <color indexed="64"/>
      </right>
      <top style="thin">
        <color indexed="64"/>
      </top>
      <bottom/>
      <diagonal/>
    </border>
    <border>
      <left/>
      <right/>
      <top style="medium">
        <color indexed="64"/>
      </top>
      <bottom style="thin">
        <color indexed="64"/>
      </bottom>
      <diagonal/>
    </border>
    <border>
      <left/>
      <right style="medium">
        <color auto="1"/>
      </right>
      <top style="medium">
        <color indexed="64"/>
      </top>
      <bottom style="thin">
        <color indexed="64"/>
      </bottom>
      <diagonal/>
    </border>
    <border>
      <left style="medium">
        <color auto="1"/>
      </left>
      <right style="medium">
        <color auto="1"/>
      </right>
      <top style="medium">
        <color auto="1"/>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auto="1"/>
      </left>
      <right style="thin">
        <color indexed="64"/>
      </right>
      <top/>
      <bottom/>
      <diagonal/>
    </border>
    <border>
      <left style="medium">
        <color auto="1"/>
      </left>
      <right style="thin">
        <color indexed="64"/>
      </right>
      <top/>
      <bottom style="thin">
        <color indexed="64"/>
      </bottom>
      <diagonal/>
    </border>
    <border>
      <left style="medium">
        <color auto="1"/>
      </left>
      <right/>
      <top style="medium">
        <color auto="1"/>
      </top>
      <bottom/>
      <diagonal/>
    </border>
    <border>
      <left style="medium">
        <color auto="1"/>
      </left>
      <right style="thin">
        <color indexed="64"/>
      </right>
      <top/>
      <bottom style="medium">
        <color indexed="64"/>
      </bottom>
      <diagonal/>
    </border>
    <border>
      <left style="thin">
        <color indexed="64"/>
      </left>
      <right style="thin">
        <color indexed="64"/>
      </right>
      <top style="dashDotDot">
        <color indexed="64"/>
      </top>
      <bottom style="dashDotDot">
        <color indexed="64"/>
      </bottom>
      <diagonal/>
    </border>
    <border>
      <left style="thin">
        <color indexed="64"/>
      </left>
      <right style="thin">
        <color indexed="64"/>
      </right>
      <top style="dashDotDot">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medium">
        <color indexed="64"/>
      </left>
      <right style="medium">
        <color indexed="64"/>
      </right>
      <top style="thin">
        <color indexed="64"/>
      </top>
      <bottom style="thick">
        <color indexed="64"/>
      </bottom>
      <diagonal/>
    </border>
    <border>
      <left style="thin">
        <color indexed="64"/>
      </left>
      <right style="thin">
        <color indexed="64"/>
      </right>
      <top/>
      <bottom style="dashDotDot">
        <color indexed="64"/>
      </bottom>
      <diagonal/>
    </border>
  </borders>
  <cellStyleXfs count="3">
    <xf numFmtId="0" fontId="0" fillId="0" borderId="0"/>
    <xf numFmtId="0" fontId="1" fillId="0" borderId="0"/>
    <xf numFmtId="9" fontId="11" fillId="0" borderId="0" applyFont="0" applyFill="0" applyBorder="0" applyAlignment="0" applyProtection="0"/>
  </cellStyleXfs>
  <cellXfs count="168">
    <xf numFmtId="0" fontId="0" fillId="0" borderId="0" xfId="0"/>
    <xf numFmtId="2" fontId="2" fillId="2" borderId="1" xfId="1" applyNumberFormat="1" applyFont="1" applyFill="1" applyBorder="1" applyAlignment="1">
      <alignment horizontal="left" vertical="center" wrapText="1"/>
    </xf>
    <xf numFmtId="2" fontId="3" fillId="3" borderId="2" xfId="1" applyNumberFormat="1" applyFont="1" applyFill="1" applyBorder="1" applyAlignment="1">
      <alignment horizontal="center" vertical="center"/>
    </xf>
    <xf numFmtId="164" fontId="4" fillId="4" borderId="4" xfId="1" applyNumberFormat="1" applyFont="1" applyFill="1" applyBorder="1" applyAlignment="1" applyProtection="1">
      <alignment horizontal="center" vertical="center"/>
      <protection locked="0"/>
    </xf>
    <xf numFmtId="2" fontId="2" fillId="0" borderId="1" xfId="1" applyNumberFormat="1" applyFont="1" applyBorder="1" applyAlignment="1">
      <alignment horizontal="right" vertical="center" wrapText="1"/>
    </xf>
    <xf numFmtId="2" fontId="3" fillId="3" borderId="1" xfId="1" applyNumberFormat="1" applyFont="1" applyFill="1" applyBorder="1" applyAlignment="1">
      <alignment horizontal="center" vertical="center"/>
    </xf>
    <xf numFmtId="164" fontId="4" fillId="4" borderId="1" xfId="1" applyNumberFormat="1" applyFont="1" applyFill="1" applyBorder="1" applyAlignment="1" applyProtection="1">
      <alignment horizontal="center" vertical="center"/>
      <protection locked="0"/>
    </xf>
    <xf numFmtId="2" fontId="2" fillId="5" borderId="1" xfId="1" applyNumberFormat="1" applyFont="1" applyFill="1" applyBorder="1" applyAlignment="1">
      <alignment horizontal="right" vertical="center" wrapText="1"/>
    </xf>
    <xf numFmtId="2" fontId="3" fillId="5" borderId="2" xfId="1" applyNumberFormat="1" applyFont="1" applyFill="1" applyBorder="1" applyAlignment="1">
      <alignment horizontal="center" vertical="center"/>
    </xf>
    <xf numFmtId="164" fontId="4" fillId="5" borderId="6" xfId="1" applyNumberFormat="1" applyFont="1" applyFill="1" applyBorder="1" applyAlignment="1" applyProtection="1">
      <alignment horizontal="center" vertical="center"/>
      <protection locked="0"/>
    </xf>
    <xf numFmtId="164" fontId="4" fillId="4" borderId="8" xfId="1" applyNumberFormat="1" applyFont="1" applyFill="1" applyBorder="1" applyAlignment="1" applyProtection="1">
      <alignment horizontal="center" vertical="center"/>
      <protection locked="0"/>
    </xf>
    <xf numFmtId="164" fontId="4" fillId="4" borderId="5" xfId="1" applyNumberFormat="1" applyFont="1" applyFill="1" applyBorder="1" applyAlignment="1" applyProtection="1">
      <alignment horizontal="center" vertical="center"/>
      <protection locked="0"/>
    </xf>
    <xf numFmtId="164" fontId="4" fillId="4" borderId="3" xfId="1" applyNumberFormat="1" applyFont="1" applyFill="1" applyBorder="1" applyAlignment="1" applyProtection="1">
      <alignment horizontal="center" vertical="center"/>
      <protection locked="0"/>
    </xf>
    <xf numFmtId="2" fontId="2" fillId="0" borderId="1" xfId="1" applyNumberFormat="1" applyFont="1" applyBorder="1" applyAlignment="1">
      <alignment horizontal="left" vertical="center" wrapText="1"/>
    </xf>
    <xf numFmtId="164" fontId="4" fillId="4" borderId="6" xfId="1" applyNumberFormat="1" applyFont="1" applyFill="1" applyBorder="1" applyAlignment="1" applyProtection="1">
      <alignment horizontal="center" vertical="center"/>
      <protection locked="0"/>
    </xf>
    <xf numFmtId="0" fontId="5" fillId="3" borderId="1" xfId="1" applyFont="1" applyFill="1" applyBorder="1" applyAlignment="1">
      <alignment horizontal="right" vertical="center" wrapText="1"/>
    </xf>
    <xf numFmtId="164" fontId="4" fillId="4" borderId="7" xfId="1" applyNumberFormat="1" applyFont="1" applyFill="1" applyBorder="1" applyAlignment="1" applyProtection="1">
      <alignment horizontal="center" vertical="center"/>
      <protection locked="0"/>
    </xf>
    <xf numFmtId="0" fontId="6" fillId="0" borderId="0" xfId="0" applyFont="1"/>
    <xf numFmtId="0" fontId="7" fillId="0" borderId="0" xfId="0" applyFont="1"/>
    <xf numFmtId="164" fontId="4" fillId="6" borderId="4" xfId="1" applyNumberFormat="1" applyFont="1" applyFill="1" applyBorder="1" applyAlignment="1" applyProtection="1">
      <alignment horizontal="center" vertical="center"/>
      <protection locked="0"/>
    </xf>
    <xf numFmtId="164" fontId="8" fillId="7" borderId="4" xfId="1" applyNumberFormat="1" applyFont="1" applyFill="1" applyBorder="1" applyAlignment="1" applyProtection="1">
      <alignment horizontal="center" vertical="center"/>
      <protection locked="0"/>
    </xf>
    <xf numFmtId="164" fontId="4" fillId="8" borderId="5" xfId="1" applyNumberFormat="1" applyFont="1" applyFill="1" applyBorder="1" applyAlignment="1" applyProtection="1">
      <alignment horizontal="center" vertical="center"/>
      <protection locked="0"/>
    </xf>
    <xf numFmtId="164" fontId="4" fillId="8" borderId="3" xfId="1" applyNumberFormat="1" applyFont="1" applyFill="1" applyBorder="1" applyAlignment="1" applyProtection="1">
      <alignment horizontal="center" vertical="center"/>
      <protection locked="0"/>
    </xf>
    <xf numFmtId="164" fontId="9" fillId="9" borderId="4" xfId="1" applyNumberFormat="1" applyFont="1" applyFill="1" applyBorder="1" applyAlignment="1" applyProtection="1">
      <alignment horizontal="center" vertical="center"/>
      <protection locked="0"/>
    </xf>
    <xf numFmtId="0" fontId="10" fillId="0" borderId="0" xfId="0" applyFont="1"/>
    <xf numFmtId="2" fontId="12" fillId="2" borderId="6" xfId="1" applyNumberFormat="1" applyFont="1" applyFill="1" applyBorder="1" applyAlignment="1">
      <alignment horizontal="left" vertical="center"/>
    </xf>
    <xf numFmtId="0" fontId="16" fillId="0" borderId="0" xfId="0" applyFont="1"/>
    <xf numFmtId="2" fontId="12" fillId="10" borderId="1" xfId="1" applyNumberFormat="1" applyFont="1" applyFill="1" applyBorder="1" applyAlignment="1">
      <alignment horizontal="left" vertical="center"/>
    </xf>
    <xf numFmtId="2" fontId="12" fillId="11" borderId="1" xfId="1" applyNumberFormat="1" applyFont="1" applyFill="1" applyBorder="1" applyAlignment="1">
      <alignment horizontal="left" vertical="center"/>
    </xf>
    <xf numFmtId="2" fontId="12" fillId="2" borderId="9" xfId="1" applyNumberFormat="1" applyFont="1" applyFill="1" applyBorder="1" applyAlignment="1">
      <alignment horizontal="left" vertical="center"/>
    </xf>
    <xf numFmtId="2" fontId="12" fillId="12" borderId="10" xfId="1" applyNumberFormat="1" applyFont="1" applyFill="1" applyBorder="1" applyAlignment="1">
      <alignment horizontal="left" vertical="center"/>
    </xf>
    <xf numFmtId="2" fontId="12" fillId="0" borderId="11" xfId="1" applyNumberFormat="1" applyFont="1" applyBorder="1" applyAlignment="1">
      <alignment horizontal="left" vertical="center"/>
    </xf>
    <xf numFmtId="9" fontId="13" fillId="0" borderId="12" xfId="2" applyFont="1" applyFill="1" applyBorder="1"/>
    <xf numFmtId="9" fontId="13" fillId="0" borderId="0" xfId="2" applyFont="1" applyFill="1" applyBorder="1"/>
    <xf numFmtId="9" fontId="13" fillId="0" borderId="13" xfId="2" applyFont="1" applyFill="1" applyBorder="1"/>
    <xf numFmtId="2" fontId="12" fillId="2" borderId="7" xfId="1" applyNumberFormat="1" applyFont="1" applyFill="1" applyBorder="1" applyAlignment="1">
      <alignment horizontal="left" vertical="center"/>
    </xf>
    <xf numFmtId="9" fontId="13" fillId="0" borderId="15" xfId="2" applyFont="1" applyFill="1" applyBorder="1"/>
    <xf numFmtId="9" fontId="13" fillId="0" borderId="16" xfId="2" applyFont="1" applyFill="1" applyBorder="1"/>
    <xf numFmtId="9" fontId="13" fillId="0" borderId="17" xfId="2" applyFont="1" applyFill="1" applyBorder="1"/>
    <xf numFmtId="9" fontId="13" fillId="12" borderId="18" xfId="2" applyFont="1" applyFill="1" applyBorder="1"/>
    <xf numFmtId="9" fontId="13" fillId="12" borderId="10" xfId="2" applyFont="1" applyFill="1" applyBorder="1"/>
    <xf numFmtId="9" fontId="13" fillId="0" borderId="19" xfId="2" applyFont="1" applyFill="1" applyBorder="1"/>
    <xf numFmtId="9" fontId="13" fillId="0" borderId="20" xfId="2" applyFont="1" applyFill="1" applyBorder="1"/>
    <xf numFmtId="9" fontId="14" fillId="12" borderId="22" xfId="2" applyFont="1" applyFill="1" applyBorder="1"/>
    <xf numFmtId="2" fontId="12" fillId="11" borderId="7" xfId="1" applyNumberFormat="1" applyFont="1" applyFill="1" applyBorder="1" applyAlignment="1">
      <alignment horizontal="left" vertical="center"/>
    </xf>
    <xf numFmtId="2" fontId="15" fillId="2" borderId="23" xfId="1" applyNumberFormat="1" applyFont="1" applyFill="1" applyBorder="1" applyAlignment="1">
      <alignment horizontal="left" vertical="center"/>
    </xf>
    <xf numFmtId="2" fontId="12" fillId="0" borderId="26" xfId="1" applyNumberFormat="1" applyFont="1" applyBorder="1" applyAlignment="1">
      <alignment horizontal="left" vertical="center"/>
    </xf>
    <xf numFmtId="0" fontId="0" fillId="0" borderId="0" xfId="0" applyAlignment="1">
      <alignment horizontal="right"/>
    </xf>
    <xf numFmtId="2" fontId="12" fillId="12" borderId="24" xfId="1" applyNumberFormat="1" applyFont="1" applyFill="1" applyBorder="1" applyAlignment="1">
      <alignment horizontal="right" vertical="center"/>
    </xf>
    <xf numFmtId="165" fontId="12" fillId="12" borderId="24" xfId="1" applyNumberFormat="1" applyFont="1" applyFill="1" applyBorder="1" applyAlignment="1">
      <alignment horizontal="right" vertical="center"/>
    </xf>
    <xf numFmtId="165" fontId="12" fillId="12" borderId="27" xfId="1" applyNumberFormat="1" applyFont="1" applyFill="1" applyBorder="1" applyAlignment="1">
      <alignment horizontal="right" vertical="center"/>
    </xf>
    <xf numFmtId="9" fontId="4" fillId="6" borderId="4" xfId="2" applyFont="1" applyFill="1" applyBorder="1" applyAlignment="1" applyProtection="1">
      <alignment horizontal="center" vertical="center"/>
      <protection locked="0"/>
    </xf>
    <xf numFmtId="9" fontId="4" fillId="4" borderId="6" xfId="2" applyFont="1" applyFill="1" applyBorder="1" applyAlignment="1" applyProtection="1">
      <alignment horizontal="center" vertical="center"/>
      <protection locked="0"/>
    </xf>
    <xf numFmtId="9" fontId="4" fillId="5" borderId="6" xfId="2" applyFont="1" applyFill="1" applyBorder="1" applyAlignment="1" applyProtection="1">
      <alignment horizontal="center" vertical="center"/>
      <protection locked="0"/>
    </xf>
    <xf numFmtId="9" fontId="4" fillId="4" borderId="1" xfId="2" applyFont="1" applyFill="1" applyBorder="1" applyAlignment="1" applyProtection="1">
      <alignment horizontal="center" vertical="center"/>
      <protection locked="0"/>
    </xf>
    <xf numFmtId="9" fontId="4" fillId="4" borderId="5" xfId="2" applyFont="1" applyFill="1" applyBorder="1" applyAlignment="1" applyProtection="1">
      <alignment horizontal="center" vertical="center"/>
      <protection locked="0"/>
    </xf>
    <xf numFmtId="9" fontId="4" fillId="8" borderId="5" xfId="2" applyFont="1" applyFill="1" applyBorder="1" applyAlignment="1" applyProtection="1">
      <alignment horizontal="center" vertical="center"/>
      <protection locked="0"/>
    </xf>
    <xf numFmtId="9" fontId="4" fillId="4" borderId="3" xfId="2" applyFont="1" applyFill="1" applyBorder="1" applyAlignment="1" applyProtection="1">
      <alignment horizontal="center" vertical="center"/>
      <protection locked="0"/>
    </xf>
    <xf numFmtId="9" fontId="0" fillId="0" borderId="0" xfId="2" applyFont="1"/>
    <xf numFmtId="9" fontId="8" fillId="7" borderId="4" xfId="2" applyFont="1" applyFill="1" applyBorder="1" applyAlignment="1" applyProtection="1">
      <alignment horizontal="center" vertical="center"/>
      <protection locked="0"/>
    </xf>
    <xf numFmtId="9" fontId="0" fillId="0" borderId="0" xfId="0" applyNumberFormat="1"/>
    <xf numFmtId="9" fontId="9" fillId="9" borderId="4" xfId="2" applyFont="1" applyFill="1" applyBorder="1" applyAlignment="1" applyProtection="1">
      <alignment horizontal="center" vertical="center"/>
      <protection locked="0"/>
    </xf>
    <xf numFmtId="9" fontId="13" fillId="0" borderId="14" xfId="2" applyFont="1" applyFill="1" applyBorder="1" applyAlignment="1">
      <alignment vertical="center"/>
    </xf>
    <xf numFmtId="9" fontId="13" fillId="0" borderId="15" xfId="2" applyFont="1" applyFill="1" applyBorder="1" applyAlignment="1">
      <alignment vertical="center"/>
    </xf>
    <xf numFmtId="9" fontId="13" fillId="0" borderId="19" xfId="2" applyFont="1" applyFill="1" applyBorder="1" applyAlignment="1">
      <alignment vertical="center"/>
    </xf>
    <xf numFmtId="9" fontId="13" fillId="0" borderId="16" xfId="2" applyFont="1" applyFill="1" applyBorder="1" applyAlignment="1">
      <alignment vertical="center"/>
    </xf>
    <xf numFmtId="165" fontId="13" fillId="12" borderId="24" xfId="2" applyNumberFormat="1" applyFont="1" applyFill="1" applyBorder="1" applyAlignment="1">
      <alignment horizontal="right" vertical="center"/>
    </xf>
    <xf numFmtId="9" fontId="13" fillId="0" borderId="20" xfId="2" applyFont="1" applyFill="1" applyBorder="1" applyAlignment="1">
      <alignment vertical="center"/>
    </xf>
    <xf numFmtId="165" fontId="13" fillId="12" borderId="25" xfId="2" applyNumberFormat="1" applyFont="1" applyFill="1" applyBorder="1" applyAlignment="1">
      <alignment horizontal="right" vertical="center"/>
    </xf>
    <xf numFmtId="0" fontId="18" fillId="11" borderId="33" xfId="0" applyFont="1" applyFill="1" applyBorder="1"/>
    <xf numFmtId="9" fontId="18" fillId="11" borderId="34" xfId="2" applyFont="1" applyFill="1" applyBorder="1"/>
    <xf numFmtId="9" fontId="18" fillId="11" borderId="39" xfId="2" applyFont="1" applyFill="1" applyBorder="1"/>
    <xf numFmtId="0" fontId="13" fillId="0" borderId="31" xfId="0" applyFont="1" applyBorder="1"/>
    <xf numFmtId="0" fontId="13" fillId="0" borderId="32" xfId="0" applyFont="1" applyBorder="1"/>
    <xf numFmtId="9" fontId="19" fillId="0" borderId="23" xfId="2" applyFont="1" applyBorder="1"/>
    <xf numFmtId="9" fontId="19" fillId="0" borderId="37" xfId="2" applyFont="1" applyBorder="1"/>
    <xf numFmtId="9" fontId="13" fillId="0" borderId="21" xfId="2" applyFont="1" applyBorder="1"/>
    <xf numFmtId="9" fontId="19" fillId="0" borderId="1" xfId="2" applyFont="1" applyBorder="1"/>
    <xf numFmtId="9" fontId="19" fillId="0" borderId="2" xfId="2" applyFont="1" applyBorder="1"/>
    <xf numFmtId="9" fontId="13" fillId="0" borderId="38" xfId="2" applyFont="1" applyBorder="1"/>
    <xf numFmtId="0" fontId="13" fillId="0" borderId="35" xfId="0" applyFont="1" applyBorder="1"/>
    <xf numFmtId="0" fontId="13" fillId="0" borderId="3" xfId="0" applyFont="1" applyBorder="1"/>
    <xf numFmtId="0" fontId="13" fillId="0" borderId="36" xfId="0" applyFont="1" applyBorder="1"/>
    <xf numFmtId="0" fontId="13" fillId="0" borderId="30" xfId="0" applyFont="1" applyBorder="1"/>
    <xf numFmtId="0" fontId="0" fillId="9" borderId="0" xfId="0" applyFill="1"/>
    <xf numFmtId="0" fontId="10" fillId="9" borderId="0" xfId="0" applyFont="1" applyFill="1"/>
    <xf numFmtId="0" fontId="13" fillId="13" borderId="31" xfId="0" applyFont="1" applyFill="1" applyBorder="1"/>
    <xf numFmtId="9" fontId="19" fillId="13" borderId="23" xfId="2" applyFont="1" applyFill="1" applyBorder="1"/>
    <xf numFmtId="9" fontId="19" fillId="13" borderId="37" xfId="2" applyFont="1" applyFill="1" applyBorder="1"/>
    <xf numFmtId="9" fontId="13" fillId="13" borderId="21" xfId="2" applyFont="1" applyFill="1" applyBorder="1"/>
    <xf numFmtId="0" fontId="13" fillId="18" borderId="31" xfId="0" applyFont="1" applyFill="1" applyBorder="1"/>
    <xf numFmtId="9" fontId="19" fillId="18" borderId="1" xfId="2" applyFont="1" applyFill="1" applyBorder="1"/>
    <xf numFmtId="9" fontId="19" fillId="18" borderId="2" xfId="2" applyFont="1" applyFill="1" applyBorder="1"/>
    <xf numFmtId="9" fontId="13" fillId="18" borderId="38" xfId="2" applyFont="1" applyFill="1" applyBorder="1"/>
    <xf numFmtId="0" fontId="13" fillId="17" borderId="25" xfId="0" applyFont="1" applyFill="1" applyBorder="1"/>
    <xf numFmtId="9" fontId="19" fillId="17" borderId="5" xfId="2" applyFont="1" applyFill="1" applyBorder="1"/>
    <xf numFmtId="9" fontId="19" fillId="17" borderId="40" xfId="2" applyFont="1" applyFill="1" applyBorder="1"/>
    <xf numFmtId="9" fontId="13" fillId="17" borderId="41" xfId="2" applyFont="1" applyFill="1" applyBorder="1"/>
    <xf numFmtId="0" fontId="13" fillId="10" borderId="42" xfId="0" applyFont="1" applyFill="1" applyBorder="1"/>
    <xf numFmtId="9" fontId="19" fillId="10" borderId="43" xfId="2" applyFont="1" applyFill="1" applyBorder="1"/>
    <xf numFmtId="9" fontId="19" fillId="10" borderId="44" xfId="2" applyFont="1" applyFill="1" applyBorder="1"/>
    <xf numFmtId="9" fontId="13" fillId="10" borderId="45" xfId="2" applyFont="1" applyFill="1" applyBorder="1"/>
    <xf numFmtId="0" fontId="0" fillId="0" borderId="0" xfId="0" applyAlignment="1">
      <alignment horizontal="center" vertical="center"/>
    </xf>
    <xf numFmtId="166" fontId="13" fillId="0" borderId="0" xfId="2" applyNumberFormat="1" applyFont="1"/>
    <xf numFmtId="0" fontId="20" fillId="0" borderId="0" xfId="0" applyFont="1"/>
    <xf numFmtId="0" fontId="20" fillId="0" borderId="0" xfId="0" applyFont="1" applyAlignment="1">
      <alignment wrapText="1"/>
    </xf>
    <xf numFmtId="0" fontId="20" fillId="0" borderId="0" xfId="0" applyFont="1" applyAlignment="1">
      <alignment horizontal="left" vertical="top" wrapText="1"/>
    </xf>
    <xf numFmtId="9" fontId="6" fillId="0" borderId="0" xfId="2" applyFont="1"/>
    <xf numFmtId="9" fontId="4" fillId="6" borderId="6" xfId="2" applyFont="1" applyFill="1" applyBorder="1" applyAlignment="1" applyProtection="1">
      <alignment horizontal="center" vertical="center"/>
      <protection locked="0"/>
    </xf>
    <xf numFmtId="2" fontId="12" fillId="0" borderId="2" xfId="1" applyNumberFormat="1" applyFont="1" applyBorder="1" applyAlignment="1">
      <alignment horizontal="left" vertical="center"/>
    </xf>
    <xf numFmtId="166" fontId="13" fillId="0" borderId="0" xfId="2" applyNumberFormat="1" applyFont="1" applyFill="1"/>
    <xf numFmtId="2" fontId="12" fillId="0" borderId="1" xfId="1" applyNumberFormat="1" applyFont="1" applyBorder="1" applyAlignment="1">
      <alignment horizontal="left" vertical="center"/>
    </xf>
    <xf numFmtId="166" fontId="13" fillId="0" borderId="0" xfId="2" applyNumberFormat="1" applyFont="1" applyAlignment="1">
      <alignment vertical="center"/>
    </xf>
    <xf numFmtId="2" fontId="12" fillId="19" borderId="1" xfId="1" applyNumberFormat="1" applyFont="1" applyFill="1" applyBorder="1" applyAlignment="1">
      <alignment horizontal="left" vertical="center"/>
    </xf>
    <xf numFmtId="166" fontId="13" fillId="19" borderId="0" xfId="2" applyNumberFormat="1" applyFont="1" applyFill="1"/>
    <xf numFmtId="166" fontId="13" fillId="19" borderId="0" xfId="2" applyNumberFormat="1" applyFont="1" applyFill="1" applyAlignment="1">
      <alignment vertical="center"/>
    </xf>
    <xf numFmtId="9" fontId="4" fillId="8" borderId="8" xfId="2" applyFont="1" applyFill="1" applyBorder="1" applyAlignment="1" applyProtection="1">
      <alignment horizontal="center" vertical="center"/>
      <protection locked="0"/>
    </xf>
    <xf numFmtId="9" fontId="4" fillId="6" borderId="23" xfId="2" applyFont="1" applyFill="1" applyBorder="1" applyAlignment="1" applyProtection="1">
      <alignment horizontal="center" vertical="center"/>
      <protection locked="0"/>
    </xf>
    <xf numFmtId="9" fontId="4" fillId="4" borderId="23" xfId="2" applyFont="1" applyFill="1" applyBorder="1" applyAlignment="1" applyProtection="1">
      <alignment horizontal="center" vertical="center"/>
      <protection locked="0"/>
    </xf>
    <xf numFmtId="9" fontId="21" fillId="4" borderId="8" xfId="2" applyFont="1" applyFill="1" applyBorder="1" applyAlignment="1" applyProtection="1">
      <alignment horizontal="center" vertical="center"/>
      <protection locked="0"/>
    </xf>
    <xf numFmtId="9" fontId="13" fillId="0" borderId="21" xfId="2" applyFont="1" applyFill="1" applyBorder="1"/>
    <xf numFmtId="9" fontId="13" fillId="20" borderId="15" xfId="2" applyFont="1" applyFill="1" applyBorder="1" applyAlignment="1">
      <alignment vertical="center"/>
    </xf>
    <xf numFmtId="165" fontId="8" fillId="7" borderId="4" xfId="2" applyNumberFormat="1" applyFont="1" applyFill="1" applyBorder="1" applyAlignment="1" applyProtection="1">
      <alignment horizontal="center" vertical="center"/>
      <protection locked="0"/>
    </xf>
    <xf numFmtId="10" fontId="0" fillId="0" borderId="0" xfId="0" applyNumberFormat="1"/>
    <xf numFmtId="10" fontId="8" fillId="7" borderId="4" xfId="2" applyNumberFormat="1" applyFont="1" applyFill="1" applyBorder="1" applyAlignment="1" applyProtection="1">
      <alignment horizontal="center" vertical="center"/>
      <protection locked="0"/>
    </xf>
    <xf numFmtId="2" fontId="24" fillId="0" borderId="0" xfId="1" applyNumberFormat="1" applyFont="1" applyAlignment="1">
      <alignment horizontal="right" vertical="center" wrapText="1"/>
    </xf>
    <xf numFmtId="165" fontId="9" fillId="9" borderId="4" xfId="2" applyNumberFormat="1" applyFont="1" applyFill="1" applyBorder="1" applyAlignment="1" applyProtection="1">
      <alignment horizontal="center" vertical="center"/>
      <protection locked="0"/>
    </xf>
    <xf numFmtId="9" fontId="4" fillId="21" borderId="6" xfId="2" applyFont="1" applyFill="1" applyBorder="1" applyAlignment="1" applyProtection="1">
      <alignment horizontal="center" vertical="center"/>
      <protection locked="0"/>
    </xf>
    <xf numFmtId="9" fontId="4" fillId="21" borderId="5" xfId="2" applyFont="1" applyFill="1" applyBorder="1" applyAlignment="1" applyProtection="1">
      <alignment horizontal="center" vertical="center"/>
      <protection locked="0"/>
    </xf>
    <xf numFmtId="9" fontId="4" fillId="21" borderId="1" xfId="2" applyFont="1" applyFill="1" applyBorder="1" applyAlignment="1" applyProtection="1">
      <alignment horizontal="center" vertical="center"/>
      <protection locked="0"/>
    </xf>
    <xf numFmtId="2" fontId="2" fillId="0" borderId="0" xfId="1" applyNumberFormat="1" applyFont="1" applyAlignment="1">
      <alignment horizontal="right" vertical="center" wrapText="1"/>
    </xf>
    <xf numFmtId="2" fontId="3" fillId="0" borderId="0" xfId="1" applyNumberFormat="1" applyFont="1" applyAlignment="1">
      <alignment horizontal="center" vertical="center"/>
    </xf>
    <xf numFmtId="2" fontId="3" fillId="3" borderId="0" xfId="1" applyNumberFormat="1" applyFont="1" applyFill="1" applyAlignment="1">
      <alignment horizontal="center" vertical="center"/>
    </xf>
    <xf numFmtId="9" fontId="4" fillId="4" borderId="0" xfId="2" applyFont="1" applyFill="1" applyBorder="1" applyAlignment="1" applyProtection="1">
      <alignment horizontal="center" vertical="center"/>
      <protection locked="0"/>
    </xf>
    <xf numFmtId="165" fontId="4" fillId="6" borderId="4" xfId="2" applyNumberFormat="1" applyFont="1" applyFill="1" applyBorder="1" applyAlignment="1" applyProtection="1">
      <alignment horizontal="center" vertical="center"/>
      <protection locked="0"/>
    </xf>
    <xf numFmtId="165" fontId="4" fillId="4" borderId="6" xfId="2" applyNumberFormat="1" applyFont="1" applyFill="1" applyBorder="1" applyAlignment="1" applyProtection="1">
      <alignment horizontal="center" vertical="center"/>
      <protection locked="0"/>
    </xf>
    <xf numFmtId="165" fontId="4" fillId="4" borderId="1" xfId="2" applyNumberFormat="1" applyFont="1" applyFill="1" applyBorder="1" applyAlignment="1" applyProtection="1">
      <alignment horizontal="center" vertical="center"/>
      <protection locked="0"/>
    </xf>
    <xf numFmtId="165" fontId="4" fillId="5" borderId="6" xfId="2" applyNumberFormat="1" applyFont="1" applyFill="1" applyBorder="1" applyAlignment="1" applyProtection="1">
      <alignment horizontal="center" vertical="center"/>
      <protection locked="0"/>
    </xf>
    <xf numFmtId="165" fontId="4" fillId="4" borderId="5" xfId="2" applyNumberFormat="1" applyFont="1" applyFill="1" applyBorder="1" applyAlignment="1" applyProtection="1">
      <alignment horizontal="center" vertical="center"/>
      <protection locked="0"/>
    </xf>
    <xf numFmtId="165" fontId="4" fillId="8" borderId="5" xfId="2" applyNumberFormat="1" applyFont="1" applyFill="1" applyBorder="1" applyAlignment="1" applyProtection="1">
      <alignment horizontal="center" vertical="center"/>
      <protection locked="0"/>
    </xf>
    <xf numFmtId="165" fontId="4" fillId="6" borderId="6" xfId="2" applyNumberFormat="1" applyFont="1" applyFill="1" applyBorder="1" applyAlignment="1" applyProtection="1">
      <alignment horizontal="center" vertical="center"/>
      <protection locked="0"/>
    </xf>
    <xf numFmtId="165" fontId="4" fillId="4" borderId="3" xfId="2" applyNumberFormat="1" applyFont="1" applyFill="1" applyBorder="1" applyAlignment="1" applyProtection="1">
      <alignment horizontal="center" vertical="center"/>
      <protection locked="0"/>
    </xf>
    <xf numFmtId="2" fontId="25" fillId="3" borderId="0" xfId="1" applyNumberFormat="1" applyFont="1" applyFill="1" applyAlignment="1">
      <alignment horizontal="center" vertical="center"/>
    </xf>
    <xf numFmtId="9" fontId="26" fillId="22" borderId="0" xfId="0" applyNumberFormat="1" applyFont="1" applyFill="1" applyAlignment="1">
      <alignment horizontal="center"/>
    </xf>
    <xf numFmtId="165" fontId="26" fillId="22" borderId="0" xfId="0" applyNumberFormat="1" applyFont="1" applyFill="1" applyAlignment="1">
      <alignment horizontal="center"/>
    </xf>
    <xf numFmtId="0" fontId="6" fillId="0" borderId="0" xfId="0" applyFont="1" applyAlignment="1">
      <alignment horizontal="center"/>
    </xf>
    <xf numFmtId="0" fontId="7" fillId="0" borderId="0" xfId="0" applyFont="1" applyAlignment="1">
      <alignment horizontal="center"/>
    </xf>
    <xf numFmtId="2" fontId="2" fillId="0" borderId="6" xfId="1" applyNumberFormat="1" applyFont="1" applyBorder="1" applyAlignment="1">
      <alignment horizontal="right" vertical="center" wrapText="1"/>
    </xf>
    <xf numFmtId="0" fontId="6" fillId="9" borderId="0" xfId="0" applyFont="1" applyFill="1" applyAlignment="1">
      <alignment horizontal="center"/>
    </xf>
    <xf numFmtId="0" fontId="28" fillId="9" borderId="0" xfId="0" applyFont="1" applyFill="1" applyAlignment="1">
      <alignment horizontal="center"/>
    </xf>
    <xf numFmtId="165" fontId="0" fillId="0" borderId="0" xfId="0" applyNumberFormat="1"/>
    <xf numFmtId="9" fontId="4" fillId="23" borderId="4" xfId="2" applyFont="1" applyFill="1" applyBorder="1" applyAlignment="1" applyProtection="1">
      <alignment horizontal="center" vertical="center"/>
      <protection locked="0"/>
    </xf>
    <xf numFmtId="9" fontId="4" fillId="23" borderId="1" xfId="2" applyFont="1" applyFill="1" applyBorder="1" applyAlignment="1" applyProtection="1">
      <alignment horizontal="center" vertical="center"/>
      <protection locked="0"/>
    </xf>
    <xf numFmtId="165" fontId="8" fillId="24" borderId="4" xfId="2" applyNumberFormat="1" applyFont="1" applyFill="1" applyBorder="1" applyAlignment="1" applyProtection="1">
      <alignment horizontal="center" vertical="center"/>
      <protection locked="0"/>
    </xf>
    <xf numFmtId="165" fontId="8" fillId="25" borderId="4" xfId="2" applyNumberFormat="1" applyFont="1" applyFill="1" applyBorder="1" applyAlignment="1" applyProtection="1">
      <alignment horizontal="center" vertical="center"/>
      <protection locked="0"/>
    </xf>
    <xf numFmtId="1" fontId="25" fillId="3" borderId="0" xfId="1" applyNumberFormat="1" applyFont="1" applyFill="1" applyAlignment="1">
      <alignment horizontal="center" vertical="center"/>
    </xf>
    <xf numFmtId="9" fontId="3" fillId="9" borderId="4" xfId="2" applyFont="1" applyFill="1" applyBorder="1" applyAlignment="1" applyProtection="1">
      <alignment horizontal="center" vertical="center"/>
      <protection locked="0"/>
    </xf>
    <xf numFmtId="0" fontId="0" fillId="0" borderId="0" xfId="0" applyAlignment="1">
      <alignment horizontal="center" vertical="center"/>
    </xf>
    <xf numFmtId="0" fontId="17" fillId="13" borderId="7" xfId="0" applyFont="1" applyFill="1" applyBorder="1" applyAlignment="1">
      <alignment horizontal="center" vertical="center" textRotation="90" wrapText="1"/>
    </xf>
    <xf numFmtId="0" fontId="17" fillId="13" borderId="6" xfId="0" applyFont="1" applyFill="1" applyBorder="1" applyAlignment="1">
      <alignment horizontal="center" vertical="center" textRotation="90" wrapText="1"/>
    </xf>
    <xf numFmtId="0" fontId="17" fillId="13" borderId="46" xfId="0" applyFont="1" applyFill="1" applyBorder="1" applyAlignment="1">
      <alignment horizontal="center" vertical="center" textRotation="90" wrapText="1"/>
    </xf>
    <xf numFmtId="0" fontId="20" fillId="0" borderId="0" xfId="0" applyFont="1" applyAlignment="1">
      <alignment horizontal="left" wrapText="1"/>
    </xf>
    <xf numFmtId="0" fontId="20" fillId="0" borderId="0" xfId="0" applyFont="1" applyAlignment="1">
      <alignment horizontal="left" vertical="top" wrapText="1"/>
    </xf>
    <xf numFmtId="0" fontId="17" fillId="10" borderId="28" xfId="0" applyFont="1" applyFill="1" applyBorder="1" applyAlignment="1">
      <alignment horizontal="right" vertical="center" textRotation="90" wrapText="1"/>
    </xf>
    <xf numFmtId="0" fontId="17" fillId="14" borderId="28" xfId="0" applyFont="1" applyFill="1" applyBorder="1" applyAlignment="1">
      <alignment horizontal="right" vertical="center" textRotation="90" wrapText="1"/>
    </xf>
    <xf numFmtId="0" fontId="17" fillId="15" borderId="28" xfId="0" applyFont="1" applyFill="1" applyBorder="1" applyAlignment="1">
      <alignment horizontal="right" vertical="center" textRotation="90" wrapText="1"/>
    </xf>
    <xf numFmtId="0" fontId="17" fillId="16" borderId="28" xfId="0" applyFont="1" applyFill="1" applyBorder="1" applyAlignment="1">
      <alignment horizontal="right" vertical="center" textRotation="90" wrapText="1"/>
    </xf>
    <xf numFmtId="0" fontId="17" fillId="16" borderId="29" xfId="0" applyFont="1" applyFill="1" applyBorder="1" applyAlignment="1">
      <alignment horizontal="right" vertical="center" textRotation="90" wrapText="1"/>
    </xf>
  </cellXfs>
  <cellStyles count="3">
    <cellStyle name="Jun" xfId="1" xr:uid="{00000000-0005-0000-0000-000000000000}"/>
    <cellStyle name="Normal" xfId="0" builtinId="0"/>
    <cellStyle name="Percent" xfId="2" builtinId="5"/>
  </cellStyles>
  <dxfs count="5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i val="0"/>
        <strike val="0"/>
        <condense val="0"/>
        <extend val="0"/>
        <outline val="0"/>
        <shadow val="0"/>
        <u val="none"/>
        <vertAlign val="baseline"/>
        <sz val="12"/>
        <color theme="1"/>
        <name val="Calibri"/>
        <family val="2"/>
        <scheme val="minor"/>
      </font>
      <numFmt numFmtId="165" formatCode="0.0%"/>
      <fill>
        <patternFill patternType="solid">
          <fgColor indexed="64"/>
          <bgColor rgb="FF1CE44C"/>
        </patternFill>
      </fill>
      <alignment horizontal="right" vertical="center"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theme="1"/>
        <name val="Calibri"/>
        <family val="2"/>
        <scheme val="minor"/>
      </font>
      <alignment vertical="center" textRotation="0" wrapText="0" indent="0" justifyLastLine="0" shrinkToFit="0" readingOrder="0"/>
      <border diagonalUp="0" diagonalDown="0" outline="0">
        <left/>
        <right style="medium">
          <color auto="1"/>
        </right>
        <top/>
        <bottom/>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horizontal="general"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outline="0">
        <left style="thin">
          <color indexed="64"/>
        </left>
        <right style="thin">
          <color indexed="64"/>
        </right>
        <top/>
        <bottom/>
      </border>
      <protection locked="1" hidden="0"/>
    </dxf>
    <dxf>
      <font>
        <b/>
        <i val="0"/>
        <strike val="0"/>
        <condense val="0"/>
        <extend val="0"/>
        <outline val="0"/>
        <shadow val="0"/>
        <u val="none"/>
        <vertAlign val="baseline"/>
        <sz val="12"/>
        <color theme="1"/>
        <name val="Calibri"/>
        <family val="2"/>
        <scheme val="minor"/>
      </font>
      <fill>
        <patternFill patternType="solid">
          <fgColor indexed="64"/>
          <bgColor rgb="FF1CE44C"/>
        </patternFill>
      </fill>
      <border diagonalUp="0" diagonalDown="0">
        <left/>
        <right/>
        <top/>
        <bottom style="medium">
          <color indexed="64"/>
        </bottom>
        <vertical/>
        <horizontal/>
      </border>
    </dxf>
    <dxf>
      <font>
        <b/>
        <i val="0"/>
        <strike val="0"/>
        <condense val="0"/>
        <extend val="0"/>
        <outline val="0"/>
        <shadow val="0"/>
        <u val="none"/>
        <vertAlign val="baseline"/>
        <sz val="12"/>
        <color theme="1"/>
        <name val="Calibri"/>
        <family val="2"/>
        <scheme val="minor"/>
      </font>
      <numFmt numFmtId="13" formatCode="0%"/>
      <fill>
        <patternFill patternType="none">
          <fgColor indexed="64"/>
          <bgColor auto="1"/>
        </patternFill>
      </fill>
      <border diagonalUp="0" diagonalDown="0">
        <left style="medium">
          <color auto="1"/>
        </left>
        <right style="medium">
          <color auto="1"/>
        </right>
        <top/>
        <bottom style="medium">
          <color indexed="64"/>
        </bottom>
        <vertical/>
      </border>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border diagonalUp="0" diagonalDown="0">
        <left/>
        <right style="medium">
          <color auto="1"/>
        </right>
        <top/>
        <bottom/>
        <vertical/>
        <horizontal/>
      </border>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outline="0">
        <left style="thin">
          <color indexed="64"/>
        </left>
        <right style="thin">
          <color indexed="64"/>
        </right>
        <top/>
        <bottom/>
      </border>
      <protection locked="1" hidden="0"/>
    </dxf>
  </dxfs>
  <tableStyles count="0" defaultTableStyle="TableStyleMedium2" defaultPivotStyle="PivotStyleLight16"/>
  <colors>
    <mruColors>
      <color rgb="FF1CE44C"/>
      <color rgb="FFDEBDFF"/>
      <color rgb="FFC99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FTR</a:t>
            </a:r>
            <a:r>
              <a:rPr lang="en-US" baseline="0"/>
              <a:t> TREND OVERALL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'FTR Spec Change (Overall)'!$B$4</c:f>
              <c:strCache>
                <c:ptCount val="1"/>
                <c:pt idx="0">
                  <c:v>FTR (Current)</c:v>
                </c:pt>
              </c:strCache>
            </c:strRef>
          </c:tx>
          <c:spPr>
            <a:solidFill>
              <a:schemeClr val="accent1"/>
            </a:solidFill>
            <a:ln>
              <a:noFill/>
            </a:ln>
            <a:effectLst/>
          </c:spPr>
          <c:invertIfNegative val="0"/>
          <c:dLbls>
            <c:dLbl>
              <c:idx val="0"/>
              <c:layout>
                <c:manualLayout>
                  <c:x val="-1.041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62-437E-97BA-69087D658A31}"/>
                </c:ext>
              </c:extLst>
            </c:dLbl>
            <c:dLbl>
              <c:idx val="1"/>
              <c:layout>
                <c:manualLayout>
                  <c:x val="-8.680555555555555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D62-437E-97BA-69087D658A31}"/>
                </c:ext>
              </c:extLst>
            </c:dLbl>
            <c:dLbl>
              <c:idx val="6"/>
              <c:layout>
                <c:manualLayout>
                  <c:x val="-8.68055555555568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D62-437E-97BA-69087D658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(Overall)'!$C$4:$O$4</c15:sqref>
                  </c15:fullRef>
                </c:ext>
              </c:extLst>
              <c:f>('FTR Spec Change (Overall)'!$C$4:$H$4,'FTR Spec Change (Overall)'!$O$4)</c:f>
              <c:numCache>
                <c:formatCode>0%</c:formatCode>
                <c:ptCount val="7"/>
                <c:pt idx="0">
                  <c:v>0.58099999999999996</c:v>
                </c:pt>
                <c:pt idx="1">
                  <c:v>0.56100000000000005</c:v>
                </c:pt>
                <c:pt idx="6">
                  <c:v>0.57099999999999995</c:v>
                </c:pt>
              </c:numCache>
            </c:numRef>
          </c:val>
          <c:extLst>
            <c:ext xmlns:c16="http://schemas.microsoft.com/office/drawing/2014/chart" uri="{C3380CC4-5D6E-409C-BE32-E72D297353CC}">
              <c16:uniqueId val="{00000000-0D62-437E-97BA-69087D658A31}"/>
            </c:ext>
          </c:extLst>
        </c:ser>
        <c:ser>
          <c:idx val="1"/>
          <c:order val="1"/>
          <c:tx>
            <c:strRef>
              <c:f>'FTR Spec Change (Overall)'!$B$5</c:f>
              <c:strCache>
                <c:ptCount val="1"/>
                <c:pt idx="0">
                  <c:v>FTR (Proposed Spec change)</c:v>
                </c:pt>
              </c:strCache>
            </c:strRef>
          </c:tx>
          <c:spPr>
            <a:solidFill>
              <a:schemeClr val="accent2"/>
            </a:solidFill>
            <a:ln>
              <a:noFill/>
            </a:ln>
            <a:effectLst/>
          </c:spPr>
          <c:invertIfNegative val="0"/>
          <c:dLbls>
            <c:dLbl>
              <c:idx val="0"/>
              <c:layout>
                <c:manualLayout>
                  <c:x val="-1.736111111111111E-3"/>
                  <c:y val="-1.5151515151515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62-437E-97BA-69087D658A31}"/>
                </c:ext>
              </c:extLst>
            </c:dLbl>
            <c:dLbl>
              <c:idx val="1"/>
              <c:layout>
                <c:manualLayout>
                  <c:x val="-5.20833333333334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62-437E-97BA-69087D658A31}"/>
                </c:ext>
              </c:extLst>
            </c:dLbl>
            <c:dLbl>
              <c:idx val="6"/>
              <c:layout>
                <c:manualLayout>
                  <c:x val="-5.2083333333334605E-3"/>
                  <c:y val="-3.472182111278179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D62-437E-97BA-69087D658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(Overall)'!$C$5:$O$5</c15:sqref>
                  </c15:fullRef>
                </c:ext>
              </c:extLst>
              <c:f>('FTR Spec Change (Overall)'!$C$5:$H$5,'FTR Spec Change (Overall)'!$O$5)</c:f>
              <c:numCache>
                <c:formatCode>0%</c:formatCode>
                <c:ptCount val="7"/>
                <c:pt idx="0">
                  <c:v>0.60099999999999998</c:v>
                </c:pt>
                <c:pt idx="1">
                  <c:v>0.626</c:v>
                </c:pt>
                <c:pt idx="6">
                  <c:v>0.61349999999999993</c:v>
                </c:pt>
              </c:numCache>
            </c:numRef>
          </c:val>
          <c:extLst>
            <c:ext xmlns:c16="http://schemas.microsoft.com/office/drawing/2014/chart" uri="{C3380CC4-5D6E-409C-BE32-E72D297353CC}">
              <c16:uniqueId val="{00000001-0D62-437E-97BA-69087D658A31}"/>
            </c:ext>
          </c:extLst>
        </c:ser>
        <c:ser>
          <c:idx val="2"/>
          <c:order val="2"/>
          <c:tx>
            <c:strRef>
              <c:f>'FTR Spec Change (Overall)'!$B$6</c:f>
              <c:strCache>
                <c:ptCount val="1"/>
                <c:pt idx="0">
                  <c:v>FTR (Without Color/Bitterness)</c:v>
                </c:pt>
              </c:strCache>
            </c:strRef>
          </c:tx>
          <c:spPr>
            <a:solidFill>
              <a:schemeClr val="accent3"/>
            </a:solidFill>
            <a:ln>
              <a:noFill/>
            </a:ln>
            <a:effectLst/>
          </c:spPr>
          <c:invertIfNegative val="0"/>
          <c:dLbls>
            <c:dLbl>
              <c:idx val="0"/>
              <c:layout>
                <c:manualLayout>
                  <c:x val="0"/>
                  <c:y val="1.1363636363636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D62-437E-97BA-69087D658A31}"/>
                </c:ext>
              </c:extLst>
            </c:dLbl>
            <c:dLbl>
              <c:idx val="1"/>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D62-437E-97BA-69087D658A31}"/>
                </c:ext>
              </c:extLst>
            </c:dLbl>
            <c:dLbl>
              <c:idx val="6"/>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D62-437E-97BA-69087D658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(Overall)'!$C$6:$O$6</c15:sqref>
                  </c15:fullRef>
                </c:ext>
              </c:extLst>
              <c:f>('FTR Spec Change (Overall)'!$C$6:$H$6,'FTR Spec Change (Overall)'!$O$6)</c:f>
              <c:numCache>
                <c:formatCode>0%</c:formatCode>
                <c:ptCount val="7"/>
                <c:pt idx="0">
                  <c:v>0.72</c:v>
                </c:pt>
                <c:pt idx="1">
                  <c:v>0.73</c:v>
                </c:pt>
                <c:pt idx="6">
                  <c:v>0.72499999999999998</c:v>
                </c:pt>
              </c:numCache>
            </c:numRef>
          </c:val>
          <c:extLst>
            <c:ext xmlns:c16="http://schemas.microsoft.com/office/drawing/2014/chart" uri="{C3380CC4-5D6E-409C-BE32-E72D297353CC}">
              <c16:uniqueId val="{00000002-0D62-437E-97BA-69087D658A31}"/>
            </c:ext>
          </c:extLst>
        </c:ser>
        <c:dLbls>
          <c:showLegendKey val="0"/>
          <c:showVal val="0"/>
          <c:showCatName val="0"/>
          <c:showSerName val="0"/>
          <c:showPercent val="0"/>
          <c:showBubbleSize val="0"/>
        </c:dLbls>
        <c:gapWidth val="219"/>
        <c:axId val="396570688"/>
        <c:axId val="396564784"/>
      </c:barChart>
      <c:lineChart>
        <c:grouping val="standard"/>
        <c:varyColors val="0"/>
        <c:ser>
          <c:idx val="3"/>
          <c:order val="3"/>
          <c:tx>
            <c:strRef>
              <c:f>'FTR Spec Change (Overall)'!$B$7</c:f>
              <c:strCache>
                <c:ptCount val="1"/>
                <c:pt idx="0">
                  <c:v>TARGET</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(Overall)'!$C$7:$O$7</c15:sqref>
                  </c15:fullRef>
                </c:ext>
              </c:extLst>
              <c:f>('FTR Spec Change (Overall)'!$C$7:$H$7,'FTR Spec Change (Overall)'!$O$7)</c:f>
              <c:numCache>
                <c:formatCode>0%</c:formatCode>
                <c:ptCount val="7"/>
                <c:pt idx="0">
                  <c:v>0.8</c:v>
                </c:pt>
                <c:pt idx="1">
                  <c:v>0.8</c:v>
                </c:pt>
                <c:pt idx="2">
                  <c:v>0.8</c:v>
                </c:pt>
                <c:pt idx="3">
                  <c:v>0.8</c:v>
                </c:pt>
                <c:pt idx="4">
                  <c:v>0.8</c:v>
                </c:pt>
                <c:pt idx="5">
                  <c:v>0.8</c:v>
                </c:pt>
                <c:pt idx="6">
                  <c:v>0.8</c:v>
                </c:pt>
              </c:numCache>
            </c:numRef>
          </c:val>
          <c:smooth val="0"/>
          <c:extLst>
            <c:ext xmlns:c16="http://schemas.microsoft.com/office/drawing/2014/chart" uri="{C3380CC4-5D6E-409C-BE32-E72D297353CC}">
              <c16:uniqueId val="{00000003-0D62-437E-97BA-69087D658A31}"/>
            </c:ext>
          </c:extLst>
        </c:ser>
        <c:dLbls>
          <c:showLegendKey val="0"/>
          <c:showVal val="0"/>
          <c:showCatName val="0"/>
          <c:showSerName val="0"/>
          <c:showPercent val="0"/>
          <c:showBubbleSize val="0"/>
        </c:dLbls>
        <c:marker val="1"/>
        <c:smooth val="0"/>
        <c:axId val="396570688"/>
        <c:axId val="396564784"/>
      </c:lineChart>
      <c:catAx>
        <c:axId val="396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64784"/>
        <c:crosses val="autoZero"/>
        <c:auto val="1"/>
        <c:lblAlgn val="ctr"/>
        <c:lblOffset val="100"/>
        <c:noMultiLvlLbl val="0"/>
      </c:catAx>
      <c:valAx>
        <c:axId val="39656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7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FTR</a:t>
            </a:r>
            <a:r>
              <a:rPr lang="en-US" baseline="0"/>
              <a:t> TREND BBT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'FTR Spec Change (By Area)'!$B$4</c:f>
              <c:strCache>
                <c:ptCount val="1"/>
                <c:pt idx="0">
                  <c:v>FTR BBT (Current)</c:v>
                </c:pt>
              </c:strCache>
            </c:strRef>
          </c:tx>
          <c:spPr>
            <a:solidFill>
              <a:schemeClr val="accent1"/>
            </a:solidFill>
            <a:ln>
              <a:noFill/>
            </a:ln>
            <a:effectLst/>
          </c:spPr>
          <c:invertIfNegative val="0"/>
          <c:dLbls>
            <c:dLbl>
              <c:idx val="0"/>
              <c:layout>
                <c:manualLayout>
                  <c:x val="-1.041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F2-4C8C-8691-B72CE84DE585}"/>
                </c:ext>
              </c:extLst>
            </c:dLbl>
            <c:dLbl>
              <c:idx val="1"/>
              <c:layout>
                <c:manualLayout>
                  <c:x val="-8.680555555555555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F2-4C8C-8691-B72CE84DE585}"/>
                </c:ext>
              </c:extLst>
            </c:dLbl>
            <c:dLbl>
              <c:idx val="3"/>
              <c:layout>
                <c:manualLayout>
                  <c:x val="-8.68055555555568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F2-4C8C-8691-B72CE84DE5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Area)'!$C$3:$E$3,'FTR Spec Change (By Area)'!$O$3)</c:f>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Area)'!$C$4:$O$4</c15:sqref>
                  </c15:fullRef>
                </c:ext>
              </c:extLst>
              <c:f>('FTR Spec Change (By Area)'!$C$4:$E$4,'FTR Spec Change (By Area)'!$O$4)</c:f>
              <c:numCache>
                <c:formatCode>0%</c:formatCode>
                <c:ptCount val="4"/>
                <c:pt idx="0">
                  <c:v>0.28999999999999998</c:v>
                </c:pt>
                <c:pt idx="1">
                  <c:v>0.35</c:v>
                </c:pt>
                <c:pt idx="3">
                  <c:v>0.31999999999999995</c:v>
                </c:pt>
              </c:numCache>
            </c:numRef>
          </c:val>
          <c:extLst>
            <c:ext xmlns:c16="http://schemas.microsoft.com/office/drawing/2014/chart" uri="{C3380CC4-5D6E-409C-BE32-E72D297353CC}">
              <c16:uniqueId val="{00000003-B0F2-4C8C-8691-B72CE84DE585}"/>
            </c:ext>
          </c:extLst>
        </c:ser>
        <c:ser>
          <c:idx val="1"/>
          <c:order val="1"/>
          <c:tx>
            <c:strRef>
              <c:f>'FTR Spec Change (By Area)'!$B$5</c:f>
              <c:strCache>
                <c:ptCount val="1"/>
                <c:pt idx="0">
                  <c:v>FTR BBT (Proposed)</c:v>
                </c:pt>
              </c:strCache>
            </c:strRef>
          </c:tx>
          <c:spPr>
            <a:solidFill>
              <a:schemeClr val="accent2"/>
            </a:solidFill>
            <a:ln>
              <a:noFill/>
            </a:ln>
            <a:effectLst/>
          </c:spPr>
          <c:invertIfNegative val="0"/>
          <c:dLbls>
            <c:dLbl>
              <c:idx val="0"/>
              <c:layout>
                <c:manualLayout>
                  <c:x val="-1.736111111111111E-3"/>
                  <c:y val="-1.5151515151515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F2-4C8C-8691-B72CE84DE585}"/>
                </c:ext>
              </c:extLst>
            </c:dLbl>
            <c:dLbl>
              <c:idx val="1"/>
              <c:layout>
                <c:manualLayout>
                  <c:x val="-5.20833333333334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F2-4C8C-8691-B72CE84DE585}"/>
                </c:ext>
              </c:extLst>
            </c:dLbl>
            <c:dLbl>
              <c:idx val="3"/>
              <c:layout>
                <c:manualLayout>
                  <c:x val="-5.2083333333334605E-3"/>
                  <c:y val="-3.472182111278179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F2-4C8C-8691-B72CE84DE5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Area)'!$C$3:$E$3,'FTR Spec Change (By Area)'!$O$3)</c:f>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Area)'!$C$5:$O$5</c15:sqref>
                  </c15:fullRef>
                </c:ext>
              </c:extLst>
              <c:f>('FTR Spec Change (By Area)'!$C$5:$E$5,'FTR Spec Change (By Area)'!$O$5)</c:f>
              <c:numCache>
                <c:formatCode>0%</c:formatCode>
                <c:ptCount val="4"/>
                <c:pt idx="0">
                  <c:v>0.32</c:v>
                </c:pt>
                <c:pt idx="1">
                  <c:v>0.51</c:v>
                </c:pt>
                <c:pt idx="3">
                  <c:v>0.41500000000000004</c:v>
                </c:pt>
              </c:numCache>
            </c:numRef>
          </c:val>
          <c:extLst>
            <c:ext xmlns:c16="http://schemas.microsoft.com/office/drawing/2014/chart" uri="{C3380CC4-5D6E-409C-BE32-E72D297353CC}">
              <c16:uniqueId val="{00000007-B0F2-4C8C-8691-B72CE84DE585}"/>
            </c:ext>
          </c:extLst>
        </c:ser>
        <c:dLbls>
          <c:showLegendKey val="0"/>
          <c:showVal val="0"/>
          <c:showCatName val="0"/>
          <c:showSerName val="0"/>
          <c:showPercent val="0"/>
          <c:showBubbleSize val="0"/>
        </c:dLbls>
        <c:gapWidth val="150"/>
        <c:axId val="396570688"/>
        <c:axId val="396564784"/>
        <c:extLst>
          <c:ext xmlns:c15="http://schemas.microsoft.com/office/drawing/2012/chart" uri="{02D57815-91ED-43cb-92C2-25804820EDAC}">
            <c15:filteredBarSeries>
              <c15:ser>
                <c:idx val="2"/>
                <c:order val="2"/>
                <c:tx>
                  <c:strRef>
                    <c:extLst>
                      <c:ext uri="{02D57815-91ED-43cb-92C2-25804820EDAC}">
                        <c15:formulaRef>
                          <c15:sqref>'FTR Spec Change (By Area)'!$B$6</c15:sqref>
                        </c15:formulaRef>
                      </c:ext>
                    </c:extLst>
                    <c:strCache>
                      <c:ptCount val="1"/>
                      <c:pt idx="0">
                        <c:v>FTR Finished Product (Current)</c:v>
                      </c:pt>
                    </c:strCache>
                  </c:strRef>
                </c:tx>
                <c:spPr>
                  <a:solidFill>
                    <a:schemeClr val="accent3"/>
                  </a:solidFill>
                  <a:ln>
                    <a:noFill/>
                  </a:ln>
                  <a:effectLst/>
                </c:spPr>
                <c:invertIfNegative val="0"/>
                <c:cat>
                  <c:strRef>
                    <c:extLst>
                      <c:ext uri="{02D57815-91ED-43cb-92C2-25804820EDAC}">
                        <c15:fullRef>
                          <c15:sqref>'FTR Spec Change (By Area)'!$C$3:$O$3</c15:sqref>
                        </c15:fullRef>
                        <c15:formulaRef>
                          <c15:sqref>('FTR Spec Change (By Area)'!$C$3:$E$3,'FTR Spec Change (By Area)'!$O$3)</c15:sqref>
                        </c15:formulaRef>
                      </c:ext>
                    </c:extLst>
                    <c:strCache>
                      <c:ptCount val="4"/>
                      <c:pt idx="0">
                        <c:v>JAN</c:v>
                      </c:pt>
                      <c:pt idx="1">
                        <c:v>FEB</c:v>
                      </c:pt>
                      <c:pt idx="2">
                        <c:v>MAR</c:v>
                      </c:pt>
                      <c:pt idx="3">
                        <c:v>YTD</c:v>
                      </c:pt>
                    </c:strCache>
                  </c:strRef>
                </c:cat>
                <c:val>
                  <c:numRef>
                    <c:extLst>
                      <c:ext uri="{02D57815-91ED-43cb-92C2-25804820EDAC}">
                        <c15:fullRef>
                          <c15:sqref>'FTR Spec Change (By Area)'!$C$6:$O$6</c15:sqref>
                        </c15:fullRef>
                        <c15:formulaRef>
                          <c15:sqref>('FTR Spec Change (By Area)'!$C$6:$E$6,'FTR Spec Change (By Area)'!$O$6)</c15:sqref>
                        </c15:formulaRef>
                      </c:ext>
                    </c:extLst>
                    <c:numCache>
                      <c:formatCode>0%</c:formatCode>
                      <c:ptCount val="4"/>
                      <c:pt idx="0">
                        <c:v>0.3</c:v>
                      </c:pt>
                      <c:pt idx="1">
                        <c:v>0.17</c:v>
                      </c:pt>
                      <c:pt idx="3">
                        <c:v>0.23499999999999999</c:v>
                      </c:pt>
                    </c:numCache>
                  </c:numRef>
                </c:val>
                <c:extLst>
                  <c:ext xmlns:c16="http://schemas.microsoft.com/office/drawing/2014/chart" uri="{C3380CC4-5D6E-409C-BE32-E72D297353CC}">
                    <c16:uniqueId val="{0000000B-B0F2-4C8C-8691-B72CE84DE58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'FTR Spec Change (By Area)'!$B$7</c15:sqref>
                        </c15:formulaRef>
                      </c:ext>
                    </c:extLst>
                    <c:strCache>
                      <c:ptCount val="1"/>
                      <c:pt idx="0">
                        <c:v>FTR Finished Product (Proposed)</c:v>
                      </c:pt>
                    </c:strCache>
                  </c:strRef>
                </c:tx>
                <c:spPr>
                  <a:solidFill>
                    <a:schemeClr val="accent4"/>
                  </a:solidFill>
                  <a:ln>
                    <a:noFill/>
                  </a:ln>
                  <a:effectLst/>
                </c:spPr>
                <c:invertIfNegative val="0"/>
                <c:dLbls>
                  <c:dLbl>
                    <c:idx val="0"/>
                    <c:layout>
                      <c:manualLayout>
                        <c:x val="0"/>
                        <c:y val="1.136363636363632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D744-4D0A-BA2E-DF2C94992BCB}"/>
                      </c:ext>
                    </c:extLst>
                  </c:dLbl>
                  <c:dLbl>
                    <c:idx val="1"/>
                    <c:layout>
                      <c:manualLayout>
                        <c:x val="0"/>
                        <c:y val="1.136363636363636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D744-4D0A-BA2E-DF2C94992BCB}"/>
                      </c:ext>
                    </c:extLst>
                  </c:dLbl>
                  <c:dLbl>
                    <c:idx val="3"/>
                    <c:layout>
                      <c:manualLayout>
                        <c:x val="0"/>
                        <c:y val="1.136363636363636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D744-4D0A-BA2E-DF2C94992B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15:formulaRef>
                          <c15:sqref>('FTR Spec Change (By Area)'!$C$3:$E$3,'FTR Spec Change (By Area)'!$O$3)</c15:sqref>
                        </c15:formulaRef>
                      </c:ext>
                    </c:extLst>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Area)'!$C$7:$O$7</c15:sqref>
                        </c15:fullRef>
                        <c15:formulaRef>
                          <c15:sqref>('FTR Spec Change (By Area)'!$C$7:$E$7,'FTR Spec Change (By Area)'!$O$7)</c15:sqref>
                        </c15:formulaRef>
                      </c:ext>
                    </c:extLst>
                    <c:numCache>
                      <c:formatCode>0%</c:formatCode>
                      <c:ptCount val="4"/>
                      <c:pt idx="0">
                        <c:v>0.39</c:v>
                      </c:pt>
                      <c:pt idx="1">
                        <c:v>0.4</c:v>
                      </c:pt>
                      <c:pt idx="3">
                        <c:v>0.39500000000000002</c:v>
                      </c:pt>
                    </c:numCache>
                  </c:numRef>
                </c:val>
                <c:extLst xmlns:c15="http://schemas.microsoft.com/office/drawing/2012/chart">
                  <c:ext xmlns:c16="http://schemas.microsoft.com/office/drawing/2014/chart" uri="{C3380CC4-5D6E-409C-BE32-E72D297353CC}">
                    <c16:uniqueId val="{0000000C-B0F2-4C8C-8691-B72CE84DE585}"/>
                  </c:ext>
                </c:extLst>
              </c15:ser>
            </c15:filteredBarSeries>
          </c:ext>
        </c:extLst>
      </c:barChart>
      <c:lineChart>
        <c:grouping val="standard"/>
        <c:varyColors val="0"/>
        <c:ser>
          <c:idx val="4"/>
          <c:order val="4"/>
          <c:tx>
            <c:strRef>
              <c:f>'FTR Spec Change (By Area)'!$B$8</c:f>
              <c:strCache>
                <c:ptCount val="1"/>
                <c:pt idx="0">
                  <c:v>TARGET</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'FTR Spec Change (By Area)'!$C$3:$O$3</c15:sqref>
                  </c15:fullRef>
                </c:ext>
              </c:extLst>
              <c:f>('FTR Spec Change (By Area)'!$C$3:$E$3,'FTR Spec Change (By Area)'!$O$3)</c:f>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Area)'!$C$8:$O$8</c15:sqref>
                  </c15:fullRef>
                </c:ext>
              </c:extLst>
              <c:f>('FTR Spec Change (By Area)'!$C$8:$E$8,'FTR Spec Change (By Area)'!$O$8)</c:f>
              <c:numCache>
                <c:formatCode>0%</c:formatCode>
                <c:ptCount val="4"/>
                <c:pt idx="0">
                  <c:v>0.8</c:v>
                </c:pt>
                <c:pt idx="1">
                  <c:v>0.8</c:v>
                </c:pt>
                <c:pt idx="2">
                  <c:v>0.8</c:v>
                </c:pt>
                <c:pt idx="3">
                  <c:v>0.8</c:v>
                </c:pt>
              </c:numCache>
            </c:numRef>
          </c:val>
          <c:smooth val="0"/>
          <c:extLst>
            <c:ext xmlns:c16="http://schemas.microsoft.com/office/drawing/2014/chart" uri="{C3380CC4-5D6E-409C-BE32-E72D297353CC}">
              <c16:uniqueId val="{0000000D-B0F2-4C8C-8691-B72CE84DE585}"/>
            </c:ext>
          </c:extLst>
        </c:ser>
        <c:dLbls>
          <c:showLegendKey val="0"/>
          <c:showVal val="0"/>
          <c:showCatName val="0"/>
          <c:showSerName val="0"/>
          <c:showPercent val="0"/>
          <c:showBubbleSize val="0"/>
        </c:dLbls>
        <c:marker val="1"/>
        <c:smooth val="0"/>
        <c:axId val="396570688"/>
        <c:axId val="396564784"/>
      </c:lineChart>
      <c:catAx>
        <c:axId val="396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64784"/>
        <c:crosses val="autoZero"/>
        <c:auto val="1"/>
        <c:lblAlgn val="ctr"/>
        <c:lblOffset val="100"/>
        <c:noMultiLvlLbl val="0"/>
      </c:catAx>
      <c:valAx>
        <c:axId val="39656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657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FTR</a:t>
            </a:r>
            <a:r>
              <a:rPr lang="en-US" baseline="0"/>
              <a:t> TREND FINISHED PRODUCT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'FTR Spec Change (By Area)'!$B$6</c:f>
              <c:strCache>
                <c:ptCount val="1"/>
                <c:pt idx="0">
                  <c:v>FTR Finished Product (Current)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Area)'!$C$3:$H$3,'FTR Spec Change (By Area)'!$O$3)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Area)'!$C$6:$O$6</c15:sqref>
                  </c15:fullRef>
                </c:ext>
              </c:extLst>
              <c:f>('FTR Spec Change (By Area)'!$C$6:$H$6,'FTR Spec Change (By Area)'!$O$6)</c:f>
              <c:numCache>
                <c:formatCode>0%</c:formatCode>
                <c:ptCount val="7"/>
                <c:pt idx="0">
                  <c:v>0.3</c:v>
                </c:pt>
                <c:pt idx="1">
                  <c:v>0.17</c:v>
                </c:pt>
                <c:pt idx="6">
                  <c:v>0.23499999999999999</c:v>
                </c:pt>
              </c:numCache>
            </c:numRef>
          </c:val>
          <c:extLst>
            <c:ext xmlns:c16="http://schemas.microsoft.com/office/drawing/2014/chart" uri="{C3380CC4-5D6E-409C-BE32-E72D297353CC}">
              <c16:uniqueId val="{00000008-1E81-4B6F-8FF6-5085593D9C44}"/>
            </c:ext>
          </c:extLst>
        </c:ser>
        <c:ser>
          <c:idx val="3"/>
          <c:order val="3"/>
          <c:tx>
            <c:strRef>
              <c:f>'FTR Spec Change (By Area)'!$B$7</c:f>
              <c:strCache>
                <c:ptCount val="1"/>
                <c:pt idx="0">
                  <c:v>FTR Finished Product (Proposed)</c:v>
                </c:pt>
              </c:strCache>
            </c:strRef>
          </c:tx>
          <c:spPr>
            <a:solidFill>
              <a:schemeClr val="accent4"/>
            </a:solidFill>
            <a:ln>
              <a:noFill/>
            </a:ln>
            <a:effectLst/>
          </c:spPr>
          <c:invertIfNegative val="0"/>
          <c:dLbls>
            <c:dLbl>
              <c:idx val="0"/>
              <c:layout>
                <c:manualLayout>
                  <c:x val="0"/>
                  <c:y val="1.1363636363636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81-4B6F-8FF6-5085593D9C44}"/>
                </c:ext>
              </c:extLst>
            </c:dLbl>
            <c:dLbl>
              <c:idx val="1"/>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81-4B6F-8FF6-5085593D9C44}"/>
                </c:ext>
              </c:extLst>
            </c:dLbl>
            <c:dLbl>
              <c:idx val="6"/>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81-4B6F-8FF6-5085593D9C4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Area)'!$C$3:$H$3,'FTR Spec Change (By Area)'!$O$3)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Area)'!$C$7:$O$7</c15:sqref>
                  </c15:fullRef>
                </c:ext>
              </c:extLst>
              <c:f>('FTR Spec Change (By Area)'!$C$7:$H$7,'FTR Spec Change (By Area)'!$O$7)</c:f>
              <c:numCache>
                <c:formatCode>0%</c:formatCode>
                <c:ptCount val="7"/>
                <c:pt idx="0">
                  <c:v>0.39</c:v>
                </c:pt>
                <c:pt idx="1">
                  <c:v>0.4</c:v>
                </c:pt>
                <c:pt idx="6">
                  <c:v>0.39500000000000002</c:v>
                </c:pt>
              </c:numCache>
            </c:numRef>
          </c:val>
          <c:extLst>
            <c:ext xmlns:c16="http://schemas.microsoft.com/office/drawing/2014/chart" uri="{C3380CC4-5D6E-409C-BE32-E72D297353CC}">
              <c16:uniqueId val="{0000000C-1E81-4B6F-8FF6-5085593D9C44}"/>
            </c:ext>
          </c:extLst>
        </c:ser>
        <c:dLbls>
          <c:showLegendKey val="0"/>
          <c:showVal val="0"/>
          <c:showCatName val="0"/>
          <c:showSerName val="0"/>
          <c:showPercent val="0"/>
          <c:showBubbleSize val="0"/>
        </c:dLbls>
        <c:gapWidth val="150"/>
        <c:axId val="396570688"/>
        <c:axId val="396564784"/>
        <c:extLst>
          <c:ext xmlns:c15="http://schemas.microsoft.com/office/drawing/2012/chart" uri="{02D57815-91ED-43cb-92C2-25804820EDAC}">
            <c15:filteredBarSeries>
              <c15:ser>
                <c:idx val="0"/>
                <c:order val="0"/>
                <c:tx>
                  <c:strRef>
                    <c:extLst>
                      <c:ext uri="{02D57815-91ED-43cb-92C2-25804820EDAC}">
                        <c15:formulaRef>
                          <c15:sqref>'FTR Spec Change (By Area)'!$B$4</c15:sqref>
                        </c15:formulaRef>
                      </c:ext>
                    </c:extLst>
                    <c:strCache>
                      <c:ptCount val="1"/>
                      <c:pt idx="0">
                        <c:v>FTR BBT (Current)</c:v>
                      </c:pt>
                    </c:strCache>
                  </c:strRef>
                </c:tx>
                <c:spPr>
                  <a:solidFill>
                    <a:schemeClr val="accent1"/>
                  </a:solidFill>
                  <a:ln>
                    <a:noFill/>
                  </a:ln>
                  <a:effectLst/>
                </c:spPr>
                <c:invertIfNegative val="0"/>
                <c:dLbls>
                  <c:dLbl>
                    <c:idx val="0"/>
                    <c:layout>
                      <c:manualLayout>
                        <c:x val="-1.0416666666666666E-2"/>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1E81-4B6F-8FF6-5085593D9C44}"/>
                      </c:ext>
                    </c:extLst>
                  </c:dLbl>
                  <c:dLbl>
                    <c:idx val="1"/>
                    <c:layout>
                      <c:manualLayout>
                        <c:x val="-8.6805555555555559E-3"/>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1-1E81-4B6F-8FF6-5085593D9C44}"/>
                      </c:ext>
                    </c:extLst>
                  </c:dLbl>
                  <c:dLbl>
                    <c:idx val="6"/>
                    <c:layout>
                      <c:manualLayout>
                        <c:x val="-8.6805555555556826E-3"/>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2-1E81-4B6F-8FF6-5085593D9C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'FTR Spec Change (By Area)'!$C$3:$O$3</c15:sqref>
                        </c15:fullRef>
                        <c15:formulaRef>
                          <c15:sqref>('FTR Spec Change (By Area)'!$C$3:$H$3,'FTR Spec Change (By Area)'!$O$3)</c15:sqref>
                        </c15:formulaRef>
                      </c:ext>
                    </c:extLst>
                    <c:strCache>
                      <c:ptCount val="7"/>
                      <c:pt idx="0">
                        <c:v>JAN</c:v>
                      </c:pt>
                      <c:pt idx="1">
                        <c:v>FEB</c:v>
                      </c:pt>
                      <c:pt idx="2">
                        <c:v>MAR</c:v>
                      </c:pt>
                      <c:pt idx="3">
                        <c:v>APR</c:v>
                      </c:pt>
                      <c:pt idx="4">
                        <c:v>MAY</c:v>
                      </c:pt>
                      <c:pt idx="5">
                        <c:v>JUN</c:v>
                      </c:pt>
                      <c:pt idx="6">
                        <c:v>YTD</c:v>
                      </c:pt>
                    </c:strCache>
                  </c:strRef>
                </c:cat>
                <c:val>
                  <c:numRef>
                    <c:extLst>
                      <c:ext uri="{02D57815-91ED-43cb-92C2-25804820EDAC}">
                        <c15:fullRef>
                          <c15:sqref>'FTR Spec Change (By Area)'!$C$4:$O$4</c15:sqref>
                        </c15:fullRef>
                        <c15:formulaRef>
                          <c15:sqref>('FTR Spec Change (By Area)'!$C$4:$H$4,'FTR Spec Change (By Area)'!$O$4)</c15:sqref>
                        </c15:formulaRef>
                      </c:ext>
                    </c:extLst>
                    <c:numCache>
                      <c:formatCode>0%</c:formatCode>
                      <c:ptCount val="7"/>
                      <c:pt idx="0">
                        <c:v>0.28999999999999998</c:v>
                      </c:pt>
                      <c:pt idx="1">
                        <c:v>0.35</c:v>
                      </c:pt>
                      <c:pt idx="6">
                        <c:v>0.31999999999999995</c:v>
                      </c:pt>
                    </c:numCache>
                  </c:numRef>
                </c:val>
                <c:extLst>
                  <c:ext xmlns:c16="http://schemas.microsoft.com/office/drawing/2014/chart" uri="{C3380CC4-5D6E-409C-BE32-E72D297353CC}">
                    <c16:uniqueId val="{00000003-1E81-4B6F-8FF6-5085593D9C4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'FTR Spec Change (By Area)'!$B$5</c15:sqref>
                        </c15:formulaRef>
                      </c:ext>
                    </c:extLst>
                    <c:strCache>
                      <c:ptCount val="1"/>
                      <c:pt idx="0">
                        <c:v>FTR BBT (Proposed)</c:v>
                      </c:pt>
                    </c:strCache>
                  </c:strRef>
                </c:tx>
                <c:spPr>
                  <a:solidFill>
                    <a:schemeClr val="accent2"/>
                  </a:solidFill>
                  <a:ln>
                    <a:noFill/>
                  </a:ln>
                  <a:effectLst/>
                </c:spPr>
                <c:invertIfNegative val="0"/>
                <c:dLbls>
                  <c:dLbl>
                    <c:idx val="0"/>
                    <c:layout>
                      <c:manualLayout>
                        <c:x val="-1.736111111111111E-3"/>
                        <c:y val="-1.5151515151515152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1E81-4B6F-8FF6-5085593D9C44}"/>
                      </c:ext>
                    </c:extLst>
                  </c:dLbl>
                  <c:dLbl>
                    <c:idx val="1"/>
                    <c:layout>
                      <c:manualLayout>
                        <c:x val="-5.2083333333333495E-3"/>
                        <c:y val="0"/>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1E81-4B6F-8FF6-5085593D9C44}"/>
                      </c:ext>
                    </c:extLst>
                  </c:dLbl>
                  <c:dLbl>
                    <c:idx val="6"/>
                    <c:layout>
                      <c:manualLayout>
                        <c:x val="-5.2083333333334605E-3"/>
                        <c:y val="-3.4721821112781798E-17"/>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1E81-4B6F-8FF6-5085593D9C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15:formulaRef>
                          <c15:sqref>('FTR Spec Change (By Area)'!$C$3:$H$3,'FTR Spec Change (By Area)'!$O$3)</c15:sqref>
                        </c15:formulaRef>
                      </c:ext>
                    </c:extLst>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Area)'!$C$5:$O$5</c15:sqref>
                        </c15:fullRef>
                        <c15:formulaRef>
                          <c15:sqref>('FTR Spec Change (By Area)'!$C$5:$H$5,'FTR Spec Change (By Area)'!$O$5)</c15:sqref>
                        </c15:formulaRef>
                      </c:ext>
                    </c:extLst>
                    <c:numCache>
                      <c:formatCode>0%</c:formatCode>
                      <c:ptCount val="7"/>
                      <c:pt idx="0">
                        <c:v>0.32</c:v>
                      </c:pt>
                      <c:pt idx="1">
                        <c:v>0.51</c:v>
                      </c:pt>
                      <c:pt idx="6">
                        <c:v>0.41500000000000004</c:v>
                      </c:pt>
                    </c:numCache>
                  </c:numRef>
                </c:val>
                <c:extLst xmlns:c15="http://schemas.microsoft.com/office/drawing/2012/chart">
                  <c:ext xmlns:c16="http://schemas.microsoft.com/office/drawing/2014/chart" uri="{C3380CC4-5D6E-409C-BE32-E72D297353CC}">
                    <c16:uniqueId val="{00000007-1E81-4B6F-8FF6-5085593D9C44}"/>
                  </c:ext>
                </c:extLst>
              </c15:ser>
            </c15:filteredBarSeries>
          </c:ext>
        </c:extLst>
      </c:barChart>
      <c:lineChart>
        <c:grouping val="standard"/>
        <c:varyColors val="0"/>
        <c:ser>
          <c:idx val="4"/>
          <c:order val="4"/>
          <c:tx>
            <c:strRef>
              <c:f>'FTR Spec Change (By Area)'!$B$8</c:f>
              <c:strCache>
                <c:ptCount val="1"/>
                <c:pt idx="0">
                  <c:v>TARGET</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'FTR Spec Change (By Area)'!$C$3:$O$3</c15:sqref>
                  </c15:fullRef>
                </c:ext>
              </c:extLst>
              <c:f>('FTR Spec Change (By Area)'!$C$3:$H$3,'FTR Spec Change (By Area)'!$O$3)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Area)'!$C$8:$O$8</c15:sqref>
                  </c15:fullRef>
                </c:ext>
              </c:extLst>
              <c:f>('FTR Spec Change (By Area)'!$C$8:$H$8,'FTR Spec Change (By Area)'!$O$8)</c:f>
              <c:numCache>
                <c:formatCode>0%</c:formatCode>
                <c:ptCount val="7"/>
                <c:pt idx="0">
                  <c:v>0.8</c:v>
                </c:pt>
                <c:pt idx="1">
                  <c:v>0.8</c:v>
                </c:pt>
                <c:pt idx="2">
                  <c:v>0.8</c:v>
                </c:pt>
                <c:pt idx="3">
                  <c:v>0.8</c:v>
                </c:pt>
                <c:pt idx="4">
                  <c:v>0.8</c:v>
                </c:pt>
                <c:pt idx="5">
                  <c:v>0.8</c:v>
                </c:pt>
                <c:pt idx="6">
                  <c:v>0.8</c:v>
                </c:pt>
              </c:numCache>
            </c:numRef>
          </c:val>
          <c:smooth val="0"/>
          <c:extLst>
            <c:ext xmlns:c16="http://schemas.microsoft.com/office/drawing/2014/chart" uri="{C3380CC4-5D6E-409C-BE32-E72D297353CC}">
              <c16:uniqueId val="{0000000D-1E81-4B6F-8FF6-5085593D9C44}"/>
            </c:ext>
          </c:extLst>
        </c:ser>
        <c:dLbls>
          <c:showLegendKey val="0"/>
          <c:showVal val="0"/>
          <c:showCatName val="0"/>
          <c:showSerName val="0"/>
          <c:showPercent val="0"/>
          <c:showBubbleSize val="0"/>
        </c:dLbls>
        <c:marker val="1"/>
        <c:smooth val="0"/>
        <c:axId val="396570688"/>
        <c:axId val="396564784"/>
      </c:lineChart>
      <c:catAx>
        <c:axId val="396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64784"/>
        <c:crosses val="autoZero"/>
        <c:auto val="1"/>
        <c:lblAlgn val="ctr"/>
        <c:lblOffset val="100"/>
        <c:noMultiLvlLbl val="0"/>
      </c:catAx>
      <c:valAx>
        <c:axId val="39656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657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chemeClr val="tx1">
                    <a:lumMod val="95000"/>
                    <a:lumOff val="5000"/>
                  </a:schemeClr>
                </a:solidFill>
                <a:latin typeface="+mn-lt"/>
                <a:ea typeface="+mn-ea"/>
                <a:cs typeface="+mn-cs"/>
              </a:defRPr>
            </a:pPr>
            <a:r>
              <a:rPr lang="en-US" sz="1400">
                <a:solidFill>
                  <a:schemeClr val="tx1">
                    <a:lumMod val="95000"/>
                    <a:lumOff val="5000"/>
                  </a:schemeClr>
                </a:solidFill>
              </a:rPr>
              <a:t>FTR YTD TREND</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4.2225630060048348E-2"/>
          <c:y val="8.6454524825930607E-2"/>
          <c:w val="0.76647370792370939"/>
          <c:h val="0.82160085382943115"/>
        </c:manualLayout>
      </c:layout>
      <c:lineChart>
        <c:grouping val="standard"/>
        <c:varyColors val="0"/>
        <c:ser>
          <c:idx val="0"/>
          <c:order val="0"/>
          <c:tx>
            <c:strRef>
              <c:f>'FTR Trend'!$B$4</c:f>
              <c:strCache>
                <c:ptCount val="1"/>
                <c:pt idx="0">
                  <c:v>FTR Brewing</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Trend'!$C$4:$N$4</c:f>
              <c:numCache>
                <c:formatCode>0%</c:formatCode>
                <c:ptCount val="12"/>
                <c:pt idx="0">
                  <c:v>0.43506493506493504</c:v>
                </c:pt>
                <c:pt idx="1">
                  <c:v>0.41538461538461541</c:v>
                </c:pt>
                <c:pt idx="2">
                  <c:v>0.36</c:v>
                </c:pt>
                <c:pt idx="3">
                  <c:v>0.3577981651376147</c:v>
                </c:pt>
                <c:pt idx="4">
                  <c:v>0.647887323943662</c:v>
                </c:pt>
                <c:pt idx="5">
                  <c:v>0.71969696969696972</c:v>
                </c:pt>
                <c:pt idx="6">
                  <c:v>0</c:v>
                </c:pt>
                <c:pt idx="7">
                  <c:v>0</c:v>
                </c:pt>
              </c:numCache>
            </c:numRef>
          </c:val>
          <c:smooth val="0"/>
          <c:extLst>
            <c:ext xmlns:c16="http://schemas.microsoft.com/office/drawing/2014/chart" uri="{C3380CC4-5D6E-409C-BE32-E72D297353CC}">
              <c16:uniqueId val="{00000000-87E4-4713-988D-23047BBFD72E}"/>
            </c:ext>
          </c:extLst>
        </c:ser>
        <c:ser>
          <c:idx val="1"/>
          <c:order val="1"/>
          <c:tx>
            <c:strRef>
              <c:f>'FTR Trend'!$B$5</c:f>
              <c:strCache>
                <c:ptCount val="1"/>
                <c:pt idx="0">
                  <c:v>FTR Fermentation</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Trend'!$C$5:$N$5</c:f>
              <c:numCache>
                <c:formatCode>0%</c:formatCode>
                <c:ptCount val="12"/>
                <c:pt idx="0">
                  <c:v>0.53333333333333333</c:v>
                </c:pt>
                <c:pt idx="1">
                  <c:v>0.5625</c:v>
                </c:pt>
                <c:pt idx="2">
                  <c:v>0.48571428571428571</c:v>
                </c:pt>
                <c:pt idx="3">
                  <c:v>0.52631578947368418</c:v>
                </c:pt>
                <c:pt idx="4">
                  <c:v>0.5</c:v>
                </c:pt>
                <c:pt idx="5">
                  <c:v>0.77272727272727271</c:v>
                </c:pt>
                <c:pt idx="6">
                  <c:v>0</c:v>
                </c:pt>
                <c:pt idx="7">
                  <c:v>0</c:v>
                </c:pt>
              </c:numCache>
            </c:numRef>
          </c:val>
          <c:smooth val="0"/>
          <c:extLst>
            <c:ext xmlns:c16="http://schemas.microsoft.com/office/drawing/2014/chart" uri="{C3380CC4-5D6E-409C-BE32-E72D297353CC}">
              <c16:uniqueId val="{00000001-87E4-4713-988D-23047BBFD72E}"/>
            </c:ext>
          </c:extLst>
        </c:ser>
        <c:ser>
          <c:idx val="2"/>
          <c:order val="2"/>
          <c:tx>
            <c:strRef>
              <c:f>'FTR Trend'!$B$6</c:f>
              <c:strCache>
                <c:ptCount val="1"/>
                <c:pt idx="0">
                  <c:v>FTR BBT</c:v>
                </c:pt>
              </c:strCache>
            </c:strRef>
          </c:tx>
          <c:spPr>
            <a:ln w="22225" cap="rnd">
              <a:solidFill>
                <a:srgbClr val="7030A0"/>
              </a:solidFill>
              <a:round/>
            </a:ln>
            <a:effectLst/>
          </c:spPr>
          <c:marker>
            <c:symbol val="triangle"/>
            <c:size val="6"/>
            <c:spPr>
              <a:solidFill>
                <a:srgbClr val="7030A0"/>
              </a:solidFill>
              <a:ln w="9525">
                <a:solidFill>
                  <a:srgbClr val="7030A0"/>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Trend'!$C$6:$N$6</c:f>
              <c:numCache>
                <c:formatCode>0%</c:formatCode>
                <c:ptCount val="12"/>
                <c:pt idx="0">
                  <c:v>0.78125</c:v>
                </c:pt>
                <c:pt idx="1">
                  <c:v>0.95238095238095233</c:v>
                </c:pt>
                <c:pt idx="2">
                  <c:v>0.9452054794520548</c:v>
                </c:pt>
                <c:pt idx="3">
                  <c:v>0.95890410958904104</c:v>
                </c:pt>
                <c:pt idx="4">
                  <c:v>0.40816326530612246</c:v>
                </c:pt>
                <c:pt idx="5">
                  <c:v>0.64814814814814814</c:v>
                </c:pt>
                <c:pt idx="6">
                  <c:v>0</c:v>
                </c:pt>
                <c:pt idx="7">
                  <c:v>0</c:v>
                </c:pt>
              </c:numCache>
            </c:numRef>
          </c:val>
          <c:smooth val="0"/>
          <c:extLst>
            <c:ext xmlns:c16="http://schemas.microsoft.com/office/drawing/2014/chart" uri="{C3380CC4-5D6E-409C-BE32-E72D297353CC}">
              <c16:uniqueId val="{00000002-87E4-4713-988D-23047BBFD72E}"/>
            </c:ext>
          </c:extLst>
        </c:ser>
        <c:ser>
          <c:idx val="3"/>
          <c:order val="3"/>
          <c:tx>
            <c:strRef>
              <c:f>'FTR Trend'!$B$7</c:f>
              <c:strCache>
                <c:ptCount val="1"/>
                <c:pt idx="0">
                  <c:v>FTR Packaging</c:v>
                </c:pt>
              </c:strCache>
            </c:strRef>
          </c:tx>
          <c:spPr>
            <a:ln w="22225" cap="rnd">
              <a:solidFill>
                <a:schemeClr val="accent4"/>
              </a:solidFill>
              <a:round/>
            </a:ln>
            <a:effectLst/>
          </c:spPr>
          <c:marker>
            <c:symbol val="x"/>
            <c:size val="6"/>
            <c:spPr>
              <a:noFill/>
              <a:ln w="9525">
                <a:solidFill>
                  <a:schemeClr val="accent4"/>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Trend'!$C$7:$N$7</c:f>
              <c:numCache>
                <c:formatCode>0%</c:formatCode>
                <c:ptCount val="12"/>
                <c:pt idx="0">
                  <c:v>0.87804878048780488</c:v>
                </c:pt>
                <c:pt idx="1">
                  <c:v>1</c:v>
                </c:pt>
                <c:pt idx="2">
                  <c:v>0.97727272727272729</c:v>
                </c:pt>
                <c:pt idx="3">
                  <c:v>0.98</c:v>
                </c:pt>
                <c:pt idx="4">
                  <c:v>0.66666666666666663</c:v>
                </c:pt>
                <c:pt idx="5">
                  <c:v>0.61904761904761907</c:v>
                </c:pt>
                <c:pt idx="6">
                  <c:v>0</c:v>
                </c:pt>
                <c:pt idx="7">
                  <c:v>0</c:v>
                </c:pt>
              </c:numCache>
            </c:numRef>
          </c:val>
          <c:smooth val="0"/>
          <c:extLst>
            <c:ext xmlns:c16="http://schemas.microsoft.com/office/drawing/2014/chart" uri="{C3380CC4-5D6E-409C-BE32-E72D297353CC}">
              <c16:uniqueId val="{00000003-87E4-4713-988D-23047BBFD72E}"/>
            </c:ext>
          </c:extLst>
        </c:ser>
        <c:ser>
          <c:idx val="4"/>
          <c:order val="4"/>
          <c:tx>
            <c:strRef>
              <c:f>'FTR Trend'!$B$8</c:f>
              <c:strCache>
                <c:ptCount val="1"/>
                <c:pt idx="0">
                  <c:v>FTR Micro</c:v>
                </c:pt>
              </c:strCache>
            </c:strRef>
          </c:tx>
          <c:spPr>
            <a:ln w="22225" cap="rnd">
              <a:solidFill>
                <a:schemeClr val="bg2">
                  <a:lumMod val="25000"/>
                </a:schemeClr>
              </a:solidFill>
              <a:round/>
            </a:ln>
            <a:effectLst/>
          </c:spPr>
          <c:marker>
            <c:symbol val="star"/>
            <c:size val="6"/>
            <c:spPr>
              <a:solidFill>
                <a:schemeClr val="tx1">
                  <a:lumMod val="85000"/>
                  <a:lumOff val="15000"/>
                </a:schemeClr>
              </a:solidFill>
              <a:ln w="9525">
                <a:solidFill>
                  <a:schemeClr val="bg2">
                    <a:lumMod val="25000"/>
                  </a:schemeClr>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Trend'!$C$8:$N$8</c:f>
              <c:numCache>
                <c:formatCode>0%</c:formatCode>
                <c:ptCount val="12"/>
                <c:pt idx="0">
                  <c:v>0.76</c:v>
                </c:pt>
                <c:pt idx="1">
                  <c:v>0.86699999999999999</c:v>
                </c:pt>
                <c:pt idx="4">
                  <c:v>0.94099999999999995</c:v>
                </c:pt>
                <c:pt idx="5">
                  <c:v>0.85499999999999998</c:v>
                </c:pt>
                <c:pt idx="6">
                  <c:v>0</c:v>
                </c:pt>
                <c:pt idx="7">
                  <c:v>0</c:v>
                </c:pt>
              </c:numCache>
            </c:numRef>
          </c:val>
          <c:smooth val="0"/>
          <c:extLst>
            <c:ext xmlns:c16="http://schemas.microsoft.com/office/drawing/2014/chart" uri="{C3380CC4-5D6E-409C-BE32-E72D297353CC}">
              <c16:uniqueId val="{00000004-87E4-4713-988D-23047BBFD72E}"/>
            </c:ext>
          </c:extLst>
        </c:ser>
        <c:ser>
          <c:idx val="5"/>
          <c:order val="5"/>
          <c:tx>
            <c:strRef>
              <c:f>'FTR Trend'!$B$9</c:f>
              <c:strCache>
                <c:ptCount val="1"/>
                <c:pt idx="0">
                  <c:v>FTR Finished Product</c:v>
                </c:pt>
              </c:strCache>
            </c:strRef>
          </c:tx>
          <c:spPr>
            <a:ln w="22225" cap="rnd">
              <a:solidFill>
                <a:schemeClr val="accent6"/>
              </a:solidFill>
              <a:round/>
            </a:ln>
            <a:effectLst/>
          </c:spPr>
          <c:marker>
            <c:symbol val="circle"/>
            <c:size val="6"/>
            <c:spPr>
              <a:solidFill>
                <a:srgbClr val="1CE44C"/>
              </a:solidFill>
              <a:ln w="9525">
                <a:solidFill>
                  <a:schemeClr val="accent6"/>
                </a:solidFill>
                <a:round/>
              </a:ln>
              <a:effectLst/>
            </c:spPr>
          </c:marker>
          <c:dPt>
            <c:idx val="1"/>
            <c:marker>
              <c:symbol val="circle"/>
              <c:size val="6"/>
              <c:spPr>
                <a:solidFill>
                  <a:srgbClr val="1CE44C"/>
                </a:solidFill>
                <a:ln w="9525">
                  <a:solidFill>
                    <a:schemeClr val="accent6"/>
                  </a:solidFill>
                  <a:round/>
                </a:ln>
                <a:effectLst/>
              </c:spPr>
            </c:marker>
            <c:bubble3D val="0"/>
            <c:spPr>
              <a:ln w="22225" cap="rnd">
                <a:solidFill>
                  <a:srgbClr val="1CE44C"/>
                </a:solidFill>
                <a:round/>
              </a:ln>
              <a:effectLst/>
            </c:spPr>
            <c:extLst>
              <c:ext xmlns:c16="http://schemas.microsoft.com/office/drawing/2014/chart" uri="{C3380CC4-5D6E-409C-BE32-E72D297353CC}">
                <c16:uniqueId val="{00000001-3FC5-4CB9-98E2-B78D463DF611}"/>
              </c:ext>
            </c:extLst>
          </c:dPt>
          <c:dPt>
            <c:idx val="2"/>
            <c:marker>
              <c:symbol val="circle"/>
              <c:size val="6"/>
              <c:spPr>
                <a:solidFill>
                  <a:srgbClr val="1CE44C"/>
                </a:solidFill>
                <a:ln w="9525">
                  <a:solidFill>
                    <a:schemeClr val="accent6"/>
                  </a:solidFill>
                  <a:round/>
                </a:ln>
                <a:effectLst/>
              </c:spPr>
            </c:marker>
            <c:bubble3D val="0"/>
            <c:spPr>
              <a:ln w="22225" cap="rnd">
                <a:solidFill>
                  <a:srgbClr val="1CE44C"/>
                </a:solidFill>
                <a:round/>
              </a:ln>
              <a:effectLst/>
            </c:spPr>
            <c:extLst>
              <c:ext xmlns:c16="http://schemas.microsoft.com/office/drawing/2014/chart" uri="{C3380CC4-5D6E-409C-BE32-E72D297353CC}">
                <c16:uniqueId val="{00000000-3FC5-4CB9-98E2-B78D463DF611}"/>
              </c:ext>
            </c:extLst>
          </c:dPt>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Trend'!$C$9:$N$9</c:f>
              <c:numCache>
                <c:formatCode>0%</c:formatCode>
                <c:ptCount val="12"/>
                <c:pt idx="0">
                  <c:v>0.80487804878048785</c:v>
                </c:pt>
                <c:pt idx="1">
                  <c:v>0.86046511627906974</c:v>
                </c:pt>
                <c:pt idx="2">
                  <c:v>1</c:v>
                </c:pt>
                <c:pt idx="3">
                  <c:v>1</c:v>
                </c:pt>
                <c:pt idx="4">
                  <c:v>0.36585365853658536</c:v>
                </c:pt>
                <c:pt idx="5">
                  <c:v>0.63414634146341464</c:v>
                </c:pt>
                <c:pt idx="6">
                  <c:v>0</c:v>
                </c:pt>
                <c:pt idx="7">
                  <c:v>0</c:v>
                </c:pt>
              </c:numCache>
            </c:numRef>
          </c:val>
          <c:smooth val="0"/>
          <c:extLst>
            <c:ext xmlns:c16="http://schemas.microsoft.com/office/drawing/2014/chart" uri="{C3380CC4-5D6E-409C-BE32-E72D297353CC}">
              <c16:uniqueId val="{00000005-87E4-4713-988D-23047BBFD72E}"/>
            </c:ext>
          </c:extLst>
        </c:ser>
        <c:ser>
          <c:idx val="6"/>
          <c:order val="6"/>
          <c:tx>
            <c:strRef>
              <c:f>'FTR Trend'!$B$10</c:f>
              <c:strCache>
                <c:ptCount val="1"/>
                <c:pt idx="0">
                  <c:v>Overall</c:v>
                </c:pt>
              </c:strCache>
            </c:strRef>
          </c:tx>
          <c:spPr>
            <a:ln w="22225" cap="rnd">
              <a:solidFill>
                <a:srgbClr val="C00000"/>
              </a:solidFill>
              <a:round/>
            </a:ln>
            <a:effectLst/>
          </c:spPr>
          <c:marker>
            <c:symbol val="plus"/>
            <c:size val="6"/>
            <c:spPr>
              <a:solidFill>
                <a:srgbClr val="C00000"/>
              </a:solidFill>
              <a:ln w="9525">
                <a:solidFill>
                  <a:srgbClr val="C00000"/>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Trend'!$C$10:$N$10</c:f>
              <c:numCache>
                <c:formatCode>0%</c:formatCode>
                <c:ptCount val="12"/>
                <c:pt idx="0">
                  <c:v>0.69876251627776009</c:v>
                </c:pt>
                <c:pt idx="1">
                  <c:v>0</c:v>
                </c:pt>
                <c:pt idx="2">
                  <c:v>0.76636541540651137</c:v>
                </c:pt>
                <c:pt idx="3">
                  <c:v>0.76766967736672331</c:v>
                </c:pt>
                <c:pt idx="4">
                  <c:v>0.58826181907550601</c:v>
                </c:pt>
                <c:pt idx="5">
                  <c:v>0.70812772518057077</c:v>
                </c:pt>
                <c:pt idx="6">
                  <c:v>0</c:v>
                </c:pt>
                <c:pt idx="7">
                  <c:v>0</c:v>
                </c:pt>
              </c:numCache>
            </c:numRef>
          </c:val>
          <c:smooth val="0"/>
          <c:extLst>
            <c:ext xmlns:c16="http://schemas.microsoft.com/office/drawing/2014/chart" uri="{C3380CC4-5D6E-409C-BE32-E72D297353CC}">
              <c16:uniqueId val="{00000006-87E4-4713-988D-23047BBFD72E}"/>
            </c:ext>
          </c:extLst>
        </c:ser>
        <c:dLbls>
          <c:showLegendKey val="0"/>
          <c:showVal val="0"/>
          <c:showCatName val="0"/>
          <c:showSerName val="0"/>
          <c:showPercent val="0"/>
          <c:showBubbleSize val="0"/>
        </c:dLbls>
        <c:marker val="1"/>
        <c:smooth val="0"/>
        <c:axId val="378441936"/>
        <c:axId val="378444888"/>
      </c:lineChart>
      <c:catAx>
        <c:axId val="378441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lumMod val="95000"/>
                    <a:lumOff val="5000"/>
                  </a:schemeClr>
                </a:solidFill>
                <a:latin typeface="+mn-lt"/>
                <a:ea typeface="+mn-ea"/>
                <a:cs typeface="+mn-cs"/>
              </a:defRPr>
            </a:pPr>
            <a:endParaRPr lang="en-US"/>
          </a:p>
        </c:txPr>
        <c:crossAx val="378444888"/>
        <c:crosses val="autoZero"/>
        <c:auto val="1"/>
        <c:lblAlgn val="ctr"/>
        <c:lblOffset val="100"/>
        <c:noMultiLvlLbl val="0"/>
      </c:catAx>
      <c:valAx>
        <c:axId val="378444888"/>
        <c:scaling>
          <c:orientation val="minMax"/>
          <c:max val="1"/>
          <c:min val="2.0000000000000004E-2"/>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378441936"/>
        <c:crosses val="autoZero"/>
        <c:crossBetween val="between"/>
        <c:minorUnit val="0.1"/>
      </c:valAx>
      <c:spPr>
        <a:noFill/>
        <a:ln>
          <a:noFill/>
        </a:ln>
        <a:effectLst/>
      </c:spPr>
    </c:plotArea>
    <c:legend>
      <c:legendPos val="t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gradFill flip="none" rotWithShape="1">
      <a:gsLst>
        <a:gs pos="0">
          <a:schemeClr val="bg1">
            <a:lumMod val="95000"/>
            <a:shade val="30000"/>
            <a:satMod val="115000"/>
          </a:schemeClr>
        </a:gs>
        <a:gs pos="50000">
          <a:schemeClr val="bg1">
            <a:lumMod val="95000"/>
            <a:shade val="67500"/>
            <a:satMod val="115000"/>
          </a:schemeClr>
        </a:gs>
        <a:gs pos="100000">
          <a:schemeClr val="bg1">
            <a:lumMod val="9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000" b="1"/>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FTR PARAMETER YTD TREND</a:t>
            </a:r>
          </a:p>
        </c:rich>
      </c:tx>
      <c:layout>
        <c:manualLayout>
          <c:xMode val="edge"/>
          <c:yMode val="edge"/>
          <c:x val="0.38326005182306877"/>
          <c:y val="8.368200836820083E-3"/>
        </c:manualLayout>
      </c:layout>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48203598067062E-2"/>
          <c:y val="7.1213389121338913E-2"/>
          <c:w val="0.94595235461442673"/>
          <c:h val="0.67604278544679819"/>
        </c:manualLayout>
      </c:layout>
      <c:lineChart>
        <c:grouping val="standard"/>
        <c:varyColors val="0"/>
        <c:ser>
          <c:idx val="0"/>
          <c:order val="0"/>
          <c:tx>
            <c:strRef>
              <c:f>'FTR Parameter Trend'!$B$4</c:f>
              <c:strCache>
                <c:ptCount val="1"/>
                <c:pt idx="0">
                  <c:v>Cast Gravity</c:v>
                </c:pt>
              </c:strCache>
            </c:strRef>
          </c:tx>
          <c:spPr>
            <a:ln w="22225" cap="rnd">
              <a:solidFill>
                <a:srgbClr val="7030A0"/>
              </a:solidFill>
              <a:round/>
            </a:ln>
            <a:effectLst/>
          </c:spPr>
          <c:marker>
            <c:symbol val="diamond"/>
            <c:size val="6"/>
            <c:spPr>
              <a:solidFill>
                <a:srgbClr val="7030A0"/>
              </a:solidFill>
              <a:ln w="9525">
                <a:solidFill>
                  <a:srgbClr val="7030A0"/>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Trend'!$C$4:$P$4</c15:sqref>
                  </c15:fullRef>
                </c:ext>
              </c:extLst>
              <c:f>'FTR Parameter Trend'!$C$4:$N$4</c:f>
              <c:numCache>
                <c:formatCode>0%</c:formatCode>
                <c:ptCount val="12"/>
                <c:pt idx="0">
                  <c:v>0.95394736842105265</c:v>
                </c:pt>
                <c:pt idx="1">
                  <c:v>0.92307692307692313</c:v>
                </c:pt>
                <c:pt idx="2">
                  <c:v>0.8666666666666667</c:v>
                </c:pt>
                <c:pt idx="3">
                  <c:v>0.92727272727272725</c:v>
                </c:pt>
                <c:pt idx="4">
                  <c:v>0.72602739726027399</c:v>
                </c:pt>
                <c:pt idx="5">
                  <c:v>0.87857142857142856</c:v>
                </c:pt>
                <c:pt idx="6">
                  <c:v>0</c:v>
                </c:pt>
                <c:pt idx="7">
                  <c:v>0</c:v>
                </c:pt>
                <c:pt idx="8">
                  <c:v>0.85046728971962615</c:v>
                </c:pt>
                <c:pt idx="9">
                  <c:v>0</c:v>
                </c:pt>
                <c:pt idx="10">
                  <c:v>0.80132450331125826</c:v>
                </c:pt>
                <c:pt idx="11">
                  <c:v>0.91176470588235292</c:v>
                </c:pt>
              </c:numCache>
            </c:numRef>
          </c:val>
          <c:smooth val="0"/>
          <c:extLst>
            <c:ext xmlns:c16="http://schemas.microsoft.com/office/drawing/2014/chart" uri="{C3380CC4-5D6E-409C-BE32-E72D297353CC}">
              <c16:uniqueId val="{00000000-3662-4364-BC6A-EA388E4EA97B}"/>
            </c:ext>
          </c:extLst>
        </c:ser>
        <c:ser>
          <c:idx val="1"/>
          <c:order val="1"/>
          <c:tx>
            <c:strRef>
              <c:f>'FTR Parameter Trend'!$B$5</c:f>
              <c:strCache>
                <c:ptCount val="1"/>
                <c:pt idx="0">
                  <c:v>Brewing Time</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Trend'!$C$5:$P$5</c15:sqref>
                  </c15:fullRef>
                </c:ext>
              </c:extLst>
              <c:f>'FTR Parameter Trend'!$C$5:$N$5</c:f>
              <c:numCache>
                <c:formatCode>0%</c:formatCode>
                <c:ptCount val="12"/>
                <c:pt idx="0">
                  <c:v>0.47402597402597402</c:v>
                </c:pt>
                <c:pt idx="1">
                  <c:v>0.43846153846153846</c:v>
                </c:pt>
                <c:pt idx="2">
                  <c:v>0.44</c:v>
                </c:pt>
                <c:pt idx="3">
                  <c:v>0.38181818181818183</c:v>
                </c:pt>
                <c:pt idx="4">
                  <c:v>0.9178082191780822</c:v>
                </c:pt>
                <c:pt idx="5">
                  <c:v>0.90714285714285714</c:v>
                </c:pt>
                <c:pt idx="6">
                  <c:v>0</c:v>
                </c:pt>
                <c:pt idx="7">
                  <c:v>0</c:v>
                </c:pt>
                <c:pt idx="8">
                  <c:v>0.85981308411214952</c:v>
                </c:pt>
                <c:pt idx="9">
                  <c:v>0</c:v>
                </c:pt>
                <c:pt idx="10">
                  <c:v>0.50993377483443714</c:v>
                </c:pt>
                <c:pt idx="11">
                  <c:v>0.88970588235294112</c:v>
                </c:pt>
              </c:numCache>
            </c:numRef>
          </c:val>
          <c:smooth val="0"/>
          <c:extLst>
            <c:ext xmlns:c16="http://schemas.microsoft.com/office/drawing/2014/chart" uri="{C3380CC4-5D6E-409C-BE32-E72D297353CC}">
              <c16:uniqueId val="{00000001-3662-4364-BC6A-EA388E4EA97B}"/>
            </c:ext>
          </c:extLst>
        </c:ser>
        <c:ser>
          <c:idx val="2"/>
          <c:order val="2"/>
          <c:tx>
            <c:strRef>
              <c:f>'FTR Parameter Trend'!$B$6</c:f>
              <c:strCache>
                <c:ptCount val="1"/>
                <c:pt idx="0">
                  <c:v>Aeration Level</c:v>
                </c:pt>
              </c:strCache>
            </c:strRef>
          </c:tx>
          <c:spPr>
            <a:ln w="22225" cap="rnd">
              <a:solidFill>
                <a:schemeClr val="accent3"/>
              </a:solidFill>
              <a:round/>
            </a:ln>
            <a:effectLst/>
          </c:spPr>
          <c:marker>
            <c:symbol val="triangle"/>
            <c:size val="6"/>
            <c:spPr>
              <a:solidFill>
                <a:srgbClr val="1CE44C"/>
              </a:solidFill>
              <a:ln w="9525">
                <a:solidFill>
                  <a:srgbClr val="1CE44C"/>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Trend'!$C$6:$P$6</c15:sqref>
                  </c15:fullRef>
                </c:ext>
              </c:extLst>
              <c:f>'FTR Parameter Trend'!$C$6:$N$6</c:f>
              <c:numCache>
                <c:formatCode>0%</c:formatCode>
                <c:ptCount val="12"/>
                <c:pt idx="0">
                  <c:v>0.97037037037037033</c:v>
                </c:pt>
                <c:pt idx="1">
                  <c:v>1</c:v>
                </c:pt>
                <c:pt idx="2">
                  <c:v>0.98484848484848486</c:v>
                </c:pt>
                <c:pt idx="3">
                  <c:v>1</c:v>
                </c:pt>
              </c:numCache>
            </c:numRef>
          </c:val>
          <c:smooth val="0"/>
          <c:extLst>
            <c:ext xmlns:c16="http://schemas.microsoft.com/office/drawing/2014/chart" uri="{C3380CC4-5D6E-409C-BE32-E72D297353CC}">
              <c16:uniqueId val="{00000002-3662-4364-BC6A-EA388E4EA97B}"/>
            </c:ext>
          </c:extLst>
        </c:ser>
        <c:ser>
          <c:idx val="3"/>
          <c:order val="3"/>
          <c:tx>
            <c:strRef>
              <c:f>'FTR Parameter Trend'!$B$7</c:f>
              <c:strCache>
                <c:ptCount val="1"/>
                <c:pt idx="0">
                  <c:v>FVSV Fill Duration</c:v>
                </c:pt>
              </c:strCache>
            </c:strRef>
          </c:tx>
          <c:spPr>
            <a:ln w="22225" cap="rnd">
              <a:solidFill>
                <a:srgbClr val="1CE44C"/>
              </a:solidFill>
              <a:round/>
            </a:ln>
            <a:effectLst/>
          </c:spPr>
          <c:marker>
            <c:symbol val="triangle"/>
            <c:size val="6"/>
            <c:spPr>
              <a:solidFill>
                <a:srgbClr val="1CE44C"/>
              </a:solidFill>
              <a:ln w="9525">
                <a:solidFill>
                  <a:srgbClr val="1CE44C"/>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Trend'!$C$7:$P$7</c15:sqref>
                  </c15:fullRef>
                </c:ext>
              </c:extLst>
              <c:f>'FTR Parameter Trend'!$C$7:$N$7</c:f>
              <c:numCache>
                <c:formatCode>0%</c:formatCode>
                <c:ptCount val="12"/>
                <c:pt idx="0">
                  <c:v>0.56000000000000005</c:v>
                </c:pt>
                <c:pt idx="1">
                  <c:v>0.77777777777777779</c:v>
                </c:pt>
                <c:pt idx="2">
                  <c:v>0.76</c:v>
                </c:pt>
                <c:pt idx="3">
                  <c:v>0.82608695652173914</c:v>
                </c:pt>
                <c:pt idx="4">
                  <c:v>0.70588235294117652</c:v>
                </c:pt>
                <c:pt idx="5">
                  <c:v>0.95454545454545459</c:v>
                </c:pt>
                <c:pt idx="6">
                  <c:v>0</c:v>
                </c:pt>
                <c:pt idx="7">
                  <c:v>0</c:v>
                </c:pt>
                <c:pt idx="8">
                  <c:v>0.16666666666666666</c:v>
                </c:pt>
                <c:pt idx="9">
                  <c:v>0</c:v>
                </c:pt>
                <c:pt idx="10">
                  <c:v>0.7857142857142857</c:v>
                </c:pt>
                <c:pt idx="11">
                  <c:v>0.96153846153846156</c:v>
                </c:pt>
              </c:numCache>
            </c:numRef>
          </c:val>
          <c:smooth val="0"/>
          <c:extLst>
            <c:ext xmlns:c16="http://schemas.microsoft.com/office/drawing/2014/chart" uri="{C3380CC4-5D6E-409C-BE32-E72D297353CC}">
              <c16:uniqueId val="{00000003-3662-4364-BC6A-EA388E4EA97B}"/>
            </c:ext>
          </c:extLst>
        </c:ser>
        <c:ser>
          <c:idx val="4"/>
          <c:order val="4"/>
          <c:tx>
            <c:strRef>
              <c:f>'FTR Parameter Trend'!$B$8</c:f>
              <c:strCache>
                <c:ptCount val="1"/>
                <c:pt idx="0">
                  <c:v>Yeast Dosage</c:v>
                </c:pt>
              </c:strCache>
            </c:strRef>
          </c:tx>
          <c:spPr>
            <a:ln w="22225" cap="rnd">
              <a:solidFill>
                <a:schemeClr val="accent5"/>
              </a:solidFill>
              <a:round/>
            </a:ln>
            <a:effectLst/>
          </c:spPr>
          <c:marker>
            <c:symbol val="x"/>
            <c:size val="6"/>
            <c:spPr>
              <a:noFill/>
              <a:ln w="9525">
                <a:solidFill>
                  <a:schemeClr val="accent5"/>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Trend'!$C$8:$P$8</c15:sqref>
                  </c15:fullRef>
                </c:ext>
              </c:extLst>
              <c:f>'FTR Parameter Trend'!$C$8:$N$8</c:f>
              <c:numCache>
                <c:formatCode>0%</c:formatCode>
                <c:ptCount val="12"/>
                <c:pt idx="0">
                  <c:v>1</c:v>
                </c:pt>
                <c:pt idx="1">
                  <c:v>1</c:v>
                </c:pt>
                <c:pt idx="2">
                  <c:v>1</c:v>
                </c:pt>
                <c:pt idx="3">
                  <c:v>1</c:v>
                </c:pt>
                <c:pt idx="4">
                  <c:v>1</c:v>
                </c:pt>
                <c:pt idx="5">
                  <c:v>1</c:v>
                </c:pt>
                <c:pt idx="6">
                  <c:v>0</c:v>
                </c:pt>
                <c:pt idx="7">
                  <c:v>0</c:v>
                </c:pt>
                <c:pt idx="8">
                  <c:v>0.94444444444444442</c:v>
                </c:pt>
                <c:pt idx="9">
                  <c:v>0</c:v>
                </c:pt>
                <c:pt idx="10">
                  <c:v>1</c:v>
                </c:pt>
                <c:pt idx="11">
                  <c:v>0.96153846153846156</c:v>
                </c:pt>
              </c:numCache>
            </c:numRef>
          </c:val>
          <c:smooth val="0"/>
          <c:extLst>
            <c:ext xmlns:c16="http://schemas.microsoft.com/office/drawing/2014/chart" uri="{C3380CC4-5D6E-409C-BE32-E72D297353CC}">
              <c16:uniqueId val="{00000004-3662-4364-BC6A-EA388E4EA97B}"/>
            </c:ext>
          </c:extLst>
        </c:ser>
        <c:ser>
          <c:idx val="5"/>
          <c:order val="5"/>
          <c:tx>
            <c:strRef>
              <c:f>'FTR Parameter Trend'!$B$9</c:f>
              <c:strCache>
                <c:ptCount val="1"/>
                <c:pt idx="0">
                  <c:v>Pitched Yeast Stain</c:v>
                </c:pt>
              </c:strCache>
            </c:strRef>
          </c:tx>
          <c:spPr>
            <a:ln w="22225" cap="rnd">
              <a:solidFill>
                <a:schemeClr val="accent6"/>
              </a:solidFill>
              <a:round/>
            </a:ln>
            <a:effectLst/>
          </c:spPr>
          <c:marker>
            <c:symbol val="star"/>
            <c:size val="6"/>
            <c:spPr>
              <a:noFill/>
              <a:ln w="9525">
                <a:solidFill>
                  <a:schemeClr val="accent6"/>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Trend'!$C$9:$P$9</c15:sqref>
                  </c15:fullRef>
                </c:ext>
              </c:extLst>
              <c:f>'FTR Parameter Trend'!$C$9:$N$9</c:f>
              <c:numCache>
                <c:formatCode>0%</c:formatCode>
                <c:ptCount val="12"/>
                <c:pt idx="0">
                  <c:v>1</c:v>
                </c:pt>
                <c:pt idx="1">
                  <c:v>1</c:v>
                </c:pt>
                <c:pt idx="2">
                  <c:v>1</c:v>
                </c:pt>
                <c:pt idx="3">
                  <c:v>1</c:v>
                </c:pt>
                <c:pt idx="4">
                  <c:v>0.75</c:v>
                </c:pt>
                <c:pt idx="5">
                  <c:v>1</c:v>
                </c:pt>
                <c:pt idx="6">
                  <c:v>0</c:v>
                </c:pt>
                <c:pt idx="7">
                  <c:v>0</c:v>
                </c:pt>
                <c:pt idx="8">
                  <c:v>0.94444444444444442</c:v>
                </c:pt>
                <c:pt idx="9">
                  <c:v>0</c:v>
                </c:pt>
                <c:pt idx="10">
                  <c:v>1</c:v>
                </c:pt>
                <c:pt idx="11">
                  <c:v>1</c:v>
                </c:pt>
              </c:numCache>
            </c:numRef>
          </c:val>
          <c:smooth val="0"/>
          <c:extLst>
            <c:ext xmlns:c16="http://schemas.microsoft.com/office/drawing/2014/chart" uri="{C3380CC4-5D6E-409C-BE32-E72D297353CC}">
              <c16:uniqueId val="{00000005-3662-4364-BC6A-EA388E4EA97B}"/>
            </c:ext>
          </c:extLst>
        </c:ser>
        <c:ser>
          <c:idx val="6"/>
          <c:order val="6"/>
          <c:tx>
            <c:strRef>
              <c:f>'FTR Parameter Trend'!$B$10</c:f>
              <c:strCache>
                <c:ptCount val="1"/>
                <c:pt idx="0">
                  <c:v>Yeast Storage Duration</c:v>
                </c:pt>
              </c:strCache>
            </c:strRef>
          </c:tx>
          <c:spPr>
            <a:ln w="22225" cap="rnd">
              <a:solidFill>
                <a:schemeClr val="accent1">
                  <a:lumMod val="60000"/>
                </a:schemeClr>
              </a:solidFill>
              <a:round/>
            </a:ln>
            <a:effectLst/>
          </c:spPr>
          <c:marker>
            <c:symbol val="circle"/>
            <c:size val="6"/>
            <c:spPr>
              <a:solidFill>
                <a:schemeClr val="accent1">
                  <a:lumMod val="60000"/>
                </a:schemeClr>
              </a:solidFill>
              <a:ln w="9525">
                <a:solidFill>
                  <a:schemeClr val="accent1">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Trend'!$C$10:$P$10</c15:sqref>
                  </c15:fullRef>
                </c:ext>
              </c:extLst>
              <c:f>'FTR Parameter Trend'!$C$10:$N$10</c:f>
              <c:numCache>
                <c:formatCode>0%</c:formatCode>
                <c:ptCount val="12"/>
                <c:pt idx="0">
                  <c:v>1</c:v>
                </c:pt>
                <c:pt idx="1">
                  <c:v>1</c:v>
                </c:pt>
                <c:pt idx="2">
                  <c:v>0.91428571428571426</c:v>
                </c:pt>
                <c:pt idx="3">
                  <c:v>1</c:v>
                </c:pt>
                <c:pt idx="4">
                  <c:v>0.9375</c:v>
                </c:pt>
                <c:pt idx="5">
                  <c:v>0.90909090909090906</c:v>
                </c:pt>
                <c:pt idx="6">
                  <c:v>0</c:v>
                </c:pt>
                <c:pt idx="7">
                  <c:v>0</c:v>
                </c:pt>
                <c:pt idx="8">
                  <c:v>0.1111111111111111</c:v>
                </c:pt>
                <c:pt idx="9">
                  <c:v>0</c:v>
                </c:pt>
                <c:pt idx="10">
                  <c:v>0.9285714285714286</c:v>
                </c:pt>
                <c:pt idx="11">
                  <c:v>0.96153846153846156</c:v>
                </c:pt>
              </c:numCache>
            </c:numRef>
          </c:val>
          <c:smooth val="0"/>
          <c:extLst>
            <c:ext xmlns:c16="http://schemas.microsoft.com/office/drawing/2014/chart" uri="{C3380CC4-5D6E-409C-BE32-E72D297353CC}">
              <c16:uniqueId val="{00000006-3662-4364-BC6A-EA388E4EA97B}"/>
            </c:ext>
          </c:extLst>
        </c:ser>
        <c:ser>
          <c:idx val="7"/>
          <c:order val="7"/>
          <c:tx>
            <c:strRef>
              <c:f>'FTR Parameter Trend'!$B$11</c:f>
              <c:strCache>
                <c:ptCount val="1"/>
                <c:pt idx="0">
                  <c:v>Fermentation Speed</c:v>
                </c:pt>
              </c:strCache>
            </c:strRef>
          </c:tx>
          <c:spPr>
            <a:ln w="22225" cap="rnd">
              <a:solidFill>
                <a:srgbClr val="FF0000"/>
              </a:solidFill>
              <a:round/>
            </a:ln>
            <a:effectLst/>
          </c:spPr>
          <c:marker>
            <c:symbol val="plus"/>
            <c:size val="6"/>
            <c:spPr>
              <a:solidFill>
                <a:srgbClr val="C00000"/>
              </a:solidFill>
              <a:ln w="9525">
                <a:solidFill>
                  <a:srgbClr val="FF0000"/>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Trend'!$C$11:$P$11</c15:sqref>
                  </c15:fullRef>
                </c:ext>
              </c:extLst>
              <c:f>'FTR Parameter Trend'!$C$11:$N$11</c:f>
              <c:numCache>
                <c:formatCode>0%</c:formatCode>
                <c:ptCount val="12"/>
                <c:pt idx="0">
                  <c:v>1</c:v>
                </c:pt>
                <c:pt idx="1">
                  <c:v>0.8571428571428571</c:v>
                </c:pt>
                <c:pt idx="2">
                  <c:v>0.70270270270270274</c:v>
                </c:pt>
                <c:pt idx="3">
                  <c:v>0.58823529411764708</c:v>
                </c:pt>
                <c:pt idx="4">
                  <c:v>0.875</c:v>
                </c:pt>
                <c:pt idx="5">
                  <c:v>0.86363636363636365</c:v>
                </c:pt>
                <c:pt idx="6">
                  <c:v>0</c:v>
                </c:pt>
                <c:pt idx="7">
                  <c:v>0</c:v>
                </c:pt>
                <c:pt idx="8">
                  <c:v>0.83333333333333337</c:v>
                </c:pt>
                <c:pt idx="9">
                  <c:v>0</c:v>
                </c:pt>
                <c:pt idx="10">
                  <c:v>0.8571428571428571</c:v>
                </c:pt>
                <c:pt idx="11">
                  <c:v>1</c:v>
                </c:pt>
              </c:numCache>
            </c:numRef>
          </c:val>
          <c:smooth val="0"/>
          <c:extLst>
            <c:ext xmlns:c16="http://schemas.microsoft.com/office/drawing/2014/chart" uri="{C3380CC4-5D6E-409C-BE32-E72D297353CC}">
              <c16:uniqueId val="{00000007-3662-4364-BC6A-EA388E4EA97B}"/>
            </c:ext>
          </c:extLst>
        </c:ser>
        <c:ser>
          <c:idx val="8"/>
          <c:order val="8"/>
          <c:tx>
            <c:strRef>
              <c:f>'FTR Parameter Trend'!$B$12</c:f>
              <c:strCache>
                <c:ptCount val="1"/>
                <c:pt idx="0">
                  <c:v>Original Gravity</c:v>
                </c:pt>
              </c:strCache>
            </c:strRef>
          </c:tx>
          <c:spPr>
            <a:ln w="22225" cap="rnd">
              <a:solidFill>
                <a:schemeClr val="accent3">
                  <a:lumMod val="60000"/>
                </a:schemeClr>
              </a:solidFill>
              <a:round/>
            </a:ln>
            <a:effectLst/>
          </c:spPr>
          <c:marker>
            <c:symbol val="dot"/>
            <c:size val="6"/>
            <c:spPr>
              <a:solidFill>
                <a:schemeClr val="accent3">
                  <a:lumMod val="60000"/>
                </a:schemeClr>
              </a:solidFill>
              <a:ln w="9525">
                <a:solidFill>
                  <a:schemeClr val="accent3">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Trend'!$C$12:$P$12</c15:sqref>
                  </c15:fullRef>
                </c:ext>
              </c:extLst>
              <c:f>'FTR Parameter Trend'!$C$12:$N$12</c:f>
              <c:numCache>
                <c:formatCode>0%</c:formatCode>
                <c:ptCount val="12"/>
                <c:pt idx="0">
                  <c:v>1</c:v>
                </c:pt>
                <c:pt idx="1">
                  <c:v>0.9538461538461539</c:v>
                </c:pt>
                <c:pt idx="2">
                  <c:v>0.98648648648648651</c:v>
                </c:pt>
                <c:pt idx="3">
                  <c:v>0.98648648648648651</c:v>
                </c:pt>
                <c:pt idx="4">
                  <c:v>0.97959183673469385</c:v>
                </c:pt>
                <c:pt idx="5">
                  <c:v>0.98181818181818181</c:v>
                </c:pt>
                <c:pt idx="6">
                  <c:v>0</c:v>
                </c:pt>
                <c:pt idx="7">
                  <c:v>0</c:v>
                </c:pt>
                <c:pt idx="8">
                  <c:v>0.9726027397260274</c:v>
                </c:pt>
                <c:pt idx="9">
                  <c:v>0</c:v>
                </c:pt>
                <c:pt idx="10">
                  <c:v>0.89393939393939392</c:v>
                </c:pt>
                <c:pt idx="11">
                  <c:v>0.97368421052631582</c:v>
                </c:pt>
              </c:numCache>
            </c:numRef>
          </c:val>
          <c:smooth val="0"/>
          <c:extLst>
            <c:ext xmlns:c16="http://schemas.microsoft.com/office/drawing/2014/chart" uri="{C3380CC4-5D6E-409C-BE32-E72D297353CC}">
              <c16:uniqueId val="{00000008-3662-4364-BC6A-EA388E4EA97B}"/>
            </c:ext>
          </c:extLst>
        </c:ser>
        <c:ser>
          <c:idx val="9"/>
          <c:order val="9"/>
          <c:tx>
            <c:strRef>
              <c:f>'FTR Parameter Trend'!$B$13</c:f>
              <c:strCache>
                <c:ptCount val="1"/>
                <c:pt idx="0">
                  <c:v>Colour</c:v>
                </c:pt>
              </c:strCache>
            </c:strRef>
          </c:tx>
          <c:spPr>
            <a:ln w="22225" cap="rnd">
              <a:solidFill>
                <a:schemeClr val="accent4">
                  <a:lumMod val="60000"/>
                </a:schemeClr>
              </a:solidFill>
              <a:round/>
            </a:ln>
            <a:effectLst/>
          </c:spPr>
          <c:marker>
            <c:symbol val="dash"/>
            <c:size val="6"/>
            <c:spPr>
              <a:solidFill>
                <a:schemeClr val="accent4">
                  <a:lumMod val="60000"/>
                </a:schemeClr>
              </a:solidFill>
              <a:ln w="9525">
                <a:solidFill>
                  <a:schemeClr val="accent4">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Trend'!$C$13:$P$13</c15:sqref>
                  </c15:fullRef>
                </c:ext>
              </c:extLst>
              <c:f>'FTR Parameter Trend'!$C$13:$N$13</c:f>
              <c:numCache>
                <c:formatCode>0%</c:formatCode>
                <c:ptCount val="12"/>
                <c:pt idx="0">
                  <c:v>0.8125</c:v>
                </c:pt>
                <c:pt idx="1">
                  <c:v>1</c:v>
                </c:pt>
                <c:pt idx="2">
                  <c:v>0.95945945945945943</c:v>
                </c:pt>
                <c:pt idx="3">
                  <c:v>0.97297297297297303</c:v>
                </c:pt>
                <c:pt idx="4">
                  <c:v>0.40816326530612246</c:v>
                </c:pt>
                <c:pt idx="5">
                  <c:v>0.66666666666666663</c:v>
                </c:pt>
                <c:pt idx="6">
                  <c:v>0</c:v>
                </c:pt>
                <c:pt idx="7">
                  <c:v>0</c:v>
                </c:pt>
                <c:pt idx="8">
                  <c:v>0.47945205479452052</c:v>
                </c:pt>
                <c:pt idx="9">
                  <c:v>0</c:v>
                </c:pt>
                <c:pt idx="10">
                  <c:v>0.59090909090909094</c:v>
                </c:pt>
                <c:pt idx="11">
                  <c:v>0.90789473684210531</c:v>
                </c:pt>
              </c:numCache>
            </c:numRef>
          </c:val>
          <c:smooth val="0"/>
          <c:extLst>
            <c:ext xmlns:c16="http://schemas.microsoft.com/office/drawing/2014/chart" uri="{C3380CC4-5D6E-409C-BE32-E72D297353CC}">
              <c16:uniqueId val="{00000009-3662-4364-BC6A-EA388E4EA97B}"/>
            </c:ext>
          </c:extLst>
        </c:ser>
        <c:ser>
          <c:idx val="10"/>
          <c:order val="10"/>
          <c:tx>
            <c:strRef>
              <c:f>'FTR Parameter Trend'!$B$14</c:f>
              <c:strCache>
                <c:ptCount val="1"/>
                <c:pt idx="0">
                  <c:v>CO2</c:v>
                </c:pt>
              </c:strCache>
            </c:strRef>
          </c:tx>
          <c:spPr>
            <a:ln w="22225" cap="rnd">
              <a:solidFill>
                <a:schemeClr val="accent5">
                  <a:lumMod val="60000"/>
                </a:schemeClr>
              </a:solidFill>
              <a:round/>
            </a:ln>
            <a:effectLst/>
          </c:spPr>
          <c:marker>
            <c:symbol val="diamond"/>
            <c:size val="6"/>
            <c:spPr>
              <a:solidFill>
                <a:schemeClr val="accent5">
                  <a:lumMod val="60000"/>
                </a:schemeClr>
              </a:solidFill>
              <a:ln w="9525">
                <a:solidFill>
                  <a:schemeClr val="accent5">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Trend'!$C$14:$P$14</c15:sqref>
                  </c15:fullRef>
                </c:ext>
              </c:extLst>
              <c:f>'FTR Parameter Trend'!$C$14:$N$14</c:f>
              <c:numCache>
                <c:formatCode>0%</c:formatCode>
                <c:ptCount val="12"/>
                <c:pt idx="0">
                  <c:v>0.984375</c:v>
                </c:pt>
                <c:pt idx="1">
                  <c:v>1</c:v>
                </c:pt>
                <c:pt idx="2">
                  <c:v>1</c:v>
                </c:pt>
                <c:pt idx="3">
                  <c:v>1</c:v>
                </c:pt>
                <c:pt idx="4">
                  <c:v>1</c:v>
                </c:pt>
                <c:pt idx="5">
                  <c:v>1</c:v>
                </c:pt>
                <c:pt idx="6">
                  <c:v>0</c:v>
                </c:pt>
                <c:pt idx="7">
                  <c:v>0</c:v>
                </c:pt>
                <c:pt idx="8">
                  <c:v>0</c:v>
                </c:pt>
                <c:pt idx="9">
                  <c:v>0</c:v>
                </c:pt>
                <c:pt idx="10">
                  <c:v>1</c:v>
                </c:pt>
                <c:pt idx="11">
                  <c:v>1</c:v>
                </c:pt>
              </c:numCache>
            </c:numRef>
          </c:val>
          <c:smooth val="0"/>
          <c:extLst>
            <c:ext xmlns:c16="http://schemas.microsoft.com/office/drawing/2014/chart" uri="{C3380CC4-5D6E-409C-BE32-E72D297353CC}">
              <c16:uniqueId val="{0000000A-3662-4364-BC6A-EA388E4EA97B}"/>
            </c:ext>
          </c:extLst>
        </c:ser>
        <c:ser>
          <c:idx val="11"/>
          <c:order val="11"/>
          <c:tx>
            <c:strRef>
              <c:f>'FTR Parameter Trend'!$B$15</c:f>
              <c:strCache>
                <c:ptCount val="1"/>
                <c:pt idx="0">
                  <c:v>DO</c:v>
                </c:pt>
              </c:strCache>
            </c:strRef>
          </c:tx>
          <c:spPr>
            <a:ln w="22225" cap="rnd">
              <a:solidFill>
                <a:schemeClr val="accent6">
                  <a:lumMod val="60000"/>
                </a:schemeClr>
              </a:solidFill>
              <a:round/>
            </a:ln>
            <a:effectLst/>
          </c:spPr>
          <c:marker>
            <c:symbol val="square"/>
            <c:size val="6"/>
            <c:spPr>
              <a:solidFill>
                <a:schemeClr val="accent6">
                  <a:lumMod val="60000"/>
                </a:schemeClr>
              </a:solidFill>
              <a:ln w="9525">
                <a:solidFill>
                  <a:schemeClr val="accent6">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Trend'!$C$15:$P$15</c15:sqref>
                  </c15:fullRef>
                </c:ext>
              </c:extLst>
              <c:f>'FTR Parameter Trend'!$C$15:$N$15</c:f>
              <c:numCache>
                <c:formatCode>0%</c:formatCode>
                <c:ptCount val="12"/>
                <c:pt idx="0">
                  <c:v>1</c:v>
                </c:pt>
                <c:pt idx="1">
                  <c:v>1</c:v>
                </c:pt>
                <c:pt idx="2">
                  <c:v>1</c:v>
                </c:pt>
                <c:pt idx="3">
                  <c:v>1</c:v>
                </c:pt>
                <c:pt idx="4">
                  <c:v>0</c:v>
                </c:pt>
                <c:pt idx="8">
                  <c:v>0.6964285714285714</c:v>
                </c:pt>
              </c:numCache>
            </c:numRef>
          </c:val>
          <c:smooth val="0"/>
          <c:extLst>
            <c:ext xmlns:c16="http://schemas.microsoft.com/office/drawing/2014/chart" uri="{C3380CC4-5D6E-409C-BE32-E72D297353CC}">
              <c16:uniqueId val="{0000000B-3662-4364-BC6A-EA388E4EA97B}"/>
            </c:ext>
          </c:extLst>
        </c:ser>
        <c:ser>
          <c:idx val="12"/>
          <c:order val="12"/>
          <c:tx>
            <c:strRef>
              <c:f>'FTR Parameter Trend'!$B$16</c:f>
              <c:strCache>
                <c:ptCount val="1"/>
                <c:pt idx="0">
                  <c:v>PU</c:v>
                </c:pt>
              </c:strCache>
            </c:strRef>
          </c:tx>
          <c:spPr>
            <a:ln w="22225" cap="rnd">
              <a:solidFill>
                <a:schemeClr val="accent1">
                  <a:lumMod val="80000"/>
                  <a:lumOff val="20000"/>
                </a:schemeClr>
              </a:solidFill>
              <a:round/>
            </a:ln>
            <a:effectLst/>
          </c:spPr>
          <c:marker>
            <c:symbol val="triangle"/>
            <c:size val="6"/>
            <c:spPr>
              <a:solidFill>
                <a:schemeClr val="accent1">
                  <a:lumMod val="80000"/>
                  <a:lumOff val="20000"/>
                </a:schemeClr>
              </a:solidFill>
              <a:ln w="9525">
                <a:solidFill>
                  <a:schemeClr val="accent1">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Trend'!$C$16:$P$16</c15:sqref>
                  </c15:fullRef>
                </c:ext>
              </c:extLst>
              <c:f>'FTR Parameter Trend'!$C$16:$N$16</c:f>
              <c:numCache>
                <c:formatCode>0%</c:formatCode>
                <c:ptCount val="12"/>
                <c:pt idx="0">
                  <c:v>0.87804878048780488</c:v>
                </c:pt>
                <c:pt idx="1">
                  <c:v>1</c:v>
                </c:pt>
                <c:pt idx="2">
                  <c:v>1</c:v>
                </c:pt>
                <c:pt idx="3">
                  <c:v>0.97959183673469385</c:v>
                </c:pt>
                <c:pt idx="4">
                  <c:v>0.65</c:v>
                </c:pt>
                <c:pt idx="5">
                  <c:v>0.61904761904761907</c:v>
                </c:pt>
                <c:pt idx="6">
                  <c:v>0</c:v>
                </c:pt>
                <c:pt idx="7">
                  <c:v>0</c:v>
                </c:pt>
                <c:pt idx="8">
                  <c:v>0</c:v>
                </c:pt>
                <c:pt idx="9">
                  <c:v>0</c:v>
                </c:pt>
                <c:pt idx="10">
                  <c:v>0.90384615384615385</c:v>
                </c:pt>
                <c:pt idx="11">
                  <c:v>0.84905660377358494</c:v>
                </c:pt>
              </c:numCache>
            </c:numRef>
          </c:val>
          <c:smooth val="0"/>
          <c:extLst>
            <c:ext xmlns:c16="http://schemas.microsoft.com/office/drawing/2014/chart" uri="{C3380CC4-5D6E-409C-BE32-E72D297353CC}">
              <c16:uniqueId val="{0000000C-3662-4364-BC6A-EA388E4EA97B}"/>
            </c:ext>
          </c:extLst>
        </c:ser>
        <c:ser>
          <c:idx val="13"/>
          <c:order val="13"/>
          <c:tx>
            <c:strRef>
              <c:f>'FTR Parameter Trend'!$B$17</c:f>
              <c:strCache>
                <c:ptCount val="1"/>
                <c:pt idx="0">
                  <c:v>Fill Volume</c:v>
                </c:pt>
              </c:strCache>
            </c:strRef>
          </c:tx>
          <c:spPr>
            <a:ln w="22225" cap="rnd">
              <a:solidFill>
                <a:schemeClr val="accent2">
                  <a:lumMod val="80000"/>
                  <a:lumOff val="20000"/>
                </a:schemeClr>
              </a:solidFill>
              <a:round/>
            </a:ln>
            <a:effectLst/>
          </c:spPr>
          <c:marker>
            <c:symbol val="x"/>
            <c:size val="6"/>
            <c:spPr>
              <a:noFill/>
              <a:ln w="9525">
                <a:solidFill>
                  <a:schemeClr val="accent2">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Trend'!$C$17:$P$17</c15:sqref>
                  </c15:fullRef>
                </c:ext>
              </c:extLst>
              <c:f>'FTR Parameter Trend'!$C$17:$N$17</c:f>
              <c:numCache>
                <c:formatCode>0%</c:formatCode>
                <c:ptCount val="12"/>
                <c:pt idx="0">
                  <c:v>1</c:v>
                </c:pt>
                <c:pt idx="1">
                  <c:v>1</c:v>
                </c:pt>
                <c:pt idx="2">
                  <c:v>1</c:v>
                </c:pt>
                <c:pt idx="3">
                  <c:v>1</c:v>
                </c:pt>
                <c:pt idx="4">
                  <c:v>1</c:v>
                </c:pt>
                <c:pt idx="5">
                  <c:v>1</c:v>
                </c:pt>
                <c:pt idx="6">
                  <c:v>0</c:v>
                </c:pt>
                <c:pt idx="7">
                  <c:v>0</c:v>
                </c:pt>
                <c:pt idx="8">
                  <c:v>0.71599999999999997</c:v>
                </c:pt>
                <c:pt idx="9">
                  <c:v>0</c:v>
                </c:pt>
                <c:pt idx="10">
                  <c:v>0.96491228070175439</c:v>
                </c:pt>
                <c:pt idx="11">
                  <c:v>1</c:v>
                </c:pt>
              </c:numCache>
            </c:numRef>
          </c:val>
          <c:smooth val="0"/>
          <c:extLst>
            <c:ext xmlns:c16="http://schemas.microsoft.com/office/drawing/2014/chart" uri="{C3380CC4-5D6E-409C-BE32-E72D297353CC}">
              <c16:uniqueId val="{0000000D-3662-4364-BC6A-EA388E4EA97B}"/>
            </c:ext>
          </c:extLst>
        </c:ser>
        <c:ser>
          <c:idx val="14"/>
          <c:order val="14"/>
          <c:tx>
            <c:strRef>
              <c:f>'FTR Parameter Trend'!$B$18</c:f>
              <c:strCache>
                <c:ptCount val="1"/>
                <c:pt idx="0">
                  <c:v>MicroPack - MicroTunnel</c:v>
                </c:pt>
              </c:strCache>
            </c:strRef>
          </c:tx>
          <c:spPr>
            <a:ln w="22225" cap="rnd">
              <a:solidFill>
                <a:schemeClr val="accent3">
                  <a:lumMod val="80000"/>
                  <a:lumOff val="20000"/>
                </a:schemeClr>
              </a:solidFill>
              <a:round/>
            </a:ln>
            <a:effectLst/>
          </c:spPr>
          <c:marker>
            <c:symbol val="star"/>
            <c:size val="6"/>
            <c:spPr>
              <a:noFill/>
              <a:ln w="9525">
                <a:solidFill>
                  <a:schemeClr val="accent3">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Trend'!$C$18:$P$18</c15:sqref>
                  </c15:fullRef>
                </c:ext>
              </c:extLst>
              <c:f>'FTR Parameter Trend'!$C$18:$N$18</c:f>
              <c:numCache>
                <c:formatCode>0%</c:formatCode>
                <c:ptCount val="12"/>
                <c:pt idx="0">
                  <c:v>1</c:v>
                </c:pt>
                <c:pt idx="1">
                  <c:v>1</c:v>
                </c:pt>
                <c:pt idx="2">
                  <c:v>1</c:v>
                </c:pt>
                <c:pt idx="3">
                  <c:v>1</c:v>
                </c:pt>
                <c:pt idx="4">
                  <c:v>1</c:v>
                </c:pt>
                <c:pt idx="5">
                  <c:v>1</c:v>
                </c:pt>
                <c:pt idx="6">
                  <c:v>0</c:v>
                </c:pt>
                <c:pt idx="7">
                  <c:v>0</c:v>
                </c:pt>
                <c:pt idx="8">
                  <c:v>0.43636363636363634</c:v>
                </c:pt>
                <c:pt idx="9">
                  <c:v>0</c:v>
                </c:pt>
                <c:pt idx="10">
                  <c:v>1</c:v>
                </c:pt>
                <c:pt idx="11">
                  <c:v>100</c:v>
                </c:pt>
              </c:numCache>
            </c:numRef>
          </c:val>
          <c:smooth val="0"/>
          <c:extLst>
            <c:ext xmlns:c16="http://schemas.microsoft.com/office/drawing/2014/chart" uri="{C3380CC4-5D6E-409C-BE32-E72D297353CC}">
              <c16:uniqueId val="{0000000E-3662-4364-BC6A-EA388E4EA97B}"/>
            </c:ext>
          </c:extLst>
        </c:ser>
        <c:ser>
          <c:idx val="15"/>
          <c:order val="15"/>
          <c:tx>
            <c:strRef>
              <c:f>'FTR Parameter Trend'!$B$19</c:f>
              <c:strCache>
                <c:ptCount val="1"/>
                <c:pt idx="0">
                  <c:v>MicroBeer - MicroFerment</c:v>
                </c:pt>
              </c:strCache>
            </c:strRef>
          </c:tx>
          <c:spPr>
            <a:ln w="22225" cap="rnd">
              <a:solidFill>
                <a:schemeClr val="bg1">
                  <a:lumMod val="50000"/>
                </a:schemeClr>
              </a:solidFill>
              <a:round/>
            </a:ln>
            <a:effectLst/>
          </c:spPr>
          <c:marker>
            <c:symbol val="circle"/>
            <c:size val="6"/>
            <c:spPr>
              <a:solidFill>
                <a:schemeClr val="bg1">
                  <a:lumMod val="65000"/>
                </a:schemeClr>
              </a:solidFill>
              <a:ln w="9525">
                <a:solidFill>
                  <a:schemeClr val="bg1">
                    <a:lumMod val="5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Trend'!$C$19:$P$19</c15:sqref>
                  </c15:fullRef>
                </c:ext>
              </c:extLst>
              <c:f>'FTR Parameter Trend'!$C$19:$N$19</c:f>
              <c:numCache>
                <c:formatCode>0%</c:formatCode>
                <c:ptCount val="12"/>
                <c:pt idx="0">
                  <c:v>0.76</c:v>
                </c:pt>
                <c:pt idx="1">
                  <c:v>0.86699999999999999</c:v>
                </c:pt>
                <c:pt idx="2">
                  <c:v>0.83</c:v>
                </c:pt>
                <c:pt idx="3">
                  <c:v>0.78300000000000003</c:v>
                </c:pt>
                <c:pt idx="4">
                  <c:v>0.94099999999999995</c:v>
                </c:pt>
                <c:pt idx="5">
                  <c:v>0.85499999999999998</c:v>
                </c:pt>
                <c:pt idx="6">
                  <c:v>0</c:v>
                </c:pt>
                <c:pt idx="7">
                  <c:v>0</c:v>
                </c:pt>
                <c:pt idx="8">
                  <c:v>0.90243902439024393</c:v>
                </c:pt>
                <c:pt idx="9">
                  <c:v>0</c:v>
                </c:pt>
                <c:pt idx="10">
                  <c:v>0.94299999999999995</c:v>
                </c:pt>
                <c:pt idx="11">
                  <c:v>94.3</c:v>
                </c:pt>
              </c:numCache>
            </c:numRef>
          </c:val>
          <c:smooth val="0"/>
          <c:extLst>
            <c:ext xmlns:c16="http://schemas.microsoft.com/office/drawing/2014/chart" uri="{C3380CC4-5D6E-409C-BE32-E72D297353CC}">
              <c16:uniqueId val="{0000000F-3662-4364-BC6A-EA388E4EA97B}"/>
            </c:ext>
          </c:extLst>
        </c:ser>
        <c:ser>
          <c:idx val="16"/>
          <c:order val="16"/>
          <c:tx>
            <c:strRef>
              <c:f>'FTR Parameter Trend'!$B$20</c:f>
              <c:strCache>
                <c:ptCount val="1"/>
                <c:pt idx="0">
                  <c:v>Colour</c:v>
                </c:pt>
              </c:strCache>
            </c:strRef>
          </c:tx>
          <c:spPr>
            <a:ln w="22225" cap="rnd">
              <a:solidFill>
                <a:schemeClr val="accent5">
                  <a:lumMod val="80000"/>
                  <a:lumOff val="20000"/>
                </a:schemeClr>
              </a:solidFill>
              <a:round/>
            </a:ln>
            <a:effectLst/>
          </c:spPr>
          <c:marker>
            <c:symbol val="plus"/>
            <c:size val="6"/>
            <c:spPr>
              <a:solidFill>
                <a:srgbClr val="FFC000"/>
              </a:solidFill>
              <a:ln w="9525">
                <a:solidFill>
                  <a:schemeClr val="accent5">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Trend'!$C$20:$P$20</c15:sqref>
                  </c15:fullRef>
                </c:ext>
              </c:extLst>
              <c:f>'FTR Parameter Trend'!$C$20:$N$20</c:f>
              <c:numCache>
                <c:formatCode>0%</c:formatCode>
                <c:ptCount val="12"/>
                <c:pt idx="0">
                  <c:v>0.8571428571428571</c:v>
                </c:pt>
                <c:pt idx="1">
                  <c:v>0.95238095238095233</c:v>
                </c:pt>
                <c:pt idx="2">
                  <c:v>1</c:v>
                </c:pt>
                <c:pt idx="3">
                  <c:v>1</c:v>
                </c:pt>
                <c:pt idx="4">
                  <c:v>0.3902439024390244</c:v>
                </c:pt>
                <c:pt idx="5">
                  <c:v>0.72499999999999998</c:v>
                </c:pt>
                <c:pt idx="6">
                  <c:v>0</c:v>
                </c:pt>
                <c:pt idx="7">
                  <c:v>0</c:v>
                </c:pt>
                <c:pt idx="8">
                  <c:v>0</c:v>
                </c:pt>
                <c:pt idx="9">
                  <c:v>0</c:v>
                </c:pt>
                <c:pt idx="10">
                  <c:v>0.48717948717948717</c:v>
                </c:pt>
                <c:pt idx="11">
                  <c:v>0.87037037037037035</c:v>
                </c:pt>
              </c:numCache>
            </c:numRef>
          </c:val>
          <c:smooth val="0"/>
          <c:extLst>
            <c:ext xmlns:c16="http://schemas.microsoft.com/office/drawing/2014/chart" uri="{C3380CC4-5D6E-409C-BE32-E72D297353CC}">
              <c16:uniqueId val="{00000010-3662-4364-BC6A-EA388E4EA97B}"/>
            </c:ext>
          </c:extLst>
        </c:ser>
        <c:ser>
          <c:idx val="17"/>
          <c:order val="17"/>
          <c:tx>
            <c:strRef>
              <c:f>'FTR Parameter Trend'!$B$21</c:f>
              <c:strCache>
                <c:ptCount val="1"/>
                <c:pt idx="0">
                  <c:v>ISO-H</c:v>
                </c:pt>
              </c:strCache>
            </c:strRef>
          </c:tx>
          <c:spPr>
            <a:ln w="22225" cap="rnd">
              <a:solidFill>
                <a:schemeClr val="accent6">
                  <a:lumMod val="80000"/>
                  <a:lumOff val="20000"/>
                </a:schemeClr>
              </a:solidFill>
              <a:round/>
            </a:ln>
            <a:effectLst/>
          </c:spPr>
          <c:marker>
            <c:symbol val="dot"/>
            <c:size val="6"/>
            <c:spPr>
              <a:solidFill>
                <a:schemeClr val="accent1">
                  <a:lumMod val="75000"/>
                </a:schemeClr>
              </a:solidFill>
              <a:ln w="9525">
                <a:solidFill>
                  <a:schemeClr val="accent6">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Trend'!$C$21:$P$21</c15:sqref>
                  </c15:fullRef>
                </c:ext>
              </c:extLst>
              <c:f>'FTR Parameter Trend'!$C$21:$N$21</c:f>
              <c:numCache>
                <c:formatCode>0%</c:formatCode>
                <c:ptCount val="12"/>
                <c:pt idx="0">
                  <c:v>0.92500000000000004</c:v>
                </c:pt>
                <c:pt idx="1">
                  <c:v>0.95121951219512191</c:v>
                </c:pt>
                <c:pt idx="2">
                  <c:v>1</c:v>
                </c:pt>
                <c:pt idx="3">
                  <c:v>1</c:v>
                </c:pt>
                <c:pt idx="4">
                  <c:v>0.82857142857142863</c:v>
                </c:pt>
                <c:pt idx="5">
                  <c:v>1</c:v>
                </c:pt>
                <c:pt idx="6">
                  <c:v>0</c:v>
                </c:pt>
                <c:pt idx="7">
                  <c:v>0</c:v>
                </c:pt>
                <c:pt idx="8">
                  <c:v>0</c:v>
                </c:pt>
                <c:pt idx="9">
                  <c:v>0</c:v>
                </c:pt>
                <c:pt idx="10">
                  <c:v>0.64864864864864868</c:v>
                </c:pt>
                <c:pt idx="11">
                  <c:v>0.98039215686274506</c:v>
                </c:pt>
              </c:numCache>
            </c:numRef>
          </c:val>
          <c:smooth val="0"/>
          <c:extLst>
            <c:ext xmlns:c16="http://schemas.microsoft.com/office/drawing/2014/chart" uri="{C3380CC4-5D6E-409C-BE32-E72D297353CC}">
              <c16:uniqueId val="{00000011-3662-4364-BC6A-EA388E4EA97B}"/>
            </c:ext>
          </c:extLst>
        </c:ser>
        <c:ser>
          <c:idx val="18"/>
          <c:order val="18"/>
          <c:tx>
            <c:strRef>
              <c:f>'FTR Parameter Trend'!$B$22</c:f>
              <c:strCache>
                <c:ptCount val="1"/>
                <c:pt idx="0">
                  <c:v>Original Gravity</c:v>
                </c:pt>
              </c:strCache>
            </c:strRef>
          </c:tx>
          <c:spPr>
            <a:ln w="22225" cap="rnd">
              <a:solidFill>
                <a:srgbClr val="C993FF"/>
              </a:solidFill>
              <a:round/>
            </a:ln>
            <a:effectLst/>
          </c:spPr>
          <c:marker>
            <c:symbol val="dash"/>
            <c:size val="6"/>
            <c:spPr>
              <a:solidFill>
                <a:srgbClr val="C993FF"/>
              </a:solidFill>
              <a:ln w="9525">
                <a:solidFill>
                  <a:srgbClr val="C993FF"/>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Trend'!$C$22:$P$22</c15:sqref>
                  </c15:fullRef>
                </c:ext>
              </c:extLst>
              <c:f>'FTR Parameter Trend'!$C$22:$N$22</c:f>
              <c:numCache>
                <c:formatCode>0%</c:formatCode>
                <c:ptCount val="12"/>
                <c:pt idx="0">
                  <c:v>1</c:v>
                </c:pt>
                <c:pt idx="1">
                  <c:v>0.93023255813953487</c:v>
                </c:pt>
                <c:pt idx="2">
                  <c:v>1</c:v>
                </c:pt>
                <c:pt idx="3">
                  <c:v>1</c:v>
                </c:pt>
                <c:pt idx="4">
                  <c:v>1</c:v>
                </c:pt>
                <c:pt idx="5">
                  <c:v>0.9</c:v>
                </c:pt>
                <c:pt idx="6">
                  <c:v>0</c:v>
                </c:pt>
                <c:pt idx="7">
                  <c:v>0</c:v>
                </c:pt>
                <c:pt idx="8">
                  <c:v>0</c:v>
                </c:pt>
                <c:pt idx="9">
                  <c:v>0</c:v>
                </c:pt>
                <c:pt idx="10">
                  <c:v>0.7567567567567568</c:v>
                </c:pt>
                <c:pt idx="11">
                  <c:v>0.94444444444444442</c:v>
                </c:pt>
              </c:numCache>
            </c:numRef>
          </c:val>
          <c:smooth val="0"/>
          <c:extLst xmlns:c15="http://schemas.microsoft.com/office/drawing/2012/chart">
            <c:ext xmlns:c16="http://schemas.microsoft.com/office/drawing/2014/chart" uri="{C3380CC4-5D6E-409C-BE32-E72D297353CC}">
              <c16:uniqueId val="{00000000-D562-4E83-B88D-A58AC42B3513}"/>
            </c:ext>
          </c:extLst>
        </c:ser>
        <c:ser>
          <c:idx val="19"/>
          <c:order val="19"/>
          <c:tx>
            <c:strRef>
              <c:f>'FTR Parameter Trend'!$B$23</c:f>
              <c:strCache>
                <c:ptCount val="1"/>
                <c:pt idx="0">
                  <c:v>TOP</c:v>
                </c:pt>
              </c:strCache>
            </c:strRef>
          </c:tx>
          <c:spPr>
            <a:ln w="22225" cap="rnd">
              <a:solidFill>
                <a:schemeClr val="accent2">
                  <a:lumMod val="80000"/>
                </a:schemeClr>
              </a:solidFill>
              <a:round/>
            </a:ln>
            <a:effectLst/>
          </c:spPr>
          <c:marker>
            <c:symbol val="diamond"/>
            <c:size val="6"/>
            <c:spPr>
              <a:solidFill>
                <a:schemeClr val="accent2">
                  <a:lumMod val="80000"/>
                </a:schemeClr>
              </a:solidFill>
              <a:ln w="9525">
                <a:solidFill>
                  <a:schemeClr val="accent2">
                    <a:lumMod val="8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Trend'!$C$23:$P$23</c15:sqref>
                  </c15:fullRef>
                </c:ext>
              </c:extLst>
              <c:f>'FTR Parameter Trend'!$C$23:$N$23</c:f>
              <c:numCache>
                <c:formatCode>0%</c:formatCode>
                <c:ptCount val="12"/>
                <c:pt idx="0">
                  <c:v>0.97142857142857142</c:v>
                </c:pt>
                <c:pt idx="1">
                  <c:v>1</c:v>
                </c:pt>
                <c:pt idx="2">
                  <c:v>1</c:v>
                </c:pt>
                <c:pt idx="3">
                  <c:v>1</c:v>
                </c:pt>
                <c:pt idx="4">
                  <c:v>0</c:v>
                </c:pt>
                <c:pt idx="6">
                  <c:v>0</c:v>
                </c:pt>
                <c:pt idx="7">
                  <c:v>0</c:v>
                </c:pt>
                <c:pt idx="8">
                  <c:v>0</c:v>
                </c:pt>
                <c:pt idx="9">
                  <c:v>0</c:v>
                </c:pt>
                <c:pt idx="10">
                  <c:v>0.43478260869565216</c:v>
                </c:pt>
                <c:pt idx="11">
                  <c:v>0.81034482758620685</c:v>
                </c:pt>
              </c:numCache>
            </c:numRef>
          </c:val>
          <c:smooth val="0"/>
          <c:extLst xmlns:c15="http://schemas.microsoft.com/office/drawing/2012/chart">
            <c:ext xmlns:c16="http://schemas.microsoft.com/office/drawing/2014/chart" uri="{C3380CC4-5D6E-409C-BE32-E72D297353CC}">
              <c16:uniqueId val="{00000001-FD84-418E-9CB0-A4AE498CDDE8}"/>
            </c:ext>
          </c:extLst>
        </c:ser>
        <c:dLbls>
          <c:showLegendKey val="0"/>
          <c:showVal val="0"/>
          <c:showCatName val="0"/>
          <c:showSerName val="0"/>
          <c:showPercent val="0"/>
          <c:showBubbleSize val="0"/>
        </c:dLbls>
        <c:marker val="1"/>
        <c:smooth val="0"/>
        <c:axId val="537077248"/>
        <c:axId val="537077576"/>
        <c:extLst>
          <c:ext xmlns:c15="http://schemas.microsoft.com/office/drawing/2012/chart" uri="{02D57815-91ED-43cb-92C2-25804820EDAC}">
            <c15:filteredLineSeries>
              <c15:ser>
                <c:idx val="20"/>
                <c:order val="20"/>
                <c:tx>
                  <c:strRef>
                    <c:extLst>
                      <c:ext uri="{02D57815-91ED-43cb-92C2-25804820EDAC}">
                        <c15:formulaRef>
                          <c15:sqref>'FTR Parameter Trend'!$B$24</c15:sqref>
                        </c15:formulaRef>
                      </c:ext>
                    </c:extLst>
                    <c:strCache>
                      <c:ptCount val="1"/>
                      <c:pt idx="0">
                        <c:v>MTD</c:v>
                      </c:pt>
                    </c:strCache>
                  </c:strRef>
                </c:tx>
                <c:spPr>
                  <a:ln w="22225" cap="rnd">
                    <a:solidFill>
                      <a:schemeClr val="accent3">
                        <a:lumMod val="80000"/>
                      </a:schemeClr>
                    </a:solidFill>
                    <a:round/>
                  </a:ln>
                  <a:effectLst/>
                </c:spPr>
                <c:marker>
                  <c:symbol val="square"/>
                  <c:size val="6"/>
                  <c:spPr>
                    <a:solidFill>
                      <a:schemeClr val="accent3">
                        <a:lumMod val="80000"/>
                      </a:schemeClr>
                    </a:solidFill>
                    <a:ln w="9525">
                      <a:solidFill>
                        <a:schemeClr val="accent3">
                          <a:lumMod val="80000"/>
                        </a:schemeClr>
                      </a:solidFill>
                      <a:round/>
                    </a:ln>
                    <a:effectLst/>
                  </c:spPr>
                </c:marker>
                <c:cat>
                  <c:strRef>
                    <c:extLst>
                      <c:ext uri="{02D57815-91ED-43cb-92C2-25804820EDAC}">
                        <c15:fullRef>
                          <c15:sqref>'FTR Parameter Trend'!$C$3:$P$3</c15:sqref>
                        </c15:fullRef>
                        <c15:formulaRef>
                          <c15:sqref>'FTR Parameter Trend'!$C$3:$N$3</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ullRef>
                          <c15:sqref>'FTR Parameter Trend'!$C$24:$P$24</c15:sqref>
                        </c15:fullRef>
                        <c15:formulaRef>
                          <c15:sqref>'FTR Parameter Trend'!$C$24:$N$24</c15:sqref>
                        </c15:formulaRef>
                      </c:ext>
                    </c:extLst>
                    <c:numCache>
                      <c:formatCode>0%</c:formatCode>
                      <c:ptCount val="12"/>
                      <c:pt idx="0">
                        <c:v>0.69876251627776009</c:v>
                      </c:pt>
                      <c:pt idx="1">
                        <c:v>0</c:v>
                      </c:pt>
                      <c:pt idx="2">
                        <c:v>0.76636541540651137</c:v>
                      </c:pt>
                      <c:pt idx="3">
                        <c:v>0.76766967736672331</c:v>
                      </c:pt>
                      <c:pt idx="4">
                        <c:v>0.58826181907550601</c:v>
                      </c:pt>
                      <c:pt idx="5">
                        <c:v>0.70812772518057077</c:v>
                      </c:pt>
                      <c:pt idx="6">
                        <c:v>0</c:v>
                      </c:pt>
                      <c:pt idx="7">
                        <c:v>0</c:v>
                      </c:pt>
                      <c:pt idx="8">
                        <c:v>0.51061557063400609</c:v>
                      </c:pt>
                      <c:pt idx="9">
                        <c:v>0</c:v>
                      </c:pt>
                      <c:pt idx="10">
                        <c:v>0.63915313778736127</c:v>
                      </c:pt>
                      <c:pt idx="11">
                        <c:v>0.86626900431336207</c:v>
                      </c:pt>
                    </c:numCache>
                  </c:numRef>
                </c:val>
                <c:smooth val="0"/>
                <c:extLst>
                  <c:ext xmlns:c16="http://schemas.microsoft.com/office/drawing/2014/chart" uri="{C3380CC4-5D6E-409C-BE32-E72D297353CC}">
                    <c16:uniqueId val="{00000000-1217-4251-B71B-817357D16D51}"/>
                  </c:ext>
                </c:extLst>
              </c15:ser>
            </c15:filteredLineSeries>
          </c:ext>
        </c:extLst>
      </c:lineChart>
      <c:catAx>
        <c:axId val="53707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537077576"/>
        <c:crosses val="autoZero"/>
        <c:auto val="1"/>
        <c:lblAlgn val="ctr"/>
        <c:lblOffset val="100"/>
        <c:noMultiLvlLbl val="0"/>
      </c:catAx>
      <c:valAx>
        <c:axId val="537077576"/>
        <c:scaling>
          <c:orientation val="minMax"/>
          <c:max val="1"/>
          <c:min val="0.1"/>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7077248"/>
        <c:crosses val="autoZero"/>
        <c:crossBetween val="between"/>
      </c:valAx>
      <c:spPr>
        <a:noFill/>
        <a:ln>
          <a:noFill/>
        </a:ln>
        <a:effectLst/>
      </c:spPr>
    </c:plotArea>
    <c:legend>
      <c:legendPos val="b"/>
      <c:layout>
        <c:manualLayout>
          <c:xMode val="edge"/>
          <c:yMode val="edge"/>
          <c:x val="8.9165706210734955E-2"/>
          <c:y val="0.81515500938951679"/>
          <c:w val="0.8500792464484781"/>
          <c:h val="0.1719880965583527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Brewing Breakdown (Monthly)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Report'!$C$1</c:f>
              <c:strCache>
                <c:ptCount val="1"/>
                <c:pt idx="0">
                  <c:v>January</c:v>
                </c:pt>
              </c:strCache>
            </c:strRef>
          </c:tx>
          <c:spPr>
            <a:solidFill>
              <a:schemeClr val="accent6"/>
            </a:solidFill>
            <a:ln>
              <a:noFill/>
            </a:ln>
            <a:effectLst/>
          </c:spPr>
          <c:invertIfNegative val="0"/>
          <c:cat>
            <c:multiLvlStrRef>
              <c:f>'Summary Report'!$A$2:$B$5</c:f>
              <c:multiLvlStrCache>
                <c:ptCount val="4"/>
                <c:lvl>
                  <c:pt idx="0">
                    <c:v>%</c:v>
                  </c:pt>
                  <c:pt idx="1">
                    <c:v>%</c:v>
                  </c:pt>
                  <c:pt idx="2">
                    <c:v>%</c:v>
                  </c:pt>
                  <c:pt idx="3">
                    <c:v>%</c:v>
                  </c:pt>
                </c:lvl>
                <c:lvl>
                  <c:pt idx="0">
                    <c:v>FTR Brewing</c:v>
                  </c:pt>
                  <c:pt idx="1">
                    <c:v>Cast Gravity</c:v>
                  </c:pt>
                  <c:pt idx="2">
                    <c:v>Brewing Time</c:v>
                  </c:pt>
                  <c:pt idx="3">
                    <c:v>Aeration Level</c:v>
                  </c:pt>
                </c:lvl>
              </c:multiLvlStrCache>
            </c:multiLvlStrRef>
          </c:cat>
          <c:val>
            <c:numRef>
              <c:f>'Summary Report'!$C$2:$C$5</c:f>
              <c:numCache>
                <c:formatCode>0%</c:formatCode>
                <c:ptCount val="4"/>
                <c:pt idx="0">
                  <c:v>0.17333333333333334</c:v>
                </c:pt>
                <c:pt idx="1">
                  <c:v>0.89333333333333331</c:v>
                </c:pt>
                <c:pt idx="2">
                  <c:v>0.18666666666666668</c:v>
                </c:pt>
                <c:pt idx="3">
                  <c:v>1</c:v>
                </c:pt>
              </c:numCache>
            </c:numRef>
          </c:val>
          <c:extLst>
            <c:ext xmlns:c16="http://schemas.microsoft.com/office/drawing/2014/chart" uri="{C3380CC4-5D6E-409C-BE32-E72D297353CC}">
              <c16:uniqueId val="{00000000-FFE3-4E5A-BA12-9A847A10D4E8}"/>
            </c:ext>
          </c:extLst>
        </c:ser>
        <c:ser>
          <c:idx val="1"/>
          <c:order val="1"/>
          <c:tx>
            <c:strRef>
              <c:f>'Summary Report'!$D$1</c:f>
              <c:strCache>
                <c:ptCount val="1"/>
                <c:pt idx="0">
                  <c:v>February</c:v>
                </c:pt>
              </c:strCache>
            </c:strRef>
          </c:tx>
          <c:spPr>
            <a:solidFill>
              <a:schemeClr val="accent5"/>
            </a:solidFill>
            <a:ln>
              <a:noFill/>
            </a:ln>
            <a:effectLst/>
          </c:spPr>
          <c:invertIfNegative val="0"/>
          <c:cat>
            <c:multiLvlStrRef>
              <c:f>'Summary Report'!$A$2:$B$5</c:f>
              <c:multiLvlStrCache>
                <c:ptCount val="4"/>
                <c:lvl>
                  <c:pt idx="0">
                    <c:v>%</c:v>
                  </c:pt>
                  <c:pt idx="1">
                    <c:v>%</c:v>
                  </c:pt>
                  <c:pt idx="2">
                    <c:v>%</c:v>
                  </c:pt>
                  <c:pt idx="3">
                    <c:v>%</c:v>
                  </c:pt>
                </c:lvl>
                <c:lvl>
                  <c:pt idx="0">
                    <c:v>FTR Brewing</c:v>
                  </c:pt>
                  <c:pt idx="1">
                    <c:v>Cast Gravity</c:v>
                  </c:pt>
                  <c:pt idx="2">
                    <c:v>Brewing Time</c:v>
                  </c:pt>
                  <c:pt idx="3">
                    <c:v>Aeration Level</c:v>
                  </c:pt>
                </c:lvl>
              </c:multiLvlStrCache>
            </c:multiLvlStrRef>
          </c:cat>
          <c:val>
            <c:numRef>
              <c:f>'Summary Report'!$D$2:$D$5</c:f>
              <c:numCache>
                <c:formatCode>0%</c:formatCode>
                <c:ptCount val="4"/>
                <c:pt idx="0">
                  <c:v>0.1223021582733813</c:v>
                </c:pt>
                <c:pt idx="1">
                  <c:v>0.85611510791366907</c:v>
                </c:pt>
                <c:pt idx="2">
                  <c:v>0.1366906474820144</c:v>
                </c:pt>
                <c:pt idx="3">
                  <c:v>0.99212598425196852</c:v>
                </c:pt>
              </c:numCache>
            </c:numRef>
          </c:val>
          <c:extLst>
            <c:ext xmlns:c16="http://schemas.microsoft.com/office/drawing/2014/chart" uri="{C3380CC4-5D6E-409C-BE32-E72D297353CC}">
              <c16:uniqueId val="{00000003-FFE3-4E5A-BA12-9A847A10D4E8}"/>
            </c:ext>
          </c:extLst>
        </c:ser>
        <c:ser>
          <c:idx val="2"/>
          <c:order val="2"/>
          <c:tx>
            <c:strRef>
              <c:f>'Summary Report'!$E$1</c:f>
              <c:strCache>
                <c:ptCount val="1"/>
                <c:pt idx="0">
                  <c:v>March</c:v>
                </c:pt>
              </c:strCache>
            </c:strRef>
          </c:tx>
          <c:spPr>
            <a:solidFill>
              <a:schemeClr val="accent4"/>
            </a:solidFill>
            <a:ln>
              <a:noFill/>
            </a:ln>
            <a:effectLst/>
          </c:spPr>
          <c:invertIfNegative val="0"/>
          <c:cat>
            <c:multiLvlStrRef>
              <c:f>'Summary Report'!$A$2:$B$5</c:f>
              <c:multiLvlStrCache>
                <c:ptCount val="4"/>
                <c:lvl>
                  <c:pt idx="0">
                    <c:v>%</c:v>
                  </c:pt>
                  <c:pt idx="1">
                    <c:v>%</c:v>
                  </c:pt>
                  <c:pt idx="2">
                    <c:v>%</c:v>
                  </c:pt>
                  <c:pt idx="3">
                    <c:v>%</c:v>
                  </c:pt>
                </c:lvl>
                <c:lvl>
                  <c:pt idx="0">
                    <c:v>FTR Brewing</c:v>
                  </c:pt>
                  <c:pt idx="1">
                    <c:v>Cast Gravity</c:v>
                  </c:pt>
                  <c:pt idx="2">
                    <c:v>Brewing Time</c:v>
                  </c:pt>
                  <c:pt idx="3">
                    <c:v>Aeration Level</c:v>
                  </c:pt>
                </c:lvl>
              </c:multiLvlStrCache>
            </c:multiLvlStrRef>
          </c:cat>
          <c:val>
            <c:numRef>
              <c:f>'Summary Report'!$E$2:$E$5</c:f>
              <c:numCache>
                <c:formatCode>0%</c:formatCode>
                <c:ptCount val="4"/>
                <c:pt idx="0">
                  <c:v>0.6460674157303371</c:v>
                </c:pt>
                <c:pt idx="1">
                  <c:v>0.9157303370786517</c:v>
                </c:pt>
                <c:pt idx="2">
                  <c:v>0.7078651685393258</c:v>
                </c:pt>
                <c:pt idx="3">
                  <c:v>0.98561151079136688</c:v>
                </c:pt>
              </c:numCache>
            </c:numRef>
          </c:val>
          <c:extLst>
            <c:ext xmlns:c16="http://schemas.microsoft.com/office/drawing/2014/chart" uri="{C3380CC4-5D6E-409C-BE32-E72D297353CC}">
              <c16:uniqueId val="{00000004-FFE3-4E5A-BA12-9A847A10D4E8}"/>
            </c:ext>
          </c:extLst>
        </c:ser>
        <c:dLbls>
          <c:showLegendKey val="0"/>
          <c:showVal val="0"/>
          <c:showCatName val="0"/>
          <c:showSerName val="0"/>
          <c:showPercent val="0"/>
          <c:showBubbleSize val="0"/>
        </c:dLbls>
        <c:gapWidth val="150"/>
        <c:axId val="474415024"/>
        <c:axId val="474418384"/>
      </c:barChart>
      <c:catAx>
        <c:axId val="474415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8384"/>
        <c:crosses val="autoZero"/>
        <c:auto val="1"/>
        <c:lblAlgn val="ctr"/>
        <c:lblOffset val="100"/>
        <c:noMultiLvlLbl val="0"/>
      </c:catAx>
      <c:valAx>
        <c:axId val="474418384"/>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3.6266672758706188E-2"/>
              <c:y val="0.286023158869847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5024"/>
        <c:crosses val="autoZero"/>
        <c:crossBetween val="between"/>
        <c:minorUnit val="2.0000000000000004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FTR Fermentation Breakdown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Report'!$C$7</c:f>
              <c:strCache>
                <c:ptCount val="1"/>
                <c:pt idx="0">
                  <c:v>January</c:v>
                </c:pt>
              </c:strCache>
            </c:strRef>
          </c:tx>
          <c:spPr>
            <a:solidFill>
              <a:schemeClr val="accent6"/>
            </a:solidFill>
            <a:ln>
              <a:noFill/>
            </a:ln>
            <a:effectLst/>
          </c:spPr>
          <c:invertIfNegative val="0"/>
          <c:cat>
            <c:multiLvlStrRef>
              <c:f>'Summary Report'!$A$8:$B$13</c:f>
              <c:multiLvlStrCache>
                <c:ptCount val="6"/>
                <c:lvl>
                  <c:pt idx="0">
                    <c:v>%</c:v>
                  </c:pt>
                  <c:pt idx="1">
                    <c:v>%</c:v>
                  </c:pt>
                  <c:pt idx="2">
                    <c:v>%</c:v>
                  </c:pt>
                  <c:pt idx="3">
                    <c:v>%</c:v>
                  </c:pt>
                  <c:pt idx="4">
                    <c:v>%</c:v>
                  </c:pt>
                  <c:pt idx="5">
                    <c:v>%</c:v>
                  </c:pt>
                </c:lvl>
                <c:lvl>
                  <c:pt idx="0">
                    <c:v>FTR Fermentation</c:v>
                  </c:pt>
                  <c:pt idx="1">
                    <c:v>FVSV Fill Duration</c:v>
                  </c:pt>
                  <c:pt idx="2">
                    <c:v>Yeast Dosage</c:v>
                  </c:pt>
                  <c:pt idx="3">
                    <c:v>Pitched Yeast Stain</c:v>
                  </c:pt>
                  <c:pt idx="4">
                    <c:v>Yeast Storage Duration</c:v>
                  </c:pt>
                  <c:pt idx="5">
                    <c:v>Fermentation Speed</c:v>
                  </c:pt>
                </c:lvl>
              </c:multiLvlStrCache>
            </c:multiLvlStrRef>
          </c:cat>
          <c:val>
            <c:numRef>
              <c:f>'Summary Report'!$C$8:$C$13</c:f>
              <c:numCache>
                <c:formatCode>0%</c:formatCode>
                <c:ptCount val="6"/>
                <c:pt idx="0">
                  <c:v>0.45</c:v>
                </c:pt>
                <c:pt idx="1">
                  <c:v>0.5</c:v>
                </c:pt>
                <c:pt idx="2">
                  <c:v>1</c:v>
                </c:pt>
                <c:pt idx="3">
                  <c:v>1</c:v>
                </c:pt>
                <c:pt idx="4">
                  <c:v>0.82608695652173914</c:v>
                </c:pt>
                <c:pt idx="5">
                  <c:v>0.94736842105263153</c:v>
                </c:pt>
              </c:numCache>
            </c:numRef>
          </c:val>
          <c:extLst>
            <c:ext xmlns:c16="http://schemas.microsoft.com/office/drawing/2014/chart" uri="{C3380CC4-5D6E-409C-BE32-E72D297353CC}">
              <c16:uniqueId val="{00000000-9DFF-471D-BA3E-D0B383895D58}"/>
            </c:ext>
          </c:extLst>
        </c:ser>
        <c:ser>
          <c:idx val="1"/>
          <c:order val="1"/>
          <c:tx>
            <c:strRef>
              <c:f>'Summary Report'!$D$7</c:f>
              <c:strCache>
                <c:ptCount val="1"/>
                <c:pt idx="0">
                  <c:v>February</c:v>
                </c:pt>
              </c:strCache>
            </c:strRef>
          </c:tx>
          <c:spPr>
            <a:solidFill>
              <a:schemeClr val="accent5"/>
            </a:solidFill>
            <a:ln>
              <a:noFill/>
            </a:ln>
            <a:effectLst/>
          </c:spPr>
          <c:invertIfNegative val="0"/>
          <c:cat>
            <c:multiLvlStrRef>
              <c:f>'Summary Report'!$A$8:$B$13</c:f>
              <c:multiLvlStrCache>
                <c:ptCount val="6"/>
                <c:lvl>
                  <c:pt idx="0">
                    <c:v>%</c:v>
                  </c:pt>
                  <c:pt idx="1">
                    <c:v>%</c:v>
                  </c:pt>
                  <c:pt idx="2">
                    <c:v>%</c:v>
                  </c:pt>
                  <c:pt idx="3">
                    <c:v>%</c:v>
                  </c:pt>
                  <c:pt idx="4">
                    <c:v>%</c:v>
                  </c:pt>
                  <c:pt idx="5">
                    <c:v>%</c:v>
                  </c:pt>
                </c:lvl>
                <c:lvl>
                  <c:pt idx="0">
                    <c:v>FTR Fermentation</c:v>
                  </c:pt>
                  <c:pt idx="1">
                    <c:v>FVSV Fill Duration</c:v>
                  </c:pt>
                  <c:pt idx="2">
                    <c:v>Yeast Dosage</c:v>
                  </c:pt>
                  <c:pt idx="3">
                    <c:v>Pitched Yeast Stain</c:v>
                  </c:pt>
                  <c:pt idx="4">
                    <c:v>Yeast Storage Duration</c:v>
                  </c:pt>
                  <c:pt idx="5">
                    <c:v>Fermentation Speed</c:v>
                  </c:pt>
                </c:lvl>
              </c:multiLvlStrCache>
            </c:multiLvlStrRef>
          </c:cat>
          <c:val>
            <c:numRef>
              <c:f>'Summary Report'!$D$8:$D$13</c:f>
              <c:numCache>
                <c:formatCode>0%</c:formatCode>
                <c:ptCount val="6"/>
                <c:pt idx="0">
                  <c:v>0.3</c:v>
                </c:pt>
                <c:pt idx="1">
                  <c:v>0.45454545454545453</c:v>
                </c:pt>
                <c:pt idx="2">
                  <c:v>0.95</c:v>
                </c:pt>
                <c:pt idx="3">
                  <c:v>1</c:v>
                </c:pt>
                <c:pt idx="4">
                  <c:v>0.7</c:v>
                </c:pt>
                <c:pt idx="5">
                  <c:v>0.88235294117647056</c:v>
                </c:pt>
              </c:numCache>
            </c:numRef>
          </c:val>
          <c:extLst>
            <c:ext xmlns:c16="http://schemas.microsoft.com/office/drawing/2014/chart" uri="{C3380CC4-5D6E-409C-BE32-E72D297353CC}">
              <c16:uniqueId val="{00000001-9DFF-471D-BA3E-D0B383895D58}"/>
            </c:ext>
          </c:extLst>
        </c:ser>
        <c:ser>
          <c:idx val="2"/>
          <c:order val="2"/>
          <c:tx>
            <c:strRef>
              <c:f>'Summary Report'!$E$7</c:f>
              <c:strCache>
                <c:ptCount val="1"/>
                <c:pt idx="0">
                  <c:v>March</c:v>
                </c:pt>
              </c:strCache>
            </c:strRef>
          </c:tx>
          <c:spPr>
            <a:solidFill>
              <a:schemeClr val="accent4"/>
            </a:solidFill>
            <a:ln>
              <a:noFill/>
            </a:ln>
            <a:effectLst/>
          </c:spPr>
          <c:invertIfNegative val="0"/>
          <c:cat>
            <c:multiLvlStrRef>
              <c:f>'Summary Report'!$A$8:$B$13</c:f>
              <c:multiLvlStrCache>
                <c:ptCount val="6"/>
                <c:lvl>
                  <c:pt idx="0">
                    <c:v>%</c:v>
                  </c:pt>
                  <c:pt idx="1">
                    <c:v>%</c:v>
                  </c:pt>
                  <c:pt idx="2">
                    <c:v>%</c:v>
                  </c:pt>
                  <c:pt idx="3">
                    <c:v>%</c:v>
                  </c:pt>
                  <c:pt idx="4">
                    <c:v>%</c:v>
                  </c:pt>
                  <c:pt idx="5">
                    <c:v>%</c:v>
                  </c:pt>
                </c:lvl>
                <c:lvl>
                  <c:pt idx="0">
                    <c:v>FTR Fermentation</c:v>
                  </c:pt>
                  <c:pt idx="1">
                    <c:v>FVSV Fill Duration</c:v>
                  </c:pt>
                  <c:pt idx="2">
                    <c:v>Yeast Dosage</c:v>
                  </c:pt>
                  <c:pt idx="3">
                    <c:v>Pitched Yeast Stain</c:v>
                  </c:pt>
                  <c:pt idx="4">
                    <c:v>Yeast Storage Duration</c:v>
                  </c:pt>
                  <c:pt idx="5">
                    <c:v>Fermentation Speed</c:v>
                  </c:pt>
                </c:lvl>
              </c:multiLvlStrCache>
            </c:multiLvlStrRef>
          </c:cat>
          <c:val>
            <c:numRef>
              <c:f>'Summary Report'!$E$8:$E$13</c:f>
              <c:numCache>
                <c:formatCode>0%</c:formatCode>
                <c:ptCount val="6"/>
                <c:pt idx="0">
                  <c:v>0.5714285714285714</c:v>
                </c:pt>
                <c:pt idx="1">
                  <c:v>0.7857142857142857</c:v>
                </c:pt>
                <c:pt idx="2">
                  <c:v>0.96296296296296291</c:v>
                </c:pt>
                <c:pt idx="3">
                  <c:v>1</c:v>
                </c:pt>
                <c:pt idx="4">
                  <c:v>0.92592592592592593</c:v>
                </c:pt>
                <c:pt idx="5">
                  <c:v>0.88888888888888884</c:v>
                </c:pt>
              </c:numCache>
            </c:numRef>
          </c:val>
          <c:extLst>
            <c:ext xmlns:c16="http://schemas.microsoft.com/office/drawing/2014/chart" uri="{C3380CC4-5D6E-409C-BE32-E72D297353CC}">
              <c16:uniqueId val="{00000002-9DFF-471D-BA3E-D0B383895D58}"/>
            </c:ext>
          </c:extLst>
        </c:ser>
        <c:dLbls>
          <c:showLegendKey val="0"/>
          <c:showVal val="0"/>
          <c:showCatName val="0"/>
          <c:showSerName val="0"/>
          <c:showPercent val="0"/>
          <c:showBubbleSize val="0"/>
        </c:dLbls>
        <c:gapWidth val="219"/>
        <c:axId val="628345744"/>
        <c:axId val="628366384"/>
      </c:barChart>
      <c:catAx>
        <c:axId val="62834574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66384"/>
        <c:crosses val="autoZero"/>
        <c:auto val="1"/>
        <c:lblAlgn val="ctr"/>
        <c:lblOffset val="100"/>
        <c:noMultiLvlLbl val="0"/>
      </c:catAx>
      <c:valAx>
        <c:axId val="628366384"/>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r>
                  <a:rPr lang="en-US" baseline="0"/>
                  <a:t> acheived</a:t>
                </a:r>
                <a:endParaRPr lang="en-US"/>
              </a:p>
            </c:rich>
          </c:tx>
          <c:layout>
            <c:manualLayout>
              <c:xMode val="edge"/>
              <c:yMode val="edge"/>
              <c:x val="2.9092750965937872E-2"/>
              <c:y val="0.247432440503862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45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BBT Breakdown (Monthly)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Report'!$C$15</c:f>
              <c:strCache>
                <c:ptCount val="1"/>
                <c:pt idx="0">
                  <c:v>January</c:v>
                </c:pt>
              </c:strCache>
            </c:strRef>
          </c:tx>
          <c:spPr>
            <a:solidFill>
              <a:schemeClr val="accent6"/>
            </a:solidFill>
            <a:ln>
              <a:noFill/>
            </a:ln>
            <a:effectLst/>
          </c:spPr>
          <c:invertIfNegative val="0"/>
          <c:cat>
            <c:multiLvlStrRef>
              <c:f>'Summary Report'!$A$16:$B$21</c:f>
              <c:multiLvlStrCache>
                <c:ptCount val="6"/>
                <c:lvl>
                  <c:pt idx="0">
                    <c:v>%</c:v>
                  </c:pt>
                  <c:pt idx="1">
                    <c:v>%</c:v>
                  </c:pt>
                  <c:pt idx="2">
                    <c:v>%</c:v>
                  </c:pt>
                  <c:pt idx="3">
                    <c:v>%</c:v>
                  </c:pt>
                  <c:pt idx="4">
                    <c:v>%</c:v>
                  </c:pt>
                  <c:pt idx="5">
                    <c:v>%</c:v>
                  </c:pt>
                </c:lvl>
                <c:lvl>
                  <c:pt idx="0">
                    <c:v>FTR BBT</c:v>
                  </c:pt>
                  <c:pt idx="1">
                    <c:v>PG</c:v>
                  </c:pt>
                  <c:pt idx="2">
                    <c:v>Colour</c:v>
                  </c:pt>
                  <c:pt idx="3">
                    <c:v>CO2</c:v>
                  </c:pt>
                  <c:pt idx="4">
                    <c:v>DO</c:v>
                  </c:pt>
                  <c:pt idx="5">
                    <c:v>Haze</c:v>
                  </c:pt>
                </c:lvl>
              </c:multiLvlStrCache>
            </c:multiLvlStrRef>
          </c:cat>
          <c:val>
            <c:numRef>
              <c:f>'Summary Report'!$C$16:$C$21</c:f>
              <c:numCache>
                <c:formatCode>0%</c:formatCode>
                <c:ptCount val="6"/>
                <c:pt idx="0">
                  <c:v>0.87301587301587302</c:v>
                </c:pt>
                <c:pt idx="1">
                  <c:v>0.98412698412698407</c:v>
                </c:pt>
                <c:pt idx="2">
                  <c:v>0.95238095238095233</c:v>
                </c:pt>
                <c:pt idx="3">
                  <c:v>1</c:v>
                </c:pt>
                <c:pt idx="4">
                  <c:v>1</c:v>
                </c:pt>
                <c:pt idx="5">
                  <c:v>0.91836734693877553</c:v>
                </c:pt>
              </c:numCache>
            </c:numRef>
          </c:val>
          <c:extLst>
            <c:ext xmlns:c16="http://schemas.microsoft.com/office/drawing/2014/chart" uri="{C3380CC4-5D6E-409C-BE32-E72D297353CC}">
              <c16:uniqueId val="{00000000-756D-4918-8D17-BBB4461529C7}"/>
            </c:ext>
          </c:extLst>
        </c:ser>
        <c:ser>
          <c:idx val="1"/>
          <c:order val="1"/>
          <c:tx>
            <c:strRef>
              <c:f>'Summary Report'!$D$15</c:f>
              <c:strCache>
                <c:ptCount val="1"/>
                <c:pt idx="0">
                  <c:v>February</c:v>
                </c:pt>
              </c:strCache>
            </c:strRef>
          </c:tx>
          <c:spPr>
            <a:solidFill>
              <a:schemeClr val="accent5"/>
            </a:solidFill>
            <a:ln>
              <a:noFill/>
            </a:ln>
            <a:effectLst/>
          </c:spPr>
          <c:invertIfNegative val="0"/>
          <c:cat>
            <c:multiLvlStrRef>
              <c:f>'Summary Report'!$A$16:$B$21</c:f>
              <c:multiLvlStrCache>
                <c:ptCount val="6"/>
                <c:lvl>
                  <c:pt idx="0">
                    <c:v>%</c:v>
                  </c:pt>
                  <c:pt idx="1">
                    <c:v>%</c:v>
                  </c:pt>
                  <c:pt idx="2">
                    <c:v>%</c:v>
                  </c:pt>
                  <c:pt idx="3">
                    <c:v>%</c:v>
                  </c:pt>
                  <c:pt idx="4">
                    <c:v>%</c:v>
                  </c:pt>
                  <c:pt idx="5">
                    <c:v>%</c:v>
                  </c:pt>
                </c:lvl>
                <c:lvl>
                  <c:pt idx="0">
                    <c:v>FTR BBT</c:v>
                  </c:pt>
                  <c:pt idx="1">
                    <c:v>PG</c:v>
                  </c:pt>
                  <c:pt idx="2">
                    <c:v>Colour</c:v>
                  </c:pt>
                  <c:pt idx="3">
                    <c:v>CO2</c:v>
                  </c:pt>
                  <c:pt idx="4">
                    <c:v>DO</c:v>
                  </c:pt>
                  <c:pt idx="5">
                    <c:v>Haze</c:v>
                  </c:pt>
                </c:lvl>
              </c:multiLvlStrCache>
            </c:multiLvlStrRef>
          </c:cat>
          <c:val>
            <c:numRef>
              <c:f>'Summary Report'!$D$16:$D$21</c:f>
              <c:numCache>
                <c:formatCode>0%</c:formatCode>
                <c:ptCount val="6"/>
                <c:pt idx="0">
                  <c:v>0.72727272727272729</c:v>
                </c:pt>
                <c:pt idx="1">
                  <c:v>0.74242424242424243</c:v>
                </c:pt>
                <c:pt idx="2">
                  <c:v>0.95454545454545459</c:v>
                </c:pt>
                <c:pt idx="3">
                  <c:v>0.92727272727272725</c:v>
                </c:pt>
                <c:pt idx="4">
                  <c:v>1</c:v>
                </c:pt>
                <c:pt idx="5">
                  <c:v>1</c:v>
                </c:pt>
              </c:numCache>
            </c:numRef>
          </c:val>
          <c:extLst>
            <c:ext xmlns:c16="http://schemas.microsoft.com/office/drawing/2014/chart" uri="{C3380CC4-5D6E-409C-BE32-E72D297353CC}">
              <c16:uniqueId val="{00000001-756D-4918-8D17-BBB4461529C7}"/>
            </c:ext>
          </c:extLst>
        </c:ser>
        <c:ser>
          <c:idx val="2"/>
          <c:order val="2"/>
          <c:tx>
            <c:strRef>
              <c:f>'Summary Report'!$E$15</c:f>
              <c:strCache>
                <c:ptCount val="1"/>
                <c:pt idx="0">
                  <c:v>March</c:v>
                </c:pt>
              </c:strCache>
            </c:strRef>
          </c:tx>
          <c:spPr>
            <a:solidFill>
              <a:schemeClr val="accent4"/>
            </a:solidFill>
            <a:ln>
              <a:noFill/>
            </a:ln>
            <a:effectLst/>
          </c:spPr>
          <c:invertIfNegative val="0"/>
          <c:cat>
            <c:multiLvlStrRef>
              <c:f>'Summary Report'!$A$16:$B$21</c:f>
              <c:multiLvlStrCache>
                <c:ptCount val="6"/>
                <c:lvl>
                  <c:pt idx="0">
                    <c:v>%</c:v>
                  </c:pt>
                  <c:pt idx="1">
                    <c:v>%</c:v>
                  </c:pt>
                  <c:pt idx="2">
                    <c:v>%</c:v>
                  </c:pt>
                  <c:pt idx="3">
                    <c:v>%</c:v>
                  </c:pt>
                  <c:pt idx="4">
                    <c:v>%</c:v>
                  </c:pt>
                  <c:pt idx="5">
                    <c:v>%</c:v>
                  </c:pt>
                </c:lvl>
                <c:lvl>
                  <c:pt idx="0">
                    <c:v>FTR BBT</c:v>
                  </c:pt>
                  <c:pt idx="1">
                    <c:v>PG</c:v>
                  </c:pt>
                  <c:pt idx="2">
                    <c:v>Colour</c:v>
                  </c:pt>
                  <c:pt idx="3">
                    <c:v>CO2</c:v>
                  </c:pt>
                  <c:pt idx="4">
                    <c:v>DO</c:v>
                  </c:pt>
                  <c:pt idx="5">
                    <c:v>Haze</c:v>
                  </c:pt>
                </c:lvl>
              </c:multiLvlStrCache>
            </c:multiLvlStrRef>
          </c:cat>
          <c:val>
            <c:numRef>
              <c:f>'Summary Report'!$E$16:$E$21</c:f>
              <c:numCache>
                <c:formatCode>0%</c:formatCode>
                <c:ptCount val="6"/>
                <c:pt idx="0">
                  <c:v>0.75789473684210529</c:v>
                </c:pt>
                <c:pt idx="1">
                  <c:v>0.82474226804123707</c:v>
                </c:pt>
                <c:pt idx="2">
                  <c:v>0.97938144329896903</c:v>
                </c:pt>
                <c:pt idx="3">
                  <c:v>0.9662921348314607</c:v>
                </c:pt>
                <c:pt idx="4">
                  <c:v>1</c:v>
                </c:pt>
                <c:pt idx="5">
                  <c:v>0.98684210526315785</c:v>
                </c:pt>
              </c:numCache>
            </c:numRef>
          </c:val>
          <c:extLst>
            <c:ext xmlns:c16="http://schemas.microsoft.com/office/drawing/2014/chart" uri="{C3380CC4-5D6E-409C-BE32-E72D297353CC}">
              <c16:uniqueId val="{00000002-756D-4918-8D17-BBB4461529C7}"/>
            </c:ext>
          </c:extLst>
        </c:ser>
        <c:dLbls>
          <c:showLegendKey val="0"/>
          <c:showVal val="0"/>
          <c:showCatName val="0"/>
          <c:showSerName val="0"/>
          <c:showPercent val="0"/>
          <c:showBubbleSize val="0"/>
        </c:dLbls>
        <c:gapWidth val="150"/>
        <c:axId val="474415024"/>
        <c:axId val="474418384"/>
      </c:barChart>
      <c:catAx>
        <c:axId val="474415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8384"/>
        <c:crosses val="autoZero"/>
        <c:auto val="1"/>
        <c:lblAlgn val="ctr"/>
        <c:lblOffset val="100"/>
        <c:noMultiLvlLbl val="0"/>
      </c:catAx>
      <c:valAx>
        <c:axId val="474418384"/>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3.6361136273894971E-2"/>
              <c:y val="0.2860230706455810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5024"/>
        <c:crosses val="autoZero"/>
        <c:crossBetween val="between"/>
        <c:majorUnit val="0.1"/>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Packaging Breakdown (Monthly)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Report'!$C$23</c:f>
              <c:strCache>
                <c:ptCount val="1"/>
                <c:pt idx="0">
                  <c:v>January</c:v>
                </c:pt>
              </c:strCache>
            </c:strRef>
          </c:tx>
          <c:spPr>
            <a:solidFill>
              <a:schemeClr val="accent6"/>
            </a:solidFill>
            <a:ln>
              <a:noFill/>
            </a:ln>
            <a:effectLst/>
          </c:spPr>
          <c:invertIfNegative val="0"/>
          <c:dLbls>
            <c:delete val="1"/>
          </c:dLbls>
          <c:cat>
            <c:strRef>
              <c:extLst>
                <c:ext xmlns:c15="http://schemas.microsoft.com/office/drawing/2012/chart" uri="{02D57815-91ED-43cb-92C2-25804820EDAC}">
                  <c15:fullRef>
                    <c15:sqref>'Summary Report'!$A$24:$B$28</c15:sqref>
                  </c15:fullRef>
                  <c15:levelRef>
                    <c15:sqref>'Summary Report'!$A$24:$A$28</c15:sqref>
                  </c15:levelRef>
                </c:ext>
              </c:extLst>
              <c:f>'Summary Report'!$A$24:$A$28</c:f>
              <c:strCache>
                <c:ptCount val="5"/>
                <c:pt idx="0">
                  <c:v>FTR Packaging</c:v>
                </c:pt>
                <c:pt idx="1">
                  <c:v>PU</c:v>
                </c:pt>
                <c:pt idx="2">
                  <c:v>Fill Volume</c:v>
                </c:pt>
                <c:pt idx="3">
                  <c:v>TOP</c:v>
                </c:pt>
                <c:pt idx="4">
                  <c:v>Packaging Index</c:v>
                </c:pt>
              </c:strCache>
            </c:strRef>
          </c:cat>
          <c:val>
            <c:numRef>
              <c:f>'Summary Report'!$C$24:$C$28</c:f>
              <c:numCache>
                <c:formatCode>0%</c:formatCode>
                <c:ptCount val="5"/>
                <c:pt idx="0">
                  <c:v>0.875</c:v>
                </c:pt>
                <c:pt idx="1">
                  <c:v>0.8571428571428571</c:v>
                </c:pt>
                <c:pt idx="2">
                  <c:v>1</c:v>
                </c:pt>
                <c:pt idx="3">
                  <c:v>1</c:v>
                </c:pt>
                <c:pt idx="4">
                  <c:v>1</c:v>
                </c:pt>
              </c:numCache>
            </c:numRef>
          </c:val>
          <c:extLst>
            <c:ext xmlns:c16="http://schemas.microsoft.com/office/drawing/2014/chart" uri="{C3380CC4-5D6E-409C-BE32-E72D297353CC}">
              <c16:uniqueId val="{00000000-8EE5-483F-8CE7-0BC6C310B1FD}"/>
            </c:ext>
          </c:extLst>
        </c:ser>
        <c:ser>
          <c:idx val="1"/>
          <c:order val="1"/>
          <c:tx>
            <c:strRef>
              <c:f>'Summary Report'!$D$23</c:f>
              <c:strCache>
                <c:ptCount val="1"/>
                <c:pt idx="0">
                  <c:v>February</c:v>
                </c:pt>
              </c:strCache>
            </c:strRef>
          </c:tx>
          <c:spPr>
            <a:solidFill>
              <a:schemeClr val="accent5"/>
            </a:solidFill>
            <a:ln>
              <a:noFill/>
            </a:ln>
            <a:effectLst/>
          </c:spPr>
          <c:invertIfNegative val="0"/>
          <c:dLbls>
            <c:delete val="1"/>
          </c:dLbls>
          <c:cat>
            <c:strRef>
              <c:extLst>
                <c:ext xmlns:c15="http://schemas.microsoft.com/office/drawing/2012/chart" uri="{02D57815-91ED-43cb-92C2-25804820EDAC}">
                  <c15:fullRef>
                    <c15:sqref>'Summary Report'!$A$24:$B$28</c15:sqref>
                  </c15:fullRef>
                  <c15:levelRef>
                    <c15:sqref>'Summary Report'!$A$24:$A$28</c15:sqref>
                  </c15:levelRef>
                </c:ext>
              </c:extLst>
              <c:f>'Summary Report'!$A$24:$A$28</c:f>
              <c:strCache>
                <c:ptCount val="5"/>
                <c:pt idx="0">
                  <c:v>FTR Packaging</c:v>
                </c:pt>
                <c:pt idx="1">
                  <c:v>PU</c:v>
                </c:pt>
                <c:pt idx="2">
                  <c:v>Fill Volume</c:v>
                </c:pt>
                <c:pt idx="3">
                  <c:v>TOP</c:v>
                </c:pt>
                <c:pt idx="4">
                  <c:v>Packaging Index</c:v>
                </c:pt>
              </c:strCache>
            </c:strRef>
          </c:cat>
          <c:val>
            <c:numRef>
              <c:f>'Summary Report'!$D$24:$D$28</c:f>
              <c:numCache>
                <c:formatCode>0%</c:formatCode>
                <c:ptCount val="5"/>
                <c:pt idx="0">
                  <c:v>0.81395348837209303</c:v>
                </c:pt>
                <c:pt idx="1">
                  <c:v>0.81818181818181823</c:v>
                </c:pt>
                <c:pt idx="2">
                  <c:v>1</c:v>
                </c:pt>
                <c:pt idx="3">
                  <c:v>1</c:v>
                </c:pt>
                <c:pt idx="4">
                  <c:v>0.97499999999999998</c:v>
                </c:pt>
              </c:numCache>
            </c:numRef>
          </c:val>
          <c:extLst>
            <c:ext xmlns:c16="http://schemas.microsoft.com/office/drawing/2014/chart" uri="{C3380CC4-5D6E-409C-BE32-E72D297353CC}">
              <c16:uniqueId val="{00000001-8EE5-483F-8CE7-0BC6C310B1FD}"/>
            </c:ext>
          </c:extLst>
        </c:ser>
        <c:ser>
          <c:idx val="2"/>
          <c:order val="2"/>
          <c:tx>
            <c:strRef>
              <c:f>'Summary Report'!$E$23</c:f>
              <c:strCache>
                <c:ptCount val="1"/>
                <c:pt idx="0">
                  <c:v>March</c:v>
                </c:pt>
              </c:strCache>
            </c:strRef>
          </c:tx>
          <c:spPr>
            <a:solidFill>
              <a:schemeClr val="accent4"/>
            </a:solidFill>
            <a:ln>
              <a:noFill/>
            </a:ln>
            <a:effectLst/>
          </c:spPr>
          <c:invertIfNegative val="0"/>
          <c:dLbls>
            <c:delete val="1"/>
          </c:dLbls>
          <c:cat>
            <c:strRef>
              <c:extLst>
                <c:ext xmlns:c15="http://schemas.microsoft.com/office/drawing/2012/chart" uri="{02D57815-91ED-43cb-92C2-25804820EDAC}">
                  <c15:fullRef>
                    <c15:sqref>'Summary Report'!$A$24:$B$28</c15:sqref>
                  </c15:fullRef>
                  <c15:levelRef>
                    <c15:sqref>'Summary Report'!$A$24:$A$28</c15:sqref>
                  </c15:levelRef>
                </c:ext>
              </c:extLst>
              <c:f>'Summary Report'!$A$24:$A$28</c:f>
              <c:strCache>
                <c:ptCount val="5"/>
                <c:pt idx="0">
                  <c:v>FTR Packaging</c:v>
                </c:pt>
                <c:pt idx="1">
                  <c:v>PU</c:v>
                </c:pt>
                <c:pt idx="2">
                  <c:v>Fill Volume</c:v>
                </c:pt>
                <c:pt idx="3">
                  <c:v>TOP</c:v>
                </c:pt>
                <c:pt idx="4">
                  <c:v>Packaging Index</c:v>
                </c:pt>
              </c:strCache>
            </c:strRef>
          </c:cat>
          <c:val>
            <c:numRef>
              <c:f>'Summary Report'!$E$24:$E$28</c:f>
              <c:numCache>
                <c:formatCode>0%</c:formatCode>
                <c:ptCount val="5"/>
                <c:pt idx="0">
                  <c:v>0.85483870967741937</c:v>
                </c:pt>
                <c:pt idx="1">
                  <c:v>0.87096774193548387</c:v>
                </c:pt>
                <c:pt idx="2">
                  <c:v>1</c:v>
                </c:pt>
                <c:pt idx="3">
                  <c:v>1</c:v>
                </c:pt>
                <c:pt idx="4">
                  <c:v>0.85483870967741937</c:v>
                </c:pt>
              </c:numCache>
            </c:numRef>
          </c:val>
          <c:extLst>
            <c:ext xmlns:c16="http://schemas.microsoft.com/office/drawing/2014/chart" uri="{C3380CC4-5D6E-409C-BE32-E72D297353CC}">
              <c16:uniqueId val="{00000002-8EE5-483F-8CE7-0BC6C310B1FD}"/>
            </c:ext>
          </c:extLst>
        </c:ser>
        <c:dLbls>
          <c:dLblPos val="inEnd"/>
          <c:showLegendKey val="0"/>
          <c:showVal val="1"/>
          <c:showCatName val="0"/>
          <c:showSerName val="0"/>
          <c:showPercent val="0"/>
          <c:showBubbleSize val="0"/>
        </c:dLbls>
        <c:gapWidth val="150"/>
        <c:axId val="474415024"/>
        <c:axId val="474418384"/>
      </c:barChart>
      <c:catAx>
        <c:axId val="474415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8384"/>
        <c:crosses val="autoZero"/>
        <c:auto val="1"/>
        <c:lblAlgn val="ctr"/>
        <c:lblOffset val="100"/>
        <c:noMultiLvlLbl val="0"/>
      </c:catAx>
      <c:valAx>
        <c:axId val="474418384"/>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3.6361136273894971E-2"/>
              <c:y val="0.297227552438298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5024"/>
        <c:crosses val="autoZero"/>
        <c:crossBetween val="between"/>
        <c:majorUnit val="0.1"/>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FTR Micro Breakdown (Monthly)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Report'!$C$30</c:f>
              <c:strCache>
                <c:ptCount val="1"/>
                <c:pt idx="0">
                  <c:v>January</c:v>
                </c:pt>
              </c:strCache>
            </c:strRef>
          </c:tx>
          <c:spPr>
            <a:solidFill>
              <a:schemeClr val="accent6"/>
            </a:solidFill>
            <a:ln>
              <a:noFill/>
            </a:ln>
            <a:effectLst/>
          </c:spPr>
          <c:invertIfNegative val="0"/>
          <c:cat>
            <c:multiLvlStrRef>
              <c:f>'Summary Report'!$A$31:$B$33</c:f>
              <c:multiLvlStrCache>
                <c:ptCount val="3"/>
                <c:lvl>
                  <c:pt idx="0">
                    <c:v>%</c:v>
                  </c:pt>
                  <c:pt idx="1">
                    <c:v>%</c:v>
                  </c:pt>
                  <c:pt idx="2">
                    <c:v>%</c:v>
                  </c:pt>
                </c:lvl>
                <c:lvl>
                  <c:pt idx="0">
                    <c:v>FTR Micro</c:v>
                  </c:pt>
                  <c:pt idx="1">
                    <c:v>MicroPack - MicroTunnel</c:v>
                  </c:pt>
                  <c:pt idx="2">
                    <c:v>MicroBeer - MicroFerment</c:v>
                  </c:pt>
                </c:lvl>
              </c:multiLvlStrCache>
            </c:multiLvlStrRef>
          </c:cat>
          <c:val>
            <c:numRef>
              <c:f>'Summary Report'!$C$31:$C$33</c:f>
              <c:numCache>
                <c:formatCode>0%</c:formatCode>
                <c:ptCount val="3"/>
                <c:pt idx="0">
                  <c:v>0.81</c:v>
                </c:pt>
                <c:pt idx="1">
                  <c:v>1</c:v>
                </c:pt>
                <c:pt idx="2">
                  <c:v>0.81</c:v>
                </c:pt>
              </c:numCache>
            </c:numRef>
          </c:val>
          <c:extLst>
            <c:ext xmlns:c16="http://schemas.microsoft.com/office/drawing/2014/chart" uri="{C3380CC4-5D6E-409C-BE32-E72D297353CC}">
              <c16:uniqueId val="{00000000-138C-489D-84AC-5123F0897EBB}"/>
            </c:ext>
          </c:extLst>
        </c:ser>
        <c:ser>
          <c:idx val="1"/>
          <c:order val="1"/>
          <c:tx>
            <c:strRef>
              <c:f>'Summary Report'!$D$30</c:f>
              <c:strCache>
                <c:ptCount val="1"/>
                <c:pt idx="0">
                  <c:v>February</c:v>
                </c:pt>
              </c:strCache>
            </c:strRef>
          </c:tx>
          <c:spPr>
            <a:solidFill>
              <a:schemeClr val="accent5"/>
            </a:solidFill>
            <a:ln>
              <a:noFill/>
            </a:ln>
            <a:effectLst/>
          </c:spPr>
          <c:invertIfNegative val="0"/>
          <c:cat>
            <c:multiLvlStrRef>
              <c:f>'Summary Report'!$A$31:$B$33</c:f>
              <c:multiLvlStrCache>
                <c:ptCount val="3"/>
                <c:lvl>
                  <c:pt idx="0">
                    <c:v>%</c:v>
                  </c:pt>
                  <c:pt idx="1">
                    <c:v>%</c:v>
                  </c:pt>
                  <c:pt idx="2">
                    <c:v>%</c:v>
                  </c:pt>
                </c:lvl>
                <c:lvl>
                  <c:pt idx="0">
                    <c:v>FTR Micro</c:v>
                  </c:pt>
                  <c:pt idx="1">
                    <c:v>MicroPack - MicroTunnel</c:v>
                  </c:pt>
                  <c:pt idx="2">
                    <c:v>MicroBeer - MicroFerment</c:v>
                  </c:pt>
                </c:lvl>
              </c:multiLvlStrCache>
            </c:multiLvlStrRef>
          </c:cat>
          <c:val>
            <c:numRef>
              <c:f>'Summary Report'!$D$31:$D$33</c:f>
              <c:numCache>
                <c:formatCode>0%</c:formatCode>
                <c:ptCount val="3"/>
                <c:pt idx="0">
                  <c:v>0.81799999999999995</c:v>
                </c:pt>
                <c:pt idx="1">
                  <c:v>1</c:v>
                </c:pt>
                <c:pt idx="2">
                  <c:v>0.81799999999999995</c:v>
                </c:pt>
              </c:numCache>
            </c:numRef>
          </c:val>
          <c:extLst>
            <c:ext xmlns:c16="http://schemas.microsoft.com/office/drawing/2014/chart" uri="{C3380CC4-5D6E-409C-BE32-E72D297353CC}">
              <c16:uniqueId val="{00000001-138C-489D-84AC-5123F0897EBB}"/>
            </c:ext>
          </c:extLst>
        </c:ser>
        <c:ser>
          <c:idx val="2"/>
          <c:order val="2"/>
          <c:tx>
            <c:strRef>
              <c:f>'Summary Report'!$E$30</c:f>
              <c:strCache>
                <c:ptCount val="1"/>
                <c:pt idx="0">
                  <c:v>March</c:v>
                </c:pt>
              </c:strCache>
            </c:strRef>
          </c:tx>
          <c:spPr>
            <a:solidFill>
              <a:schemeClr val="accent4"/>
            </a:solidFill>
            <a:ln>
              <a:noFill/>
            </a:ln>
            <a:effectLst/>
          </c:spPr>
          <c:invertIfNegative val="0"/>
          <c:cat>
            <c:multiLvlStrRef>
              <c:f>'Summary Report'!$A$31:$B$33</c:f>
              <c:multiLvlStrCache>
                <c:ptCount val="3"/>
                <c:lvl>
                  <c:pt idx="0">
                    <c:v>%</c:v>
                  </c:pt>
                  <c:pt idx="1">
                    <c:v>%</c:v>
                  </c:pt>
                  <c:pt idx="2">
                    <c:v>%</c:v>
                  </c:pt>
                </c:lvl>
                <c:lvl>
                  <c:pt idx="0">
                    <c:v>FTR Micro</c:v>
                  </c:pt>
                  <c:pt idx="1">
                    <c:v>MicroPack - MicroTunnel</c:v>
                  </c:pt>
                  <c:pt idx="2">
                    <c:v>MicroBeer - MicroFerment</c:v>
                  </c:pt>
                </c:lvl>
              </c:multiLvlStrCache>
            </c:multiLvlStrRef>
          </c:cat>
          <c:val>
            <c:numRef>
              <c:f>'Summary Report'!$E$31:$E$33</c:f>
              <c:numCache>
                <c:formatCode>0%</c:formatCode>
                <c:ptCount val="3"/>
                <c:pt idx="0">
                  <c:v>0.85699999999999998</c:v>
                </c:pt>
                <c:pt idx="1">
                  <c:v>1</c:v>
                </c:pt>
                <c:pt idx="2">
                  <c:v>0.85699999999999998</c:v>
                </c:pt>
              </c:numCache>
            </c:numRef>
          </c:val>
          <c:extLst>
            <c:ext xmlns:c16="http://schemas.microsoft.com/office/drawing/2014/chart" uri="{C3380CC4-5D6E-409C-BE32-E72D297353CC}">
              <c16:uniqueId val="{00000002-138C-489D-84AC-5123F0897EBB}"/>
            </c:ext>
          </c:extLst>
        </c:ser>
        <c:dLbls>
          <c:showLegendKey val="0"/>
          <c:showVal val="0"/>
          <c:showCatName val="0"/>
          <c:showSerName val="0"/>
          <c:showPercent val="0"/>
          <c:showBubbleSize val="0"/>
        </c:dLbls>
        <c:gapWidth val="182"/>
        <c:axId val="655313472"/>
        <c:axId val="655313952"/>
      </c:barChart>
      <c:catAx>
        <c:axId val="655313472"/>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3952"/>
        <c:crosses val="autoZero"/>
        <c:auto val="1"/>
        <c:lblAlgn val="ctr"/>
        <c:lblOffset val="100"/>
        <c:noMultiLvlLbl val="0"/>
      </c:catAx>
      <c:valAx>
        <c:axId val="655313952"/>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2.5663456377084167E-2"/>
              <c:y val="0.283491983389276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3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Finished Product Breakdown (Monthly)</a:t>
            </a:r>
          </a:p>
        </c:rich>
      </c:tx>
      <c:layout>
        <c:manualLayout>
          <c:xMode val="edge"/>
          <c:yMode val="edge"/>
          <c:x val="0.25770548594788245"/>
          <c:y val="4.590505244742606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Report'!$C$35</c:f>
              <c:strCache>
                <c:ptCount val="1"/>
                <c:pt idx="0">
                  <c:v>January</c:v>
                </c:pt>
              </c:strCache>
            </c:strRef>
          </c:tx>
          <c:spPr>
            <a:solidFill>
              <a:schemeClr val="accent6"/>
            </a:solidFill>
            <a:ln>
              <a:noFill/>
            </a:ln>
            <a:effectLst/>
          </c:spPr>
          <c:invertIfNegative val="0"/>
          <c:cat>
            <c:multiLvlStrRef>
              <c:f>'Summary Report'!$A$36:$B$40</c:f>
              <c:multiLvlStrCache>
                <c:ptCount val="5"/>
                <c:lvl>
                  <c:pt idx="0">
                    <c:v>%</c:v>
                  </c:pt>
                  <c:pt idx="1">
                    <c:v>%</c:v>
                  </c:pt>
                  <c:pt idx="2">
                    <c:v>%</c:v>
                  </c:pt>
                  <c:pt idx="3">
                    <c:v>%</c:v>
                  </c:pt>
                  <c:pt idx="4">
                    <c:v>%</c:v>
                  </c:pt>
                </c:lvl>
                <c:lvl>
                  <c:pt idx="0">
                    <c:v>FTR Finished Product</c:v>
                  </c:pt>
                  <c:pt idx="1">
                    <c:v>Colour</c:v>
                  </c:pt>
                  <c:pt idx="2">
                    <c:v>ISO-H</c:v>
                  </c:pt>
                  <c:pt idx="3">
                    <c:v>PG</c:v>
                  </c:pt>
                  <c:pt idx="4">
                    <c:v>TIPO</c:v>
                  </c:pt>
                </c:lvl>
              </c:multiLvlStrCache>
            </c:multiLvlStrRef>
          </c:cat>
          <c:val>
            <c:numRef>
              <c:f>'Summary Report'!$C$36:$C$40</c:f>
              <c:numCache>
                <c:formatCode>0%</c:formatCode>
                <c:ptCount val="5"/>
                <c:pt idx="0">
                  <c:v>0.83333333333333337</c:v>
                </c:pt>
                <c:pt idx="1">
                  <c:v>0.97368421052631582</c:v>
                </c:pt>
                <c:pt idx="2">
                  <c:v>0.91176470588235292</c:v>
                </c:pt>
                <c:pt idx="3">
                  <c:v>0.94736842105263153</c:v>
                </c:pt>
                <c:pt idx="4">
                  <c:v>0.96875</c:v>
                </c:pt>
              </c:numCache>
            </c:numRef>
          </c:val>
          <c:extLst>
            <c:ext xmlns:c16="http://schemas.microsoft.com/office/drawing/2014/chart" uri="{C3380CC4-5D6E-409C-BE32-E72D297353CC}">
              <c16:uniqueId val="{00000000-EB0A-46D9-A7A4-826EF8364E5C}"/>
            </c:ext>
          </c:extLst>
        </c:ser>
        <c:ser>
          <c:idx val="1"/>
          <c:order val="1"/>
          <c:tx>
            <c:strRef>
              <c:f>'Summary Report'!$D$35</c:f>
              <c:strCache>
                <c:ptCount val="1"/>
                <c:pt idx="0">
                  <c:v>February</c:v>
                </c:pt>
              </c:strCache>
            </c:strRef>
          </c:tx>
          <c:spPr>
            <a:solidFill>
              <a:schemeClr val="accent5"/>
            </a:solidFill>
            <a:ln>
              <a:noFill/>
            </a:ln>
            <a:effectLst/>
          </c:spPr>
          <c:invertIfNegative val="0"/>
          <c:cat>
            <c:multiLvlStrRef>
              <c:f>'Summary Report'!$A$36:$B$40</c:f>
              <c:multiLvlStrCache>
                <c:ptCount val="5"/>
                <c:lvl>
                  <c:pt idx="0">
                    <c:v>%</c:v>
                  </c:pt>
                  <c:pt idx="1">
                    <c:v>%</c:v>
                  </c:pt>
                  <c:pt idx="2">
                    <c:v>%</c:v>
                  </c:pt>
                  <c:pt idx="3">
                    <c:v>%</c:v>
                  </c:pt>
                  <c:pt idx="4">
                    <c:v>%</c:v>
                  </c:pt>
                </c:lvl>
                <c:lvl>
                  <c:pt idx="0">
                    <c:v>FTR Finished Product</c:v>
                  </c:pt>
                  <c:pt idx="1">
                    <c:v>Colour</c:v>
                  </c:pt>
                  <c:pt idx="2">
                    <c:v>ISO-H</c:v>
                  </c:pt>
                  <c:pt idx="3">
                    <c:v>PG</c:v>
                  </c:pt>
                  <c:pt idx="4">
                    <c:v>TIPO</c:v>
                  </c:pt>
                </c:lvl>
              </c:multiLvlStrCache>
            </c:multiLvlStrRef>
          </c:cat>
          <c:val>
            <c:numRef>
              <c:f>'Summary Report'!$D$36:$D$40</c:f>
              <c:numCache>
                <c:formatCode>0%</c:formatCode>
                <c:ptCount val="5"/>
                <c:pt idx="0">
                  <c:v>0.68888888888888888</c:v>
                </c:pt>
                <c:pt idx="1">
                  <c:v>1</c:v>
                </c:pt>
                <c:pt idx="2">
                  <c:v>0.97674418604651159</c:v>
                </c:pt>
                <c:pt idx="3">
                  <c:v>0.76744186046511631</c:v>
                </c:pt>
                <c:pt idx="4">
                  <c:v>0.88636363636363635</c:v>
                </c:pt>
              </c:numCache>
            </c:numRef>
          </c:val>
          <c:extLst>
            <c:ext xmlns:c16="http://schemas.microsoft.com/office/drawing/2014/chart" uri="{C3380CC4-5D6E-409C-BE32-E72D297353CC}">
              <c16:uniqueId val="{00000001-EB0A-46D9-A7A4-826EF8364E5C}"/>
            </c:ext>
          </c:extLst>
        </c:ser>
        <c:ser>
          <c:idx val="2"/>
          <c:order val="2"/>
          <c:tx>
            <c:strRef>
              <c:f>'Summary Report'!$E$35</c:f>
              <c:strCache>
                <c:ptCount val="1"/>
                <c:pt idx="0">
                  <c:v>March</c:v>
                </c:pt>
              </c:strCache>
            </c:strRef>
          </c:tx>
          <c:spPr>
            <a:solidFill>
              <a:schemeClr val="accent4"/>
            </a:solidFill>
            <a:ln>
              <a:noFill/>
            </a:ln>
            <a:effectLst/>
          </c:spPr>
          <c:invertIfNegative val="0"/>
          <c:cat>
            <c:multiLvlStrRef>
              <c:f>'Summary Report'!$A$36:$B$40</c:f>
              <c:multiLvlStrCache>
                <c:ptCount val="5"/>
                <c:lvl>
                  <c:pt idx="0">
                    <c:v>%</c:v>
                  </c:pt>
                  <c:pt idx="1">
                    <c:v>%</c:v>
                  </c:pt>
                  <c:pt idx="2">
                    <c:v>%</c:v>
                  </c:pt>
                  <c:pt idx="3">
                    <c:v>%</c:v>
                  </c:pt>
                  <c:pt idx="4">
                    <c:v>%</c:v>
                  </c:pt>
                </c:lvl>
                <c:lvl>
                  <c:pt idx="0">
                    <c:v>FTR Finished Product</c:v>
                  </c:pt>
                  <c:pt idx="1">
                    <c:v>Colour</c:v>
                  </c:pt>
                  <c:pt idx="2">
                    <c:v>ISO-H</c:v>
                  </c:pt>
                  <c:pt idx="3">
                    <c:v>PG</c:v>
                  </c:pt>
                  <c:pt idx="4">
                    <c:v>TIPO</c:v>
                  </c:pt>
                </c:lvl>
              </c:multiLvlStrCache>
            </c:multiLvlStrRef>
          </c:cat>
          <c:val>
            <c:numRef>
              <c:f>'Summary Report'!$E$36:$E$40</c:f>
              <c:numCache>
                <c:formatCode>0%</c:formatCode>
                <c:ptCount val="5"/>
                <c:pt idx="0">
                  <c:v>0.77419354838709675</c:v>
                </c:pt>
                <c:pt idx="1">
                  <c:v>0.96825396825396826</c:v>
                </c:pt>
                <c:pt idx="2">
                  <c:v>0.96666666666666667</c:v>
                </c:pt>
                <c:pt idx="3">
                  <c:v>0.85483870967741937</c:v>
                </c:pt>
                <c:pt idx="4">
                  <c:v>1</c:v>
                </c:pt>
              </c:numCache>
            </c:numRef>
          </c:val>
          <c:extLst>
            <c:ext xmlns:c16="http://schemas.microsoft.com/office/drawing/2014/chart" uri="{C3380CC4-5D6E-409C-BE32-E72D297353CC}">
              <c16:uniqueId val="{00000002-EB0A-46D9-A7A4-826EF8364E5C}"/>
            </c:ext>
          </c:extLst>
        </c:ser>
        <c:dLbls>
          <c:showLegendKey val="0"/>
          <c:showVal val="0"/>
          <c:showCatName val="0"/>
          <c:showSerName val="0"/>
          <c:showPercent val="0"/>
          <c:showBubbleSize val="0"/>
        </c:dLbls>
        <c:gapWidth val="150"/>
        <c:axId val="655312032"/>
        <c:axId val="655315872"/>
      </c:barChart>
      <c:catAx>
        <c:axId val="655312032"/>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5872"/>
        <c:crosses val="autoZero"/>
        <c:auto val="1"/>
        <c:lblAlgn val="ctr"/>
        <c:lblOffset val="100"/>
        <c:noMultiLvlLbl val="0"/>
      </c:catAx>
      <c:valAx>
        <c:axId val="655315872"/>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r>
                  <a:rPr lang="en-US" baseline="0"/>
                  <a:t> acheived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2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9525</xdr:colOff>
      <xdr:row>7</xdr:row>
      <xdr:rowOff>161925</xdr:rowOff>
    </xdr:from>
    <xdr:to>
      <xdr:col>10</xdr:col>
      <xdr:colOff>523875</xdr:colOff>
      <xdr:row>25</xdr:row>
      <xdr:rowOff>85725</xdr:rowOff>
    </xdr:to>
    <xdr:graphicFrame macro="">
      <xdr:nvGraphicFramePr>
        <xdr:cNvPr id="2" name="Chart 1">
          <a:extLst>
            <a:ext uri="{FF2B5EF4-FFF2-40B4-BE49-F238E27FC236}">
              <a16:creationId xmlns:a16="http://schemas.microsoft.com/office/drawing/2014/main" id="{CDC52016-783C-4794-B5BD-5685C8CF9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8</xdr:row>
      <xdr:rowOff>123825</xdr:rowOff>
    </xdr:from>
    <xdr:to>
      <xdr:col>7</xdr:col>
      <xdr:colOff>85725</xdr:colOff>
      <xdr:row>23</xdr:row>
      <xdr:rowOff>123825</xdr:rowOff>
    </xdr:to>
    <xdr:graphicFrame macro="">
      <xdr:nvGraphicFramePr>
        <xdr:cNvPr id="2" name="Chart 1">
          <a:extLst>
            <a:ext uri="{FF2B5EF4-FFF2-40B4-BE49-F238E27FC236}">
              <a16:creationId xmlns:a16="http://schemas.microsoft.com/office/drawing/2014/main" id="{D677DC87-06CF-4733-BDD7-C39B22BA2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190501</xdr:colOff>
      <xdr:row>8</xdr:row>
      <xdr:rowOff>133350</xdr:rowOff>
    </xdr:from>
    <xdr:to>
      <xdr:col>15</xdr:col>
      <xdr:colOff>571500</xdr:colOff>
      <xdr:row>23</xdr:row>
      <xdr:rowOff>133350</xdr:rowOff>
    </xdr:to>
    <xdr:graphicFrame macro="">
      <xdr:nvGraphicFramePr>
        <xdr:cNvPr id="3" name="Chart 2">
          <a:extLst>
            <a:ext uri="{FF2B5EF4-FFF2-40B4-BE49-F238E27FC236}">
              <a16:creationId xmlns:a16="http://schemas.microsoft.com/office/drawing/2014/main" id="{BE50817B-B860-4E19-BC86-C45777D68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571498</xdr:colOff>
      <xdr:row>10</xdr:row>
      <xdr:rowOff>125730</xdr:rowOff>
    </xdr:from>
    <xdr:to>
      <xdr:col>14</xdr:col>
      <xdr:colOff>600074</xdr:colOff>
      <xdr:row>31</xdr:row>
      <xdr:rowOff>177166</xdr:rowOff>
    </xdr:to>
    <xdr:graphicFrame macro="">
      <xdr:nvGraphicFramePr>
        <xdr:cNvPr id="2" name="Chart 1">
          <a:extLst>
            <a:ext uri="{FF2B5EF4-FFF2-40B4-BE49-F238E27FC236}">
              <a16:creationId xmlns:a16="http://schemas.microsoft.com/office/drawing/2014/main" id="{FA83E15A-1069-4766-957D-9FCB4737F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466723</xdr:colOff>
      <xdr:row>24</xdr:row>
      <xdr:rowOff>114300</xdr:rowOff>
    </xdr:from>
    <xdr:to>
      <xdr:col>24</xdr:col>
      <xdr:colOff>523875</xdr:colOff>
      <xdr:row>53</xdr:row>
      <xdr:rowOff>0</xdr:rowOff>
    </xdr:to>
    <xdr:graphicFrame macro="">
      <xdr:nvGraphicFramePr>
        <xdr:cNvPr id="4" name="Chart 3">
          <a:extLst>
            <a:ext uri="{FF2B5EF4-FFF2-40B4-BE49-F238E27FC236}">
              <a16:creationId xmlns:a16="http://schemas.microsoft.com/office/drawing/2014/main" id="{E4CFB3D1-CAB1-4BDF-9086-6BCC1706B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1</xdr:row>
      <xdr:rowOff>180975</xdr:rowOff>
    </xdr:from>
    <xdr:to>
      <xdr:col>9</xdr:col>
      <xdr:colOff>609598</xdr:colOff>
      <xdr:row>20</xdr:row>
      <xdr:rowOff>1</xdr:rowOff>
    </xdr:to>
    <xdr:graphicFrame macro="">
      <xdr:nvGraphicFramePr>
        <xdr:cNvPr id="2" name="Chart 1">
          <a:extLst>
            <a:ext uri="{FF2B5EF4-FFF2-40B4-BE49-F238E27FC236}">
              <a16:creationId xmlns:a16="http://schemas.microsoft.com/office/drawing/2014/main" id="{3E653C36-2F5E-B614-63C5-3FB543515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123826</xdr:colOff>
      <xdr:row>2</xdr:row>
      <xdr:rowOff>0</xdr:rowOff>
    </xdr:from>
    <xdr:to>
      <xdr:col>19</xdr:col>
      <xdr:colOff>600076</xdr:colOff>
      <xdr:row>20</xdr:row>
      <xdr:rowOff>9526</xdr:rowOff>
    </xdr:to>
    <xdr:graphicFrame macro="">
      <xdr:nvGraphicFramePr>
        <xdr:cNvPr id="3" name="Chart 2">
          <a:extLst>
            <a:ext uri="{FF2B5EF4-FFF2-40B4-BE49-F238E27FC236}">
              <a16:creationId xmlns:a16="http://schemas.microsoft.com/office/drawing/2014/main" id="{DDC3595A-1232-E1D5-06EB-456290C59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104777</xdr:colOff>
      <xdr:row>2</xdr:row>
      <xdr:rowOff>0</xdr:rowOff>
    </xdr:from>
    <xdr:to>
      <xdr:col>28</xdr:col>
      <xdr:colOff>361951</xdr:colOff>
      <xdr:row>20</xdr:row>
      <xdr:rowOff>9526</xdr:rowOff>
    </xdr:to>
    <xdr:graphicFrame macro="">
      <xdr:nvGraphicFramePr>
        <xdr:cNvPr id="4" name="Chart 3">
          <a:extLst>
            <a:ext uri="{FF2B5EF4-FFF2-40B4-BE49-F238E27FC236}">
              <a16:creationId xmlns:a16="http://schemas.microsoft.com/office/drawing/2014/main" id="{DAF9948C-3B1C-4E5D-B575-B678C92FE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19051</xdr:colOff>
      <xdr:row>21</xdr:row>
      <xdr:rowOff>8986</xdr:rowOff>
    </xdr:from>
    <xdr:to>
      <xdr:col>18</xdr:col>
      <xdr:colOff>495301</xdr:colOff>
      <xdr:row>39</xdr:row>
      <xdr:rowOff>1259</xdr:rowOff>
    </xdr:to>
    <xdr:graphicFrame macro="">
      <xdr:nvGraphicFramePr>
        <xdr:cNvPr id="5" name="Chart 4">
          <a:extLst>
            <a:ext uri="{FF2B5EF4-FFF2-40B4-BE49-F238E27FC236}">
              <a16:creationId xmlns:a16="http://schemas.microsoft.com/office/drawing/2014/main" id="{FBCBD2C4-5EF1-4356-9212-ADCCDE14E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276225</xdr:colOff>
      <xdr:row>21</xdr:row>
      <xdr:rowOff>720</xdr:rowOff>
    </xdr:from>
    <xdr:to>
      <xdr:col>9</xdr:col>
      <xdr:colOff>233362</xdr:colOff>
      <xdr:row>39</xdr:row>
      <xdr:rowOff>17973</xdr:rowOff>
    </xdr:to>
    <xdr:graphicFrame macro="">
      <xdr:nvGraphicFramePr>
        <xdr:cNvPr id="7" name="Chart 6">
          <a:extLst>
            <a:ext uri="{FF2B5EF4-FFF2-40B4-BE49-F238E27FC236}">
              <a16:creationId xmlns:a16="http://schemas.microsoft.com/office/drawing/2014/main" id="{096FBA1F-531B-347F-1CB9-BC8FB7F6E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319088</xdr:colOff>
      <xdr:row>21</xdr:row>
      <xdr:rowOff>1259</xdr:rowOff>
    </xdr:from>
    <xdr:to>
      <xdr:col>28</xdr:col>
      <xdr:colOff>123825</xdr:colOff>
      <xdr:row>39</xdr:row>
      <xdr:rowOff>8986</xdr:rowOff>
    </xdr:to>
    <xdr:graphicFrame macro="">
      <xdr:nvGraphicFramePr>
        <xdr:cNvPr id="8" name="Chart 7">
          <a:extLst>
            <a:ext uri="{FF2B5EF4-FFF2-40B4-BE49-F238E27FC236}">
              <a16:creationId xmlns:a16="http://schemas.microsoft.com/office/drawing/2014/main" id="{59939D9E-325B-5AE1-4708-025233190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2</xdr:row>
      <xdr:rowOff>45720</xdr:rowOff>
    </xdr:from>
    <xdr:to>
      <xdr:col>3</xdr:col>
      <xdr:colOff>582930</xdr:colOff>
      <xdr:row>3</xdr:row>
      <xdr:rowOff>163830</xdr:rowOff>
    </xdr:to>
    <xdr:sp macro="" textlink="">
      <xdr:nvSpPr>
        <xdr:cNvPr id="2" name="Curved Left Arrow 1">
          <a:extLst>
            <a:ext uri="{FF2B5EF4-FFF2-40B4-BE49-F238E27FC236}">
              <a16:creationId xmlns:a16="http://schemas.microsoft.com/office/drawing/2014/main" id="{00000000-0008-0000-0000-000002000000}"/>
            </a:ext>
          </a:extLst>
        </xdr:cNvPr>
        <xdr:cNvSpPr/>
      </xdr:nvSpPr>
      <xdr:spPr>
        <a:xfrm>
          <a:off x="3425190" y="434340"/>
          <a:ext cx="468630" cy="316230"/>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TT" sz="1100">
            <a:solidFill>
              <a:schemeClr val="tx1"/>
            </a:solidFill>
          </a:endParaRPr>
        </a:p>
      </xdr:txBody>
    </xdr:sp>
    <xdr:clientData/>
  </xdr:twoCellAnchor>
  <xdr:twoCellAnchor>
    <xdr:from>
      <xdr:col>3</xdr:col>
      <xdr:colOff>60960</xdr:colOff>
      <xdr:row>23</xdr:row>
      <xdr:rowOff>91440</xdr:rowOff>
    </xdr:from>
    <xdr:to>
      <xdr:col>3</xdr:col>
      <xdr:colOff>461010</xdr:colOff>
      <xdr:row>29</xdr:row>
      <xdr:rowOff>0</xdr:rowOff>
    </xdr:to>
    <xdr:sp macro="" textlink="">
      <xdr:nvSpPr>
        <xdr:cNvPr id="3" name="Curved Left Arrow 2">
          <a:extLst>
            <a:ext uri="{FF2B5EF4-FFF2-40B4-BE49-F238E27FC236}">
              <a16:creationId xmlns:a16="http://schemas.microsoft.com/office/drawing/2014/main" id="{00000000-0008-0000-0000-000003000000}"/>
            </a:ext>
          </a:extLst>
        </xdr:cNvPr>
        <xdr:cNvSpPr/>
      </xdr:nvSpPr>
      <xdr:spPr>
        <a:xfrm>
          <a:off x="3413760" y="4312920"/>
          <a:ext cx="400050" cy="948690"/>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TT" sz="1100">
            <a:solidFill>
              <a:schemeClr val="tx1"/>
            </a:solidFill>
          </a:endParaRPr>
        </a:p>
      </xdr:txBody>
    </xdr:sp>
    <xdr:clientData/>
  </xdr:twoCellAnchor>
  <xdr:twoCellAnchor>
    <xdr:from>
      <xdr:col>3</xdr:col>
      <xdr:colOff>34290</xdr:colOff>
      <xdr:row>22</xdr:row>
      <xdr:rowOff>121920</xdr:rowOff>
    </xdr:from>
    <xdr:to>
      <xdr:col>4</xdr:col>
      <xdr:colOff>312420</xdr:colOff>
      <xdr:row>25</xdr:row>
      <xdr:rowOff>80010</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flipV="1">
          <a:off x="3387090" y="4141470"/>
          <a:ext cx="91821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FTR%20Manufacturing-%202026\FTR%20Manufacturing%202026.xlsx" TargetMode="External"/><Relationship Id="rId1" Type="http://schemas.openxmlformats.org/officeDocument/2006/relationships/externalLinkPath" Target="FTR%20Manufacturing%20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FTR%20Manufacturing-%202026\FTR%20Manufacturing%202026%20copy.xlsx" TargetMode="External"/><Relationship Id="rId1" Type="http://schemas.openxmlformats.org/officeDocument/2006/relationships/externalLinkPath" Target="FTR%20Manufacturing%202026%20copy.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FTR%20Manufacturing-%202025/FTR%20Manufacturing%202025.xlsx" TargetMode="External"/><Relationship Id="rId2" Type="http://schemas.openxmlformats.org/officeDocument/2006/relationships/externalLinkPath" Target="file:///F:\FTR%20Manufacturing-%202025\FTR%20Manufacturing%202025.xlsx" TargetMode="External"/><Relationship Id="rId1" Type="http://schemas.openxmlformats.org/officeDocument/2006/relationships/externalLinkPath" Target="/FTR%20Manufacturing-%202025/FTR%20Manufacturing%202025.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FTR%20Manufacturing-%202025/FTR%20Calculations%202025%20-%20Revised%20Micro.xlsx" TargetMode="External"/><Relationship Id="rId2" Type="http://schemas.openxmlformats.org/officeDocument/2006/relationships/externalLinkPath" Target="file:///F:\FTR%20Manufacturing-%202025\FTR%20Calculations%202025%20-%20Revised%20Micro.xlsx" TargetMode="External"/><Relationship Id="rId1" Type="http://schemas.openxmlformats.org/officeDocument/2006/relationships/externalLinkPath" Target="/FTR%20Manufacturing-%202025/FTR%20Calculations%202025%20-%20Revised%20Micro.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FTR%20Manufacturing-%202024/FTR%20Calculations%202024.xlsx" TargetMode="External"/><Relationship Id="rId2" Type="http://schemas.openxmlformats.org/officeDocument/2006/relationships/externalLinkPath" Target="file:///F:\FTR%20Manufacturing-%202024\FTR%20Calculations%202024.xlsx" TargetMode="External"/><Relationship Id="rId1" Type="http://schemas.openxmlformats.org/officeDocument/2006/relationships/externalLinkPath" Target="/FTR%20Manufacturing-%202024/FTR%20Calculations%202024.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FTR%20Manufacturing-%202024/Copy%20of%20FTR%20Manufacturing%202024.xlsx" TargetMode="External"/><Relationship Id="rId2" Type="http://schemas.openxmlformats.org/officeDocument/2006/relationships/externalLinkPath" Target="file:///F:\FTR%20Manufacturing-%202024\Copy%20of%20FTR%20Manufacturing%202024.xlsx" TargetMode="External"/><Relationship Id="rId1" Type="http://schemas.openxmlformats.org/officeDocument/2006/relationships/externalLinkPath" Target="/FTR%20Manufacturing-%202024/Copy%20of%20FTR%20Manufacturing%202024.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FTR%20Manufacturing-%202023%20-%20New/Copy%20of%20FTR%20Manufacturing_2023-%20New2.xlsx" TargetMode="External"/><Relationship Id="rId2" Type="http://schemas.openxmlformats.org/officeDocument/2006/relationships/externalLinkPath" Target="file:///F:\FTR%20Manufacturing-%202023%20-%20New\Copy%20of%20FTR%20Manufacturing_2023-%20New2.xlsx" TargetMode="External"/><Relationship Id="rId1" Type="http://schemas.openxmlformats.org/officeDocument/2006/relationships/externalLinkPath" Target="/FTR%20Manufacturing-%202023%20-%20New/Copy%20of%20FTR%20Manufacturing_2023-%20New2.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FTR%20Manufacturing-%202024/Copy%20of%20FTR%20Manufacturing%202024-3.xlsx" TargetMode="External"/><Relationship Id="rId2" Type="http://schemas.openxmlformats.org/officeDocument/2006/relationships/externalLinkPath" Target="file:///F:\FTR%20Manufacturing-%202024\Copy%20of%20FTR%20Manufacturing%202024-3.xlsx" TargetMode="External"/><Relationship Id="rId1" Type="http://schemas.openxmlformats.org/officeDocument/2006/relationships/externalLinkPath" Target="/FTR%20Manufacturing-%202024/Copy%20of%20FTR%20Manufacturing%202024-3.xlsx"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FTR%20Manufacturing-%202023/FTR%20Manufacturing_2023.xlsx" TargetMode="External"/><Relationship Id="rId2" Type="http://schemas.openxmlformats.org/officeDocument/2006/relationships/externalLinkPath" Target="file:///F:\FTR%20Manufacturing-%202023\FTR%20Manufacturing_2023.xlsx" TargetMode="External"/><Relationship Id="rId1" Type="http://schemas.openxmlformats.org/officeDocument/2006/relationships/externalLinkPath" Target="/FTR%20Manufacturing-%202023/FTR%20Manufacturing_2023.xlsx"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FTR%20Manufacturing-%202024/FTR%20Manufacturing%202024-2.xlsx" TargetMode="External"/><Relationship Id="rId2" Type="http://schemas.openxmlformats.org/officeDocument/2006/relationships/externalLinkPath" Target="file:///F:\FTR%20Manufacturing-%202024\FTR%20Manufacturing%202024-2.xlsx" TargetMode="External"/><Relationship Id="rId1" Type="http://schemas.openxmlformats.org/officeDocument/2006/relationships/externalLinkPath" Target="/FTR%20Manufacturing-%202024/FTR%20Manufacturing%202024-2.xlsx"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FTR%20Manufacturing-%202023%20-%20New/FTR%20Manufacturing_2023-%2023RD.xlsx" TargetMode="External"/><Relationship Id="rId2" Type="http://schemas.openxmlformats.org/officeDocument/2006/relationships/externalLinkPath" Target="file:///F:\FTR%20Manufacturing-%202023%20-%20New\FTR%20Manufacturing_2023-%2023RD.xlsx" TargetMode="External"/><Relationship Id="rId1" Type="http://schemas.openxmlformats.org/officeDocument/2006/relationships/externalLinkPath" Target="/FTR%20Manufacturing-%202023%20-%20New/FTR%20Manufacturing_2023-%2023RD.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O:\Royd\FTR\2020\FTR%20Manufacturing_20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O:\Royd\FTR\2018\FTR%20Manufacturing_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D Performance"/>
      <sheetName val="Brewer's Performance "/>
      <sheetName val="MTD - Time &amp; OG"/>
      <sheetName val="Brewer's Performance- Extract"/>
      <sheetName val="FTR Brewhouse-New"/>
      <sheetName val="Chart2"/>
      <sheetName val="FTR Brewhouse"/>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6">
        <row r="172">
          <cell r="I172">
            <v>0.17333333333333334</v>
          </cell>
        </row>
        <row r="319">
          <cell r="I319">
            <v>0.1223021582733813</v>
          </cell>
        </row>
        <row r="1086">
          <cell r="C1086">
            <v>0.91869918699186992</v>
          </cell>
          <cell r="E1086">
            <v>0.5934959349593496</v>
          </cell>
          <cell r="G1086">
            <v>1</v>
          </cell>
          <cell r="I1086">
            <v>0.56097560975609762</v>
          </cell>
        </row>
        <row r="1245">
          <cell r="C1245">
            <v>0.92</v>
          </cell>
          <cell r="E1245">
            <v>0.55629139072847678</v>
          </cell>
          <cell r="G1245">
            <v>0.98484848484848486</v>
          </cell>
          <cell r="I1245">
            <v>0.49668874172185429</v>
          </cell>
        </row>
        <row r="1417">
          <cell r="C1417">
            <v>0.91715976331360949</v>
          </cell>
          <cell r="E1417">
            <v>0.65680473372781067</v>
          </cell>
          <cell r="G1417">
            <v>1</v>
          </cell>
          <cell r="I1417">
            <v>0.60355029585798814</v>
          </cell>
        </row>
        <row r="1579">
          <cell r="C1579">
            <v>0.92</v>
          </cell>
          <cell r="E1579">
            <v>0.48</v>
          </cell>
          <cell r="G1579">
            <v>1</v>
          </cell>
          <cell r="I1579">
            <v>0.46400000000000002</v>
          </cell>
        </row>
      </sheetData>
      <sheetData sheetId="7">
        <row r="314">
          <cell r="D314">
            <v>0.55555555555555558</v>
          </cell>
          <cell r="G314">
            <v>1</v>
          </cell>
          <cell r="I314">
            <v>0.77777777777777779</v>
          </cell>
          <cell r="K314">
            <v>1</v>
          </cell>
          <cell r="M314">
            <v>0.75</v>
          </cell>
          <cell r="P314">
            <v>0.33333333333333331</v>
          </cell>
        </row>
        <row r="361">
          <cell r="D361">
            <v>0.7857142857142857</v>
          </cell>
          <cell r="G361">
            <v>0.96296296296296291</v>
          </cell>
          <cell r="I361">
            <v>0.69230769230769229</v>
          </cell>
          <cell r="K361">
            <v>1</v>
          </cell>
          <cell r="M361">
            <v>0.75862068965517238</v>
          </cell>
          <cell r="P361">
            <v>0.37931034482758619</v>
          </cell>
        </row>
        <row r="409">
          <cell r="D409">
            <v>0.8928571428571429</v>
          </cell>
          <cell r="G409">
            <v>1</v>
          </cell>
          <cell r="I409">
            <v>0.76923076923076927</v>
          </cell>
          <cell r="K409">
            <v>1</v>
          </cell>
          <cell r="M409">
            <v>0.7</v>
          </cell>
          <cell r="P409">
            <v>0.47619047619047616</v>
          </cell>
        </row>
        <row r="457">
          <cell r="D457">
            <v>0.75</v>
          </cell>
          <cell r="G457">
            <v>1</v>
          </cell>
          <cell r="I457">
            <v>0.91304347826086951</v>
          </cell>
          <cell r="K457">
            <v>1</v>
          </cell>
          <cell r="M457">
            <v>0.60869565217391308</v>
          </cell>
          <cell r="P457">
            <v>0.39130434782608697</v>
          </cell>
        </row>
      </sheetData>
      <sheetData sheetId="8"/>
      <sheetData sheetId="9">
        <row r="515">
          <cell r="D515">
            <v>1</v>
          </cell>
          <cell r="F515">
            <v>1</v>
          </cell>
          <cell r="H515">
            <v>1</v>
          </cell>
          <cell r="J515">
            <v>1</v>
          </cell>
          <cell r="L515">
            <v>1</v>
          </cell>
          <cell r="N515">
            <v>1</v>
          </cell>
        </row>
        <row r="617">
          <cell r="D617">
            <v>0.96739130434782605</v>
          </cell>
          <cell r="F617">
            <v>1</v>
          </cell>
          <cell r="H617">
            <v>1</v>
          </cell>
          <cell r="J617">
            <v>0.96739130434782605</v>
          </cell>
          <cell r="L617">
            <v>0.98717948717948723</v>
          </cell>
          <cell r="N617">
            <v>0.93406593406593408</v>
          </cell>
        </row>
        <row r="704">
          <cell r="D704">
            <v>0.98750000000000004</v>
          </cell>
          <cell r="F704">
            <v>1</v>
          </cell>
          <cell r="H704">
            <v>0.9859154929577465</v>
          </cell>
          <cell r="J704">
            <v>0.98750000000000004</v>
          </cell>
          <cell r="L704">
            <v>1</v>
          </cell>
          <cell r="N704">
            <v>0.96202531645569622</v>
          </cell>
        </row>
        <row r="790">
          <cell r="D790">
            <v>0.98076923076923073</v>
          </cell>
          <cell r="F790">
            <v>1</v>
          </cell>
          <cell r="H790">
            <v>1</v>
          </cell>
          <cell r="J790">
            <v>1</v>
          </cell>
          <cell r="L790">
            <v>1</v>
          </cell>
          <cell r="N790">
            <v>0.97916666666666663</v>
          </cell>
        </row>
      </sheetData>
      <sheetData sheetId="10">
        <row r="63">
          <cell r="D63">
            <v>1</v>
          </cell>
          <cell r="F63">
            <v>0.8571428571428571</v>
          </cell>
          <cell r="H63">
            <v>1</v>
          </cell>
          <cell r="J63">
            <v>1</v>
          </cell>
          <cell r="L63">
            <v>0.875</v>
          </cell>
        </row>
        <row r="125">
          <cell r="D125">
            <v>1</v>
          </cell>
          <cell r="F125">
            <v>0.81818181818181823</v>
          </cell>
          <cell r="H125">
            <v>1</v>
          </cell>
          <cell r="J125">
            <v>0.97499999999999998</v>
          </cell>
          <cell r="L125">
            <v>0.81395348837209303</v>
          </cell>
        </row>
        <row r="200">
          <cell r="D200">
            <v>1</v>
          </cell>
          <cell r="F200">
            <v>0.87096774193548387</v>
          </cell>
          <cell r="H200">
            <v>1</v>
          </cell>
          <cell r="L200">
            <v>0.85483870967741937</v>
          </cell>
        </row>
        <row r="256">
          <cell r="D256">
            <v>1</v>
          </cell>
          <cell r="F256">
            <v>0.97826086956521741</v>
          </cell>
          <cell r="H256">
            <v>1</v>
          </cell>
          <cell r="L256">
            <v>0.97826086956521741</v>
          </cell>
        </row>
        <row r="326">
          <cell r="D326">
            <v>1</v>
          </cell>
          <cell r="F326">
            <v>0.96721311475409832</v>
          </cell>
          <cell r="H326">
            <v>1</v>
          </cell>
          <cell r="L326">
            <v>0.98305084745762716</v>
          </cell>
        </row>
        <row r="357">
          <cell r="D357">
            <v>0.95652173913043481</v>
          </cell>
          <cell r="F357">
            <v>0.20833333333333334</v>
          </cell>
          <cell r="H357">
            <v>1</v>
          </cell>
          <cell r="J357">
            <v>1</v>
          </cell>
          <cell r="L357">
            <v>0.20833333333333334</v>
          </cell>
        </row>
        <row r="430">
          <cell r="D430">
            <v>1</v>
          </cell>
          <cell r="F430">
            <v>0.73770491803278693</v>
          </cell>
          <cell r="H430">
            <v>0.98412698412698407</v>
          </cell>
          <cell r="L430">
            <v>0.75</v>
          </cell>
        </row>
        <row r="486">
          <cell r="D486">
            <v>1</v>
          </cell>
          <cell r="F486">
            <v>0.85365853658536583</v>
          </cell>
          <cell r="H486">
            <v>1</v>
          </cell>
          <cell r="L486">
            <v>0.8</v>
          </cell>
        </row>
        <row r="558">
          <cell r="D558">
            <v>1</v>
          </cell>
          <cell r="F558">
            <v>0.90322580645161288</v>
          </cell>
          <cell r="H558">
            <v>1</v>
          </cell>
          <cell r="L558">
            <v>0.875</v>
          </cell>
        </row>
      </sheetData>
      <sheetData sheetId="11">
        <row r="61">
          <cell r="D61">
            <v>0.94736842105263153</v>
          </cell>
          <cell r="F61">
            <v>0.91176470588235292</v>
          </cell>
          <cell r="H61">
            <v>0.96875</v>
          </cell>
          <cell r="J61">
            <v>0.97368421052631582</v>
          </cell>
          <cell r="L61">
            <v>0.83333333333333337</v>
          </cell>
        </row>
        <row r="123">
          <cell r="D123">
            <v>0.76744186046511631</v>
          </cell>
          <cell r="F123">
            <v>0.97674418604651159</v>
          </cell>
          <cell r="H123">
            <v>0.88636363636363635</v>
          </cell>
          <cell r="J123">
            <v>1</v>
          </cell>
          <cell r="L123">
            <v>0.68888888888888888</v>
          </cell>
        </row>
        <row r="195">
          <cell r="D195">
            <v>0.85483870967741937</v>
          </cell>
          <cell r="F195">
            <v>0.96666666666666667</v>
          </cell>
          <cell r="H195">
            <v>1</v>
          </cell>
          <cell r="J195">
            <v>0.96825396825396826</v>
          </cell>
          <cell r="L195">
            <v>0.77419354838709675</v>
          </cell>
        </row>
        <row r="250">
          <cell r="D250">
            <v>0.97826086956521741</v>
          </cell>
          <cell r="F250">
            <v>1</v>
          </cell>
          <cell r="H250">
            <v>1</v>
          </cell>
          <cell r="J250">
            <v>1</v>
          </cell>
          <cell r="L250">
            <v>0.97826086956521741</v>
          </cell>
        </row>
        <row r="318">
          <cell r="D318">
            <v>1</v>
          </cell>
          <cell r="F318">
            <v>0.93877551020408168</v>
          </cell>
          <cell r="H318">
            <v>1</v>
          </cell>
          <cell r="J318">
            <v>1</v>
          </cell>
          <cell r="L318">
            <v>0.94</v>
          </cell>
        </row>
        <row r="353">
          <cell r="D353">
            <v>1</v>
          </cell>
          <cell r="F353">
            <v>1</v>
          </cell>
          <cell r="H353">
            <v>0.95454545454545459</v>
          </cell>
          <cell r="J353">
            <v>0.95833333333333337</v>
          </cell>
          <cell r="L353">
            <v>0.91666666666666663</v>
          </cell>
        </row>
        <row r="424">
          <cell r="D424">
            <v>0.95161290322580649</v>
          </cell>
          <cell r="F424">
            <v>1</v>
          </cell>
          <cell r="H424">
            <v>0.9838709677419355</v>
          </cell>
          <cell r="J424">
            <v>0.96721311475409832</v>
          </cell>
          <cell r="L424">
            <v>0.92063492063492058</v>
          </cell>
        </row>
        <row r="479">
          <cell r="D479">
            <v>1</v>
          </cell>
          <cell r="F479">
            <v>1</v>
          </cell>
          <cell r="H479">
            <v>1</v>
          </cell>
          <cell r="J479">
            <v>0.97916666666666663</v>
          </cell>
          <cell r="L479">
            <v>0.97872340425531912</v>
          </cell>
        </row>
        <row r="551">
          <cell r="D551">
            <v>1</v>
          </cell>
          <cell r="F551">
            <v>1</v>
          </cell>
          <cell r="H551">
            <v>1</v>
          </cell>
          <cell r="J551">
            <v>1</v>
          </cell>
          <cell r="L551">
            <v>1</v>
          </cell>
        </row>
      </sheetData>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D Performance"/>
      <sheetName val="Brewer's Performance "/>
      <sheetName val="MTD - Time &amp; OG"/>
      <sheetName val="Brewer's Performance- Extract"/>
      <sheetName val="FTR Brewhouse-New"/>
      <sheetName val="Chart2"/>
      <sheetName val="FTR Brewhouse"/>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5"/>
      <sheetData sheetId="6">
        <row r="172">
          <cell r="C172">
            <v>0.89333333333333331</v>
          </cell>
          <cell r="E172">
            <v>0.18666666666666668</v>
          </cell>
          <cell r="G172">
            <v>1</v>
          </cell>
        </row>
        <row r="319">
          <cell r="C319">
            <v>0.85611510791366907</v>
          </cell>
          <cell r="E319">
            <v>0.1366906474820144</v>
          </cell>
          <cell r="G319">
            <v>0.99212598425196852</v>
          </cell>
        </row>
        <row r="504">
          <cell r="C504">
            <v>0.9157303370786517</v>
          </cell>
          <cell r="E504">
            <v>0.7078651685393258</v>
          </cell>
          <cell r="G504">
            <v>0.98561151079136688</v>
          </cell>
          <cell r="I504">
            <v>0.6460674157303371</v>
          </cell>
        </row>
        <row r="656">
          <cell r="C656">
            <v>0.96551724137931039</v>
          </cell>
          <cell r="E656">
            <v>0.64383561643835618</v>
          </cell>
          <cell r="G656">
            <v>0.9921875</v>
          </cell>
          <cell r="I656">
            <v>0.62328767123287676</v>
          </cell>
        </row>
        <row r="926">
          <cell r="C926">
            <v>0.9</v>
          </cell>
          <cell r="E926">
            <v>0.29411764705882354</v>
          </cell>
          <cell r="G926">
            <v>1</v>
          </cell>
          <cell r="I926">
            <v>0.2857142857142857</v>
          </cell>
        </row>
      </sheetData>
      <sheetData sheetId="7">
        <row r="71">
          <cell r="D71">
            <v>0.5</v>
          </cell>
          <cell r="G71">
            <v>1</v>
          </cell>
          <cell r="I71">
            <v>0.94736842105263153</v>
          </cell>
          <cell r="K71">
            <v>1</v>
          </cell>
          <cell r="M71">
            <v>0.82608695652173914</v>
          </cell>
          <cell r="P71">
            <v>0.45</v>
          </cell>
        </row>
        <row r="112">
          <cell r="D112">
            <v>0.45454545454545453</v>
          </cell>
          <cell r="G112">
            <v>0.95</v>
          </cell>
          <cell r="I112">
            <v>0.88235294117647056</v>
          </cell>
          <cell r="K112">
            <v>1</v>
          </cell>
          <cell r="M112">
            <v>0.7</v>
          </cell>
          <cell r="P112">
            <v>0.3</v>
          </cell>
        </row>
        <row r="153">
          <cell r="D153">
            <v>0.7857142857142857</v>
          </cell>
          <cell r="G153">
            <v>0.96296296296296291</v>
          </cell>
          <cell r="I153">
            <v>0.88888888888888884</v>
          </cell>
          <cell r="K153">
            <v>1</v>
          </cell>
          <cell r="M153">
            <v>0.92592592592592593</v>
          </cell>
          <cell r="P153">
            <v>0.5714285714285714</v>
          </cell>
        </row>
        <row r="203">
          <cell r="D203">
            <v>0.76</v>
          </cell>
          <cell r="G203">
            <v>1</v>
          </cell>
          <cell r="I203">
            <v>0.7142857142857143</v>
          </cell>
          <cell r="K203">
            <v>1</v>
          </cell>
          <cell r="M203">
            <v>0.75</v>
          </cell>
          <cell r="P203">
            <v>0.55000000000000004</v>
          </cell>
        </row>
        <row r="262">
          <cell r="D262">
            <v>0.47058823529411764</v>
          </cell>
          <cell r="G262">
            <v>1</v>
          </cell>
          <cell r="I262">
            <v>0.91304347826086951</v>
          </cell>
          <cell r="K262">
            <v>1</v>
          </cell>
          <cell r="M262">
            <v>0.95652173913043481</v>
          </cell>
          <cell r="P262">
            <v>0.2608695652173913</v>
          </cell>
        </row>
      </sheetData>
      <sheetData sheetId="8"/>
      <sheetData sheetId="9">
        <row r="84">
          <cell r="D84">
            <v>0.98412698412698407</v>
          </cell>
          <cell r="F84">
            <v>1</v>
          </cell>
          <cell r="H84">
            <v>1</v>
          </cell>
          <cell r="J84">
            <v>0.95238095238095233</v>
          </cell>
          <cell r="L84">
            <v>0.91836734693877553</v>
          </cell>
          <cell r="N84">
            <v>0.87301587301587302</v>
          </cell>
        </row>
        <row r="178">
          <cell r="D178">
            <v>0.74242424242424243</v>
          </cell>
          <cell r="F178">
            <v>1</v>
          </cell>
          <cell r="H178">
            <v>0.92727272727272725</v>
          </cell>
          <cell r="J178">
            <v>0.95454545454545459</v>
          </cell>
          <cell r="L178">
            <v>1</v>
          </cell>
          <cell r="N178">
            <v>0.72727272727272729</v>
          </cell>
        </row>
        <row r="279">
          <cell r="D279">
            <v>0.82474226804123707</v>
          </cell>
          <cell r="F279">
            <v>1</v>
          </cell>
          <cell r="H279">
            <v>0.9662921348314607</v>
          </cell>
          <cell r="J279">
            <v>0.97938144329896903</v>
          </cell>
          <cell r="L279">
            <v>0.98684210526315785</v>
          </cell>
          <cell r="N279">
            <v>0.75789473684210529</v>
          </cell>
        </row>
        <row r="367">
          <cell r="D367">
            <v>0.9859154929577465</v>
          </cell>
          <cell r="F367">
            <v>1</v>
          </cell>
          <cell r="H367">
            <v>1</v>
          </cell>
          <cell r="J367">
            <v>1</v>
          </cell>
          <cell r="L367">
            <v>1</v>
          </cell>
          <cell r="N367">
            <v>0.9859154929577465</v>
          </cell>
        </row>
        <row r="465">
          <cell r="D465">
            <v>0.95454545454545459</v>
          </cell>
          <cell r="F465">
            <v>1</v>
          </cell>
          <cell r="H465">
            <v>1</v>
          </cell>
          <cell r="J465">
            <v>0.98863636363636365</v>
          </cell>
          <cell r="L465">
            <v>1</v>
          </cell>
          <cell r="N465">
            <v>0.95454545454545459</v>
          </cell>
        </row>
      </sheetData>
      <sheetData sheetId="10"/>
      <sheetData sheetId="11">
        <row r="61">
          <cell r="D61">
            <v>0.94736842105263153</v>
          </cell>
        </row>
        <row r="195">
          <cell r="D195">
            <v>0.85483870967741937</v>
          </cell>
          <cell r="F195">
            <v>0.96666666666666667</v>
          </cell>
          <cell r="H195">
            <v>1</v>
          </cell>
          <cell r="J195">
            <v>0.96825396825396826</v>
          </cell>
          <cell r="L195">
            <v>0.77419354838709675</v>
          </cell>
        </row>
      </sheetData>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row r="172">
          <cell r="C172">
            <v>0.95394736842105265</v>
          </cell>
          <cell r="E172">
            <v>0.47402597402597402</v>
          </cell>
          <cell r="G172">
            <v>0.97037037037037033</v>
          </cell>
          <cell r="I172">
            <v>0.43506493506493504</v>
          </cell>
        </row>
        <row r="314">
          <cell r="C314">
            <v>0.97080291970802923</v>
          </cell>
          <cell r="E314">
            <v>0.37956204379562042</v>
          </cell>
          <cell r="G314">
            <v>1</v>
          </cell>
          <cell r="I314">
            <v>0.36496350364963503</v>
          </cell>
        </row>
        <row r="472">
          <cell r="C472">
            <v>0.90344827586206899</v>
          </cell>
          <cell r="E472">
            <v>0.61379310344827587</v>
          </cell>
          <cell r="G472">
            <v>1</v>
          </cell>
          <cell r="I472">
            <v>0.57241379310344831</v>
          </cell>
        </row>
      </sheetData>
      <sheetData sheetId="5"/>
      <sheetData sheetId="6"/>
      <sheetData sheetId="7">
        <row r="71">
          <cell r="D71">
            <v>0.56000000000000005</v>
          </cell>
          <cell r="G71">
            <v>1</v>
          </cell>
          <cell r="I71">
            <v>1</v>
          </cell>
          <cell r="K71">
            <v>1</v>
          </cell>
          <cell r="M71">
            <v>1</v>
          </cell>
          <cell r="P71">
            <v>0.53333333333333333</v>
          </cell>
        </row>
        <row r="112">
          <cell r="D112">
            <v>0.65384615384615385</v>
          </cell>
          <cell r="G112">
            <v>1</v>
          </cell>
          <cell r="I112">
            <v>0.875</v>
          </cell>
          <cell r="K112">
            <v>1</v>
          </cell>
          <cell r="M112">
            <v>0.76666666666666672</v>
          </cell>
          <cell r="P112">
            <v>0.5</v>
          </cell>
        </row>
        <row r="152">
          <cell r="D152">
            <v>0.625</v>
          </cell>
          <cell r="G152">
            <v>0.95454545454545459</v>
          </cell>
          <cell r="I152">
            <v>0.8928571428571429</v>
          </cell>
          <cell r="K152">
            <v>1</v>
          </cell>
          <cell r="M152">
            <v>0.92307692307692313</v>
          </cell>
          <cell r="P152">
            <v>0.6</v>
          </cell>
        </row>
        <row r="202">
          <cell r="D202">
            <v>0.69230769230769229</v>
          </cell>
          <cell r="G202">
            <v>0.96</v>
          </cell>
          <cell r="I202">
            <v>0.875</v>
          </cell>
          <cell r="K202">
            <v>1</v>
          </cell>
          <cell r="M202">
            <v>0.68181818181818177</v>
          </cell>
          <cell r="P202">
            <v>0.27272727272727271</v>
          </cell>
        </row>
        <row r="505">
          <cell r="D505">
            <v>0.88888888888888884</v>
          </cell>
          <cell r="G505">
            <v>1</v>
          </cell>
          <cell r="I505">
            <v>0.86363636363636365</v>
          </cell>
          <cell r="K505">
            <v>1</v>
          </cell>
          <cell r="M505">
            <v>0.83333333333333337</v>
          </cell>
          <cell r="P505">
            <v>0.625</v>
          </cell>
        </row>
        <row r="552">
          <cell r="D552">
            <v>0.79166666666666663</v>
          </cell>
          <cell r="G552">
            <v>1</v>
          </cell>
          <cell r="I552">
            <v>0.96</v>
          </cell>
          <cell r="K552">
            <v>1</v>
          </cell>
          <cell r="M552">
            <v>0.88</v>
          </cell>
          <cell r="P552">
            <v>0.60869565217391308</v>
          </cell>
        </row>
        <row r="600">
          <cell r="D600">
            <v>0.70588235294117652</v>
          </cell>
          <cell r="G600">
            <v>1</v>
          </cell>
          <cell r="I600">
            <v>0.88235294117647056</v>
          </cell>
          <cell r="K600">
            <v>1</v>
          </cell>
          <cell r="M600">
            <v>0.8</v>
          </cell>
          <cell r="P600">
            <v>0.52631578947368418</v>
          </cell>
        </row>
      </sheetData>
      <sheetData sheetId="8"/>
      <sheetData sheetId="9">
        <row r="85">
          <cell r="D85">
            <v>1</v>
          </cell>
          <cell r="F85">
            <v>1</v>
          </cell>
          <cell r="H85">
            <v>0.984375</v>
          </cell>
          <cell r="J85">
            <v>0.8125</v>
          </cell>
          <cell r="L85">
            <v>0.96226415094339623</v>
          </cell>
          <cell r="N85">
            <v>0.78125</v>
          </cell>
        </row>
        <row r="174">
          <cell r="D174">
            <v>0.97619047619047616</v>
          </cell>
          <cell r="F174">
            <v>1</v>
          </cell>
          <cell r="H174">
            <v>1</v>
          </cell>
          <cell r="J174">
            <v>0.9642857142857143</v>
          </cell>
          <cell r="L174">
            <v>0.97468354430379744</v>
          </cell>
          <cell r="N174">
            <v>0.95238095238095233</v>
          </cell>
        </row>
        <row r="275">
          <cell r="D275">
            <v>0.86</v>
          </cell>
          <cell r="F275">
            <v>0.02</v>
          </cell>
          <cell r="H275">
            <v>2.8</v>
          </cell>
          <cell r="J275">
            <v>5.95</v>
          </cell>
          <cell r="L275">
            <v>0.26</v>
          </cell>
          <cell r="N275">
            <v>1</v>
          </cell>
        </row>
        <row r="399">
          <cell r="D399">
            <v>0.88709677419354838</v>
          </cell>
          <cell r="F399">
            <v>1</v>
          </cell>
          <cell r="H399">
            <v>0.98360655737704916</v>
          </cell>
          <cell r="J399">
            <v>0.967741935483871</v>
          </cell>
          <cell r="L399">
            <v>1</v>
          </cell>
          <cell r="N399">
            <v>0.85483870967741937</v>
          </cell>
        </row>
        <row r="848">
          <cell r="D848">
            <v>0.91304347826086951</v>
          </cell>
          <cell r="F848">
            <v>1</v>
          </cell>
          <cell r="H848">
            <v>1</v>
          </cell>
          <cell r="J848">
            <v>0.97826086956521741</v>
          </cell>
          <cell r="L848">
            <v>1</v>
          </cell>
          <cell r="N848">
            <v>0.89130434782608692</v>
          </cell>
        </row>
        <row r="974">
          <cell r="D974">
            <v>0.97435897435897434</v>
          </cell>
          <cell r="F974">
            <v>1</v>
          </cell>
          <cell r="H974">
            <v>0.98684210526315785</v>
          </cell>
          <cell r="J974">
            <v>0.9358974358974359</v>
          </cell>
          <cell r="L974">
            <v>1</v>
          </cell>
          <cell r="N974">
            <v>0.88732394366197187</v>
          </cell>
        </row>
        <row r="1126">
          <cell r="D1126">
            <v>0.97058823529411764</v>
          </cell>
          <cell r="F1126">
            <v>0.98630136986301364</v>
          </cell>
          <cell r="H1126">
            <v>0.97938144329896903</v>
          </cell>
          <cell r="J1126">
            <v>0.98039215686274506</v>
          </cell>
          <cell r="L1126">
            <v>1</v>
          </cell>
          <cell r="N1126">
            <v>0.93069306930693074</v>
          </cell>
        </row>
      </sheetData>
      <sheetData sheetId="10">
        <row r="62">
          <cell r="D62">
            <v>1</v>
          </cell>
          <cell r="F62">
            <v>0.87804878048780488</v>
          </cell>
          <cell r="H62">
            <v>1</v>
          </cell>
          <cell r="J62">
            <v>1</v>
          </cell>
          <cell r="L62">
            <v>0.87804878048780488</v>
          </cell>
        </row>
        <row r="122">
          <cell r="D122">
            <v>0.98039215686274506</v>
          </cell>
          <cell r="F122">
            <v>0.90196078431372551</v>
          </cell>
          <cell r="H122">
            <v>1</v>
          </cell>
          <cell r="J122">
            <v>1</v>
          </cell>
          <cell r="L122">
            <v>0.90384615384615385</v>
          </cell>
        </row>
        <row r="169">
          <cell r="D169">
            <v>276</v>
          </cell>
          <cell r="F169">
            <v>18.7</v>
          </cell>
          <cell r="H169">
            <v>7.0000000000000007E-2</v>
          </cell>
          <cell r="J169">
            <v>96</v>
          </cell>
          <cell r="L169">
            <v>1</v>
          </cell>
        </row>
        <row r="519">
          <cell r="D519">
            <v>1</v>
          </cell>
          <cell r="F519">
            <v>0.9</v>
          </cell>
          <cell r="H519">
            <v>0.94545454545454544</v>
          </cell>
          <cell r="L519">
            <v>0.85245901639344257</v>
          </cell>
        </row>
        <row r="590">
          <cell r="D590">
            <v>1</v>
          </cell>
          <cell r="F590">
            <v>0.98412698412698407</v>
          </cell>
          <cell r="H590">
            <v>1</v>
          </cell>
          <cell r="L590">
            <v>0.98461538461538467</v>
          </cell>
        </row>
        <row r="664">
          <cell r="D664">
            <v>1</v>
          </cell>
          <cell r="F664">
            <v>0.97872340425531912</v>
          </cell>
          <cell r="H664">
            <v>1</v>
          </cell>
          <cell r="L664">
            <v>0.97872340425531912</v>
          </cell>
        </row>
        <row r="763">
          <cell r="D763">
            <v>1</v>
          </cell>
          <cell r="F763">
            <v>0.90476190476190477</v>
          </cell>
          <cell r="H763">
            <v>1</v>
          </cell>
          <cell r="L763">
            <v>0.92537313432835822</v>
          </cell>
        </row>
      </sheetData>
      <sheetData sheetId="11">
        <row r="60">
          <cell r="D60">
            <v>1</v>
          </cell>
          <cell r="F60">
            <v>0.92500000000000004</v>
          </cell>
          <cell r="H60">
            <v>0.97142857142857142</v>
          </cell>
          <cell r="J60">
            <v>0.8571428571428571</v>
          </cell>
          <cell r="L60">
            <v>0.80487804878048785</v>
          </cell>
        </row>
        <row r="120">
          <cell r="D120">
            <v>0.96363636363636362</v>
          </cell>
          <cell r="F120">
            <v>0.94</v>
          </cell>
          <cell r="H120">
            <v>1</v>
          </cell>
          <cell r="J120">
            <v>0.98181818181818181</v>
          </cell>
          <cell r="L120">
            <v>0.92727272727272725</v>
          </cell>
        </row>
        <row r="225">
          <cell r="D225">
            <v>0.91836734693877553</v>
          </cell>
          <cell r="F225">
            <v>0.9555555555555556</v>
          </cell>
          <cell r="H225">
            <v>0.95238095238095233</v>
          </cell>
          <cell r="J225">
            <v>0.95833333333333337</v>
          </cell>
          <cell r="L225">
            <v>0.83673469387755106</v>
          </cell>
        </row>
      </sheetData>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TR Spec Change (Overall)"/>
      <sheetName val="FTR Spec Change (By Area)"/>
      <sheetName val="January '25"/>
      <sheetName val="February '24"/>
      <sheetName val="March '24"/>
      <sheetName val="April '24"/>
      <sheetName val="June '24 "/>
      <sheetName val="July '24"/>
      <sheetName val="August '24"/>
      <sheetName val="September '24 "/>
      <sheetName val="October '24 "/>
      <sheetName val="November '24 "/>
      <sheetName val="December '24"/>
      <sheetName val="May '20"/>
      <sheetName val="June'20"/>
      <sheetName val="September '20"/>
      <sheetName val="November '18"/>
      <sheetName val="December '18"/>
      <sheetName val="FTR Trend"/>
      <sheetName val="FTR Parameter Trend"/>
      <sheetName val="February '25 "/>
      <sheetName val="March'25 "/>
      <sheetName val="Summary Report"/>
      <sheetName val="Monthly Comparison Graphs"/>
      <sheetName val="FTR Target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42">
          <cell r="C42">
            <v>0.70982918294442687</v>
          </cell>
          <cell r="D42">
            <v>0.75197722285824475</v>
          </cell>
          <cell r="E42">
            <v>0.78403664939830542</v>
          </cell>
          <cell r="F42">
            <v>0.68888480528214613</v>
          </cell>
          <cell r="G42">
            <v>0.75529019145030152</v>
          </cell>
          <cell r="H42">
            <v>0.73208329470807298</v>
          </cell>
          <cell r="I42">
            <v>0.86065081528477316</v>
          </cell>
          <cell r="J42">
            <v>0.79568632867531008</v>
          </cell>
          <cell r="K42">
            <v>0.81817183778596547</v>
          </cell>
          <cell r="L42">
            <v>0.81031318006305053</v>
          </cell>
          <cell r="M42">
            <v>0.81945374202433319</v>
          </cell>
          <cell r="N42">
            <v>0.79861128456578123</v>
          </cell>
        </row>
      </sheetData>
      <sheetData sheetId="23"/>
      <sheetData sheetId="24"/>
      <sheetData sheetId="2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TR Spec Change (Overall)"/>
      <sheetName val="FTR Spec Change (By Area)"/>
      <sheetName val="January '24"/>
      <sheetName val="February '24"/>
      <sheetName val="March '24"/>
      <sheetName val="April '24"/>
      <sheetName val="May '24"/>
      <sheetName val="June '24 "/>
      <sheetName val="July '24"/>
      <sheetName val="August '24"/>
      <sheetName val="September '24 "/>
      <sheetName val="October '24 "/>
      <sheetName val="November '24 "/>
      <sheetName val="December '24"/>
      <sheetName val="May '20"/>
      <sheetName val="June'20"/>
      <sheetName val="September '20"/>
      <sheetName val="November '18"/>
      <sheetName val="December '18"/>
      <sheetName val="FTR Trend"/>
      <sheetName val="FTR Parameter Trend"/>
      <sheetName val="FTR Targets"/>
      <sheetName val="Sheet1"/>
    </sheetNames>
    <sheetDataSet>
      <sheetData sheetId="0"/>
      <sheetData sheetId="1"/>
      <sheetData sheetId="2">
        <row r="37">
          <cell r="C37">
            <v>0.81666351295763062</v>
          </cell>
        </row>
      </sheetData>
      <sheetData sheetId="3">
        <row r="38">
          <cell r="C38">
            <v>0.77628844734077296</v>
          </cell>
        </row>
      </sheetData>
      <sheetData sheetId="4">
        <row r="36">
          <cell r="C36">
            <v>0.76636541540651137</v>
          </cell>
        </row>
      </sheetData>
      <sheetData sheetId="5">
        <row r="36">
          <cell r="C36">
            <v>0.76766967736672331</v>
          </cell>
        </row>
      </sheetData>
      <sheetData sheetId="6">
        <row r="36">
          <cell r="C36">
            <v>0.73306118715428747</v>
          </cell>
        </row>
      </sheetData>
      <sheetData sheetId="7">
        <row r="36">
          <cell r="C36">
            <v>0.7198977701736321</v>
          </cell>
        </row>
      </sheetData>
      <sheetData sheetId="8">
        <row r="35">
          <cell r="C35">
            <v>0.7691059655611755</v>
          </cell>
        </row>
      </sheetData>
      <sheetData sheetId="9">
        <row r="35">
          <cell r="C35">
            <v>0.86073913717225559</v>
          </cell>
        </row>
      </sheetData>
      <sheetData sheetId="10">
        <row r="35">
          <cell r="C35">
            <v>0.7785898416949818</v>
          </cell>
        </row>
      </sheetData>
      <sheetData sheetId="11">
        <row r="35">
          <cell r="C35">
            <v>0.77010484544695068</v>
          </cell>
        </row>
      </sheetData>
      <sheetData sheetId="12">
        <row r="35">
          <cell r="C35">
            <v>0.70942826398852221</v>
          </cell>
        </row>
      </sheetData>
      <sheetData sheetId="13">
        <row r="35">
          <cell r="C35">
            <v>0.69609422239974938</v>
          </cell>
        </row>
      </sheetData>
      <sheetData sheetId="14"/>
      <sheetData sheetId="15"/>
      <sheetData sheetId="16"/>
      <sheetData sheetId="17"/>
      <sheetData sheetId="18"/>
      <sheetData sheetId="19"/>
      <sheetData sheetId="20"/>
      <sheetData sheetId="21"/>
      <sheetData sheetId="2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refreshError="1"/>
      <sheetData sheetId="1" refreshError="1"/>
      <sheetData sheetId="2" refreshError="1"/>
      <sheetData sheetId="3" refreshError="1"/>
      <sheetData sheetId="4">
        <row r="188">
          <cell r="C188">
            <v>0.95294117647058818</v>
          </cell>
        </row>
      </sheetData>
      <sheetData sheetId="5" refreshError="1"/>
      <sheetData sheetId="6" refreshError="1"/>
      <sheetData sheetId="7">
        <row r="76">
          <cell r="D76">
            <v>1</v>
          </cell>
        </row>
      </sheetData>
      <sheetData sheetId="8" refreshError="1"/>
      <sheetData sheetId="9">
        <row r="107">
          <cell r="D107">
            <v>0.97727272727272729</v>
          </cell>
          <cell r="F107">
            <v>1</v>
          </cell>
          <cell r="H107">
            <v>1</v>
          </cell>
          <cell r="L107">
            <v>1</v>
          </cell>
          <cell r="O107">
            <v>0.97727272727272729</v>
          </cell>
        </row>
      </sheetData>
      <sheetData sheetId="10">
        <row r="72">
          <cell r="D72">
            <v>1</v>
          </cell>
          <cell r="F72">
            <v>0.92307692307692313</v>
          </cell>
          <cell r="H72">
            <v>1</v>
          </cell>
          <cell r="J72">
            <v>0.96078431372549022</v>
          </cell>
          <cell r="L72">
            <v>0.92307692307692313</v>
          </cell>
        </row>
      </sheetData>
      <sheetData sheetId="11">
        <row r="72">
          <cell r="D72">
            <v>0.94230769230769229</v>
          </cell>
          <cell r="F72">
            <v>1</v>
          </cell>
          <cell r="H72">
            <v>1</v>
          </cell>
          <cell r="M72">
            <v>0.94230769230769229</v>
          </cell>
        </row>
      </sheetData>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86">
          <cell r="D86">
            <v>0.95081967213114749</v>
          </cell>
        </row>
      </sheetData>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refreshError="1"/>
      <sheetData sheetId="1" refreshError="1"/>
      <sheetData sheetId="2" refreshError="1"/>
      <sheetData sheetId="3" refreshError="1"/>
      <sheetData sheetId="4" refreshError="1">
        <row r="325">
          <cell r="C325">
            <v>0.92307692307692313</v>
          </cell>
          <cell r="E325">
            <v>0.43846153846153846</v>
          </cell>
          <cell r="G325">
            <v>1</v>
          </cell>
          <cell r="I325">
            <v>0.41538461538461541</v>
          </cell>
        </row>
        <row r="482">
          <cell r="C482">
            <v>0.8666666666666667</v>
          </cell>
          <cell r="E482">
            <v>0.44</v>
          </cell>
          <cell r="G482">
            <v>0.98484848484848486</v>
          </cell>
          <cell r="I482">
            <v>0.36</v>
          </cell>
        </row>
        <row r="630">
          <cell r="C630">
            <v>0.92727272727272725</v>
          </cell>
          <cell r="E630">
            <v>0.38181818181818183</v>
          </cell>
          <cell r="G630">
            <v>1</v>
          </cell>
          <cell r="I630">
            <v>0.3577981651376147</v>
          </cell>
        </row>
        <row r="1060">
          <cell r="C1060">
            <v>0.82894736842105265</v>
          </cell>
          <cell r="E1060">
            <v>0.60130718954248363</v>
          </cell>
          <cell r="G1060">
            <v>1</v>
          </cell>
          <cell r="I1060">
            <v>0.51388888888888884</v>
          </cell>
        </row>
      </sheetData>
      <sheetData sheetId="5" refreshError="1"/>
      <sheetData sheetId="6" refreshError="1"/>
      <sheetData sheetId="7" refreshError="1">
        <row r="76">
          <cell r="P76">
            <v>0.76</v>
          </cell>
        </row>
        <row r="109">
          <cell r="D109">
            <v>0.77777777777777779</v>
          </cell>
          <cell r="G109">
            <v>1</v>
          </cell>
          <cell r="I109">
            <v>0.8571428571428571</v>
          </cell>
          <cell r="K109">
            <v>1</v>
          </cell>
          <cell r="M109">
            <v>1</v>
          </cell>
          <cell r="P109">
            <v>0.5625</v>
          </cell>
        </row>
        <row r="149">
          <cell r="D149">
            <v>0.76</v>
          </cell>
          <cell r="G149">
            <v>1</v>
          </cell>
          <cell r="I149">
            <v>0.70270270270270274</v>
          </cell>
          <cell r="K149">
            <v>1</v>
          </cell>
          <cell r="M149">
            <v>0.91428571428571426</v>
          </cell>
          <cell r="P149">
            <v>0.48571428571428571</v>
          </cell>
        </row>
        <row r="200">
          <cell r="D200">
            <v>0.82608695652173914</v>
          </cell>
          <cell r="G200">
            <v>1</v>
          </cell>
          <cell r="I200">
            <v>0.58823529411764708</v>
          </cell>
          <cell r="K200">
            <v>1</v>
          </cell>
          <cell r="M200">
            <v>1</v>
          </cell>
          <cell r="P200">
            <v>0.52631578947368418</v>
          </cell>
        </row>
      </sheetData>
      <sheetData sheetId="8" refreshError="1">
        <row r="176">
          <cell r="D176">
            <v>0.9538461538461539</v>
          </cell>
        </row>
      </sheetData>
      <sheetData sheetId="9" refreshError="1">
        <row r="107">
          <cell r="N107">
            <v>0.93181818181818177</v>
          </cell>
        </row>
        <row r="175">
          <cell r="F175">
            <v>1</v>
          </cell>
          <cell r="H175">
            <v>1</v>
          </cell>
          <cell r="J175">
            <v>1</v>
          </cell>
          <cell r="L175">
            <v>1</v>
          </cell>
          <cell r="N175">
            <v>0.95238095238095233</v>
          </cell>
          <cell r="O175">
            <v>0.95238095238095233</v>
          </cell>
        </row>
        <row r="253">
          <cell r="D253">
            <v>0.98648648648648651</v>
          </cell>
          <cell r="F253">
            <v>1</v>
          </cell>
          <cell r="H253">
            <v>1</v>
          </cell>
          <cell r="J253">
            <v>0.95945945945945943</v>
          </cell>
          <cell r="L253">
            <v>1</v>
          </cell>
          <cell r="N253">
            <v>0.9452054794520548</v>
          </cell>
          <cell r="O253">
            <v>0.98630136986301364</v>
          </cell>
        </row>
        <row r="321">
          <cell r="D321">
            <v>2.0499999999999998</v>
          </cell>
          <cell r="F321">
            <v>0.03</v>
          </cell>
          <cell r="H321">
            <v>2.8</v>
          </cell>
          <cell r="L321">
            <v>0.31</v>
          </cell>
          <cell r="O321">
            <v>1</v>
          </cell>
        </row>
        <row r="333">
          <cell r="D333">
            <v>0.98648648648648651</v>
          </cell>
          <cell r="F333">
            <v>1</v>
          </cell>
          <cell r="H333">
            <v>1</v>
          </cell>
          <cell r="J333">
            <v>0.97297297297297303</v>
          </cell>
          <cell r="L333">
            <v>1</v>
          </cell>
          <cell r="N333">
            <v>0.95890410958904104</v>
          </cell>
        </row>
        <row r="472">
          <cell r="D472">
            <v>2.13</v>
          </cell>
          <cell r="F472">
            <v>0.03</v>
          </cell>
          <cell r="H472">
            <v>2.85</v>
          </cell>
          <cell r="L472">
            <v>0.56999999999999995</v>
          </cell>
          <cell r="O472">
            <v>1</v>
          </cell>
        </row>
      </sheetData>
      <sheetData sheetId="10" refreshError="1">
        <row r="72">
          <cell r="L72">
            <v>0.92307692307692313</v>
          </cell>
        </row>
        <row r="120">
          <cell r="D120">
            <v>1</v>
          </cell>
          <cell r="F120">
            <v>1</v>
          </cell>
          <cell r="H120">
            <v>1</v>
          </cell>
          <cell r="J120">
            <v>1</v>
          </cell>
          <cell r="L120">
            <v>1</v>
          </cell>
        </row>
        <row r="169">
          <cell r="D169">
            <v>1</v>
          </cell>
          <cell r="F169">
            <v>1</v>
          </cell>
          <cell r="J169">
            <v>0.97674418604651159</v>
          </cell>
          <cell r="L169">
            <v>0.97727272727272729</v>
          </cell>
        </row>
        <row r="224">
          <cell r="D224">
            <v>1</v>
          </cell>
          <cell r="F224">
            <v>0.97959183673469385</v>
          </cell>
          <cell r="J224">
            <v>1</v>
          </cell>
          <cell r="L224">
            <v>0.98</v>
          </cell>
        </row>
      </sheetData>
      <sheetData sheetId="11" refreshError="1">
        <row r="72">
          <cell r="L72">
            <v>0.88461538461538458</v>
          </cell>
        </row>
        <row r="122">
          <cell r="D122">
            <v>0.93023255813953487</v>
          </cell>
          <cell r="F122">
            <v>0.95121951219512191</v>
          </cell>
          <cell r="H122">
            <v>1</v>
          </cell>
          <cell r="J122">
            <v>0.95238095238095233</v>
          </cell>
          <cell r="L122">
            <v>0.86046511627906974</v>
          </cell>
          <cell r="M122">
            <v>0.88372093023255816</v>
          </cell>
        </row>
        <row r="172">
          <cell r="D172">
            <v>1</v>
          </cell>
          <cell r="F172">
            <v>1</v>
          </cell>
          <cell r="H172">
            <v>1</v>
          </cell>
          <cell r="J172">
            <v>1</v>
          </cell>
          <cell r="L172">
            <v>1</v>
          </cell>
        </row>
        <row r="228">
          <cell r="D228">
            <v>1</v>
          </cell>
          <cell r="F228">
            <v>1</v>
          </cell>
          <cell r="H228">
            <v>1</v>
          </cell>
          <cell r="J228">
            <v>1</v>
          </cell>
          <cell r="L228">
            <v>1</v>
          </cell>
        </row>
      </sheetData>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5"/>
      <sheetData sheetId="6"/>
      <sheetData sheetId="7"/>
      <sheetData sheetId="8"/>
      <sheetData sheetId="9"/>
      <sheetData sheetId="10">
        <row r="154">
          <cell r="F154">
            <v>0.91666666666666663</v>
          </cell>
          <cell r="L154">
            <v>0.93548387096774188</v>
          </cell>
        </row>
      </sheetData>
      <sheetData sheetId="11"/>
      <sheetData sheetId="12"/>
      <sheetData sheetId="1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row r="1060">
          <cell r="C1060">
            <v>0.85526315789473684</v>
          </cell>
          <cell r="E1060">
            <v>0.60130718954248363</v>
          </cell>
          <cell r="G1060">
            <v>0.97692307692307689</v>
          </cell>
        </row>
        <row r="1223">
          <cell r="C1223">
            <v>0.96250000000000002</v>
          </cell>
          <cell r="E1223">
            <v>0.53749999999999998</v>
          </cell>
          <cell r="G1223">
            <v>1</v>
          </cell>
          <cell r="I1223">
            <v>0.51875000000000004</v>
          </cell>
        </row>
        <row r="1377">
          <cell r="C1377">
            <v>0.9452054794520548</v>
          </cell>
          <cell r="E1377">
            <v>0.5547945205479452</v>
          </cell>
          <cell r="G1377">
            <v>0.96799999999999997</v>
          </cell>
          <cell r="I1377">
            <v>0.52054794520547942</v>
          </cell>
        </row>
        <row r="1510">
          <cell r="C1510">
            <v>0.953125</v>
          </cell>
          <cell r="E1510">
            <v>0.4140625</v>
          </cell>
          <cell r="G1510">
            <v>1</v>
          </cell>
          <cell r="I1510">
            <v>0.3828125</v>
          </cell>
        </row>
        <row r="1649">
          <cell r="C1649">
            <v>0.93650793650793651</v>
          </cell>
          <cell r="E1649">
            <v>0.45238095238095238</v>
          </cell>
          <cell r="G1649">
            <v>0.99047619047619051</v>
          </cell>
          <cell r="I1649">
            <v>0.42063492063492064</v>
          </cell>
        </row>
        <row r="1818">
          <cell r="C1818">
            <v>0.96951219512195119</v>
          </cell>
          <cell r="E1818">
            <v>0.51829268292682928</v>
          </cell>
          <cell r="G1818">
            <v>1</v>
          </cell>
          <cell r="I1818">
            <v>0.48780487804878048</v>
          </cell>
        </row>
      </sheetData>
      <sheetData sheetId="5"/>
      <sheetData sheetId="6" refreshError="1"/>
      <sheetData sheetId="7">
        <row r="286">
          <cell r="D286">
            <v>0.84615384615384615</v>
          </cell>
          <cell r="G286">
            <v>1</v>
          </cell>
          <cell r="I286">
            <v>0.61538461538461542</v>
          </cell>
          <cell r="K286">
            <v>1</v>
          </cell>
          <cell r="M286">
            <v>0.73076923076923073</v>
          </cell>
          <cell r="P286">
            <v>0.42307692307692307</v>
          </cell>
        </row>
        <row r="319">
          <cell r="D319">
            <v>0.70833333333333337</v>
          </cell>
          <cell r="G319">
            <v>1</v>
          </cell>
          <cell r="I319">
            <v>0.83333333333333337</v>
          </cell>
          <cell r="K319">
            <v>1</v>
          </cell>
          <cell r="M319">
            <v>0.84615384615384615</v>
          </cell>
          <cell r="P319">
            <v>0.61538461538461542</v>
          </cell>
        </row>
        <row r="356">
          <cell r="D356">
            <v>0.625</v>
          </cell>
          <cell r="G356">
            <v>1</v>
          </cell>
          <cell r="I356">
            <v>0.875</v>
          </cell>
          <cell r="K356">
            <v>1</v>
          </cell>
          <cell r="M356">
            <v>0.83333333333333337</v>
          </cell>
          <cell r="P356">
            <v>0.83333333333333337</v>
          </cell>
        </row>
        <row r="385">
          <cell r="D385">
            <v>0.72727272727272729</v>
          </cell>
          <cell r="G385">
            <v>1</v>
          </cell>
          <cell r="I385">
            <v>1</v>
          </cell>
          <cell r="K385">
            <v>1</v>
          </cell>
          <cell r="M385">
            <v>0.91304347826086951</v>
          </cell>
          <cell r="P385">
            <v>0.63636363636363635</v>
          </cell>
        </row>
        <row r="410">
          <cell r="D410">
            <v>0.7</v>
          </cell>
          <cell r="G410">
            <v>1</v>
          </cell>
          <cell r="I410">
            <v>1</v>
          </cell>
          <cell r="K410">
            <v>1</v>
          </cell>
          <cell r="M410">
            <v>0.77777777777777779</v>
          </cell>
          <cell r="P410">
            <v>0.55555555555555558</v>
          </cell>
        </row>
        <row r="446">
          <cell r="D446">
            <v>0.61538461538461542</v>
          </cell>
          <cell r="G446">
            <v>0.92</v>
          </cell>
          <cell r="I446">
            <v>0.5</v>
          </cell>
          <cell r="K446">
            <v>1</v>
          </cell>
          <cell r="M446">
            <v>0.66666666666666663</v>
          </cell>
          <cell r="P446">
            <v>0.20833333333333334</v>
          </cell>
        </row>
        <row r="482">
          <cell r="D482">
            <v>0.58333333333333337</v>
          </cell>
          <cell r="G482">
            <v>1</v>
          </cell>
          <cell r="I482">
            <v>0.73076923076923073</v>
          </cell>
          <cell r="K482">
            <v>1</v>
          </cell>
          <cell r="M482">
            <v>0.42307692307692307</v>
          </cell>
          <cell r="P482">
            <v>0.23076923076923078</v>
          </cell>
        </row>
      </sheetData>
      <sheetData sheetId="8"/>
      <sheetData sheetId="9">
        <row r="460">
          <cell r="D460">
            <v>0.9242424242424242</v>
          </cell>
          <cell r="F460">
            <v>1</v>
          </cell>
          <cell r="H460">
            <v>1</v>
          </cell>
          <cell r="J460">
            <v>0.92307692307692313</v>
          </cell>
          <cell r="L460">
            <v>0.98275862068965514</v>
          </cell>
          <cell r="N460">
            <v>0.84848484848484851</v>
          </cell>
        </row>
        <row r="533">
          <cell r="D533">
            <v>0.95652173913043481</v>
          </cell>
          <cell r="F533">
            <v>1</v>
          </cell>
          <cell r="H533">
            <v>1</v>
          </cell>
          <cell r="J533">
            <v>1</v>
          </cell>
          <cell r="N533">
            <v>0.86956521739130432</v>
          </cell>
          <cell r="O533">
            <v>0.86956521739130432</v>
          </cell>
        </row>
        <row r="615">
          <cell r="D615">
            <v>0.98701298701298701</v>
          </cell>
          <cell r="F615">
            <v>1</v>
          </cell>
          <cell r="H615">
            <v>1</v>
          </cell>
          <cell r="J615">
            <v>1</v>
          </cell>
          <cell r="N615">
            <v>1</v>
          </cell>
          <cell r="O615">
            <v>1</v>
          </cell>
        </row>
        <row r="690">
          <cell r="D690">
            <v>0.98550724637681164</v>
          </cell>
          <cell r="F690">
            <v>1</v>
          </cell>
          <cell r="H690">
            <v>1</v>
          </cell>
          <cell r="J690">
            <v>1</v>
          </cell>
          <cell r="N690">
            <v>0.97101449275362317</v>
          </cell>
          <cell r="O690">
            <v>0.97014925373134331</v>
          </cell>
        </row>
        <row r="777">
          <cell r="D777">
            <v>0.97619047619047616</v>
          </cell>
          <cell r="F777">
            <v>1</v>
          </cell>
          <cell r="H777">
            <v>0.98734177215189878</v>
          </cell>
          <cell r="J777">
            <v>0.9642857142857143</v>
          </cell>
          <cell r="N777">
            <v>0.93333333333333335</v>
          </cell>
        </row>
        <row r="855">
          <cell r="D855">
            <v>1</v>
          </cell>
          <cell r="F855">
            <v>1</v>
          </cell>
          <cell r="H855">
            <v>1</v>
          </cell>
          <cell r="J855">
            <v>0.9285714285714286</v>
          </cell>
          <cell r="N855">
            <v>0.91176470588235292</v>
          </cell>
          <cell r="O855">
            <v>0.98529411764705888</v>
          </cell>
        </row>
        <row r="973">
          <cell r="N973"/>
        </row>
      </sheetData>
      <sheetData sheetId="10">
        <row r="374">
          <cell r="D374">
            <v>0.9821428571428571</v>
          </cell>
          <cell r="F374">
            <v>0.91836734693877553</v>
          </cell>
          <cell r="J374">
            <v>0.98181818181818181</v>
          </cell>
          <cell r="L374">
            <v>0.91379310344827591</v>
          </cell>
        </row>
        <row r="430">
          <cell r="D430">
            <v>0.98039215686274506</v>
          </cell>
          <cell r="F430">
            <v>0.96</v>
          </cell>
          <cell r="J430">
            <v>0.91836734693877553</v>
          </cell>
          <cell r="L430">
            <v>0.96078431372549022</v>
          </cell>
        </row>
        <row r="479">
          <cell r="D479">
            <v>1</v>
          </cell>
          <cell r="F479">
            <v>0.97297297297297303</v>
          </cell>
          <cell r="J479">
            <v>0.97368421052631582</v>
          </cell>
          <cell r="L479">
            <v>0.94736842105263153</v>
          </cell>
        </row>
        <row r="541">
          <cell r="D541">
            <v>1</v>
          </cell>
          <cell r="F541">
            <v>0.91836734693877553</v>
          </cell>
          <cell r="J541">
            <v>1</v>
          </cell>
          <cell r="L541">
            <v>0.92982456140350878</v>
          </cell>
        </row>
        <row r="596">
          <cell r="D596">
            <v>1</v>
          </cell>
          <cell r="F596">
            <v>0.91836734693877553</v>
          </cell>
          <cell r="J596">
            <v>1</v>
          </cell>
          <cell r="L596">
            <v>0.91666666666666663</v>
          </cell>
        </row>
        <row r="677">
          <cell r="D677">
            <v>1</v>
          </cell>
          <cell r="F677">
            <v>0.96923076923076923</v>
          </cell>
          <cell r="J677">
            <v>1</v>
          </cell>
          <cell r="L677">
            <v>0.93939393939393945</v>
          </cell>
        </row>
      </sheetData>
      <sheetData sheetId="11">
        <row r="386">
          <cell r="D386"/>
          <cell r="F386"/>
          <cell r="H386"/>
          <cell r="J386"/>
          <cell r="L386"/>
          <cell r="M386"/>
        </row>
        <row r="444">
          <cell r="D444"/>
          <cell r="F444"/>
          <cell r="H444"/>
          <cell r="J444"/>
          <cell r="L444"/>
          <cell r="M444"/>
        </row>
        <row r="488">
          <cell r="M488">
            <v>1</v>
          </cell>
        </row>
        <row r="490">
          <cell r="D490">
            <v>16.399999999999999</v>
          </cell>
          <cell r="F490">
            <v>14.3</v>
          </cell>
          <cell r="H490">
            <v>0.25</v>
          </cell>
          <cell r="J490">
            <v>126.9</v>
          </cell>
          <cell r="L490">
            <v>1</v>
          </cell>
        </row>
        <row r="552">
          <cell r="D552">
            <v>1.95</v>
          </cell>
          <cell r="F552">
            <v>13</v>
          </cell>
          <cell r="H552">
            <v>0.02</v>
          </cell>
          <cell r="J552">
            <v>6.35</v>
          </cell>
          <cell r="L552">
            <v>1</v>
          </cell>
        </row>
        <row r="611">
          <cell r="D611"/>
          <cell r="F611"/>
          <cell r="H611"/>
          <cell r="J611"/>
          <cell r="L611"/>
          <cell r="M611"/>
        </row>
        <row r="693">
          <cell r="D693"/>
          <cell r="F693"/>
          <cell r="H693"/>
          <cell r="J693"/>
          <cell r="L693"/>
          <cell r="M693"/>
        </row>
      </sheetData>
      <sheetData sheetId="12"/>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5"/>
      <sheetData sheetId="6" refreshError="1"/>
      <sheetData sheetId="7"/>
      <sheetData sheetId="8"/>
      <sheetData sheetId="9"/>
      <sheetData sheetId="10"/>
      <sheetData sheetId="11">
        <row r="364">
          <cell r="M364">
            <v>0.91111111111111109</v>
          </cell>
        </row>
      </sheetData>
      <sheetData sheetId="12"/>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 Performance"/>
      <sheetName val="Brewer's Performance "/>
      <sheetName val="MTD - Time &amp; OG"/>
      <sheetName val="Brewer's Performance- Extract"/>
      <sheetName val="FTR Brewhouse"/>
      <sheetName val="FTR Fermentation"/>
      <sheetName val="FTR Brewhouse-New"/>
      <sheetName val="Chart1"/>
      <sheetName val="GBL BBT Score "/>
      <sheetName val="FTR BBT"/>
      <sheetName val="FTR Packaging"/>
      <sheetName val="FTR Finished Product"/>
      <sheetName val="GBL  Finished Product "/>
    </sheetNames>
    <sheetDataSet>
      <sheetData sheetId="0"/>
      <sheetData sheetId="1"/>
      <sheetData sheetId="2"/>
      <sheetData sheetId="3"/>
      <sheetData sheetId="4">
        <row r="846">
          <cell r="C846">
            <v>0.72602739726027399</v>
          </cell>
          <cell r="E846">
            <v>0.9178082191780822</v>
          </cell>
          <cell r="I846">
            <v>0.647887323943662</v>
          </cell>
        </row>
        <row r="1015">
          <cell r="C1015">
            <v>0.87857142857142856</v>
          </cell>
          <cell r="E1015">
            <v>0.90714285714285714</v>
          </cell>
          <cell r="I1015">
            <v>0.71969696969696972</v>
          </cell>
        </row>
        <row r="1569">
          <cell r="C1569">
            <v>0.85046728971962615</v>
          </cell>
          <cell r="E1569">
            <v>0.85981308411214952</v>
          </cell>
          <cell r="I1569">
            <v>0.7289719626168224</v>
          </cell>
        </row>
      </sheetData>
      <sheetData sheetId="5">
        <row r="233">
          <cell r="D233">
            <v>0.70588235294117652</v>
          </cell>
          <cell r="G233">
            <v>1</v>
          </cell>
          <cell r="I233">
            <v>0.875</v>
          </cell>
          <cell r="K233">
            <v>0.75</v>
          </cell>
          <cell r="M233">
            <v>0.9375</v>
          </cell>
          <cell r="P233">
            <v>0.5</v>
          </cell>
        </row>
        <row r="270">
          <cell r="D270">
            <v>0.95454545454545459</v>
          </cell>
          <cell r="G270">
            <v>1</v>
          </cell>
          <cell r="I270">
            <v>0.86363636363636365</v>
          </cell>
          <cell r="K270">
            <v>1</v>
          </cell>
          <cell r="M270">
            <v>0.90909090909090906</v>
          </cell>
          <cell r="P270">
            <v>0.77272727272727271</v>
          </cell>
        </row>
        <row r="308">
          <cell r="M308">
            <v>0.96969696969696972</v>
          </cell>
        </row>
        <row r="385">
          <cell r="D385">
            <v>0.94444444444444442</v>
          </cell>
          <cell r="G385">
            <v>0.94444444444444442</v>
          </cell>
          <cell r="I385">
            <v>0.83333333333333337</v>
          </cell>
          <cell r="K385">
            <v>0.1111111111111111</v>
          </cell>
          <cell r="P385">
            <v>0.16666666666666666</v>
          </cell>
        </row>
      </sheetData>
      <sheetData sheetId="6"/>
      <sheetData sheetId="7" refreshError="1"/>
      <sheetData sheetId="8"/>
      <sheetData sheetId="9">
        <row r="493">
          <cell r="D493">
            <v>0.97959183673469385</v>
          </cell>
          <cell r="F493" t="e">
            <v>#DIV/0!</v>
          </cell>
          <cell r="H493">
            <v>1</v>
          </cell>
          <cell r="J493">
            <v>0.40816326530612246</v>
          </cell>
          <cell r="N493">
            <v>0.40816326530612246</v>
          </cell>
        </row>
        <row r="590">
          <cell r="D590">
            <v>0.98181818181818181</v>
          </cell>
          <cell r="F590" t="e">
            <v>#DIV/0!</v>
          </cell>
          <cell r="H590">
            <v>1</v>
          </cell>
          <cell r="J590">
            <v>0.66666666666666663</v>
          </cell>
          <cell r="N590">
            <v>0.64814814814814814</v>
          </cell>
        </row>
        <row r="804">
          <cell r="F804">
            <v>1</v>
          </cell>
          <cell r="H804">
            <v>1</v>
          </cell>
        </row>
        <row r="911">
          <cell r="D911">
            <v>0.9726027397260274</v>
          </cell>
          <cell r="J911">
            <v>0.47945205479452052</v>
          </cell>
          <cell r="N911">
            <v>0.45205479452054792</v>
          </cell>
        </row>
      </sheetData>
      <sheetData sheetId="10">
        <row r="458">
          <cell r="D458">
            <v>1</v>
          </cell>
          <cell r="F458">
            <v>0.65</v>
          </cell>
          <cell r="L458">
            <v>0.66666666666666663</v>
          </cell>
        </row>
        <row r="553">
          <cell r="D553">
            <v>1</v>
          </cell>
          <cell r="F553">
            <v>0.61904761904761907</v>
          </cell>
          <cell r="L553">
            <v>0.61904761904761907</v>
          </cell>
        </row>
        <row r="835">
          <cell r="D835">
            <v>0.96296296296296291</v>
          </cell>
          <cell r="F835">
            <v>0.7321428571428571</v>
          </cell>
          <cell r="L835">
            <v>0.6964285714285714</v>
          </cell>
        </row>
      </sheetData>
      <sheetData sheetId="11">
        <row r="378">
          <cell r="D378">
            <v>1</v>
          </cell>
          <cell r="F378">
            <v>0.82857142857142863</v>
          </cell>
          <cell r="K378">
            <v>0.3902439024390244</v>
          </cell>
          <cell r="N378">
            <v>0.36585365853658536</v>
          </cell>
        </row>
        <row r="451">
          <cell r="D451">
            <v>0.9</v>
          </cell>
          <cell r="F451">
            <v>1</v>
          </cell>
          <cell r="K451">
            <v>0.72499999999999998</v>
          </cell>
          <cell r="N451">
            <v>0.63414634146341464</v>
          </cell>
        </row>
        <row r="665">
          <cell r="D665">
            <v>0.94545454545454544</v>
          </cell>
          <cell r="F665">
            <v>0.90243902439024393</v>
          </cell>
          <cell r="K665">
            <v>0.43636363636363634</v>
          </cell>
          <cell r="N665">
            <v>0.30357142857142855</v>
          </cell>
        </row>
      </sheetData>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 Performance"/>
      <sheetName val="YTD Performance"/>
      <sheetName val="FTR Brewhouse"/>
      <sheetName val="FTR Brewhouse (2)"/>
      <sheetName val="FTR Brewhouse-New"/>
      <sheetName val="FTR Brewhouse- New"/>
      <sheetName val="FTR Fermentation"/>
      <sheetName val="FTR BBT"/>
      <sheetName val="GBL  Finished Product- old"/>
      <sheetName val="GBL BBT Score "/>
      <sheetName val="GBL  Finished Product "/>
      <sheetName val="FTR Packaging"/>
      <sheetName val="FTR Finished Product"/>
      <sheetName val="FTR FeRMET"/>
    </sheetNames>
    <sheetDataSet>
      <sheetData sheetId="0"/>
      <sheetData sheetId="1"/>
      <sheetData sheetId="2">
        <row r="3240">
          <cell r="C3240">
            <v>0.80132450331125826</v>
          </cell>
          <cell r="E3240">
            <v>0.50993377483443714</v>
          </cell>
          <cell r="I3240">
            <v>0.4370860927152318</v>
          </cell>
        </row>
        <row r="3401">
          <cell r="C3401">
            <v>0.91176470588235292</v>
          </cell>
          <cell r="E3401">
            <v>0.88970588235294112</v>
          </cell>
          <cell r="I3401">
            <v>0.82352941176470584</v>
          </cell>
        </row>
      </sheetData>
      <sheetData sheetId="3"/>
      <sheetData sheetId="4"/>
      <sheetData sheetId="5"/>
      <sheetData sheetId="6">
        <row r="811">
          <cell r="D811">
            <v>0.7857142857142857</v>
          </cell>
          <cell r="G811">
            <v>1</v>
          </cell>
          <cell r="I811">
            <v>0.8571428571428571</v>
          </cell>
          <cell r="K811">
            <v>1</v>
          </cell>
          <cell r="M811">
            <v>0.9285714285714286</v>
          </cell>
          <cell r="P811">
            <v>0.6428571428571429</v>
          </cell>
        </row>
        <row r="852">
          <cell r="D852">
            <v>0.96153846153846156</v>
          </cell>
          <cell r="G852">
            <v>0.96153846153846156</v>
          </cell>
          <cell r="I852">
            <v>1</v>
          </cell>
          <cell r="K852">
            <v>1</v>
          </cell>
          <cell r="M852">
            <v>0.96153846153846156</v>
          </cell>
          <cell r="P852">
            <v>0.88461538461538458</v>
          </cell>
        </row>
      </sheetData>
      <sheetData sheetId="7">
        <row r="1806">
          <cell r="D1806">
            <v>0.89393939393939392</v>
          </cell>
          <cell r="F1806" t="e">
            <v>#DIV/0!</v>
          </cell>
          <cell r="H1806">
            <v>1</v>
          </cell>
          <cell r="K1806">
            <v>0.59090909090909094</v>
          </cell>
          <cell r="M1806">
            <v>0.5</v>
          </cell>
        </row>
        <row r="1905">
          <cell r="D1905">
            <v>0.97368421052631582</v>
          </cell>
          <cell r="F1905" t="e">
            <v>#DIV/0!</v>
          </cell>
          <cell r="H1905">
            <v>1</v>
          </cell>
          <cell r="K1905">
            <v>0.90789473684210531</v>
          </cell>
          <cell r="M1905">
            <v>0.88157894736842102</v>
          </cell>
        </row>
      </sheetData>
      <sheetData sheetId="8"/>
      <sheetData sheetId="9"/>
      <sheetData sheetId="10"/>
      <sheetData sheetId="11">
        <row r="1344">
          <cell r="D1344">
            <v>0.96491228070175439</v>
          </cell>
          <cell r="F1344">
            <v>0.90384615384615385</v>
          </cell>
          <cell r="H1344" t="e">
            <v>#DIV/0!</v>
          </cell>
          <cell r="L1344">
            <v>0.8771929824561403</v>
          </cell>
        </row>
        <row r="1422">
          <cell r="D1422">
            <v>1</v>
          </cell>
          <cell r="F1422">
            <v>0.84905660377358494</v>
          </cell>
          <cell r="H1422" t="e">
            <v>#DIV/0!</v>
          </cell>
          <cell r="L1422">
            <v>0.8545454545454545</v>
          </cell>
        </row>
      </sheetData>
      <sheetData sheetId="12">
        <row r="1248">
          <cell r="D1248">
            <v>0.7567567567567568</v>
          </cell>
          <cell r="F1248">
            <v>0.64864864864864868</v>
          </cell>
          <cell r="K1248">
            <v>0.48717948717948717</v>
          </cell>
          <cell r="N1248">
            <v>0.43478260869565216</v>
          </cell>
        </row>
        <row r="1314">
          <cell r="D1314">
            <v>0.94444444444444442</v>
          </cell>
          <cell r="F1314">
            <v>0.98039215686274506</v>
          </cell>
          <cell r="K1314">
            <v>0.87037037037037035</v>
          </cell>
          <cell r="N1314">
            <v>0.81034482758620685</v>
          </cell>
        </row>
      </sheetData>
      <sheetData sheetId="1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B3:P10" totalsRowShown="0" headerRowDxfId="49" dataDxfId="48" headerRowCellStyle="Jun" dataCellStyle="Percent">
  <autoFilter ref="B3:P10" xr:uid="{00000000-0009-0000-0100-000003000000}"/>
  <tableColumns count="15">
    <tableColumn id="1" xr3:uid="{00000000-0010-0000-0000-000001000000}" name="FTR" dataDxfId="47" dataCellStyle="Jun"/>
    <tableColumn id="2" xr3:uid="{00000000-0010-0000-0000-000002000000}" name="Jan" dataDxfId="46" dataCellStyle="Percent"/>
    <tableColumn id="3" xr3:uid="{00000000-0010-0000-0000-000003000000}" name="Feb" dataDxfId="45" dataCellStyle="Percent"/>
    <tableColumn id="4" xr3:uid="{00000000-0010-0000-0000-000004000000}" name="Mar" dataDxfId="44" dataCellStyle="Percent">
      <calculatedColumnFormula>'March ''24'!C2</calculatedColumnFormula>
    </tableColumn>
    <tableColumn id="5" xr3:uid="{00000000-0010-0000-0000-000005000000}" name="Apr" dataDxfId="43" dataCellStyle="Percent">
      <calculatedColumnFormula>'April ''24'!C2</calculatedColumnFormula>
    </tableColumn>
    <tableColumn id="6" xr3:uid="{00000000-0010-0000-0000-000006000000}" name="May" dataDxfId="42" dataCellStyle="Percent">
      <calculatedColumnFormula>'May ''20'!C2</calculatedColumnFormula>
    </tableColumn>
    <tableColumn id="7" xr3:uid="{00000000-0010-0000-0000-000007000000}" name="Jun" dataDxfId="41" dataCellStyle="Percent">
      <calculatedColumnFormula>'June''20'!C2</calculatedColumnFormula>
    </tableColumn>
    <tableColumn id="8" xr3:uid="{00000000-0010-0000-0000-000008000000}" name="Jul" dataDxfId="40" dataCellStyle="Percent">
      <calculatedColumnFormula>#REF!</calculatedColumnFormula>
    </tableColumn>
    <tableColumn id="9" xr3:uid="{00000000-0010-0000-0000-000009000000}" name="Aug" dataDxfId="39" dataCellStyle="Percent">
      <calculatedColumnFormula>#REF!</calculatedColumnFormula>
    </tableColumn>
    <tableColumn id="10" xr3:uid="{00000000-0010-0000-0000-00000A000000}" name="Sep" dataDxfId="38" dataCellStyle="Percent"/>
    <tableColumn id="11" xr3:uid="{00000000-0010-0000-0000-00000B000000}" name="Oct" dataDxfId="37" dataCellStyle="Percent"/>
    <tableColumn id="12" xr3:uid="{00000000-0010-0000-0000-00000C000000}" name="Nov" dataDxfId="36" dataCellStyle="Percent"/>
    <tableColumn id="13" xr3:uid="{00000000-0010-0000-0000-00000D000000}" name="Dec" dataDxfId="35" dataCellStyle="Percent"/>
    <tableColumn id="14" xr3:uid="{00000000-0010-0000-0000-00000E000000}" name="Overall" dataDxfId="34" dataCellStyle="Percent">
      <calculatedColumnFormula>AVERAGE(Table3[[#This Row],[Jan]:[Dec]])</calculatedColumnFormula>
    </tableColumn>
    <tableColumn id="15" xr3:uid="{00000000-0010-0000-0000-00000F000000}" name="TARGET" dataDxfId="33"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3:P24" totalsRowShown="0" headerRowDxfId="32" dataDxfId="31" headerRowCellStyle="Jun" dataCellStyle="Percent">
  <autoFilter ref="B3:P24" xr:uid="{00000000-0009-0000-0100-000001000000}"/>
  <tableColumns count="15">
    <tableColumn id="1" xr3:uid="{00000000-0010-0000-0100-000001000000}" name="Parameters" dataDxfId="30" dataCellStyle="Jun"/>
    <tableColumn id="2" xr3:uid="{00000000-0010-0000-0100-000002000000}" name="Jan" dataDxfId="29" dataCellStyle="Percent"/>
    <tableColumn id="3" xr3:uid="{00000000-0010-0000-0100-000003000000}" name="Feb" dataDxfId="28" dataCellStyle="Percent">
      <calculatedColumnFormula>'February ''24'!$C$3</calculatedColumnFormula>
    </tableColumn>
    <tableColumn id="4" xr3:uid="{00000000-0010-0000-0100-000004000000}" name="Mar" dataDxfId="27" dataCellStyle="Percent">
      <calculatedColumnFormula>'March ''24'!C3</calculatedColumnFormula>
    </tableColumn>
    <tableColumn id="5" xr3:uid="{00000000-0010-0000-0100-000005000000}" name="Apr" dataDxfId="26" dataCellStyle="Percent">
      <calculatedColumnFormula>'April ''24'!C3</calculatedColumnFormula>
    </tableColumn>
    <tableColumn id="6" xr3:uid="{00000000-0010-0000-0100-000006000000}" name="May" dataDxfId="25" dataCellStyle="Percent">
      <calculatedColumnFormula>'May ''20'!C3</calculatedColumnFormula>
    </tableColumn>
    <tableColumn id="7" xr3:uid="{00000000-0010-0000-0100-000007000000}" name="Jun" dataDxfId="24" dataCellStyle="Percent">
      <calculatedColumnFormula>'June''20'!C3</calculatedColumnFormula>
    </tableColumn>
    <tableColumn id="8" xr3:uid="{00000000-0010-0000-0100-000008000000}" name="Jul" dataDxfId="23" dataCellStyle="Percent"/>
    <tableColumn id="9" xr3:uid="{00000000-0010-0000-0100-000009000000}" name="Aug" dataDxfId="22" dataCellStyle="Percent">
      <calculatedColumnFormula>#REF!</calculatedColumnFormula>
    </tableColumn>
    <tableColumn id="10" xr3:uid="{00000000-0010-0000-0100-00000A000000}" name="Sep" dataDxfId="21" dataCellStyle="Percent">
      <calculatedColumnFormula>'September ''20'!C3</calculatedColumnFormula>
    </tableColumn>
    <tableColumn id="11" xr3:uid="{00000000-0010-0000-0100-00000B000000}" name="Oct" dataDxfId="20" dataCellStyle="Percent">
      <calculatedColumnFormula>#REF!</calculatedColumnFormula>
    </tableColumn>
    <tableColumn id="12" xr3:uid="{00000000-0010-0000-0100-00000C000000}" name="Nov" dataDxfId="19" dataCellStyle="Percent"/>
    <tableColumn id="13" xr3:uid="{00000000-0010-0000-0100-00000D000000}" name="Dec" dataDxfId="18" dataCellStyle="Percent">
      <calculatedColumnFormula>'December ''18'!C3</calculatedColumnFormula>
    </tableColumn>
    <tableColumn id="14" xr3:uid="{00000000-0010-0000-0100-00000E000000}" name="Overall" dataDxfId="17" dataCellStyle="Percent"/>
    <tableColumn id="15" xr3:uid="{00000000-0010-0000-0100-00000F000000}" name="TARGET" dataDxfId="16"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6E5198-E2A5-4551-BF7A-1C645E8B97FA}">
  <we:reference id="wa200005502" version="1.0.0.12" store="en-US" storeType="OMEX"/>
  <we:alternateReferences>
    <we:reference id="WA200005502" version="1.0.0.12" store="WA200005502" storeType="OMEX"/>
  </we:alternateReferences>
  <we:properties>
    <we:property name="docId" value="&quot;jTvk0IGNsCs061P7O_mj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8.bin"/><Relationship Id="rId5" Type="http://schemas.openxmlformats.org/officeDocument/2006/relationships/comments" Target="../comments2.xml"/><Relationship Id="rId4"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7"/>
  <sheetViews>
    <sheetView topLeftCell="A9" workbookViewId="0">
      <selection activeCell="D33" sqref="D33"/>
    </sheetView>
  </sheetViews>
  <sheetFormatPr defaultRowHeight="15" x14ac:dyDescent="0.25"/>
  <cols>
    <col min="2" max="2" width="31.85546875" bestFit="1" customWidth="1"/>
  </cols>
  <sheetData>
    <row r="2" spans="2:15" ht="15.75" thickBot="1" x14ac:dyDescent="0.3"/>
    <row r="3" spans="2:15" ht="16.5" thickBot="1" x14ac:dyDescent="0.3">
      <c r="C3" s="80" t="s">
        <v>64</v>
      </c>
      <c r="D3" s="81" t="s">
        <v>65</v>
      </c>
      <c r="E3" s="81" t="s">
        <v>66</v>
      </c>
      <c r="F3" s="81" t="s">
        <v>67</v>
      </c>
      <c r="G3" s="81" t="s">
        <v>68</v>
      </c>
      <c r="H3" s="81" t="s">
        <v>69</v>
      </c>
      <c r="I3" s="81" t="s">
        <v>70</v>
      </c>
      <c r="J3" s="81" t="s">
        <v>71</v>
      </c>
      <c r="K3" s="81" t="s">
        <v>72</v>
      </c>
      <c r="L3" s="81" t="s">
        <v>73</v>
      </c>
      <c r="M3" s="81" t="s">
        <v>74</v>
      </c>
      <c r="N3" s="82" t="s">
        <v>75</v>
      </c>
      <c r="O3" s="83" t="s">
        <v>35</v>
      </c>
    </row>
    <row r="4" spans="2:15" ht="15.75" x14ac:dyDescent="0.25">
      <c r="B4" s="72" t="s">
        <v>62</v>
      </c>
      <c r="C4" s="74">
        <v>0.58099999999999996</v>
      </c>
      <c r="D4" s="74">
        <v>0.56100000000000005</v>
      </c>
      <c r="E4" s="74"/>
      <c r="F4" s="74"/>
      <c r="G4" s="74"/>
      <c r="H4" s="74"/>
      <c r="I4" s="74"/>
      <c r="J4" s="74"/>
      <c r="K4" s="74"/>
      <c r="L4" s="74"/>
      <c r="M4" s="74"/>
      <c r="N4" s="75"/>
      <c r="O4" s="76">
        <f>AVERAGE(C4:N4)</f>
        <v>0.57099999999999995</v>
      </c>
    </row>
    <row r="5" spans="2:15" ht="15.75" x14ac:dyDescent="0.25">
      <c r="B5" s="73" t="s">
        <v>76</v>
      </c>
      <c r="C5" s="77">
        <v>0.60099999999999998</v>
      </c>
      <c r="D5" s="77">
        <v>0.626</v>
      </c>
      <c r="E5" s="77"/>
      <c r="F5" s="77"/>
      <c r="G5" s="77"/>
      <c r="H5" s="77"/>
      <c r="I5" s="77"/>
      <c r="J5" s="77"/>
      <c r="K5" s="77"/>
      <c r="L5" s="77"/>
      <c r="M5" s="77"/>
      <c r="N5" s="78"/>
      <c r="O5" s="79">
        <f>AVERAGE(C5:N5)</f>
        <v>0.61349999999999993</v>
      </c>
    </row>
    <row r="6" spans="2:15" ht="15.75" x14ac:dyDescent="0.25">
      <c r="B6" s="73" t="s">
        <v>63</v>
      </c>
      <c r="C6" s="77">
        <v>0.72</v>
      </c>
      <c r="D6" s="77">
        <v>0.73</v>
      </c>
      <c r="E6" s="77"/>
      <c r="F6" s="77"/>
      <c r="G6" s="77"/>
      <c r="H6" s="77"/>
      <c r="I6" s="77"/>
      <c r="J6" s="77"/>
      <c r="K6" s="77"/>
      <c r="L6" s="77"/>
      <c r="M6" s="77"/>
      <c r="N6" s="78"/>
      <c r="O6" s="79">
        <f>AVERAGE(C6:N6)</f>
        <v>0.72499999999999998</v>
      </c>
    </row>
    <row r="7" spans="2:15" ht="15.75" thickBot="1" x14ac:dyDescent="0.3">
      <c r="B7" s="69" t="s">
        <v>54</v>
      </c>
      <c r="C7" s="70">
        <v>0.8</v>
      </c>
      <c r="D7" s="70">
        <v>0.8</v>
      </c>
      <c r="E7" s="70">
        <v>0.8</v>
      </c>
      <c r="F7" s="70">
        <v>0.8</v>
      </c>
      <c r="G7" s="70">
        <v>0.8</v>
      </c>
      <c r="H7" s="70">
        <v>0.8</v>
      </c>
      <c r="I7" s="70">
        <v>0.8</v>
      </c>
      <c r="J7" s="70">
        <v>0.8</v>
      </c>
      <c r="K7" s="70">
        <v>0.8</v>
      </c>
      <c r="L7" s="70">
        <v>0.8</v>
      </c>
      <c r="M7" s="70">
        <v>0.8</v>
      </c>
      <c r="N7" s="70">
        <v>0.8</v>
      </c>
      <c r="O7" s="71">
        <v>0.8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26"/>
  <sheetViews>
    <sheetView workbookViewId="0">
      <selection activeCell="E4" sqref="E4"/>
    </sheetView>
  </sheetViews>
  <sheetFormatPr defaultRowHeight="15" x14ac:dyDescent="0.25"/>
  <cols>
    <col min="1" max="1" width="3.140625" customWidth="1"/>
    <col min="2" max="2" width="32.42578125" customWidth="1"/>
  </cols>
  <sheetData>
    <row r="1" spans="2:15" ht="5.25" customHeight="1" x14ac:dyDescent="0.25"/>
    <row r="2" spans="2:15" ht="6.75" customHeight="1" thickBot="1" x14ac:dyDescent="0.3"/>
    <row r="3" spans="2:15" ht="16.5" thickBot="1" x14ac:dyDescent="0.3">
      <c r="C3" s="80" t="s">
        <v>64</v>
      </c>
      <c r="D3" s="81" t="s">
        <v>65</v>
      </c>
      <c r="E3" s="81" t="s">
        <v>66</v>
      </c>
      <c r="F3" s="81" t="s">
        <v>67</v>
      </c>
      <c r="G3" s="81" t="s">
        <v>68</v>
      </c>
      <c r="H3" s="81" t="s">
        <v>69</v>
      </c>
      <c r="I3" s="81" t="s">
        <v>70</v>
      </c>
      <c r="J3" s="81" t="s">
        <v>71</v>
      </c>
      <c r="K3" s="81" t="s">
        <v>72</v>
      </c>
      <c r="L3" s="81" t="s">
        <v>73</v>
      </c>
      <c r="M3" s="81" t="s">
        <v>74</v>
      </c>
      <c r="N3" s="82" t="s">
        <v>75</v>
      </c>
      <c r="O3" s="83" t="s">
        <v>35</v>
      </c>
    </row>
    <row r="4" spans="2:15" ht="16.5" thickBot="1" x14ac:dyDescent="0.3">
      <c r="B4" s="86" t="s">
        <v>77</v>
      </c>
      <c r="C4" s="87">
        <v>0.28999999999999998</v>
      </c>
      <c r="D4" s="87">
        <v>0.35</v>
      </c>
      <c r="E4" s="87"/>
      <c r="F4" s="87"/>
      <c r="G4" s="87"/>
      <c r="H4" s="87"/>
      <c r="I4" s="87"/>
      <c r="J4" s="87"/>
      <c r="K4" s="87"/>
      <c r="L4" s="87"/>
      <c r="M4" s="87"/>
      <c r="N4" s="88"/>
      <c r="O4" s="89">
        <f>AVERAGE(C4:N4)</f>
        <v>0.31999999999999995</v>
      </c>
    </row>
    <row r="5" spans="2:15" ht="16.5" thickBot="1" x14ac:dyDescent="0.3">
      <c r="B5" s="98" t="s">
        <v>78</v>
      </c>
      <c r="C5" s="99">
        <v>0.32</v>
      </c>
      <c r="D5" s="99">
        <v>0.51</v>
      </c>
      <c r="E5" s="99"/>
      <c r="F5" s="99"/>
      <c r="G5" s="99"/>
      <c r="H5" s="99"/>
      <c r="I5" s="99"/>
      <c r="J5" s="99"/>
      <c r="K5" s="99"/>
      <c r="L5" s="99"/>
      <c r="M5" s="99"/>
      <c r="N5" s="100"/>
      <c r="O5" s="101">
        <f>AVERAGE(C5:N5)</f>
        <v>0.41500000000000004</v>
      </c>
    </row>
    <row r="6" spans="2:15" ht="17.25" thickTop="1" thickBot="1" x14ac:dyDescent="0.3">
      <c r="B6" s="94" t="s">
        <v>79</v>
      </c>
      <c r="C6" s="95">
        <v>0.3</v>
      </c>
      <c r="D6" s="95">
        <v>0.17</v>
      </c>
      <c r="E6" s="95"/>
      <c r="F6" s="95"/>
      <c r="G6" s="95"/>
      <c r="H6" s="95"/>
      <c r="I6" s="95"/>
      <c r="J6" s="95"/>
      <c r="K6" s="95"/>
      <c r="L6" s="95"/>
      <c r="M6" s="95"/>
      <c r="N6" s="96"/>
      <c r="O6" s="97">
        <f>AVERAGE(C6:N6)</f>
        <v>0.23499999999999999</v>
      </c>
    </row>
    <row r="7" spans="2:15" ht="15.75" x14ac:dyDescent="0.25">
      <c r="B7" s="90" t="s">
        <v>80</v>
      </c>
      <c r="C7" s="91">
        <v>0.39</v>
      </c>
      <c r="D7" s="91">
        <v>0.4</v>
      </c>
      <c r="E7" s="91"/>
      <c r="F7" s="91"/>
      <c r="G7" s="91"/>
      <c r="H7" s="91"/>
      <c r="I7" s="91"/>
      <c r="J7" s="91"/>
      <c r="K7" s="91"/>
      <c r="L7" s="91"/>
      <c r="M7" s="91"/>
      <c r="N7" s="92"/>
      <c r="O7" s="93">
        <f>AVERAGE(C7:N7)</f>
        <v>0.39500000000000002</v>
      </c>
    </row>
    <row r="8" spans="2:15" ht="15.75" thickBot="1" x14ac:dyDescent="0.3">
      <c r="B8" s="69" t="s">
        <v>54</v>
      </c>
      <c r="C8" s="70">
        <v>0.8</v>
      </c>
      <c r="D8" s="70">
        <v>0.8</v>
      </c>
      <c r="E8" s="70">
        <v>0.8</v>
      </c>
      <c r="F8" s="70">
        <v>0.8</v>
      </c>
      <c r="G8" s="70">
        <v>0.8</v>
      </c>
      <c r="H8" s="70">
        <v>0.8</v>
      </c>
      <c r="I8" s="70">
        <v>0.8</v>
      </c>
      <c r="J8" s="70">
        <v>0.8</v>
      </c>
      <c r="K8" s="70">
        <v>0.8</v>
      </c>
      <c r="L8" s="70">
        <v>0.8</v>
      </c>
      <c r="M8" s="70">
        <v>0.8</v>
      </c>
      <c r="N8" s="70">
        <v>0.8</v>
      </c>
      <c r="O8" s="71">
        <v>0.8</v>
      </c>
    </row>
    <row r="26" spans="2:8" x14ac:dyDescent="0.25">
      <c r="B26" s="85" t="s">
        <v>81</v>
      </c>
      <c r="C26" s="84"/>
      <c r="D26" s="84"/>
      <c r="E26" s="84"/>
      <c r="F26" s="84"/>
      <c r="G26" s="84"/>
      <c r="H26" s="8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pageSetUpPr fitToPage="1"/>
  </sheetPr>
  <dimension ref="A1:G38"/>
  <sheetViews>
    <sheetView showGridLines="0" workbookViewId="0">
      <selection activeCell="D38" sqref="D38"/>
    </sheetView>
  </sheetViews>
  <sheetFormatPr defaultRowHeight="15" x14ac:dyDescent="0.25"/>
  <cols>
    <col min="1" max="1" width="28" customWidth="1"/>
    <col min="3" max="3" width="13.5703125" customWidth="1"/>
    <col min="5" max="5" width="30" hidden="1" customWidth="1"/>
    <col min="6" max="6" width="9.140625" hidden="1" customWidth="1"/>
    <col min="7" max="7" width="10.42578125" hidden="1" customWidth="1"/>
    <col min="8" max="8" width="9.140625" customWidth="1"/>
  </cols>
  <sheetData>
    <row r="1" spans="1:7" s="18" customFormat="1" ht="24" thickBot="1" x14ac:dyDescent="0.4">
      <c r="A1" s="17" t="s">
        <v>100</v>
      </c>
      <c r="C1" s="17" t="s">
        <v>86</v>
      </c>
      <c r="E1" s="17" t="s">
        <v>92</v>
      </c>
      <c r="G1" s="17" t="s">
        <v>86</v>
      </c>
    </row>
    <row r="2" spans="1:7" ht="15.75" x14ac:dyDescent="0.25">
      <c r="A2" s="1" t="s">
        <v>27</v>
      </c>
      <c r="B2" s="2" t="s">
        <v>1</v>
      </c>
      <c r="C2" s="51">
        <f>'[3]FTR Brewhouse'!$I$172</f>
        <v>0.43506493506493504</v>
      </c>
      <c r="E2" s="1" t="s">
        <v>27</v>
      </c>
      <c r="F2" s="2" t="s">
        <v>1</v>
      </c>
      <c r="G2" s="51">
        <f>'January ''25'!C2</f>
        <v>0.43506493506493504</v>
      </c>
    </row>
    <row r="3" spans="1:7" ht="15.75" x14ac:dyDescent="0.25">
      <c r="A3" s="15" t="s">
        <v>28</v>
      </c>
      <c r="B3" s="5" t="s">
        <v>1</v>
      </c>
      <c r="C3" s="52">
        <f>'[3]FTR Brewhouse'!$C$172</f>
        <v>0.95394736842105265</v>
      </c>
      <c r="E3" s="15" t="s">
        <v>28</v>
      </c>
      <c r="F3" s="5" t="s">
        <v>1</v>
      </c>
      <c r="G3" s="52">
        <f>'January ''25'!C3</f>
        <v>0.95394736842105265</v>
      </c>
    </row>
    <row r="4" spans="1:7" ht="15.75" x14ac:dyDescent="0.25">
      <c r="A4" s="4" t="s">
        <v>87</v>
      </c>
      <c r="B4" s="5" t="s">
        <v>1</v>
      </c>
      <c r="C4" s="54">
        <f>'[3]FTR Brewhouse'!$E$172</f>
        <v>0.47402597402597402</v>
      </c>
      <c r="E4" s="4" t="s">
        <v>87</v>
      </c>
      <c r="F4" s="5" t="s">
        <v>1</v>
      </c>
      <c r="G4" s="54">
        <f>'January ''25'!C4</f>
        <v>0.47402597402597402</v>
      </c>
    </row>
    <row r="5" spans="1:7" ht="15.75" x14ac:dyDescent="0.25">
      <c r="A5" s="4" t="s">
        <v>88</v>
      </c>
      <c r="B5" s="5" t="s">
        <v>1</v>
      </c>
      <c r="C5" s="54">
        <f>'[3]FTR Brewhouse'!$G$172</f>
        <v>0.97037037037037033</v>
      </c>
      <c r="E5" s="4" t="s">
        <v>88</v>
      </c>
      <c r="F5" s="5" t="s">
        <v>1</v>
      </c>
      <c r="G5" s="54">
        <f>'January ''25'!C5</f>
        <v>0.97037037037037033</v>
      </c>
    </row>
    <row r="6" spans="1:7" ht="16.5" thickBot="1" x14ac:dyDescent="0.3">
      <c r="A6" s="7"/>
      <c r="B6" s="8"/>
      <c r="C6" s="53"/>
      <c r="E6" s="7"/>
      <c r="F6" s="8"/>
      <c r="G6" s="53"/>
    </row>
    <row r="7" spans="1:7" ht="15.75" x14ac:dyDescent="0.25">
      <c r="A7" s="1" t="s">
        <v>0</v>
      </c>
      <c r="B7" s="2" t="s">
        <v>1</v>
      </c>
      <c r="C7" s="51">
        <f>'[3]FTR Fermentation'!$P$71</f>
        <v>0.53333333333333333</v>
      </c>
      <c r="E7" s="1" t="s">
        <v>0</v>
      </c>
      <c r="F7" s="2" t="s">
        <v>1</v>
      </c>
      <c r="G7" s="51">
        <f>'January ''25'!C7</f>
        <v>0.53333333333333333</v>
      </c>
    </row>
    <row r="8" spans="1:7" ht="15.75" x14ac:dyDescent="0.25">
      <c r="A8" s="4" t="s">
        <v>2</v>
      </c>
      <c r="B8" s="5" t="s">
        <v>1</v>
      </c>
      <c r="C8" s="54">
        <f>'[3]FTR Fermentation'!$D$71</f>
        <v>0.56000000000000005</v>
      </c>
      <c r="E8" s="4" t="s">
        <v>2</v>
      </c>
      <c r="F8" s="5" t="s">
        <v>1</v>
      </c>
      <c r="G8" s="54">
        <f>'January ''25'!C8</f>
        <v>0.56000000000000005</v>
      </c>
    </row>
    <row r="9" spans="1:7" ht="15.75" x14ac:dyDescent="0.25">
      <c r="A9" s="4" t="s">
        <v>3</v>
      </c>
      <c r="B9" s="5" t="s">
        <v>1</v>
      </c>
      <c r="C9" s="54">
        <f>'[3]FTR Fermentation'!$G$71</f>
        <v>1</v>
      </c>
      <c r="E9" s="4" t="s">
        <v>3</v>
      </c>
      <c r="F9" s="5" t="s">
        <v>1</v>
      </c>
      <c r="G9" s="54">
        <f>'January ''25'!C9</f>
        <v>1</v>
      </c>
    </row>
    <row r="10" spans="1:7" ht="15.75" x14ac:dyDescent="0.25">
      <c r="A10" s="4" t="s">
        <v>4</v>
      </c>
      <c r="B10" s="5" t="s">
        <v>1</v>
      </c>
      <c r="C10" s="54">
        <f>'[3]FTR Fermentation'!$K$71</f>
        <v>1</v>
      </c>
      <c r="E10" s="4" t="s">
        <v>4</v>
      </c>
      <c r="F10" s="5" t="s">
        <v>1</v>
      </c>
      <c r="G10" s="54">
        <f>'January ''25'!C10</f>
        <v>1</v>
      </c>
    </row>
    <row r="11" spans="1:7" ht="15.75" x14ac:dyDescent="0.25">
      <c r="A11" s="4" t="s">
        <v>5</v>
      </c>
      <c r="B11" s="5" t="s">
        <v>1</v>
      </c>
      <c r="C11" s="54">
        <f>'[3]FTR Fermentation'!$M$71</f>
        <v>1</v>
      </c>
      <c r="E11" s="4" t="s">
        <v>5</v>
      </c>
      <c r="F11" s="5" t="s">
        <v>1</v>
      </c>
      <c r="G11" s="54">
        <f>'January ''25'!C11</f>
        <v>1</v>
      </c>
    </row>
    <row r="12" spans="1:7" ht="15.75" x14ac:dyDescent="0.25">
      <c r="A12" s="4" t="s">
        <v>7</v>
      </c>
      <c r="B12" s="5" t="s">
        <v>1</v>
      </c>
      <c r="C12" s="54">
        <f>'[3]FTR Fermentation'!$I$71</f>
        <v>1</v>
      </c>
      <c r="E12" s="4" t="s">
        <v>7</v>
      </c>
      <c r="F12" s="5" t="s">
        <v>1</v>
      </c>
      <c r="G12" s="54">
        <f>'January ''25'!C12</f>
        <v>1</v>
      </c>
    </row>
    <row r="13" spans="1:7" ht="16.5" thickBot="1" x14ac:dyDescent="0.3">
      <c r="A13" s="7"/>
      <c r="B13" s="8"/>
      <c r="C13" s="53"/>
      <c r="E13" s="7"/>
      <c r="F13" s="8"/>
      <c r="G13" s="53"/>
    </row>
    <row r="14" spans="1:7" ht="15.75" x14ac:dyDescent="0.25">
      <c r="A14" s="1" t="s">
        <v>8</v>
      </c>
      <c r="B14" s="2" t="s">
        <v>1</v>
      </c>
      <c r="C14" s="51">
        <f>'[3]FTR BBT'!$N$85</f>
        <v>0.78125</v>
      </c>
      <c r="E14" s="1" t="s">
        <v>8</v>
      </c>
      <c r="F14" s="2" t="s">
        <v>1</v>
      </c>
      <c r="G14" s="51">
        <f>'[6]FTR BBT'!$O$107</f>
        <v>0.97727272727272729</v>
      </c>
    </row>
    <row r="15" spans="1:7" ht="15.75" x14ac:dyDescent="0.25">
      <c r="A15" s="4" t="s">
        <v>95</v>
      </c>
      <c r="B15" s="5" t="s">
        <v>1</v>
      </c>
      <c r="C15" s="55">
        <f>'[3]FTR BBT'!$D$85</f>
        <v>1</v>
      </c>
      <c r="E15" s="4" t="s">
        <v>9</v>
      </c>
      <c r="F15" s="5" t="s">
        <v>1</v>
      </c>
      <c r="G15" s="55">
        <f>'[7]FTR BBT'!$D$86</f>
        <v>0.95081967213114749</v>
      </c>
    </row>
    <row r="16" spans="1:7" ht="15.75" x14ac:dyDescent="0.25">
      <c r="A16" s="4" t="s">
        <v>10</v>
      </c>
      <c r="B16" s="5" t="s">
        <v>1</v>
      </c>
      <c r="C16" s="56">
        <f>'[3]FTR BBT'!$J$85</f>
        <v>0.8125</v>
      </c>
      <c r="E16" s="4" t="s">
        <v>10</v>
      </c>
      <c r="F16" s="5" t="s">
        <v>1</v>
      </c>
      <c r="G16" s="56"/>
    </row>
    <row r="17" spans="1:7" ht="15.75" x14ac:dyDescent="0.25">
      <c r="A17" s="4" t="s">
        <v>13</v>
      </c>
      <c r="B17" s="5" t="s">
        <v>1</v>
      </c>
      <c r="C17" s="55">
        <f>'[3]FTR BBT'!$H$85</f>
        <v>0.984375</v>
      </c>
      <c r="E17" s="4" t="s">
        <v>13</v>
      </c>
      <c r="F17" s="5" t="s">
        <v>1</v>
      </c>
      <c r="G17" s="55">
        <f>'[6]FTR BBT'!$H$107</f>
        <v>1</v>
      </c>
    </row>
    <row r="18" spans="1:7" ht="15.75" x14ac:dyDescent="0.25">
      <c r="A18" s="4" t="s">
        <v>14</v>
      </c>
      <c r="B18" s="5" t="s">
        <v>1</v>
      </c>
      <c r="C18" s="55">
        <f>'[3]FTR BBT'!$F$85</f>
        <v>1</v>
      </c>
      <c r="E18" s="4" t="s">
        <v>14</v>
      </c>
      <c r="F18" s="5" t="s">
        <v>1</v>
      </c>
      <c r="G18" s="55">
        <f>'[6]FTR BBT'!$F$107</f>
        <v>1</v>
      </c>
    </row>
    <row r="19" spans="1:7" ht="15.75" x14ac:dyDescent="0.25">
      <c r="A19" s="4" t="s">
        <v>90</v>
      </c>
      <c r="B19" s="5" t="s">
        <v>1</v>
      </c>
      <c r="C19" s="52">
        <f>'[3]FTR BBT'!$L$85</f>
        <v>0.96226415094339623</v>
      </c>
      <c r="E19" s="4" t="s">
        <v>90</v>
      </c>
      <c r="F19" s="5" t="s">
        <v>1</v>
      </c>
      <c r="G19" s="52">
        <f>'[6]FTR BBT'!$L$107</f>
        <v>1</v>
      </c>
    </row>
    <row r="20" spans="1:7" ht="16.5" thickBot="1" x14ac:dyDescent="0.3">
      <c r="A20" s="7"/>
      <c r="B20" s="8"/>
      <c r="C20" s="53"/>
      <c r="E20" s="7"/>
      <c r="F20" s="8"/>
      <c r="G20" s="53"/>
    </row>
    <row r="21" spans="1:7" ht="15.75" x14ac:dyDescent="0.25">
      <c r="A21" s="1" t="s">
        <v>16</v>
      </c>
      <c r="B21" s="2" t="s">
        <v>1</v>
      </c>
      <c r="C21" s="51">
        <f>'[3]FTR Packaging'!$L$62</f>
        <v>0.87804878048780488</v>
      </c>
      <c r="E21" s="1" t="s">
        <v>16</v>
      </c>
      <c r="F21" s="2" t="s">
        <v>1</v>
      </c>
      <c r="G21" s="51">
        <f>'[6]FTR Packaging'!$L$72</f>
        <v>0.92307692307692313</v>
      </c>
    </row>
    <row r="22" spans="1:7" ht="15.75" x14ac:dyDescent="0.25">
      <c r="A22" s="4" t="s">
        <v>18</v>
      </c>
      <c r="B22" s="5" t="s">
        <v>1</v>
      </c>
      <c r="C22" s="54">
        <f>'[3]FTR Packaging'!$F$62</f>
        <v>0.87804878048780488</v>
      </c>
      <c r="E22" s="4" t="s">
        <v>18</v>
      </c>
      <c r="F22" s="5" t="s">
        <v>1</v>
      </c>
      <c r="G22" s="54">
        <f>'[6]FTR Packaging'!$F$72</f>
        <v>0.92307692307692313</v>
      </c>
    </row>
    <row r="23" spans="1:7" ht="15.75" x14ac:dyDescent="0.25">
      <c r="A23" s="4" t="s">
        <v>19</v>
      </c>
      <c r="B23" s="5" t="s">
        <v>1</v>
      </c>
      <c r="C23" s="54">
        <f>'[3]FTR Packaging'!$D$62</f>
        <v>1</v>
      </c>
      <c r="E23" s="4" t="s">
        <v>19</v>
      </c>
      <c r="F23" s="5" t="s">
        <v>1</v>
      </c>
      <c r="G23" s="54">
        <f>'[6]FTR Packaging'!$D$72</f>
        <v>1</v>
      </c>
    </row>
    <row r="24" spans="1:7" ht="15.75" x14ac:dyDescent="0.25">
      <c r="A24" s="4" t="s">
        <v>20</v>
      </c>
      <c r="B24" s="5" t="s">
        <v>1</v>
      </c>
      <c r="C24" s="52">
        <f>'[3]FTR Packaging'!$H$62</f>
        <v>1</v>
      </c>
      <c r="E24" s="4" t="s">
        <v>20</v>
      </c>
      <c r="F24" s="5" t="s">
        <v>1</v>
      </c>
      <c r="G24" s="52">
        <f>'[6]FTR Packaging'!$H$72</f>
        <v>1</v>
      </c>
    </row>
    <row r="25" spans="1:7" ht="15.75" x14ac:dyDescent="0.25">
      <c r="A25" s="4" t="s">
        <v>91</v>
      </c>
      <c r="B25" s="5" t="s">
        <v>1</v>
      </c>
      <c r="C25" s="52">
        <f>'[3]FTR Packaging'!$J$62</f>
        <v>1</v>
      </c>
      <c r="E25" s="4" t="s">
        <v>91</v>
      </c>
      <c r="F25" s="5" t="s">
        <v>1</v>
      </c>
      <c r="G25" s="52">
        <f>'[6]FTR Packaging'!$J$72</f>
        <v>0.96078431372549022</v>
      </c>
    </row>
    <row r="26" spans="1:7" ht="16.5" thickBot="1" x14ac:dyDescent="0.3">
      <c r="A26" s="7"/>
      <c r="B26" s="8"/>
      <c r="C26" s="53"/>
      <c r="E26" s="7"/>
      <c r="F26" s="8"/>
      <c r="G26" s="53"/>
    </row>
    <row r="27" spans="1:7" ht="15.75" x14ac:dyDescent="0.25">
      <c r="A27" s="1" t="s">
        <v>22</v>
      </c>
      <c r="B27" s="2" t="s">
        <v>1</v>
      </c>
      <c r="C27" s="51">
        <v>0.76</v>
      </c>
      <c r="E27" s="1" t="s">
        <v>22</v>
      </c>
      <c r="F27" s="2" t="s">
        <v>1</v>
      </c>
      <c r="G27" s="51">
        <f>'January ''25'!C27</f>
        <v>0.76</v>
      </c>
    </row>
    <row r="28" spans="1:7" ht="15.75" x14ac:dyDescent="0.25">
      <c r="A28" s="4" t="s">
        <v>23</v>
      </c>
      <c r="B28" s="2" t="s">
        <v>1</v>
      </c>
      <c r="C28" s="54">
        <v>1</v>
      </c>
      <c r="E28" s="4" t="s">
        <v>23</v>
      </c>
      <c r="F28" s="2" t="s">
        <v>1</v>
      </c>
      <c r="G28" s="54">
        <f>'January ''25'!C28</f>
        <v>1</v>
      </c>
    </row>
    <row r="29" spans="1:7" ht="15.75" x14ac:dyDescent="0.25">
      <c r="A29" s="4" t="s">
        <v>24</v>
      </c>
      <c r="B29" s="2" t="s">
        <v>1</v>
      </c>
      <c r="C29" s="54">
        <v>0.76</v>
      </c>
      <c r="E29" s="4" t="s">
        <v>24</v>
      </c>
      <c r="F29" s="2" t="s">
        <v>1</v>
      </c>
      <c r="G29" s="54">
        <f>'January ''25'!C29</f>
        <v>0.76</v>
      </c>
    </row>
    <row r="30" spans="1:7" ht="16.5" thickBot="1" x14ac:dyDescent="0.3">
      <c r="A30" s="7"/>
      <c r="B30" s="8"/>
      <c r="C30" s="53"/>
      <c r="E30" s="7"/>
      <c r="F30" s="8"/>
      <c r="G30" s="53"/>
    </row>
    <row r="31" spans="1:7" ht="15.75" x14ac:dyDescent="0.25">
      <c r="A31" s="1" t="s">
        <v>25</v>
      </c>
      <c r="B31" s="2" t="s">
        <v>1</v>
      </c>
      <c r="C31" s="51">
        <f>'[3]FTR Finished Product'!$L$60</f>
        <v>0.80487804878048785</v>
      </c>
      <c r="E31" s="1" t="s">
        <v>25</v>
      </c>
      <c r="F31" s="2" t="s">
        <v>1</v>
      </c>
      <c r="G31" s="51">
        <f>'[6]FTR Finished Product'!$M$72</f>
        <v>0.94230769230769229</v>
      </c>
    </row>
    <row r="32" spans="1:7" ht="16.5" thickBot="1" x14ac:dyDescent="0.3">
      <c r="A32" s="4" t="s">
        <v>10</v>
      </c>
      <c r="B32" s="2" t="s">
        <v>1</v>
      </c>
      <c r="C32" s="56">
        <f>'[3]FTR Finished Product'!$J$60</f>
        <v>0.8571428571428571</v>
      </c>
      <c r="E32" s="4" t="s">
        <v>10</v>
      </c>
      <c r="F32" s="2" t="s">
        <v>1</v>
      </c>
      <c r="G32" s="56"/>
    </row>
    <row r="33" spans="1:7" ht="16.5" thickBot="1" x14ac:dyDescent="0.3">
      <c r="A33" s="4" t="s">
        <v>26</v>
      </c>
      <c r="B33" s="2" t="s">
        <v>1</v>
      </c>
      <c r="C33" s="57">
        <f>'[3]FTR Finished Product'!$F$60</f>
        <v>0.92500000000000004</v>
      </c>
      <c r="E33" s="4" t="s">
        <v>26</v>
      </c>
      <c r="F33" s="2" t="s">
        <v>1</v>
      </c>
      <c r="G33" s="57">
        <f>'[6]FTR Finished Product'!$F$72</f>
        <v>1</v>
      </c>
    </row>
    <row r="34" spans="1:7" ht="16.5" thickBot="1" x14ac:dyDescent="0.3">
      <c r="A34" s="4" t="s">
        <v>95</v>
      </c>
      <c r="B34" s="2" t="s">
        <v>1</v>
      </c>
      <c r="C34" s="57">
        <f>'[3]FTR Finished Product'!$D$60</f>
        <v>1</v>
      </c>
      <c r="E34" s="4" t="s">
        <v>9</v>
      </c>
      <c r="F34" s="2" t="s">
        <v>1</v>
      </c>
      <c r="G34" s="57">
        <f>'[6]FTR Finished Product'!$D$72</f>
        <v>0.94230769230769229</v>
      </c>
    </row>
    <row r="35" spans="1:7" ht="16.5" thickBot="1" x14ac:dyDescent="0.3">
      <c r="A35" s="4" t="s">
        <v>89</v>
      </c>
      <c r="B35" s="2" t="s">
        <v>1</v>
      </c>
      <c r="C35" s="57">
        <f>'[3]FTR Finished Product'!$H$60</f>
        <v>0.97142857142857142</v>
      </c>
      <c r="E35" s="4" t="s">
        <v>89</v>
      </c>
      <c r="F35" s="2" t="s">
        <v>1</v>
      </c>
      <c r="G35" s="57">
        <f>'[6]FTR Finished Product'!$H$72</f>
        <v>1</v>
      </c>
    </row>
    <row r="36" spans="1:7" ht="15.75" thickBot="1" x14ac:dyDescent="0.3">
      <c r="C36" s="58"/>
      <c r="G36" s="58"/>
    </row>
    <row r="37" spans="1:7" ht="15.75" x14ac:dyDescent="0.25">
      <c r="C37" s="122">
        <f>(C2+C7+C14+C21+C27+C31)/6</f>
        <v>0.69876251627776009</v>
      </c>
      <c r="G37" s="122">
        <f>(G2+G7+G14+G21+G27+G31)/6</f>
        <v>0.76184260184260177</v>
      </c>
    </row>
    <row r="38" spans="1:7" x14ac:dyDescent="0.25">
      <c r="C38" s="6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H39"/>
  <sheetViews>
    <sheetView showGridLines="0" zoomScaleNormal="100" workbookViewId="0">
      <selection activeCell="D8" sqref="D8"/>
    </sheetView>
  </sheetViews>
  <sheetFormatPr defaultRowHeight="15" x14ac:dyDescent="0.25"/>
  <cols>
    <col min="1" max="1" width="28" customWidth="1"/>
    <col min="3" max="3" width="13.5703125" customWidth="1"/>
    <col min="5" max="5" width="27.42578125" hidden="1" customWidth="1"/>
    <col min="6" max="6" width="9.140625" hidden="1" customWidth="1"/>
    <col min="7" max="7" width="10.5703125" hidden="1" customWidth="1"/>
  </cols>
  <sheetData>
    <row r="1" spans="1:7" s="18" customFormat="1" ht="24" thickBot="1" x14ac:dyDescent="0.4">
      <c r="A1" s="17" t="s">
        <v>101</v>
      </c>
      <c r="C1" s="17" t="s">
        <v>86</v>
      </c>
      <c r="E1" s="17" t="s">
        <v>92</v>
      </c>
      <c r="G1" s="17" t="s">
        <v>86</v>
      </c>
    </row>
    <row r="2" spans="1:7" ht="15.75" customHeight="1" x14ac:dyDescent="0.25">
      <c r="A2" s="1" t="s">
        <v>27</v>
      </c>
      <c r="B2" s="2" t="s">
        <v>1</v>
      </c>
      <c r="C2" s="51">
        <f>'[8]FTR Brewhouse'!$I$325</f>
        <v>0.41538461538461541</v>
      </c>
      <c r="E2" s="1" t="s">
        <v>27</v>
      </c>
      <c r="F2" s="2" t="s">
        <v>1</v>
      </c>
      <c r="G2" s="51">
        <f>'February ''24'!C2</f>
        <v>0.41538461538461541</v>
      </c>
    </row>
    <row r="3" spans="1:7" ht="18.75" customHeight="1" x14ac:dyDescent="0.25">
      <c r="A3" s="15" t="s">
        <v>28</v>
      </c>
      <c r="B3" s="5" t="s">
        <v>1</v>
      </c>
      <c r="C3" s="52">
        <f>'[8]FTR Brewhouse'!$C$325</f>
        <v>0.92307692307692313</v>
      </c>
      <c r="E3" s="15" t="s">
        <v>28</v>
      </c>
      <c r="F3" s="5" t="s">
        <v>1</v>
      </c>
      <c r="G3" s="52">
        <f>'February ''24'!C3</f>
        <v>0.92307692307692313</v>
      </c>
    </row>
    <row r="4" spans="1:7" ht="18.75" customHeight="1" x14ac:dyDescent="0.25">
      <c r="A4" s="4" t="s">
        <v>87</v>
      </c>
      <c r="B4" s="5" t="s">
        <v>1</v>
      </c>
      <c r="C4" s="54">
        <f>'[8]FTR Brewhouse'!$E$325</f>
        <v>0.43846153846153846</v>
      </c>
      <c r="E4" s="4" t="s">
        <v>87</v>
      </c>
      <c r="F4" s="5" t="s">
        <v>1</v>
      </c>
      <c r="G4" s="54">
        <f>'February ''24'!C4</f>
        <v>0.43846153846153846</v>
      </c>
    </row>
    <row r="5" spans="1:7" ht="20.25" customHeight="1" x14ac:dyDescent="0.25">
      <c r="A5" s="4" t="s">
        <v>88</v>
      </c>
      <c r="B5" s="5" t="s">
        <v>1</v>
      </c>
      <c r="C5" s="54">
        <f>'[8]FTR Brewhouse'!$G$325</f>
        <v>1</v>
      </c>
      <c r="E5" s="4" t="s">
        <v>88</v>
      </c>
      <c r="F5" s="5" t="s">
        <v>1</v>
      </c>
      <c r="G5" s="54">
        <f>'February ''24'!C5</f>
        <v>1</v>
      </c>
    </row>
    <row r="6" spans="1:7" ht="12.75" customHeight="1" thickBot="1" x14ac:dyDescent="0.3">
      <c r="A6" s="7"/>
      <c r="B6" s="8"/>
      <c r="C6" s="53"/>
      <c r="E6" s="7"/>
      <c r="F6" s="8"/>
      <c r="G6" s="53"/>
    </row>
    <row r="7" spans="1:7" ht="15.75" x14ac:dyDescent="0.25">
      <c r="A7" s="1" t="s">
        <v>0</v>
      </c>
      <c r="B7" s="2" t="s">
        <v>1</v>
      </c>
      <c r="C7" s="51">
        <f>'[8]FTR Fermentation'!$P$109</f>
        <v>0.5625</v>
      </c>
      <c r="E7" s="1" t="s">
        <v>0</v>
      </c>
      <c r="F7" s="2" t="s">
        <v>1</v>
      </c>
      <c r="G7" s="51">
        <f>'February ''24'!C7</f>
        <v>0.5625</v>
      </c>
    </row>
    <row r="8" spans="1:7" ht="15.75" x14ac:dyDescent="0.25">
      <c r="A8" s="4" t="s">
        <v>2</v>
      </c>
      <c r="B8" s="5" t="s">
        <v>1</v>
      </c>
      <c r="C8" s="54">
        <f>'[8]FTR Fermentation'!$D$109</f>
        <v>0.77777777777777779</v>
      </c>
      <c r="E8" s="4" t="s">
        <v>2</v>
      </c>
      <c r="F8" s="5" t="s">
        <v>1</v>
      </c>
      <c r="G8" s="54">
        <f>'February ''24'!C8</f>
        <v>0.77777777777777779</v>
      </c>
    </row>
    <row r="9" spans="1:7" ht="15.75" x14ac:dyDescent="0.25">
      <c r="A9" s="4" t="s">
        <v>3</v>
      </c>
      <c r="B9" s="5" t="s">
        <v>1</v>
      </c>
      <c r="C9" s="54">
        <f>'[8]FTR Fermentation'!$G$109</f>
        <v>1</v>
      </c>
      <c r="E9" s="4" t="s">
        <v>3</v>
      </c>
      <c r="F9" s="5" t="s">
        <v>1</v>
      </c>
      <c r="G9" s="54">
        <f>'February ''24'!C9</f>
        <v>1</v>
      </c>
    </row>
    <row r="10" spans="1:7" ht="15.75" x14ac:dyDescent="0.25">
      <c r="A10" s="4" t="s">
        <v>4</v>
      </c>
      <c r="B10" s="5" t="s">
        <v>1</v>
      </c>
      <c r="C10" s="54">
        <f>'[8]FTR Fermentation'!$K$109</f>
        <v>1</v>
      </c>
      <c r="E10" s="4" t="s">
        <v>4</v>
      </c>
      <c r="F10" s="5" t="s">
        <v>1</v>
      </c>
      <c r="G10" s="54">
        <f>'February ''24'!C10</f>
        <v>1</v>
      </c>
    </row>
    <row r="11" spans="1:7" ht="15.75" x14ac:dyDescent="0.25">
      <c r="A11" s="4" t="s">
        <v>5</v>
      </c>
      <c r="B11" s="5" t="s">
        <v>1</v>
      </c>
      <c r="C11" s="54">
        <f>'[8]FTR Fermentation'!$M$109</f>
        <v>1</v>
      </c>
      <c r="E11" s="4" t="s">
        <v>5</v>
      </c>
      <c r="F11" s="5" t="s">
        <v>1</v>
      </c>
      <c r="G11" s="54">
        <f>'February ''24'!C11</f>
        <v>1</v>
      </c>
    </row>
    <row r="12" spans="1:7" ht="16.5" customHeight="1" x14ac:dyDescent="0.25">
      <c r="A12" s="4" t="s">
        <v>7</v>
      </c>
      <c r="B12" s="5" t="s">
        <v>1</v>
      </c>
      <c r="C12" s="54">
        <f>'[8]FTR Fermentation'!$I$109</f>
        <v>0.8571428571428571</v>
      </c>
      <c r="E12" s="4" t="s">
        <v>7</v>
      </c>
      <c r="F12" s="5" t="s">
        <v>1</v>
      </c>
      <c r="G12" s="54">
        <f>'February ''24'!C12</f>
        <v>0.8571428571428571</v>
      </c>
    </row>
    <row r="13" spans="1:7" ht="16.5" thickBot="1" x14ac:dyDescent="0.3">
      <c r="A13" s="7"/>
      <c r="B13" s="8"/>
      <c r="C13" s="53"/>
      <c r="E13" s="7"/>
      <c r="F13" s="8"/>
      <c r="G13" s="53"/>
    </row>
    <row r="14" spans="1:7" ht="15.75" x14ac:dyDescent="0.25">
      <c r="A14" s="1" t="s">
        <v>8</v>
      </c>
      <c r="B14" s="2" t="s">
        <v>1</v>
      </c>
      <c r="C14" s="51">
        <f>'[8]FTR BBT'!$N$175</f>
        <v>0.95238095238095233</v>
      </c>
      <c r="E14" s="1" t="s">
        <v>8</v>
      </c>
      <c r="F14" s="2" t="s">
        <v>1</v>
      </c>
      <c r="G14" s="51">
        <f>'[8]FTR BBT'!$O$175</f>
        <v>0.95238095238095233</v>
      </c>
    </row>
    <row r="15" spans="1:7" ht="15.75" x14ac:dyDescent="0.25">
      <c r="A15" s="4" t="s">
        <v>95</v>
      </c>
      <c r="B15" s="5" t="s">
        <v>1</v>
      </c>
      <c r="C15" s="55">
        <f>'[8]GBL BBT Score '!$D$176</f>
        <v>0.9538461538461539</v>
      </c>
      <c r="E15" s="4" t="s">
        <v>9</v>
      </c>
      <c r="F15" s="5" t="s">
        <v>1</v>
      </c>
      <c r="G15" s="55">
        <f>'February ''24'!C15</f>
        <v>0.9538461538461539</v>
      </c>
    </row>
    <row r="16" spans="1:7" ht="15.75" x14ac:dyDescent="0.25">
      <c r="A16" s="4" t="s">
        <v>10</v>
      </c>
      <c r="B16" s="5" t="s">
        <v>1</v>
      </c>
      <c r="C16" s="56">
        <f>'[8]FTR BBT'!$J$175</f>
        <v>1</v>
      </c>
      <c r="E16" s="4" t="s">
        <v>10</v>
      </c>
      <c r="F16" s="5" t="s">
        <v>1</v>
      </c>
      <c r="G16" s="56"/>
    </row>
    <row r="17" spans="1:7" ht="15.75" x14ac:dyDescent="0.25">
      <c r="A17" s="4" t="s">
        <v>13</v>
      </c>
      <c r="B17" s="5" t="s">
        <v>1</v>
      </c>
      <c r="C17" s="55">
        <f>'[8]FTR BBT'!$H$175</f>
        <v>1</v>
      </c>
      <c r="E17" s="4" t="s">
        <v>13</v>
      </c>
      <c r="F17" s="5" t="s">
        <v>1</v>
      </c>
      <c r="G17" s="55">
        <f>'February ''24'!C17</f>
        <v>1</v>
      </c>
    </row>
    <row r="18" spans="1:7" ht="15.75" x14ac:dyDescent="0.25">
      <c r="A18" s="4" t="s">
        <v>14</v>
      </c>
      <c r="B18" s="5" t="s">
        <v>1</v>
      </c>
      <c r="C18" s="55">
        <f>'[8]FTR BBT'!$F$175</f>
        <v>1</v>
      </c>
      <c r="E18" s="4" t="s">
        <v>14</v>
      </c>
      <c r="F18" s="5" t="s">
        <v>1</v>
      </c>
      <c r="G18" s="55">
        <f>'February ''24'!C18</f>
        <v>1</v>
      </c>
    </row>
    <row r="19" spans="1:7" ht="15.75" x14ac:dyDescent="0.25">
      <c r="A19" s="4" t="s">
        <v>90</v>
      </c>
      <c r="B19" s="2"/>
      <c r="C19" s="52">
        <f>'[8]FTR BBT'!$L$175</f>
        <v>1</v>
      </c>
      <c r="E19" s="4"/>
      <c r="F19" s="2"/>
      <c r="G19" s="55">
        <f>'February ''24'!C19</f>
        <v>1</v>
      </c>
    </row>
    <row r="20" spans="1:7" ht="15.75" customHeight="1" thickBot="1" x14ac:dyDescent="0.3">
      <c r="A20" s="7"/>
      <c r="B20" s="8"/>
      <c r="C20" s="53"/>
      <c r="E20" s="7"/>
      <c r="F20" s="8"/>
      <c r="G20" s="128"/>
    </row>
    <row r="21" spans="1:7" ht="15.75" x14ac:dyDescent="0.25">
      <c r="A21" s="1" t="s">
        <v>16</v>
      </c>
      <c r="B21" s="2" t="s">
        <v>1</v>
      </c>
      <c r="C21" s="51">
        <f>'[8]FTR Packaging'!$L$120</f>
        <v>1</v>
      </c>
      <c r="E21" s="1" t="s">
        <v>16</v>
      </c>
      <c r="F21" s="2" t="s">
        <v>1</v>
      </c>
      <c r="G21" s="51">
        <f>'[9]FTR Packaging'!$L$154</f>
        <v>0.93548387096774188</v>
      </c>
    </row>
    <row r="22" spans="1:7" ht="15.75" x14ac:dyDescent="0.25">
      <c r="A22" s="4" t="s">
        <v>18</v>
      </c>
      <c r="B22" s="5" t="s">
        <v>1</v>
      </c>
      <c r="C22" s="54">
        <f>'[8]FTR Packaging'!$H$120</f>
        <v>1</v>
      </c>
      <c r="E22" s="4" t="s">
        <v>18</v>
      </c>
      <c r="F22" s="5" t="s">
        <v>1</v>
      </c>
      <c r="G22" s="54">
        <f>'[9]FTR Packaging'!$F$154</f>
        <v>0.91666666666666663</v>
      </c>
    </row>
    <row r="23" spans="1:7" ht="17.100000000000001" customHeight="1" x14ac:dyDescent="0.25">
      <c r="A23" s="4" t="s">
        <v>19</v>
      </c>
      <c r="B23" s="5" t="s">
        <v>1</v>
      </c>
      <c r="C23" s="54">
        <f>'[8]FTR Packaging'!$D$120</f>
        <v>1</v>
      </c>
      <c r="E23" s="4" t="s">
        <v>19</v>
      </c>
      <c r="F23" s="5" t="s">
        <v>1</v>
      </c>
      <c r="G23" s="54">
        <f>'[8]FTR Packaging'!$F$120</f>
        <v>1</v>
      </c>
    </row>
    <row r="24" spans="1:7" ht="15.75" x14ac:dyDescent="0.25">
      <c r="A24" s="4" t="s">
        <v>20</v>
      </c>
      <c r="B24" s="5" t="s">
        <v>1</v>
      </c>
      <c r="C24" s="52">
        <f>'[8]FTR Packaging'!$H$120</f>
        <v>1</v>
      </c>
      <c r="E24" s="4" t="s">
        <v>20</v>
      </c>
      <c r="F24" s="5" t="s">
        <v>1</v>
      </c>
      <c r="G24" s="52">
        <f>'[8]FTR Packaging'!$H$120</f>
        <v>1</v>
      </c>
    </row>
    <row r="25" spans="1:7" ht="15.75" x14ac:dyDescent="0.25">
      <c r="A25" s="4" t="s">
        <v>91</v>
      </c>
      <c r="B25" s="5" t="s">
        <v>1</v>
      </c>
      <c r="C25" s="52">
        <f>'[8]FTR Packaging'!$J$120</f>
        <v>1</v>
      </c>
      <c r="E25" s="4" t="s">
        <v>91</v>
      </c>
      <c r="F25" s="5" t="s">
        <v>1</v>
      </c>
      <c r="G25" s="52">
        <f>'[8]FTR Packaging'!$J$120</f>
        <v>1</v>
      </c>
    </row>
    <row r="26" spans="1:7" ht="16.5" thickBot="1" x14ac:dyDescent="0.3">
      <c r="A26" s="7"/>
      <c r="B26" s="8"/>
      <c r="C26" s="53"/>
      <c r="E26" s="7"/>
      <c r="F26" s="8"/>
      <c r="G26" s="127"/>
    </row>
    <row r="27" spans="1:7" ht="15.75" x14ac:dyDescent="0.25">
      <c r="A27" s="1" t="s">
        <v>22</v>
      </c>
      <c r="B27" s="2" t="s">
        <v>1</v>
      </c>
      <c r="C27" s="51">
        <v>0.86699999999999999</v>
      </c>
      <c r="E27" s="1" t="s">
        <v>22</v>
      </c>
      <c r="F27" s="2" t="s">
        <v>1</v>
      </c>
      <c r="G27" s="51">
        <f>'February ''24'!C27</f>
        <v>0.86699999999999999</v>
      </c>
    </row>
    <row r="28" spans="1:7" ht="15.75" x14ac:dyDescent="0.25">
      <c r="A28" s="4" t="s">
        <v>23</v>
      </c>
      <c r="B28" s="2" t="s">
        <v>1</v>
      </c>
      <c r="C28" s="54">
        <v>1</v>
      </c>
      <c r="E28" s="4" t="s">
        <v>23</v>
      </c>
      <c r="F28" s="2" t="s">
        <v>1</v>
      </c>
      <c r="G28" s="54">
        <f>'February ''24'!C28</f>
        <v>1</v>
      </c>
    </row>
    <row r="29" spans="1:7" ht="15.75" x14ac:dyDescent="0.25">
      <c r="A29" s="4" t="s">
        <v>24</v>
      </c>
      <c r="B29" s="2" t="s">
        <v>1</v>
      </c>
      <c r="C29" s="52">
        <v>0.86699999999999999</v>
      </c>
      <c r="E29" s="4" t="s">
        <v>24</v>
      </c>
      <c r="F29" s="2" t="s">
        <v>1</v>
      </c>
      <c r="G29" s="54">
        <f>'February ''24'!C29</f>
        <v>0.86699999999999999</v>
      </c>
    </row>
    <row r="30" spans="1:7" ht="15" customHeight="1" thickBot="1" x14ac:dyDescent="0.3">
      <c r="A30" s="7"/>
      <c r="B30" s="8"/>
      <c r="C30" s="53"/>
      <c r="E30" s="7"/>
      <c r="F30" s="8"/>
      <c r="G30" s="129"/>
    </row>
    <row r="31" spans="1:7" ht="16.5" thickBot="1" x14ac:dyDescent="0.3">
      <c r="A31" s="1" t="s">
        <v>25</v>
      </c>
      <c r="B31" s="2" t="s">
        <v>1</v>
      </c>
      <c r="C31" s="51">
        <f>'[8]FTR Finished Product'!$L$122</f>
        <v>0.86046511627906974</v>
      </c>
      <c r="E31" s="1" t="s">
        <v>25</v>
      </c>
      <c r="F31" s="2" t="s">
        <v>1</v>
      </c>
      <c r="G31" s="51">
        <f>'[8]FTR Finished Product'!$M$122</f>
        <v>0.88372093023255816</v>
      </c>
    </row>
    <row r="32" spans="1:7" ht="16.5" thickBot="1" x14ac:dyDescent="0.3">
      <c r="A32" s="4" t="s">
        <v>10</v>
      </c>
      <c r="B32" s="2" t="s">
        <v>1</v>
      </c>
      <c r="C32" s="56">
        <f>'[8]FTR Finished Product'!$J$122</f>
        <v>0.95238095238095233</v>
      </c>
      <c r="E32" s="4" t="s">
        <v>10</v>
      </c>
      <c r="F32" s="2" t="s">
        <v>1</v>
      </c>
      <c r="G32" s="57"/>
    </row>
    <row r="33" spans="1:8" ht="16.5" thickBot="1" x14ac:dyDescent="0.3">
      <c r="A33" s="4" t="s">
        <v>26</v>
      </c>
      <c r="B33" s="2" t="s">
        <v>1</v>
      </c>
      <c r="C33" s="57">
        <f>'[8]FTR Finished Product'!$F$122</f>
        <v>0.95121951219512191</v>
      </c>
      <c r="E33" s="4" t="s">
        <v>26</v>
      </c>
      <c r="F33" s="2" t="s">
        <v>1</v>
      </c>
      <c r="G33" s="57">
        <f>'[8]FTR Finished Product'!$H$122</f>
        <v>1</v>
      </c>
    </row>
    <row r="34" spans="1:8" ht="16.5" thickBot="1" x14ac:dyDescent="0.3">
      <c r="A34" s="4" t="s">
        <v>95</v>
      </c>
      <c r="B34" s="2" t="s">
        <v>1</v>
      </c>
      <c r="C34" s="57">
        <f>'[8]FTR Finished Product'!$D$122</f>
        <v>0.93023255813953487</v>
      </c>
      <c r="E34" s="4" t="s">
        <v>9</v>
      </c>
      <c r="F34" s="2" t="s">
        <v>1</v>
      </c>
      <c r="G34" s="57">
        <f>'February ''24'!C34</f>
        <v>0.93023255813953487</v>
      </c>
    </row>
    <row r="35" spans="1:8" ht="16.5" thickBot="1" x14ac:dyDescent="0.3">
      <c r="A35" s="4" t="s">
        <v>89</v>
      </c>
      <c r="B35" s="2" t="s">
        <v>1</v>
      </c>
      <c r="C35" s="57">
        <f>'[8]FTR Finished Product'!$H$122</f>
        <v>1</v>
      </c>
      <c r="E35" s="4" t="s">
        <v>20</v>
      </c>
      <c r="F35" s="2" t="s">
        <v>1</v>
      </c>
      <c r="G35" s="57">
        <f>'February ''24'!C35</f>
        <v>1</v>
      </c>
    </row>
    <row r="36" spans="1:8" ht="15.75" x14ac:dyDescent="0.25">
      <c r="A36" s="130"/>
      <c r="B36" s="132"/>
      <c r="C36" s="133"/>
      <c r="E36" s="130"/>
      <c r="F36" s="132"/>
      <c r="G36" s="133"/>
    </row>
    <row r="37" spans="1:8" ht="16.5" thickBot="1" x14ac:dyDescent="0.3">
      <c r="A37" s="130"/>
      <c r="B37" s="131"/>
      <c r="C37" s="131"/>
      <c r="E37" s="131"/>
      <c r="F37" s="131"/>
      <c r="G37" s="131"/>
      <c r="H37" s="131"/>
    </row>
    <row r="38" spans="1:8" ht="16.5" thickBot="1" x14ac:dyDescent="0.3">
      <c r="A38" s="130"/>
      <c r="B38" s="131"/>
      <c r="C38" s="122">
        <f>(C2+C7+C14+C21+C27+C31)/6</f>
        <v>0.77628844734077296</v>
      </c>
      <c r="E38" s="131"/>
      <c r="F38" s="131"/>
      <c r="G38" s="122">
        <f>(G2+G7+G14+G21+G27+G31)/6</f>
        <v>0.76941172816097803</v>
      </c>
      <c r="H38" s="131"/>
    </row>
    <row r="39" spans="1:8" ht="18.75" x14ac:dyDescent="0.25">
      <c r="A39" s="125" t="s">
        <v>93</v>
      </c>
      <c r="B39" s="23" t="s">
        <v>35</v>
      </c>
      <c r="C39" s="126">
        <f>AVERAGE('January ''25'!C37,C38)</f>
        <v>0.73752548180926647</v>
      </c>
      <c r="E39" s="125" t="s">
        <v>94</v>
      </c>
      <c r="F39" s="23" t="s">
        <v>35</v>
      </c>
      <c r="G39" s="61">
        <f>AVERAGE('January ''25'!G37,'February ''24'!G38)</f>
        <v>0.76562716500178984</v>
      </c>
    </row>
  </sheetData>
  <pageMargins left="0.7" right="0.7" top="0.75" bottom="0.75" header="0.3" footer="0.3"/>
  <pageSetup scale="8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37"/>
  <sheetViews>
    <sheetView showGridLines="0" zoomScaleNormal="100" workbookViewId="0">
      <selection activeCell="D8" sqref="D8"/>
    </sheetView>
  </sheetViews>
  <sheetFormatPr defaultRowHeight="15" x14ac:dyDescent="0.25"/>
  <cols>
    <col min="1" max="1" width="28" customWidth="1"/>
    <col min="3" max="3" width="13.5703125" style="58" customWidth="1"/>
    <col min="5" max="5" width="26.42578125" hidden="1" customWidth="1"/>
    <col min="6" max="6" width="20.42578125" hidden="1" customWidth="1"/>
    <col min="7" max="7" width="10.42578125" hidden="1" customWidth="1"/>
  </cols>
  <sheetData>
    <row r="1" spans="1:7" s="18" customFormat="1" ht="24" thickBot="1" x14ac:dyDescent="0.4">
      <c r="A1" s="17" t="s">
        <v>102</v>
      </c>
      <c r="C1" s="17" t="s">
        <v>86</v>
      </c>
      <c r="E1" s="17" t="s">
        <v>92</v>
      </c>
      <c r="G1" s="17" t="s">
        <v>86</v>
      </c>
    </row>
    <row r="2" spans="1:7" ht="15.75" x14ac:dyDescent="0.25">
      <c r="A2" s="1" t="s">
        <v>27</v>
      </c>
      <c r="B2" s="2" t="s">
        <v>1</v>
      </c>
      <c r="C2" s="51">
        <f>'[8]FTR Brewhouse'!$I$482</f>
        <v>0.36</v>
      </c>
      <c r="E2" s="1" t="s">
        <v>27</v>
      </c>
      <c r="F2" s="2" t="s">
        <v>1</v>
      </c>
      <c r="G2" s="51">
        <f>'[8]FTR Brewhouse'!$I$482</f>
        <v>0.36</v>
      </c>
    </row>
    <row r="3" spans="1:7" ht="15.75" x14ac:dyDescent="0.25">
      <c r="A3" s="15" t="s">
        <v>28</v>
      </c>
      <c r="B3" s="5" t="s">
        <v>1</v>
      </c>
      <c r="C3" s="52">
        <f>'[8]FTR Brewhouse'!$C$482</f>
        <v>0.8666666666666667</v>
      </c>
      <c r="E3" s="15" t="s">
        <v>28</v>
      </c>
      <c r="F3" s="5" t="s">
        <v>1</v>
      </c>
      <c r="G3" s="52">
        <f>'[8]FTR Brewhouse'!$C$482</f>
        <v>0.8666666666666667</v>
      </c>
    </row>
    <row r="4" spans="1:7" ht="15.75" x14ac:dyDescent="0.25">
      <c r="A4" s="4" t="s">
        <v>87</v>
      </c>
      <c r="B4" s="5" t="s">
        <v>1</v>
      </c>
      <c r="C4" s="54">
        <f>'[8]FTR Brewhouse'!$E$482</f>
        <v>0.44</v>
      </c>
      <c r="E4" s="4" t="s">
        <v>87</v>
      </c>
      <c r="F4" s="5" t="s">
        <v>1</v>
      </c>
      <c r="G4" s="54">
        <f>'[8]FTR Brewhouse'!$E$482</f>
        <v>0.44</v>
      </c>
    </row>
    <row r="5" spans="1:7" ht="15.75" x14ac:dyDescent="0.25">
      <c r="A5" s="4" t="s">
        <v>88</v>
      </c>
      <c r="B5" s="5" t="s">
        <v>1</v>
      </c>
      <c r="C5" s="54">
        <f>'[8]FTR Brewhouse'!$G$482</f>
        <v>0.98484848484848486</v>
      </c>
      <c r="E5" s="4" t="s">
        <v>88</v>
      </c>
      <c r="F5" s="5" t="s">
        <v>1</v>
      </c>
      <c r="G5" s="54">
        <f>'[8]FTR Brewhouse'!$G$482</f>
        <v>0.98484848484848486</v>
      </c>
    </row>
    <row r="6" spans="1:7" ht="3.95" customHeight="1" thickBot="1" x14ac:dyDescent="0.3">
      <c r="A6" s="7"/>
      <c r="B6" s="8"/>
      <c r="C6" s="53"/>
      <c r="E6" s="7"/>
      <c r="F6" s="8"/>
      <c r="G6" s="53"/>
    </row>
    <row r="7" spans="1:7" ht="15.75" x14ac:dyDescent="0.25">
      <c r="A7" s="1" t="s">
        <v>0</v>
      </c>
      <c r="B7" s="2" t="s">
        <v>1</v>
      </c>
      <c r="C7" s="51">
        <f>'[8]FTR Fermentation'!$P$149</f>
        <v>0.48571428571428571</v>
      </c>
      <c r="E7" s="1" t="s">
        <v>0</v>
      </c>
      <c r="F7" s="2" t="s">
        <v>1</v>
      </c>
      <c r="G7" s="51">
        <f>'[8]FTR Fermentation'!$P$200</f>
        <v>0.52631578947368418</v>
      </c>
    </row>
    <row r="8" spans="1:7" ht="15.75" x14ac:dyDescent="0.25">
      <c r="A8" s="4" t="s">
        <v>2</v>
      </c>
      <c r="B8" s="5" t="s">
        <v>1</v>
      </c>
      <c r="C8" s="54">
        <f>'[8]FTR Fermentation'!$D$149</f>
        <v>0.76</v>
      </c>
      <c r="E8" s="4" t="s">
        <v>2</v>
      </c>
      <c r="F8" s="5" t="s">
        <v>1</v>
      </c>
      <c r="G8" s="54">
        <f>'[8]FTR Fermentation'!$D$200</f>
        <v>0.82608695652173914</v>
      </c>
    </row>
    <row r="9" spans="1:7" ht="15.75" x14ac:dyDescent="0.25">
      <c r="A9" s="4" t="s">
        <v>3</v>
      </c>
      <c r="B9" s="5" t="s">
        <v>1</v>
      </c>
      <c r="C9" s="54">
        <f>'[8]FTR Fermentation'!$G$149</f>
        <v>1</v>
      </c>
      <c r="E9" s="4" t="s">
        <v>3</v>
      </c>
      <c r="F9" s="5" t="s">
        <v>1</v>
      </c>
      <c r="G9" s="54">
        <f>'[8]FTR Fermentation'!$G$200</f>
        <v>1</v>
      </c>
    </row>
    <row r="10" spans="1:7" ht="15.75" x14ac:dyDescent="0.25">
      <c r="A10" s="4" t="s">
        <v>4</v>
      </c>
      <c r="B10" s="5" t="s">
        <v>1</v>
      </c>
      <c r="C10" s="54">
        <f>'[8]FTR Fermentation'!$K$149</f>
        <v>1</v>
      </c>
      <c r="E10" s="4" t="s">
        <v>4</v>
      </c>
      <c r="F10" s="5" t="s">
        <v>1</v>
      </c>
      <c r="G10" s="54">
        <f>'[8]FTR Fermentation'!$K$200</f>
        <v>1</v>
      </c>
    </row>
    <row r="11" spans="1:7" ht="15.75" x14ac:dyDescent="0.25">
      <c r="A11" s="4" t="s">
        <v>5</v>
      </c>
      <c r="B11" s="5" t="s">
        <v>1</v>
      </c>
      <c r="C11" s="54">
        <f>'[8]FTR Fermentation'!$M$149</f>
        <v>0.91428571428571426</v>
      </c>
      <c r="E11" s="4" t="s">
        <v>5</v>
      </c>
      <c r="F11" s="5" t="s">
        <v>1</v>
      </c>
      <c r="G11" s="54">
        <f>'[8]FTR Fermentation'!$M$200</f>
        <v>1</v>
      </c>
    </row>
    <row r="12" spans="1:7" ht="15.75" x14ac:dyDescent="0.25">
      <c r="A12" s="4" t="s">
        <v>7</v>
      </c>
      <c r="B12" s="5" t="s">
        <v>1</v>
      </c>
      <c r="C12" s="54">
        <f>'[8]FTR Fermentation'!$I$149</f>
        <v>0.70270270270270274</v>
      </c>
      <c r="E12" s="4" t="s">
        <v>7</v>
      </c>
      <c r="F12" s="5" t="s">
        <v>1</v>
      </c>
      <c r="G12" s="54">
        <f>'[8]FTR Fermentation'!$I$200</f>
        <v>0.58823529411764708</v>
      </c>
    </row>
    <row r="13" spans="1:7" ht="3.95" customHeight="1" thickBot="1" x14ac:dyDescent="0.3">
      <c r="A13" s="7"/>
      <c r="B13" s="8"/>
      <c r="C13" s="53"/>
      <c r="E13" s="7"/>
      <c r="F13" s="8"/>
      <c r="G13" s="53"/>
    </row>
    <row r="14" spans="1:7" ht="15.75" x14ac:dyDescent="0.25">
      <c r="A14" s="1" t="s">
        <v>8</v>
      </c>
      <c r="B14" s="2" t="s">
        <v>1</v>
      </c>
      <c r="C14" s="51">
        <f>'[8]FTR BBT'!$N$253</f>
        <v>0.9452054794520548</v>
      </c>
      <c r="E14" s="1" t="s">
        <v>8</v>
      </c>
      <c r="F14" s="2" t="s">
        <v>1</v>
      </c>
      <c r="G14" s="134">
        <f>'[8]FTR BBT'!$O$253</f>
        <v>0.98630136986301364</v>
      </c>
    </row>
    <row r="15" spans="1:7" ht="15.75" x14ac:dyDescent="0.25">
      <c r="A15" s="4" t="s">
        <v>95</v>
      </c>
      <c r="B15" s="5" t="s">
        <v>1</v>
      </c>
      <c r="C15" s="55">
        <f>'[8]FTR BBT'!$D$253</f>
        <v>0.98648648648648651</v>
      </c>
      <c r="E15" s="4" t="s">
        <v>9</v>
      </c>
      <c r="F15" s="5" t="s">
        <v>1</v>
      </c>
      <c r="G15" s="55">
        <f>'[8]FTR BBT'!$D$253</f>
        <v>0.98648648648648651</v>
      </c>
    </row>
    <row r="16" spans="1:7" ht="15.75" x14ac:dyDescent="0.25">
      <c r="A16" s="4" t="s">
        <v>10</v>
      </c>
      <c r="B16" s="5" t="s">
        <v>1</v>
      </c>
      <c r="C16" s="56">
        <f>'[8]FTR BBT'!$J$253</f>
        <v>0.95945945945945943</v>
      </c>
      <c r="E16" s="4" t="s">
        <v>10</v>
      </c>
      <c r="F16" s="5" t="s">
        <v>1</v>
      </c>
      <c r="G16" s="56"/>
    </row>
    <row r="17" spans="1:7" ht="15.75" x14ac:dyDescent="0.25">
      <c r="A17" s="4" t="s">
        <v>13</v>
      </c>
      <c r="B17" s="5" t="s">
        <v>1</v>
      </c>
      <c r="C17" s="55">
        <f>'[8]FTR BBT'!$H$253</f>
        <v>1</v>
      </c>
      <c r="E17" s="4" t="s">
        <v>13</v>
      </c>
      <c r="F17" s="5" t="s">
        <v>1</v>
      </c>
      <c r="G17" s="55">
        <f>'[8]FTR BBT'!$H$253</f>
        <v>1</v>
      </c>
    </row>
    <row r="18" spans="1:7" ht="15.75" x14ac:dyDescent="0.25">
      <c r="A18" s="4" t="s">
        <v>14</v>
      </c>
      <c r="B18" s="5" t="s">
        <v>1</v>
      </c>
      <c r="C18" s="55">
        <f>'[8]FTR BBT'!$F$253</f>
        <v>1</v>
      </c>
      <c r="E18" s="4" t="s">
        <v>14</v>
      </c>
      <c r="F18" s="5" t="s">
        <v>1</v>
      </c>
      <c r="G18" s="55">
        <f>'[8]FTR BBT'!$F$253</f>
        <v>1</v>
      </c>
    </row>
    <row r="19" spans="1:7" ht="15.75" x14ac:dyDescent="0.25">
      <c r="A19" s="4" t="s">
        <v>90</v>
      </c>
      <c r="B19" s="5" t="s">
        <v>1</v>
      </c>
      <c r="C19" s="52">
        <f>'[8]FTR BBT'!$L$253</f>
        <v>1</v>
      </c>
      <c r="E19" s="4"/>
      <c r="F19" s="2"/>
      <c r="G19" s="52">
        <f>'[8]FTR BBT'!$L$253</f>
        <v>1</v>
      </c>
    </row>
    <row r="20" spans="1:7" ht="18" customHeight="1" thickBot="1" x14ac:dyDescent="0.3">
      <c r="A20" s="7"/>
      <c r="B20" s="8"/>
      <c r="C20" s="53"/>
      <c r="E20" s="7"/>
      <c r="F20" s="8"/>
      <c r="G20" s="53"/>
    </row>
    <row r="21" spans="1:7" ht="15.75" x14ac:dyDescent="0.25">
      <c r="A21" s="1" t="s">
        <v>16</v>
      </c>
      <c r="B21" s="2" t="s">
        <v>1</v>
      </c>
      <c r="C21" s="51">
        <f>'[8]FTR Packaging'!$L$169</f>
        <v>0.97727272727272729</v>
      </c>
      <c r="E21" s="1" t="s">
        <v>16</v>
      </c>
      <c r="F21" s="2" t="s">
        <v>1</v>
      </c>
      <c r="G21" s="134">
        <f>'[8]FTR Packaging'!$L$169</f>
        <v>0.97727272727272729</v>
      </c>
    </row>
    <row r="22" spans="1:7" ht="15.75" x14ac:dyDescent="0.25">
      <c r="A22" s="4" t="s">
        <v>18</v>
      </c>
      <c r="B22" s="5" t="s">
        <v>1</v>
      </c>
      <c r="C22" s="54">
        <f>'[8]FTR Packaging'!$F$169</f>
        <v>1</v>
      </c>
      <c r="E22" s="4" t="s">
        <v>18</v>
      </c>
      <c r="F22" s="5" t="s">
        <v>1</v>
      </c>
      <c r="G22" s="54">
        <f>'[8]FTR Packaging'!$F$169</f>
        <v>1</v>
      </c>
    </row>
    <row r="23" spans="1:7" ht="15.75" x14ac:dyDescent="0.25">
      <c r="A23" s="4" t="s">
        <v>19</v>
      </c>
      <c r="B23" s="5" t="s">
        <v>1</v>
      </c>
      <c r="C23" s="54">
        <f>'[8]FTR Packaging'!$D$169</f>
        <v>1</v>
      </c>
      <c r="E23" s="4" t="s">
        <v>19</v>
      </c>
      <c r="F23" s="5" t="s">
        <v>1</v>
      </c>
      <c r="G23" s="54">
        <f>'[8]FTR Packaging'!$D$169</f>
        <v>1</v>
      </c>
    </row>
    <row r="24" spans="1:7" ht="15.75" x14ac:dyDescent="0.25">
      <c r="A24" s="4" t="s">
        <v>91</v>
      </c>
      <c r="B24" s="5" t="s">
        <v>1</v>
      </c>
      <c r="C24" s="54">
        <f>'[8]FTR Packaging'!$J$169</f>
        <v>0.97674418604651159</v>
      </c>
      <c r="E24" s="4" t="s">
        <v>91</v>
      </c>
      <c r="F24" s="5" t="s">
        <v>1</v>
      </c>
      <c r="G24" s="54">
        <f>'[8]FTR Packaging'!$J$169</f>
        <v>0.97674418604651159</v>
      </c>
    </row>
    <row r="25" spans="1:7" ht="15.75" x14ac:dyDescent="0.25">
      <c r="A25" s="7"/>
      <c r="B25" s="8"/>
      <c r="C25" s="53"/>
      <c r="E25" s="7"/>
      <c r="F25" s="8"/>
      <c r="G25" s="53"/>
    </row>
    <row r="26" spans="1:7" ht="15.75" customHeight="1" x14ac:dyDescent="0.25">
      <c r="A26" s="1" t="s">
        <v>22</v>
      </c>
      <c r="B26" s="2" t="s">
        <v>1</v>
      </c>
      <c r="C26" s="108">
        <v>0.83</v>
      </c>
      <c r="E26" s="1" t="s">
        <v>22</v>
      </c>
      <c r="F26" s="2" t="s">
        <v>1</v>
      </c>
      <c r="G26" s="108"/>
    </row>
    <row r="27" spans="1:7" ht="15.75" x14ac:dyDescent="0.25">
      <c r="A27" s="4" t="s">
        <v>23</v>
      </c>
      <c r="B27" s="2" t="s">
        <v>1</v>
      </c>
      <c r="C27" s="54">
        <v>1</v>
      </c>
      <c r="E27" s="4" t="s">
        <v>23</v>
      </c>
      <c r="F27" s="2" t="s">
        <v>1</v>
      </c>
      <c r="G27" s="54"/>
    </row>
    <row r="28" spans="1:7" ht="15.75" x14ac:dyDescent="0.25">
      <c r="A28" s="4" t="s">
        <v>24</v>
      </c>
      <c r="B28" s="2" t="s">
        <v>1</v>
      </c>
      <c r="C28" s="54">
        <v>0.83</v>
      </c>
      <c r="E28" s="4" t="s">
        <v>24</v>
      </c>
      <c r="F28" s="2" t="s">
        <v>1</v>
      </c>
      <c r="G28" s="54"/>
    </row>
    <row r="29" spans="1:7" ht="3.95" customHeight="1" thickBot="1" x14ac:dyDescent="0.3">
      <c r="A29" s="7"/>
      <c r="B29" s="8"/>
      <c r="C29" s="53"/>
      <c r="E29" s="7"/>
      <c r="F29" s="8"/>
      <c r="G29" s="53"/>
    </row>
    <row r="30" spans="1:7" ht="16.5" thickBot="1" x14ac:dyDescent="0.3">
      <c r="A30" s="1" t="s">
        <v>25</v>
      </c>
      <c r="B30" s="2" t="s">
        <v>1</v>
      </c>
      <c r="C30" s="51">
        <f>'[8]FTR Finished Product'!$L$172</f>
        <v>1</v>
      </c>
      <c r="E30" s="1" t="s">
        <v>25</v>
      </c>
      <c r="F30" s="2" t="s">
        <v>1</v>
      </c>
      <c r="G30" s="134">
        <f>'[8]FTR Finished Product'!$L$172</f>
        <v>1</v>
      </c>
    </row>
    <row r="31" spans="1:7" ht="16.5" thickBot="1" x14ac:dyDescent="0.3">
      <c r="A31" s="4" t="s">
        <v>10</v>
      </c>
      <c r="B31" s="2" t="s">
        <v>1</v>
      </c>
      <c r="C31" s="57">
        <f>'[8]FTR Finished Product'!$J$172</f>
        <v>1</v>
      </c>
      <c r="E31" s="4" t="s">
        <v>10</v>
      </c>
      <c r="F31" s="2" t="s">
        <v>1</v>
      </c>
      <c r="G31" s="57">
        <f>'[8]FTR Finished Product'!$J$172</f>
        <v>1</v>
      </c>
    </row>
    <row r="32" spans="1:7" ht="16.5" thickBot="1" x14ac:dyDescent="0.3">
      <c r="A32" s="4" t="s">
        <v>26</v>
      </c>
      <c r="B32" s="2" t="s">
        <v>1</v>
      </c>
      <c r="C32" s="57">
        <f>'[8]FTR Finished Product'!$F$172</f>
        <v>1</v>
      </c>
      <c r="E32" s="4" t="s">
        <v>26</v>
      </c>
      <c r="F32" s="2" t="s">
        <v>1</v>
      </c>
      <c r="G32" s="57">
        <f>'[8]FTR Finished Product'!$F$172</f>
        <v>1</v>
      </c>
    </row>
    <row r="33" spans="1:7" ht="16.5" thickBot="1" x14ac:dyDescent="0.3">
      <c r="A33" s="4" t="s">
        <v>95</v>
      </c>
      <c r="B33" s="2" t="s">
        <v>1</v>
      </c>
      <c r="C33" s="57">
        <f>'[8]FTR Finished Product'!$D$172</f>
        <v>1</v>
      </c>
      <c r="E33" s="4" t="s">
        <v>9</v>
      </c>
      <c r="F33" s="2" t="s">
        <v>1</v>
      </c>
      <c r="G33" s="57">
        <f>'[8]FTR Finished Product'!$D$172</f>
        <v>1</v>
      </c>
    </row>
    <row r="34" spans="1:7" ht="16.5" thickBot="1" x14ac:dyDescent="0.3">
      <c r="A34" s="4" t="s">
        <v>89</v>
      </c>
      <c r="B34" s="2" t="s">
        <v>1</v>
      </c>
      <c r="C34" s="57">
        <f>'[8]FTR Finished Product'!$H$172</f>
        <v>1</v>
      </c>
      <c r="E34" s="4" t="s">
        <v>20</v>
      </c>
      <c r="F34" s="2" t="s">
        <v>1</v>
      </c>
      <c r="G34" s="57">
        <f>'[8]FTR Finished Product'!$H$172</f>
        <v>1</v>
      </c>
    </row>
    <row r="35" spans="1:7" ht="15.75" thickBot="1" x14ac:dyDescent="0.3"/>
    <row r="36" spans="1:7" ht="16.5" thickBot="1" x14ac:dyDescent="0.3">
      <c r="C36" s="122">
        <f>(C2+C7+C14+C21+C26+C30)/6</f>
        <v>0.76636541540651137</v>
      </c>
      <c r="G36" s="122">
        <f>(G2+G7+G14+G21+G26+G30)/6</f>
        <v>0.64164831443490422</v>
      </c>
    </row>
    <row r="37" spans="1:7" ht="18.75" x14ac:dyDescent="0.25">
      <c r="A37" s="125" t="s">
        <v>93</v>
      </c>
      <c r="B37" s="23" t="s">
        <v>35</v>
      </c>
      <c r="C37" s="126">
        <f>AVERAGE('January ''25'!C37,'February ''24'!C38,C36)</f>
        <v>0.74713879300834807</v>
      </c>
      <c r="E37" s="125" t="s">
        <v>94</v>
      </c>
      <c r="F37" s="23" t="s">
        <v>35</v>
      </c>
      <c r="G37" s="61">
        <f>AVERAGE('January ''25'!G37,'February ''24'!G38,'March ''24'!G36)</f>
        <v>0.72430088147949467</v>
      </c>
    </row>
  </sheetData>
  <pageMargins left="0.7" right="0.7" top="0.75" bottom="0.75" header="0.3" footer="0.3"/>
  <pageSetup scale="7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G37"/>
  <sheetViews>
    <sheetView showGridLines="0" workbookViewId="0">
      <selection activeCell="D8" sqref="D8"/>
    </sheetView>
  </sheetViews>
  <sheetFormatPr defaultRowHeight="15" x14ac:dyDescent="0.25"/>
  <cols>
    <col min="1" max="1" width="28" customWidth="1"/>
    <col min="3" max="3" width="10" style="58" customWidth="1"/>
    <col min="5" max="5" width="30.5703125" hidden="1" customWidth="1"/>
    <col min="6" max="6" width="5.85546875" hidden="1" customWidth="1"/>
    <col min="7" max="7" width="15.42578125" hidden="1" customWidth="1"/>
  </cols>
  <sheetData>
    <row r="1" spans="1:7" s="18" customFormat="1" ht="24" thickBot="1" x14ac:dyDescent="0.4">
      <c r="A1" s="17" t="s">
        <v>103</v>
      </c>
      <c r="C1" s="17" t="s">
        <v>86</v>
      </c>
      <c r="E1" s="17" t="s">
        <v>92</v>
      </c>
      <c r="G1" s="17" t="s">
        <v>86</v>
      </c>
    </row>
    <row r="2" spans="1:7" ht="15.75" x14ac:dyDescent="0.25">
      <c r="A2" s="1" t="s">
        <v>27</v>
      </c>
      <c r="B2" s="2" t="s">
        <v>1</v>
      </c>
      <c r="C2" s="51">
        <f>'[8]FTR Brewhouse'!$I$630</f>
        <v>0.3577981651376147</v>
      </c>
      <c r="E2" s="1" t="s">
        <v>27</v>
      </c>
      <c r="F2" s="2" t="s">
        <v>1</v>
      </c>
      <c r="G2" s="51">
        <f>'[8]FTR Brewhouse'!$I$630</f>
        <v>0.3577981651376147</v>
      </c>
    </row>
    <row r="3" spans="1:7" ht="15.75" x14ac:dyDescent="0.25">
      <c r="A3" s="15" t="s">
        <v>28</v>
      </c>
      <c r="B3" s="5" t="s">
        <v>1</v>
      </c>
      <c r="C3" s="52">
        <f>'[8]FTR Brewhouse'!$C$630</f>
        <v>0.92727272727272725</v>
      </c>
      <c r="E3" s="15" t="s">
        <v>28</v>
      </c>
      <c r="F3" s="5" t="s">
        <v>1</v>
      </c>
      <c r="G3" s="52">
        <f>'[8]FTR Brewhouse'!$C$630</f>
        <v>0.92727272727272725</v>
      </c>
    </row>
    <row r="4" spans="1:7" ht="15.75" x14ac:dyDescent="0.25">
      <c r="A4" s="4" t="s">
        <v>87</v>
      </c>
      <c r="B4" s="5" t="s">
        <v>1</v>
      </c>
      <c r="C4" s="54">
        <f>'[8]FTR Brewhouse'!$E$630</f>
        <v>0.38181818181818183</v>
      </c>
      <c r="E4" s="4" t="s">
        <v>87</v>
      </c>
      <c r="F4" s="5" t="s">
        <v>1</v>
      </c>
      <c r="G4" s="54">
        <f>'[8]FTR Brewhouse'!$E$630</f>
        <v>0.38181818181818183</v>
      </c>
    </row>
    <row r="5" spans="1:7" ht="15.75" x14ac:dyDescent="0.25">
      <c r="A5" s="4" t="s">
        <v>88</v>
      </c>
      <c r="B5" s="5" t="s">
        <v>1</v>
      </c>
      <c r="C5" s="54">
        <f>'[8]FTR Brewhouse'!$G$630</f>
        <v>1</v>
      </c>
      <c r="E5" s="4" t="s">
        <v>88</v>
      </c>
      <c r="F5" s="5" t="s">
        <v>1</v>
      </c>
      <c r="G5" s="54">
        <f>'[8]FTR Brewhouse'!$G$630</f>
        <v>1</v>
      </c>
    </row>
    <row r="6" spans="1:7" ht="3.95" customHeight="1" thickBot="1" x14ac:dyDescent="0.3">
      <c r="A6" s="7"/>
      <c r="B6" s="8"/>
      <c r="C6" s="53"/>
      <c r="E6" s="7"/>
      <c r="F6" s="8"/>
      <c r="G6" s="53"/>
    </row>
    <row r="7" spans="1:7" ht="15.75" x14ac:dyDescent="0.25">
      <c r="A7" s="1" t="s">
        <v>0</v>
      </c>
      <c r="B7" s="2" t="s">
        <v>1</v>
      </c>
      <c r="C7" s="51">
        <f>'[8]FTR Fermentation'!$P$200</f>
        <v>0.52631578947368418</v>
      </c>
      <c r="E7" s="1" t="s">
        <v>0</v>
      </c>
      <c r="F7" s="2" t="s">
        <v>1</v>
      </c>
      <c r="G7" s="51">
        <f>'[8]FTR Fermentation'!$P$200</f>
        <v>0.52631578947368418</v>
      </c>
    </row>
    <row r="8" spans="1:7" ht="15.75" x14ac:dyDescent="0.25">
      <c r="A8" s="4" t="s">
        <v>2</v>
      </c>
      <c r="B8" s="5" t="s">
        <v>1</v>
      </c>
      <c r="C8" s="54">
        <f>'[8]FTR Fermentation'!$D$200</f>
        <v>0.82608695652173914</v>
      </c>
      <c r="E8" s="4" t="s">
        <v>2</v>
      </c>
      <c r="F8" s="5" t="s">
        <v>1</v>
      </c>
      <c r="G8" s="54">
        <f>'[8]FTR Fermentation'!$D$200</f>
        <v>0.82608695652173914</v>
      </c>
    </row>
    <row r="9" spans="1:7" ht="15.75" x14ac:dyDescent="0.25">
      <c r="A9" s="4" t="s">
        <v>3</v>
      </c>
      <c r="B9" s="5" t="s">
        <v>1</v>
      </c>
      <c r="C9" s="54">
        <f>'[8]FTR Fermentation'!$G$200</f>
        <v>1</v>
      </c>
      <c r="E9" s="4" t="s">
        <v>3</v>
      </c>
      <c r="F9" s="5" t="s">
        <v>1</v>
      </c>
      <c r="G9" s="54">
        <f>'[8]FTR Fermentation'!$G$200</f>
        <v>1</v>
      </c>
    </row>
    <row r="10" spans="1:7" ht="15.75" x14ac:dyDescent="0.25">
      <c r="A10" s="4" t="s">
        <v>4</v>
      </c>
      <c r="B10" s="5" t="s">
        <v>1</v>
      </c>
      <c r="C10" s="54">
        <f>'[8]FTR Fermentation'!$K$200</f>
        <v>1</v>
      </c>
      <c r="E10" s="4" t="s">
        <v>4</v>
      </c>
      <c r="F10" s="5" t="s">
        <v>1</v>
      </c>
      <c r="G10" s="54">
        <f>'[8]FTR Fermentation'!$K$200</f>
        <v>1</v>
      </c>
    </row>
    <row r="11" spans="1:7" ht="15.75" x14ac:dyDescent="0.25">
      <c r="A11" s="4" t="s">
        <v>5</v>
      </c>
      <c r="B11" s="5" t="s">
        <v>1</v>
      </c>
      <c r="C11" s="54">
        <f>'[8]FTR Fermentation'!$M$200</f>
        <v>1</v>
      </c>
      <c r="E11" s="4" t="s">
        <v>5</v>
      </c>
      <c r="F11" s="5" t="s">
        <v>1</v>
      </c>
      <c r="G11" s="54">
        <f>'[8]FTR Fermentation'!$M$200</f>
        <v>1</v>
      </c>
    </row>
    <row r="12" spans="1:7" ht="15.75" x14ac:dyDescent="0.25">
      <c r="A12" s="4" t="s">
        <v>7</v>
      </c>
      <c r="B12" s="5" t="s">
        <v>1</v>
      </c>
      <c r="C12" s="54">
        <f>'[8]FTR Fermentation'!$I$200</f>
        <v>0.58823529411764708</v>
      </c>
      <c r="E12" s="4" t="s">
        <v>7</v>
      </c>
      <c r="F12" s="5" t="s">
        <v>1</v>
      </c>
      <c r="G12" s="54">
        <f>'[8]FTR Fermentation'!$I$200</f>
        <v>0.58823529411764708</v>
      </c>
    </row>
    <row r="13" spans="1:7" ht="3.95" customHeight="1" thickBot="1" x14ac:dyDescent="0.3">
      <c r="A13" s="7"/>
      <c r="B13" s="8"/>
      <c r="C13" s="53"/>
      <c r="E13" s="7"/>
      <c r="F13" s="8"/>
      <c r="G13" s="53"/>
    </row>
    <row r="14" spans="1:7" ht="15.75" x14ac:dyDescent="0.25">
      <c r="A14" s="1" t="s">
        <v>8</v>
      </c>
      <c r="B14" s="2" t="s">
        <v>1</v>
      </c>
      <c r="C14" s="134">
        <f>'[8]FTR BBT'!$N$333</f>
        <v>0.95890410958904104</v>
      </c>
      <c r="E14" s="1" t="s">
        <v>8</v>
      </c>
      <c r="F14" s="2" t="s">
        <v>1</v>
      </c>
      <c r="G14" s="134">
        <f>'[8]FTR BBT'!$O$321</f>
        <v>1</v>
      </c>
    </row>
    <row r="15" spans="1:7" ht="15.75" x14ac:dyDescent="0.25">
      <c r="A15" s="4" t="s">
        <v>95</v>
      </c>
      <c r="B15" s="5" t="s">
        <v>1</v>
      </c>
      <c r="C15" s="55">
        <f>'[8]FTR BBT'!$D$333</f>
        <v>0.98648648648648651</v>
      </c>
      <c r="E15" s="4" t="s">
        <v>9</v>
      </c>
      <c r="F15" s="5" t="s">
        <v>1</v>
      </c>
      <c r="G15" s="55">
        <f>'[8]FTR BBT'!$D$321</f>
        <v>2.0499999999999998</v>
      </c>
    </row>
    <row r="16" spans="1:7" ht="15.75" x14ac:dyDescent="0.25">
      <c r="A16" s="4" t="s">
        <v>10</v>
      </c>
      <c r="B16" s="5" t="s">
        <v>1</v>
      </c>
      <c r="C16" s="56">
        <f>'[8]FTR BBT'!$J$333</f>
        <v>0.97297297297297303</v>
      </c>
      <c r="E16" s="4" t="s">
        <v>10</v>
      </c>
      <c r="F16" s="5" t="s">
        <v>1</v>
      </c>
      <c r="G16" s="56"/>
    </row>
    <row r="17" spans="1:7" ht="15.75" x14ac:dyDescent="0.25">
      <c r="A17" s="4" t="s">
        <v>13</v>
      </c>
      <c r="B17" s="5" t="s">
        <v>1</v>
      </c>
      <c r="C17" s="55">
        <f>'[8]FTR BBT'!$H$333</f>
        <v>1</v>
      </c>
      <c r="E17" s="4" t="s">
        <v>13</v>
      </c>
      <c r="F17" s="5" t="s">
        <v>1</v>
      </c>
      <c r="G17" s="55">
        <f>'[8]FTR BBT'!$H$321</f>
        <v>2.8</v>
      </c>
    </row>
    <row r="18" spans="1:7" ht="15.75" x14ac:dyDescent="0.25">
      <c r="A18" s="4" t="s">
        <v>14</v>
      </c>
      <c r="B18" s="5" t="s">
        <v>1</v>
      </c>
      <c r="C18" s="55">
        <f>'[8]FTR BBT'!$F$333</f>
        <v>1</v>
      </c>
      <c r="E18" s="4" t="s">
        <v>14</v>
      </c>
      <c r="F18" s="5" t="s">
        <v>1</v>
      </c>
      <c r="G18" s="55">
        <f>'[8]FTR BBT'!$F$321</f>
        <v>0.03</v>
      </c>
    </row>
    <row r="19" spans="1:7" ht="15.75" x14ac:dyDescent="0.25">
      <c r="A19" s="4" t="s">
        <v>90</v>
      </c>
      <c r="B19" s="5" t="s">
        <v>1</v>
      </c>
      <c r="C19" s="52">
        <f>'[8]FTR BBT'!$L$333</f>
        <v>1</v>
      </c>
      <c r="E19" s="4"/>
      <c r="F19" s="2"/>
      <c r="G19" s="52">
        <f>'[8]FTR BBT'!$L$321</f>
        <v>0.31</v>
      </c>
    </row>
    <row r="20" spans="1:7" ht="16.5" thickBot="1" x14ac:dyDescent="0.3">
      <c r="A20" s="7"/>
      <c r="B20" s="8"/>
      <c r="C20" s="53"/>
      <c r="E20" s="7"/>
      <c r="F20" s="8"/>
      <c r="G20" s="53"/>
    </row>
    <row r="21" spans="1:7" ht="15.75" x14ac:dyDescent="0.25">
      <c r="A21" s="1" t="s">
        <v>16</v>
      </c>
      <c r="B21" s="2" t="s">
        <v>1</v>
      </c>
      <c r="C21" s="134">
        <f>'[8]FTR Packaging'!$L$224</f>
        <v>0.98</v>
      </c>
      <c r="E21" s="1" t="s">
        <v>16</v>
      </c>
      <c r="F21" s="2" t="s">
        <v>1</v>
      </c>
      <c r="G21" s="134">
        <f>'[8]FTR Packaging'!$L$224</f>
        <v>0.98</v>
      </c>
    </row>
    <row r="22" spans="1:7" ht="15.75" x14ac:dyDescent="0.25">
      <c r="A22" s="4" t="s">
        <v>18</v>
      </c>
      <c r="B22" s="5" t="s">
        <v>1</v>
      </c>
      <c r="C22" s="54">
        <f>'[8]FTR Packaging'!$F$224</f>
        <v>0.97959183673469385</v>
      </c>
      <c r="E22" s="4" t="s">
        <v>18</v>
      </c>
      <c r="F22" s="5" t="s">
        <v>1</v>
      </c>
      <c r="G22" s="54">
        <f>'[8]FTR Packaging'!$F$224</f>
        <v>0.97959183673469385</v>
      </c>
    </row>
    <row r="23" spans="1:7" ht="15.75" x14ac:dyDescent="0.25">
      <c r="A23" s="4" t="s">
        <v>19</v>
      </c>
      <c r="B23" s="5" t="s">
        <v>1</v>
      </c>
      <c r="C23" s="54">
        <f>'[8]FTR Packaging'!$D$224</f>
        <v>1</v>
      </c>
      <c r="E23" s="4" t="s">
        <v>19</v>
      </c>
      <c r="F23" s="5" t="s">
        <v>1</v>
      </c>
      <c r="G23" s="54">
        <f>'[8]FTR Packaging'!$D$224</f>
        <v>1</v>
      </c>
    </row>
    <row r="24" spans="1:7" ht="15.75" x14ac:dyDescent="0.25">
      <c r="A24" s="4" t="s">
        <v>91</v>
      </c>
      <c r="B24" s="5" t="s">
        <v>1</v>
      </c>
      <c r="C24" s="54">
        <f>'[8]FTR Packaging'!$J$224</f>
        <v>1</v>
      </c>
      <c r="E24" s="4" t="s">
        <v>91</v>
      </c>
      <c r="F24" s="5" t="s">
        <v>1</v>
      </c>
      <c r="G24" s="54">
        <f>'[8]FTR Packaging'!$J$224</f>
        <v>1</v>
      </c>
    </row>
    <row r="25" spans="1:7" ht="6.75" customHeight="1" x14ac:dyDescent="0.25">
      <c r="A25" s="7"/>
      <c r="B25" s="8"/>
      <c r="C25" s="53"/>
      <c r="E25" s="7"/>
      <c r="F25" s="8"/>
      <c r="G25" s="53"/>
    </row>
    <row r="26" spans="1:7" ht="15.75" x14ac:dyDescent="0.25">
      <c r="A26" s="1" t="s">
        <v>22</v>
      </c>
      <c r="B26" s="2" t="s">
        <v>1</v>
      </c>
      <c r="C26" s="108">
        <v>0.78300000000000003</v>
      </c>
      <c r="E26" s="1" t="s">
        <v>22</v>
      </c>
      <c r="F26" s="2" t="s">
        <v>1</v>
      </c>
      <c r="G26" s="108"/>
    </row>
    <row r="27" spans="1:7" ht="15.75" x14ac:dyDescent="0.25">
      <c r="A27" s="4" t="s">
        <v>23</v>
      </c>
      <c r="B27" s="2" t="s">
        <v>1</v>
      </c>
      <c r="C27" s="54">
        <v>1</v>
      </c>
      <c r="E27" s="4" t="s">
        <v>23</v>
      </c>
      <c r="F27" s="2" t="s">
        <v>1</v>
      </c>
      <c r="G27" s="54"/>
    </row>
    <row r="28" spans="1:7" ht="15.75" x14ac:dyDescent="0.25">
      <c r="A28" s="4" t="s">
        <v>24</v>
      </c>
      <c r="B28" s="2" t="s">
        <v>1</v>
      </c>
      <c r="C28" s="54">
        <v>0.78300000000000003</v>
      </c>
      <c r="E28" s="4" t="s">
        <v>24</v>
      </c>
      <c r="F28" s="2" t="s">
        <v>1</v>
      </c>
      <c r="G28" s="54"/>
    </row>
    <row r="29" spans="1:7" ht="3.95" customHeight="1" thickBot="1" x14ac:dyDescent="0.3">
      <c r="A29" s="7"/>
      <c r="B29" s="8"/>
      <c r="C29" s="53"/>
      <c r="E29" s="7"/>
      <c r="F29" s="8"/>
      <c r="G29" s="53"/>
    </row>
    <row r="30" spans="1:7" ht="16.5" thickBot="1" x14ac:dyDescent="0.3">
      <c r="A30" s="1" t="s">
        <v>25</v>
      </c>
      <c r="B30" s="2" t="s">
        <v>1</v>
      </c>
      <c r="C30" s="134">
        <f>'[8]FTR Finished Product'!$L$228</f>
        <v>1</v>
      </c>
      <c r="E30" s="1" t="s">
        <v>25</v>
      </c>
      <c r="F30" s="2" t="s">
        <v>1</v>
      </c>
      <c r="G30" s="134" t="e">
        <f>'[8]FTR Finished Product'!$M$229</f>
        <v>#REF!</v>
      </c>
    </row>
    <row r="31" spans="1:7" ht="16.5" thickBot="1" x14ac:dyDescent="0.3">
      <c r="A31" s="4" t="s">
        <v>10</v>
      </c>
      <c r="B31" s="2" t="s">
        <v>1</v>
      </c>
      <c r="C31" s="57">
        <f>'[8]FTR Finished Product'!$J$228</f>
        <v>1</v>
      </c>
      <c r="E31" s="4" t="s">
        <v>10</v>
      </c>
      <c r="F31" s="2" t="s">
        <v>1</v>
      </c>
      <c r="G31" s="57" t="e">
        <f>'[8]FTR Finished Product'!$J$229</f>
        <v>#REF!</v>
      </c>
    </row>
    <row r="32" spans="1:7" ht="16.5" thickBot="1" x14ac:dyDescent="0.3">
      <c r="A32" s="4" t="s">
        <v>26</v>
      </c>
      <c r="B32" s="2" t="s">
        <v>1</v>
      </c>
      <c r="C32" s="57">
        <f>'[8]FTR Finished Product'!$F$228</f>
        <v>1</v>
      </c>
      <c r="E32" s="4" t="s">
        <v>26</v>
      </c>
      <c r="F32" s="2" t="s">
        <v>1</v>
      </c>
      <c r="G32" s="57" t="e">
        <f>'[8]FTR Finished Product'!$F$229</f>
        <v>#REF!</v>
      </c>
    </row>
    <row r="33" spans="1:7" ht="16.5" thickBot="1" x14ac:dyDescent="0.3">
      <c r="A33" s="4" t="s">
        <v>95</v>
      </c>
      <c r="B33" s="2" t="s">
        <v>1</v>
      </c>
      <c r="C33" s="57">
        <f>'[8]FTR Finished Product'!$D$228</f>
        <v>1</v>
      </c>
      <c r="E33" s="4" t="s">
        <v>9</v>
      </c>
      <c r="F33" s="2" t="s">
        <v>1</v>
      </c>
      <c r="G33" s="57" t="e">
        <f>'[8]FTR Finished Product'!$D$229</f>
        <v>#REF!</v>
      </c>
    </row>
    <row r="34" spans="1:7" ht="16.5" thickBot="1" x14ac:dyDescent="0.3">
      <c r="A34" s="4" t="s">
        <v>20</v>
      </c>
      <c r="B34" s="2" t="s">
        <v>1</v>
      </c>
      <c r="C34" s="57">
        <f>'[8]FTR Finished Product'!$H$228</f>
        <v>1</v>
      </c>
      <c r="E34" s="4" t="s">
        <v>20</v>
      </c>
      <c r="F34" s="2" t="s">
        <v>1</v>
      </c>
      <c r="G34" s="57" t="e">
        <f>'[8]FTR Finished Product'!$H$229</f>
        <v>#REF!</v>
      </c>
    </row>
    <row r="35" spans="1:7" ht="15.75" thickBot="1" x14ac:dyDescent="0.3"/>
    <row r="36" spans="1:7" ht="16.5" thickBot="1" x14ac:dyDescent="0.3">
      <c r="C36" s="122">
        <f>(C2+C7+C14+C21+C26+C30)/6</f>
        <v>0.76766967736672331</v>
      </c>
      <c r="G36" s="122" t="e">
        <f>(G2+G7+G14+G21+G26+G30)/6</f>
        <v>#REF!</v>
      </c>
    </row>
    <row r="37" spans="1:7" ht="18.75" x14ac:dyDescent="0.25">
      <c r="A37" s="125"/>
      <c r="B37" s="23" t="s">
        <v>35</v>
      </c>
      <c r="C37" s="126">
        <f>AVERAGE('January ''25'!C37,'February ''24'!C38,'March ''24'!C36,'April ''24'!C36)</f>
        <v>0.75227151409794191</v>
      </c>
      <c r="E37" s="125" t="s">
        <v>94</v>
      </c>
      <c r="F37" s="23" t="s">
        <v>35</v>
      </c>
      <c r="G37" s="126" t="e">
        <f>AVERAGE('January ''25'!G37,'February ''24'!G38,'March ''24'!G36,'April ''24'!G36)</f>
        <v>#REF!</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45F1-66FB-4347-95C8-72E63CFF15D1}">
  <dimension ref="A1:H37"/>
  <sheetViews>
    <sheetView showGridLines="0" zoomScale="90" zoomScaleNormal="90" workbookViewId="0">
      <selection activeCell="D8" sqref="D8"/>
    </sheetView>
  </sheetViews>
  <sheetFormatPr defaultRowHeight="15" x14ac:dyDescent="0.25"/>
  <cols>
    <col min="1" max="1" width="28" customWidth="1"/>
    <col min="3" max="3" width="13.5703125" style="58" customWidth="1"/>
    <col min="4" max="4" width="8.140625" customWidth="1"/>
    <col min="5" max="5" width="30.5703125" hidden="1" customWidth="1"/>
    <col min="6" max="6" width="5.85546875" hidden="1" customWidth="1"/>
    <col min="7" max="7" width="10.42578125" hidden="1" customWidth="1"/>
    <col min="8" max="8" width="9.140625" hidden="1" customWidth="1"/>
  </cols>
  <sheetData>
    <row r="1" spans="1:7" s="18" customFormat="1" ht="24" thickBot="1" x14ac:dyDescent="0.4">
      <c r="A1" s="17" t="s">
        <v>104</v>
      </c>
      <c r="C1" s="107" t="s">
        <v>86</v>
      </c>
      <c r="E1" s="17" t="s">
        <v>92</v>
      </c>
      <c r="G1" s="17" t="s">
        <v>86</v>
      </c>
    </row>
    <row r="2" spans="1:7" ht="15.75" x14ac:dyDescent="0.25">
      <c r="A2" s="1" t="s">
        <v>27</v>
      </c>
      <c r="B2" s="2" t="s">
        <v>1</v>
      </c>
      <c r="C2" s="51">
        <f>'[8]FTR Brewhouse'!$I$1060</f>
        <v>0.51388888888888884</v>
      </c>
      <c r="E2" s="1" t="s">
        <v>27</v>
      </c>
      <c r="F2" s="2" t="s">
        <v>1</v>
      </c>
      <c r="G2" s="51">
        <f>'[8]FTR Brewhouse'!$I$1060</f>
        <v>0.51388888888888884</v>
      </c>
    </row>
    <row r="3" spans="1:7" ht="15.75" x14ac:dyDescent="0.25">
      <c r="A3" s="15" t="s">
        <v>28</v>
      </c>
      <c r="B3" s="5" t="s">
        <v>1</v>
      </c>
      <c r="C3" s="52">
        <f>'[10]FTR Brewhouse'!$C$1060</f>
        <v>0.85526315789473684</v>
      </c>
      <c r="E3" s="15" t="s">
        <v>28</v>
      </c>
      <c r="F3" s="5" t="s">
        <v>1</v>
      </c>
      <c r="G3" s="52">
        <f>'[8]FTR Brewhouse'!$C$1060</f>
        <v>0.82894736842105265</v>
      </c>
    </row>
    <row r="4" spans="1:7" ht="15.75" x14ac:dyDescent="0.25">
      <c r="A4" s="4" t="s">
        <v>87</v>
      </c>
      <c r="B4" s="5" t="s">
        <v>1</v>
      </c>
      <c r="C4" s="54">
        <f>'[10]FTR Brewhouse'!$E$1060</f>
        <v>0.60130718954248363</v>
      </c>
      <c r="E4" s="4" t="s">
        <v>87</v>
      </c>
      <c r="F4" s="5" t="s">
        <v>1</v>
      </c>
      <c r="G4" s="54">
        <f>'[8]FTR Brewhouse'!$E$1060</f>
        <v>0.60130718954248363</v>
      </c>
    </row>
    <row r="5" spans="1:7" ht="15.75" x14ac:dyDescent="0.25">
      <c r="A5" s="4" t="s">
        <v>88</v>
      </c>
      <c r="B5" s="5" t="s">
        <v>1</v>
      </c>
      <c r="C5" s="54">
        <f>'[10]FTR Brewhouse'!$G$1060</f>
        <v>0.97692307692307689</v>
      </c>
      <c r="E5" s="4" t="s">
        <v>88</v>
      </c>
      <c r="F5" s="5" t="s">
        <v>1</v>
      </c>
      <c r="G5" s="54">
        <f>'[8]FTR Brewhouse'!$G$1060</f>
        <v>1</v>
      </c>
    </row>
    <row r="6" spans="1:7" ht="16.5" thickBot="1" x14ac:dyDescent="0.3">
      <c r="A6" s="7"/>
      <c r="B6" s="8"/>
      <c r="C6" s="53"/>
      <c r="E6" s="7"/>
      <c r="F6" s="8"/>
      <c r="G6" s="53"/>
    </row>
    <row r="7" spans="1:7" ht="15.75" x14ac:dyDescent="0.25">
      <c r="A7" s="1" t="s">
        <v>0</v>
      </c>
      <c r="B7" s="2" t="s">
        <v>1</v>
      </c>
      <c r="C7" s="51">
        <f>'[10]FTR Fermentation'!$P$286</f>
        <v>0.42307692307692307</v>
      </c>
      <c r="E7" s="1" t="s">
        <v>0</v>
      </c>
      <c r="F7" s="2" t="s">
        <v>1</v>
      </c>
      <c r="G7" s="51">
        <f>'June ''24 '!C7</f>
        <v>0.42307692307692307</v>
      </c>
    </row>
    <row r="8" spans="1:7" ht="15.75" x14ac:dyDescent="0.25">
      <c r="A8" s="4" t="s">
        <v>2</v>
      </c>
      <c r="B8" s="5" t="s">
        <v>1</v>
      </c>
      <c r="C8" s="54">
        <f>'[10]FTR Fermentation'!$D$286</f>
        <v>0.84615384615384615</v>
      </c>
      <c r="E8" s="4" t="s">
        <v>2</v>
      </c>
      <c r="F8" s="5" t="s">
        <v>1</v>
      </c>
      <c r="G8" s="54">
        <f>'June ''24 '!C8</f>
        <v>0.84615384615384615</v>
      </c>
    </row>
    <row r="9" spans="1:7" ht="15.75" x14ac:dyDescent="0.25">
      <c r="A9" s="4" t="s">
        <v>3</v>
      </c>
      <c r="B9" s="5" t="s">
        <v>1</v>
      </c>
      <c r="C9" s="54">
        <f>'[10]FTR Fermentation'!$G$286</f>
        <v>1</v>
      </c>
      <c r="E9" s="4" t="s">
        <v>3</v>
      </c>
      <c r="F9" s="5" t="s">
        <v>1</v>
      </c>
      <c r="G9" s="54">
        <f>'June ''24 '!C9</f>
        <v>1</v>
      </c>
    </row>
    <row r="10" spans="1:7" ht="15.75" x14ac:dyDescent="0.25">
      <c r="A10" s="4" t="s">
        <v>4</v>
      </c>
      <c r="B10" s="5" t="s">
        <v>1</v>
      </c>
      <c r="C10" s="54">
        <f>'[10]FTR Fermentation'!$K$286</f>
        <v>1</v>
      </c>
      <c r="E10" s="4" t="s">
        <v>4</v>
      </c>
      <c r="F10" s="5" t="s">
        <v>1</v>
      </c>
      <c r="G10" s="54">
        <f>'June ''24 '!C10</f>
        <v>1</v>
      </c>
    </row>
    <row r="11" spans="1:7" ht="15.75" x14ac:dyDescent="0.25">
      <c r="A11" s="4" t="s">
        <v>5</v>
      </c>
      <c r="B11" s="5" t="s">
        <v>1</v>
      </c>
      <c r="C11" s="54">
        <f>'[10]FTR Fermentation'!$M$286</f>
        <v>0.73076923076923073</v>
      </c>
      <c r="E11" s="4" t="s">
        <v>5</v>
      </c>
      <c r="F11" s="5" t="s">
        <v>1</v>
      </c>
      <c r="G11" s="54">
        <f>'June ''24 '!C11</f>
        <v>0.73076923076923073</v>
      </c>
    </row>
    <row r="12" spans="1:7" ht="15.75" x14ac:dyDescent="0.25">
      <c r="A12" s="4" t="s">
        <v>7</v>
      </c>
      <c r="B12" s="5" t="s">
        <v>1</v>
      </c>
      <c r="C12" s="54">
        <f>'[10]FTR Fermentation'!$I$286</f>
        <v>0.61538461538461542</v>
      </c>
      <c r="E12" s="4" t="s">
        <v>7</v>
      </c>
      <c r="F12" s="5" t="s">
        <v>1</v>
      </c>
      <c r="G12" s="54">
        <f>'June ''24 '!C12</f>
        <v>0.61538461538461542</v>
      </c>
    </row>
    <row r="13" spans="1:7" ht="16.5" thickBot="1" x14ac:dyDescent="0.3">
      <c r="A13" s="7"/>
      <c r="B13" s="8"/>
      <c r="C13" s="53"/>
      <c r="E13" s="7"/>
      <c r="F13" s="8"/>
      <c r="G13" s="53"/>
    </row>
    <row r="14" spans="1:7" ht="15.75" x14ac:dyDescent="0.25">
      <c r="A14" s="1" t="s">
        <v>8</v>
      </c>
      <c r="B14" s="2" t="s">
        <v>1</v>
      </c>
      <c r="C14" s="51">
        <f>'[10]FTR BBT'!$N$460</f>
        <v>0.84848484848484851</v>
      </c>
      <c r="E14" s="1" t="s">
        <v>8</v>
      </c>
      <c r="F14" s="2" t="s">
        <v>1</v>
      </c>
      <c r="G14" s="51">
        <f>'[8]FTR BBT'!$O$472</f>
        <v>1</v>
      </c>
    </row>
    <row r="15" spans="1:7" ht="15.75" x14ac:dyDescent="0.25">
      <c r="A15" s="4" t="s">
        <v>95</v>
      </c>
      <c r="B15" s="5" t="s">
        <v>1</v>
      </c>
      <c r="C15" s="55">
        <f>'[10]FTR BBT'!$D$460</f>
        <v>0.9242424242424242</v>
      </c>
      <c r="E15" s="4" t="s">
        <v>95</v>
      </c>
      <c r="F15" s="5" t="s">
        <v>1</v>
      </c>
      <c r="G15" s="55">
        <f>'[8]FTR BBT'!$D$472</f>
        <v>2.13</v>
      </c>
    </row>
    <row r="16" spans="1:7" ht="15.75" x14ac:dyDescent="0.25">
      <c r="A16" s="4" t="s">
        <v>10</v>
      </c>
      <c r="B16" s="5" t="s">
        <v>1</v>
      </c>
      <c r="C16" s="56">
        <f>'[10]FTR BBT'!$J$460</f>
        <v>0.92307692307692313</v>
      </c>
      <c r="E16" s="4" t="s">
        <v>10</v>
      </c>
      <c r="F16" s="5" t="s">
        <v>1</v>
      </c>
      <c r="G16" s="56"/>
    </row>
    <row r="17" spans="1:7" ht="15.75" x14ac:dyDescent="0.25">
      <c r="A17" s="4" t="s">
        <v>13</v>
      </c>
      <c r="B17" s="5" t="s">
        <v>1</v>
      </c>
      <c r="C17" s="55">
        <f>'[10]FTR BBT'!$H$460</f>
        <v>1</v>
      </c>
      <c r="E17" s="4" t="s">
        <v>13</v>
      </c>
      <c r="F17" s="5" t="s">
        <v>1</v>
      </c>
      <c r="G17" s="55">
        <f>'[8]FTR BBT'!$H$472</f>
        <v>2.85</v>
      </c>
    </row>
    <row r="18" spans="1:7" ht="15.75" x14ac:dyDescent="0.25">
      <c r="A18" s="4" t="s">
        <v>14</v>
      </c>
      <c r="B18" s="5" t="s">
        <v>1</v>
      </c>
      <c r="C18" s="55">
        <f>'[10]FTR BBT'!$F$460</f>
        <v>1</v>
      </c>
      <c r="E18" s="4" t="s">
        <v>14</v>
      </c>
      <c r="F18" s="5" t="s">
        <v>1</v>
      </c>
      <c r="G18" s="55">
        <f>'[8]FTR BBT'!$F$472</f>
        <v>0.03</v>
      </c>
    </row>
    <row r="19" spans="1:7" ht="15.75" x14ac:dyDescent="0.25">
      <c r="A19" s="4" t="s">
        <v>90</v>
      </c>
      <c r="B19" s="5" t="s">
        <v>1</v>
      </c>
      <c r="C19" s="55">
        <f>'[10]FTR BBT'!$L$460</f>
        <v>0.98275862068965514</v>
      </c>
      <c r="E19" s="4" t="s">
        <v>90</v>
      </c>
      <c r="F19" s="5" t="s">
        <v>1</v>
      </c>
      <c r="G19" s="55">
        <f>'[8]FTR BBT'!$L$472</f>
        <v>0.56999999999999995</v>
      </c>
    </row>
    <row r="20" spans="1:7" ht="16.5" thickBot="1" x14ac:dyDescent="0.3">
      <c r="A20" s="7"/>
      <c r="B20" s="8"/>
      <c r="C20" s="53"/>
      <c r="E20" s="7"/>
      <c r="F20" s="8"/>
      <c r="G20" s="53"/>
    </row>
    <row r="21" spans="1:7" ht="15.75" x14ac:dyDescent="0.25">
      <c r="A21" s="1" t="s">
        <v>16</v>
      </c>
      <c r="B21" s="2" t="s">
        <v>1</v>
      </c>
      <c r="C21" s="51">
        <f>'[10]FTR Packaging'!$L$374</f>
        <v>0.91379310344827591</v>
      </c>
      <c r="E21" s="1" t="s">
        <v>16</v>
      </c>
      <c r="F21" s="2" t="s">
        <v>1</v>
      </c>
      <c r="G21" s="51">
        <f>'June ''24 '!C21</f>
        <v>0.91379310344827591</v>
      </c>
    </row>
    <row r="22" spans="1:7" ht="15.75" x14ac:dyDescent="0.25">
      <c r="A22" s="4" t="s">
        <v>18</v>
      </c>
      <c r="B22" s="5" t="s">
        <v>1</v>
      </c>
      <c r="C22" s="54">
        <f>'[10]FTR Packaging'!$F$374</f>
        <v>0.91836734693877553</v>
      </c>
      <c r="E22" s="4" t="s">
        <v>18</v>
      </c>
      <c r="F22" s="5" t="s">
        <v>1</v>
      </c>
      <c r="G22" s="54">
        <f>'June ''24 '!C22</f>
        <v>0.91836734693877553</v>
      </c>
    </row>
    <row r="23" spans="1:7" ht="15.75" x14ac:dyDescent="0.25">
      <c r="A23" s="4" t="s">
        <v>19</v>
      </c>
      <c r="B23" s="5" t="s">
        <v>1</v>
      </c>
      <c r="C23" s="54">
        <f>'[10]FTR Packaging'!$D$374</f>
        <v>0.9821428571428571</v>
      </c>
      <c r="E23" s="4" t="s">
        <v>19</v>
      </c>
      <c r="F23" s="5" t="s">
        <v>1</v>
      </c>
      <c r="G23" s="54">
        <f>'June ''24 '!C23</f>
        <v>0.9821428571428571</v>
      </c>
    </row>
    <row r="24" spans="1:7" ht="19.5" customHeight="1" x14ac:dyDescent="0.25">
      <c r="A24" s="4" t="s">
        <v>91</v>
      </c>
      <c r="B24" s="5" t="s">
        <v>1</v>
      </c>
      <c r="C24" s="54">
        <f>'[10]FTR Packaging'!$J$374</f>
        <v>0.98181818181818181</v>
      </c>
      <c r="E24" s="4" t="s">
        <v>91</v>
      </c>
      <c r="F24" s="5" t="s">
        <v>1</v>
      </c>
      <c r="G24" s="54">
        <f>'June ''24 '!C24</f>
        <v>0.98181818181818181</v>
      </c>
    </row>
    <row r="25" spans="1:7" ht="15.75" x14ac:dyDescent="0.25">
      <c r="A25" s="7"/>
      <c r="B25" s="8"/>
      <c r="C25" s="53"/>
      <c r="E25" s="7"/>
      <c r="F25" s="8"/>
      <c r="G25" s="53"/>
    </row>
    <row r="26" spans="1:7" ht="15.75" x14ac:dyDescent="0.25">
      <c r="A26" s="1" t="s">
        <v>22</v>
      </c>
      <c r="B26" s="2" t="s">
        <v>1</v>
      </c>
      <c r="C26" s="108">
        <v>0.76300000000000001</v>
      </c>
      <c r="E26" s="1" t="s">
        <v>22</v>
      </c>
      <c r="F26" s="2" t="s">
        <v>1</v>
      </c>
      <c r="G26" s="108">
        <f>'June ''24 '!C26</f>
        <v>0.76300000000000001</v>
      </c>
    </row>
    <row r="27" spans="1:7" ht="15.75" x14ac:dyDescent="0.25">
      <c r="A27" s="4" t="s">
        <v>23</v>
      </c>
      <c r="B27" s="2" t="s">
        <v>1</v>
      </c>
      <c r="C27" s="54">
        <v>1</v>
      </c>
      <c r="E27" s="4" t="s">
        <v>23</v>
      </c>
      <c r="F27" s="2" t="s">
        <v>1</v>
      </c>
      <c r="G27" s="54">
        <f>'June ''24 '!C27</f>
        <v>1</v>
      </c>
    </row>
    <row r="28" spans="1:7" ht="15.75" x14ac:dyDescent="0.25">
      <c r="A28" s="4" t="s">
        <v>24</v>
      </c>
      <c r="B28" s="2" t="s">
        <v>1</v>
      </c>
      <c r="C28" s="54">
        <v>0.76300000000000001</v>
      </c>
      <c r="E28" s="4" t="s">
        <v>24</v>
      </c>
      <c r="F28" s="2" t="s">
        <v>1</v>
      </c>
      <c r="G28" s="54">
        <f>'June ''24 '!C28</f>
        <v>0.76300000000000001</v>
      </c>
    </row>
    <row r="29" spans="1:7" ht="16.5" thickBot="1" x14ac:dyDescent="0.3">
      <c r="A29" s="7"/>
      <c r="B29" s="8"/>
      <c r="C29" s="53"/>
      <c r="E29" s="7"/>
      <c r="F29" s="8"/>
      <c r="G29" s="53"/>
    </row>
    <row r="30" spans="1:7" ht="16.5" thickBot="1" x14ac:dyDescent="0.3">
      <c r="A30" s="1" t="s">
        <v>25</v>
      </c>
      <c r="B30" s="2" t="s">
        <v>1</v>
      </c>
      <c r="C30" s="51">
        <f>'[10]FTR Finished Product'!$L$386</f>
        <v>0</v>
      </c>
      <c r="E30" s="1" t="s">
        <v>25</v>
      </c>
      <c r="F30" s="2" t="s">
        <v>1</v>
      </c>
      <c r="G30" s="51">
        <f>'[11]FTR Finished Product'!$M$364</f>
        <v>0.91111111111111109</v>
      </c>
    </row>
    <row r="31" spans="1:7" ht="16.5" thickBot="1" x14ac:dyDescent="0.3">
      <c r="A31" s="4" t="s">
        <v>10</v>
      </c>
      <c r="B31" s="2" t="s">
        <v>1</v>
      </c>
      <c r="C31" s="57">
        <f>'[10]FTR Finished Product'!$J$386</f>
        <v>0</v>
      </c>
      <c r="E31" s="4" t="s">
        <v>10</v>
      </c>
      <c r="F31" s="2" t="s">
        <v>1</v>
      </c>
      <c r="G31" s="57"/>
    </row>
    <row r="32" spans="1:7" ht="16.5" thickBot="1" x14ac:dyDescent="0.3">
      <c r="A32" s="4" t="s">
        <v>26</v>
      </c>
      <c r="B32" s="2" t="s">
        <v>1</v>
      </c>
      <c r="C32" s="57">
        <f>'[10]FTR Finished Product'!$F$386</f>
        <v>0</v>
      </c>
      <c r="E32" s="4" t="s">
        <v>26</v>
      </c>
      <c r="F32" s="2" t="s">
        <v>1</v>
      </c>
      <c r="G32" s="57">
        <f>'June ''24 '!C32</f>
        <v>0</v>
      </c>
    </row>
    <row r="33" spans="1:7" ht="16.5" thickBot="1" x14ac:dyDescent="0.3">
      <c r="A33" s="4" t="s">
        <v>95</v>
      </c>
      <c r="B33" s="2" t="s">
        <v>1</v>
      </c>
      <c r="C33" s="57">
        <f>'[10]FTR Finished Product'!$D$386</f>
        <v>0</v>
      </c>
      <c r="E33" s="4" t="s">
        <v>95</v>
      </c>
      <c r="F33" s="2" t="s">
        <v>1</v>
      </c>
      <c r="G33" s="57">
        <f>'June ''24 '!C33</f>
        <v>0</v>
      </c>
    </row>
    <row r="34" spans="1:7" ht="16.5" thickBot="1" x14ac:dyDescent="0.3">
      <c r="A34" s="4" t="s">
        <v>20</v>
      </c>
      <c r="B34" s="2" t="s">
        <v>1</v>
      </c>
      <c r="C34" s="57">
        <f>'[10]FTR Finished Product'!$H$386</f>
        <v>0</v>
      </c>
      <c r="E34" s="4" t="s">
        <v>20</v>
      </c>
      <c r="F34" s="2" t="s">
        <v>1</v>
      </c>
      <c r="G34" s="57">
        <f>'June ''24 '!C34</f>
        <v>0</v>
      </c>
    </row>
    <row r="35" spans="1:7" ht="15.75" thickBot="1" x14ac:dyDescent="0.3"/>
    <row r="36" spans="1:7" ht="16.5" thickBot="1" x14ac:dyDescent="0.3">
      <c r="C36" s="122">
        <f>(C2+C7+C14+C21+C26+C30)/6</f>
        <v>0.57704062731648931</v>
      </c>
      <c r="G36" s="122">
        <f>(G2+G7+G14+G21+G26+G30)/6</f>
        <v>0.75414500442086652</v>
      </c>
    </row>
    <row r="37" spans="1:7" ht="18.75" x14ac:dyDescent="0.25">
      <c r="B37" s="23" t="s">
        <v>35</v>
      </c>
      <c r="C37" s="126" t="e">
        <f>AVERAGE('January ''25'!C37,'February ''24'!C38,'March ''24'!C36,'April ''24'!C36,#REF!,C36)</f>
        <v>#REF!</v>
      </c>
      <c r="E37" s="125" t="s">
        <v>94</v>
      </c>
      <c r="F37" s="23" t="s">
        <v>35</v>
      </c>
      <c r="G37" s="126" t="e">
        <f>AVERAGE('January ''25'!G37,'February ''24'!G38,'March ''24'!G36,'April ''24'!G36,#REF!,'June ''24 '!G36)</f>
        <v>#REF!</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EDAD-C51E-4150-9852-28D5C9552803}">
  <sheetPr>
    <pageSetUpPr fitToPage="1"/>
  </sheetPr>
  <dimension ref="A1:G36"/>
  <sheetViews>
    <sheetView showGridLines="0" zoomScale="80" zoomScaleNormal="80" workbookViewId="0">
      <selection activeCell="D8" sqref="D8"/>
    </sheetView>
  </sheetViews>
  <sheetFormatPr defaultRowHeight="15" x14ac:dyDescent="0.25"/>
  <cols>
    <col min="1" max="1" width="28" customWidth="1"/>
    <col min="3" max="3" width="13.5703125" style="58" customWidth="1"/>
    <col min="5" max="5" width="30.5703125" hidden="1" customWidth="1"/>
    <col min="6" max="6" width="5.85546875" hidden="1" customWidth="1"/>
    <col min="7" max="7" width="10.42578125" hidden="1" customWidth="1"/>
  </cols>
  <sheetData>
    <row r="1" spans="1:7" s="18" customFormat="1" ht="24" thickBot="1" x14ac:dyDescent="0.4">
      <c r="A1" s="17" t="s">
        <v>97</v>
      </c>
      <c r="C1" s="107" t="s">
        <v>86</v>
      </c>
      <c r="E1" s="17" t="s">
        <v>92</v>
      </c>
      <c r="G1" s="17" t="s">
        <v>86</v>
      </c>
    </row>
    <row r="2" spans="1:7" ht="15.75" x14ac:dyDescent="0.25">
      <c r="A2" s="1" t="s">
        <v>27</v>
      </c>
      <c r="B2" s="2" t="s">
        <v>1</v>
      </c>
      <c r="C2" s="51">
        <f>'[10]FTR Brewhouse'!$I$1223</f>
        <v>0.51875000000000004</v>
      </c>
      <c r="E2" s="1" t="s">
        <v>27</v>
      </c>
      <c r="F2" s="2" t="s">
        <v>1</v>
      </c>
      <c r="G2" s="51">
        <f>'July ''24'!C2</f>
        <v>0.51875000000000004</v>
      </c>
    </row>
    <row r="3" spans="1:7" ht="15.75" x14ac:dyDescent="0.25">
      <c r="A3" s="15" t="s">
        <v>28</v>
      </c>
      <c r="B3" s="5" t="s">
        <v>1</v>
      </c>
      <c r="C3" s="52">
        <f>'[10]FTR Brewhouse'!$C$1223</f>
        <v>0.96250000000000002</v>
      </c>
      <c r="E3" s="15" t="s">
        <v>28</v>
      </c>
      <c r="F3" s="5" t="s">
        <v>1</v>
      </c>
      <c r="G3" s="52">
        <f>'July ''24'!C3</f>
        <v>0.96250000000000002</v>
      </c>
    </row>
    <row r="4" spans="1:7" ht="15.75" x14ac:dyDescent="0.25">
      <c r="A4" s="4" t="s">
        <v>87</v>
      </c>
      <c r="B4" s="5" t="s">
        <v>1</v>
      </c>
      <c r="C4" s="54">
        <f>'[10]FTR Brewhouse'!$E$1223</f>
        <v>0.53749999999999998</v>
      </c>
      <c r="E4" s="4" t="s">
        <v>87</v>
      </c>
      <c r="F4" s="5" t="s">
        <v>1</v>
      </c>
      <c r="G4" s="54">
        <f>'July ''24'!C4</f>
        <v>0.53749999999999998</v>
      </c>
    </row>
    <row r="5" spans="1:7" ht="15.75" x14ac:dyDescent="0.25">
      <c r="A5" s="4" t="s">
        <v>88</v>
      </c>
      <c r="B5" s="5" t="s">
        <v>1</v>
      </c>
      <c r="C5" s="54">
        <f>'[10]FTR Brewhouse'!$G$1223</f>
        <v>1</v>
      </c>
      <c r="E5" s="4" t="s">
        <v>88</v>
      </c>
      <c r="F5" s="5" t="s">
        <v>1</v>
      </c>
      <c r="G5" s="54">
        <f>'July ''24'!C5</f>
        <v>1</v>
      </c>
    </row>
    <row r="6" spans="1:7" ht="3.95" customHeight="1" thickBot="1" x14ac:dyDescent="0.3">
      <c r="A6" s="7"/>
      <c r="B6" s="8"/>
      <c r="C6" s="53"/>
      <c r="E6" s="7"/>
      <c r="F6" s="8"/>
      <c r="G6" s="53"/>
    </row>
    <row r="7" spans="1:7" ht="15.75" x14ac:dyDescent="0.25">
      <c r="A7" s="1" t="s">
        <v>0</v>
      </c>
      <c r="B7" s="2" t="s">
        <v>1</v>
      </c>
      <c r="C7" s="51">
        <f>'[10]FTR Fermentation'!$P$319</f>
        <v>0.61538461538461542</v>
      </c>
      <c r="E7" s="1" t="s">
        <v>0</v>
      </c>
      <c r="F7" s="2" t="s">
        <v>1</v>
      </c>
      <c r="G7" s="51" t="e">
        <v>#DIV/0!</v>
      </c>
    </row>
    <row r="8" spans="1:7" ht="15.75" x14ac:dyDescent="0.25">
      <c r="A8" s="4" t="s">
        <v>2</v>
      </c>
      <c r="B8" s="5" t="s">
        <v>1</v>
      </c>
      <c r="C8" s="54">
        <f>'[10]FTR Fermentation'!$D$319</f>
        <v>0.70833333333333337</v>
      </c>
      <c r="E8" s="4" t="s">
        <v>2</v>
      </c>
      <c r="F8" s="5" t="s">
        <v>1</v>
      </c>
      <c r="G8" s="54" t="e">
        <v>#DIV/0!</v>
      </c>
    </row>
    <row r="9" spans="1:7" ht="15.75" x14ac:dyDescent="0.25">
      <c r="A9" s="4" t="s">
        <v>3</v>
      </c>
      <c r="B9" s="5" t="s">
        <v>1</v>
      </c>
      <c r="C9" s="54">
        <f>'[10]FTR Fermentation'!$G$319</f>
        <v>1</v>
      </c>
      <c r="E9" s="4" t="s">
        <v>3</v>
      </c>
      <c r="F9" s="5" t="s">
        <v>1</v>
      </c>
      <c r="G9" s="54" t="e">
        <v>#DIV/0!</v>
      </c>
    </row>
    <row r="10" spans="1:7" ht="15.75" x14ac:dyDescent="0.25">
      <c r="A10" s="4" t="s">
        <v>4</v>
      </c>
      <c r="B10" s="5" t="s">
        <v>1</v>
      </c>
      <c r="C10" s="54">
        <f>'[10]FTR Fermentation'!$K$319</f>
        <v>1</v>
      </c>
      <c r="E10" s="4" t="s">
        <v>4</v>
      </c>
      <c r="F10" s="5" t="s">
        <v>1</v>
      </c>
      <c r="G10" s="54" t="e">
        <v>#DIV/0!</v>
      </c>
    </row>
    <row r="11" spans="1:7" ht="15.75" x14ac:dyDescent="0.25">
      <c r="A11" s="4" t="s">
        <v>5</v>
      </c>
      <c r="B11" s="5" t="s">
        <v>1</v>
      </c>
      <c r="C11" s="54">
        <f>'[10]FTR Fermentation'!$M$319</f>
        <v>0.84615384615384615</v>
      </c>
      <c r="E11" s="4" t="s">
        <v>5</v>
      </c>
      <c r="F11" s="5" t="s">
        <v>1</v>
      </c>
      <c r="G11" s="54" t="e">
        <v>#DIV/0!</v>
      </c>
    </row>
    <row r="12" spans="1:7" ht="15.75" x14ac:dyDescent="0.25">
      <c r="A12" s="4" t="s">
        <v>7</v>
      </c>
      <c r="B12" s="5" t="s">
        <v>1</v>
      </c>
      <c r="C12" s="54">
        <f>'[10]FTR Fermentation'!$I$319</f>
        <v>0.83333333333333337</v>
      </c>
      <c r="E12" s="4" t="s">
        <v>7</v>
      </c>
      <c r="F12" s="5" t="s">
        <v>1</v>
      </c>
      <c r="G12" s="54" t="e">
        <v>#DIV/0!</v>
      </c>
    </row>
    <row r="13" spans="1:7" ht="3.95" customHeight="1" thickBot="1" x14ac:dyDescent="0.3">
      <c r="A13" s="7"/>
      <c r="B13" s="8"/>
      <c r="C13" s="53"/>
      <c r="E13" s="7"/>
      <c r="F13" s="8"/>
      <c r="G13" s="53"/>
    </row>
    <row r="14" spans="1:7" ht="15.75" x14ac:dyDescent="0.25">
      <c r="A14" s="1" t="s">
        <v>8</v>
      </c>
      <c r="B14" s="2" t="s">
        <v>1</v>
      </c>
      <c r="C14" s="51">
        <f>'[10]FTR BBT'!$N$533</f>
        <v>0.86956521739130432</v>
      </c>
      <c r="E14" s="1" t="s">
        <v>8</v>
      </c>
      <c r="F14" s="2" t="s">
        <v>1</v>
      </c>
      <c r="G14" s="51">
        <f>'[10]FTR BBT'!$O$533</f>
        <v>0.86956521739130432</v>
      </c>
    </row>
    <row r="15" spans="1:7" ht="15.75" x14ac:dyDescent="0.25">
      <c r="A15" s="4" t="s">
        <v>9</v>
      </c>
      <c r="B15" s="5" t="s">
        <v>1</v>
      </c>
      <c r="C15" s="55">
        <f>'[10]FTR BBT'!$D$533</f>
        <v>0.95652173913043481</v>
      </c>
      <c r="E15" s="4" t="s">
        <v>9</v>
      </c>
      <c r="F15" s="5" t="s">
        <v>1</v>
      </c>
      <c r="G15" s="55">
        <f>'[10]FTR BBT'!$D$533</f>
        <v>0.95652173913043481</v>
      </c>
    </row>
    <row r="16" spans="1:7" ht="15.75" x14ac:dyDescent="0.25">
      <c r="A16" s="4" t="s">
        <v>10</v>
      </c>
      <c r="B16" s="5" t="s">
        <v>1</v>
      </c>
      <c r="C16" s="56">
        <f>'[10]FTR BBT'!$J$533</f>
        <v>1</v>
      </c>
      <c r="E16" s="4" t="s">
        <v>10</v>
      </c>
      <c r="F16" s="5" t="s">
        <v>1</v>
      </c>
      <c r="G16" s="56"/>
    </row>
    <row r="17" spans="1:7" ht="15.75" x14ac:dyDescent="0.25">
      <c r="A17" s="4" t="s">
        <v>13</v>
      </c>
      <c r="B17" s="5" t="s">
        <v>1</v>
      </c>
      <c r="C17" s="55">
        <f>'[10]FTR BBT'!$H$533</f>
        <v>1</v>
      </c>
      <c r="E17" s="4" t="s">
        <v>13</v>
      </c>
      <c r="F17" s="5" t="s">
        <v>1</v>
      </c>
      <c r="G17" s="55">
        <f>'[10]FTR BBT'!$H$533</f>
        <v>1</v>
      </c>
    </row>
    <row r="18" spans="1:7" ht="15.75" x14ac:dyDescent="0.25">
      <c r="A18" s="4" t="s">
        <v>14</v>
      </c>
      <c r="B18" s="5" t="s">
        <v>1</v>
      </c>
      <c r="C18" s="55">
        <f>'[10]FTR BBT'!$F$533</f>
        <v>1</v>
      </c>
      <c r="E18" s="4" t="s">
        <v>14</v>
      </c>
      <c r="F18" s="5" t="s">
        <v>1</v>
      </c>
      <c r="G18" s="55">
        <f>'[10]FTR BBT'!$F$533</f>
        <v>1</v>
      </c>
    </row>
    <row r="19" spans="1:7" ht="3.95" customHeight="1" thickBot="1" x14ac:dyDescent="0.3">
      <c r="A19" s="7"/>
      <c r="B19" s="8"/>
      <c r="C19" s="53"/>
      <c r="E19" s="7"/>
      <c r="F19" s="8"/>
      <c r="G19" s="53"/>
    </row>
    <row r="20" spans="1:7" ht="15.75" x14ac:dyDescent="0.25">
      <c r="A20" s="1" t="s">
        <v>16</v>
      </c>
      <c r="B20" s="2" t="s">
        <v>1</v>
      </c>
      <c r="C20" s="51">
        <f>'[10]FTR Packaging'!$L$374</f>
        <v>0.91379310344827591</v>
      </c>
      <c r="E20" s="1" t="s">
        <v>16</v>
      </c>
      <c r="F20" s="2" t="s">
        <v>1</v>
      </c>
      <c r="G20" s="51">
        <f>'[10]FTR Packaging'!$L$374</f>
        <v>0.91379310344827591</v>
      </c>
    </row>
    <row r="21" spans="1:7" ht="15.75" x14ac:dyDescent="0.25">
      <c r="A21" s="4" t="s">
        <v>18</v>
      </c>
      <c r="B21" s="5" t="s">
        <v>1</v>
      </c>
      <c r="C21" s="54">
        <f>'[10]FTR Packaging'!$F$374</f>
        <v>0.91836734693877553</v>
      </c>
      <c r="E21" s="4" t="s">
        <v>18</v>
      </c>
      <c r="F21" s="5" t="s">
        <v>1</v>
      </c>
      <c r="G21" s="54">
        <f>'[10]FTR Packaging'!$F$374</f>
        <v>0.91836734693877553</v>
      </c>
    </row>
    <row r="22" spans="1:7" ht="15.75" x14ac:dyDescent="0.25">
      <c r="A22" s="4" t="s">
        <v>19</v>
      </c>
      <c r="B22" s="5" t="s">
        <v>1</v>
      </c>
      <c r="C22" s="54">
        <f>'[10]FTR Packaging'!$D$374</f>
        <v>0.9821428571428571</v>
      </c>
      <c r="E22" s="4" t="s">
        <v>19</v>
      </c>
      <c r="F22" s="5" t="s">
        <v>1</v>
      </c>
      <c r="G22" s="54">
        <f>'[10]FTR Packaging'!$D$374</f>
        <v>0.9821428571428571</v>
      </c>
    </row>
    <row r="23" spans="1:7" ht="15" customHeight="1" x14ac:dyDescent="0.25">
      <c r="A23" s="4" t="s">
        <v>91</v>
      </c>
      <c r="B23" s="5" t="s">
        <v>1</v>
      </c>
      <c r="C23" s="54">
        <f>'[10]FTR Packaging'!$J$374</f>
        <v>0.98181818181818181</v>
      </c>
      <c r="E23" s="4" t="s">
        <v>91</v>
      </c>
      <c r="F23" s="5" t="s">
        <v>1</v>
      </c>
      <c r="G23" s="54">
        <f>'[10]FTR Packaging'!$J$374</f>
        <v>0.98181818181818181</v>
      </c>
    </row>
    <row r="24" spans="1:7" ht="3.95" customHeight="1" x14ac:dyDescent="0.25">
      <c r="A24" s="7"/>
      <c r="B24" s="8"/>
      <c r="C24" s="53"/>
      <c r="E24" s="7"/>
      <c r="F24" s="8"/>
      <c r="G24" s="53"/>
    </row>
    <row r="25" spans="1:7" ht="15.75" x14ac:dyDescent="0.25">
      <c r="A25" s="1" t="s">
        <v>22</v>
      </c>
      <c r="B25" s="2" t="s">
        <v>1</v>
      </c>
      <c r="C25" s="108">
        <v>0.84</v>
      </c>
      <c r="E25" s="1" t="s">
        <v>22</v>
      </c>
      <c r="F25" s="2" t="s">
        <v>1</v>
      </c>
      <c r="G25" s="108">
        <f>'July ''24'!$C$25</f>
        <v>0.84</v>
      </c>
    </row>
    <row r="26" spans="1:7" ht="15.75" x14ac:dyDescent="0.25">
      <c r="A26" s="4" t="s">
        <v>23</v>
      </c>
      <c r="B26" s="2" t="s">
        <v>1</v>
      </c>
      <c r="C26" s="54">
        <v>1</v>
      </c>
      <c r="E26" s="4" t="s">
        <v>23</v>
      </c>
      <c r="F26" s="2" t="s">
        <v>1</v>
      </c>
      <c r="G26" s="54">
        <f>'July ''24'!C26</f>
        <v>1</v>
      </c>
    </row>
    <row r="27" spans="1:7" ht="15.75" x14ac:dyDescent="0.25">
      <c r="A27" s="4" t="s">
        <v>24</v>
      </c>
      <c r="B27" s="2" t="s">
        <v>1</v>
      </c>
      <c r="C27" s="54">
        <v>0.84350000000000003</v>
      </c>
      <c r="E27" s="4" t="s">
        <v>24</v>
      </c>
      <c r="F27" s="2" t="s">
        <v>1</v>
      </c>
      <c r="G27" s="54">
        <f>'July ''24'!C27</f>
        <v>0.84350000000000003</v>
      </c>
    </row>
    <row r="28" spans="1:7" ht="3.95" customHeight="1" thickBot="1" x14ac:dyDescent="0.3">
      <c r="A28" s="7"/>
      <c r="B28" s="8"/>
      <c r="C28" s="53"/>
      <c r="E28" s="7"/>
      <c r="F28" s="8"/>
      <c r="G28" s="53"/>
    </row>
    <row r="29" spans="1:7" ht="16.5" thickBot="1" x14ac:dyDescent="0.3">
      <c r="A29" s="1" t="s">
        <v>25</v>
      </c>
      <c r="B29" s="2" t="s">
        <v>1</v>
      </c>
      <c r="C29" s="51">
        <f>'[10]FTR Finished Product'!$L$386</f>
        <v>0</v>
      </c>
      <c r="E29" s="1" t="s">
        <v>25</v>
      </c>
      <c r="F29" s="2" t="s">
        <v>1</v>
      </c>
      <c r="G29" s="51">
        <f>'[10]FTR Finished Product'!$M$386</f>
        <v>0</v>
      </c>
    </row>
    <row r="30" spans="1:7" ht="16.5" thickBot="1" x14ac:dyDescent="0.3">
      <c r="A30" s="4" t="s">
        <v>10</v>
      </c>
      <c r="B30" s="2" t="s">
        <v>1</v>
      </c>
      <c r="C30" s="57">
        <f>'[10]FTR Finished Product'!$J$386</f>
        <v>0</v>
      </c>
      <c r="E30" s="4" t="s">
        <v>10</v>
      </c>
      <c r="F30" s="2" t="s">
        <v>1</v>
      </c>
      <c r="G30" s="57"/>
    </row>
    <row r="31" spans="1:7" ht="16.5" thickBot="1" x14ac:dyDescent="0.3">
      <c r="A31" s="4" t="s">
        <v>26</v>
      </c>
      <c r="B31" s="2" t="s">
        <v>1</v>
      </c>
      <c r="C31" s="57">
        <f>'[10]FTR Finished Product'!$F$386</f>
        <v>0</v>
      </c>
      <c r="E31" s="4" t="s">
        <v>26</v>
      </c>
      <c r="F31" s="2" t="s">
        <v>1</v>
      </c>
      <c r="G31" s="57">
        <f>'[10]FTR Finished Product'!$F$386</f>
        <v>0</v>
      </c>
    </row>
    <row r="32" spans="1:7" ht="16.5" thickBot="1" x14ac:dyDescent="0.3">
      <c r="A32" s="4" t="s">
        <v>9</v>
      </c>
      <c r="B32" s="2" t="s">
        <v>1</v>
      </c>
      <c r="C32" s="57">
        <f>'[10]FTR Finished Product'!$D$386</f>
        <v>0</v>
      </c>
      <c r="E32" s="4" t="s">
        <v>9</v>
      </c>
      <c r="F32" s="2" t="s">
        <v>1</v>
      </c>
      <c r="G32" s="57">
        <f>'[10]FTR Finished Product'!$D$386</f>
        <v>0</v>
      </c>
    </row>
    <row r="33" spans="1:7" ht="16.5" thickBot="1" x14ac:dyDescent="0.3">
      <c r="A33" s="4" t="s">
        <v>20</v>
      </c>
      <c r="B33" s="2" t="s">
        <v>1</v>
      </c>
      <c r="C33" s="57">
        <f>'[10]FTR Finished Product'!$H$386</f>
        <v>0</v>
      </c>
      <c r="E33" s="4" t="s">
        <v>20</v>
      </c>
      <c r="F33" s="2" t="s">
        <v>1</v>
      </c>
      <c r="G33" s="57">
        <f>'[10]FTR Finished Product'!$H$386</f>
        <v>0</v>
      </c>
    </row>
    <row r="34" spans="1:7" ht="15.75" thickBot="1" x14ac:dyDescent="0.3"/>
    <row r="35" spans="1:7" ht="16.5" thickBot="1" x14ac:dyDescent="0.3">
      <c r="C35" s="122">
        <f>(C2+C7+C14+C20+C25+C29)/6</f>
        <v>0.62624882270403259</v>
      </c>
      <c r="G35" s="122" t="e">
        <f>(G2+G7+G14+G20+G25+G29)/6</f>
        <v>#DIV/0!</v>
      </c>
    </row>
    <row r="36" spans="1:7" ht="18.75" x14ac:dyDescent="0.25">
      <c r="B36" s="23" t="s">
        <v>35</v>
      </c>
      <c r="C36" s="126" t="e">
        <f>AVERAGE('January ''25'!C37,'February ''24'!C38,'March ''24'!C36,'April ''24'!C36,#REF!,'June ''24 '!C36,C35)</f>
        <v>#REF!</v>
      </c>
      <c r="E36" s="125" t="s">
        <v>94</v>
      </c>
      <c r="F36" s="23" t="s">
        <v>35</v>
      </c>
      <c r="G36" s="126" t="e">
        <f>AVERAGE('January ''25'!G37,'February ''24'!G38,'March ''24'!G36,'April ''24'!G36,#REF!,'June ''24 '!G36,'July ''24'!G35)</f>
        <v>#REF!</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57DC3-1E1D-4C2E-B3DB-59A494632F30}">
  <sheetPr>
    <pageSetUpPr fitToPage="1"/>
  </sheetPr>
  <dimension ref="A1:G36"/>
  <sheetViews>
    <sheetView showGridLines="0" topLeftCell="A11" workbookViewId="0">
      <selection activeCell="D8" sqref="D8"/>
    </sheetView>
  </sheetViews>
  <sheetFormatPr defaultRowHeight="15" x14ac:dyDescent="0.25"/>
  <cols>
    <col min="1" max="1" width="28" customWidth="1"/>
    <col min="3" max="3" width="13.5703125" style="58" customWidth="1"/>
    <col min="4" max="4" width="5.5703125" customWidth="1"/>
    <col min="5" max="5" width="30.5703125" hidden="1" customWidth="1"/>
    <col min="6" max="6" width="5.85546875" hidden="1" customWidth="1"/>
    <col min="7" max="7" width="10.42578125" hidden="1" customWidth="1"/>
  </cols>
  <sheetData>
    <row r="1" spans="1:7" s="18" customFormat="1" ht="24" thickBot="1" x14ac:dyDescent="0.4">
      <c r="A1" s="17" t="s">
        <v>98</v>
      </c>
      <c r="C1" s="107" t="s">
        <v>86</v>
      </c>
      <c r="E1" s="17" t="s">
        <v>92</v>
      </c>
      <c r="G1" s="17" t="s">
        <v>86</v>
      </c>
    </row>
    <row r="2" spans="1:7" ht="15.75" x14ac:dyDescent="0.25">
      <c r="A2" s="1" t="s">
        <v>27</v>
      </c>
      <c r="B2" s="2" t="s">
        <v>1</v>
      </c>
      <c r="C2" s="51">
        <f>'[10]FTR Brewhouse'!$I$1377</f>
        <v>0.52054794520547942</v>
      </c>
      <c r="E2" s="1" t="s">
        <v>27</v>
      </c>
      <c r="F2" s="2" t="s">
        <v>1</v>
      </c>
      <c r="G2" s="51">
        <f>'August ''24'!C2</f>
        <v>0.52054794520547942</v>
      </c>
    </row>
    <row r="3" spans="1:7" ht="15.75" x14ac:dyDescent="0.25">
      <c r="A3" s="15" t="s">
        <v>28</v>
      </c>
      <c r="B3" s="5" t="s">
        <v>1</v>
      </c>
      <c r="C3" s="52">
        <f>'[10]FTR Brewhouse'!$C$1377</f>
        <v>0.9452054794520548</v>
      </c>
      <c r="E3" s="15" t="s">
        <v>28</v>
      </c>
      <c r="F3" s="5" t="s">
        <v>1</v>
      </c>
      <c r="G3" s="52">
        <f>'August ''24'!C3</f>
        <v>0.9452054794520548</v>
      </c>
    </row>
    <row r="4" spans="1:7" ht="15.75" x14ac:dyDescent="0.25">
      <c r="A4" s="4" t="s">
        <v>87</v>
      </c>
      <c r="B4" s="5" t="s">
        <v>1</v>
      </c>
      <c r="C4" s="54">
        <f>'[10]FTR Brewhouse'!$E$1377</f>
        <v>0.5547945205479452</v>
      </c>
      <c r="E4" s="4" t="s">
        <v>87</v>
      </c>
      <c r="F4" s="5" t="s">
        <v>1</v>
      </c>
      <c r="G4" s="54">
        <f>'August ''24'!C4</f>
        <v>0.5547945205479452</v>
      </c>
    </row>
    <row r="5" spans="1:7" ht="15.75" x14ac:dyDescent="0.25">
      <c r="A5" s="4" t="s">
        <v>88</v>
      </c>
      <c r="B5" s="5" t="s">
        <v>1</v>
      </c>
      <c r="C5" s="54">
        <f>'[10]FTR Brewhouse'!$G$1377</f>
        <v>0.96799999999999997</v>
      </c>
      <c r="E5" s="4" t="s">
        <v>88</v>
      </c>
      <c r="F5" s="5" t="s">
        <v>1</v>
      </c>
      <c r="G5" s="54">
        <f>'August ''24'!C5</f>
        <v>0.96799999999999997</v>
      </c>
    </row>
    <row r="6" spans="1:7" ht="3.95" customHeight="1" thickBot="1" x14ac:dyDescent="0.3">
      <c r="A6" s="7"/>
      <c r="B6" s="8"/>
      <c r="C6" s="53"/>
      <c r="E6" s="7"/>
      <c r="F6" s="8"/>
      <c r="G6" s="53"/>
    </row>
    <row r="7" spans="1:7" ht="15.75" x14ac:dyDescent="0.25">
      <c r="A7" s="1" t="s">
        <v>0</v>
      </c>
      <c r="B7" s="2" t="s">
        <v>1</v>
      </c>
      <c r="C7" s="51">
        <f>'[10]FTR Fermentation'!$P$356</f>
        <v>0.83333333333333337</v>
      </c>
      <c r="E7" s="1" t="s">
        <v>0</v>
      </c>
      <c r="F7" s="2" t="s">
        <v>1</v>
      </c>
      <c r="G7" s="51">
        <f>'August ''24'!C7</f>
        <v>0.83333333333333337</v>
      </c>
    </row>
    <row r="8" spans="1:7" ht="15.75" x14ac:dyDescent="0.25">
      <c r="A8" s="4" t="s">
        <v>2</v>
      </c>
      <c r="B8" s="5" t="s">
        <v>1</v>
      </c>
      <c r="C8" s="54">
        <f>'[10]FTR Fermentation'!$D$356</f>
        <v>0.625</v>
      </c>
      <c r="E8" s="4" t="s">
        <v>2</v>
      </c>
      <c r="F8" s="5" t="s">
        <v>1</v>
      </c>
      <c r="G8" s="54">
        <f>'August ''24'!C8</f>
        <v>0.625</v>
      </c>
    </row>
    <row r="9" spans="1:7" ht="15.75" x14ac:dyDescent="0.25">
      <c r="A9" s="4" t="s">
        <v>3</v>
      </c>
      <c r="B9" s="5" t="s">
        <v>1</v>
      </c>
      <c r="C9" s="54">
        <f>'[10]FTR Fermentation'!$G$356</f>
        <v>1</v>
      </c>
      <c r="E9" s="4" t="s">
        <v>3</v>
      </c>
      <c r="F9" s="5" t="s">
        <v>1</v>
      </c>
      <c r="G9" s="54">
        <f>'August ''24'!C9</f>
        <v>1</v>
      </c>
    </row>
    <row r="10" spans="1:7" ht="15.75" x14ac:dyDescent="0.25">
      <c r="A10" s="4" t="s">
        <v>4</v>
      </c>
      <c r="B10" s="5" t="s">
        <v>1</v>
      </c>
      <c r="C10" s="54">
        <f>'[10]FTR Fermentation'!$K$356</f>
        <v>1</v>
      </c>
      <c r="E10" s="4" t="s">
        <v>4</v>
      </c>
      <c r="F10" s="5" t="s">
        <v>1</v>
      </c>
      <c r="G10" s="54">
        <f>'August ''24'!C10</f>
        <v>1</v>
      </c>
    </row>
    <row r="11" spans="1:7" ht="15.75" x14ac:dyDescent="0.25">
      <c r="A11" s="4" t="s">
        <v>5</v>
      </c>
      <c r="B11" s="5" t="s">
        <v>1</v>
      </c>
      <c r="C11" s="54">
        <f>'[10]FTR Fermentation'!$M$356</f>
        <v>0.83333333333333337</v>
      </c>
      <c r="E11" s="4" t="s">
        <v>5</v>
      </c>
      <c r="F11" s="5" t="s">
        <v>1</v>
      </c>
      <c r="G11" s="54">
        <f>'August ''24'!C11</f>
        <v>0.83333333333333337</v>
      </c>
    </row>
    <row r="12" spans="1:7" ht="15.75" x14ac:dyDescent="0.25">
      <c r="A12" s="4" t="s">
        <v>7</v>
      </c>
      <c r="B12" s="5" t="s">
        <v>1</v>
      </c>
      <c r="C12" s="54">
        <f>'[10]FTR Fermentation'!$I$356</f>
        <v>0.875</v>
      </c>
      <c r="E12" s="4" t="s">
        <v>7</v>
      </c>
      <c r="F12" s="5" t="s">
        <v>1</v>
      </c>
      <c r="G12" s="54">
        <f>'August ''24'!C12</f>
        <v>0.875</v>
      </c>
    </row>
    <row r="13" spans="1:7" ht="3.95" customHeight="1" thickBot="1" x14ac:dyDescent="0.3">
      <c r="A13" s="7"/>
      <c r="B13" s="8"/>
      <c r="C13" s="53"/>
      <c r="E13" s="7"/>
      <c r="F13" s="8"/>
      <c r="G13" s="53"/>
    </row>
    <row r="14" spans="1:7" ht="15.75" x14ac:dyDescent="0.25">
      <c r="A14" s="1" t="s">
        <v>8</v>
      </c>
      <c r="B14" s="2" t="s">
        <v>1</v>
      </c>
      <c r="C14" s="51">
        <f>'[10]FTR BBT'!$N$615</f>
        <v>1</v>
      </c>
      <c r="E14" s="1" t="s">
        <v>8</v>
      </c>
      <c r="F14" s="2" t="s">
        <v>1</v>
      </c>
      <c r="G14" s="51">
        <f>'[10]FTR BBT'!$O$615</f>
        <v>1</v>
      </c>
    </row>
    <row r="15" spans="1:7" ht="15.75" x14ac:dyDescent="0.25">
      <c r="A15" s="4" t="s">
        <v>9</v>
      </c>
      <c r="B15" s="5" t="s">
        <v>1</v>
      </c>
      <c r="C15" s="55">
        <f>'[10]FTR BBT'!$D$615</f>
        <v>0.98701298701298701</v>
      </c>
      <c r="E15" s="4" t="s">
        <v>9</v>
      </c>
      <c r="F15" s="5" t="s">
        <v>1</v>
      </c>
      <c r="G15" s="55">
        <f>'August ''24'!C15</f>
        <v>0.98701298701298701</v>
      </c>
    </row>
    <row r="16" spans="1:7" ht="15.75" x14ac:dyDescent="0.25">
      <c r="A16" s="4" t="s">
        <v>10</v>
      </c>
      <c r="B16" s="5" t="s">
        <v>1</v>
      </c>
      <c r="C16" s="56">
        <f>'[10]FTR BBT'!$J$615</f>
        <v>1</v>
      </c>
      <c r="E16" s="4" t="s">
        <v>10</v>
      </c>
      <c r="F16" s="5" t="s">
        <v>1</v>
      </c>
      <c r="G16" s="56"/>
    </row>
    <row r="17" spans="1:7" ht="15.75" x14ac:dyDescent="0.25">
      <c r="A17" s="4" t="s">
        <v>13</v>
      </c>
      <c r="B17" s="5" t="s">
        <v>1</v>
      </c>
      <c r="C17" s="55">
        <f>'[10]FTR BBT'!$H$615</f>
        <v>1</v>
      </c>
      <c r="E17" s="4" t="s">
        <v>13</v>
      </c>
      <c r="F17" s="5" t="s">
        <v>1</v>
      </c>
      <c r="G17" s="55">
        <f>'August ''24'!C17</f>
        <v>1</v>
      </c>
    </row>
    <row r="18" spans="1:7" ht="15.75" x14ac:dyDescent="0.25">
      <c r="A18" s="4" t="s">
        <v>14</v>
      </c>
      <c r="B18" s="5" t="s">
        <v>1</v>
      </c>
      <c r="C18" s="55">
        <f>'[10]FTR BBT'!$F$615</f>
        <v>1</v>
      </c>
      <c r="E18" s="4" t="s">
        <v>14</v>
      </c>
      <c r="F18" s="5" t="s">
        <v>1</v>
      </c>
      <c r="G18" s="55">
        <f>'August ''24'!C18</f>
        <v>1</v>
      </c>
    </row>
    <row r="19" spans="1:7" ht="8.1" customHeight="1" thickBot="1" x14ac:dyDescent="0.3">
      <c r="A19" s="7"/>
      <c r="B19" s="8"/>
      <c r="C19" s="53"/>
      <c r="E19" s="7"/>
      <c r="F19" s="8"/>
      <c r="G19" s="53"/>
    </row>
    <row r="20" spans="1:7" ht="15.75" x14ac:dyDescent="0.25">
      <c r="A20" s="1" t="s">
        <v>16</v>
      </c>
      <c r="B20" s="2" t="s">
        <v>1</v>
      </c>
      <c r="C20" s="51">
        <f>'[10]FTR Packaging'!$L$430</f>
        <v>0.96078431372549022</v>
      </c>
      <c r="E20" s="1" t="s">
        <v>16</v>
      </c>
      <c r="F20" s="2"/>
      <c r="G20" s="51">
        <f>'August ''24'!C20</f>
        <v>0.96078431372549022</v>
      </c>
    </row>
    <row r="21" spans="1:7" ht="15.75" x14ac:dyDescent="0.25">
      <c r="A21" s="4" t="s">
        <v>18</v>
      </c>
      <c r="B21" s="5" t="s">
        <v>1</v>
      </c>
      <c r="C21" s="54">
        <f>'[10]FTR Packaging'!$F$430</f>
        <v>0.96</v>
      </c>
      <c r="D21" s="60"/>
      <c r="E21" s="4" t="s">
        <v>18</v>
      </c>
      <c r="F21" s="5"/>
      <c r="G21" s="54">
        <f>'August ''24'!C21</f>
        <v>0.96</v>
      </c>
    </row>
    <row r="22" spans="1:7" ht="15.75" x14ac:dyDescent="0.25">
      <c r="A22" s="4" t="s">
        <v>19</v>
      </c>
      <c r="B22" s="5" t="s">
        <v>1</v>
      </c>
      <c r="C22" s="54">
        <f>'[10]FTR Packaging'!$D$430</f>
        <v>0.98039215686274506</v>
      </c>
      <c r="D22" s="60"/>
      <c r="E22" s="4" t="s">
        <v>19</v>
      </c>
      <c r="F22" s="5"/>
      <c r="G22" s="54">
        <f>'August ''24'!C22</f>
        <v>0.98039215686274506</v>
      </c>
    </row>
    <row r="23" spans="1:7" ht="15.75" x14ac:dyDescent="0.25">
      <c r="A23" s="4" t="s">
        <v>91</v>
      </c>
      <c r="B23" s="5" t="s">
        <v>1</v>
      </c>
      <c r="C23" s="54">
        <f>'[10]FTR Packaging'!$J$430</f>
        <v>0.91836734693877553</v>
      </c>
      <c r="D23" s="60"/>
      <c r="E23" s="4" t="s">
        <v>91</v>
      </c>
      <c r="F23" s="5"/>
      <c r="G23" s="54">
        <f>'August ''24'!C23</f>
        <v>0.91836734693877553</v>
      </c>
    </row>
    <row r="24" spans="1:7" ht="3.95" customHeight="1" x14ac:dyDescent="0.25">
      <c r="A24" s="7"/>
      <c r="B24" s="8"/>
      <c r="C24" s="53"/>
      <c r="D24" s="60"/>
      <c r="E24" s="7"/>
      <c r="F24" s="8"/>
      <c r="G24" s="53"/>
    </row>
    <row r="25" spans="1:7" ht="15.75" x14ac:dyDescent="0.25">
      <c r="A25" s="1" t="s">
        <v>22</v>
      </c>
      <c r="B25" s="2" t="s">
        <v>1</v>
      </c>
      <c r="C25" s="108">
        <v>0.86899999999999999</v>
      </c>
      <c r="E25" s="1" t="s">
        <v>22</v>
      </c>
      <c r="F25" s="2"/>
      <c r="G25" s="108"/>
    </row>
    <row r="26" spans="1:7" ht="15.75" x14ac:dyDescent="0.25">
      <c r="A26" s="4" t="s">
        <v>23</v>
      </c>
      <c r="B26" s="2" t="s">
        <v>1</v>
      </c>
      <c r="C26" s="54">
        <v>1</v>
      </c>
      <c r="E26" s="4" t="s">
        <v>23</v>
      </c>
      <c r="F26" s="2"/>
      <c r="G26" s="54"/>
    </row>
    <row r="27" spans="1:7" ht="15.75" x14ac:dyDescent="0.25">
      <c r="A27" s="4" t="s">
        <v>24</v>
      </c>
      <c r="B27" s="2" t="s">
        <v>1</v>
      </c>
      <c r="C27" s="54">
        <v>0.86899999999999999</v>
      </c>
      <c r="E27" s="4" t="s">
        <v>24</v>
      </c>
      <c r="F27" s="2"/>
      <c r="G27" s="54"/>
    </row>
    <row r="28" spans="1:7" ht="3.95" customHeight="1" thickBot="1" x14ac:dyDescent="0.3">
      <c r="A28" s="7"/>
      <c r="B28" s="8"/>
      <c r="C28" s="53"/>
      <c r="E28" s="7"/>
      <c r="F28" s="8"/>
      <c r="G28" s="53"/>
    </row>
    <row r="29" spans="1:7" ht="16.5" thickBot="1" x14ac:dyDescent="0.3">
      <c r="A29" s="1" t="s">
        <v>25</v>
      </c>
      <c r="B29" s="2" t="s">
        <v>1</v>
      </c>
      <c r="C29" s="51">
        <f>'[10]FTR Finished Product'!$L$444</f>
        <v>0</v>
      </c>
      <c r="E29" s="1" t="s">
        <v>25</v>
      </c>
      <c r="F29" s="2" t="s">
        <v>1</v>
      </c>
      <c r="G29" s="51">
        <f>'[10]FTR Finished Product'!$M$444</f>
        <v>0</v>
      </c>
    </row>
    <row r="30" spans="1:7" ht="16.5" thickBot="1" x14ac:dyDescent="0.3">
      <c r="A30" s="4" t="s">
        <v>10</v>
      </c>
      <c r="B30" s="2" t="s">
        <v>1</v>
      </c>
      <c r="C30" s="57">
        <f>'[10]FTR Finished Product'!$J$444</f>
        <v>0</v>
      </c>
      <c r="E30" s="4" t="s">
        <v>10</v>
      </c>
      <c r="F30" s="2" t="s">
        <v>1</v>
      </c>
      <c r="G30" s="57"/>
    </row>
    <row r="31" spans="1:7" ht="16.5" thickBot="1" x14ac:dyDescent="0.3">
      <c r="A31" s="4" t="s">
        <v>26</v>
      </c>
      <c r="B31" s="2" t="s">
        <v>1</v>
      </c>
      <c r="C31" s="57">
        <f>'[10]FTR Finished Product'!$F$444</f>
        <v>0</v>
      </c>
      <c r="E31" s="4" t="s">
        <v>26</v>
      </c>
      <c r="F31" s="2" t="s">
        <v>1</v>
      </c>
      <c r="G31" s="57">
        <f>'August ''24'!C31</f>
        <v>0</v>
      </c>
    </row>
    <row r="32" spans="1:7" ht="16.5" thickBot="1" x14ac:dyDescent="0.3">
      <c r="A32" s="4" t="s">
        <v>9</v>
      </c>
      <c r="B32" s="2" t="s">
        <v>1</v>
      </c>
      <c r="C32" s="57">
        <f>'[10]FTR Finished Product'!$D$444</f>
        <v>0</v>
      </c>
      <c r="E32" s="4" t="s">
        <v>9</v>
      </c>
      <c r="F32" s="2" t="s">
        <v>1</v>
      </c>
      <c r="G32" s="57">
        <f>'August ''24'!C32</f>
        <v>0</v>
      </c>
    </row>
    <row r="33" spans="1:7" ht="16.5" thickBot="1" x14ac:dyDescent="0.3">
      <c r="A33" s="4" t="s">
        <v>20</v>
      </c>
      <c r="B33" s="2" t="s">
        <v>1</v>
      </c>
      <c r="C33" s="57">
        <f>'[10]FTR Finished Product'!$H$444</f>
        <v>0</v>
      </c>
      <c r="E33" s="4" t="s">
        <v>20</v>
      </c>
      <c r="F33" s="2" t="s">
        <v>1</v>
      </c>
      <c r="G33" s="57">
        <f>'August ''24'!C33</f>
        <v>0</v>
      </c>
    </row>
    <row r="34" spans="1:7" ht="15.75" thickBot="1" x14ac:dyDescent="0.3"/>
    <row r="35" spans="1:7" ht="16.5" thickBot="1" x14ac:dyDescent="0.3">
      <c r="C35" s="122">
        <f>(C2+C7+C14+C20+C25+C29)/6</f>
        <v>0.69727759871071715</v>
      </c>
      <c r="G35" s="122">
        <f>(G2+G7+G14+G20+G25+G29)/6</f>
        <v>0.55244426537738389</v>
      </c>
    </row>
    <row r="36" spans="1:7" ht="18.75" x14ac:dyDescent="0.25">
      <c r="B36" s="23" t="s">
        <v>35</v>
      </c>
      <c r="C36" s="126" t="e">
        <f>AVERAGE('January ''25'!C37,'February ''24'!C38,'March ''24'!C36,'April ''24'!C36,#REF!,'June ''24 '!C36,'July ''24'!C35,C35)</f>
        <v>#REF!</v>
      </c>
      <c r="E36" s="125" t="s">
        <v>94</v>
      </c>
      <c r="F36" s="23" t="s">
        <v>35</v>
      </c>
      <c r="G36" s="126" t="e">
        <f>AVERAGE('January ''25'!G37,'February ''24'!G38,'March ''24'!G36,'April ''24'!G36,#REF!,'June ''24 '!G36,'July ''24'!G35,'August ''24'!G35)</f>
        <v>#REF!</v>
      </c>
    </row>
  </sheetData>
  <pageMargins left="0.7" right="0.7" top="0.75" bottom="0.75" header="0.3" footer="0.3"/>
  <pageSetup paperSize="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AACF-ABA3-4CE8-A227-F4779EF912FC}">
  <sheetPr>
    <pageSetUpPr fitToPage="1"/>
  </sheetPr>
  <dimension ref="A1:O36"/>
  <sheetViews>
    <sheetView showGridLines="0" zoomScale="90" zoomScaleNormal="90" workbookViewId="0">
      <selection activeCell="D8" sqref="D8"/>
    </sheetView>
  </sheetViews>
  <sheetFormatPr defaultRowHeight="15" x14ac:dyDescent="0.25"/>
  <cols>
    <col min="1" max="1" width="28" customWidth="1"/>
    <col min="3" max="3" width="13.5703125" style="58" customWidth="1"/>
    <col min="5" max="5" width="28" hidden="1" customWidth="1"/>
    <col min="6" max="6" width="0" hidden="1" customWidth="1"/>
    <col min="7" max="7" width="13.5703125" style="58" hidden="1" customWidth="1"/>
    <col min="8" max="8" width="0" hidden="1" customWidth="1"/>
  </cols>
  <sheetData>
    <row r="1" spans="1:15" s="18" customFormat="1" ht="24" thickBot="1" x14ac:dyDescent="0.4">
      <c r="A1" s="17" t="s">
        <v>99</v>
      </c>
      <c r="C1" s="107" t="s">
        <v>86</v>
      </c>
      <c r="D1"/>
      <c r="E1" s="17" t="s">
        <v>92</v>
      </c>
      <c r="G1" s="17" t="s">
        <v>86</v>
      </c>
      <c r="H1"/>
      <c r="I1"/>
      <c r="J1"/>
      <c r="K1"/>
      <c r="L1"/>
      <c r="M1"/>
      <c r="N1"/>
      <c r="O1"/>
    </row>
    <row r="2" spans="1:15" ht="15.75" x14ac:dyDescent="0.25">
      <c r="A2" s="1" t="s">
        <v>27</v>
      </c>
      <c r="B2" s="2" t="s">
        <v>1</v>
      </c>
      <c r="C2" s="51">
        <f>'[10]FTR Brewhouse'!$I$1510</f>
        <v>0.3828125</v>
      </c>
      <c r="D2" s="24"/>
      <c r="E2" s="1" t="s">
        <v>27</v>
      </c>
      <c r="F2" s="2" t="s">
        <v>1</v>
      </c>
      <c r="G2" s="51">
        <f>'September ''24 '!C2</f>
        <v>0.3828125</v>
      </c>
    </row>
    <row r="3" spans="1:15" ht="15.75" x14ac:dyDescent="0.25">
      <c r="A3" s="15" t="s">
        <v>28</v>
      </c>
      <c r="B3" s="5" t="s">
        <v>1</v>
      </c>
      <c r="C3" s="52">
        <f>'[10]FTR Brewhouse'!$C$1510</f>
        <v>0.953125</v>
      </c>
      <c r="D3" s="24"/>
      <c r="E3" s="15" t="s">
        <v>28</v>
      </c>
      <c r="F3" s="5" t="s">
        <v>1</v>
      </c>
      <c r="G3" s="52">
        <f>'September ''24 '!C3</f>
        <v>0.953125</v>
      </c>
    </row>
    <row r="4" spans="1:15" ht="15.75" x14ac:dyDescent="0.25">
      <c r="A4" s="4" t="s">
        <v>87</v>
      </c>
      <c r="B4" s="5" t="s">
        <v>1</v>
      </c>
      <c r="C4" s="54">
        <f>'[10]FTR Brewhouse'!$E$1510</f>
        <v>0.4140625</v>
      </c>
      <c r="D4" s="24"/>
      <c r="E4" s="4" t="s">
        <v>87</v>
      </c>
      <c r="F4" s="5" t="s">
        <v>1</v>
      </c>
      <c r="G4" s="54">
        <f>'September ''24 '!C4</f>
        <v>0.4140625</v>
      </c>
    </row>
    <row r="5" spans="1:15" ht="15.75" x14ac:dyDescent="0.25">
      <c r="A5" s="4" t="s">
        <v>88</v>
      </c>
      <c r="B5" s="5" t="s">
        <v>1</v>
      </c>
      <c r="C5" s="54">
        <f>'[10]FTR Brewhouse'!$G$1510</f>
        <v>1</v>
      </c>
      <c r="D5" s="24"/>
      <c r="E5" s="4" t="s">
        <v>88</v>
      </c>
      <c r="F5" s="5" t="s">
        <v>1</v>
      </c>
      <c r="G5" s="54">
        <f>'September ''24 '!C5</f>
        <v>1</v>
      </c>
    </row>
    <row r="6" spans="1:15" ht="3.95" customHeight="1" thickBot="1" x14ac:dyDescent="0.3">
      <c r="A6" s="7"/>
      <c r="B6" s="8"/>
      <c r="C6" s="53"/>
      <c r="D6" s="24"/>
      <c r="E6" s="7"/>
      <c r="F6" s="8"/>
      <c r="G6" s="53"/>
    </row>
    <row r="7" spans="1:15" ht="15.75" x14ac:dyDescent="0.25">
      <c r="A7" s="1" t="s">
        <v>0</v>
      </c>
      <c r="B7" s="2" t="s">
        <v>1</v>
      </c>
      <c r="C7" s="51">
        <f>'[10]FTR Fermentation'!$P$385</f>
        <v>0.63636363636363635</v>
      </c>
      <c r="D7" s="24"/>
      <c r="E7" s="1" t="s">
        <v>0</v>
      </c>
      <c r="F7" s="2" t="s">
        <v>1</v>
      </c>
      <c r="G7" s="51">
        <f>'September ''24 '!C7</f>
        <v>0.63636363636363635</v>
      </c>
    </row>
    <row r="8" spans="1:15" ht="15.75" x14ac:dyDescent="0.25">
      <c r="A8" s="4" t="s">
        <v>2</v>
      </c>
      <c r="B8" s="5" t="s">
        <v>1</v>
      </c>
      <c r="C8" s="54">
        <f>'[10]FTR Fermentation'!$D$385</f>
        <v>0.72727272727272729</v>
      </c>
      <c r="D8" s="24"/>
      <c r="E8" s="4" t="s">
        <v>2</v>
      </c>
      <c r="F8" s="5" t="s">
        <v>1</v>
      </c>
      <c r="G8" s="54">
        <f>'September ''24 '!C8</f>
        <v>0.72727272727272729</v>
      </c>
    </row>
    <row r="9" spans="1:15" ht="15.75" x14ac:dyDescent="0.25">
      <c r="A9" s="4" t="s">
        <v>3</v>
      </c>
      <c r="B9" s="5" t="s">
        <v>1</v>
      </c>
      <c r="C9" s="54">
        <f>'[10]FTR Fermentation'!$G$385</f>
        <v>1</v>
      </c>
      <c r="D9" s="24"/>
      <c r="E9" s="4" t="s">
        <v>3</v>
      </c>
      <c r="F9" s="5" t="s">
        <v>1</v>
      </c>
      <c r="G9" s="54">
        <f>'September ''24 '!C9</f>
        <v>1</v>
      </c>
    </row>
    <row r="10" spans="1:15" ht="15.75" x14ac:dyDescent="0.25">
      <c r="A10" s="4" t="s">
        <v>4</v>
      </c>
      <c r="B10" s="5" t="s">
        <v>1</v>
      </c>
      <c r="C10" s="54">
        <f>'[10]FTR Fermentation'!$K$385</f>
        <v>1</v>
      </c>
      <c r="D10" s="24"/>
      <c r="E10" s="4" t="s">
        <v>4</v>
      </c>
      <c r="F10" s="5" t="s">
        <v>1</v>
      </c>
      <c r="G10" s="54">
        <f>'September ''24 '!C10</f>
        <v>1</v>
      </c>
    </row>
    <row r="11" spans="1:15" ht="19.5" customHeight="1" x14ac:dyDescent="0.25">
      <c r="A11" s="4" t="s">
        <v>5</v>
      </c>
      <c r="B11" s="5" t="s">
        <v>1</v>
      </c>
      <c r="C11" s="54">
        <f>'[10]FTR Fermentation'!$M$385</f>
        <v>0.91304347826086951</v>
      </c>
      <c r="D11" s="24"/>
      <c r="E11" s="4" t="s">
        <v>5</v>
      </c>
      <c r="F11" s="5" t="s">
        <v>1</v>
      </c>
      <c r="G11" s="54">
        <f>'September ''24 '!C11</f>
        <v>0.91304347826086951</v>
      </c>
    </row>
    <row r="12" spans="1:15" ht="15.75" x14ac:dyDescent="0.25">
      <c r="A12" s="4" t="s">
        <v>7</v>
      </c>
      <c r="B12" s="5" t="s">
        <v>1</v>
      </c>
      <c r="C12" s="54">
        <f>'[10]FTR Fermentation'!$I$385</f>
        <v>1</v>
      </c>
      <c r="D12" s="24"/>
      <c r="E12" s="4" t="s">
        <v>7</v>
      </c>
      <c r="F12" s="5" t="s">
        <v>1</v>
      </c>
      <c r="G12" s="54">
        <f>'September ''24 '!C12</f>
        <v>1</v>
      </c>
    </row>
    <row r="13" spans="1:15" ht="16.5" thickBot="1" x14ac:dyDescent="0.3">
      <c r="A13" s="7"/>
      <c r="B13" s="8"/>
      <c r="C13" s="53"/>
      <c r="D13" s="24"/>
      <c r="E13" s="7"/>
      <c r="F13" s="8"/>
      <c r="G13" s="53"/>
    </row>
    <row r="14" spans="1:15" ht="15.75" x14ac:dyDescent="0.25">
      <c r="A14" s="1" t="s">
        <v>8</v>
      </c>
      <c r="B14" s="2" t="s">
        <v>1</v>
      </c>
      <c r="C14" s="51">
        <f>'[10]FTR BBT'!$N$690</f>
        <v>0.97101449275362317</v>
      </c>
      <c r="D14" s="24"/>
      <c r="E14" s="1" t="s">
        <v>8</v>
      </c>
      <c r="F14" s="2" t="s">
        <v>1</v>
      </c>
      <c r="G14" s="51">
        <f>'[10]FTR BBT'!$O$690</f>
        <v>0.97014925373134331</v>
      </c>
    </row>
    <row r="15" spans="1:15" ht="15.75" x14ac:dyDescent="0.25">
      <c r="A15" s="4" t="s">
        <v>9</v>
      </c>
      <c r="B15" s="5" t="s">
        <v>1</v>
      </c>
      <c r="C15" s="55">
        <f>'[10]FTR BBT'!$D$690</f>
        <v>0.98550724637681164</v>
      </c>
      <c r="D15" s="24"/>
      <c r="E15" s="4" t="s">
        <v>9</v>
      </c>
      <c r="F15" s="5" t="s">
        <v>1</v>
      </c>
      <c r="G15" s="55">
        <f>'September ''24 '!C15</f>
        <v>0.98550724637681164</v>
      </c>
    </row>
    <row r="16" spans="1:15" ht="15.75" x14ac:dyDescent="0.25">
      <c r="A16" s="4" t="s">
        <v>10</v>
      </c>
      <c r="B16" s="5" t="s">
        <v>1</v>
      </c>
      <c r="C16" s="55">
        <f>'[10]FTR BBT'!$J$690</f>
        <v>1</v>
      </c>
      <c r="D16" s="24"/>
      <c r="E16" s="4" t="s">
        <v>10</v>
      </c>
      <c r="F16" s="5" t="s">
        <v>1</v>
      </c>
      <c r="G16" s="55"/>
    </row>
    <row r="17" spans="1:7" ht="15.75" x14ac:dyDescent="0.25">
      <c r="A17" s="4" t="s">
        <v>13</v>
      </c>
      <c r="B17" s="5" t="s">
        <v>1</v>
      </c>
      <c r="C17" s="55">
        <f>'[10]FTR BBT'!$H$690</f>
        <v>1</v>
      </c>
      <c r="D17" s="24"/>
      <c r="E17" s="4" t="s">
        <v>13</v>
      </c>
      <c r="F17" s="5" t="s">
        <v>1</v>
      </c>
      <c r="G17" s="55">
        <f>'[10]FTR BBT'!$H$690</f>
        <v>1</v>
      </c>
    </row>
    <row r="18" spans="1:7" ht="15.75" x14ac:dyDescent="0.25">
      <c r="A18" s="4" t="s">
        <v>14</v>
      </c>
      <c r="B18" s="5" t="s">
        <v>1</v>
      </c>
      <c r="C18" s="55">
        <f>'[10]FTR BBT'!$F$690</f>
        <v>1</v>
      </c>
      <c r="D18" s="24"/>
      <c r="E18" s="4" t="s">
        <v>14</v>
      </c>
      <c r="F18" s="5" t="s">
        <v>1</v>
      </c>
      <c r="G18" s="55">
        <f>'[10]FTR BBT'!$F$690</f>
        <v>1</v>
      </c>
    </row>
    <row r="19" spans="1:7" ht="3.95" customHeight="1" thickBot="1" x14ac:dyDescent="0.3">
      <c r="A19" s="7"/>
      <c r="B19" s="8"/>
      <c r="C19" s="53"/>
      <c r="D19" s="24"/>
      <c r="E19" s="7"/>
      <c r="F19" s="8"/>
      <c r="G19" s="53"/>
    </row>
    <row r="20" spans="1:7" ht="15.75" x14ac:dyDescent="0.25">
      <c r="A20" s="1" t="s">
        <v>16</v>
      </c>
      <c r="B20" s="2" t="s">
        <v>1</v>
      </c>
      <c r="C20" s="51">
        <f>'[10]FTR Packaging'!$L$479</f>
        <v>0.94736842105263153</v>
      </c>
      <c r="D20" s="24"/>
      <c r="E20" s="1" t="s">
        <v>16</v>
      </c>
      <c r="F20" s="2" t="s">
        <v>1</v>
      </c>
      <c r="G20" s="51">
        <f>'September ''24 '!C20</f>
        <v>0.94736842105263153</v>
      </c>
    </row>
    <row r="21" spans="1:7" ht="15.75" x14ac:dyDescent="0.25">
      <c r="A21" s="4" t="s">
        <v>18</v>
      </c>
      <c r="B21" s="5" t="s">
        <v>1</v>
      </c>
      <c r="C21" s="54">
        <f>'[10]FTR Packaging'!$F$479</f>
        <v>0.97297297297297303</v>
      </c>
      <c r="D21" s="24"/>
      <c r="E21" s="4" t="s">
        <v>18</v>
      </c>
      <c r="F21" s="5" t="s">
        <v>1</v>
      </c>
      <c r="G21" s="54">
        <f>'September ''24 '!C21</f>
        <v>0.97297297297297303</v>
      </c>
    </row>
    <row r="22" spans="1:7" ht="15.75" x14ac:dyDescent="0.25">
      <c r="A22" s="4" t="s">
        <v>19</v>
      </c>
      <c r="B22" s="5" t="s">
        <v>1</v>
      </c>
      <c r="C22" s="54">
        <f>'[10]FTR Packaging'!$D$479</f>
        <v>1</v>
      </c>
      <c r="D22" s="24"/>
      <c r="E22" s="4" t="s">
        <v>19</v>
      </c>
      <c r="F22" s="5" t="s">
        <v>1</v>
      </c>
      <c r="G22" s="54">
        <f>'September ''24 '!C22</f>
        <v>1</v>
      </c>
    </row>
    <row r="23" spans="1:7" ht="18" customHeight="1" x14ac:dyDescent="0.25">
      <c r="A23" s="4" t="s">
        <v>91</v>
      </c>
      <c r="B23" s="5" t="s">
        <v>1</v>
      </c>
      <c r="C23" s="54">
        <f>'[10]FTR Packaging'!$J$479</f>
        <v>0.97368421052631582</v>
      </c>
      <c r="D23" s="24"/>
      <c r="E23" s="4" t="s">
        <v>91</v>
      </c>
      <c r="F23" s="5" t="s">
        <v>1</v>
      </c>
      <c r="G23" s="54">
        <f>'September ''24 '!C23</f>
        <v>0.97368421052631582</v>
      </c>
    </row>
    <row r="24" spans="1:7" ht="3.95" customHeight="1" x14ac:dyDescent="0.25">
      <c r="A24" s="7"/>
      <c r="B24" s="8"/>
      <c r="C24" s="53"/>
      <c r="D24" s="24"/>
      <c r="E24" s="7"/>
      <c r="F24" s="8"/>
      <c r="G24" s="53"/>
    </row>
    <row r="25" spans="1:7" ht="15.75" x14ac:dyDescent="0.25">
      <c r="A25" s="1" t="s">
        <v>22</v>
      </c>
      <c r="B25" s="2" t="s">
        <v>1</v>
      </c>
      <c r="C25" s="108">
        <v>0.80898000000000003</v>
      </c>
      <c r="D25" s="24"/>
      <c r="E25" s="1" t="s">
        <v>22</v>
      </c>
      <c r="F25" s="2" t="s">
        <v>1</v>
      </c>
      <c r="G25" s="108">
        <f>'September ''24 '!C25</f>
        <v>0.80898000000000003</v>
      </c>
    </row>
    <row r="26" spans="1:7" ht="15.75" x14ac:dyDescent="0.25">
      <c r="A26" s="4" t="s">
        <v>23</v>
      </c>
      <c r="B26" s="2" t="s">
        <v>1</v>
      </c>
      <c r="C26" s="54">
        <v>1</v>
      </c>
      <c r="D26" s="24"/>
      <c r="E26" s="4" t="s">
        <v>23</v>
      </c>
      <c r="F26" s="2" t="s">
        <v>1</v>
      </c>
      <c r="G26" s="54">
        <f>'September ''24 '!C26</f>
        <v>1</v>
      </c>
    </row>
    <row r="27" spans="1:7" ht="15.75" x14ac:dyDescent="0.25">
      <c r="A27" s="4" t="s">
        <v>24</v>
      </c>
      <c r="B27" s="2" t="s">
        <v>1</v>
      </c>
      <c r="C27" s="54">
        <v>0.80889999999999995</v>
      </c>
      <c r="D27" s="24"/>
      <c r="E27" s="4" t="s">
        <v>24</v>
      </c>
      <c r="F27" s="2" t="s">
        <v>1</v>
      </c>
      <c r="G27" s="54">
        <f>'September ''24 '!C27</f>
        <v>0.80889999999999995</v>
      </c>
    </row>
    <row r="28" spans="1:7" ht="3.95" customHeight="1" thickBot="1" x14ac:dyDescent="0.3">
      <c r="A28" s="7"/>
      <c r="B28" s="8"/>
      <c r="C28" s="53"/>
      <c r="D28" s="24"/>
      <c r="E28" s="7"/>
      <c r="F28" s="8"/>
      <c r="G28" s="53"/>
    </row>
    <row r="29" spans="1:7" ht="16.5" thickBot="1" x14ac:dyDescent="0.3">
      <c r="A29" s="1" t="s">
        <v>25</v>
      </c>
      <c r="B29" s="2" t="s">
        <v>1</v>
      </c>
      <c r="C29" s="51">
        <f>'[10]FTR Finished Product'!$L$490</f>
        <v>1</v>
      </c>
      <c r="D29" s="24"/>
      <c r="E29" s="1" t="s">
        <v>25</v>
      </c>
      <c r="F29" s="2" t="s">
        <v>1</v>
      </c>
      <c r="G29" s="51">
        <f>'[10]FTR Finished Product'!$M$488</f>
        <v>1</v>
      </c>
    </row>
    <row r="30" spans="1:7" ht="16.5" thickBot="1" x14ac:dyDescent="0.3">
      <c r="A30" s="4" t="s">
        <v>10</v>
      </c>
      <c r="B30" s="2" t="s">
        <v>1</v>
      </c>
      <c r="C30" s="57">
        <f>'[10]FTR Finished Product'!$J$490</f>
        <v>126.9</v>
      </c>
      <c r="D30" s="24"/>
      <c r="E30" s="4" t="s">
        <v>10</v>
      </c>
      <c r="F30" s="2" t="s">
        <v>1</v>
      </c>
      <c r="G30" s="57">
        <f>'September ''24 '!C30</f>
        <v>126.9</v>
      </c>
    </row>
    <row r="31" spans="1:7" ht="16.5" thickBot="1" x14ac:dyDescent="0.3">
      <c r="A31" s="4" t="s">
        <v>26</v>
      </c>
      <c r="B31" s="2" t="s">
        <v>1</v>
      </c>
      <c r="C31" s="57">
        <f>'[10]FTR Finished Product'!$F$490</f>
        <v>14.3</v>
      </c>
      <c r="D31" s="24"/>
      <c r="E31" s="4" t="s">
        <v>26</v>
      </c>
      <c r="F31" s="2" t="s">
        <v>1</v>
      </c>
      <c r="G31" s="57">
        <f>'September ''24 '!C31</f>
        <v>14.3</v>
      </c>
    </row>
    <row r="32" spans="1:7" ht="16.5" thickBot="1" x14ac:dyDescent="0.3">
      <c r="A32" s="4" t="s">
        <v>9</v>
      </c>
      <c r="B32" s="2" t="s">
        <v>1</v>
      </c>
      <c r="C32" s="57">
        <f>'[10]FTR Finished Product'!$D$490</f>
        <v>16.399999999999999</v>
      </c>
      <c r="D32" s="24"/>
      <c r="E32" s="4" t="s">
        <v>9</v>
      </c>
      <c r="F32" s="2" t="s">
        <v>1</v>
      </c>
      <c r="G32" s="57">
        <f>'September ''24 '!C32</f>
        <v>16.399999999999999</v>
      </c>
    </row>
    <row r="33" spans="1:7" ht="16.5" thickBot="1" x14ac:dyDescent="0.3">
      <c r="A33" s="4" t="s">
        <v>20</v>
      </c>
      <c r="B33" s="2" t="s">
        <v>1</v>
      </c>
      <c r="C33" s="57">
        <f>'[10]FTR Finished Product'!$H$490</f>
        <v>0.25</v>
      </c>
      <c r="D33" s="24"/>
      <c r="E33" s="4" t="s">
        <v>20</v>
      </c>
      <c r="F33" s="2" t="s">
        <v>1</v>
      </c>
      <c r="G33" s="57">
        <f>'September ''24 '!C33</f>
        <v>0.25</v>
      </c>
    </row>
    <row r="34" spans="1:7" ht="15.75" thickBot="1" x14ac:dyDescent="0.3"/>
    <row r="35" spans="1:7" ht="16.5" thickBot="1" x14ac:dyDescent="0.3">
      <c r="C35" s="122">
        <f>(C2+C7+C14+C20+C25+C29)/6</f>
        <v>0.79108984169498175</v>
      </c>
      <c r="G35" s="122">
        <f>(G2+G7+G14+G20+G25+G29)/6</f>
        <v>0.79094563519126859</v>
      </c>
    </row>
    <row r="36" spans="1:7" ht="15.75" x14ac:dyDescent="0.25">
      <c r="B36" s="23" t="s">
        <v>35</v>
      </c>
      <c r="C36" s="126" t="e">
        <f>AVERAGE('January ''25'!C37,'February ''24'!C38,'March ''24'!C36,'April ''24'!C36,#REF!,'June ''24 '!C36,'July ''24'!C35,'August ''24'!C35,C35)</f>
        <v>#REF!</v>
      </c>
      <c r="E36" t="s">
        <v>94</v>
      </c>
      <c r="F36" s="23" t="s">
        <v>35</v>
      </c>
      <c r="G36" s="126" t="e">
        <f>AVERAGE('January ''25'!G37,'February ''24'!G38,'March ''24'!G36,'April ''24'!G36,#REF!,'June ''24 '!G36,'July ''24'!G35,'August ''24'!G35,'September ''24 '!G35)</f>
        <v>#REF!</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48E33-15A9-41ED-91FD-FA7EB9429F84}">
  <sheetPr>
    <pageSetUpPr fitToPage="1"/>
  </sheetPr>
  <dimension ref="A1:G36"/>
  <sheetViews>
    <sheetView showGridLines="0" topLeftCell="A6" workbookViewId="0">
      <selection activeCell="D8" sqref="D8"/>
    </sheetView>
  </sheetViews>
  <sheetFormatPr defaultRowHeight="15" x14ac:dyDescent="0.25"/>
  <cols>
    <col min="1" max="1" width="28" customWidth="1"/>
    <col min="3" max="3" width="13.5703125" style="58" customWidth="1"/>
    <col min="5" max="5" width="30.5703125" hidden="1" customWidth="1"/>
    <col min="6" max="6" width="5.85546875" hidden="1" customWidth="1"/>
    <col min="7" max="7" width="10.42578125" hidden="1" customWidth="1"/>
    <col min="8" max="8" width="9.140625" customWidth="1"/>
  </cols>
  <sheetData>
    <row r="1" spans="1:7" s="18" customFormat="1" ht="24" thickBot="1" x14ac:dyDescent="0.4">
      <c r="A1" s="17" t="s">
        <v>30</v>
      </c>
      <c r="C1" s="107" t="s">
        <v>86</v>
      </c>
      <c r="E1" s="17" t="s">
        <v>92</v>
      </c>
      <c r="G1" s="17" t="s">
        <v>86</v>
      </c>
    </row>
    <row r="2" spans="1:7" ht="15.75" x14ac:dyDescent="0.25">
      <c r="A2" s="1" t="s">
        <v>27</v>
      </c>
      <c r="B2" s="2" t="s">
        <v>1</v>
      </c>
      <c r="C2" s="51">
        <f>'[10]FTR Brewhouse'!$I$1649</f>
        <v>0.42063492063492064</v>
      </c>
      <c r="E2" s="1" t="s">
        <v>27</v>
      </c>
      <c r="F2" s="2" t="s">
        <v>1</v>
      </c>
      <c r="G2" s="51" t="e">
        <f>'[10]FTR Brewhouse'!#REF!</f>
        <v>#REF!</v>
      </c>
    </row>
    <row r="3" spans="1:7" ht="15.75" x14ac:dyDescent="0.25">
      <c r="A3" s="15" t="s">
        <v>28</v>
      </c>
      <c r="B3" s="5" t="s">
        <v>1</v>
      </c>
      <c r="C3" s="52">
        <f>'[10]FTR Brewhouse'!$C$1649</f>
        <v>0.93650793650793651</v>
      </c>
      <c r="E3" s="15" t="s">
        <v>28</v>
      </c>
      <c r="F3" s="5" t="s">
        <v>1</v>
      </c>
      <c r="G3" s="52" t="e">
        <f>'[10]FTR Brewhouse'!#REF!</f>
        <v>#REF!</v>
      </c>
    </row>
    <row r="4" spans="1:7" ht="15.75" x14ac:dyDescent="0.25">
      <c r="A4" s="4" t="s">
        <v>87</v>
      </c>
      <c r="B4" s="5" t="s">
        <v>1</v>
      </c>
      <c r="C4" s="54">
        <f>'[10]FTR Brewhouse'!$E$1649</f>
        <v>0.45238095238095238</v>
      </c>
      <c r="E4" s="4" t="s">
        <v>87</v>
      </c>
      <c r="F4" s="5" t="s">
        <v>1</v>
      </c>
      <c r="G4" s="54" t="e">
        <f>'[10]FTR Brewhouse'!#REF!</f>
        <v>#REF!</v>
      </c>
    </row>
    <row r="5" spans="1:7" ht="15.75" x14ac:dyDescent="0.25">
      <c r="A5" s="4" t="s">
        <v>88</v>
      </c>
      <c r="B5" s="5" t="s">
        <v>1</v>
      </c>
      <c r="C5" s="54">
        <f>'[10]FTR Brewhouse'!$G$1649</f>
        <v>0.99047619047619051</v>
      </c>
      <c r="E5" s="4" t="s">
        <v>88</v>
      </c>
      <c r="F5" s="5" t="s">
        <v>1</v>
      </c>
      <c r="G5" s="54" t="e">
        <f>'[10]FTR Brewhouse'!#REF!</f>
        <v>#REF!</v>
      </c>
    </row>
    <row r="6" spans="1:7" ht="3.95" customHeight="1" thickBot="1" x14ac:dyDescent="0.3">
      <c r="A6" s="7"/>
      <c r="B6" s="8"/>
      <c r="C6" s="53"/>
      <c r="E6" s="7"/>
      <c r="F6" s="8"/>
      <c r="G6" s="53"/>
    </row>
    <row r="7" spans="1:7" ht="15.75" x14ac:dyDescent="0.25">
      <c r="A7" s="1" t="s">
        <v>0</v>
      </c>
      <c r="B7" s="2" t="s">
        <v>1</v>
      </c>
      <c r="C7" s="51">
        <f>'[10]FTR Fermentation'!$P$410</f>
        <v>0.55555555555555558</v>
      </c>
      <c r="E7" s="1" t="s">
        <v>0</v>
      </c>
      <c r="F7" s="2" t="s">
        <v>1</v>
      </c>
      <c r="G7" s="51" t="e">
        <f>'[10]FTR Fermentation'!#REF!</f>
        <v>#REF!</v>
      </c>
    </row>
    <row r="8" spans="1:7" ht="15.75" x14ac:dyDescent="0.25">
      <c r="A8" s="4" t="s">
        <v>2</v>
      </c>
      <c r="B8" s="5" t="s">
        <v>1</v>
      </c>
      <c r="C8" s="54">
        <f>'[10]FTR Fermentation'!$D$410</f>
        <v>0.7</v>
      </c>
      <c r="E8" s="4" t="s">
        <v>2</v>
      </c>
      <c r="F8" s="5" t="s">
        <v>1</v>
      </c>
      <c r="G8" s="54" t="e">
        <f>'[10]FTR Fermentation'!#REF!</f>
        <v>#REF!</v>
      </c>
    </row>
    <row r="9" spans="1:7" ht="15.75" x14ac:dyDescent="0.25">
      <c r="A9" s="4" t="s">
        <v>3</v>
      </c>
      <c r="B9" s="5" t="s">
        <v>1</v>
      </c>
      <c r="C9" s="54">
        <f>'[10]FTR Fermentation'!$G$410</f>
        <v>1</v>
      </c>
      <c r="E9" s="4" t="s">
        <v>3</v>
      </c>
      <c r="F9" s="5" t="s">
        <v>1</v>
      </c>
      <c r="G9" s="54" t="e">
        <f>'[10]FTR Fermentation'!#REF!</f>
        <v>#REF!</v>
      </c>
    </row>
    <row r="10" spans="1:7" ht="15.75" x14ac:dyDescent="0.25">
      <c r="A10" s="4" t="s">
        <v>4</v>
      </c>
      <c r="B10" s="5" t="s">
        <v>1</v>
      </c>
      <c r="C10" s="54">
        <f>'[10]FTR Fermentation'!$K$410</f>
        <v>1</v>
      </c>
      <c r="E10" s="4" t="s">
        <v>4</v>
      </c>
      <c r="F10" s="5" t="s">
        <v>1</v>
      </c>
      <c r="G10" s="54" t="e">
        <f>'[10]FTR Fermentation'!#REF!</f>
        <v>#REF!</v>
      </c>
    </row>
    <row r="11" spans="1:7" ht="15.75" x14ac:dyDescent="0.25">
      <c r="A11" s="4" t="s">
        <v>5</v>
      </c>
      <c r="B11" s="5" t="s">
        <v>1</v>
      </c>
      <c r="C11" s="54">
        <f>'[10]FTR Fermentation'!$M$410</f>
        <v>0.77777777777777779</v>
      </c>
      <c r="E11" s="4" t="s">
        <v>5</v>
      </c>
      <c r="F11" s="5" t="s">
        <v>1</v>
      </c>
      <c r="G11" s="54" t="e">
        <f>'[10]FTR Fermentation'!#REF!</f>
        <v>#REF!</v>
      </c>
    </row>
    <row r="12" spans="1:7" ht="15.75" x14ac:dyDescent="0.25">
      <c r="A12" s="4" t="s">
        <v>7</v>
      </c>
      <c r="B12" s="5" t="s">
        <v>1</v>
      </c>
      <c r="C12" s="54">
        <f>'[10]FTR Fermentation'!$I$410</f>
        <v>1</v>
      </c>
      <c r="E12" s="4" t="s">
        <v>7</v>
      </c>
      <c r="F12" s="5" t="s">
        <v>1</v>
      </c>
      <c r="G12" s="54" t="e">
        <f>'[10]FTR Fermentation'!#REF!</f>
        <v>#REF!</v>
      </c>
    </row>
    <row r="13" spans="1:7" ht="3.95" customHeight="1" thickBot="1" x14ac:dyDescent="0.3">
      <c r="A13" s="7"/>
      <c r="B13" s="8"/>
      <c r="C13" s="53"/>
      <c r="E13" s="7"/>
      <c r="F13" s="8"/>
      <c r="G13" s="53"/>
    </row>
    <row r="14" spans="1:7" ht="15.75" x14ac:dyDescent="0.25">
      <c r="A14" s="1" t="s">
        <v>8</v>
      </c>
      <c r="B14" s="2" t="s">
        <v>1</v>
      </c>
      <c r="C14" s="51">
        <f>'[10]FTR BBT'!$N$777</f>
        <v>0.93333333333333335</v>
      </c>
      <c r="E14" s="1" t="s">
        <v>8</v>
      </c>
      <c r="F14" s="2" t="s">
        <v>1</v>
      </c>
      <c r="G14" s="51">
        <f>'[10]FTR BBT'!$N$777</f>
        <v>0.93333333333333335</v>
      </c>
    </row>
    <row r="15" spans="1:7" ht="15.75" x14ac:dyDescent="0.25">
      <c r="A15" s="4" t="s">
        <v>9</v>
      </c>
      <c r="B15" s="5" t="s">
        <v>1</v>
      </c>
      <c r="C15" s="55">
        <f>'[10]FTR BBT'!$D$777</f>
        <v>0.97619047619047616</v>
      </c>
      <c r="E15" s="4" t="s">
        <v>9</v>
      </c>
      <c r="F15" s="5" t="s">
        <v>1</v>
      </c>
      <c r="G15" s="55">
        <f>'[10]FTR BBT'!$D$777</f>
        <v>0.97619047619047616</v>
      </c>
    </row>
    <row r="16" spans="1:7" ht="15.75" x14ac:dyDescent="0.25">
      <c r="A16" s="4" t="s">
        <v>10</v>
      </c>
      <c r="B16" s="5" t="s">
        <v>1</v>
      </c>
      <c r="C16" s="56">
        <f>'[10]FTR BBT'!$J$777</f>
        <v>0.9642857142857143</v>
      </c>
      <c r="E16" s="4" t="s">
        <v>10</v>
      </c>
      <c r="F16" s="5" t="s">
        <v>1</v>
      </c>
      <c r="G16" s="56"/>
    </row>
    <row r="17" spans="1:7" ht="15.75" x14ac:dyDescent="0.25">
      <c r="A17" s="4" t="s">
        <v>13</v>
      </c>
      <c r="B17" s="5" t="s">
        <v>1</v>
      </c>
      <c r="C17" s="55">
        <f>'[10]FTR BBT'!$H$777</f>
        <v>0.98734177215189878</v>
      </c>
      <c r="E17" s="4" t="s">
        <v>13</v>
      </c>
      <c r="F17" s="5" t="s">
        <v>1</v>
      </c>
      <c r="G17" s="55">
        <f>'[10]FTR BBT'!$H$777</f>
        <v>0.98734177215189878</v>
      </c>
    </row>
    <row r="18" spans="1:7" ht="15.75" x14ac:dyDescent="0.25">
      <c r="A18" s="4" t="s">
        <v>14</v>
      </c>
      <c r="B18" s="5" t="s">
        <v>1</v>
      </c>
      <c r="C18" s="55">
        <f>'[10]FTR BBT'!$F$777</f>
        <v>1</v>
      </c>
      <c r="E18" s="4" t="s">
        <v>14</v>
      </c>
      <c r="F18" s="5" t="s">
        <v>1</v>
      </c>
      <c r="G18" s="55">
        <f>'[10]FTR BBT'!$F$777</f>
        <v>1</v>
      </c>
    </row>
    <row r="19" spans="1:7" ht="3.95" customHeight="1" thickBot="1" x14ac:dyDescent="0.3">
      <c r="A19" s="7"/>
      <c r="B19" s="8"/>
      <c r="C19" s="53"/>
      <c r="E19" s="7"/>
      <c r="F19" s="8"/>
      <c r="G19" s="53"/>
    </row>
    <row r="20" spans="1:7" ht="15.75" x14ac:dyDescent="0.25">
      <c r="A20" s="1" t="s">
        <v>16</v>
      </c>
      <c r="B20" s="2" t="s">
        <v>1</v>
      </c>
      <c r="C20" s="51">
        <f>'[10]FTR Packaging'!$L$541</f>
        <v>0.92982456140350878</v>
      </c>
      <c r="E20" s="1" t="s">
        <v>16</v>
      </c>
      <c r="F20" s="2" t="s">
        <v>1</v>
      </c>
      <c r="G20" s="51">
        <f>'[10]FTR Packaging'!$L$541</f>
        <v>0.92982456140350878</v>
      </c>
    </row>
    <row r="21" spans="1:7" ht="15.75" x14ac:dyDescent="0.25">
      <c r="A21" s="4" t="s">
        <v>18</v>
      </c>
      <c r="B21" s="5" t="s">
        <v>1</v>
      </c>
      <c r="C21" s="54">
        <f>'[10]FTR Packaging'!$F$541</f>
        <v>0.91836734693877553</v>
      </c>
      <c r="E21" s="4" t="s">
        <v>18</v>
      </c>
      <c r="F21" s="5" t="s">
        <v>1</v>
      </c>
      <c r="G21" s="54">
        <f>'[10]FTR Packaging'!$F$541</f>
        <v>0.91836734693877553</v>
      </c>
    </row>
    <row r="22" spans="1:7" ht="15.75" x14ac:dyDescent="0.25">
      <c r="A22" s="4" t="s">
        <v>19</v>
      </c>
      <c r="B22" s="5" t="s">
        <v>1</v>
      </c>
      <c r="C22" s="54">
        <f>'[10]FTR Packaging'!$D$541</f>
        <v>1</v>
      </c>
      <c r="E22" s="4" t="s">
        <v>19</v>
      </c>
      <c r="F22" s="5" t="s">
        <v>1</v>
      </c>
      <c r="G22" s="54">
        <f>'[10]FTR Packaging'!$D$541</f>
        <v>1</v>
      </c>
    </row>
    <row r="23" spans="1:7" ht="20.25" customHeight="1" x14ac:dyDescent="0.25">
      <c r="A23" s="4" t="s">
        <v>91</v>
      </c>
      <c r="B23" s="5" t="s">
        <v>1</v>
      </c>
      <c r="C23" s="54">
        <f>'[10]FTR Packaging'!$J$541</f>
        <v>1</v>
      </c>
      <c r="E23" s="4" t="s">
        <v>91</v>
      </c>
      <c r="F23" s="5" t="s">
        <v>1</v>
      </c>
      <c r="G23" s="54">
        <f>'[10]FTR Packaging'!$J$541</f>
        <v>1</v>
      </c>
    </row>
    <row r="24" spans="1:7" ht="3.95" customHeight="1" x14ac:dyDescent="0.25">
      <c r="A24" s="7"/>
      <c r="B24" s="8"/>
      <c r="C24" s="53"/>
      <c r="E24" s="7"/>
      <c r="F24" s="8"/>
      <c r="G24" s="53"/>
    </row>
    <row r="25" spans="1:7" ht="15.75" x14ac:dyDescent="0.25">
      <c r="A25" s="1" t="s">
        <v>22</v>
      </c>
      <c r="B25" s="2" t="s">
        <v>1</v>
      </c>
      <c r="C25" s="108">
        <v>0.86899999999999999</v>
      </c>
      <c r="E25" s="1" t="s">
        <v>22</v>
      </c>
      <c r="F25" s="2" t="s">
        <v>1</v>
      </c>
      <c r="G25" s="108">
        <f>'October ''24 '!C25</f>
        <v>0.86899999999999999</v>
      </c>
    </row>
    <row r="26" spans="1:7" ht="15.75" x14ac:dyDescent="0.25">
      <c r="A26" s="4" t="s">
        <v>23</v>
      </c>
      <c r="B26" s="2" t="s">
        <v>1</v>
      </c>
      <c r="C26" s="54">
        <v>1</v>
      </c>
      <c r="E26" s="4" t="s">
        <v>23</v>
      </c>
      <c r="F26" s="2" t="s">
        <v>1</v>
      </c>
      <c r="G26" s="54">
        <f>'October ''24 '!C26</f>
        <v>1</v>
      </c>
    </row>
    <row r="27" spans="1:7" ht="15.75" x14ac:dyDescent="0.25">
      <c r="A27" s="4" t="s">
        <v>24</v>
      </c>
      <c r="B27" s="2" t="s">
        <v>1</v>
      </c>
      <c r="C27" s="54">
        <v>0.86899999999999999</v>
      </c>
      <c r="E27" s="4" t="s">
        <v>24</v>
      </c>
      <c r="F27" s="2" t="s">
        <v>1</v>
      </c>
      <c r="G27" s="54">
        <f>'October ''24 '!C27</f>
        <v>0.86899999999999999</v>
      </c>
    </row>
    <row r="28" spans="1:7" ht="3.95" customHeight="1" thickBot="1" x14ac:dyDescent="0.3">
      <c r="A28" s="7"/>
      <c r="B28" s="8"/>
      <c r="C28" s="53"/>
      <c r="E28" s="7"/>
      <c r="F28" s="8"/>
      <c r="G28" s="53"/>
    </row>
    <row r="29" spans="1:7" ht="16.5" thickBot="1" x14ac:dyDescent="0.3">
      <c r="A29" s="1" t="s">
        <v>25</v>
      </c>
      <c r="B29" s="2" t="s">
        <v>1</v>
      </c>
      <c r="C29" s="51">
        <f>'[10]FTR Finished Product'!$L$552</f>
        <v>1</v>
      </c>
      <c r="E29" s="1" t="s">
        <v>25</v>
      </c>
      <c r="F29" s="2" t="s">
        <v>1</v>
      </c>
      <c r="G29" s="51">
        <f>'[10]FTR Finished Product'!$L$552</f>
        <v>1</v>
      </c>
    </row>
    <row r="30" spans="1:7" ht="16.5" thickBot="1" x14ac:dyDescent="0.3">
      <c r="A30" s="4" t="s">
        <v>10</v>
      </c>
      <c r="B30" s="2" t="s">
        <v>1</v>
      </c>
      <c r="C30" s="57">
        <f>'[10]FTR Finished Product'!$J$552</f>
        <v>6.35</v>
      </c>
      <c r="E30" s="4" t="s">
        <v>10</v>
      </c>
      <c r="F30" s="2" t="s">
        <v>1</v>
      </c>
      <c r="G30" s="57"/>
    </row>
    <row r="31" spans="1:7" ht="16.5" thickBot="1" x14ac:dyDescent="0.3">
      <c r="A31" s="4" t="s">
        <v>26</v>
      </c>
      <c r="B31" s="2" t="s">
        <v>1</v>
      </c>
      <c r="C31" s="57">
        <f>'[10]FTR Finished Product'!$F$552</f>
        <v>13</v>
      </c>
      <c r="E31" s="4" t="s">
        <v>26</v>
      </c>
      <c r="F31" s="2" t="s">
        <v>1</v>
      </c>
      <c r="G31" s="57">
        <f>'[10]FTR Finished Product'!$F$552</f>
        <v>13</v>
      </c>
    </row>
    <row r="32" spans="1:7" ht="16.5" thickBot="1" x14ac:dyDescent="0.3">
      <c r="A32" s="4" t="s">
        <v>9</v>
      </c>
      <c r="B32" s="2" t="s">
        <v>1</v>
      </c>
      <c r="C32" s="57">
        <f>'[10]FTR Finished Product'!$D$552</f>
        <v>1.95</v>
      </c>
      <c r="E32" s="4" t="s">
        <v>9</v>
      </c>
      <c r="F32" s="2" t="s">
        <v>1</v>
      </c>
      <c r="G32" s="57">
        <f>'[10]FTR Finished Product'!$D$552</f>
        <v>1.95</v>
      </c>
    </row>
    <row r="33" spans="1:7" ht="16.5" thickBot="1" x14ac:dyDescent="0.3">
      <c r="A33" s="4" t="s">
        <v>20</v>
      </c>
      <c r="B33" s="2" t="s">
        <v>1</v>
      </c>
      <c r="C33" s="57">
        <f>'[10]FTR Finished Product'!$H$552</f>
        <v>0.02</v>
      </c>
      <c r="E33" s="4" t="s">
        <v>20</v>
      </c>
      <c r="F33" s="2" t="s">
        <v>1</v>
      </c>
      <c r="G33" s="57">
        <f>'[10]FTR Finished Product'!$H$552</f>
        <v>0.02</v>
      </c>
    </row>
    <row r="34" spans="1:7" ht="15.75" thickBot="1" x14ac:dyDescent="0.3"/>
    <row r="35" spans="1:7" ht="16.5" thickBot="1" x14ac:dyDescent="0.3">
      <c r="C35" s="122">
        <f>(C2+C7+C14+C20+C25+C29)/6</f>
        <v>0.78472472848788632</v>
      </c>
      <c r="G35" s="122" t="e">
        <f>(G2+G7+G14+G20+G25+G29)/6</f>
        <v>#REF!</v>
      </c>
    </row>
    <row r="36" spans="1:7" ht="18.75" x14ac:dyDescent="0.25">
      <c r="B36" s="23" t="s">
        <v>35</v>
      </c>
      <c r="C36" s="126" t="e">
        <f>AVERAGE('January ''25'!C37,'February ''24'!C38,'March ''24'!C36,'April ''24'!C36,#REF!,'June ''24 '!C36,'July ''24'!C35,'August ''24'!C35,'September ''24 '!C35,'October ''24 '!C35)</f>
        <v>#REF!</v>
      </c>
      <c r="E36" s="125" t="s">
        <v>94</v>
      </c>
      <c r="F36" s="23" t="s">
        <v>35</v>
      </c>
      <c r="G36" s="126" t="e">
        <f>AVERAGE('January ''25'!G37,'February ''24'!G38,'March ''24'!G36,'April ''24'!G36,#REF!,'June ''24 '!G36,'July ''24'!G35,'August ''24'!G35,'September ''24 '!G35,'October ''24 '!G35)</f>
        <v>#REF!</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520E2-9B23-4153-85BF-ABAF405A0C6F}">
  <sheetPr>
    <pageSetUpPr fitToPage="1"/>
  </sheetPr>
  <dimension ref="A1:S36"/>
  <sheetViews>
    <sheetView showGridLines="0" zoomScale="65" zoomScaleNormal="100" workbookViewId="0">
      <selection activeCell="D8" sqref="D8"/>
    </sheetView>
  </sheetViews>
  <sheetFormatPr defaultRowHeight="15" x14ac:dyDescent="0.25"/>
  <cols>
    <col min="1" max="1" width="28" customWidth="1"/>
    <col min="3" max="3" width="13.5703125" style="58" customWidth="1"/>
    <col min="4" max="4" width="9.140625" hidden="1" customWidth="1"/>
    <col min="5" max="5" width="30.5703125" hidden="1" customWidth="1"/>
    <col min="6" max="6" width="5.85546875" hidden="1" customWidth="1"/>
    <col min="7" max="7" width="10.42578125" hidden="1" customWidth="1"/>
    <col min="8" max="9" width="9.140625" hidden="1" customWidth="1"/>
    <col min="10" max="12" width="0" hidden="1" customWidth="1"/>
  </cols>
  <sheetData>
    <row r="1" spans="1:7" s="18" customFormat="1" ht="24" thickBot="1" x14ac:dyDescent="0.4">
      <c r="A1" s="17" t="s">
        <v>30</v>
      </c>
      <c r="C1" s="107" t="s">
        <v>86</v>
      </c>
      <c r="E1" s="17" t="s">
        <v>92</v>
      </c>
      <c r="G1" s="17" t="s">
        <v>86</v>
      </c>
    </row>
    <row r="2" spans="1:7" ht="15.75" x14ac:dyDescent="0.25">
      <c r="A2" s="1" t="s">
        <v>27</v>
      </c>
      <c r="B2" s="2" t="s">
        <v>1</v>
      </c>
      <c r="C2" s="134">
        <f>'[10]FTR Brewhouse'!$I$1818</f>
        <v>0.48780487804878048</v>
      </c>
      <c r="E2" s="1" t="s">
        <v>27</v>
      </c>
      <c r="F2" s="2" t="s">
        <v>1</v>
      </c>
      <c r="G2" s="51">
        <f>'November ''24 '!C2</f>
        <v>0.48780487804878048</v>
      </c>
    </row>
    <row r="3" spans="1:7" ht="15.75" x14ac:dyDescent="0.25">
      <c r="A3" s="15" t="s">
        <v>28</v>
      </c>
      <c r="B3" s="5" t="s">
        <v>1</v>
      </c>
      <c r="C3" s="135">
        <f>'[10]FTR Brewhouse'!$C$1818</f>
        <v>0.96951219512195119</v>
      </c>
      <c r="E3" s="15" t="s">
        <v>28</v>
      </c>
      <c r="F3" s="5" t="s">
        <v>1</v>
      </c>
      <c r="G3" s="52">
        <f>'November ''24 '!C3</f>
        <v>0.96951219512195119</v>
      </c>
    </row>
    <row r="4" spans="1:7" ht="15.75" x14ac:dyDescent="0.25">
      <c r="A4" s="4" t="s">
        <v>87</v>
      </c>
      <c r="B4" s="5" t="s">
        <v>1</v>
      </c>
      <c r="C4" s="136">
        <f>'[10]FTR Brewhouse'!$E$1818</f>
        <v>0.51829268292682928</v>
      </c>
      <c r="E4" s="4" t="s">
        <v>87</v>
      </c>
      <c r="F4" s="5" t="s">
        <v>1</v>
      </c>
      <c r="G4" s="54">
        <f>'November ''24 '!C4</f>
        <v>0.51829268292682928</v>
      </c>
    </row>
    <row r="5" spans="1:7" ht="15.75" x14ac:dyDescent="0.25">
      <c r="A5" s="4" t="s">
        <v>88</v>
      </c>
      <c r="B5" s="5" t="s">
        <v>1</v>
      </c>
      <c r="C5" s="136">
        <f>'[10]FTR Brewhouse'!$G$1818</f>
        <v>1</v>
      </c>
      <c r="E5" s="4" t="s">
        <v>88</v>
      </c>
      <c r="F5" s="5" t="s">
        <v>1</v>
      </c>
      <c r="G5" s="54">
        <f>'November ''24 '!C5</f>
        <v>1</v>
      </c>
    </row>
    <row r="6" spans="1:7" ht="3.95" customHeight="1" thickBot="1" x14ac:dyDescent="0.3">
      <c r="A6" s="7"/>
      <c r="B6" s="8"/>
      <c r="C6" s="137"/>
      <c r="E6" s="7"/>
      <c r="F6" s="8"/>
      <c r="G6" s="53"/>
    </row>
    <row r="7" spans="1:7" ht="15.75" x14ac:dyDescent="0.25">
      <c r="A7" s="1" t="s">
        <v>0</v>
      </c>
      <c r="B7" s="2" t="s">
        <v>1</v>
      </c>
      <c r="C7" s="134">
        <f>'[10]FTR Fermentation'!$P$446</f>
        <v>0.20833333333333334</v>
      </c>
      <c r="E7" s="1" t="s">
        <v>0</v>
      </c>
      <c r="F7" s="2" t="s">
        <v>1</v>
      </c>
      <c r="G7" s="51">
        <f>'November ''24 '!C7</f>
        <v>0.20833333333333334</v>
      </c>
    </row>
    <row r="8" spans="1:7" ht="15.75" x14ac:dyDescent="0.25">
      <c r="A8" s="4" t="s">
        <v>2</v>
      </c>
      <c r="B8" s="5" t="s">
        <v>1</v>
      </c>
      <c r="C8" s="136">
        <f>'[10]FTR Fermentation'!$D$446</f>
        <v>0.61538461538461542</v>
      </c>
      <c r="E8" s="4" t="s">
        <v>2</v>
      </c>
      <c r="F8" s="5" t="s">
        <v>1</v>
      </c>
      <c r="G8" s="54">
        <f>'November ''24 '!C8</f>
        <v>0.61538461538461542</v>
      </c>
    </row>
    <row r="9" spans="1:7" ht="15.75" x14ac:dyDescent="0.25">
      <c r="A9" s="4" t="s">
        <v>3</v>
      </c>
      <c r="B9" s="5" t="s">
        <v>1</v>
      </c>
      <c r="C9" s="136">
        <f>'[10]FTR Fermentation'!$G$446</f>
        <v>0.92</v>
      </c>
      <c r="E9" s="4" t="s">
        <v>3</v>
      </c>
      <c r="F9" s="5" t="s">
        <v>1</v>
      </c>
      <c r="G9" s="54">
        <f>'November ''24 '!C9</f>
        <v>0.92</v>
      </c>
    </row>
    <row r="10" spans="1:7" ht="15.75" x14ac:dyDescent="0.25">
      <c r="A10" s="4" t="s">
        <v>4</v>
      </c>
      <c r="B10" s="5" t="s">
        <v>1</v>
      </c>
      <c r="C10" s="136">
        <f>'[10]FTR Fermentation'!$K$446</f>
        <v>1</v>
      </c>
      <c r="E10" s="4" t="s">
        <v>4</v>
      </c>
      <c r="F10" s="5" t="s">
        <v>1</v>
      </c>
      <c r="G10" s="54">
        <f>'November ''24 '!C10</f>
        <v>1</v>
      </c>
    </row>
    <row r="11" spans="1:7" ht="15.75" x14ac:dyDescent="0.25">
      <c r="A11" s="4" t="s">
        <v>5</v>
      </c>
      <c r="B11" s="5" t="s">
        <v>1</v>
      </c>
      <c r="C11" s="136">
        <f>'[10]FTR Fermentation'!$M$446</f>
        <v>0.66666666666666663</v>
      </c>
      <c r="E11" s="4" t="s">
        <v>5</v>
      </c>
      <c r="F11" s="5" t="s">
        <v>1</v>
      </c>
      <c r="G11" s="54">
        <f>'November ''24 '!C11</f>
        <v>0.66666666666666663</v>
      </c>
    </row>
    <row r="12" spans="1:7" ht="15.75" x14ac:dyDescent="0.25">
      <c r="A12" s="4" t="s">
        <v>7</v>
      </c>
      <c r="B12" s="5" t="s">
        <v>1</v>
      </c>
      <c r="C12" s="136">
        <f>'[10]FTR Fermentation'!$I$446</f>
        <v>0.5</v>
      </c>
      <c r="E12" s="4" t="s">
        <v>7</v>
      </c>
      <c r="F12" s="5" t="s">
        <v>1</v>
      </c>
      <c r="G12" s="54">
        <f>'November ''24 '!C12</f>
        <v>0.5</v>
      </c>
    </row>
    <row r="13" spans="1:7" ht="3.95" customHeight="1" thickBot="1" x14ac:dyDescent="0.3">
      <c r="A13" s="7"/>
      <c r="B13" s="8"/>
      <c r="C13" s="137"/>
      <c r="E13" s="7"/>
      <c r="F13" s="8"/>
      <c r="G13" s="53"/>
    </row>
    <row r="14" spans="1:7" ht="15.75" x14ac:dyDescent="0.25">
      <c r="A14" s="1" t="s">
        <v>8</v>
      </c>
      <c r="B14" s="2" t="s">
        <v>1</v>
      </c>
      <c r="C14" s="134">
        <f>'[10]FTR BBT'!$N$855</f>
        <v>0.91176470588235292</v>
      </c>
      <c r="E14" s="1" t="s">
        <v>8</v>
      </c>
      <c r="F14" s="2" t="s">
        <v>1</v>
      </c>
      <c r="G14" s="51">
        <f>'[10]FTR BBT'!$O$855</f>
        <v>0.98529411764705888</v>
      </c>
    </row>
    <row r="15" spans="1:7" ht="15.75" x14ac:dyDescent="0.25">
      <c r="A15" s="4" t="s">
        <v>9</v>
      </c>
      <c r="B15" s="5" t="s">
        <v>1</v>
      </c>
      <c r="C15" s="138">
        <f>'[10]FTR BBT'!$D$855</f>
        <v>1</v>
      </c>
      <c r="E15" s="4" t="s">
        <v>9</v>
      </c>
      <c r="F15" s="5" t="s">
        <v>1</v>
      </c>
      <c r="G15" s="55">
        <f>'November ''24 '!C15</f>
        <v>1</v>
      </c>
    </row>
    <row r="16" spans="1:7" ht="15.75" x14ac:dyDescent="0.25">
      <c r="A16" s="4" t="s">
        <v>10</v>
      </c>
      <c r="B16" s="5" t="s">
        <v>1</v>
      </c>
      <c r="C16" s="139">
        <f>'[10]FTR BBT'!$J$855</f>
        <v>0.9285714285714286</v>
      </c>
      <c r="E16" s="4" t="s">
        <v>10</v>
      </c>
      <c r="F16" s="5" t="s">
        <v>1</v>
      </c>
      <c r="G16" s="56"/>
    </row>
    <row r="17" spans="1:19" ht="15.75" x14ac:dyDescent="0.25">
      <c r="A17" s="4" t="s">
        <v>13</v>
      </c>
      <c r="B17" s="5" t="s">
        <v>1</v>
      </c>
      <c r="C17" s="138">
        <f>'[10]FTR BBT'!$H$855</f>
        <v>1</v>
      </c>
      <c r="E17" s="4" t="s">
        <v>13</v>
      </c>
      <c r="F17" s="5" t="s">
        <v>1</v>
      </c>
      <c r="G17" s="55">
        <f>'November ''24 '!C17</f>
        <v>1</v>
      </c>
    </row>
    <row r="18" spans="1:19" ht="15.75" x14ac:dyDescent="0.25">
      <c r="A18" s="4" t="s">
        <v>14</v>
      </c>
      <c r="B18" s="5" t="s">
        <v>1</v>
      </c>
      <c r="C18" s="138">
        <f>'[10]FTR BBT'!$F$855</f>
        <v>1</v>
      </c>
      <c r="E18" s="4" t="s">
        <v>14</v>
      </c>
      <c r="F18" s="5" t="s">
        <v>1</v>
      </c>
      <c r="G18" s="55">
        <f>'November ''24 '!C18</f>
        <v>1</v>
      </c>
    </row>
    <row r="19" spans="1:19" ht="3.95" customHeight="1" thickBot="1" x14ac:dyDescent="0.3">
      <c r="A19" s="7"/>
      <c r="B19" s="8"/>
      <c r="C19" s="137"/>
      <c r="E19" s="7"/>
      <c r="F19" s="8"/>
      <c r="G19" s="53"/>
    </row>
    <row r="20" spans="1:19" ht="15.75" x14ac:dyDescent="0.25">
      <c r="A20" s="1" t="s">
        <v>16</v>
      </c>
      <c r="B20" s="2" t="s">
        <v>1</v>
      </c>
      <c r="C20" s="134">
        <f>'[10]FTR Packaging'!$L$596</f>
        <v>0.91666666666666663</v>
      </c>
      <c r="E20" s="1" t="s">
        <v>16</v>
      </c>
      <c r="F20" s="2" t="s">
        <v>1</v>
      </c>
      <c r="G20" s="51">
        <f>'November ''24 '!C20</f>
        <v>0.91666666666666663</v>
      </c>
    </row>
    <row r="21" spans="1:19" ht="15.75" x14ac:dyDescent="0.25">
      <c r="A21" s="4" t="s">
        <v>18</v>
      </c>
      <c r="B21" s="5" t="s">
        <v>1</v>
      </c>
      <c r="C21" s="136">
        <f>'[10]FTR Packaging'!$F$596</f>
        <v>0.91836734693877553</v>
      </c>
      <c r="E21" s="4" t="s">
        <v>18</v>
      </c>
      <c r="F21" s="5" t="s">
        <v>1</v>
      </c>
      <c r="G21" s="54">
        <f>'November ''24 '!C21</f>
        <v>0.91836734693877553</v>
      </c>
    </row>
    <row r="22" spans="1:19" ht="15.75" x14ac:dyDescent="0.25">
      <c r="A22" s="4" t="s">
        <v>19</v>
      </c>
      <c r="B22" s="5" t="s">
        <v>1</v>
      </c>
      <c r="C22" s="136">
        <f>'[10]FTR Packaging'!$D$596</f>
        <v>1</v>
      </c>
      <c r="E22" s="4" t="s">
        <v>19</v>
      </c>
      <c r="F22" s="5" t="s">
        <v>1</v>
      </c>
      <c r="G22" s="54">
        <f>'November ''24 '!C22</f>
        <v>1</v>
      </c>
      <c r="S22" t="s">
        <v>96</v>
      </c>
    </row>
    <row r="23" spans="1:19" ht="20.25" customHeight="1" x14ac:dyDescent="0.25">
      <c r="A23" s="4" t="s">
        <v>91</v>
      </c>
      <c r="B23" s="5" t="s">
        <v>1</v>
      </c>
      <c r="C23" s="136">
        <f>'[10]FTR Packaging'!$J$596</f>
        <v>1</v>
      </c>
      <c r="E23" s="4" t="s">
        <v>91</v>
      </c>
      <c r="F23" s="5" t="s">
        <v>1</v>
      </c>
      <c r="G23" s="54">
        <f>'November ''24 '!C23</f>
        <v>1</v>
      </c>
    </row>
    <row r="24" spans="1:19" ht="3.95" customHeight="1" x14ac:dyDescent="0.25">
      <c r="A24" s="7"/>
      <c r="B24" s="8"/>
      <c r="C24" s="137"/>
      <c r="E24" s="7"/>
      <c r="F24" s="8"/>
      <c r="G24" s="53"/>
    </row>
    <row r="25" spans="1:19" ht="15.75" x14ac:dyDescent="0.25">
      <c r="A25" s="1" t="s">
        <v>22</v>
      </c>
      <c r="B25" s="2" t="s">
        <v>1</v>
      </c>
      <c r="C25" s="140">
        <v>0.85199999999999998</v>
      </c>
      <c r="E25" s="1" t="s">
        <v>22</v>
      </c>
      <c r="F25" s="2" t="s">
        <v>1</v>
      </c>
      <c r="G25" s="108">
        <f>'November ''24 '!C25</f>
        <v>0.85199999999999998</v>
      </c>
    </row>
    <row r="26" spans="1:19" ht="15.75" x14ac:dyDescent="0.25">
      <c r="A26" s="4" t="s">
        <v>23</v>
      </c>
      <c r="B26" s="2" t="s">
        <v>1</v>
      </c>
      <c r="C26" s="136">
        <v>1</v>
      </c>
      <c r="E26" s="4" t="s">
        <v>23</v>
      </c>
      <c r="F26" s="2" t="s">
        <v>1</v>
      </c>
      <c r="G26" s="54">
        <f>'November ''24 '!C26</f>
        <v>1</v>
      </c>
    </row>
    <row r="27" spans="1:19" ht="15.75" x14ac:dyDescent="0.25">
      <c r="A27" s="4" t="s">
        <v>24</v>
      </c>
      <c r="B27" s="2" t="s">
        <v>1</v>
      </c>
      <c r="C27" s="136">
        <v>0.85199999999999998</v>
      </c>
      <c r="E27" s="4" t="s">
        <v>24</v>
      </c>
      <c r="F27" s="2" t="s">
        <v>1</v>
      </c>
      <c r="G27" s="54">
        <f>'November ''24 '!C27</f>
        <v>0.85199999999999998</v>
      </c>
    </row>
    <row r="28" spans="1:19" ht="3.95" customHeight="1" thickBot="1" x14ac:dyDescent="0.3">
      <c r="A28" s="7"/>
      <c r="B28" s="8"/>
      <c r="C28" s="137"/>
      <c r="E28" s="7"/>
      <c r="F28" s="8"/>
      <c r="G28" s="53"/>
    </row>
    <row r="29" spans="1:19" ht="16.5" thickBot="1" x14ac:dyDescent="0.3">
      <c r="A29" s="1" t="s">
        <v>25</v>
      </c>
      <c r="B29" s="2" t="s">
        <v>1</v>
      </c>
      <c r="C29" s="134">
        <f>'[10]FTR Finished Product'!$L$611</f>
        <v>0</v>
      </c>
      <c r="E29" s="1" t="s">
        <v>25</v>
      </c>
      <c r="F29" s="2" t="s">
        <v>1</v>
      </c>
      <c r="G29" s="51">
        <f>'[10]FTR Finished Product'!$M$611</f>
        <v>0</v>
      </c>
    </row>
    <row r="30" spans="1:19" ht="16.5" thickBot="1" x14ac:dyDescent="0.3">
      <c r="A30" s="4" t="s">
        <v>10</v>
      </c>
      <c r="B30" s="2" t="s">
        <v>1</v>
      </c>
      <c r="C30" s="141">
        <f>'[10]FTR Finished Product'!$J$611</f>
        <v>0</v>
      </c>
      <c r="E30" s="4" t="s">
        <v>10</v>
      </c>
      <c r="F30" s="2" t="s">
        <v>1</v>
      </c>
      <c r="G30" s="57">
        <f>'November ''24 '!C30</f>
        <v>0</v>
      </c>
    </row>
    <row r="31" spans="1:19" ht="16.5" thickBot="1" x14ac:dyDescent="0.3">
      <c r="A31" s="4" t="s">
        <v>26</v>
      </c>
      <c r="B31" s="2" t="s">
        <v>1</v>
      </c>
      <c r="C31" s="141">
        <f>'[10]FTR Finished Product'!$F$611</f>
        <v>0</v>
      </c>
      <c r="E31" s="4" t="s">
        <v>26</v>
      </c>
      <c r="F31" s="2" t="s">
        <v>1</v>
      </c>
      <c r="G31" s="57">
        <f>'November ''24 '!C31</f>
        <v>0</v>
      </c>
    </row>
    <row r="32" spans="1:19" ht="16.5" thickBot="1" x14ac:dyDescent="0.3">
      <c r="A32" s="4" t="s">
        <v>9</v>
      </c>
      <c r="B32" s="2" t="s">
        <v>1</v>
      </c>
      <c r="C32" s="141">
        <f>'[10]FTR Finished Product'!$D$611</f>
        <v>0</v>
      </c>
      <c r="E32" s="4" t="s">
        <v>9</v>
      </c>
      <c r="F32" s="2" t="s">
        <v>1</v>
      </c>
      <c r="G32" s="57">
        <f>'November ''24 '!C32</f>
        <v>0</v>
      </c>
    </row>
    <row r="33" spans="1:7" ht="16.5" thickBot="1" x14ac:dyDescent="0.3">
      <c r="A33" s="4" t="s">
        <v>20</v>
      </c>
      <c r="B33" s="2" t="s">
        <v>1</v>
      </c>
      <c r="C33" s="141">
        <f>'[10]FTR Finished Product'!$H$611</f>
        <v>0</v>
      </c>
      <c r="E33" s="4" t="s">
        <v>20</v>
      </c>
      <c r="F33" s="2" t="s">
        <v>1</v>
      </c>
      <c r="G33" s="57">
        <f>'November ''24 '!C33</f>
        <v>0</v>
      </c>
    </row>
    <row r="34" spans="1:7" ht="15.75" thickBot="1" x14ac:dyDescent="0.3"/>
    <row r="35" spans="1:7" ht="16.5" thickBot="1" x14ac:dyDescent="0.3">
      <c r="C35" s="122">
        <f>(C2+C7+C14+C20+C25+C29)/6</f>
        <v>0.56276159732185549</v>
      </c>
      <c r="G35" s="122">
        <f>(G2+G7+G14+G20+G25+G29)/6</f>
        <v>0.57501649928263987</v>
      </c>
    </row>
    <row r="36" spans="1:7" ht="18.75" x14ac:dyDescent="0.25">
      <c r="B36" s="23" t="s">
        <v>35</v>
      </c>
      <c r="C36" s="126" t="e">
        <f>AVERAGE('January ''25'!C37,'February ''24'!C38,'March ''24'!C36,'April ''24'!C36,#REF!,'June ''24 '!C36,'July ''24'!C35,'August ''24'!C35,'September ''24 '!C35,'October ''24 '!C35,C35)</f>
        <v>#REF!</v>
      </c>
      <c r="E36" s="125" t="s">
        <v>94</v>
      </c>
      <c r="F36" s="23" t="s">
        <v>35</v>
      </c>
      <c r="G36" s="126" t="e">
        <f>AVERAGE('January ''25'!G37,'February ''24'!G38,'March ''24'!G36,'April ''24'!G36,#REF!,'June ''24 '!G36,'July ''24'!G35,'August ''24'!G35,'September ''24 '!G35,'October ''24 '!G35,'November ''24 '!G35)</f>
        <v>#REF!</v>
      </c>
    </row>
  </sheetData>
  <pageMargins left="0.7" right="0.7" top="0.75" bottom="0.75" header="0.3" footer="0.3"/>
  <pageSetup scale="8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FFF58-B201-4D0B-AA03-38A548E2D06D}">
  <sheetPr>
    <pageSetUpPr fitToPage="1"/>
  </sheetPr>
  <dimension ref="A1:I36"/>
  <sheetViews>
    <sheetView showGridLines="0" workbookViewId="0">
      <selection activeCell="D8" sqref="D8"/>
    </sheetView>
  </sheetViews>
  <sheetFormatPr defaultRowHeight="15" x14ac:dyDescent="0.25"/>
  <cols>
    <col min="1" max="1" width="28" customWidth="1"/>
    <col min="3" max="3" width="13.5703125" style="58" customWidth="1"/>
    <col min="4" max="4" width="9.140625" customWidth="1"/>
    <col min="5" max="5" width="30.5703125" hidden="1" customWidth="1"/>
    <col min="6" max="6" width="5.85546875" hidden="1" customWidth="1"/>
    <col min="7" max="7" width="10.42578125" hidden="1" customWidth="1"/>
    <col min="8" max="9" width="9.140625" hidden="1" customWidth="1"/>
  </cols>
  <sheetData>
    <row r="1" spans="1:7" s="18" customFormat="1" ht="24" thickBot="1" x14ac:dyDescent="0.4">
      <c r="A1" s="17" t="s">
        <v>30</v>
      </c>
      <c r="C1" s="107" t="s">
        <v>86</v>
      </c>
      <c r="E1" s="17" t="s">
        <v>92</v>
      </c>
      <c r="G1" s="17" t="s">
        <v>86</v>
      </c>
    </row>
    <row r="2" spans="1:7" ht="15.75" x14ac:dyDescent="0.25">
      <c r="A2" s="1" t="s">
        <v>27</v>
      </c>
      <c r="B2" s="2" t="s">
        <v>1</v>
      </c>
      <c r="C2" s="51">
        <f>'[10]FTR Brewhouse'!$I$1993</f>
        <v>0</v>
      </c>
      <c r="E2" s="1" t="s">
        <v>27</v>
      </c>
      <c r="F2" s="2" t="s">
        <v>1</v>
      </c>
      <c r="G2" s="51">
        <f>'[10]FTR Brewhouse'!$I$1986</f>
        <v>0</v>
      </c>
    </row>
    <row r="3" spans="1:7" ht="15.75" x14ac:dyDescent="0.25">
      <c r="A3" s="15" t="s">
        <v>28</v>
      </c>
      <c r="B3" s="5" t="s">
        <v>1</v>
      </c>
      <c r="C3" s="52">
        <f>'[10]FTR Brewhouse'!$C$1993</f>
        <v>0</v>
      </c>
      <c r="E3" s="15" t="s">
        <v>28</v>
      </c>
      <c r="F3" s="5" t="s">
        <v>1</v>
      </c>
      <c r="G3" s="52">
        <f>'[10]FTR Brewhouse'!$C$1986</f>
        <v>0</v>
      </c>
    </row>
    <row r="4" spans="1:7" ht="15.75" x14ac:dyDescent="0.25">
      <c r="A4" s="4" t="s">
        <v>87</v>
      </c>
      <c r="B4" s="5" t="s">
        <v>1</v>
      </c>
      <c r="C4" s="54">
        <f>'[10]FTR Brewhouse'!$E$1993</f>
        <v>0</v>
      </c>
      <c r="E4" s="4" t="s">
        <v>87</v>
      </c>
      <c r="F4" s="5" t="s">
        <v>1</v>
      </c>
      <c r="G4" s="54">
        <f>'[10]FTR Brewhouse'!$E$1986</f>
        <v>0</v>
      </c>
    </row>
    <row r="5" spans="1:7" ht="15.75" x14ac:dyDescent="0.25">
      <c r="A5" s="4" t="s">
        <v>88</v>
      </c>
      <c r="B5" s="5" t="s">
        <v>1</v>
      </c>
      <c r="C5" s="54">
        <f>'[10]FTR Brewhouse'!$G$1993</f>
        <v>0</v>
      </c>
      <c r="E5" s="4" t="s">
        <v>88</v>
      </c>
      <c r="F5" s="5" t="s">
        <v>1</v>
      </c>
      <c r="G5" s="54">
        <f>'[10]FTR Brewhouse'!$G$1986</f>
        <v>0</v>
      </c>
    </row>
    <row r="6" spans="1:7" ht="3.95" customHeight="1" thickBot="1" x14ac:dyDescent="0.3">
      <c r="A6" s="7"/>
      <c r="B6" s="8"/>
      <c r="C6" s="53"/>
      <c r="E6" s="7"/>
      <c r="F6" s="8"/>
      <c r="G6" s="53"/>
    </row>
    <row r="7" spans="1:7" ht="15.75" x14ac:dyDescent="0.25">
      <c r="A7" s="1" t="s">
        <v>0</v>
      </c>
      <c r="B7" s="2" t="s">
        <v>1</v>
      </c>
      <c r="C7" s="51">
        <f>'[10]FTR Fermentation'!$P$482</f>
        <v>0.23076923076923078</v>
      </c>
      <c r="E7" s="1" t="s">
        <v>0</v>
      </c>
      <c r="F7" s="2" t="s">
        <v>1</v>
      </c>
      <c r="G7" s="51" t="e">
        <v>#N/A</v>
      </c>
    </row>
    <row r="8" spans="1:7" ht="15.75" x14ac:dyDescent="0.25">
      <c r="A8" s="4" t="s">
        <v>2</v>
      </c>
      <c r="B8" s="5" t="s">
        <v>1</v>
      </c>
      <c r="C8" s="54">
        <f>'[10]FTR Fermentation'!$D$482</f>
        <v>0.58333333333333337</v>
      </c>
      <c r="E8" s="4" t="s">
        <v>2</v>
      </c>
      <c r="F8" s="5" t="s">
        <v>1</v>
      </c>
      <c r="G8" s="54" t="e">
        <v>#DIV/0!</v>
      </c>
    </row>
    <row r="9" spans="1:7" ht="15.75" x14ac:dyDescent="0.25">
      <c r="A9" s="4" t="s">
        <v>3</v>
      </c>
      <c r="B9" s="5" t="s">
        <v>1</v>
      </c>
      <c r="C9" s="54">
        <f>'[10]FTR Fermentation'!$G$482</f>
        <v>1</v>
      </c>
      <c r="E9" s="4" t="s">
        <v>3</v>
      </c>
      <c r="F9" s="5" t="s">
        <v>1</v>
      </c>
      <c r="G9" s="54" t="e">
        <v>#DIV/0!</v>
      </c>
    </row>
    <row r="10" spans="1:7" ht="15.75" x14ac:dyDescent="0.25">
      <c r="A10" s="4" t="s">
        <v>4</v>
      </c>
      <c r="B10" s="5" t="s">
        <v>1</v>
      </c>
      <c r="C10" s="54">
        <f>'[10]FTR Fermentation'!$K$482</f>
        <v>1</v>
      </c>
      <c r="E10" s="4" t="s">
        <v>4</v>
      </c>
      <c r="F10" s="5" t="s">
        <v>1</v>
      </c>
      <c r="G10" s="54" t="e">
        <v>#DIV/0!</v>
      </c>
    </row>
    <row r="11" spans="1:7" ht="15.75" x14ac:dyDescent="0.25">
      <c r="A11" s="4" t="s">
        <v>5</v>
      </c>
      <c r="B11" s="5" t="s">
        <v>1</v>
      </c>
      <c r="C11" s="54">
        <f>'[10]FTR Fermentation'!$M$482</f>
        <v>0.42307692307692307</v>
      </c>
      <c r="E11" s="4" t="s">
        <v>5</v>
      </c>
      <c r="F11" s="5" t="s">
        <v>1</v>
      </c>
      <c r="G11" s="54" t="e">
        <v>#DIV/0!</v>
      </c>
    </row>
    <row r="12" spans="1:7" ht="15.75" x14ac:dyDescent="0.25">
      <c r="A12" s="4" t="s">
        <v>7</v>
      </c>
      <c r="B12" s="5" t="s">
        <v>1</v>
      </c>
      <c r="C12" s="54">
        <f>'[10]FTR Fermentation'!$I$482</f>
        <v>0.73076923076923073</v>
      </c>
      <c r="E12" s="4" t="s">
        <v>7</v>
      </c>
      <c r="F12" s="5" t="s">
        <v>1</v>
      </c>
      <c r="G12" s="54" t="e">
        <v>#DIV/0!</v>
      </c>
    </row>
    <row r="13" spans="1:7" ht="3.95" customHeight="1" thickBot="1" x14ac:dyDescent="0.3">
      <c r="A13" s="7"/>
      <c r="B13" s="8"/>
      <c r="C13" s="53"/>
      <c r="E13" s="7"/>
      <c r="F13" s="8"/>
      <c r="G13" s="53"/>
    </row>
    <row r="14" spans="1:7" ht="15.75" x14ac:dyDescent="0.25">
      <c r="A14" s="1" t="s">
        <v>8</v>
      </c>
      <c r="B14" s="2" t="s">
        <v>1</v>
      </c>
      <c r="C14" s="51">
        <f>'[10]FTR BBT'!$N$973</f>
        <v>0</v>
      </c>
      <c r="E14" s="1" t="s">
        <v>8</v>
      </c>
      <c r="F14" s="2" t="s">
        <v>1</v>
      </c>
      <c r="G14" s="51">
        <v>1</v>
      </c>
    </row>
    <row r="15" spans="1:7" ht="15.75" x14ac:dyDescent="0.25">
      <c r="A15" s="4" t="s">
        <v>9</v>
      </c>
      <c r="B15" s="5" t="s">
        <v>1</v>
      </c>
      <c r="C15" s="55">
        <f>'[10]FTR BBT'!$D$973</f>
        <v>0</v>
      </c>
      <c r="E15" s="4" t="s">
        <v>9</v>
      </c>
      <c r="F15" s="5" t="s">
        <v>1</v>
      </c>
      <c r="G15" s="55">
        <v>1</v>
      </c>
    </row>
    <row r="16" spans="1:7" ht="15.75" x14ac:dyDescent="0.25">
      <c r="A16" s="4" t="s">
        <v>10</v>
      </c>
      <c r="B16" s="5" t="s">
        <v>1</v>
      </c>
      <c r="C16" s="56">
        <f>'[10]FTR BBT'!$J$973</f>
        <v>0</v>
      </c>
      <c r="E16" s="4" t="s">
        <v>10</v>
      </c>
      <c r="F16" s="5" t="s">
        <v>1</v>
      </c>
      <c r="G16" s="56"/>
    </row>
    <row r="17" spans="1:7" ht="15.75" x14ac:dyDescent="0.25">
      <c r="A17" s="4" t="s">
        <v>13</v>
      </c>
      <c r="B17" s="5" t="s">
        <v>1</v>
      </c>
      <c r="C17" s="55">
        <f>'[10]FTR BBT'!$H$973</f>
        <v>0</v>
      </c>
      <c r="E17" s="4" t="s">
        <v>13</v>
      </c>
      <c r="F17" s="5" t="s">
        <v>1</v>
      </c>
      <c r="G17" s="55">
        <v>1</v>
      </c>
    </row>
    <row r="18" spans="1:7" ht="15.75" x14ac:dyDescent="0.25">
      <c r="A18" s="4" t="s">
        <v>14</v>
      </c>
      <c r="B18" s="5" t="s">
        <v>1</v>
      </c>
      <c r="C18" s="55">
        <f>'[10]FTR BBT'!$F$973</f>
        <v>0</v>
      </c>
      <c r="E18" s="4" t="s">
        <v>14</v>
      </c>
      <c r="F18" s="5" t="s">
        <v>1</v>
      </c>
      <c r="G18" s="55">
        <v>1</v>
      </c>
    </row>
    <row r="19" spans="1:7" ht="3.95" customHeight="1" thickBot="1" x14ac:dyDescent="0.3">
      <c r="A19" s="7"/>
      <c r="B19" s="8"/>
      <c r="C19" s="53"/>
      <c r="E19" s="7"/>
      <c r="F19" s="8"/>
      <c r="G19" s="53"/>
    </row>
    <row r="20" spans="1:7" ht="15.75" x14ac:dyDescent="0.25">
      <c r="A20" s="1" t="s">
        <v>16</v>
      </c>
      <c r="B20" s="2" t="s">
        <v>1</v>
      </c>
      <c r="C20" s="51">
        <f>'[10]FTR Packaging'!$L$677</f>
        <v>0.93939393939393945</v>
      </c>
      <c r="E20" s="1" t="s">
        <v>16</v>
      </c>
      <c r="F20" s="2" t="s">
        <v>1</v>
      </c>
      <c r="G20" s="51">
        <f>'[10]FTR Packaging'!$L$677</f>
        <v>0.93939393939393945</v>
      </c>
    </row>
    <row r="21" spans="1:7" ht="15.75" x14ac:dyDescent="0.25">
      <c r="A21" s="4" t="s">
        <v>18</v>
      </c>
      <c r="B21" s="5" t="s">
        <v>1</v>
      </c>
      <c r="C21" s="54">
        <f>'[10]FTR Packaging'!$F$677</f>
        <v>0.96923076923076923</v>
      </c>
      <c r="E21" s="4" t="s">
        <v>18</v>
      </c>
      <c r="F21" s="5" t="s">
        <v>1</v>
      </c>
      <c r="G21" s="54">
        <f>'[10]FTR Packaging'!$F$677</f>
        <v>0.96923076923076923</v>
      </c>
    </row>
    <row r="22" spans="1:7" ht="15.75" x14ac:dyDescent="0.25">
      <c r="A22" s="4" t="s">
        <v>19</v>
      </c>
      <c r="B22" s="5" t="s">
        <v>1</v>
      </c>
      <c r="C22" s="54">
        <f>'[10]FTR Packaging'!$D$677</f>
        <v>1</v>
      </c>
      <c r="E22" s="4" t="s">
        <v>19</v>
      </c>
      <c r="F22" s="5" t="s">
        <v>1</v>
      </c>
      <c r="G22" s="54">
        <f>'[10]FTR Packaging'!$D$677</f>
        <v>1</v>
      </c>
    </row>
    <row r="23" spans="1:7" ht="18.75" customHeight="1" x14ac:dyDescent="0.25">
      <c r="A23" s="4" t="s">
        <v>91</v>
      </c>
      <c r="B23" s="5" t="s">
        <v>1</v>
      </c>
      <c r="C23" s="54">
        <f>'[10]FTR Packaging'!$J$677</f>
        <v>1</v>
      </c>
      <c r="E23" s="4" t="s">
        <v>91</v>
      </c>
      <c r="F23" s="5" t="s">
        <v>1</v>
      </c>
      <c r="G23" s="54">
        <f>'[10]FTR Packaging'!$J$677</f>
        <v>1</v>
      </c>
    </row>
    <row r="24" spans="1:7" ht="15.75" x14ac:dyDescent="0.25">
      <c r="A24" s="7"/>
      <c r="B24" s="8"/>
      <c r="C24" s="53"/>
      <c r="E24" s="7"/>
      <c r="F24" s="8"/>
      <c r="G24" s="53"/>
    </row>
    <row r="25" spans="1:7" ht="15.75" x14ac:dyDescent="0.25">
      <c r="A25" s="1" t="s">
        <v>22</v>
      </c>
      <c r="B25" s="2" t="s">
        <v>1</v>
      </c>
      <c r="C25" s="108"/>
      <c r="E25" s="1" t="s">
        <v>22</v>
      </c>
      <c r="F25" s="2" t="s">
        <v>1</v>
      </c>
      <c r="G25" s="108"/>
    </row>
    <row r="26" spans="1:7" ht="15.75" x14ac:dyDescent="0.25">
      <c r="A26" s="4" t="s">
        <v>23</v>
      </c>
      <c r="B26" s="2" t="s">
        <v>1</v>
      </c>
      <c r="C26" s="54"/>
      <c r="E26" s="4" t="s">
        <v>23</v>
      </c>
      <c r="F26" s="2" t="s">
        <v>1</v>
      </c>
      <c r="G26" s="54"/>
    </row>
    <row r="27" spans="1:7" ht="15.75" x14ac:dyDescent="0.25">
      <c r="A27" s="4" t="s">
        <v>24</v>
      </c>
      <c r="B27" s="2" t="s">
        <v>1</v>
      </c>
      <c r="C27" s="54"/>
      <c r="E27" s="4" t="s">
        <v>24</v>
      </c>
      <c r="F27" s="2" t="s">
        <v>1</v>
      </c>
      <c r="G27" s="54"/>
    </row>
    <row r="28" spans="1:7" ht="3.95" customHeight="1" thickBot="1" x14ac:dyDescent="0.3">
      <c r="A28" s="7"/>
      <c r="B28" s="8"/>
      <c r="C28" s="53"/>
      <c r="E28" s="7"/>
      <c r="F28" s="8"/>
      <c r="G28" s="53"/>
    </row>
    <row r="29" spans="1:7" ht="16.5" thickBot="1" x14ac:dyDescent="0.3">
      <c r="A29" s="1" t="s">
        <v>25</v>
      </c>
      <c r="B29" s="2" t="s">
        <v>1</v>
      </c>
      <c r="C29" s="51">
        <f>'[10]FTR Finished Product'!$L$693</f>
        <v>0</v>
      </c>
      <c r="E29" s="1" t="s">
        <v>25</v>
      </c>
      <c r="F29" s="2" t="s">
        <v>1</v>
      </c>
      <c r="G29" s="51">
        <f>'[10]FTR Finished Product'!$M$693</f>
        <v>0</v>
      </c>
    </row>
    <row r="30" spans="1:7" ht="16.5" thickBot="1" x14ac:dyDescent="0.3">
      <c r="A30" s="4" t="s">
        <v>10</v>
      </c>
      <c r="B30" s="2" t="s">
        <v>1</v>
      </c>
      <c r="C30" s="57">
        <f>'[10]FTR Finished Product'!$J$693</f>
        <v>0</v>
      </c>
      <c r="E30" s="4" t="s">
        <v>10</v>
      </c>
      <c r="F30" s="2" t="s">
        <v>1</v>
      </c>
      <c r="G30" s="57">
        <f>'[10]FTR Finished Product'!$J$693</f>
        <v>0</v>
      </c>
    </row>
    <row r="31" spans="1:7" ht="16.5" thickBot="1" x14ac:dyDescent="0.3">
      <c r="A31" s="4" t="s">
        <v>26</v>
      </c>
      <c r="B31" s="2" t="s">
        <v>1</v>
      </c>
      <c r="C31" s="57">
        <f>'[10]FTR Finished Product'!$F$693</f>
        <v>0</v>
      </c>
      <c r="E31" s="4" t="s">
        <v>26</v>
      </c>
      <c r="F31" s="2" t="s">
        <v>1</v>
      </c>
      <c r="G31" s="57">
        <f>'[10]FTR Finished Product'!$F$693</f>
        <v>0</v>
      </c>
    </row>
    <row r="32" spans="1:7" ht="16.5" thickBot="1" x14ac:dyDescent="0.3">
      <c r="A32" s="4" t="s">
        <v>9</v>
      </c>
      <c r="B32" s="2" t="s">
        <v>1</v>
      </c>
      <c r="C32" s="57">
        <f>'[10]FTR Finished Product'!$D$693</f>
        <v>0</v>
      </c>
      <c r="E32" s="4" t="s">
        <v>9</v>
      </c>
      <c r="F32" s="2" t="s">
        <v>1</v>
      </c>
      <c r="G32" s="57">
        <f>'[10]FTR Finished Product'!$D$693</f>
        <v>0</v>
      </c>
    </row>
    <row r="33" spans="1:7" ht="16.5" thickBot="1" x14ac:dyDescent="0.3">
      <c r="A33" s="4" t="s">
        <v>20</v>
      </c>
      <c r="B33" s="2" t="s">
        <v>1</v>
      </c>
      <c r="C33" s="57">
        <f>'[10]FTR Finished Product'!$H$693</f>
        <v>0</v>
      </c>
      <c r="E33" s="4" t="s">
        <v>20</v>
      </c>
      <c r="F33" s="2" t="s">
        <v>1</v>
      </c>
      <c r="G33" s="57">
        <f>'[10]FTR Finished Product'!$H$693</f>
        <v>0</v>
      </c>
    </row>
    <row r="34" spans="1:7" ht="15.75" thickBot="1" x14ac:dyDescent="0.3"/>
    <row r="35" spans="1:7" ht="16.5" thickBot="1" x14ac:dyDescent="0.3">
      <c r="C35" s="122">
        <f>(C2+C7+C14+C20+C25+C29)/5</f>
        <v>0.23403263403263405</v>
      </c>
      <c r="G35" s="122" t="e">
        <f>(G2+G7+G14+G20+G25+G29)/6</f>
        <v>#N/A</v>
      </c>
    </row>
    <row r="36" spans="1:7" ht="18.75" x14ac:dyDescent="0.25">
      <c r="B36" s="23" t="s">
        <v>35</v>
      </c>
      <c r="C36" s="126" t="e">
        <f>AVERAGE('January ''25'!C37,'February ''24'!C38,'March ''24'!C36,'April ''24'!C36,#REF!,'June ''24 '!C36,'July ''24'!C35,'August ''24'!C35,'September ''24 '!C35,'October ''24 '!C35,'November ''24 '!C35,C35)</f>
        <v>#REF!</v>
      </c>
      <c r="E36" s="125" t="s">
        <v>94</v>
      </c>
      <c r="F36" s="23" t="s">
        <v>35</v>
      </c>
      <c r="G36" s="126" t="e">
        <f>AVERAGE('January ''25'!G37,'February ''24'!G38,'March ''24'!G36,'April ''24'!G36,#REF!,'June ''24 '!G36,'July ''24'!G35,'August ''24'!G35,'September ''24 '!G35,'October ''24 '!G35,'November ''24 '!G35,'December ''24'!G35)</f>
        <v>#REF!</v>
      </c>
    </row>
  </sheetData>
  <pageMargins left="0.7" right="0.7" top="0.75" bottom="0.75" header="0.3" footer="0.3"/>
  <pageSetup orientation="portrait" horizontalDpi="4294967295" verticalDpi="4294967295"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F35"/>
  <sheetViews>
    <sheetView showGridLines="0" topLeftCell="A15" workbookViewId="0">
      <selection activeCell="C36" sqref="C36"/>
    </sheetView>
  </sheetViews>
  <sheetFormatPr defaultRowHeight="15" x14ac:dyDescent="0.25"/>
  <cols>
    <col min="1" max="1" width="28" customWidth="1"/>
    <col min="3" max="3" width="13.5703125" style="58" bestFit="1" customWidth="1"/>
  </cols>
  <sheetData>
    <row r="1" spans="1:5" s="18" customFormat="1" ht="24" thickBot="1" x14ac:dyDescent="0.4">
      <c r="A1" s="17" t="s">
        <v>30</v>
      </c>
      <c r="C1" s="107" t="s">
        <v>86</v>
      </c>
    </row>
    <row r="2" spans="1:5" ht="15.75" x14ac:dyDescent="0.25">
      <c r="A2" s="1" t="s">
        <v>27</v>
      </c>
      <c r="B2" s="2" t="s">
        <v>1</v>
      </c>
      <c r="C2" s="51">
        <f>'[12]FTR Brewhouse'!$I$846</f>
        <v>0.647887323943662</v>
      </c>
    </row>
    <row r="3" spans="1:5" ht="15.75" x14ac:dyDescent="0.25">
      <c r="A3" s="15" t="s">
        <v>28</v>
      </c>
      <c r="B3" s="5" t="s">
        <v>1</v>
      </c>
      <c r="C3" s="54">
        <f>'[12]FTR Brewhouse'!$C$846</f>
        <v>0.72602739726027399</v>
      </c>
      <c r="E3" s="157"/>
    </row>
    <row r="4" spans="1:5" ht="15.75" x14ac:dyDescent="0.25">
      <c r="A4" s="4" t="s">
        <v>87</v>
      </c>
      <c r="B4" s="5" t="s">
        <v>1</v>
      </c>
      <c r="C4" s="54">
        <f>'[12]FTR Brewhouse'!$E$846</f>
        <v>0.9178082191780822</v>
      </c>
      <c r="E4" s="157"/>
    </row>
    <row r="5" spans="1:5" ht="15.75" x14ac:dyDescent="0.25">
      <c r="A5" s="4" t="s">
        <v>88</v>
      </c>
      <c r="B5" s="5" t="s">
        <v>1</v>
      </c>
      <c r="C5" s="54"/>
      <c r="E5" s="102"/>
    </row>
    <row r="6" spans="1:5" ht="3.95" customHeight="1" thickBot="1" x14ac:dyDescent="0.3">
      <c r="A6" s="7"/>
      <c r="B6" s="8"/>
      <c r="C6" s="53"/>
    </row>
    <row r="7" spans="1:5" ht="15.75" x14ac:dyDescent="0.25">
      <c r="A7" s="1" t="s">
        <v>0</v>
      </c>
      <c r="B7" s="2" t="s">
        <v>1</v>
      </c>
      <c r="C7" s="51">
        <f>'[12]FTR Fermentation'!$P$233</f>
        <v>0.5</v>
      </c>
    </row>
    <row r="8" spans="1:5" ht="15.75" x14ac:dyDescent="0.25">
      <c r="A8" s="4" t="s">
        <v>2</v>
      </c>
      <c r="B8" s="5" t="s">
        <v>1</v>
      </c>
      <c r="C8" s="54">
        <f>'[12]FTR Fermentation'!$D$233</f>
        <v>0.70588235294117652</v>
      </c>
    </row>
    <row r="9" spans="1:5" ht="15.75" x14ac:dyDescent="0.25">
      <c r="A9" s="4" t="s">
        <v>3</v>
      </c>
      <c r="B9" s="5" t="s">
        <v>1</v>
      </c>
      <c r="C9" s="54">
        <f>'[12]FTR Fermentation'!$G$233</f>
        <v>1</v>
      </c>
    </row>
    <row r="10" spans="1:5" ht="15.75" x14ac:dyDescent="0.25">
      <c r="A10" s="4" t="s">
        <v>4</v>
      </c>
      <c r="B10" s="5" t="s">
        <v>1</v>
      </c>
      <c r="C10" s="54">
        <f>'[12]FTR Fermentation'!$K$233</f>
        <v>0.75</v>
      </c>
    </row>
    <row r="11" spans="1:5" ht="15.75" x14ac:dyDescent="0.25">
      <c r="A11" s="4" t="s">
        <v>5</v>
      </c>
      <c r="B11" s="5" t="s">
        <v>1</v>
      </c>
      <c r="C11" s="54">
        <f>'[12]FTR Fermentation'!$M$233</f>
        <v>0.9375</v>
      </c>
    </row>
    <row r="12" spans="1:5" ht="15.75" x14ac:dyDescent="0.25">
      <c r="A12" s="4" t="s">
        <v>7</v>
      </c>
      <c r="B12" s="5" t="s">
        <v>1</v>
      </c>
      <c r="C12" s="54">
        <f>'[12]FTR Fermentation'!$I$233</f>
        <v>0.875</v>
      </c>
    </row>
    <row r="13" spans="1:5" ht="3.95" customHeight="1" thickBot="1" x14ac:dyDescent="0.3">
      <c r="A13" s="7"/>
      <c r="B13" s="8"/>
      <c r="C13" s="53"/>
    </row>
    <row r="14" spans="1:5" ht="15.75" x14ac:dyDescent="0.25">
      <c r="A14" s="1" t="s">
        <v>8</v>
      </c>
      <c r="B14" s="2" t="s">
        <v>1</v>
      </c>
      <c r="C14" s="51">
        <f>'[12]FTR BBT'!$N$493</f>
        <v>0.40816326530612246</v>
      </c>
    </row>
    <row r="15" spans="1:5" ht="15.75" x14ac:dyDescent="0.25">
      <c r="A15" s="4" t="s">
        <v>9</v>
      </c>
      <c r="B15" s="5" t="s">
        <v>1</v>
      </c>
      <c r="C15" s="55">
        <f>'[12]FTR BBT'!$D$493</f>
        <v>0.97959183673469385</v>
      </c>
    </row>
    <row r="16" spans="1:5" ht="15.75" x14ac:dyDescent="0.25">
      <c r="A16" s="4" t="s">
        <v>10</v>
      </c>
      <c r="B16" s="5" t="s">
        <v>1</v>
      </c>
      <c r="C16" s="56">
        <f>'[12]FTR BBT'!$J$493</f>
        <v>0.40816326530612246</v>
      </c>
    </row>
    <row r="17" spans="1:6" ht="15.75" x14ac:dyDescent="0.25">
      <c r="A17" s="4" t="s">
        <v>13</v>
      </c>
      <c r="B17" s="5" t="s">
        <v>1</v>
      </c>
      <c r="C17" s="55">
        <f>'[12]FTR BBT'!$H$493</f>
        <v>1</v>
      </c>
    </row>
    <row r="18" spans="1:6" ht="15.75" x14ac:dyDescent="0.25">
      <c r="A18" s="4" t="s">
        <v>14</v>
      </c>
      <c r="B18" s="5" t="s">
        <v>1</v>
      </c>
      <c r="C18" s="55" t="e">
        <f>'[12]FTR BBT'!$F$493</f>
        <v>#DIV/0!</v>
      </c>
    </row>
    <row r="19" spans="1:6" ht="3.95" customHeight="1" thickBot="1" x14ac:dyDescent="0.3">
      <c r="A19" s="7"/>
      <c r="B19" s="8"/>
      <c r="C19" s="53"/>
    </row>
    <row r="20" spans="1:6" ht="15.75" x14ac:dyDescent="0.25">
      <c r="A20" s="1" t="s">
        <v>16</v>
      </c>
      <c r="B20" s="2" t="s">
        <v>1</v>
      </c>
      <c r="C20" s="51">
        <f>'[12]FTR Packaging'!$L$458</f>
        <v>0.66666666666666663</v>
      </c>
    </row>
    <row r="21" spans="1:6" ht="15.75" x14ac:dyDescent="0.25">
      <c r="A21" s="4" t="s">
        <v>18</v>
      </c>
      <c r="B21" s="5" t="s">
        <v>1</v>
      </c>
      <c r="C21" s="54">
        <f>'[12]FTR Packaging'!$F$458</f>
        <v>0.65</v>
      </c>
      <c r="E21" s="157"/>
    </row>
    <row r="22" spans="1:6" ht="15.75" x14ac:dyDescent="0.25">
      <c r="A22" s="4" t="s">
        <v>19</v>
      </c>
      <c r="B22" s="5" t="s">
        <v>1</v>
      </c>
      <c r="C22" s="54">
        <f>'[12]FTR Packaging'!$D$458</f>
        <v>1</v>
      </c>
      <c r="E22" s="157"/>
    </row>
    <row r="23" spans="1:6" ht="3.95" customHeight="1" x14ac:dyDescent="0.25">
      <c r="A23" s="7"/>
      <c r="B23" s="8"/>
      <c r="C23" s="53"/>
      <c r="E23" s="157"/>
    </row>
    <row r="24" spans="1:6" ht="3.95" customHeight="1" x14ac:dyDescent="0.25">
      <c r="A24" s="7"/>
      <c r="B24" s="8"/>
      <c r="C24" s="53"/>
    </row>
    <row r="25" spans="1:6" ht="15.75" x14ac:dyDescent="0.25">
      <c r="A25" s="1" t="s">
        <v>22</v>
      </c>
      <c r="B25" s="2" t="s">
        <v>1</v>
      </c>
      <c r="C25" s="108">
        <v>0.94099999999999995</v>
      </c>
      <c r="F25" s="123"/>
    </row>
    <row r="26" spans="1:6" ht="15.75" x14ac:dyDescent="0.25">
      <c r="A26" s="4" t="s">
        <v>23</v>
      </c>
      <c r="B26" s="2" t="s">
        <v>1</v>
      </c>
      <c r="C26" s="54">
        <v>1</v>
      </c>
      <c r="F26" s="123"/>
    </row>
    <row r="27" spans="1:6" ht="15.75" x14ac:dyDescent="0.25">
      <c r="A27" s="4" t="s">
        <v>24</v>
      </c>
      <c r="B27" s="2" t="s">
        <v>1</v>
      </c>
      <c r="C27" s="54">
        <v>0.94099999999999995</v>
      </c>
      <c r="F27" s="123"/>
    </row>
    <row r="28" spans="1:6" ht="3.95" customHeight="1" thickBot="1" x14ac:dyDescent="0.3">
      <c r="A28" s="7"/>
      <c r="B28" s="8"/>
      <c r="C28" s="53"/>
    </row>
    <row r="29" spans="1:6" ht="15.75" x14ac:dyDescent="0.25">
      <c r="A29" s="1" t="s">
        <v>25</v>
      </c>
      <c r="B29" s="2" t="s">
        <v>1</v>
      </c>
      <c r="C29" s="117">
        <f>'[12]FTR Finished Product'!$N$378</f>
        <v>0.36585365853658536</v>
      </c>
    </row>
    <row r="30" spans="1:6" ht="16.5" thickBot="1" x14ac:dyDescent="0.3">
      <c r="A30" s="4" t="s">
        <v>10</v>
      </c>
      <c r="B30" s="2" t="s">
        <v>1</v>
      </c>
      <c r="C30" s="116">
        <f>'[12]FTR Finished Product'!$K$378</f>
        <v>0.3902439024390244</v>
      </c>
    </row>
    <row r="31" spans="1:6" ht="15.75" x14ac:dyDescent="0.25">
      <c r="A31" s="4" t="s">
        <v>26</v>
      </c>
      <c r="B31" s="2" t="s">
        <v>1</v>
      </c>
      <c r="C31" s="118">
        <f>'[12]FTR Finished Product'!$F$378</f>
        <v>0.82857142857142863</v>
      </c>
    </row>
    <row r="32" spans="1:6" ht="15.75" x14ac:dyDescent="0.25">
      <c r="A32" s="4" t="s">
        <v>9</v>
      </c>
      <c r="B32" s="2" t="s">
        <v>1</v>
      </c>
      <c r="C32" s="54">
        <f>'[12]FTR Finished Product'!$D$378</f>
        <v>1</v>
      </c>
    </row>
    <row r="33" spans="1:6" ht="16.5" thickBot="1" x14ac:dyDescent="0.3">
      <c r="A33" s="4" t="s">
        <v>20</v>
      </c>
      <c r="B33" s="2" t="s">
        <v>1</v>
      </c>
      <c r="C33" s="119"/>
    </row>
    <row r="34" spans="1:6" ht="15.75" thickBot="1" x14ac:dyDescent="0.3"/>
    <row r="35" spans="1:6" ht="15.75" x14ac:dyDescent="0.25">
      <c r="C35" s="124">
        <f>AVERAGE(C2,C7,C14,C20,C25,C29)</f>
        <v>0.58826181907550601</v>
      </c>
      <c r="E35" s="23" t="s">
        <v>35</v>
      </c>
      <c r="F35" s="61" t="e">
        <f>AVERAGE('January ''25'!C37,'February ''24'!#REF!,'March ''24'!C36,'April ''24'!C36,C35)</f>
        <v>#REF!</v>
      </c>
    </row>
  </sheetData>
  <mergeCells count="2">
    <mergeCell ref="E3:E4"/>
    <mergeCell ref="E21:E2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5"/>
  <sheetViews>
    <sheetView showGridLines="0" topLeftCell="A15" workbookViewId="0">
      <selection activeCell="C35" sqref="C35"/>
    </sheetView>
  </sheetViews>
  <sheetFormatPr defaultRowHeight="15" x14ac:dyDescent="0.25"/>
  <cols>
    <col min="1" max="1" width="28" customWidth="1"/>
    <col min="3" max="3" width="13.5703125" style="58" bestFit="1" customWidth="1"/>
  </cols>
  <sheetData>
    <row r="1" spans="1:5" s="18" customFormat="1" ht="24" thickBot="1" x14ac:dyDescent="0.4">
      <c r="A1" s="17" t="s">
        <v>30</v>
      </c>
      <c r="C1" s="107" t="s">
        <v>86</v>
      </c>
    </row>
    <row r="2" spans="1:5" ht="15.75" x14ac:dyDescent="0.25">
      <c r="A2" s="1" t="s">
        <v>27</v>
      </c>
      <c r="B2" s="2" t="s">
        <v>1</v>
      </c>
      <c r="C2" s="51">
        <f>'[12]FTR Brewhouse'!$I$1015</f>
        <v>0.71969696969696972</v>
      </c>
    </row>
    <row r="3" spans="1:5" ht="15.75" x14ac:dyDescent="0.25">
      <c r="A3" s="15" t="s">
        <v>28</v>
      </c>
      <c r="B3" s="5" t="s">
        <v>1</v>
      </c>
      <c r="C3" s="54">
        <f>'[12]FTR Brewhouse'!$C$1015</f>
        <v>0.87857142857142856</v>
      </c>
      <c r="E3" s="157"/>
    </row>
    <row r="4" spans="1:5" ht="15.75" x14ac:dyDescent="0.25">
      <c r="A4" s="4" t="s">
        <v>87</v>
      </c>
      <c r="B4" s="5" t="s">
        <v>1</v>
      </c>
      <c r="C4" s="54">
        <f>'[12]FTR Brewhouse'!$E$1015</f>
        <v>0.90714285714285714</v>
      </c>
      <c r="E4" s="157"/>
    </row>
    <row r="5" spans="1:5" ht="15.75" x14ac:dyDescent="0.25">
      <c r="A5" s="4" t="s">
        <v>88</v>
      </c>
      <c r="B5" s="5" t="s">
        <v>1</v>
      </c>
      <c r="C5" s="54"/>
      <c r="E5" s="102"/>
    </row>
    <row r="6" spans="1:5" ht="3.95" customHeight="1" thickBot="1" x14ac:dyDescent="0.3">
      <c r="A6" s="7"/>
      <c r="B6" s="8"/>
      <c r="C6" s="53"/>
    </row>
    <row r="7" spans="1:5" ht="15.75" x14ac:dyDescent="0.25">
      <c r="A7" s="1" t="s">
        <v>0</v>
      </c>
      <c r="B7" s="2" t="s">
        <v>1</v>
      </c>
      <c r="C7" s="51">
        <f>'[12]FTR Fermentation'!$P$270</f>
        <v>0.77272727272727271</v>
      </c>
    </row>
    <row r="8" spans="1:5" ht="15.75" x14ac:dyDescent="0.25">
      <c r="A8" s="4" t="s">
        <v>2</v>
      </c>
      <c r="B8" s="5" t="s">
        <v>1</v>
      </c>
      <c r="C8" s="54">
        <f>'[12]FTR Fermentation'!$D$270</f>
        <v>0.95454545454545459</v>
      </c>
    </row>
    <row r="9" spans="1:5" ht="15.75" x14ac:dyDescent="0.25">
      <c r="A9" s="4" t="s">
        <v>3</v>
      </c>
      <c r="B9" s="5" t="s">
        <v>1</v>
      </c>
      <c r="C9" s="54">
        <f>'[12]FTR Fermentation'!$G$270</f>
        <v>1</v>
      </c>
    </row>
    <row r="10" spans="1:5" ht="15.75" x14ac:dyDescent="0.25">
      <c r="A10" s="4" t="s">
        <v>4</v>
      </c>
      <c r="B10" s="5" t="s">
        <v>1</v>
      </c>
      <c r="C10" s="54">
        <f>'[12]FTR Fermentation'!$K$270</f>
        <v>1</v>
      </c>
    </row>
    <row r="11" spans="1:5" ht="15.75" x14ac:dyDescent="0.25">
      <c r="A11" s="4" t="s">
        <v>5</v>
      </c>
      <c r="B11" s="5" t="s">
        <v>1</v>
      </c>
      <c r="C11" s="54">
        <f>'[12]FTR Fermentation'!$M$270</f>
        <v>0.90909090909090906</v>
      </c>
    </row>
    <row r="12" spans="1:5" ht="15.75" x14ac:dyDescent="0.25">
      <c r="A12" s="4" t="s">
        <v>7</v>
      </c>
      <c r="B12" s="5" t="s">
        <v>1</v>
      </c>
      <c r="C12" s="54">
        <f>'[12]FTR Fermentation'!$I$270</f>
        <v>0.86363636363636365</v>
      </c>
    </row>
    <row r="13" spans="1:5" ht="3.95" customHeight="1" thickBot="1" x14ac:dyDescent="0.3">
      <c r="A13" s="7"/>
      <c r="B13" s="8"/>
      <c r="C13" s="53"/>
    </row>
    <row r="14" spans="1:5" ht="15.75" x14ac:dyDescent="0.25">
      <c r="A14" s="1" t="s">
        <v>8</v>
      </c>
      <c r="B14" s="2" t="s">
        <v>1</v>
      </c>
      <c r="C14" s="51">
        <f>'[12]FTR BBT'!$N$590</f>
        <v>0.64814814814814814</v>
      </c>
    </row>
    <row r="15" spans="1:5" ht="15.75" x14ac:dyDescent="0.25">
      <c r="A15" s="4" t="s">
        <v>9</v>
      </c>
      <c r="B15" s="5" t="s">
        <v>1</v>
      </c>
      <c r="C15" s="55">
        <f>'[12]FTR BBT'!$D$590</f>
        <v>0.98181818181818181</v>
      </c>
    </row>
    <row r="16" spans="1:5" ht="15.75" x14ac:dyDescent="0.25">
      <c r="A16" s="4" t="s">
        <v>10</v>
      </c>
      <c r="B16" s="5" t="s">
        <v>1</v>
      </c>
      <c r="C16" s="56">
        <f>'[12]FTR BBT'!$J$590</f>
        <v>0.66666666666666663</v>
      </c>
    </row>
    <row r="17" spans="1:5" ht="15.75" x14ac:dyDescent="0.25">
      <c r="A17" s="4" t="s">
        <v>13</v>
      </c>
      <c r="B17" s="5" t="s">
        <v>1</v>
      </c>
      <c r="C17" s="55">
        <f>'[12]FTR BBT'!$H$590</f>
        <v>1</v>
      </c>
    </row>
    <row r="18" spans="1:5" ht="15.75" x14ac:dyDescent="0.25">
      <c r="A18" s="4" t="s">
        <v>14</v>
      </c>
      <c r="B18" s="5" t="s">
        <v>1</v>
      </c>
      <c r="C18" s="55" t="e">
        <f>'[12]FTR BBT'!$F$590</f>
        <v>#DIV/0!</v>
      </c>
    </row>
    <row r="19" spans="1:5" ht="3.95" customHeight="1" thickBot="1" x14ac:dyDescent="0.3">
      <c r="A19" s="7"/>
      <c r="B19" s="8"/>
      <c r="C19" s="53"/>
    </row>
    <row r="20" spans="1:5" ht="15.75" x14ac:dyDescent="0.25">
      <c r="A20" s="1" t="s">
        <v>16</v>
      </c>
      <c r="B20" s="2" t="s">
        <v>1</v>
      </c>
      <c r="C20" s="51">
        <f>'[12]FTR Packaging'!$L$553</f>
        <v>0.61904761904761907</v>
      </c>
    </row>
    <row r="21" spans="1:5" ht="15.75" x14ac:dyDescent="0.25">
      <c r="A21" s="4" t="s">
        <v>18</v>
      </c>
      <c r="B21" s="5" t="s">
        <v>1</v>
      </c>
      <c r="C21" s="54">
        <f>'[12]FTR Packaging'!$F$553</f>
        <v>0.61904761904761907</v>
      </c>
      <c r="E21" s="157"/>
    </row>
    <row r="22" spans="1:5" ht="15.75" x14ac:dyDescent="0.25">
      <c r="A22" s="4" t="s">
        <v>19</v>
      </c>
      <c r="B22" s="5" t="s">
        <v>1</v>
      </c>
      <c r="C22" s="54">
        <f>'[12]FTR Packaging'!$D$553</f>
        <v>1</v>
      </c>
      <c r="E22" s="157"/>
    </row>
    <row r="23" spans="1:5" ht="3.95" customHeight="1" x14ac:dyDescent="0.25">
      <c r="A23" s="7"/>
      <c r="B23" s="8"/>
      <c r="C23" s="53"/>
      <c r="E23" s="157"/>
    </row>
    <row r="24" spans="1:5" ht="3.95" customHeight="1" x14ac:dyDescent="0.25">
      <c r="A24" s="7"/>
      <c r="B24" s="8"/>
      <c r="C24" s="53"/>
    </row>
    <row r="25" spans="1:5" ht="15.75" x14ac:dyDescent="0.25">
      <c r="A25" s="1" t="s">
        <v>22</v>
      </c>
      <c r="B25" s="2" t="s">
        <v>1</v>
      </c>
      <c r="C25" s="108">
        <v>0.85499999999999998</v>
      </c>
    </row>
    <row r="26" spans="1:5" ht="15.75" x14ac:dyDescent="0.25">
      <c r="A26" s="4" t="s">
        <v>23</v>
      </c>
      <c r="B26" s="2" t="s">
        <v>1</v>
      </c>
      <c r="C26" s="54">
        <v>1</v>
      </c>
    </row>
    <row r="27" spans="1:5" ht="15.75" x14ac:dyDescent="0.25">
      <c r="A27" s="4" t="s">
        <v>24</v>
      </c>
      <c r="B27" s="2" t="s">
        <v>1</v>
      </c>
      <c r="C27" s="54">
        <v>0.85499999999999998</v>
      </c>
    </row>
    <row r="28" spans="1:5" ht="3.95" customHeight="1" thickBot="1" x14ac:dyDescent="0.3">
      <c r="A28" s="7"/>
      <c r="B28" s="8"/>
      <c r="C28" s="53"/>
    </row>
    <row r="29" spans="1:5" ht="15.75" x14ac:dyDescent="0.25">
      <c r="A29" s="1" t="s">
        <v>25</v>
      </c>
      <c r="B29" s="2" t="s">
        <v>1</v>
      </c>
      <c r="C29" s="117">
        <f>'[12]FTR Finished Product'!$N$451</f>
        <v>0.63414634146341464</v>
      </c>
    </row>
    <row r="30" spans="1:5" ht="16.5" thickBot="1" x14ac:dyDescent="0.3">
      <c r="A30" s="4" t="s">
        <v>10</v>
      </c>
      <c r="B30" s="2" t="s">
        <v>1</v>
      </c>
      <c r="C30" s="116">
        <f>'[12]FTR Finished Product'!$K$451</f>
        <v>0.72499999999999998</v>
      </c>
    </row>
    <row r="31" spans="1:5" ht="15.75" x14ac:dyDescent="0.25">
      <c r="A31" s="4" t="s">
        <v>26</v>
      </c>
      <c r="B31" s="2" t="s">
        <v>1</v>
      </c>
      <c r="C31" s="118">
        <f>'[12]FTR Finished Product'!$F$451</f>
        <v>1</v>
      </c>
    </row>
    <row r="32" spans="1:5" ht="15.75" x14ac:dyDescent="0.25">
      <c r="A32" s="4" t="s">
        <v>9</v>
      </c>
      <c r="B32" s="2" t="s">
        <v>1</v>
      </c>
      <c r="C32" s="54">
        <f>'[12]FTR Finished Product'!$D$451</f>
        <v>0.9</v>
      </c>
    </row>
    <row r="33" spans="1:6" ht="16.5" thickBot="1" x14ac:dyDescent="0.3">
      <c r="A33" s="4" t="s">
        <v>20</v>
      </c>
      <c r="B33" s="2" t="s">
        <v>1</v>
      </c>
      <c r="C33" s="119"/>
    </row>
    <row r="34" spans="1:6" ht="15.75" thickBot="1" x14ac:dyDescent="0.3"/>
    <row r="35" spans="1:6" ht="15.75" x14ac:dyDescent="0.25">
      <c r="C35" s="124">
        <f>AVERAGE(C2,C7,C14,C20,C25,C29)</f>
        <v>0.70812772518057077</v>
      </c>
      <c r="E35" s="23" t="s">
        <v>35</v>
      </c>
      <c r="F35" s="61" t="e">
        <f>AVERAGE('January ''25'!C37,'February ''24'!#REF!,'March ''24'!C36,'April ''24'!C36,'May ''20'!C35,C35)</f>
        <v>#REF!</v>
      </c>
    </row>
  </sheetData>
  <mergeCells count="2">
    <mergeCell ref="E3:E4"/>
    <mergeCell ref="E21:E2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5"/>
  <sheetViews>
    <sheetView showGridLines="0" topLeftCell="A25" workbookViewId="0">
      <selection activeCell="D41" sqref="D41"/>
    </sheetView>
  </sheetViews>
  <sheetFormatPr defaultRowHeight="15" x14ac:dyDescent="0.25"/>
  <cols>
    <col min="1" max="1" width="28" customWidth="1"/>
    <col min="3" max="3" width="13.5703125" customWidth="1"/>
  </cols>
  <sheetData>
    <row r="1" spans="1:5" s="18" customFormat="1" ht="24" thickBot="1" x14ac:dyDescent="0.4">
      <c r="A1" s="17" t="s">
        <v>30</v>
      </c>
      <c r="C1" s="17" t="s">
        <v>31</v>
      </c>
    </row>
    <row r="2" spans="1:5" ht="15.75" x14ac:dyDescent="0.25">
      <c r="A2" s="1" t="s">
        <v>27</v>
      </c>
      <c r="B2" s="2" t="s">
        <v>1</v>
      </c>
      <c r="C2" s="51">
        <f>'[12]FTR Brewhouse'!$I$1569</f>
        <v>0.7289719626168224</v>
      </c>
    </row>
    <row r="3" spans="1:5" ht="15.75" x14ac:dyDescent="0.25">
      <c r="A3" s="15" t="s">
        <v>28</v>
      </c>
      <c r="B3" s="5" t="s">
        <v>1</v>
      </c>
      <c r="C3" s="54">
        <f>'[12]FTR Brewhouse'!$C$1569</f>
        <v>0.85046728971962615</v>
      </c>
      <c r="E3" s="157"/>
    </row>
    <row r="4" spans="1:5" ht="15.75" x14ac:dyDescent="0.25">
      <c r="A4" s="4" t="s">
        <v>87</v>
      </c>
      <c r="B4" s="5" t="s">
        <v>1</v>
      </c>
      <c r="C4" s="54">
        <f>'[12]FTR Brewhouse'!$E$1569</f>
        <v>0.85981308411214952</v>
      </c>
      <c r="E4" s="157"/>
    </row>
    <row r="5" spans="1:5" ht="18" customHeight="1" x14ac:dyDescent="0.25">
      <c r="A5" s="4" t="s">
        <v>88</v>
      </c>
      <c r="B5" s="5" t="s">
        <v>1</v>
      </c>
      <c r="C5" s="54"/>
    </row>
    <row r="6" spans="1:5" ht="16.5" thickBot="1" x14ac:dyDescent="0.3">
      <c r="A6" s="7"/>
      <c r="B6" s="8"/>
      <c r="C6" s="53"/>
    </row>
    <row r="7" spans="1:5" ht="15.75" x14ac:dyDescent="0.25">
      <c r="A7" s="1" t="s">
        <v>0</v>
      </c>
      <c r="B7" s="2" t="s">
        <v>1</v>
      </c>
      <c r="C7" s="51">
        <f>'[12]FTR Fermentation'!$P$385</f>
        <v>0.16666666666666666</v>
      </c>
    </row>
    <row r="8" spans="1:5" ht="15.75" x14ac:dyDescent="0.25">
      <c r="A8" s="4" t="s">
        <v>2</v>
      </c>
      <c r="B8" s="5" t="s">
        <v>1</v>
      </c>
      <c r="C8" s="54">
        <f>'[12]FTR Fermentation'!$D$385</f>
        <v>0.94444444444444442</v>
      </c>
    </row>
    <row r="9" spans="1:5" ht="15.75" x14ac:dyDescent="0.25">
      <c r="A9" s="4" t="s">
        <v>3</v>
      </c>
      <c r="B9" s="5" t="s">
        <v>1</v>
      </c>
      <c r="C9" s="54">
        <f>'[12]FTR Fermentation'!$G$385</f>
        <v>0.94444444444444442</v>
      </c>
    </row>
    <row r="10" spans="1:5" ht="15.75" x14ac:dyDescent="0.25">
      <c r="A10" s="4" t="s">
        <v>4</v>
      </c>
      <c r="B10" s="5" t="s">
        <v>1</v>
      </c>
      <c r="C10" s="54">
        <f>'[12]FTR Fermentation'!$K$385</f>
        <v>0.1111111111111111</v>
      </c>
    </row>
    <row r="11" spans="1:5" ht="15.75" x14ac:dyDescent="0.25">
      <c r="A11" s="4" t="s">
        <v>5</v>
      </c>
      <c r="B11" s="5" t="s">
        <v>1</v>
      </c>
      <c r="C11" s="54">
        <f>'[12]FTR Fermentation'!$M$308</f>
        <v>0.96969696969696972</v>
      </c>
    </row>
    <row r="12" spans="1:5" ht="15.75" x14ac:dyDescent="0.25">
      <c r="A12" s="4" t="s">
        <v>7</v>
      </c>
      <c r="B12" s="5" t="s">
        <v>1</v>
      </c>
      <c r="C12" s="54">
        <f>'[12]FTR Fermentation'!$I$385</f>
        <v>0.83333333333333337</v>
      </c>
    </row>
    <row r="13" spans="1:5" ht="16.5" thickBot="1" x14ac:dyDescent="0.3">
      <c r="A13" s="7"/>
      <c r="B13" s="8"/>
      <c r="C13" s="53"/>
    </row>
    <row r="14" spans="1:5" ht="15.75" x14ac:dyDescent="0.25">
      <c r="A14" s="1" t="s">
        <v>8</v>
      </c>
      <c r="B14" s="2" t="s">
        <v>1</v>
      </c>
      <c r="C14" s="51">
        <f>'[12]FTR BBT'!$N$911</f>
        <v>0.45205479452054792</v>
      </c>
    </row>
    <row r="15" spans="1:5" ht="15.75" x14ac:dyDescent="0.25">
      <c r="A15" s="4" t="s">
        <v>9</v>
      </c>
      <c r="B15" s="5" t="s">
        <v>1</v>
      </c>
      <c r="C15" s="55">
        <f>'[12]FTR BBT'!$D$911</f>
        <v>0.9726027397260274</v>
      </c>
    </row>
    <row r="16" spans="1:5" ht="15.75" x14ac:dyDescent="0.25">
      <c r="A16" s="4" t="s">
        <v>10</v>
      </c>
      <c r="B16" s="5" t="s">
        <v>1</v>
      </c>
      <c r="C16" s="56">
        <f>'[12]FTR BBT'!$J$911</f>
        <v>0.47945205479452052</v>
      </c>
    </row>
    <row r="17" spans="1:5" ht="15.75" x14ac:dyDescent="0.25">
      <c r="A17" s="4" t="s">
        <v>13</v>
      </c>
      <c r="B17" s="5" t="s">
        <v>1</v>
      </c>
      <c r="C17" s="55">
        <f>'[12]FTR BBT'!$H$804</f>
        <v>1</v>
      </c>
    </row>
    <row r="18" spans="1:5" ht="15.75" x14ac:dyDescent="0.25">
      <c r="A18" s="4" t="s">
        <v>14</v>
      </c>
      <c r="B18" s="5" t="s">
        <v>1</v>
      </c>
      <c r="C18" s="55">
        <f>'[12]FTR BBT'!$F$804</f>
        <v>1</v>
      </c>
    </row>
    <row r="19" spans="1:5" ht="16.5" thickBot="1" x14ac:dyDescent="0.3">
      <c r="A19" s="7"/>
      <c r="B19" s="8"/>
      <c r="C19" s="53"/>
    </row>
    <row r="20" spans="1:5" ht="21" customHeight="1" x14ac:dyDescent="0.25">
      <c r="A20" s="1" t="s">
        <v>16</v>
      </c>
      <c r="B20" s="2" t="s">
        <v>1</v>
      </c>
      <c r="C20" s="51">
        <f>'[12]FTR Packaging'!$L$835</f>
        <v>0.6964285714285714</v>
      </c>
    </row>
    <row r="21" spans="1:5" ht="15.75" x14ac:dyDescent="0.25">
      <c r="A21" s="4" t="s">
        <v>18</v>
      </c>
      <c r="B21" s="5" t="s">
        <v>1</v>
      </c>
      <c r="C21" s="54">
        <f>'[12]FTR Packaging'!$F$835</f>
        <v>0.7321428571428571</v>
      </c>
    </row>
    <row r="22" spans="1:5" ht="15.75" x14ac:dyDescent="0.25">
      <c r="A22" s="4" t="s">
        <v>19</v>
      </c>
      <c r="B22" s="5" t="s">
        <v>1</v>
      </c>
      <c r="C22" s="54">
        <f>'[12]FTR Packaging'!$D$835</f>
        <v>0.96296296296296291</v>
      </c>
    </row>
    <row r="23" spans="1:5" ht="15.75" hidden="1" x14ac:dyDescent="0.25">
      <c r="A23" s="7"/>
      <c r="B23" s="8"/>
      <c r="C23" s="53"/>
    </row>
    <row r="24" spans="1:5" ht="15.75" x14ac:dyDescent="0.25">
      <c r="A24" s="7"/>
      <c r="B24" s="8"/>
      <c r="C24" s="53"/>
      <c r="E24" s="157"/>
    </row>
    <row r="25" spans="1:5" ht="15.75" x14ac:dyDescent="0.25">
      <c r="A25" s="1" t="s">
        <v>22</v>
      </c>
      <c r="B25" s="2" t="s">
        <v>1</v>
      </c>
      <c r="C25" s="108">
        <v>0.71599999999999997</v>
      </c>
      <c r="E25" s="157"/>
    </row>
    <row r="26" spans="1:5" ht="15.75" x14ac:dyDescent="0.25">
      <c r="A26" s="4" t="s">
        <v>23</v>
      </c>
      <c r="B26" s="2" t="s">
        <v>1</v>
      </c>
      <c r="C26" s="54">
        <v>1</v>
      </c>
      <c r="E26" s="157"/>
    </row>
    <row r="27" spans="1:5" ht="15.75" x14ac:dyDescent="0.25">
      <c r="A27" s="4" t="s">
        <v>24</v>
      </c>
      <c r="B27" s="2" t="s">
        <v>1</v>
      </c>
      <c r="C27" s="54">
        <v>0.71599999999999997</v>
      </c>
      <c r="E27" s="157"/>
    </row>
    <row r="28" spans="1:5" ht="3.95" customHeight="1" thickBot="1" x14ac:dyDescent="0.3">
      <c r="A28" s="7"/>
      <c r="B28" s="8"/>
      <c r="C28" s="53"/>
    </row>
    <row r="29" spans="1:5" ht="15.75" x14ac:dyDescent="0.25">
      <c r="A29" s="1" t="s">
        <v>25</v>
      </c>
      <c r="B29" s="2" t="s">
        <v>1</v>
      </c>
      <c r="C29" s="117">
        <f>'[12]FTR Finished Product'!$N$665</f>
        <v>0.30357142857142855</v>
      </c>
    </row>
    <row r="30" spans="1:5" ht="16.5" thickBot="1" x14ac:dyDescent="0.3">
      <c r="A30" s="4" t="s">
        <v>10</v>
      </c>
      <c r="B30" s="2" t="s">
        <v>1</v>
      </c>
      <c r="C30" s="116">
        <f>'[12]FTR Finished Product'!$K$665</f>
        <v>0.43636363636363634</v>
      </c>
    </row>
    <row r="31" spans="1:5" ht="15.75" x14ac:dyDescent="0.25">
      <c r="A31" s="4" t="s">
        <v>26</v>
      </c>
      <c r="B31" s="2" t="s">
        <v>1</v>
      </c>
      <c r="C31" s="118">
        <f>'[12]FTR Finished Product'!$F$665</f>
        <v>0.90243902439024393</v>
      </c>
    </row>
    <row r="32" spans="1:5" ht="21" customHeight="1" x14ac:dyDescent="0.25">
      <c r="A32" s="4" t="s">
        <v>9</v>
      </c>
      <c r="B32" s="2" t="s">
        <v>1</v>
      </c>
      <c r="C32" s="54">
        <f>'[12]FTR Finished Product'!$D$665</f>
        <v>0.94545454545454544</v>
      </c>
    </row>
    <row r="33" spans="1:6" ht="16.5" thickBot="1" x14ac:dyDescent="0.3">
      <c r="A33" s="4" t="s">
        <v>20</v>
      </c>
      <c r="B33" s="2" t="s">
        <v>1</v>
      </c>
      <c r="C33" s="119"/>
    </row>
    <row r="34" spans="1:6" ht="15.75" thickBot="1" x14ac:dyDescent="0.3"/>
    <row r="35" spans="1:6" ht="15.75" x14ac:dyDescent="0.25">
      <c r="C35" s="122">
        <f>AVERAGE(C2,C7,C14,C20,C25,C29)</f>
        <v>0.51061557063400609</v>
      </c>
      <c r="E35" s="23" t="s">
        <v>35</v>
      </c>
      <c r="F35" s="61" t="e">
        <f>AVERAGE('January ''25'!C37,'February ''24'!#REF!,'March ''24'!C36,'April ''24'!C36,'May ''20'!C35,'June''20'!C35,#REF!,#REF!,'September ''20'!C35)</f>
        <v>#REF!</v>
      </c>
    </row>
  </sheetData>
  <mergeCells count="2">
    <mergeCell ref="E3:E4"/>
    <mergeCell ref="E24:E27"/>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9"/>
  <sheetViews>
    <sheetView showGridLines="0" topLeftCell="A19" workbookViewId="0">
      <selection activeCell="C21" sqref="C21"/>
    </sheetView>
  </sheetViews>
  <sheetFormatPr defaultRowHeight="15" x14ac:dyDescent="0.25"/>
  <cols>
    <col min="1" max="1" width="28" customWidth="1"/>
    <col min="3" max="3" width="13.5703125" customWidth="1"/>
  </cols>
  <sheetData>
    <row r="1" spans="1:5" s="18" customFormat="1" ht="24" thickBot="1" x14ac:dyDescent="0.4">
      <c r="A1" s="17" t="s">
        <v>30</v>
      </c>
      <c r="C1" s="17" t="s">
        <v>31</v>
      </c>
    </row>
    <row r="2" spans="1:5" ht="15.75" x14ac:dyDescent="0.25">
      <c r="A2" s="1" t="s">
        <v>27</v>
      </c>
      <c r="B2" s="2" t="s">
        <v>1</v>
      </c>
      <c r="C2" s="51">
        <f>'[13]FTR Brewhouse'!$I$3240</f>
        <v>0.4370860927152318</v>
      </c>
    </row>
    <row r="3" spans="1:5" ht="15.75" x14ac:dyDescent="0.25">
      <c r="A3" s="15" t="s">
        <v>28</v>
      </c>
      <c r="B3" s="5" t="s">
        <v>1</v>
      </c>
      <c r="C3" s="54">
        <f>'[13]FTR Brewhouse'!$C$3240</f>
        <v>0.80132450331125826</v>
      </c>
      <c r="E3" s="157"/>
    </row>
    <row r="4" spans="1:5" ht="15.75" x14ac:dyDescent="0.25">
      <c r="A4" s="4" t="s">
        <v>29</v>
      </c>
      <c r="B4" s="5" t="s">
        <v>1</v>
      </c>
      <c r="C4" s="54">
        <f>'[13]FTR Brewhouse'!$E$3240</f>
        <v>0.50993377483443714</v>
      </c>
      <c r="E4" s="157"/>
    </row>
    <row r="5" spans="1:5" ht="3.95" customHeight="1" thickBot="1" x14ac:dyDescent="0.3">
      <c r="A5" s="7"/>
      <c r="B5" s="8"/>
      <c r="C5" s="9"/>
    </row>
    <row r="6" spans="1:5" ht="15.75" x14ac:dyDescent="0.25">
      <c r="A6" s="1" t="s">
        <v>0</v>
      </c>
      <c r="B6" s="2" t="s">
        <v>1</v>
      </c>
      <c r="C6" s="51">
        <f>'[13]FTR Fermentation'!$P$811</f>
        <v>0.6428571428571429</v>
      </c>
    </row>
    <row r="7" spans="1:5" ht="15.75" x14ac:dyDescent="0.25">
      <c r="A7" s="4" t="s">
        <v>2</v>
      </c>
      <c r="B7" s="5" t="s">
        <v>1</v>
      </c>
      <c r="C7" s="54">
        <f>'[13]FTR Fermentation'!$D$811</f>
        <v>0.7857142857142857</v>
      </c>
    </row>
    <row r="8" spans="1:5" ht="15.75" x14ac:dyDescent="0.25">
      <c r="A8" s="4" t="s">
        <v>3</v>
      </c>
      <c r="B8" s="5" t="s">
        <v>1</v>
      </c>
      <c r="C8" s="54">
        <f>'[13]FTR Fermentation'!$G$811</f>
        <v>1</v>
      </c>
    </row>
    <row r="9" spans="1:5" ht="15.75" x14ac:dyDescent="0.25">
      <c r="A9" s="4" t="s">
        <v>4</v>
      </c>
      <c r="B9" s="5" t="s">
        <v>1</v>
      </c>
      <c r="C9" s="54">
        <f>'[13]FTR Fermentation'!$K$811</f>
        <v>1</v>
      </c>
    </row>
    <row r="10" spans="1:5" ht="15.75" x14ac:dyDescent="0.25">
      <c r="A10" s="4" t="s">
        <v>5</v>
      </c>
      <c r="B10" s="5" t="s">
        <v>1</v>
      </c>
      <c r="C10" s="54">
        <f>'[13]FTR Fermentation'!$M$811</f>
        <v>0.9285714285714286</v>
      </c>
    </row>
    <row r="11" spans="1:5" ht="15.75" hidden="1" x14ac:dyDescent="0.25">
      <c r="A11" s="4" t="s">
        <v>6</v>
      </c>
      <c r="B11" s="5" t="s">
        <v>1</v>
      </c>
      <c r="C11" s="54" t="s">
        <v>34</v>
      </c>
    </row>
    <row r="12" spans="1:5" ht="15.75" x14ac:dyDescent="0.25">
      <c r="A12" s="4" t="s">
        <v>7</v>
      </c>
      <c r="B12" s="5" t="s">
        <v>1</v>
      </c>
      <c r="C12" s="54">
        <f>'[13]FTR Fermentation'!$I$811</f>
        <v>0.8571428571428571</v>
      </c>
    </row>
    <row r="13" spans="1:5" ht="3.95" customHeight="1" thickBot="1" x14ac:dyDescent="0.3">
      <c r="A13" s="7"/>
      <c r="B13" s="8"/>
      <c r="C13" s="9"/>
    </row>
    <row r="14" spans="1:5" ht="15.75" x14ac:dyDescent="0.25">
      <c r="A14" s="1" t="s">
        <v>8</v>
      </c>
      <c r="B14" s="2" t="s">
        <v>1</v>
      </c>
      <c r="C14" s="51">
        <f>'[13]FTR BBT'!$M$1806</f>
        <v>0.5</v>
      </c>
    </row>
    <row r="15" spans="1:5" ht="15.75" x14ac:dyDescent="0.25">
      <c r="A15" s="4" t="s">
        <v>9</v>
      </c>
      <c r="B15" s="5" t="s">
        <v>1</v>
      </c>
      <c r="C15" s="54">
        <f>'[13]FTR BBT'!$D$1806</f>
        <v>0.89393939393939392</v>
      </c>
    </row>
    <row r="16" spans="1:5" ht="15.75" x14ac:dyDescent="0.25">
      <c r="A16" s="4" t="s">
        <v>10</v>
      </c>
      <c r="B16" s="5" t="s">
        <v>1</v>
      </c>
      <c r="C16" s="54">
        <f>'[13]FTR BBT'!$K$1806</f>
        <v>0.59090909090909094</v>
      </c>
    </row>
    <row r="17" spans="1:5" ht="15.75" hidden="1" x14ac:dyDescent="0.25">
      <c r="A17" s="4" t="s">
        <v>11</v>
      </c>
      <c r="B17" s="5" t="s">
        <v>1</v>
      </c>
      <c r="C17" s="54" t="s">
        <v>34</v>
      </c>
    </row>
    <row r="18" spans="1:5" ht="15.75" hidden="1" x14ac:dyDescent="0.25">
      <c r="A18" s="4" t="s">
        <v>12</v>
      </c>
      <c r="B18" s="5" t="s">
        <v>1</v>
      </c>
      <c r="C18" s="54" t="s">
        <v>34</v>
      </c>
    </row>
    <row r="19" spans="1:5" ht="15.75" x14ac:dyDescent="0.25">
      <c r="A19" s="4" t="s">
        <v>13</v>
      </c>
      <c r="B19" s="5" t="s">
        <v>1</v>
      </c>
      <c r="C19" s="54">
        <f>'[13]FTR BBT'!$H$1806</f>
        <v>1</v>
      </c>
    </row>
    <row r="20" spans="1:5" ht="15.75" x14ac:dyDescent="0.25">
      <c r="A20" s="4" t="s">
        <v>14</v>
      </c>
      <c r="B20" s="5" t="s">
        <v>1</v>
      </c>
      <c r="C20" s="54" t="e">
        <f>'[13]FTR BBT'!$F$1806</f>
        <v>#DIV/0!</v>
      </c>
    </row>
    <row r="21" spans="1:5" ht="15.75" hidden="1" x14ac:dyDescent="0.25">
      <c r="A21" s="4" t="s">
        <v>15</v>
      </c>
      <c r="B21" s="5" t="s">
        <v>1</v>
      </c>
      <c r="C21" s="54" t="s">
        <v>34</v>
      </c>
    </row>
    <row r="22" spans="1:5" ht="3.95" customHeight="1" thickBot="1" x14ac:dyDescent="0.3">
      <c r="A22" s="7"/>
      <c r="B22" s="8"/>
      <c r="C22" s="9"/>
    </row>
    <row r="23" spans="1:5" ht="15.75" x14ac:dyDescent="0.25">
      <c r="A23" s="1" t="s">
        <v>16</v>
      </c>
      <c r="B23" s="2" t="s">
        <v>1</v>
      </c>
      <c r="C23" s="51">
        <f>'[13]FTR Packaging'!$L$1344</f>
        <v>0.8771929824561403</v>
      </c>
    </row>
    <row r="24" spans="1:5" ht="15.75" x14ac:dyDescent="0.25">
      <c r="A24" s="4" t="s">
        <v>18</v>
      </c>
      <c r="B24" s="5" t="s">
        <v>1</v>
      </c>
      <c r="C24" s="54">
        <f>'[13]FTR Packaging'!$F$1344</f>
        <v>0.90384615384615385</v>
      </c>
      <c r="E24" s="157"/>
    </row>
    <row r="25" spans="1:5" ht="15.75" x14ac:dyDescent="0.25">
      <c r="A25" s="4" t="s">
        <v>19</v>
      </c>
      <c r="B25" s="5" t="s">
        <v>1</v>
      </c>
      <c r="C25" s="54">
        <f>'[13]FTR Packaging'!$D$1344</f>
        <v>0.96491228070175439</v>
      </c>
      <c r="E25" s="157"/>
    </row>
    <row r="26" spans="1:5" ht="15.75" x14ac:dyDescent="0.25">
      <c r="A26" s="4" t="s">
        <v>20</v>
      </c>
      <c r="B26" s="5" t="s">
        <v>1</v>
      </c>
      <c r="C26" s="54" t="e">
        <f>'[13]FTR Packaging'!$H$1344</f>
        <v>#DIV/0!</v>
      </c>
      <c r="E26" s="157"/>
    </row>
    <row r="27" spans="1:5" ht="3.95" customHeight="1" x14ac:dyDescent="0.25">
      <c r="A27" s="7"/>
      <c r="B27" s="8"/>
      <c r="C27" s="9"/>
      <c r="E27" s="157"/>
    </row>
    <row r="28" spans="1:5" ht="3.95" customHeight="1" x14ac:dyDescent="0.25">
      <c r="A28" s="7"/>
      <c r="B28" s="8"/>
      <c r="C28" s="9"/>
    </row>
    <row r="29" spans="1:5" ht="15.75" x14ac:dyDescent="0.25">
      <c r="A29" s="1" t="s">
        <v>22</v>
      </c>
      <c r="B29" s="2" t="s">
        <v>1</v>
      </c>
      <c r="C29" s="54">
        <v>0.94299999999999995</v>
      </c>
    </row>
    <row r="30" spans="1:5" ht="15.75" x14ac:dyDescent="0.25">
      <c r="A30" s="4" t="s">
        <v>23</v>
      </c>
      <c r="B30" s="2" t="s">
        <v>1</v>
      </c>
      <c r="C30" s="54">
        <v>1</v>
      </c>
    </row>
    <row r="31" spans="1:5" ht="15.75" x14ac:dyDescent="0.25">
      <c r="A31" s="4" t="s">
        <v>24</v>
      </c>
      <c r="B31" s="2" t="s">
        <v>1</v>
      </c>
      <c r="C31" s="54">
        <v>0.94299999999999995</v>
      </c>
    </row>
    <row r="32" spans="1:5" ht="3.95" customHeight="1" thickBot="1" x14ac:dyDescent="0.3">
      <c r="A32" s="7"/>
      <c r="B32" s="8"/>
      <c r="C32" s="54"/>
    </row>
    <row r="33" spans="1:6" ht="15.75" x14ac:dyDescent="0.25">
      <c r="A33" s="1" t="s">
        <v>25</v>
      </c>
      <c r="B33" s="2" t="s">
        <v>1</v>
      </c>
      <c r="C33" s="51">
        <f>'[13]FTR Finished Product'!$N$1248</f>
        <v>0.43478260869565216</v>
      </c>
    </row>
    <row r="34" spans="1:6" ht="15.75" x14ac:dyDescent="0.25">
      <c r="A34" s="4" t="s">
        <v>10</v>
      </c>
      <c r="B34" s="5"/>
      <c r="C34" s="54">
        <f>'[13]FTR Finished Product'!$K$1248</f>
        <v>0.48717948717948717</v>
      </c>
    </row>
    <row r="35" spans="1:6" ht="15.75" x14ac:dyDescent="0.25">
      <c r="A35" s="4" t="s">
        <v>26</v>
      </c>
      <c r="B35" s="5"/>
      <c r="C35" s="54">
        <f>'[13]FTR Finished Product'!$F$1248</f>
        <v>0.64864864864864868</v>
      </c>
    </row>
    <row r="36" spans="1:6" ht="15.75" x14ac:dyDescent="0.25">
      <c r="A36" s="4" t="s">
        <v>9</v>
      </c>
      <c r="B36" s="5"/>
      <c r="C36" s="54">
        <f>'[13]FTR Finished Product'!$D$1248</f>
        <v>0.7567567567567568</v>
      </c>
    </row>
    <row r="37" spans="1:6" ht="16.5" hidden="1" thickBot="1" x14ac:dyDescent="0.3">
      <c r="A37" s="4" t="s">
        <v>15</v>
      </c>
      <c r="B37" s="5"/>
      <c r="C37" s="12" t="s">
        <v>34</v>
      </c>
    </row>
    <row r="38" spans="1:6" ht="15.75" thickBot="1" x14ac:dyDescent="0.3"/>
    <row r="39" spans="1:6" ht="15.75" x14ac:dyDescent="0.25">
      <c r="C39" s="59">
        <f>(C2+C6+C14+C23+C29+C33)/6</f>
        <v>0.63915313778736127</v>
      </c>
      <c r="E39" s="23" t="s">
        <v>35</v>
      </c>
      <c r="F39" s="61" t="e">
        <f>AVERAGE('January ''25'!C37,'February ''24'!#REF!,'March ''24'!C36,'April ''24'!C36,'May ''20'!C35,'June''20'!C35,#REF!,#REF!,'September ''20'!C35,#REF!,C39)</f>
        <v>#REF!</v>
      </c>
    </row>
  </sheetData>
  <mergeCells count="2">
    <mergeCell ref="E3:E4"/>
    <mergeCell ref="E24:E27"/>
  </mergeCells>
  <pageMargins left="0.7" right="0.7" top="0.75" bottom="0.75" header="0.3" footer="0.3"/>
  <pageSetup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9"/>
  <sheetViews>
    <sheetView showGridLines="0" topLeftCell="A16" workbookViewId="0">
      <selection activeCell="C39" sqref="C39"/>
    </sheetView>
  </sheetViews>
  <sheetFormatPr defaultRowHeight="15" x14ac:dyDescent="0.25"/>
  <cols>
    <col min="1" max="1" width="28" customWidth="1"/>
    <col min="3" max="3" width="13.5703125" customWidth="1"/>
  </cols>
  <sheetData>
    <row r="1" spans="1:5" s="18" customFormat="1" ht="24" thickBot="1" x14ac:dyDescent="0.4">
      <c r="A1" s="17" t="s">
        <v>30</v>
      </c>
      <c r="C1" s="17" t="s">
        <v>31</v>
      </c>
    </row>
    <row r="2" spans="1:5" ht="15.75" x14ac:dyDescent="0.25">
      <c r="A2" s="1" t="s">
        <v>27</v>
      </c>
      <c r="B2" s="2" t="s">
        <v>1</v>
      </c>
      <c r="C2" s="51">
        <f>'[13]FTR Brewhouse'!$I$3401</f>
        <v>0.82352941176470584</v>
      </c>
    </row>
    <row r="3" spans="1:5" ht="15.75" x14ac:dyDescent="0.25">
      <c r="A3" s="15" t="s">
        <v>28</v>
      </c>
      <c r="B3" s="5" t="s">
        <v>1</v>
      </c>
      <c r="C3" s="54">
        <f>'[13]FTR Brewhouse'!$C$3401</f>
        <v>0.91176470588235292</v>
      </c>
      <c r="E3" s="157"/>
    </row>
    <row r="4" spans="1:5" ht="15.75" x14ac:dyDescent="0.25">
      <c r="A4" s="4" t="s">
        <v>29</v>
      </c>
      <c r="B4" s="5" t="s">
        <v>1</v>
      </c>
      <c r="C4" s="54">
        <f>'[13]FTR Brewhouse'!$E$3401</f>
        <v>0.88970588235294112</v>
      </c>
      <c r="E4" s="157"/>
    </row>
    <row r="5" spans="1:5" ht="3.95" customHeight="1" thickBot="1" x14ac:dyDescent="0.3">
      <c r="A5" s="7"/>
      <c r="B5" s="8"/>
      <c r="C5" s="9"/>
    </row>
    <row r="6" spans="1:5" ht="15.75" x14ac:dyDescent="0.25">
      <c r="A6" s="1" t="s">
        <v>0</v>
      </c>
      <c r="B6" s="2" t="s">
        <v>1</v>
      </c>
      <c r="C6" s="51">
        <f>'[13]FTR Fermentation'!$P$852</f>
        <v>0.88461538461538458</v>
      </c>
    </row>
    <row r="7" spans="1:5" ht="15.75" x14ac:dyDescent="0.25">
      <c r="A7" s="4" t="s">
        <v>2</v>
      </c>
      <c r="B7" s="5" t="s">
        <v>1</v>
      </c>
      <c r="C7" s="54">
        <f>'[13]FTR Fermentation'!$D$852</f>
        <v>0.96153846153846156</v>
      </c>
    </row>
    <row r="8" spans="1:5" ht="15.75" x14ac:dyDescent="0.25">
      <c r="A8" s="4" t="s">
        <v>3</v>
      </c>
      <c r="B8" s="5" t="s">
        <v>1</v>
      </c>
      <c r="C8" s="54">
        <f>'[13]FTR Fermentation'!$G$852</f>
        <v>0.96153846153846156</v>
      </c>
    </row>
    <row r="9" spans="1:5" ht="15.75" x14ac:dyDescent="0.25">
      <c r="A9" s="4" t="s">
        <v>4</v>
      </c>
      <c r="B9" s="5" t="s">
        <v>1</v>
      </c>
      <c r="C9" s="54">
        <f>'[13]FTR Fermentation'!$K$852</f>
        <v>1</v>
      </c>
    </row>
    <row r="10" spans="1:5" ht="15.75" x14ac:dyDescent="0.25">
      <c r="A10" s="4" t="s">
        <v>5</v>
      </c>
      <c r="B10" s="5" t="s">
        <v>1</v>
      </c>
      <c r="C10" s="54">
        <f>'[13]FTR Fermentation'!$M$852</f>
        <v>0.96153846153846156</v>
      </c>
    </row>
    <row r="11" spans="1:5" ht="15.75" hidden="1" x14ac:dyDescent="0.25">
      <c r="A11" s="4" t="s">
        <v>6</v>
      </c>
      <c r="B11" s="5" t="s">
        <v>1</v>
      </c>
      <c r="C11" s="54"/>
    </row>
    <row r="12" spans="1:5" ht="15.75" x14ac:dyDescent="0.25">
      <c r="A12" s="4" t="s">
        <v>7</v>
      </c>
      <c r="B12" s="5" t="s">
        <v>1</v>
      </c>
      <c r="C12" s="54">
        <f>'[13]FTR Fermentation'!$I$852</f>
        <v>1</v>
      </c>
    </row>
    <row r="13" spans="1:5" ht="3.95" customHeight="1" thickBot="1" x14ac:dyDescent="0.3">
      <c r="A13" s="7"/>
      <c r="B13" s="8"/>
      <c r="C13" s="9"/>
    </row>
    <row r="14" spans="1:5" ht="15.75" x14ac:dyDescent="0.25">
      <c r="A14" s="1" t="s">
        <v>8</v>
      </c>
      <c r="B14" s="2" t="s">
        <v>1</v>
      </c>
      <c r="C14" s="51">
        <f>'[13]FTR BBT'!$M$1905</f>
        <v>0.88157894736842102</v>
      </c>
    </row>
    <row r="15" spans="1:5" ht="15.75" x14ac:dyDescent="0.25">
      <c r="A15" s="4" t="s">
        <v>9</v>
      </c>
      <c r="B15" s="5" t="s">
        <v>1</v>
      </c>
      <c r="C15" s="54">
        <f>'[13]FTR BBT'!$D$1905</f>
        <v>0.97368421052631582</v>
      </c>
    </row>
    <row r="16" spans="1:5" ht="15.75" x14ac:dyDescent="0.25">
      <c r="A16" s="4" t="s">
        <v>10</v>
      </c>
      <c r="B16" s="5" t="s">
        <v>1</v>
      </c>
      <c r="C16" s="54">
        <f>'[13]FTR BBT'!$K$1905</f>
        <v>0.90789473684210531</v>
      </c>
    </row>
    <row r="17" spans="1:5" ht="15.75" hidden="1" x14ac:dyDescent="0.25">
      <c r="A17" s="4" t="s">
        <v>11</v>
      </c>
      <c r="B17" s="5" t="s">
        <v>1</v>
      </c>
      <c r="C17" s="54" t="s">
        <v>34</v>
      </c>
    </row>
    <row r="18" spans="1:5" ht="15.75" hidden="1" x14ac:dyDescent="0.25">
      <c r="A18" s="4" t="s">
        <v>12</v>
      </c>
      <c r="B18" s="5" t="s">
        <v>1</v>
      </c>
      <c r="C18" s="54" t="s">
        <v>34</v>
      </c>
    </row>
    <row r="19" spans="1:5" ht="15.75" x14ac:dyDescent="0.25">
      <c r="A19" s="4" t="s">
        <v>13</v>
      </c>
      <c r="B19" s="5" t="s">
        <v>1</v>
      </c>
      <c r="C19" s="54">
        <f>'[13]FTR BBT'!$H$1905</f>
        <v>1</v>
      </c>
    </row>
    <row r="20" spans="1:5" ht="17.25" customHeight="1" x14ac:dyDescent="0.25">
      <c r="A20" s="4" t="s">
        <v>14</v>
      </c>
      <c r="B20" s="5" t="s">
        <v>1</v>
      </c>
      <c r="C20" s="54" t="e">
        <f>'[13]FTR BBT'!$F$1905</f>
        <v>#DIV/0!</v>
      </c>
    </row>
    <row r="21" spans="1:5" ht="15.75" hidden="1" x14ac:dyDescent="0.25">
      <c r="A21" s="4" t="s">
        <v>15</v>
      </c>
      <c r="B21" s="5" t="s">
        <v>1</v>
      </c>
      <c r="C21" s="54"/>
    </row>
    <row r="22" spans="1:5" ht="3.95" customHeight="1" thickBot="1" x14ac:dyDescent="0.3">
      <c r="A22" s="7"/>
      <c r="B22" s="8"/>
      <c r="C22" s="9"/>
    </row>
    <row r="23" spans="1:5" ht="15.75" x14ac:dyDescent="0.25">
      <c r="A23" s="1" t="s">
        <v>16</v>
      </c>
      <c r="B23" s="2" t="s">
        <v>1</v>
      </c>
      <c r="C23" s="51">
        <f>'[13]FTR Packaging'!$L$1422</f>
        <v>0.8545454545454545</v>
      </c>
    </row>
    <row r="24" spans="1:5" ht="15.75" x14ac:dyDescent="0.25">
      <c r="A24" s="4" t="s">
        <v>18</v>
      </c>
      <c r="B24" s="5" t="s">
        <v>1</v>
      </c>
      <c r="C24" s="54">
        <f>'[13]FTR Packaging'!$F$1422</f>
        <v>0.84905660377358494</v>
      </c>
      <c r="E24" s="157"/>
    </row>
    <row r="25" spans="1:5" ht="15.75" x14ac:dyDescent="0.25">
      <c r="A25" s="4" t="s">
        <v>19</v>
      </c>
      <c r="B25" s="5" t="s">
        <v>1</v>
      </c>
      <c r="C25" s="54">
        <f>'[13]FTR Packaging'!$D$1422</f>
        <v>1</v>
      </c>
      <c r="E25" s="157"/>
    </row>
    <row r="26" spans="1:5" ht="15.75" x14ac:dyDescent="0.25">
      <c r="A26" s="4" t="s">
        <v>20</v>
      </c>
      <c r="B26" s="5" t="s">
        <v>1</v>
      </c>
      <c r="C26" s="54" t="e">
        <f>'[13]FTR Packaging'!$H$1422</f>
        <v>#DIV/0!</v>
      </c>
      <c r="E26" s="157"/>
    </row>
    <row r="27" spans="1:5" ht="14.25" hidden="1" customHeight="1" x14ac:dyDescent="0.25">
      <c r="A27" s="7"/>
      <c r="B27" s="8"/>
      <c r="C27" s="9"/>
      <c r="E27" s="157"/>
    </row>
    <row r="28" spans="1:5" ht="3.95" customHeight="1" x14ac:dyDescent="0.25">
      <c r="A28" s="7"/>
      <c r="B28" s="8"/>
      <c r="C28" s="9"/>
    </row>
    <row r="29" spans="1:5" ht="15.75" x14ac:dyDescent="0.25">
      <c r="A29" s="1" t="s">
        <v>22</v>
      </c>
      <c r="B29" s="2" t="s">
        <v>1</v>
      </c>
      <c r="C29" s="54">
        <v>0.94299999999999995</v>
      </c>
    </row>
    <row r="30" spans="1:5" ht="15.75" x14ac:dyDescent="0.25">
      <c r="A30" s="4" t="s">
        <v>23</v>
      </c>
      <c r="B30" s="2" t="s">
        <v>1</v>
      </c>
      <c r="C30" s="6">
        <v>100</v>
      </c>
    </row>
    <row r="31" spans="1:5" ht="15.75" x14ac:dyDescent="0.25">
      <c r="A31" s="4" t="s">
        <v>24</v>
      </c>
      <c r="B31" s="2" t="s">
        <v>1</v>
      </c>
      <c r="C31" s="6">
        <v>94.3</v>
      </c>
    </row>
    <row r="32" spans="1:5" ht="3.95" customHeight="1" thickBot="1" x14ac:dyDescent="0.3">
      <c r="A32" s="7"/>
      <c r="B32" s="8"/>
      <c r="C32" s="54"/>
    </row>
    <row r="33" spans="1:6" ht="15.75" x14ac:dyDescent="0.25">
      <c r="A33" s="1" t="s">
        <v>25</v>
      </c>
      <c r="B33" s="2" t="s">
        <v>1</v>
      </c>
      <c r="C33" s="51">
        <f>'[13]FTR Finished Product'!$N$1314</f>
        <v>0.81034482758620685</v>
      </c>
    </row>
    <row r="34" spans="1:6" ht="15.75" x14ac:dyDescent="0.25">
      <c r="A34" s="4" t="s">
        <v>10</v>
      </c>
      <c r="B34" s="5"/>
      <c r="C34" s="54">
        <f>'[13]FTR Finished Product'!$K$1314</f>
        <v>0.87037037037037035</v>
      </c>
    </row>
    <row r="35" spans="1:6" ht="15.75" x14ac:dyDescent="0.25">
      <c r="A35" s="4" t="s">
        <v>26</v>
      </c>
      <c r="B35" s="5"/>
      <c r="C35" s="54">
        <f>'[13]FTR Finished Product'!$F$1314</f>
        <v>0.98039215686274506</v>
      </c>
    </row>
    <row r="36" spans="1:6" ht="15.75" x14ac:dyDescent="0.25">
      <c r="A36" s="4" t="s">
        <v>9</v>
      </c>
      <c r="B36" s="5"/>
      <c r="C36" s="54">
        <f>'[13]FTR Finished Product'!$D$1314</f>
        <v>0.94444444444444442</v>
      </c>
    </row>
    <row r="37" spans="1:6" ht="16.5" hidden="1" thickBot="1" x14ac:dyDescent="0.3">
      <c r="A37" s="4" t="s">
        <v>15</v>
      </c>
      <c r="B37" s="5"/>
      <c r="C37" s="12" t="s">
        <v>34</v>
      </c>
    </row>
    <row r="38" spans="1:6" ht="15.75" thickBot="1" x14ac:dyDescent="0.3"/>
    <row r="39" spans="1:6" ht="15.75" x14ac:dyDescent="0.25">
      <c r="C39" s="59">
        <f>(C2+C6+C14+C23+C29+C33)/6</f>
        <v>0.86626900431336207</v>
      </c>
      <c r="E39" s="23" t="s">
        <v>35</v>
      </c>
      <c r="F39" s="61" t="e">
        <f>AVERAGE('January ''25'!C37,'February ''24'!#REF!,'March ''24'!C36,'April ''24'!C36,'May ''20'!C35,'June''20'!C35,#REF!,#REF!,'September ''20'!C35,#REF!,'November ''18'!C39,C39)</f>
        <v>#REF!</v>
      </c>
    </row>
  </sheetData>
  <mergeCells count="2">
    <mergeCell ref="E3:E4"/>
    <mergeCell ref="E24:E27"/>
  </mergeCells>
  <pageMargins left="0.7" right="0.7" top="0.75" bottom="0.75" header="0.3" footer="0.3"/>
  <pageSetup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P10"/>
  <sheetViews>
    <sheetView showGridLines="0" zoomScale="85" zoomScaleNormal="85" workbookViewId="0">
      <selection activeCell="M7" sqref="M7"/>
    </sheetView>
  </sheetViews>
  <sheetFormatPr defaultRowHeight="15" x14ac:dyDescent="0.25"/>
  <cols>
    <col min="1" max="1" width="3.85546875" customWidth="1"/>
    <col min="2" max="2" width="21.85546875" bestFit="1" customWidth="1"/>
    <col min="3" max="12" width="9.5703125" customWidth="1"/>
    <col min="13" max="14" width="9.140625" customWidth="1"/>
  </cols>
  <sheetData>
    <row r="1" spans="2:16" ht="6" customHeight="1" x14ac:dyDescent="0.25"/>
    <row r="2" spans="2:16" ht="3.75" customHeight="1" thickBot="1" x14ac:dyDescent="0.3"/>
    <row r="3" spans="2:16" ht="17.25" x14ac:dyDescent="0.3">
      <c r="B3" s="26" t="s">
        <v>51</v>
      </c>
      <c r="C3" s="35" t="s">
        <v>39</v>
      </c>
      <c r="D3" s="35" t="s">
        <v>40</v>
      </c>
      <c r="E3" s="35" t="s">
        <v>41</v>
      </c>
      <c r="F3" s="35" t="s">
        <v>42</v>
      </c>
      <c r="G3" s="35" t="s">
        <v>43</v>
      </c>
      <c r="H3" s="35" t="s">
        <v>44</v>
      </c>
      <c r="I3" s="35" t="s">
        <v>45</v>
      </c>
      <c r="J3" s="35" t="s">
        <v>46</v>
      </c>
      <c r="K3" s="35" t="s">
        <v>47</v>
      </c>
      <c r="L3" s="35" t="s">
        <v>48</v>
      </c>
      <c r="M3" s="25" t="s">
        <v>52</v>
      </c>
      <c r="N3" s="29" t="s">
        <v>53</v>
      </c>
      <c r="O3" s="31" t="s">
        <v>49</v>
      </c>
      <c r="P3" s="30" t="s">
        <v>54</v>
      </c>
    </row>
    <row r="4" spans="2:16" ht="15.75" x14ac:dyDescent="0.25">
      <c r="B4" s="27" t="s">
        <v>27</v>
      </c>
      <c r="C4" s="36">
        <f>'January ''25'!$C$2</f>
        <v>0.43506493506493504</v>
      </c>
      <c r="D4" s="36">
        <f>'February ''24'!$C$2</f>
        <v>0.41538461538461541</v>
      </c>
      <c r="E4" s="36">
        <f>'March ''24'!C2</f>
        <v>0.36</v>
      </c>
      <c r="F4" s="36">
        <f>'April ''24'!C2</f>
        <v>0.3577981651376147</v>
      </c>
      <c r="G4" s="36">
        <f>'May ''20'!C2</f>
        <v>0.647887323943662</v>
      </c>
      <c r="H4" s="36">
        <f>'June''20'!C2</f>
        <v>0.71969696969696972</v>
      </c>
      <c r="I4" s="36" t="e">
        <f>#REF!</f>
        <v>#REF!</v>
      </c>
      <c r="J4" s="36" t="e">
        <f>#REF!</f>
        <v>#REF!</v>
      </c>
      <c r="K4" s="36"/>
      <c r="L4" s="36"/>
      <c r="M4" s="36"/>
      <c r="N4" s="37"/>
      <c r="O4" s="38" t="e">
        <f>AVERAGE(Table3[[#This Row],[Jan]:[Dec]])</f>
        <v>#REF!</v>
      </c>
      <c r="P4" s="39">
        <v>0.85</v>
      </c>
    </row>
    <row r="5" spans="2:16" ht="15.75" x14ac:dyDescent="0.25">
      <c r="B5" s="28" t="s">
        <v>0</v>
      </c>
      <c r="C5" s="33">
        <f>'January ''25'!$C$7</f>
        <v>0.53333333333333333</v>
      </c>
      <c r="D5" s="33">
        <f>'February ''24'!$C$7</f>
        <v>0.5625</v>
      </c>
      <c r="E5" s="33">
        <f>'March ''24'!C7</f>
        <v>0.48571428571428571</v>
      </c>
      <c r="F5" s="33">
        <f>'April ''24'!C7</f>
        <v>0.52631578947368418</v>
      </c>
      <c r="G5" s="33">
        <f>'May ''20'!C7</f>
        <v>0.5</v>
      </c>
      <c r="H5" s="33">
        <f>'June''20'!C7</f>
        <v>0.77272727272727271</v>
      </c>
      <c r="I5" s="33" t="e">
        <f>#REF!</f>
        <v>#REF!</v>
      </c>
      <c r="J5" s="33" t="e">
        <f>#REF!</f>
        <v>#REF!</v>
      </c>
      <c r="K5" s="33"/>
      <c r="L5" s="33"/>
      <c r="M5" s="33"/>
      <c r="N5" s="34"/>
      <c r="O5" s="32" t="e">
        <f>AVERAGE(Table3[[#This Row],[Jan]:[Dec]])</f>
        <v>#REF!</v>
      </c>
      <c r="P5" s="40">
        <v>0.8</v>
      </c>
    </row>
    <row r="6" spans="2:16" ht="15.75" x14ac:dyDescent="0.25">
      <c r="B6" s="27" t="s">
        <v>8</v>
      </c>
      <c r="C6" s="33">
        <f>'January ''25'!$C$14</f>
        <v>0.78125</v>
      </c>
      <c r="D6" s="33">
        <f>'February ''24'!$C$14</f>
        <v>0.95238095238095233</v>
      </c>
      <c r="E6" s="33">
        <f>'March ''24'!C14</f>
        <v>0.9452054794520548</v>
      </c>
      <c r="F6" s="33">
        <f>'April ''24'!C14</f>
        <v>0.95890410958904104</v>
      </c>
      <c r="G6" s="33">
        <f>'May ''20'!C14</f>
        <v>0.40816326530612246</v>
      </c>
      <c r="H6" s="33">
        <f>'June''20'!C14</f>
        <v>0.64814814814814814</v>
      </c>
      <c r="I6" s="33" t="e">
        <f>#REF!</f>
        <v>#REF!</v>
      </c>
      <c r="J6" s="33" t="e">
        <f>#REF!</f>
        <v>#REF!</v>
      </c>
      <c r="K6" s="33"/>
      <c r="L6" s="33"/>
      <c r="M6" s="33"/>
      <c r="N6" s="34"/>
      <c r="O6" s="32" t="e">
        <f>AVERAGE(Table3[[#This Row],[Jan]:[Dec]])</f>
        <v>#REF!</v>
      </c>
      <c r="P6" s="40">
        <v>0.8</v>
      </c>
    </row>
    <row r="7" spans="2:16" ht="15.75" x14ac:dyDescent="0.25">
      <c r="B7" s="28" t="s">
        <v>16</v>
      </c>
      <c r="C7" s="33">
        <f>'January ''25'!$C$21</f>
        <v>0.87804878048780488</v>
      </c>
      <c r="D7" s="33">
        <f>'February ''24'!$C$21</f>
        <v>1</v>
      </c>
      <c r="E7" s="33">
        <f>'March ''24'!C21</f>
        <v>0.97727272727272729</v>
      </c>
      <c r="F7" s="33">
        <f>'April ''24'!C21</f>
        <v>0.98</v>
      </c>
      <c r="G7" s="33">
        <f>'May ''20'!C20</f>
        <v>0.66666666666666663</v>
      </c>
      <c r="H7" s="33">
        <f>'June''20'!C20</f>
        <v>0.61904761904761907</v>
      </c>
      <c r="I7" s="33" t="e">
        <f>#REF!</f>
        <v>#REF!</v>
      </c>
      <c r="J7" s="33" t="e">
        <f>#REF!</f>
        <v>#REF!</v>
      </c>
      <c r="K7" s="33"/>
      <c r="L7" s="33"/>
      <c r="M7" s="33"/>
      <c r="N7" s="34"/>
      <c r="O7" s="32" t="e">
        <f>AVERAGE(Table3[[#This Row],[Jan]:[Dec]])</f>
        <v>#REF!</v>
      </c>
      <c r="P7" s="40">
        <v>0.7</v>
      </c>
    </row>
    <row r="8" spans="2:16" ht="15.75" x14ac:dyDescent="0.25">
      <c r="B8" s="27" t="s">
        <v>22</v>
      </c>
      <c r="C8" s="33">
        <f>'January ''25'!$C$27</f>
        <v>0.76</v>
      </c>
      <c r="D8" s="33">
        <f>'February ''24'!$C$27</f>
        <v>0.86699999999999999</v>
      </c>
      <c r="E8" s="33"/>
      <c r="F8" s="33"/>
      <c r="G8" s="33">
        <f>'May ''20'!C25</f>
        <v>0.94099999999999995</v>
      </c>
      <c r="H8" s="33">
        <f>'June''20'!C25</f>
        <v>0.85499999999999998</v>
      </c>
      <c r="I8" s="33" t="e">
        <f>#REF!</f>
        <v>#REF!</v>
      </c>
      <c r="J8" s="33" t="e">
        <f>#REF!</f>
        <v>#REF!</v>
      </c>
      <c r="K8" s="33"/>
      <c r="L8" s="33"/>
      <c r="M8" s="33"/>
      <c r="N8" s="34"/>
      <c r="O8" s="32" t="e">
        <f>AVERAGE(Table3[[#This Row],[Jan]:[Dec]])</f>
        <v>#REF!</v>
      </c>
      <c r="P8" s="40">
        <v>0.7</v>
      </c>
    </row>
    <row r="9" spans="2:16" ht="16.5" thickBot="1" x14ac:dyDescent="0.3">
      <c r="B9" s="44" t="s">
        <v>25</v>
      </c>
      <c r="C9" s="33">
        <f>'January ''25'!$C$31</f>
        <v>0.80487804878048785</v>
      </c>
      <c r="D9" s="33">
        <f>'February ''24'!$C$31</f>
        <v>0.86046511627906974</v>
      </c>
      <c r="E9" s="33">
        <f>'March ''24'!C30</f>
        <v>1</v>
      </c>
      <c r="F9" s="33">
        <f>'April ''24'!C30</f>
        <v>1</v>
      </c>
      <c r="G9" s="33">
        <f>'May ''20'!C29</f>
        <v>0.36585365853658536</v>
      </c>
      <c r="H9" s="33">
        <f>'June''20'!C29</f>
        <v>0.63414634146341464</v>
      </c>
      <c r="I9" s="33" t="e">
        <f>#REF!</f>
        <v>#REF!</v>
      </c>
      <c r="J9" s="33" t="e">
        <f>#REF!</f>
        <v>#REF!</v>
      </c>
      <c r="K9" s="33"/>
      <c r="L9" s="33"/>
      <c r="M9" s="33"/>
      <c r="N9" s="34"/>
      <c r="O9" s="32" t="e">
        <f>AVERAGE(Table3[[#This Row],[Jan]:[Dec]])</f>
        <v>#REF!</v>
      </c>
      <c r="P9" s="40">
        <v>0.75</v>
      </c>
    </row>
    <row r="10" spans="2:16" ht="18.75" x14ac:dyDescent="0.25">
      <c r="B10" s="45" t="s">
        <v>49</v>
      </c>
      <c r="C10" s="41">
        <f>'January ''25'!$C$37</f>
        <v>0.69876251627776009</v>
      </c>
      <c r="D10" s="41" t="e">
        <f>'February ''24'!#REF!</f>
        <v>#REF!</v>
      </c>
      <c r="E10" s="41">
        <f>'March ''24'!C36</f>
        <v>0.76636541540651137</v>
      </c>
      <c r="F10" s="41">
        <f>'April ''24'!C36</f>
        <v>0.76766967736672331</v>
      </c>
      <c r="G10" s="41">
        <f>'May ''20'!C35</f>
        <v>0.58826181907550601</v>
      </c>
      <c r="H10" s="41">
        <f>'June''20'!C35</f>
        <v>0.70812772518057077</v>
      </c>
      <c r="I10" s="41" t="e">
        <f>#REF!</f>
        <v>#REF!</v>
      </c>
      <c r="J10" s="41" t="e">
        <f>#REF!</f>
        <v>#REF!</v>
      </c>
      <c r="K10" s="41"/>
      <c r="L10" s="41"/>
      <c r="M10" s="41"/>
      <c r="N10" s="42"/>
      <c r="O10" s="120" t="e">
        <f>AVERAGE(Table3[[#This Row],[Jan]:[Dec]])</f>
        <v>#REF!</v>
      </c>
      <c r="P10" s="43">
        <v>0.8</v>
      </c>
    </row>
  </sheetData>
  <conditionalFormatting sqref="C4:D10 J4:J10 M4:N10">
    <cfRule type="cellIs" dxfId="15" priority="30" operator="lessThan">
      <formula>$P4</formula>
    </cfRule>
  </conditionalFormatting>
  <conditionalFormatting sqref="E4:E10">
    <cfRule type="cellIs" dxfId="14" priority="1" operator="lessThan">
      <formula>$P4</formula>
    </cfRule>
  </conditionalFormatting>
  <conditionalFormatting sqref="F4:F10">
    <cfRule type="cellIs" dxfId="13" priority="3" operator="lessThan">
      <formula>$P4</formula>
    </cfRule>
  </conditionalFormatting>
  <conditionalFormatting sqref="G4:G10">
    <cfRule type="cellIs" dxfId="12" priority="26" operator="lessThan">
      <formula>$P4</formula>
    </cfRule>
  </conditionalFormatting>
  <conditionalFormatting sqref="H4:H10">
    <cfRule type="cellIs" dxfId="11" priority="13" operator="lessThan">
      <formula>$P4</formula>
    </cfRule>
  </conditionalFormatting>
  <conditionalFormatting sqref="I4:I10">
    <cfRule type="cellIs" dxfId="10" priority="11" operator="lessThan">
      <formula>$P4</formula>
    </cfRule>
  </conditionalFormatting>
  <conditionalFormatting sqref="K4:K10">
    <cfRule type="cellIs" dxfId="9" priority="9" operator="lessThan">
      <formula>$P4</formula>
    </cfRule>
  </conditionalFormatting>
  <conditionalFormatting sqref="L4:L10">
    <cfRule type="cellIs" dxfId="8" priority="7" operator="lessThan">
      <formula>$P4</formula>
    </cfRule>
  </conditionalFormatting>
  <conditionalFormatting sqref="O4:O10">
    <cfRule type="cellIs" dxfId="7" priority="32" operator="lessThan">
      <formula>$P4</formula>
    </cfRule>
  </conditionalFormatting>
  <pageMargins left="0.7" right="0.7" top="0.75" bottom="0.75" header="0.3" footer="0.3"/>
  <pageSetup orientation="portrait" r:id="rId1"/>
  <drawing r:id="rId2"/>
  <tableParts count="1">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L24"/>
  <sheetViews>
    <sheetView showGridLines="0" workbookViewId="0">
      <selection activeCell="H17" sqref="H17"/>
    </sheetView>
  </sheetViews>
  <sheetFormatPr defaultRowHeight="15" x14ac:dyDescent="0.25"/>
  <cols>
    <col min="1" max="1" width="7.140625" customWidth="1"/>
    <col min="2" max="2" width="27.42578125" bestFit="1" customWidth="1"/>
    <col min="3" max="12" width="9.5703125" customWidth="1"/>
    <col min="13" max="14" width="9.140625" customWidth="1"/>
    <col min="16" max="16" width="10.140625" style="47" bestFit="1" customWidth="1"/>
  </cols>
  <sheetData>
    <row r="1" spans="1:38" ht="6.75" customHeight="1" x14ac:dyDescent="0.25"/>
    <row r="2" spans="1:38" ht="3" customHeight="1" thickBot="1" x14ac:dyDescent="0.3"/>
    <row r="3" spans="1:38" ht="17.25" x14ac:dyDescent="0.3">
      <c r="B3" s="26" t="s">
        <v>50</v>
      </c>
      <c r="C3" s="35" t="s">
        <v>39</v>
      </c>
      <c r="D3" s="35" t="s">
        <v>40</v>
      </c>
      <c r="E3" s="35" t="s">
        <v>41</v>
      </c>
      <c r="F3" s="35" t="s">
        <v>42</v>
      </c>
      <c r="G3" s="35" t="s">
        <v>43</v>
      </c>
      <c r="H3" s="35" t="s">
        <v>44</v>
      </c>
      <c r="I3" s="35" t="s">
        <v>45</v>
      </c>
      <c r="J3" s="35" t="s">
        <v>46</v>
      </c>
      <c r="K3" s="35" t="s">
        <v>47</v>
      </c>
      <c r="L3" s="35" t="s">
        <v>48</v>
      </c>
      <c r="M3" s="25" t="s">
        <v>52</v>
      </c>
      <c r="N3" s="29" t="s">
        <v>53</v>
      </c>
      <c r="O3" s="46" t="s">
        <v>49</v>
      </c>
      <c r="P3" s="48" t="s">
        <v>54</v>
      </c>
    </row>
    <row r="4" spans="1:38" ht="16.5" customHeight="1" x14ac:dyDescent="0.25">
      <c r="A4" s="158" t="s">
        <v>59</v>
      </c>
      <c r="B4" s="27" t="s">
        <v>28</v>
      </c>
      <c r="C4" s="62">
        <f>'January ''25'!C3</f>
        <v>0.95394736842105265</v>
      </c>
      <c r="D4" s="63">
        <f>'February ''24'!$C$3</f>
        <v>0.92307692307692313</v>
      </c>
      <c r="E4" s="63">
        <f>'March ''24'!C3</f>
        <v>0.8666666666666667</v>
      </c>
      <c r="F4" s="63">
        <f>'April ''24'!C3</f>
        <v>0.92727272727272725</v>
      </c>
      <c r="G4" s="63">
        <f>'May ''20'!C3</f>
        <v>0.72602739726027399</v>
      </c>
      <c r="H4" s="63">
        <f>'June''20'!C3</f>
        <v>0.87857142857142856</v>
      </c>
      <c r="I4" s="63" t="e">
        <f>#REF!</f>
        <v>#REF!</v>
      </c>
      <c r="J4" s="63" t="e">
        <f>#REF!</f>
        <v>#REF!</v>
      </c>
      <c r="K4" s="63">
        <f>'September ''20'!C3</f>
        <v>0.85046728971962615</v>
      </c>
      <c r="L4" s="63" t="e">
        <f>#REF!</f>
        <v>#REF!</v>
      </c>
      <c r="M4" s="63">
        <f>'November ''18'!C3</f>
        <v>0.80132450331125826</v>
      </c>
      <c r="N4" s="63">
        <f>'December ''18'!C3</f>
        <v>0.91176470588235292</v>
      </c>
      <c r="O4" s="65" t="e">
        <f>AVERAGE(Table1[[#This Row],[Jan]:[Dec]])</f>
        <v>#REF!</v>
      </c>
      <c r="P4" s="66">
        <v>0.94899999999999995</v>
      </c>
      <c r="R4" s="103" t="e">
        <f>(Table1[[#This Row],[Overall]]-Table1[[#This Row],[TARGET]])*100</f>
        <v>#REF!</v>
      </c>
    </row>
    <row r="5" spans="1:38" ht="17.25" customHeight="1" x14ac:dyDescent="0.25">
      <c r="A5" s="159"/>
      <c r="B5" s="113" t="s">
        <v>87</v>
      </c>
      <c r="C5" s="62">
        <f>'January ''25'!C4</f>
        <v>0.47402597402597402</v>
      </c>
      <c r="D5" s="63">
        <f>'February ''24'!C4</f>
        <v>0.43846153846153846</v>
      </c>
      <c r="E5" s="63">
        <f>'March ''24'!C4</f>
        <v>0.44</v>
      </c>
      <c r="F5" s="63">
        <f>'April ''24'!C4</f>
        <v>0.38181818181818183</v>
      </c>
      <c r="G5" s="63">
        <f>'May ''20'!C4</f>
        <v>0.9178082191780822</v>
      </c>
      <c r="H5" s="63">
        <f>'June''20'!C4</f>
        <v>0.90714285714285714</v>
      </c>
      <c r="I5" s="63" t="e">
        <f>#REF!</f>
        <v>#REF!</v>
      </c>
      <c r="J5" s="63" t="e">
        <f>#REF!</f>
        <v>#REF!</v>
      </c>
      <c r="K5" s="63">
        <f>'September ''20'!C4</f>
        <v>0.85981308411214952</v>
      </c>
      <c r="L5" s="63" t="e">
        <f>#REF!</f>
        <v>#REF!</v>
      </c>
      <c r="M5" s="63">
        <f>'November ''18'!C4</f>
        <v>0.50993377483443714</v>
      </c>
      <c r="N5" s="65">
        <f>'December ''18'!C4</f>
        <v>0.88970588235294112</v>
      </c>
      <c r="O5" s="65" t="e">
        <f>AVERAGE(Table1[[#This Row],[Jan]:[Dec]])</f>
        <v>#REF!</v>
      </c>
      <c r="P5" s="66">
        <v>0.94899999999999995</v>
      </c>
      <c r="R5" s="114" t="e">
        <f>(Table1[[#This Row],[Overall]]-Table1[[#This Row],[TARGET]])*100</f>
        <v>#REF!</v>
      </c>
      <c r="T5" s="162"/>
      <c r="U5" s="162"/>
      <c r="V5" s="162"/>
      <c r="W5" s="162"/>
      <c r="X5" s="162"/>
      <c r="Y5" s="162"/>
      <c r="Z5" s="162"/>
      <c r="AA5" s="162"/>
      <c r="AB5" s="162"/>
      <c r="AC5" s="162"/>
      <c r="AD5" s="162"/>
      <c r="AE5" s="162"/>
      <c r="AF5" s="162"/>
    </row>
    <row r="6" spans="1:38" ht="17.25" customHeight="1" x14ac:dyDescent="0.25">
      <c r="A6" s="160"/>
      <c r="B6" s="109" t="s">
        <v>88</v>
      </c>
      <c r="C6" s="62">
        <f>'January ''25'!C5</f>
        <v>0.97037037037037033</v>
      </c>
      <c r="D6" s="63">
        <f>'February ''24'!C5</f>
        <v>1</v>
      </c>
      <c r="E6" s="63">
        <f>'March ''24'!C5</f>
        <v>0.98484848484848486</v>
      </c>
      <c r="F6" s="63">
        <f>'April ''24'!C5</f>
        <v>1</v>
      </c>
      <c r="G6" s="63"/>
      <c r="H6" s="63"/>
      <c r="I6" s="63"/>
      <c r="J6" s="63"/>
      <c r="K6" s="63"/>
      <c r="L6" s="63"/>
      <c r="M6" s="63"/>
      <c r="N6" s="65"/>
      <c r="O6" s="65">
        <f>AVERAGE(Table1[[#This Row],[Jan]:[Dec]])</f>
        <v>0.9888047138047138</v>
      </c>
      <c r="P6" s="66">
        <v>0.94899999999999995</v>
      </c>
      <c r="R6" s="110">
        <f>(Table1[[#This Row],[Overall]]-Table1[[#This Row],[TARGET]])*100</f>
        <v>3.9804713804713843</v>
      </c>
      <c r="T6" s="106"/>
      <c r="U6" s="106"/>
      <c r="V6" s="106"/>
      <c r="W6" s="106"/>
      <c r="X6" s="106"/>
      <c r="Y6" s="106"/>
      <c r="Z6" s="106"/>
      <c r="AA6" s="106"/>
      <c r="AB6" s="106"/>
      <c r="AC6" s="106"/>
      <c r="AD6" s="106"/>
      <c r="AE6" s="106"/>
      <c r="AF6" s="106"/>
    </row>
    <row r="7" spans="1:38" ht="15.75" x14ac:dyDescent="0.25">
      <c r="A7" s="163" t="s">
        <v>60</v>
      </c>
      <c r="B7" s="27" t="s">
        <v>2</v>
      </c>
      <c r="C7" s="62">
        <f>'January ''25'!C8</f>
        <v>0.56000000000000005</v>
      </c>
      <c r="D7" s="63">
        <f>'February ''24'!C8</f>
        <v>0.77777777777777779</v>
      </c>
      <c r="E7" s="63">
        <f>'March ''24'!C8</f>
        <v>0.76</v>
      </c>
      <c r="F7" s="63">
        <f>'April ''24'!C8</f>
        <v>0.82608695652173914</v>
      </c>
      <c r="G7" s="63">
        <f>'May ''20'!C8</f>
        <v>0.70588235294117652</v>
      </c>
      <c r="H7" s="63">
        <f>'June''20'!C8</f>
        <v>0.95454545454545459</v>
      </c>
      <c r="I7" s="63" t="e">
        <f>#REF!</f>
        <v>#REF!</v>
      </c>
      <c r="J7" s="63" t="e">
        <f>#REF!</f>
        <v>#REF!</v>
      </c>
      <c r="K7" s="63">
        <f>'September ''20'!C7</f>
        <v>0.16666666666666666</v>
      </c>
      <c r="L7" s="63" t="e">
        <f>#REF!</f>
        <v>#REF!</v>
      </c>
      <c r="M7" s="63">
        <f>'November ''18'!C7</f>
        <v>0.7857142857142857</v>
      </c>
      <c r="N7" s="65">
        <f>'December ''18'!C7</f>
        <v>0.96153846153846156</v>
      </c>
      <c r="O7" s="65" t="e">
        <f>AVERAGE(Table1[[#This Row],[Jan]:[Dec]])</f>
        <v>#REF!</v>
      </c>
      <c r="P7" s="66">
        <v>0.97199999999999998</v>
      </c>
      <c r="R7" s="103" t="e">
        <f>(Table1[[#This Row],[Overall]]-Table1[[#This Row],[TARGET]])*100</f>
        <v>#REF!</v>
      </c>
    </row>
    <row r="8" spans="1:38" ht="15.75" x14ac:dyDescent="0.25">
      <c r="A8" s="163"/>
      <c r="B8" s="28" t="s">
        <v>3</v>
      </c>
      <c r="C8" s="62">
        <f>'January ''25'!C9</f>
        <v>1</v>
      </c>
      <c r="D8" s="63">
        <f>'February ''24'!C9</f>
        <v>1</v>
      </c>
      <c r="E8" s="63">
        <f>'March ''24'!C9</f>
        <v>1</v>
      </c>
      <c r="F8" s="63">
        <f>'April ''24'!C9</f>
        <v>1</v>
      </c>
      <c r="G8" s="63">
        <f>'May ''20'!C9</f>
        <v>1</v>
      </c>
      <c r="H8" s="63">
        <f>'June''20'!C9</f>
        <v>1</v>
      </c>
      <c r="I8" s="63" t="e">
        <f>#REF!</f>
        <v>#REF!</v>
      </c>
      <c r="J8" s="63" t="e">
        <f>#REF!</f>
        <v>#REF!</v>
      </c>
      <c r="K8" s="63">
        <f>'September ''20'!C8</f>
        <v>0.94444444444444442</v>
      </c>
      <c r="L8" s="63" t="e">
        <f>#REF!</f>
        <v>#REF!</v>
      </c>
      <c r="M8" s="63">
        <f>'November ''18'!C8</f>
        <v>1</v>
      </c>
      <c r="N8" s="65">
        <f>'December ''18'!C8</f>
        <v>0.96153846153846156</v>
      </c>
      <c r="O8" s="65" t="e">
        <f>AVERAGE(Table1[[#This Row],[Jan]:[Dec]])</f>
        <v>#REF!</v>
      </c>
      <c r="P8" s="66">
        <v>0.97199999999999998</v>
      </c>
      <c r="R8" s="103" t="e">
        <f>(Table1[[#This Row],[Overall]]-Table1[[#This Row],[TARGET]])*100</f>
        <v>#REF!</v>
      </c>
    </row>
    <row r="9" spans="1:38" ht="15.75" x14ac:dyDescent="0.25">
      <c r="A9" s="163"/>
      <c r="B9" s="27" t="s">
        <v>4</v>
      </c>
      <c r="C9" s="62">
        <f>'January ''25'!C10</f>
        <v>1</v>
      </c>
      <c r="D9" s="63">
        <f>'February ''24'!C10</f>
        <v>1</v>
      </c>
      <c r="E9" s="63">
        <f>'March ''24'!C10</f>
        <v>1</v>
      </c>
      <c r="F9" s="63">
        <f>'April ''24'!C10</f>
        <v>1</v>
      </c>
      <c r="G9" s="63">
        <f>'May ''20'!C10</f>
        <v>0.75</v>
      </c>
      <c r="H9" s="63">
        <f>'June''20'!C10</f>
        <v>1</v>
      </c>
      <c r="I9" s="63" t="e">
        <f>#REF!</f>
        <v>#REF!</v>
      </c>
      <c r="J9" s="63" t="e">
        <f>#REF!</f>
        <v>#REF!</v>
      </c>
      <c r="K9" s="63">
        <f>'September ''20'!C9</f>
        <v>0.94444444444444442</v>
      </c>
      <c r="L9" s="63" t="e">
        <f>#REF!</f>
        <v>#REF!</v>
      </c>
      <c r="M9" s="63">
        <f>'November ''18'!C9</f>
        <v>1</v>
      </c>
      <c r="N9" s="65">
        <f>'December ''18'!C9</f>
        <v>1</v>
      </c>
      <c r="O9" s="65" t="e">
        <f>AVERAGE(Table1[[#This Row],[Jan]:[Dec]])</f>
        <v>#REF!</v>
      </c>
      <c r="P9" s="66">
        <v>0.97199999999999998</v>
      </c>
      <c r="R9" s="103" t="e">
        <f>(Table1[[#This Row],[Overall]]-Table1[[#This Row],[TARGET]])*100</f>
        <v>#REF!</v>
      </c>
    </row>
    <row r="10" spans="1:38" ht="15.75" x14ac:dyDescent="0.25">
      <c r="A10" s="163"/>
      <c r="B10" s="28" t="s">
        <v>5</v>
      </c>
      <c r="C10" s="62">
        <f>'January ''25'!C11</f>
        <v>1</v>
      </c>
      <c r="D10" s="63">
        <f>'February ''24'!C11</f>
        <v>1</v>
      </c>
      <c r="E10" s="63">
        <f>'March ''24'!C11</f>
        <v>0.91428571428571426</v>
      </c>
      <c r="F10" s="63">
        <f>'April ''24'!C11</f>
        <v>1</v>
      </c>
      <c r="G10" s="63">
        <f>'May ''20'!C11</f>
        <v>0.9375</v>
      </c>
      <c r="H10" s="63">
        <f>'June''20'!C11</f>
        <v>0.90909090909090906</v>
      </c>
      <c r="I10" s="63" t="e">
        <f>#REF!</f>
        <v>#REF!</v>
      </c>
      <c r="J10" s="63" t="e">
        <f>#REF!</f>
        <v>#REF!</v>
      </c>
      <c r="K10" s="63">
        <f>'September ''20'!C10</f>
        <v>0.1111111111111111</v>
      </c>
      <c r="L10" s="63" t="e">
        <f>#REF!</f>
        <v>#REF!</v>
      </c>
      <c r="M10" s="63">
        <f>'November ''18'!C10</f>
        <v>0.9285714285714286</v>
      </c>
      <c r="N10" s="65">
        <f>'December ''18'!C10</f>
        <v>0.96153846153846156</v>
      </c>
      <c r="O10" s="65" t="e">
        <f>AVERAGE(Table1[[#This Row],[Jan]:[Dec]])</f>
        <v>#REF!</v>
      </c>
      <c r="P10" s="66">
        <v>0.97199999999999998</v>
      </c>
      <c r="R10" s="103" t="e">
        <f>(Table1[[#This Row],[Overall]]-Table1[[#This Row],[TARGET]])*100</f>
        <v>#REF!</v>
      </c>
    </row>
    <row r="11" spans="1:38" ht="26.25" customHeight="1" x14ac:dyDescent="0.25">
      <c r="A11" s="163"/>
      <c r="B11" s="113" t="s">
        <v>7</v>
      </c>
      <c r="C11" s="62">
        <f>'January ''25'!C12</f>
        <v>1</v>
      </c>
      <c r="D11" s="63">
        <f>'February ''24'!C12</f>
        <v>0.8571428571428571</v>
      </c>
      <c r="E11" s="63">
        <f>'March ''24'!C12</f>
        <v>0.70270270270270274</v>
      </c>
      <c r="F11" s="63">
        <f>'April ''24'!C12</f>
        <v>0.58823529411764708</v>
      </c>
      <c r="G11" s="63">
        <f>'May ''20'!C12</f>
        <v>0.875</v>
      </c>
      <c r="H11" s="63">
        <f>'June''20'!C12</f>
        <v>0.86363636363636365</v>
      </c>
      <c r="I11" s="63" t="e">
        <f>#REF!</f>
        <v>#REF!</v>
      </c>
      <c r="J11" s="63" t="e">
        <f>#REF!</f>
        <v>#REF!</v>
      </c>
      <c r="K11" s="63">
        <f>'September ''20'!C12</f>
        <v>0.83333333333333337</v>
      </c>
      <c r="L11" s="63" t="e">
        <f>#REF!</f>
        <v>#REF!</v>
      </c>
      <c r="M11" s="63">
        <f>'November ''18'!C12</f>
        <v>0.8571428571428571</v>
      </c>
      <c r="N11" s="65">
        <f>'December ''18'!C12</f>
        <v>1</v>
      </c>
      <c r="O11" s="65" t="e">
        <f>AVERAGE(Table1[[#This Row],[Jan]:[Dec]])</f>
        <v>#REF!</v>
      </c>
      <c r="P11" s="66">
        <v>0.97199999999999998</v>
      </c>
      <c r="R11" s="115" t="e">
        <f>(Table1[[#This Row],[Overall]]-Table1[[#This Row],[TARGET]])*100</f>
        <v>#REF!</v>
      </c>
      <c r="T11" s="162" t="s">
        <v>82</v>
      </c>
      <c r="U11" s="162"/>
      <c r="V11" s="162"/>
      <c r="W11" s="162"/>
      <c r="X11" s="162"/>
      <c r="Y11" s="162"/>
      <c r="Z11" s="162"/>
      <c r="AA11" s="162"/>
      <c r="AB11" s="162"/>
      <c r="AC11" s="162"/>
      <c r="AD11" s="162"/>
      <c r="AE11" s="162"/>
      <c r="AF11" s="162"/>
      <c r="AG11" s="105"/>
      <c r="AH11" s="105"/>
      <c r="AI11" s="105"/>
      <c r="AJ11" s="105"/>
      <c r="AK11" s="105"/>
      <c r="AL11" s="105"/>
    </row>
    <row r="12" spans="1:38" ht="15.75" x14ac:dyDescent="0.25">
      <c r="A12" s="164" t="s">
        <v>56</v>
      </c>
      <c r="B12" s="111" t="s">
        <v>9</v>
      </c>
      <c r="C12" s="62">
        <f>'January ''25'!C15</f>
        <v>1</v>
      </c>
      <c r="D12" s="63">
        <f>'February ''24'!C15</f>
        <v>0.9538461538461539</v>
      </c>
      <c r="E12" s="63">
        <f>'March ''24'!C15</f>
        <v>0.98648648648648651</v>
      </c>
      <c r="F12" s="63">
        <f>'April ''24'!C15</f>
        <v>0.98648648648648651</v>
      </c>
      <c r="G12" s="63">
        <f>'May ''20'!C15</f>
        <v>0.97959183673469385</v>
      </c>
      <c r="H12" s="63">
        <f>'June''20'!C15</f>
        <v>0.98181818181818181</v>
      </c>
      <c r="I12" s="63" t="e">
        <f>#REF!</f>
        <v>#REF!</v>
      </c>
      <c r="J12" s="63" t="e">
        <f>#REF!</f>
        <v>#REF!</v>
      </c>
      <c r="K12" s="63">
        <f>'September ''20'!C15</f>
        <v>0.9726027397260274</v>
      </c>
      <c r="L12" s="63" t="e">
        <f>#REF!</f>
        <v>#REF!</v>
      </c>
      <c r="M12" s="63">
        <f>'November ''18'!C15</f>
        <v>0.89393939393939392</v>
      </c>
      <c r="N12" s="65">
        <f>'December ''18'!C15</f>
        <v>0.97368421052631582</v>
      </c>
      <c r="O12" s="65" t="e">
        <f>AVERAGE(Table1[[#This Row],[Jan]:[Dec]])</f>
        <v>#REF!</v>
      </c>
      <c r="P12" s="49">
        <v>0.96899999999999997</v>
      </c>
      <c r="R12" s="103" t="e">
        <f>(Table1[[#This Row],[Overall]]-Table1[[#This Row],[TARGET]])*100</f>
        <v>#REF!</v>
      </c>
    </row>
    <row r="13" spans="1:38" ht="15.75" x14ac:dyDescent="0.25">
      <c r="A13" s="164"/>
      <c r="B13" s="113" t="s">
        <v>10</v>
      </c>
      <c r="C13" s="62">
        <f>'January ''25'!C16</f>
        <v>0.8125</v>
      </c>
      <c r="D13" s="63">
        <f>'February ''24'!C16</f>
        <v>1</v>
      </c>
      <c r="E13" s="63">
        <f>'March ''24'!C16</f>
        <v>0.95945945945945943</v>
      </c>
      <c r="F13" s="63">
        <f>'April ''24'!C16</f>
        <v>0.97297297297297303</v>
      </c>
      <c r="G13" s="63">
        <f>'May ''20'!C16</f>
        <v>0.40816326530612246</v>
      </c>
      <c r="H13" s="63">
        <f>'June''20'!C16</f>
        <v>0.66666666666666663</v>
      </c>
      <c r="I13" s="63" t="e">
        <f>#REF!</f>
        <v>#REF!</v>
      </c>
      <c r="J13" s="63" t="e">
        <f>#REF!</f>
        <v>#REF!</v>
      </c>
      <c r="K13" s="63">
        <f>'September ''20'!C16</f>
        <v>0.47945205479452052</v>
      </c>
      <c r="L13" s="63" t="e">
        <f>#REF!</f>
        <v>#REF!</v>
      </c>
      <c r="M13" s="63">
        <f>'November ''18'!C16</f>
        <v>0.59090909090909094</v>
      </c>
      <c r="N13" s="65">
        <f>'December ''18'!C16</f>
        <v>0.90789473684210531</v>
      </c>
      <c r="O13" s="65" t="e">
        <f>AVERAGE(Table1[[#This Row],[Jan]:[Dec]])</f>
        <v>#REF!</v>
      </c>
      <c r="P13" s="49">
        <v>0.96899999999999997</v>
      </c>
      <c r="S13" s="114" t="e">
        <f>(Table1[[#This Row],[Overall]]-Table1[[#This Row],[TARGET]])*100</f>
        <v>#REF!</v>
      </c>
      <c r="T13" s="162" t="s">
        <v>85</v>
      </c>
      <c r="U13" s="162"/>
      <c r="V13" s="162"/>
      <c r="W13" s="162"/>
      <c r="X13" s="162"/>
      <c r="Y13" s="162"/>
      <c r="Z13" s="162"/>
      <c r="AA13" s="162"/>
      <c r="AB13" s="162"/>
      <c r="AC13" s="162"/>
      <c r="AD13" s="162"/>
      <c r="AE13" s="162"/>
      <c r="AF13" s="162"/>
    </row>
    <row r="14" spans="1:38" ht="15.75" x14ac:dyDescent="0.25">
      <c r="A14" s="164"/>
      <c r="B14" s="111" t="s">
        <v>13</v>
      </c>
      <c r="C14" s="62">
        <f>'January ''25'!C17</f>
        <v>0.984375</v>
      </c>
      <c r="D14" s="63">
        <f>'February ''24'!C17</f>
        <v>1</v>
      </c>
      <c r="E14" s="63">
        <f>'March ''24'!C17</f>
        <v>1</v>
      </c>
      <c r="F14" s="63">
        <f>'April ''24'!C17</f>
        <v>1</v>
      </c>
      <c r="G14" s="63">
        <f>'May ''20'!C17</f>
        <v>1</v>
      </c>
      <c r="H14" s="63">
        <f>'June''20'!C17</f>
        <v>1</v>
      </c>
      <c r="I14" s="63" t="e">
        <f>#REF!</f>
        <v>#REF!</v>
      </c>
      <c r="J14" s="63" t="e">
        <f>#REF!</f>
        <v>#REF!</v>
      </c>
      <c r="K14" s="63">
        <f>'September ''20'!C19</f>
        <v>0</v>
      </c>
      <c r="L14" s="63" t="e">
        <f>#REF!</f>
        <v>#REF!</v>
      </c>
      <c r="M14" s="63">
        <f>'November ''18'!C19</f>
        <v>1</v>
      </c>
      <c r="N14" s="65">
        <f>'December ''18'!C19</f>
        <v>1</v>
      </c>
      <c r="O14" s="65" t="e">
        <f>AVERAGE(Table1[[#This Row],[Jan]:[Dec]])</f>
        <v>#REF!</v>
      </c>
      <c r="P14" s="49">
        <v>0.96899999999999997</v>
      </c>
      <c r="R14" s="103" t="e">
        <f>(Table1[[#This Row],[Overall]]-Table1[[#This Row],[TARGET]])*100</f>
        <v>#REF!</v>
      </c>
    </row>
    <row r="15" spans="1:38" ht="15" customHeight="1" x14ac:dyDescent="0.25">
      <c r="A15" s="164"/>
      <c r="B15" s="111" t="s">
        <v>14</v>
      </c>
      <c r="C15" s="62">
        <f>'January ''25'!C18</f>
        <v>1</v>
      </c>
      <c r="D15" s="63">
        <f>'February ''24'!C18</f>
        <v>1</v>
      </c>
      <c r="E15" s="63">
        <f>'March ''24'!C18</f>
        <v>1</v>
      </c>
      <c r="F15" s="63">
        <f>'April ''24'!C18</f>
        <v>1</v>
      </c>
      <c r="G15" s="63" t="e">
        <f>'May ''20'!C18</f>
        <v>#DIV/0!</v>
      </c>
      <c r="H15" s="121"/>
      <c r="I15" s="121"/>
      <c r="J15" s="121"/>
      <c r="K15" s="63">
        <f>'September ''20'!C20</f>
        <v>0.6964285714285714</v>
      </c>
      <c r="L15" s="121"/>
      <c r="M15" s="121"/>
      <c r="N15" s="121"/>
      <c r="O15" s="65" t="e">
        <f>AVERAGE(Table1[[#This Row],[Jan]:[Dec]])</f>
        <v>#DIV/0!</v>
      </c>
      <c r="P15" s="49">
        <v>0.96899999999999997</v>
      </c>
      <c r="R15" s="103" t="e">
        <f>(Table1[[#This Row],[Overall]]-Table1[[#This Row],[TARGET]])*100</f>
        <v>#DIV/0!</v>
      </c>
    </row>
    <row r="16" spans="1:38" ht="24.75" customHeight="1" x14ac:dyDescent="0.25">
      <c r="A16" s="165" t="s">
        <v>61</v>
      </c>
      <c r="B16" s="113" t="s">
        <v>18</v>
      </c>
      <c r="C16" s="62">
        <f>'January ''25'!C22</f>
        <v>0.87804878048780488</v>
      </c>
      <c r="D16" s="63">
        <f>'February ''24'!C22</f>
        <v>1</v>
      </c>
      <c r="E16" s="63">
        <f>'March ''24'!C22</f>
        <v>1</v>
      </c>
      <c r="F16" s="63">
        <f>'April ''24'!C22</f>
        <v>0.97959183673469385</v>
      </c>
      <c r="G16" s="63">
        <f>'May ''20'!C21</f>
        <v>0.65</v>
      </c>
      <c r="H16" s="63">
        <f>'June''20'!C21</f>
        <v>0.61904761904761907</v>
      </c>
      <c r="I16" s="63" t="e">
        <f>#REF!</f>
        <v>#REF!</v>
      </c>
      <c r="J16" s="63" t="e">
        <f>#REF!</f>
        <v>#REF!</v>
      </c>
      <c r="K16" s="63">
        <f>'September ''20'!C24</f>
        <v>0</v>
      </c>
      <c r="L16" s="63" t="e">
        <f>#REF!</f>
        <v>#REF!</v>
      </c>
      <c r="M16" s="63">
        <f>'November ''18'!C24</f>
        <v>0.90384615384615385</v>
      </c>
      <c r="N16" s="65">
        <f>'December ''18'!C24</f>
        <v>0.84905660377358494</v>
      </c>
      <c r="O16" s="65" t="e">
        <f>AVERAGE(Table1[[#This Row],[Jan]:[Dec]])</f>
        <v>#REF!</v>
      </c>
      <c r="P16" s="49">
        <v>0.96899999999999997</v>
      </c>
      <c r="R16" s="115" t="e">
        <f>(Table1[[#This Row],[Overall]]-Table1[[#This Row],[TARGET]])*100</f>
        <v>#REF!</v>
      </c>
      <c r="T16" s="161" t="s">
        <v>83</v>
      </c>
      <c r="U16" s="161"/>
      <c r="V16" s="161"/>
      <c r="W16" s="161"/>
      <c r="X16" s="161"/>
      <c r="Y16" s="161"/>
      <c r="Z16" s="161"/>
      <c r="AA16" s="161"/>
      <c r="AB16" s="161"/>
      <c r="AC16" s="161"/>
      <c r="AD16" s="161"/>
      <c r="AE16" s="161"/>
      <c r="AF16" s="161"/>
    </row>
    <row r="17" spans="1:32" ht="25.5" customHeight="1" x14ac:dyDescent="0.25">
      <c r="A17" s="165"/>
      <c r="B17" s="111" t="s">
        <v>19</v>
      </c>
      <c r="C17" s="62">
        <f>'January ''25'!C23</f>
        <v>1</v>
      </c>
      <c r="D17" s="63">
        <f>'February ''24'!C23</f>
        <v>1</v>
      </c>
      <c r="E17" s="63">
        <f>'March ''24'!C23</f>
        <v>1</v>
      </c>
      <c r="F17" s="63">
        <f>'April ''24'!C23</f>
        <v>1</v>
      </c>
      <c r="G17" s="63">
        <f>'May ''20'!C22</f>
        <v>1</v>
      </c>
      <c r="H17" s="63">
        <f>'June''20'!C22</f>
        <v>1</v>
      </c>
      <c r="I17" s="63" t="e">
        <f>#REF!</f>
        <v>#REF!</v>
      </c>
      <c r="J17" s="63" t="e">
        <f>#REF!</f>
        <v>#REF!</v>
      </c>
      <c r="K17" s="63">
        <f>'September ''20'!C25</f>
        <v>0.71599999999999997</v>
      </c>
      <c r="L17" s="63" t="e">
        <f>#REF!</f>
        <v>#REF!</v>
      </c>
      <c r="M17" s="63">
        <f>'November ''18'!C25</f>
        <v>0.96491228070175439</v>
      </c>
      <c r="N17" s="65">
        <f>'December ''18'!C25</f>
        <v>1</v>
      </c>
      <c r="O17" s="65" t="e">
        <f>AVERAGE(Table1[[#This Row],[Jan]:[Dec]])</f>
        <v>#REF!</v>
      </c>
      <c r="P17" s="49">
        <v>0.96899999999999997</v>
      </c>
      <c r="R17" s="112" t="e">
        <f>(Table1[[#This Row],[Overall]]-Table1[[#This Row],[TARGET]])*100</f>
        <v>#REF!</v>
      </c>
    </row>
    <row r="18" spans="1:32" ht="18" customHeight="1" x14ac:dyDescent="0.25">
      <c r="A18" s="165" t="s">
        <v>57</v>
      </c>
      <c r="B18" s="111" t="s">
        <v>23</v>
      </c>
      <c r="C18" s="62">
        <f>'January ''25'!C28</f>
        <v>1</v>
      </c>
      <c r="D18" s="63">
        <f>'February ''24'!C28</f>
        <v>1</v>
      </c>
      <c r="E18" s="63">
        <f>'March ''24'!C27</f>
        <v>1</v>
      </c>
      <c r="F18" s="63">
        <f>'April ''24'!C27</f>
        <v>1</v>
      </c>
      <c r="G18" s="63">
        <f>'May ''20'!C26</f>
        <v>1</v>
      </c>
      <c r="H18" s="63">
        <f>'June''20'!C26</f>
        <v>1</v>
      </c>
      <c r="I18" s="63" t="e">
        <f>#REF!</f>
        <v>#REF!</v>
      </c>
      <c r="J18" s="63" t="e">
        <f>#REF!</f>
        <v>#REF!</v>
      </c>
      <c r="K18" s="63">
        <f>'September ''20'!C30</f>
        <v>0.43636363636363634</v>
      </c>
      <c r="L18" s="63" t="e">
        <f>#REF!</f>
        <v>#REF!</v>
      </c>
      <c r="M18" s="63">
        <f>'November ''18'!C30</f>
        <v>1</v>
      </c>
      <c r="N18" s="65">
        <f>'December ''18'!C30</f>
        <v>100</v>
      </c>
      <c r="O18" s="65" t="e">
        <f>AVERAGE(Table1[[#This Row],[Jan]:[Dec]])</f>
        <v>#REF!</v>
      </c>
      <c r="P18" s="49">
        <v>0.92200000000000004</v>
      </c>
      <c r="R18" s="103" t="e">
        <f>(Table1[[#This Row],[Overall]]-Table1[[#This Row],[TARGET]])*100</f>
        <v>#REF!</v>
      </c>
    </row>
    <row r="19" spans="1:32" ht="18" customHeight="1" x14ac:dyDescent="0.25">
      <c r="A19" s="165"/>
      <c r="B19" s="111" t="s">
        <v>24</v>
      </c>
      <c r="C19" s="62">
        <f>'January ''25'!C29</f>
        <v>0.76</v>
      </c>
      <c r="D19" s="63">
        <f>'February ''24'!C29</f>
        <v>0.86699999999999999</v>
      </c>
      <c r="E19" s="63">
        <f>'March ''24'!C28</f>
        <v>0.83</v>
      </c>
      <c r="F19" s="63">
        <f>'April ''24'!C28</f>
        <v>0.78300000000000003</v>
      </c>
      <c r="G19" s="63">
        <f>'May ''20'!C27</f>
        <v>0.94099999999999995</v>
      </c>
      <c r="H19" s="63">
        <f>'June''20'!C27</f>
        <v>0.85499999999999998</v>
      </c>
      <c r="I19" s="63" t="e">
        <f>#REF!</f>
        <v>#REF!</v>
      </c>
      <c r="J19" s="63" t="e">
        <f>#REF!</f>
        <v>#REF!</v>
      </c>
      <c r="K19" s="63">
        <f>'September ''20'!C31</f>
        <v>0.90243902439024393</v>
      </c>
      <c r="L19" s="63" t="e">
        <f>#REF!</f>
        <v>#REF!</v>
      </c>
      <c r="M19" s="63">
        <f>'November ''18'!C31</f>
        <v>0.94299999999999995</v>
      </c>
      <c r="N19" s="65">
        <f>'December ''18'!C31</f>
        <v>94.3</v>
      </c>
      <c r="O19" s="65" t="e">
        <f>AVERAGE(Table1[[#This Row],[Jan]:[Dec]])</f>
        <v>#REF!</v>
      </c>
      <c r="P19" s="66">
        <v>0.92200000000000004</v>
      </c>
      <c r="R19" s="103" t="e">
        <f>(Table1[[#This Row],[Overall]]-Table1[[#This Row],[TARGET]])*100</f>
        <v>#REF!</v>
      </c>
    </row>
    <row r="20" spans="1:32" ht="15.75" x14ac:dyDescent="0.25">
      <c r="A20" s="166" t="s">
        <v>58</v>
      </c>
      <c r="B20" s="113" t="s">
        <v>10</v>
      </c>
      <c r="C20" s="62">
        <f>'January ''25'!C32</f>
        <v>0.8571428571428571</v>
      </c>
      <c r="D20" s="63">
        <f>'February ''24'!C32</f>
        <v>0.95238095238095233</v>
      </c>
      <c r="E20" s="63">
        <f>'March ''24'!C31</f>
        <v>1</v>
      </c>
      <c r="F20" s="63">
        <f>'April ''24'!C31</f>
        <v>1</v>
      </c>
      <c r="G20" s="63">
        <f>'May ''20'!C30</f>
        <v>0.3902439024390244</v>
      </c>
      <c r="H20" s="63">
        <f>'June''20'!C30</f>
        <v>0.72499999999999998</v>
      </c>
      <c r="I20" s="63" t="e">
        <f>#REF!</f>
        <v>#REF!</v>
      </c>
      <c r="J20" s="63" t="e">
        <f>#REF!</f>
        <v>#REF!</v>
      </c>
      <c r="K20" s="63" t="e">
        <f>'September ''20'!#REF!</f>
        <v>#REF!</v>
      </c>
      <c r="L20" s="63" t="e">
        <f>#REF!</f>
        <v>#REF!</v>
      </c>
      <c r="M20" s="63">
        <f>'November ''18'!C34</f>
        <v>0.48717948717948717</v>
      </c>
      <c r="N20" s="65">
        <f>'December ''18'!C34</f>
        <v>0.87037037037037035</v>
      </c>
      <c r="O20" s="65" t="e">
        <f>AVERAGE(Table1[[#This Row],[Jan]:[Dec]])</f>
        <v>#REF!</v>
      </c>
      <c r="P20" s="49">
        <v>0.93</v>
      </c>
      <c r="S20" s="114" t="e">
        <f>(Table1[[#This Row],[Overall]]-Table1[[#This Row],[TARGET]])*100</f>
        <v>#REF!</v>
      </c>
      <c r="T20" s="162"/>
      <c r="U20" s="162"/>
      <c r="V20" s="162"/>
      <c r="W20" s="162"/>
      <c r="X20" s="162"/>
      <c r="Y20" s="162"/>
      <c r="Z20" s="162"/>
      <c r="AA20" s="162"/>
      <c r="AB20" s="162"/>
      <c r="AC20" s="162"/>
      <c r="AD20" s="162"/>
      <c r="AE20" s="162"/>
      <c r="AF20" s="162"/>
    </row>
    <row r="21" spans="1:32" ht="15.75" x14ac:dyDescent="0.25">
      <c r="A21" s="166"/>
      <c r="B21" s="111" t="s">
        <v>26</v>
      </c>
      <c r="C21" s="62">
        <f>'January ''25'!C33</f>
        <v>0.92500000000000004</v>
      </c>
      <c r="D21" s="63">
        <f>'February ''24'!C33</f>
        <v>0.95121951219512191</v>
      </c>
      <c r="E21" s="63">
        <f>'March ''24'!C32</f>
        <v>1</v>
      </c>
      <c r="F21" s="63">
        <f>'April ''24'!C32</f>
        <v>1</v>
      </c>
      <c r="G21" s="63">
        <f>'May ''20'!C31</f>
        <v>0.82857142857142863</v>
      </c>
      <c r="H21" s="63">
        <f>'June''20'!C31</f>
        <v>1</v>
      </c>
      <c r="I21" s="63" t="e">
        <f>#REF!</f>
        <v>#REF!</v>
      </c>
      <c r="J21" s="63" t="e">
        <f>#REF!</f>
        <v>#REF!</v>
      </c>
      <c r="K21" s="63" t="e">
        <f>'September ''20'!#REF!</f>
        <v>#REF!</v>
      </c>
      <c r="L21" s="63" t="e">
        <f>#REF!</f>
        <v>#REF!</v>
      </c>
      <c r="M21" s="63">
        <f>'November ''18'!C35</f>
        <v>0.64864864864864868</v>
      </c>
      <c r="N21" s="65">
        <f>'December ''18'!C35</f>
        <v>0.98039215686274506</v>
      </c>
      <c r="O21" s="65" t="e">
        <f>AVERAGE(Table1[[#This Row],[Jan]:[Dec]])</f>
        <v>#REF!</v>
      </c>
      <c r="P21" s="66">
        <v>0.93</v>
      </c>
      <c r="R21" s="103" t="e">
        <f>(Table1[[#This Row],[Overall]]-Table1[[#This Row],[TARGET]])*100</f>
        <v>#REF!</v>
      </c>
    </row>
    <row r="22" spans="1:32" ht="15.75" x14ac:dyDescent="0.25">
      <c r="A22" s="166"/>
      <c r="B22" s="111" t="s">
        <v>9</v>
      </c>
      <c r="C22" s="62">
        <f>'January ''25'!C34</f>
        <v>1</v>
      </c>
      <c r="D22" s="63">
        <f>'February ''24'!C34</f>
        <v>0.93023255813953487</v>
      </c>
      <c r="E22" s="63">
        <f>'March ''24'!C33</f>
        <v>1</v>
      </c>
      <c r="F22" s="63">
        <f>'April ''24'!C33</f>
        <v>1</v>
      </c>
      <c r="G22" s="63">
        <f>'May ''20'!C32</f>
        <v>1</v>
      </c>
      <c r="H22" s="63">
        <f>'June''20'!C32</f>
        <v>0.9</v>
      </c>
      <c r="I22" s="63" t="e">
        <f>#REF!</f>
        <v>#REF!</v>
      </c>
      <c r="J22" s="63" t="e">
        <f>#REF!</f>
        <v>#REF!</v>
      </c>
      <c r="K22" s="63" t="e">
        <f>'September ''20'!#REF!</f>
        <v>#REF!</v>
      </c>
      <c r="L22" s="63" t="e">
        <f>#REF!</f>
        <v>#REF!</v>
      </c>
      <c r="M22" s="63">
        <f>'November ''18'!C36</f>
        <v>0.7567567567567568</v>
      </c>
      <c r="N22" s="65">
        <f>'December ''18'!C36</f>
        <v>0.94444444444444442</v>
      </c>
      <c r="O22" s="65" t="e">
        <f>AVERAGE(Table1[[#This Row],[Jan]:[Dec]])</f>
        <v>#REF!</v>
      </c>
      <c r="P22" s="66">
        <v>0.93</v>
      </c>
      <c r="R22" s="103" t="e">
        <f>(Table1[[#This Row],[Overall]]-Table1[[#This Row],[TARGET]])*100</f>
        <v>#REF!</v>
      </c>
    </row>
    <row r="23" spans="1:32" ht="16.5" thickBot="1" x14ac:dyDescent="0.3">
      <c r="A23" s="167"/>
      <c r="B23" s="113" t="s">
        <v>20</v>
      </c>
      <c r="C23" s="62">
        <f>'January ''25'!C35</f>
        <v>0.97142857142857142</v>
      </c>
      <c r="D23" s="63">
        <f>'February ''24'!C35</f>
        <v>1</v>
      </c>
      <c r="E23" s="63">
        <f>'March ''24'!C34</f>
        <v>1</v>
      </c>
      <c r="F23" s="63">
        <f>'April ''24'!C34</f>
        <v>1</v>
      </c>
      <c r="G23" s="63">
        <f>'May ''20'!C33</f>
        <v>0</v>
      </c>
      <c r="H23" s="63"/>
      <c r="I23" s="63" t="e">
        <f>#REF!</f>
        <v>#REF!</v>
      </c>
      <c r="J23" s="63" t="e">
        <f>#REF!</f>
        <v>#REF!</v>
      </c>
      <c r="K23" s="63">
        <f>'September ''20'!C33</f>
        <v>0</v>
      </c>
      <c r="L23" s="63" t="e">
        <f>#REF!</f>
        <v>#REF!</v>
      </c>
      <c r="M23" s="63">
        <f>'November ''18'!C33</f>
        <v>0.43478260869565216</v>
      </c>
      <c r="N23" s="65">
        <f>'December ''18'!C33</f>
        <v>0.81034482758620685</v>
      </c>
      <c r="O23" s="65" t="e">
        <f>AVERAGE(Table1[[#This Row],[Jan]:[Dec]])</f>
        <v>#REF!</v>
      </c>
      <c r="P23" s="50">
        <v>0.93</v>
      </c>
      <c r="R23" s="114" t="e">
        <f>(Table1[[#This Row],[Overall]]-Table1[[#This Row],[TARGET]])*100</f>
        <v>#REF!</v>
      </c>
      <c r="T23" s="104" t="s">
        <v>84</v>
      </c>
    </row>
    <row r="24" spans="1:32" ht="18" customHeight="1" x14ac:dyDescent="0.25">
      <c r="B24" s="111" t="s">
        <v>55</v>
      </c>
      <c r="C24" s="64">
        <f>'January ''25'!C37</f>
        <v>0.69876251627776009</v>
      </c>
      <c r="D24" s="64" t="e">
        <f>'February ''24'!#REF!</f>
        <v>#REF!</v>
      </c>
      <c r="E24" s="64">
        <f>'March ''24'!C36</f>
        <v>0.76636541540651137</v>
      </c>
      <c r="F24" s="64">
        <f>'April ''24'!C36</f>
        <v>0.76766967736672331</v>
      </c>
      <c r="G24" s="64">
        <f>'May ''20'!C35</f>
        <v>0.58826181907550601</v>
      </c>
      <c r="H24" s="64">
        <f>'June''20'!C35</f>
        <v>0.70812772518057077</v>
      </c>
      <c r="I24" s="64" t="e">
        <f>#REF!</f>
        <v>#REF!</v>
      </c>
      <c r="J24" s="64" t="e">
        <f>#REF!</f>
        <v>#REF!</v>
      </c>
      <c r="K24" s="64">
        <f>'September ''20'!C35</f>
        <v>0.51061557063400609</v>
      </c>
      <c r="L24" s="64" t="e">
        <f>#REF!</f>
        <v>#REF!</v>
      </c>
      <c r="M24" s="64">
        <f>'November ''18'!C39</f>
        <v>0.63915313778736127</v>
      </c>
      <c r="N24" s="67">
        <f>'December ''18'!C39</f>
        <v>0.86626900431336207</v>
      </c>
      <c r="O24" s="67" t="e">
        <f>AVERAGE(Table1[[#This Row],[Jan]:[Aug]])</f>
        <v>#REF!</v>
      </c>
      <c r="P24" s="68">
        <f>AVERAGE(P4:P23)</f>
        <v>0.95424999999999982</v>
      </c>
    </row>
  </sheetData>
  <mergeCells count="11">
    <mergeCell ref="A4:A6"/>
    <mergeCell ref="T16:AF16"/>
    <mergeCell ref="T20:AF20"/>
    <mergeCell ref="T5:AF5"/>
    <mergeCell ref="T13:AF13"/>
    <mergeCell ref="T11:AF11"/>
    <mergeCell ref="A7:A11"/>
    <mergeCell ref="A12:A15"/>
    <mergeCell ref="A16:A17"/>
    <mergeCell ref="A20:A23"/>
    <mergeCell ref="A18:A19"/>
  </mergeCells>
  <conditionalFormatting sqref="C4:H4">
    <cfRule type="cellIs" dxfId="6" priority="18" operator="lessThan">
      <formula>$P4</formula>
    </cfRule>
  </conditionalFormatting>
  <conditionalFormatting sqref="G5:G24">
    <cfRule type="cellIs" dxfId="5" priority="9" operator="lessThan">
      <formula>$P5</formula>
    </cfRule>
  </conditionalFormatting>
  <conditionalFormatting sqref="I4:I24">
    <cfRule type="cellIs" dxfId="4" priority="5" operator="lessThan">
      <formula>$P4</formula>
    </cfRule>
  </conditionalFormatting>
  <conditionalFormatting sqref="J4:L24 C5:F24 H5:H24">
    <cfRule type="cellIs" dxfId="3" priority="12" operator="lessThan">
      <formula>$P4</formula>
    </cfRule>
  </conditionalFormatting>
  <conditionalFormatting sqref="M4:M24">
    <cfRule type="cellIs" dxfId="2" priority="3" operator="lessThan">
      <formula>$P4</formula>
    </cfRule>
  </conditionalFormatting>
  <conditionalFormatting sqref="N4:N24">
    <cfRule type="cellIs" dxfId="1" priority="1" operator="lessThan">
      <formula>$P4</formula>
    </cfRule>
  </conditionalFormatting>
  <conditionalFormatting sqref="O4:O24">
    <cfRule type="cellIs" dxfId="0" priority="11" operator="lessThan">
      <formula>$P4</formula>
    </cfRule>
  </conditionalFormatting>
  <pageMargins left="0.7" right="0.7" top="0.75" bottom="0.75" header="0.3" footer="0.3"/>
  <pageSetup scale="28" fitToHeight="0" orientation="portrait" r:id="rId1"/>
  <drawing r:id="rId2"/>
  <legacyDrawing r:id="rId3"/>
  <tableParts count="1">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54E25-03C9-47E0-B890-E3B4A6DB4839}">
  <sheetPr>
    <pageSetUpPr fitToPage="1"/>
  </sheetPr>
  <dimension ref="A1:G38"/>
  <sheetViews>
    <sheetView showGridLines="0" topLeftCell="A14" workbookViewId="0">
      <selection activeCell="C27" sqref="C27"/>
    </sheetView>
  </sheetViews>
  <sheetFormatPr defaultRowHeight="15" x14ac:dyDescent="0.25"/>
  <cols>
    <col min="1" max="1" width="28" customWidth="1"/>
    <col min="3" max="3" width="13.5703125" customWidth="1"/>
    <col min="5" max="5" width="30" hidden="1" customWidth="1"/>
    <col min="6" max="6" width="9.140625" hidden="1" customWidth="1"/>
    <col min="7" max="7" width="10.42578125" hidden="1" customWidth="1"/>
    <col min="8" max="8" width="9.140625" customWidth="1"/>
  </cols>
  <sheetData>
    <row r="1" spans="1:7" s="18" customFormat="1" ht="24" thickBot="1" x14ac:dyDescent="0.4">
      <c r="A1" s="17" t="s">
        <v>101</v>
      </c>
      <c r="C1" s="17" t="s">
        <v>86</v>
      </c>
      <c r="E1" s="17" t="s">
        <v>92</v>
      </c>
      <c r="G1" s="17" t="s">
        <v>86</v>
      </c>
    </row>
    <row r="2" spans="1:7" ht="15.75" x14ac:dyDescent="0.25">
      <c r="A2" s="1" t="s">
        <v>27</v>
      </c>
      <c r="B2" s="2" t="s">
        <v>1</v>
      </c>
      <c r="C2" s="51">
        <f>'[3]FTR Brewhouse'!$I$314</f>
        <v>0.36496350364963503</v>
      </c>
      <c r="E2" s="1" t="s">
        <v>27</v>
      </c>
      <c r="F2" s="2" t="s">
        <v>1</v>
      </c>
      <c r="G2" s="51">
        <f>'February ''25 '!C2</f>
        <v>0.36496350364963503</v>
      </c>
    </row>
    <row r="3" spans="1:7" ht="15.75" x14ac:dyDescent="0.25">
      <c r="A3" s="15" t="s">
        <v>28</v>
      </c>
      <c r="B3" s="5" t="s">
        <v>1</v>
      </c>
      <c r="C3" s="52">
        <f>'[3]FTR Brewhouse'!$C$314</f>
        <v>0.97080291970802923</v>
      </c>
      <c r="E3" s="15" t="s">
        <v>28</v>
      </c>
      <c r="F3" s="5" t="s">
        <v>1</v>
      </c>
      <c r="G3" s="52">
        <f>'February ''25 '!C3</f>
        <v>0.97080291970802923</v>
      </c>
    </row>
    <row r="4" spans="1:7" ht="15.75" x14ac:dyDescent="0.25">
      <c r="A4" s="4" t="s">
        <v>87</v>
      </c>
      <c r="B4" s="5" t="s">
        <v>1</v>
      </c>
      <c r="C4" s="54">
        <f>'[3]FTR Brewhouse'!$E$314</f>
        <v>0.37956204379562042</v>
      </c>
      <c r="E4" s="4" t="s">
        <v>87</v>
      </c>
      <c r="F4" s="5" t="s">
        <v>1</v>
      </c>
      <c r="G4" s="54">
        <f>'February ''25 '!C4</f>
        <v>0.37956204379562042</v>
      </c>
    </row>
    <row r="5" spans="1:7" ht="15.75" x14ac:dyDescent="0.25">
      <c r="A5" s="4" t="s">
        <v>88</v>
      </c>
      <c r="B5" s="5" t="s">
        <v>1</v>
      </c>
      <c r="C5" s="54">
        <f>'[3]FTR Brewhouse'!$G$314</f>
        <v>1</v>
      </c>
      <c r="E5" s="4" t="s">
        <v>88</v>
      </c>
      <c r="F5" s="5" t="s">
        <v>1</v>
      </c>
      <c r="G5" s="54">
        <f>'February ''25 '!C5</f>
        <v>1</v>
      </c>
    </row>
    <row r="6" spans="1:7" ht="16.5" thickBot="1" x14ac:dyDescent="0.3">
      <c r="A6" s="7"/>
      <c r="B6" s="8"/>
      <c r="C6" s="53"/>
      <c r="E6" s="7"/>
      <c r="F6" s="8"/>
      <c r="G6" s="53"/>
    </row>
    <row r="7" spans="1:7" ht="15.75" x14ac:dyDescent="0.25">
      <c r="A7" s="1" t="s">
        <v>0</v>
      </c>
      <c r="B7" s="2" t="s">
        <v>1</v>
      </c>
      <c r="C7" s="51">
        <f>'[3]FTR Fermentation'!$P$112</f>
        <v>0.5</v>
      </c>
      <c r="E7" s="1" t="s">
        <v>0</v>
      </c>
      <c r="F7" s="2" t="s">
        <v>1</v>
      </c>
      <c r="G7" s="51">
        <f>'February ''25 '!C7</f>
        <v>0.5</v>
      </c>
    </row>
    <row r="8" spans="1:7" ht="15.75" x14ac:dyDescent="0.25">
      <c r="A8" s="4" t="s">
        <v>2</v>
      </c>
      <c r="B8" s="5" t="s">
        <v>1</v>
      </c>
      <c r="C8" s="54">
        <f>'[3]FTR Fermentation'!$D$112</f>
        <v>0.65384615384615385</v>
      </c>
      <c r="E8" s="4" t="s">
        <v>2</v>
      </c>
      <c r="F8" s="5" t="s">
        <v>1</v>
      </c>
      <c r="G8" s="54">
        <f>'February ''25 '!C8</f>
        <v>0.65384615384615385</v>
      </c>
    </row>
    <row r="9" spans="1:7" ht="15.75" x14ac:dyDescent="0.25">
      <c r="A9" s="4" t="s">
        <v>3</v>
      </c>
      <c r="B9" s="5" t="s">
        <v>1</v>
      </c>
      <c r="C9" s="54">
        <f>'[3]FTR Fermentation'!$G$112</f>
        <v>1</v>
      </c>
      <c r="E9" s="4" t="s">
        <v>3</v>
      </c>
      <c r="F9" s="5" t="s">
        <v>1</v>
      </c>
      <c r="G9" s="54">
        <f>'February ''25 '!C9</f>
        <v>1</v>
      </c>
    </row>
    <row r="10" spans="1:7" ht="15.75" x14ac:dyDescent="0.25">
      <c r="A10" s="4" t="s">
        <v>4</v>
      </c>
      <c r="B10" s="5" t="s">
        <v>1</v>
      </c>
      <c r="C10" s="54">
        <f>'[3]FTR Fermentation'!$K$112</f>
        <v>1</v>
      </c>
      <c r="E10" s="4" t="s">
        <v>4</v>
      </c>
      <c r="F10" s="5" t="s">
        <v>1</v>
      </c>
      <c r="G10" s="54">
        <f>'February ''25 '!C10</f>
        <v>1</v>
      </c>
    </row>
    <row r="11" spans="1:7" ht="15.75" x14ac:dyDescent="0.25">
      <c r="A11" s="4" t="s">
        <v>5</v>
      </c>
      <c r="B11" s="5" t="s">
        <v>1</v>
      </c>
      <c r="C11" s="54">
        <f>'[3]FTR Fermentation'!$M$112</f>
        <v>0.76666666666666672</v>
      </c>
      <c r="E11" s="4" t="s">
        <v>5</v>
      </c>
      <c r="F11" s="5" t="s">
        <v>1</v>
      </c>
      <c r="G11" s="54">
        <f>'February ''25 '!C11</f>
        <v>0.76666666666666672</v>
      </c>
    </row>
    <row r="12" spans="1:7" ht="15.75" x14ac:dyDescent="0.25">
      <c r="A12" s="4" t="s">
        <v>7</v>
      </c>
      <c r="B12" s="5" t="s">
        <v>1</v>
      </c>
      <c r="C12" s="54">
        <f>'[3]FTR Fermentation'!$I$112</f>
        <v>0.875</v>
      </c>
      <c r="E12" s="4" t="s">
        <v>7</v>
      </c>
      <c r="F12" s="5" t="s">
        <v>1</v>
      </c>
      <c r="G12" s="54">
        <f>'February ''25 '!C12</f>
        <v>0.875</v>
      </c>
    </row>
    <row r="13" spans="1:7" ht="16.5" thickBot="1" x14ac:dyDescent="0.3">
      <c r="A13" s="7"/>
      <c r="B13" s="8"/>
      <c r="C13" s="53"/>
      <c r="E13" s="7"/>
      <c r="F13" s="8"/>
      <c r="G13" s="53"/>
    </row>
    <row r="14" spans="1:7" ht="15.75" x14ac:dyDescent="0.25">
      <c r="A14" s="1" t="s">
        <v>8</v>
      </c>
      <c r="B14" s="2" t="s">
        <v>1</v>
      </c>
      <c r="C14" s="51">
        <f>'[3]FTR BBT'!$N$174</f>
        <v>0.95238095238095233</v>
      </c>
      <c r="E14" s="1" t="s">
        <v>8</v>
      </c>
      <c r="F14" s="2" t="s">
        <v>1</v>
      </c>
      <c r="G14" s="51">
        <f>'[6]FTR BBT'!$O$107</f>
        <v>0.97727272727272729</v>
      </c>
    </row>
    <row r="15" spans="1:7" ht="15.75" x14ac:dyDescent="0.25">
      <c r="A15" s="4" t="s">
        <v>95</v>
      </c>
      <c r="B15" s="5" t="s">
        <v>1</v>
      </c>
      <c r="C15" s="55">
        <f>'[3]FTR BBT'!$D$174</f>
        <v>0.97619047619047616</v>
      </c>
      <c r="E15" s="4" t="s">
        <v>9</v>
      </c>
      <c r="F15" s="5" t="s">
        <v>1</v>
      </c>
      <c r="G15" s="55">
        <f>'[7]FTR BBT'!$D$86</f>
        <v>0.95081967213114749</v>
      </c>
    </row>
    <row r="16" spans="1:7" ht="15.75" x14ac:dyDescent="0.25">
      <c r="A16" s="4" t="s">
        <v>10</v>
      </c>
      <c r="B16" s="5" t="s">
        <v>1</v>
      </c>
      <c r="C16" s="56">
        <f>'[3]FTR BBT'!$J$174</f>
        <v>0.9642857142857143</v>
      </c>
      <c r="E16" s="4" t="s">
        <v>10</v>
      </c>
      <c r="F16" s="5" t="s">
        <v>1</v>
      </c>
      <c r="G16" s="56"/>
    </row>
    <row r="17" spans="1:7" ht="15.75" x14ac:dyDescent="0.25">
      <c r="A17" s="4" t="s">
        <v>13</v>
      </c>
      <c r="B17" s="5" t="s">
        <v>1</v>
      </c>
      <c r="C17" s="55">
        <f>'[3]FTR BBT'!$H$174</f>
        <v>1</v>
      </c>
      <c r="E17" s="4" t="s">
        <v>13</v>
      </c>
      <c r="F17" s="5" t="s">
        <v>1</v>
      </c>
      <c r="G17" s="55">
        <f>'[6]FTR BBT'!$H$107</f>
        <v>1</v>
      </c>
    </row>
    <row r="18" spans="1:7" ht="15.75" x14ac:dyDescent="0.25">
      <c r="A18" s="4" t="s">
        <v>14</v>
      </c>
      <c r="B18" s="5" t="s">
        <v>1</v>
      </c>
      <c r="C18" s="55">
        <f>'[3]FTR BBT'!$F$174</f>
        <v>1</v>
      </c>
      <c r="E18" s="4" t="s">
        <v>14</v>
      </c>
      <c r="F18" s="5" t="s">
        <v>1</v>
      </c>
      <c r="G18" s="55">
        <f>'[6]FTR BBT'!$F$107</f>
        <v>1</v>
      </c>
    </row>
    <row r="19" spans="1:7" ht="15.75" x14ac:dyDescent="0.25">
      <c r="A19" s="4" t="s">
        <v>90</v>
      </c>
      <c r="B19" s="5" t="s">
        <v>1</v>
      </c>
      <c r="C19" s="52">
        <f>'[3]FTR BBT'!$L$174</f>
        <v>0.97468354430379744</v>
      </c>
      <c r="E19" s="4" t="s">
        <v>90</v>
      </c>
      <c r="F19" s="5" t="s">
        <v>1</v>
      </c>
      <c r="G19" s="52">
        <f>'[6]FTR BBT'!$L$107</f>
        <v>1</v>
      </c>
    </row>
    <row r="20" spans="1:7" ht="16.5" thickBot="1" x14ac:dyDescent="0.3">
      <c r="A20" s="7"/>
      <c r="B20" s="8"/>
      <c r="C20" s="53"/>
      <c r="E20" s="7"/>
      <c r="F20" s="8"/>
      <c r="G20" s="53"/>
    </row>
    <row r="21" spans="1:7" ht="15.75" x14ac:dyDescent="0.25">
      <c r="A21" s="1" t="s">
        <v>16</v>
      </c>
      <c r="B21" s="2" t="s">
        <v>1</v>
      </c>
      <c r="C21" s="51">
        <f>'[3]FTR Packaging'!$L$122</f>
        <v>0.90384615384615385</v>
      </c>
      <c r="E21" s="1" t="s">
        <v>16</v>
      </c>
      <c r="F21" s="2" t="s">
        <v>1</v>
      </c>
      <c r="G21" s="51">
        <f>'[6]FTR Packaging'!$L$72</f>
        <v>0.92307692307692313</v>
      </c>
    </row>
    <row r="22" spans="1:7" ht="15.75" x14ac:dyDescent="0.25">
      <c r="A22" s="4" t="s">
        <v>18</v>
      </c>
      <c r="B22" s="5" t="s">
        <v>1</v>
      </c>
      <c r="C22" s="54">
        <f>'[3]FTR Packaging'!$F$122</f>
        <v>0.90196078431372551</v>
      </c>
      <c r="E22" s="4" t="s">
        <v>18</v>
      </c>
      <c r="F22" s="5" t="s">
        <v>1</v>
      </c>
      <c r="G22" s="54">
        <f>'[6]FTR Packaging'!$F$72</f>
        <v>0.92307692307692313</v>
      </c>
    </row>
    <row r="23" spans="1:7" ht="15.75" x14ac:dyDescent="0.25">
      <c r="A23" s="4" t="s">
        <v>19</v>
      </c>
      <c r="B23" s="5" t="s">
        <v>1</v>
      </c>
      <c r="C23" s="54">
        <f>'[3]FTR Packaging'!$D$122</f>
        <v>0.98039215686274506</v>
      </c>
      <c r="E23" s="4" t="s">
        <v>19</v>
      </c>
      <c r="F23" s="5" t="s">
        <v>1</v>
      </c>
      <c r="G23" s="54">
        <f>'[6]FTR Packaging'!$D$72</f>
        <v>1</v>
      </c>
    </row>
    <row r="24" spans="1:7" ht="15.75" x14ac:dyDescent="0.25">
      <c r="A24" s="4" t="s">
        <v>20</v>
      </c>
      <c r="B24" s="5" t="s">
        <v>1</v>
      </c>
      <c r="C24" s="52">
        <f>'[3]FTR Packaging'!$H$122</f>
        <v>1</v>
      </c>
      <c r="E24" s="4" t="s">
        <v>20</v>
      </c>
      <c r="F24" s="5" t="s">
        <v>1</v>
      </c>
      <c r="G24" s="52">
        <f>'[6]FTR Packaging'!$H$72</f>
        <v>1</v>
      </c>
    </row>
    <row r="25" spans="1:7" ht="15.75" x14ac:dyDescent="0.25">
      <c r="A25" s="4" t="s">
        <v>91</v>
      </c>
      <c r="B25" s="5" t="s">
        <v>1</v>
      </c>
      <c r="C25" s="52">
        <f>'[3]FTR Packaging'!$J$122</f>
        <v>1</v>
      </c>
      <c r="E25" s="4" t="s">
        <v>91</v>
      </c>
      <c r="F25" s="5" t="s">
        <v>1</v>
      </c>
      <c r="G25" s="52">
        <f>'[6]FTR Packaging'!$J$72</f>
        <v>0.96078431372549022</v>
      </c>
    </row>
    <row r="26" spans="1:7" ht="16.5" thickBot="1" x14ac:dyDescent="0.3">
      <c r="A26" s="7"/>
      <c r="B26" s="8"/>
      <c r="C26" s="53"/>
      <c r="E26" s="7"/>
      <c r="F26" s="8"/>
      <c r="G26" s="53"/>
    </row>
    <row r="27" spans="1:7" ht="15.75" x14ac:dyDescent="0.25">
      <c r="A27" s="1" t="s">
        <v>22</v>
      </c>
      <c r="B27" s="2" t="s">
        <v>1</v>
      </c>
      <c r="C27" s="51">
        <v>0.76400000000000001</v>
      </c>
      <c r="E27" s="1" t="s">
        <v>22</v>
      </c>
      <c r="F27" s="2" t="s">
        <v>1</v>
      </c>
      <c r="G27" s="51">
        <f>'February ''25 '!C27</f>
        <v>0.76400000000000001</v>
      </c>
    </row>
    <row r="28" spans="1:7" ht="15.75" x14ac:dyDescent="0.25">
      <c r="A28" s="4" t="s">
        <v>23</v>
      </c>
      <c r="B28" s="2" t="s">
        <v>1</v>
      </c>
      <c r="C28" s="54">
        <v>1</v>
      </c>
      <c r="E28" s="4" t="s">
        <v>23</v>
      </c>
      <c r="F28" s="2" t="s">
        <v>1</v>
      </c>
      <c r="G28" s="54">
        <f>'February ''25 '!C28</f>
        <v>1</v>
      </c>
    </row>
    <row r="29" spans="1:7" ht="15.75" x14ac:dyDescent="0.25">
      <c r="A29" s="4" t="s">
        <v>24</v>
      </c>
      <c r="B29" s="2" t="s">
        <v>1</v>
      </c>
      <c r="C29" s="54">
        <v>0.76400000000000001</v>
      </c>
      <c r="E29" s="4" t="s">
        <v>24</v>
      </c>
      <c r="F29" s="2" t="s">
        <v>1</v>
      </c>
      <c r="G29" s="54">
        <f>'February ''25 '!C29</f>
        <v>0.76400000000000001</v>
      </c>
    </row>
    <row r="30" spans="1:7" ht="16.5" thickBot="1" x14ac:dyDescent="0.3">
      <c r="A30" s="7"/>
      <c r="B30" s="8"/>
      <c r="C30" s="53"/>
      <c r="E30" s="7"/>
      <c r="F30" s="8"/>
      <c r="G30" s="53"/>
    </row>
    <row r="31" spans="1:7" ht="15.75" x14ac:dyDescent="0.25">
      <c r="A31" s="1" t="s">
        <v>25</v>
      </c>
      <c r="B31" s="2" t="s">
        <v>1</v>
      </c>
      <c r="C31" s="51">
        <f>'[3]FTR Finished Product'!$L$120</f>
        <v>0.92727272727272725</v>
      </c>
      <c r="E31" s="1" t="s">
        <v>25</v>
      </c>
      <c r="F31" s="2" t="s">
        <v>1</v>
      </c>
      <c r="G31" s="51">
        <f>'[6]FTR Finished Product'!$M$72</f>
        <v>0.94230769230769229</v>
      </c>
    </row>
    <row r="32" spans="1:7" ht="16.5" thickBot="1" x14ac:dyDescent="0.3">
      <c r="A32" s="4" t="s">
        <v>10</v>
      </c>
      <c r="B32" s="2" t="s">
        <v>1</v>
      </c>
      <c r="C32" s="56">
        <f>'[3]FTR Finished Product'!$J$120</f>
        <v>0.98181818181818181</v>
      </c>
      <c r="E32" s="4" t="s">
        <v>10</v>
      </c>
      <c r="F32" s="2" t="s">
        <v>1</v>
      </c>
      <c r="G32" s="56"/>
    </row>
    <row r="33" spans="1:7" ht="16.5" thickBot="1" x14ac:dyDescent="0.3">
      <c r="A33" s="4" t="s">
        <v>26</v>
      </c>
      <c r="B33" s="2" t="s">
        <v>1</v>
      </c>
      <c r="C33" s="57">
        <f>'[3]FTR Finished Product'!$F$120</f>
        <v>0.94</v>
      </c>
      <c r="E33" s="4" t="s">
        <v>26</v>
      </c>
      <c r="F33" s="2" t="s">
        <v>1</v>
      </c>
      <c r="G33" s="57">
        <f>'[6]FTR Finished Product'!$F$72</f>
        <v>1</v>
      </c>
    </row>
    <row r="34" spans="1:7" ht="16.5" thickBot="1" x14ac:dyDescent="0.3">
      <c r="A34" s="4" t="s">
        <v>95</v>
      </c>
      <c r="B34" s="2" t="s">
        <v>1</v>
      </c>
      <c r="C34" s="57">
        <f>'[3]FTR Finished Product'!$D$120</f>
        <v>0.96363636363636362</v>
      </c>
      <c r="E34" s="4" t="s">
        <v>9</v>
      </c>
      <c r="F34" s="2" t="s">
        <v>1</v>
      </c>
      <c r="G34" s="57">
        <f>'[6]FTR Finished Product'!$D$72</f>
        <v>0.94230769230769229</v>
      </c>
    </row>
    <row r="35" spans="1:7" ht="16.5" thickBot="1" x14ac:dyDescent="0.3">
      <c r="A35" s="4" t="s">
        <v>89</v>
      </c>
      <c r="B35" s="2" t="s">
        <v>1</v>
      </c>
      <c r="C35" s="57">
        <f>'[3]FTR Finished Product'!$H$120</f>
        <v>1</v>
      </c>
      <c r="E35" s="4" t="s">
        <v>89</v>
      </c>
      <c r="F35" s="2" t="s">
        <v>1</v>
      </c>
      <c r="G35" s="57">
        <f>'[6]FTR Finished Product'!$H$72</f>
        <v>1</v>
      </c>
    </row>
    <row r="36" spans="1:7" ht="15.75" thickBot="1" x14ac:dyDescent="0.3">
      <c r="C36" s="58"/>
      <c r="G36" s="58"/>
    </row>
    <row r="37" spans="1:7" ht="15.75" x14ac:dyDescent="0.25">
      <c r="B37" s="142" t="s">
        <v>55</v>
      </c>
      <c r="C37" s="122">
        <f>(C2+C7+C14+C21+C27+C31)/6</f>
        <v>0.73541055619157802</v>
      </c>
      <c r="G37" s="122">
        <f>(G2+G7+G14+G21+G27+G31)/6</f>
        <v>0.74527014105116296</v>
      </c>
    </row>
    <row r="38" spans="1:7" ht="18.75" x14ac:dyDescent="0.3">
      <c r="B38" s="142" t="s">
        <v>35</v>
      </c>
      <c r="C38" s="144">
        <f>AVERAGE('January ''25'!C37,'February ''25 '!C37)</f>
        <v>0.717086536234669</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B8F47-2E80-4FC1-8A00-CEC060FA29DE}">
  <sheetPr>
    <pageSetUpPr fitToPage="1"/>
  </sheetPr>
  <dimension ref="A1:G38"/>
  <sheetViews>
    <sheetView showGridLines="0" topLeftCell="A14" workbookViewId="0">
      <selection activeCell="C28" sqref="C28"/>
    </sheetView>
  </sheetViews>
  <sheetFormatPr defaultRowHeight="15" x14ac:dyDescent="0.25"/>
  <cols>
    <col min="1" max="1" width="28" customWidth="1"/>
    <col min="3" max="3" width="13.5703125" customWidth="1"/>
    <col min="5" max="5" width="30" hidden="1" customWidth="1"/>
    <col min="6" max="6" width="9.140625" hidden="1" customWidth="1"/>
    <col min="7" max="7" width="10.42578125" hidden="1" customWidth="1"/>
    <col min="8" max="8" width="9.140625" customWidth="1"/>
  </cols>
  <sheetData>
    <row r="1" spans="1:7" s="18" customFormat="1" ht="24" thickBot="1" x14ac:dyDescent="0.4">
      <c r="A1" s="17" t="s">
        <v>102</v>
      </c>
      <c r="C1" s="17" t="s">
        <v>86</v>
      </c>
      <c r="E1" s="17" t="s">
        <v>92</v>
      </c>
      <c r="G1" s="17" t="s">
        <v>86</v>
      </c>
    </row>
    <row r="2" spans="1:7" ht="15.75" x14ac:dyDescent="0.25">
      <c r="A2" s="1" t="s">
        <v>27</v>
      </c>
      <c r="B2" s="2" t="s">
        <v>1</v>
      </c>
      <c r="C2" s="51">
        <f>'[3]FTR Brewhouse'!$I$472</f>
        <v>0.57241379310344831</v>
      </c>
      <c r="E2" s="1" t="s">
        <v>27</v>
      </c>
      <c r="F2" s="2" t="s">
        <v>1</v>
      </c>
      <c r="G2" s="51">
        <f>'March''25 '!C2</f>
        <v>0.57241379310344831</v>
      </c>
    </row>
    <row r="3" spans="1:7" ht="15.75" x14ac:dyDescent="0.25">
      <c r="A3" s="15" t="s">
        <v>28</v>
      </c>
      <c r="B3" s="5" t="s">
        <v>1</v>
      </c>
      <c r="C3" s="52">
        <f>'[3]FTR Brewhouse'!$C$472</f>
        <v>0.90344827586206899</v>
      </c>
      <c r="E3" s="15" t="s">
        <v>28</v>
      </c>
      <c r="F3" s="5" t="s">
        <v>1</v>
      </c>
      <c r="G3" s="52">
        <f>'March''25 '!C3</f>
        <v>0.90344827586206899</v>
      </c>
    </row>
    <row r="4" spans="1:7" ht="15.75" x14ac:dyDescent="0.25">
      <c r="A4" s="4" t="s">
        <v>87</v>
      </c>
      <c r="B4" s="5" t="s">
        <v>1</v>
      </c>
      <c r="C4" s="54">
        <f>'[3]FTR Brewhouse'!$E$472</f>
        <v>0.61379310344827587</v>
      </c>
      <c r="E4" s="4" t="s">
        <v>87</v>
      </c>
      <c r="F4" s="5" t="s">
        <v>1</v>
      </c>
      <c r="G4" s="54">
        <f>'March''25 '!C4</f>
        <v>0.61379310344827587</v>
      </c>
    </row>
    <row r="5" spans="1:7" ht="15.75" x14ac:dyDescent="0.25">
      <c r="A5" s="4" t="s">
        <v>88</v>
      </c>
      <c r="B5" s="5" t="s">
        <v>1</v>
      </c>
      <c r="C5" s="54">
        <f>'[3]FTR Brewhouse'!$G$472</f>
        <v>1</v>
      </c>
      <c r="E5" s="4" t="s">
        <v>88</v>
      </c>
      <c r="F5" s="5" t="s">
        <v>1</v>
      </c>
      <c r="G5" s="54">
        <f>'March''25 '!C5</f>
        <v>1</v>
      </c>
    </row>
    <row r="6" spans="1:7" ht="16.5" thickBot="1" x14ac:dyDescent="0.3">
      <c r="A6" s="7"/>
      <c r="B6" s="8"/>
      <c r="C6" s="53"/>
      <c r="E6" s="7"/>
      <c r="F6" s="8"/>
      <c r="G6" s="53"/>
    </row>
    <row r="7" spans="1:7" ht="15.75" x14ac:dyDescent="0.25">
      <c r="A7" s="1" t="s">
        <v>0</v>
      </c>
      <c r="B7" s="2" t="s">
        <v>1</v>
      </c>
      <c r="C7" s="51">
        <f>'[3]FTR Fermentation'!$P$152</f>
        <v>0.6</v>
      </c>
      <c r="E7" s="1" t="s">
        <v>0</v>
      </c>
      <c r="F7" s="2" t="s">
        <v>1</v>
      </c>
      <c r="G7" s="51">
        <f>'March''25 '!C7</f>
        <v>0.6</v>
      </c>
    </row>
    <row r="8" spans="1:7" ht="15.75" x14ac:dyDescent="0.25">
      <c r="A8" s="4" t="s">
        <v>2</v>
      </c>
      <c r="B8" s="5" t="s">
        <v>1</v>
      </c>
      <c r="C8" s="54">
        <f>'[3]FTR Fermentation'!$D$152</f>
        <v>0.625</v>
      </c>
      <c r="E8" s="4" t="s">
        <v>2</v>
      </c>
      <c r="F8" s="5" t="s">
        <v>1</v>
      </c>
      <c r="G8" s="54">
        <f>'March''25 '!C8</f>
        <v>0.625</v>
      </c>
    </row>
    <row r="9" spans="1:7" ht="15.75" x14ac:dyDescent="0.25">
      <c r="A9" s="4" t="s">
        <v>3</v>
      </c>
      <c r="B9" s="5" t="s">
        <v>1</v>
      </c>
      <c r="C9" s="54">
        <f>'[3]FTR Fermentation'!$G$152</f>
        <v>0.95454545454545459</v>
      </c>
      <c r="E9" s="4" t="s">
        <v>3</v>
      </c>
      <c r="F9" s="5" t="s">
        <v>1</v>
      </c>
      <c r="G9" s="54">
        <f>'March''25 '!C9</f>
        <v>0.95454545454545459</v>
      </c>
    </row>
    <row r="10" spans="1:7" ht="15.75" x14ac:dyDescent="0.25">
      <c r="A10" s="4" t="s">
        <v>4</v>
      </c>
      <c r="B10" s="5" t="s">
        <v>1</v>
      </c>
      <c r="C10" s="54">
        <f>'[3]FTR Fermentation'!$K$152</f>
        <v>1</v>
      </c>
      <c r="E10" s="4" t="s">
        <v>4</v>
      </c>
      <c r="F10" s="5" t="s">
        <v>1</v>
      </c>
      <c r="G10" s="54">
        <f>'March''25 '!C10</f>
        <v>1</v>
      </c>
    </row>
    <row r="11" spans="1:7" ht="15.75" x14ac:dyDescent="0.25">
      <c r="A11" s="4" t="s">
        <v>5</v>
      </c>
      <c r="B11" s="5" t="s">
        <v>1</v>
      </c>
      <c r="C11" s="54">
        <f>'[3]FTR Fermentation'!$M$152</f>
        <v>0.92307692307692313</v>
      </c>
      <c r="E11" s="4" t="s">
        <v>5</v>
      </c>
      <c r="F11" s="5" t="s">
        <v>1</v>
      </c>
      <c r="G11" s="54">
        <f>'March''25 '!C11</f>
        <v>0.92307692307692313</v>
      </c>
    </row>
    <row r="12" spans="1:7" ht="15.75" x14ac:dyDescent="0.25">
      <c r="A12" s="4" t="s">
        <v>7</v>
      </c>
      <c r="B12" s="5" t="s">
        <v>1</v>
      </c>
      <c r="C12" s="54">
        <f>'[3]FTR Fermentation'!$I$152</f>
        <v>0.8928571428571429</v>
      </c>
      <c r="E12" s="4" t="s">
        <v>7</v>
      </c>
      <c r="F12" s="5" t="s">
        <v>1</v>
      </c>
      <c r="G12" s="54">
        <f>'March''25 '!C12</f>
        <v>0.8928571428571429</v>
      </c>
    </row>
    <row r="13" spans="1:7" ht="16.5" thickBot="1" x14ac:dyDescent="0.3">
      <c r="A13" s="7"/>
      <c r="B13" s="8"/>
      <c r="C13" s="53"/>
      <c r="E13" s="7"/>
      <c r="F13" s="8"/>
      <c r="G13" s="53"/>
    </row>
    <row r="14" spans="1:7" ht="15.75" x14ac:dyDescent="0.25">
      <c r="A14" s="1" t="s">
        <v>8</v>
      </c>
      <c r="B14" s="2" t="s">
        <v>1</v>
      </c>
      <c r="C14" s="51">
        <f>'[3]FTR BBT'!$N$275</f>
        <v>1</v>
      </c>
      <c r="E14" s="1" t="s">
        <v>8</v>
      </c>
      <c r="F14" s="2" t="s">
        <v>1</v>
      </c>
      <c r="G14" s="51">
        <f>'[6]FTR BBT'!$O$107</f>
        <v>0.97727272727272729</v>
      </c>
    </row>
    <row r="15" spans="1:7" ht="15.75" x14ac:dyDescent="0.25">
      <c r="A15" s="4" t="s">
        <v>95</v>
      </c>
      <c r="B15" s="5" t="s">
        <v>1</v>
      </c>
      <c r="C15" s="55">
        <f>'[3]FTR BBT'!$D$275</f>
        <v>0.86</v>
      </c>
      <c r="E15" s="4" t="s">
        <v>9</v>
      </c>
      <c r="F15" s="5" t="s">
        <v>1</v>
      </c>
      <c r="G15" s="55">
        <f>'[7]FTR BBT'!$D$86</f>
        <v>0.95081967213114749</v>
      </c>
    </row>
    <row r="16" spans="1:7" ht="15.75" x14ac:dyDescent="0.25">
      <c r="A16" s="4" t="s">
        <v>10</v>
      </c>
      <c r="B16" s="5" t="s">
        <v>1</v>
      </c>
      <c r="C16" s="56">
        <f>'[3]FTR BBT'!$J$275</f>
        <v>5.95</v>
      </c>
      <c r="E16" s="4" t="s">
        <v>10</v>
      </c>
      <c r="F16" s="5" t="s">
        <v>1</v>
      </c>
      <c r="G16" s="56"/>
    </row>
    <row r="17" spans="1:7" ht="15.75" x14ac:dyDescent="0.25">
      <c r="A17" s="4" t="s">
        <v>13</v>
      </c>
      <c r="B17" s="5" t="s">
        <v>1</v>
      </c>
      <c r="C17" s="55">
        <f>'[3]FTR BBT'!$H$275</f>
        <v>2.8</v>
      </c>
      <c r="E17" s="4" t="s">
        <v>13</v>
      </c>
      <c r="F17" s="5" t="s">
        <v>1</v>
      </c>
      <c r="G17" s="55">
        <f>'[6]FTR BBT'!$H$107</f>
        <v>1</v>
      </c>
    </row>
    <row r="18" spans="1:7" ht="15.75" x14ac:dyDescent="0.25">
      <c r="A18" s="4" t="s">
        <v>14</v>
      </c>
      <c r="B18" s="5" t="s">
        <v>1</v>
      </c>
      <c r="C18" s="55">
        <f>'[3]FTR BBT'!$F$275</f>
        <v>0.02</v>
      </c>
      <c r="E18" s="4" t="s">
        <v>14</v>
      </c>
      <c r="F18" s="5" t="s">
        <v>1</v>
      </c>
      <c r="G18" s="55">
        <f>'[6]FTR BBT'!$F$107</f>
        <v>1</v>
      </c>
    </row>
    <row r="19" spans="1:7" ht="15.75" x14ac:dyDescent="0.25">
      <c r="A19" s="4" t="s">
        <v>90</v>
      </c>
      <c r="B19" s="5" t="s">
        <v>1</v>
      </c>
      <c r="C19" s="52">
        <f>'[3]FTR BBT'!$L$275</f>
        <v>0.26</v>
      </c>
      <c r="E19" s="4" t="s">
        <v>90</v>
      </c>
      <c r="F19" s="5" t="s">
        <v>1</v>
      </c>
      <c r="G19" s="52">
        <f>'[6]FTR BBT'!$L$107</f>
        <v>1</v>
      </c>
    </row>
    <row r="20" spans="1:7" ht="16.5" thickBot="1" x14ac:dyDescent="0.3">
      <c r="A20" s="7"/>
      <c r="B20" s="8"/>
      <c r="C20" s="53"/>
      <c r="E20" s="7"/>
      <c r="F20" s="8"/>
      <c r="G20" s="53"/>
    </row>
    <row r="21" spans="1:7" ht="15.75" x14ac:dyDescent="0.25">
      <c r="A21" s="1" t="s">
        <v>16</v>
      </c>
      <c r="B21" s="2" t="s">
        <v>1</v>
      </c>
      <c r="C21" s="51">
        <f>'[3]FTR Packaging'!$L$169</f>
        <v>1</v>
      </c>
      <c r="E21" s="1" t="s">
        <v>16</v>
      </c>
      <c r="F21" s="2" t="s">
        <v>1</v>
      </c>
      <c r="G21" s="51">
        <f>'[6]FTR Packaging'!$L$72</f>
        <v>0.92307692307692313</v>
      </c>
    </row>
    <row r="22" spans="1:7" ht="15.75" x14ac:dyDescent="0.25">
      <c r="A22" s="4" t="s">
        <v>18</v>
      </c>
      <c r="B22" s="5" t="s">
        <v>1</v>
      </c>
      <c r="C22" s="54">
        <f>'[3]FTR Packaging'!$F$169</f>
        <v>18.7</v>
      </c>
      <c r="E22" s="4" t="s">
        <v>18</v>
      </c>
      <c r="F22" s="5" t="s">
        <v>1</v>
      </c>
      <c r="G22" s="54">
        <f>'[6]FTR Packaging'!$F$72</f>
        <v>0.92307692307692313</v>
      </c>
    </row>
    <row r="23" spans="1:7" ht="15.75" x14ac:dyDescent="0.25">
      <c r="A23" s="4" t="s">
        <v>19</v>
      </c>
      <c r="B23" s="5" t="s">
        <v>1</v>
      </c>
      <c r="C23" s="54">
        <f>'[3]FTR Packaging'!$D$169</f>
        <v>276</v>
      </c>
      <c r="E23" s="4" t="s">
        <v>19</v>
      </c>
      <c r="F23" s="5" t="s">
        <v>1</v>
      </c>
      <c r="G23" s="54">
        <f>'[6]FTR Packaging'!$D$72</f>
        <v>1</v>
      </c>
    </row>
    <row r="24" spans="1:7" ht="15.75" x14ac:dyDescent="0.25">
      <c r="A24" s="4" t="s">
        <v>20</v>
      </c>
      <c r="B24" s="5" t="s">
        <v>1</v>
      </c>
      <c r="C24" s="52">
        <f>'[3]FTR Packaging'!$H$169</f>
        <v>7.0000000000000007E-2</v>
      </c>
      <c r="E24" s="4" t="s">
        <v>20</v>
      </c>
      <c r="F24" s="5" t="s">
        <v>1</v>
      </c>
      <c r="G24" s="52">
        <f>'[6]FTR Packaging'!$H$72</f>
        <v>1</v>
      </c>
    </row>
    <row r="25" spans="1:7" ht="15.75" x14ac:dyDescent="0.25">
      <c r="A25" s="4" t="s">
        <v>91</v>
      </c>
      <c r="B25" s="5" t="s">
        <v>1</v>
      </c>
      <c r="C25" s="52">
        <f>'[3]FTR Packaging'!$J$169</f>
        <v>96</v>
      </c>
      <c r="E25" s="4" t="s">
        <v>91</v>
      </c>
      <c r="F25" s="5" t="s">
        <v>1</v>
      </c>
      <c r="G25" s="52">
        <f>'[6]FTR Packaging'!$J$72</f>
        <v>0.96078431372549022</v>
      </c>
    </row>
    <row r="26" spans="1:7" ht="16.5" thickBot="1" x14ac:dyDescent="0.3">
      <c r="A26" s="7"/>
      <c r="B26" s="8"/>
      <c r="C26" s="53"/>
      <c r="E26" s="7"/>
      <c r="F26" s="8"/>
      <c r="G26" s="53"/>
    </row>
    <row r="27" spans="1:7" ht="15.75" x14ac:dyDescent="0.25">
      <c r="A27" s="1" t="s">
        <v>22</v>
      </c>
      <c r="B27" s="2" t="s">
        <v>1</v>
      </c>
      <c r="C27" s="51">
        <v>0.80400000000000005</v>
      </c>
      <c r="E27" s="1" t="s">
        <v>22</v>
      </c>
      <c r="F27" s="2" t="s">
        <v>1</v>
      </c>
      <c r="G27" s="51">
        <f>'March''25 '!C27</f>
        <v>0.80400000000000005</v>
      </c>
    </row>
    <row r="28" spans="1:7" ht="15.75" x14ac:dyDescent="0.25">
      <c r="A28" s="4" t="s">
        <v>23</v>
      </c>
      <c r="B28" s="2" t="s">
        <v>1</v>
      </c>
      <c r="C28" s="54">
        <v>1</v>
      </c>
      <c r="E28" s="4" t="s">
        <v>23</v>
      </c>
      <c r="F28" s="2" t="s">
        <v>1</v>
      </c>
      <c r="G28" s="54">
        <f>'March''25 '!C28</f>
        <v>1</v>
      </c>
    </row>
    <row r="29" spans="1:7" ht="15.75" x14ac:dyDescent="0.25">
      <c r="A29" s="4" t="s">
        <v>24</v>
      </c>
      <c r="B29" s="2" t="s">
        <v>1</v>
      </c>
      <c r="C29" s="54">
        <v>0.80400000000000005</v>
      </c>
      <c r="E29" s="4" t="s">
        <v>24</v>
      </c>
      <c r="F29" s="2" t="s">
        <v>1</v>
      </c>
      <c r="G29" s="54">
        <f>'March''25 '!C29</f>
        <v>0.80400000000000005</v>
      </c>
    </row>
    <row r="30" spans="1:7" ht="16.5" thickBot="1" x14ac:dyDescent="0.3">
      <c r="A30" s="7"/>
      <c r="B30" s="8"/>
      <c r="C30" s="53"/>
      <c r="E30" s="7"/>
      <c r="F30" s="8"/>
      <c r="G30" s="53"/>
    </row>
    <row r="31" spans="1:7" ht="15.75" x14ac:dyDescent="0.25">
      <c r="A31" s="1" t="s">
        <v>25</v>
      </c>
      <c r="B31" s="2" t="s">
        <v>1</v>
      </c>
      <c r="C31" s="51">
        <f>'[3]FTR Finished Product'!$L$225</f>
        <v>0.83673469387755106</v>
      </c>
      <c r="E31" s="1" t="s">
        <v>25</v>
      </c>
      <c r="F31" s="2" t="s">
        <v>1</v>
      </c>
      <c r="G31" s="51">
        <f>'[6]FTR Finished Product'!$M$72</f>
        <v>0.94230769230769229</v>
      </c>
    </row>
    <row r="32" spans="1:7" ht="16.5" thickBot="1" x14ac:dyDescent="0.3">
      <c r="A32" s="4" t="s">
        <v>10</v>
      </c>
      <c r="B32" s="2" t="s">
        <v>1</v>
      </c>
      <c r="C32" s="56">
        <f>'[3]FTR Finished Product'!$J$225</f>
        <v>0.95833333333333337</v>
      </c>
      <c r="E32" s="4" t="s">
        <v>10</v>
      </c>
      <c r="F32" s="2" t="s">
        <v>1</v>
      </c>
      <c r="G32" s="56"/>
    </row>
    <row r="33" spans="1:7" ht="16.5" thickBot="1" x14ac:dyDescent="0.3">
      <c r="A33" s="4" t="s">
        <v>26</v>
      </c>
      <c r="B33" s="2" t="s">
        <v>1</v>
      </c>
      <c r="C33" s="57">
        <f>'[3]FTR Finished Product'!$F$225</f>
        <v>0.9555555555555556</v>
      </c>
      <c r="E33" s="4" t="s">
        <v>26</v>
      </c>
      <c r="F33" s="2" t="s">
        <v>1</v>
      </c>
      <c r="G33" s="57">
        <f>'[6]FTR Finished Product'!$F$72</f>
        <v>1</v>
      </c>
    </row>
    <row r="34" spans="1:7" ht="16.5" thickBot="1" x14ac:dyDescent="0.3">
      <c r="A34" s="4" t="s">
        <v>95</v>
      </c>
      <c r="B34" s="2" t="s">
        <v>1</v>
      </c>
      <c r="C34" s="57">
        <f>'[3]FTR Finished Product'!$D$225</f>
        <v>0.91836734693877553</v>
      </c>
      <c r="E34" s="4" t="s">
        <v>9</v>
      </c>
      <c r="F34" s="2" t="s">
        <v>1</v>
      </c>
      <c r="G34" s="57">
        <f>'[6]FTR Finished Product'!$D$72</f>
        <v>0.94230769230769229</v>
      </c>
    </row>
    <row r="35" spans="1:7" ht="16.5" thickBot="1" x14ac:dyDescent="0.3">
      <c r="A35" s="4" t="s">
        <v>89</v>
      </c>
      <c r="B35" s="2" t="s">
        <v>1</v>
      </c>
      <c r="C35" s="57">
        <f>'[3]FTR Finished Product'!$H$225</f>
        <v>0.95238095238095233</v>
      </c>
      <c r="E35" s="4" t="s">
        <v>89</v>
      </c>
      <c r="F35" s="2" t="s">
        <v>1</v>
      </c>
      <c r="G35" s="57">
        <f>'[6]FTR Finished Product'!$H$72</f>
        <v>1</v>
      </c>
    </row>
    <row r="36" spans="1:7" ht="15.75" thickBot="1" x14ac:dyDescent="0.3">
      <c r="C36" s="58"/>
      <c r="G36" s="58"/>
    </row>
    <row r="37" spans="1:7" ht="15.75" x14ac:dyDescent="0.25">
      <c r="B37" s="142" t="s">
        <v>55</v>
      </c>
      <c r="C37" s="122">
        <f>(C2+C7+C14+C21+C27+C31)/5</f>
        <v>0.96262969739619986</v>
      </c>
      <c r="G37" s="122">
        <f>(G2+G7+G14+G21+G27+G31)/6</f>
        <v>0.80317852262679867</v>
      </c>
    </row>
    <row r="38" spans="1:7" ht="18.75" x14ac:dyDescent="0.3">
      <c r="B38" s="142" t="s">
        <v>35</v>
      </c>
      <c r="C38" s="143">
        <f>AVERAGE('January ''25'!C37,'March''25 '!C37)</f>
        <v>0.83069610683698003</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9553-375F-485A-92BC-311C6A3312EC}">
  <sheetPr>
    <pageSetUpPr fitToPage="1"/>
  </sheetPr>
  <dimension ref="A1:W84"/>
  <sheetViews>
    <sheetView showGridLines="0" tabSelected="1" topLeftCell="A24" zoomScale="110" zoomScaleNormal="110" workbookViewId="0">
      <selection activeCell="S39" sqref="S39"/>
    </sheetView>
  </sheetViews>
  <sheetFormatPr defaultRowHeight="15" x14ac:dyDescent="0.25"/>
  <cols>
    <col min="1" max="1" width="28" customWidth="1"/>
    <col min="3" max="4" width="13.5703125" customWidth="1"/>
    <col min="5" max="5" width="15.140625" customWidth="1"/>
    <col min="6" max="6" width="12.42578125" customWidth="1"/>
    <col min="7" max="7" width="12.28515625" customWidth="1"/>
    <col min="8" max="8" width="10.140625" customWidth="1"/>
    <col min="9" max="9" width="9.42578125" customWidth="1"/>
    <col min="10" max="10" width="10.5703125" customWidth="1"/>
    <col min="11" max="11" width="14.7109375" customWidth="1"/>
    <col min="12" max="12" width="12.42578125" hidden="1" customWidth="1"/>
    <col min="13" max="13" width="15.85546875" hidden="1" customWidth="1"/>
    <col min="14" max="14" width="15.5703125" hidden="1" customWidth="1"/>
    <col min="15" max="15" width="8.85546875" style="85" hidden="1" customWidth="1"/>
  </cols>
  <sheetData>
    <row r="1" spans="1:16" s="146" customFormat="1" ht="24" thickBot="1" x14ac:dyDescent="0.4">
      <c r="A1" s="145"/>
      <c r="C1" s="145" t="s">
        <v>105</v>
      </c>
      <c r="D1" s="145" t="s">
        <v>107</v>
      </c>
      <c r="E1" s="145" t="s">
        <v>106</v>
      </c>
      <c r="F1" s="145" t="s">
        <v>108</v>
      </c>
      <c r="G1" s="145" t="s">
        <v>43</v>
      </c>
      <c r="H1" s="145" t="s">
        <v>109</v>
      </c>
      <c r="I1" s="145" t="s">
        <v>36</v>
      </c>
      <c r="J1" s="145" t="s">
        <v>37</v>
      </c>
      <c r="K1" s="145" t="s">
        <v>38</v>
      </c>
      <c r="L1" s="145" t="s">
        <v>110</v>
      </c>
      <c r="M1" s="145" t="s">
        <v>111</v>
      </c>
      <c r="N1" s="145" t="s">
        <v>112</v>
      </c>
      <c r="O1" s="148" t="s">
        <v>35</v>
      </c>
      <c r="P1" s="145"/>
    </row>
    <row r="2" spans="1:16" ht="15.75" x14ac:dyDescent="0.25">
      <c r="A2" s="1" t="s">
        <v>27</v>
      </c>
      <c r="B2" s="2" t="s">
        <v>1</v>
      </c>
      <c r="C2" s="51">
        <f>'[1]FTR Brewhouse'!$I$172</f>
        <v>0.17333333333333334</v>
      </c>
      <c r="D2" s="51">
        <f>'[1]FTR Brewhouse'!$I$319</f>
        <v>0.1223021582733813</v>
      </c>
      <c r="E2" s="51">
        <f>'[2]FTR Brewhouse'!$I$504</f>
        <v>0.6460674157303371</v>
      </c>
      <c r="F2" s="51">
        <f>'[2]FTR Brewhouse'!$I$656</f>
        <v>0.62328767123287676</v>
      </c>
      <c r="G2" s="51">
        <f>'[2]FTR Brewhouse'!$I$926</f>
        <v>0.2857142857142857</v>
      </c>
      <c r="H2" s="51">
        <f>'[1]FTR Brewhouse'!$I$1086</f>
        <v>0.56097560975609762</v>
      </c>
      <c r="I2" s="51">
        <f>'[1]FTR Brewhouse'!$I$1245</f>
        <v>0.49668874172185429</v>
      </c>
      <c r="J2" s="51">
        <f>'[1]FTR Brewhouse'!$I$1417</f>
        <v>0.60355029585798814</v>
      </c>
      <c r="K2" s="51">
        <f>'[1]FTR Brewhouse'!$I$1579</f>
        <v>0.46400000000000002</v>
      </c>
      <c r="L2" s="51">
        <f>'[2]FTR Brewhouse'!$I$504</f>
        <v>0.6460674157303371</v>
      </c>
      <c r="M2" s="51">
        <f>'[2]FTR Brewhouse'!$I$504</f>
        <v>0.6460674157303371</v>
      </c>
      <c r="N2" s="51">
        <f>'[2]FTR Brewhouse'!$I$504</f>
        <v>0.6460674157303371</v>
      </c>
      <c r="O2" s="51">
        <f>'[2]FTR Brewhouse'!$I$504</f>
        <v>0.6460674157303371</v>
      </c>
    </row>
    <row r="3" spans="1:16" ht="15.75" x14ac:dyDescent="0.25">
      <c r="A3" s="15" t="s">
        <v>28</v>
      </c>
      <c r="B3" s="5" t="s">
        <v>1</v>
      </c>
      <c r="C3" s="52">
        <f>'[2]FTR Brewhouse'!$C$172</f>
        <v>0.89333333333333331</v>
      </c>
      <c r="D3" s="52">
        <f>'[2]FTR Brewhouse'!$C$319</f>
        <v>0.85611510791366907</v>
      </c>
      <c r="E3" s="52">
        <f>'[2]FTR Brewhouse'!$C$504</f>
        <v>0.9157303370786517</v>
      </c>
      <c r="F3" s="52">
        <f>'[2]FTR Brewhouse'!$C$656</f>
        <v>0.96551724137931039</v>
      </c>
      <c r="G3" s="52">
        <f>'[2]FTR Brewhouse'!$C$926</f>
        <v>0.9</v>
      </c>
      <c r="H3" s="52">
        <f>'[1]FTR Brewhouse'!$C$1086</f>
        <v>0.91869918699186992</v>
      </c>
      <c r="I3" s="52">
        <f>'[1]FTR Brewhouse'!$C$1245</f>
        <v>0.92</v>
      </c>
      <c r="J3" s="52">
        <f>'[1]FTR Brewhouse'!$C$1417</f>
        <v>0.91715976331360949</v>
      </c>
      <c r="K3" s="52">
        <f>'[1]FTR Brewhouse'!$C$1579</f>
        <v>0.92</v>
      </c>
      <c r="L3" s="52">
        <f>'[2]FTR Brewhouse'!$C$504</f>
        <v>0.9157303370786517</v>
      </c>
      <c r="M3" s="52">
        <f>'[2]FTR Brewhouse'!$C$504</f>
        <v>0.9157303370786517</v>
      </c>
      <c r="N3" s="52">
        <f>'[2]FTR Brewhouse'!$C$504</f>
        <v>0.9157303370786517</v>
      </c>
      <c r="O3" s="52">
        <f>'[2]FTR Brewhouse'!$C$504</f>
        <v>0.9157303370786517</v>
      </c>
    </row>
    <row r="4" spans="1:16" ht="15.75" x14ac:dyDescent="0.25">
      <c r="A4" s="4" t="s">
        <v>87</v>
      </c>
      <c r="B4" s="5" t="s">
        <v>1</v>
      </c>
      <c r="C4" s="54">
        <f>'[2]FTR Brewhouse'!$E$172</f>
        <v>0.18666666666666668</v>
      </c>
      <c r="D4" s="54">
        <f>'[2]FTR Brewhouse'!$E$319</f>
        <v>0.1366906474820144</v>
      </c>
      <c r="E4" s="54">
        <f>'[2]FTR Brewhouse'!$E$504</f>
        <v>0.7078651685393258</v>
      </c>
      <c r="F4" s="54">
        <f>'[2]FTR Brewhouse'!$E$656</f>
        <v>0.64383561643835618</v>
      </c>
      <c r="G4" s="54">
        <f>'[2]FTR Brewhouse'!$E$926</f>
        <v>0.29411764705882354</v>
      </c>
      <c r="H4" s="54">
        <f>'[1]FTR Brewhouse'!$E$1086</f>
        <v>0.5934959349593496</v>
      </c>
      <c r="I4" s="54">
        <f>'[1]FTR Brewhouse'!$E$1245</f>
        <v>0.55629139072847678</v>
      </c>
      <c r="J4" s="54">
        <f>'[1]FTR Brewhouse'!$E$1417</f>
        <v>0.65680473372781067</v>
      </c>
      <c r="K4" s="54">
        <f>'[1]FTR Brewhouse'!$E$1579</f>
        <v>0.48</v>
      </c>
      <c r="L4" s="54">
        <f>'[2]FTR Brewhouse'!$E$504</f>
        <v>0.7078651685393258</v>
      </c>
      <c r="M4" s="54">
        <f>'[2]FTR Brewhouse'!$E$504</f>
        <v>0.7078651685393258</v>
      </c>
      <c r="N4" s="54">
        <f>'[2]FTR Brewhouse'!$E$504</f>
        <v>0.7078651685393258</v>
      </c>
      <c r="O4" s="54">
        <f>'[2]FTR Brewhouse'!$E$504</f>
        <v>0.7078651685393258</v>
      </c>
    </row>
    <row r="5" spans="1:16" ht="15.75" x14ac:dyDescent="0.25">
      <c r="A5" s="4" t="s">
        <v>88</v>
      </c>
      <c r="B5" s="5" t="s">
        <v>1</v>
      </c>
      <c r="C5" s="54">
        <f>'[2]FTR Brewhouse'!$G$172</f>
        <v>1</v>
      </c>
      <c r="D5" s="54">
        <f>'[2]FTR Brewhouse'!$G$319</f>
        <v>0.99212598425196852</v>
      </c>
      <c r="E5" s="54">
        <f>'[2]FTR Brewhouse'!$G$504</f>
        <v>0.98561151079136688</v>
      </c>
      <c r="F5" s="54">
        <f>'[2]FTR Brewhouse'!$G$656</f>
        <v>0.9921875</v>
      </c>
      <c r="G5" s="54">
        <f>'[2]FTR Brewhouse'!$G$926</f>
        <v>1</v>
      </c>
      <c r="H5" s="54">
        <f>'[1]FTR Brewhouse'!$G$1086</f>
        <v>1</v>
      </c>
      <c r="I5" s="54">
        <f>'[1]FTR Brewhouse'!$G$1245</f>
        <v>0.98484848484848486</v>
      </c>
      <c r="J5" s="54">
        <f>'[1]FTR Brewhouse'!$G$1417</f>
        <v>1</v>
      </c>
      <c r="K5" s="54">
        <f>'[1]FTR Brewhouse'!$G$1579</f>
        <v>1</v>
      </c>
      <c r="L5" s="54">
        <f>'[2]FTR Brewhouse'!$G$504</f>
        <v>0.98561151079136688</v>
      </c>
      <c r="M5" s="54">
        <f>'[2]FTR Brewhouse'!$G$504</f>
        <v>0.98561151079136688</v>
      </c>
      <c r="N5" s="54">
        <f>'[2]FTR Brewhouse'!$G$504</f>
        <v>0.98561151079136688</v>
      </c>
      <c r="O5" s="54">
        <f>'[2]FTR Brewhouse'!$G$504</f>
        <v>0.98561151079136688</v>
      </c>
    </row>
    <row r="6" spans="1:16" ht="15.75" x14ac:dyDescent="0.25">
      <c r="A6" s="7"/>
      <c r="B6" s="8"/>
      <c r="C6" s="53"/>
      <c r="D6" s="53"/>
      <c r="E6" s="53"/>
      <c r="F6" s="53"/>
      <c r="G6" s="53"/>
      <c r="H6" s="53"/>
      <c r="I6" s="53"/>
      <c r="J6" s="53"/>
      <c r="K6" s="53"/>
      <c r="L6" s="53"/>
      <c r="M6" s="53"/>
      <c r="N6" s="53"/>
    </row>
    <row r="7" spans="1:16" s="146" customFormat="1" ht="24" thickBot="1" x14ac:dyDescent="0.4">
      <c r="A7" s="145"/>
      <c r="C7" s="145" t="s">
        <v>105</v>
      </c>
      <c r="D7" s="145" t="s">
        <v>107</v>
      </c>
      <c r="E7" s="145" t="s">
        <v>106</v>
      </c>
      <c r="F7" s="145" t="s">
        <v>108</v>
      </c>
      <c r="G7" s="145" t="s">
        <v>43</v>
      </c>
      <c r="H7" s="145" t="s">
        <v>109</v>
      </c>
      <c r="I7" s="145" t="s">
        <v>36</v>
      </c>
      <c r="J7" s="145" t="s">
        <v>37</v>
      </c>
      <c r="K7" s="145" t="s">
        <v>38</v>
      </c>
      <c r="O7" s="149"/>
    </row>
    <row r="8" spans="1:16" ht="15.75" x14ac:dyDescent="0.25">
      <c r="A8" s="1" t="s">
        <v>0</v>
      </c>
      <c r="B8" s="2" t="s">
        <v>1</v>
      </c>
      <c r="C8" s="51">
        <f>'[2]FTR Fermentation'!$P$71</f>
        <v>0.45</v>
      </c>
      <c r="D8" s="51">
        <f>'[2]FTR Fermentation'!$P$112</f>
        <v>0.3</v>
      </c>
      <c r="E8" s="51">
        <f>'[2]FTR Fermentation'!$P$153</f>
        <v>0.5714285714285714</v>
      </c>
      <c r="F8" s="51">
        <f>'[2]FTR Fermentation'!$P$203</f>
        <v>0.55000000000000004</v>
      </c>
      <c r="G8" s="51">
        <f>'[2]FTR Fermentation'!$P$262</f>
        <v>0.2608695652173913</v>
      </c>
      <c r="H8" s="51">
        <f>'[1]FTR Fermentation'!$P$314</f>
        <v>0.33333333333333331</v>
      </c>
      <c r="I8" s="51">
        <f>'[1]FTR Fermentation'!$P$361</f>
        <v>0.37931034482758619</v>
      </c>
      <c r="J8" s="51">
        <f>'[1]FTR Fermentation'!$P$409</f>
        <v>0.47619047619047616</v>
      </c>
      <c r="K8" s="51">
        <f>'[1]FTR Fermentation'!$P$457</f>
        <v>0.39130434782608697</v>
      </c>
      <c r="L8" s="51">
        <f>'[3]FTR Fermentation'!$P$505</f>
        <v>0.625</v>
      </c>
      <c r="M8" s="51">
        <f>'[3]FTR Fermentation'!$P$552</f>
        <v>0.60869565217391308</v>
      </c>
      <c r="N8" s="51">
        <f>'[3]FTR Fermentation'!$P$600</f>
        <v>0.52631578947368418</v>
      </c>
      <c r="O8" s="51">
        <f>'[3]FTR Fermentation'!$P$202</f>
        <v>0.27272727272727271</v>
      </c>
    </row>
    <row r="9" spans="1:16" ht="15.75" x14ac:dyDescent="0.25">
      <c r="A9" s="4" t="s">
        <v>2</v>
      </c>
      <c r="B9" s="5" t="s">
        <v>1</v>
      </c>
      <c r="C9" s="54">
        <f>'[2]FTR Fermentation'!$D$71</f>
        <v>0.5</v>
      </c>
      <c r="D9" s="54">
        <f>'[2]FTR Fermentation'!$D$112</f>
        <v>0.45454545454545453</v>
      </c>
      <c r="E9" s="54">
        <f>'[2]FTR Fermentation'!$D$153</f>
        <v>0.7857142857142857</v>
      </c>
      <c r="F9" s="54">
        <f>'[2]FTR Fermentation'!$D$203</f>
        <v>0.76</v>
      </c>
      <c r="G9" s="54">
        <f>'[2]FTR Fermentation'!$D$262</f>
        <v>0.47058823529411764</v>
      </c>
      <c r="H9" s="54">
        <f>'[1]FTR Fermentation'!$D$314</f>
        <v>0.55555555555555558</v>
      </c>
      <c r="I9" s="54">
        <f>'[1]FTR Fermentation'!$D$361</f>
        <v>0.7857142857142857</v>
      </c>
      <c r="J9" s="54">
        <f>'[1]FTR Fermentation'!$D$409</f>
        <v>0.8928571428571429</v>
      </c>
      <c r="K9" s="54">
        <f>'[1]FTR Fermentation'!$D$457</f>
        <v>0.75</v>
      </c>
      <c r="L9" s="54">
        <f>'[3]FTR Fermentation'!$D$505</f>
        <v>0.88888888888888884</v>
      </c>
      <c r="M9" s="54">
        <f>'[3]FTR Fermentation'!$D$552</f>
        <v>0.79166666666666663</v>
      </c>
      <c r="N9" s="54">
        <f>'[3]FTR Fermentation'!$D$600</f>
        <v>0.70588235294117652</v>
      </c>
      <c r="O9" s="54">
        <f>'[3]FTR Fermentation'!$D$202</f>
        <v>0.69230769230769229</v>
      </c>
    </row>
    <row r="10" spans="1:16" ht="15.75" x14ac:dyDescent="0.25">
      <c r="A10" s="4" t="s">
        <v>3</v>
      </c>
      <c r="B10" s="5" t="s">
        <v>1</v>
      </c>
      <c r="C10" s="54">
        <f>'[2]FTR Fermentation'!$G$71</f>
        <v>1</v>
      </c>
      <c r="D10" s="54">
        <f>'[2]FTR Fermentation'!$G$112</f>
        <v>0.95</v>
      </c>
      <c r="E10" s="54">
        <f>'[2]FTR Fermentation'!$G$153</f>
        <v>0.96296296296296291</v>
      </c>
      <c r="F10" s="54">
        <f>'[2]FTR Fermentation'!$G$203</f>
        <v>1</v>
      </c>
      <c r="G10" s="54">
        <f>'[2]FTR Fermentation'!$G$262</f>
        <v>1</v>
      </c>
      <c r="H10" s="54">
        <f>'[1]FTR Fermentation'!$G$314</f>
        <v>1</v>
      </c>
      <c r="I10" s="54">
        <f>'[1]FTR Fermentation'!$G$361</f>
        <v>0.96296296296296291</v>
      </c>
      <c r="J10" s="54">
        <f>'[1]FTR Fermentation'!$G$409</f>
        <v>1</v>
      </c>
      <c r="K10" s="54">
        <f>'[1]FTR Fermentation'!$G$457</f>
        <v>1</v>
      </c>
      <c r="L10" s="54">
        <f>'[3]FTR Fermentation'!$G$505</f>
        <v>1</v>
      </c>
      <c r="M10" s="54">
        <f>'[3]FTR Fermentation'!$G$552</f>
        <v>1</v>
      </c>
      <c r="N10" s="54">
        <f>'[3]FTR Fermentation'!$G$600</f>
        <v>1</v>
      </c>
      <c r="O10" s="54">
        <f>'[3]FTR Fermentation'!$G$202</f>
        <v>0.96</v>
      </c>
    </row>
    <row r="11" spans="1:16" ht="15.75" x14ac:dyDescent="0.25">
      <c r="A11" s="4" t="s">
        <v>4</v>
      </c>
      <c r="B11" s="5" t="s">
        <v>1</v>
      </c>
      <c r="C11" s="54">
        <f>'[2]FTR Fermentation'!$K$71</f>
        <v>1</v>
      </c>
      <c r="D11" s="54">
        <f>'[2]FTR Fermentation'!$K$112</f>
        <v>1</v>
      </c>
      <c r="E11" s="54">
        <f>'[2]FTR Fermentation'!$K$153</f>
        <v>1</v>
      </c>
      <c r="F11" s="54">
        <f>'[2]FTR Fermentation'!$K$203</f>
        <v>1</v>
      </c>
      <c r="G11" s="54">
        <f>'[2]FTR Fermentation'!$K$262</f>
        <v>1</v>
      </c>
      <c r="H11" s="54">
        <f>'[1]FTR Fermentation'!$K$314</f>
        <v>1</v>
      </c>
      <c r="I11" s="54">
        <f>'[1]FTR Fermentation'!$K$361</f>
        <v>1</v>
      </c>
      <c r="J11" s="54">
        <f>'[1]FTR Fermentation'!$K$409</f>
        <v>1</v>
      </c>
      <c r="K11" s="54">
        <f>'[1]FTR Fermentation'!$K$457</f>
        <v>1</v>
      </c>
      <c r="L11" s="54">
        <f>'[3]FTR Fermentation'!$K$505</f>
        <v>1</v>
      </c>
      <c r="M11" s="54">
        <f>'[3]FTR Fermentation'!$K$552</f>
        <v>1</v>
      </c>
      <c r="N11" s="54">
        <f>'[3]FTR Fermentation'!$K$600</f>
        <v>1</v>
      </c>
      <c r="O11" s="54">
        <f>'[3]FTR Fermentation'!$K$202</f>
        <v>1</v>
      </c>
    </row>
    <row r="12" spans="1:16" ht="15.75" x14ac:dyDescent="0.25">
      <c r="A12" s="4" t="s">
        <v>5</v>
      </c>
      <c r="B12" s="5" t="s">
        <v>1</v>
      </c>
      <c r="C12" s="54">
        <f>'[2]FTR Fermentation'!$M$71</f>
        <v>0.82608695652173914</v>
      </c>
      <c r="D12" s="54">
        <f>'[2]FTR Fermentation'!$M$112</f>
        <v>0.7</v>
      </c>
      <c r="E12" s="54">
        <f>'[2]FTR Fermentation'!$M$153</f>
        <v>0.92592592592592593</v>
      </c>
      <c r="F12" s="54">
        <f>'[2]FTR Fermentation'!$M$203</f>
        <v>0.75</v>
      </c>
      <c r="G12" s="54">
        <f>'[2]FTR Fermentation'!$M$262</f>
        <v>0.95652173913043481</v>
      </c>
      <c r="H12" s="54">
        <f>'[1]FTR Fermentation'!$M$314</f>
        <v>0.75</v>
      </c>
      <c r="I12" s="54">
        <f>'[1]FTR Fermentation'!$M$361</f>
        <v>0.75862068965517238</v>
      </c>
      <c r="J12" s="54">
        <f>'[1]FTR Fermentation'!$M$409</f>
        <v>0.7</v>
      </c>
      <c r="K12" s="54">
        <f>'[1]FTR Fermentation'!$M$457</f>
        <v>0.60869565217391308</v>
      </c>
      <c r="L12" s="54">
        <f>'[3]FTR Fermentation'!$M$505</f>
        <v>0.83333333333333337</v>
      </c>
      <c r="M12" s="54">
        <f>'[3]FTR Fermentation'!$M$552</f>
        <v>0.88</v>
      </c>
      <c r="N12" s="54">
        <f>'[3]FTR Fermentation'!$M$600</f>
        <v>0.8</v>
      </c>
      <c r="O12" s="54">
        <f>'[3]FTR Fermentation'!$M$202</f>
        <v>0.68181818181818177</v>
      </c>
    </row>
    <row r="13" spans="1:16" ht="15.75" x14ac:dyDescent="0.25">
      <c r="A13" s="4" t="s">
        <v>7</v>
      </c>
      <c r="B13" s="5" t="s">
        <v>1</v>
      </c>
      <c r="C13" s="54">
        <f>'[2]FTR Fermentation'!$I$71</f>
        <v>0.94736842105263153</v>
      </c>
      <c r="D13" s="54">
        <f>'[2]FTR Fermentation'!$I$112</f>
        <v>0.88235294117647056</v>
      </c>
      <c r="E13" s="54">
        <f>'[2]FTR Fermentation'!$I$153</f>
        <v>0.88888888888888884</v>
      </c>
      <c r="F13" s="54">
        <f>'[2]FTR Fermentation'!$I$203</f>
        <v>0.7142857142857143</v>
      </c>
      <c r="G13" s="54">
        <f>'[2]FTR Fermentation'!$I$262</f>
        <v>0.91304347826086951</v>
      </c>
      <c r="H13" s="54">
        <f>'[1]FTR Fermentation'!$I$314</f>
        <v>0.77777777777777779</v>
      </c>
      <c r="I13" s="54">
        <f>'[1]FTR Fermentation'!$I$361</f>
        <v>0.69230769230769229</v>
      </c>
      <c r="J13" s="54">
        <f>'[1]FTR Fermentation'!$I$409</f>
        <v>0.76923076923076927</v>
      </c>
      <c r="K13" s="54">
        <f>'[1]FTR Fermentation'!$I$457</f>
        <v>0.91304347826086951</v>
      </c>
      <c r="L13" s="54">
        <f>'[3]FTR Fermentation'!$I$505</f>
        <v>0.86363636363636365</v>
      </c>
      <c r="M13" s="54">
        <f>'[3]FTR Fermentation'!$I$552</f>
        <v>0.96</v>
      </c>
      <c r="N13" s="54">
        <f>'[3]FTR Fermentation'!$I$600</f>
        <v>0.88235294117647056</v>
      </c>
      <c r="O13" s="54">
        <f>'[3]FTR Fermentation'!$I$202</f>
        <v>0.875</v>
      </c>
    </row>
    <row r="14" spans="1:16" ht="15.75" x14ac:dyDescent="0.25">
      <c r="A14" s="7"/>
      <c r="B14" s="8"/>
      <c r="C14" s="53"/>
      <c r="D14" s="53"/>
      <c r="E14" s="53"/>
      <c r="F14" s="53"/>
      <c r="G14" s="53"/>
      <c r="H14" s="53"/>
      <c r="I14" s="53"/>
      <c r="J14" s="53"/>
      <c r="K14" s="53"/>
      <c r="L14" s="53"/>
      <c r="M14" s="53"/>
      <c r="N14" s="53"/>
      <c r="O14" s="53"/>
    </row>
    <row r="15" spans="1:16" s="146" customFormat="1" ht="24" thickBot="1" x14ac:dyDescent="0.4">
      <c r="A15" s="145"/>
      <c r="C15" s="145" t="s">
        <v>105</v>
      </c>
      <c r="D15" s="145" t="s">
        <v>107</v>
      </c>
      <c r="E15" s="145" t="s">
        <v>106</v>
      </c>
      <c r="F15" s="145" t="s">
        <v>108</v>
      </c>
      <c r="G15" s="145" t="s">
        <v>43</v>
      </c>
      <c r="H15" s="145" t="s">
        <v>109</v>
      </c>
      <c r="I15" s="145" t="s">
        <v>36</v>
      </c>
      <c r="J15" s="145" t="s">
        <v>37</v>
      </c>
      <c r="K15" s="145" t="s">
        <v>38</v>
      </c>
      <c r="L15" s="145" t="s">
        <v>110</v>
      </c>
      <c r="O15" s="149"/>
    </row>
    <row r="16" spans="1:16" ht="15.75" x14ac:dyDescent="0.25">
      <c r="A16" s="1" t="s">
        <v>8</v>
      </c>
      <c r="B16" s="2" t="s">
        <v>1</v>
      </c>
      <c r="C16" s="51">
        <f>'[2]FTR BBT'!$N$84</f>
        <v>0.87301587301587302</v>
      </c>
      <c r="D16" s="51">
        <f>'[2]FTR BBT'!$N$178</f>
        <v>0.72727272727272729</v>
      </c>
      <c r="E16" s="51">
        <f>'[2]FTR BBT'!$N$279</f>
        <v>0.75789473684210529</v>
      </c>
      <c r="F16" s="51">
        <f>'[2]FTR BBT'!$N$367</f>
        <v>0.9859154929577465</v>
      </c>
      <c r="G16" s="51">
        <f>'[2]FTR BBT'!$N$465</f>
        <v>0.95454545454545459</v>
      </c>
      <c r="H16" s="51">
        <f>'[1]FTR BBT'!$N$515</f>
        <v>1</v>
      </c>
      <c r="I16" s="51">
        <f>'[1]FTR BBT'!$N$617</f>
        <v>0.93406593406593408</v>
      </c>
      <c r="J16" s="51">
        <f>'[1]FTR BBT'!$N$704</f>
        <v>0.96202531645569622</v>
      </c>
      <c r="K16" s="51">
        <f>'[1]FTR BBT'!$N$790</f>
        <v>0.97916666666666663</v>
      </c>
      <c r="L16" s="51">
        <f>'[3]FTR BBT'!$N$848</f>
        <v>0.89130434782608692</v>
      </c>
      <c r="M16" s="51">
        <f>'[3]FTR BBT'!$N$974</f>
        <v>0.88732394366197187</v>
      </c>
      <c r="N16" s="51">
        <f>'[3]FTR BBT'!$N$1126</f>
        <v>0.93069306930693074</v>
      </c>
      <c r="O16" s="51">
        <f>'[3]FTR BBT'!$N$399</f>
        <v>0.85483870967741937</v>
      </c>
    </row>
    <row r="17" spans="1:23" ht="15.75" x14ac:dyDescent="0.25">
      <c r="A17" s="4" t="s">
        <v>95</v>
      </c>
      <c r="B17" s="5" t="s">
        <v>1</v>
      </c>
      <c r="C17" s="55">
        <f>'[2]FTR BBT'!$D$84</f>
        <v>0.98412698412698407</v>
      </c>
      <c r="D17" s="55">
        <f>'[2]FTR BBT'!$D$178</f>
        <v>0.74242424242424243</v>
      </c>
      <c r="E17" s="55">
        <f>'[2]FTR BBT'!$D$279</f>
        <v>0.82474226804123707</v>
      </c>
      <c r="F17" s="55">
        <f>'[2]FTR BBT'!$D$367</f>
        <v>0.9859154929577465</v>
      </c>
      <c r="G17" s="55">
        <f>'[2]FTR BBT'!$D$465</f>
        <v>0.95454545454545459</v>
      </c>
      <c r="H17" s="55">
        <f>'[1]FTR BBT'!$D$515</f>
        <v>1</v>
      </c>
      <c r="I17" s="55">
        <f>'[1]FTR BBT'!$D$617</f>
        <v>0.96739130434782605</v>
      </c>
      <c r="J17" s="55">
        <f>'[1]FTR BBT'!$D$704</f>
        <v>0.98750000000000004</v>
      </c>
      <c r="K17" s="55">
        <f>'[1]FTR BBT'!$D$790</f>
        <v>0.98076923076923073</v>
      </c>
      <c r="L17" s="55">
        <f>'[3]FTR BBT'!$D$848</f>
        <v>0.91304347826086951</v>
      </c>
      <c r="M17" s="55">
        <f>'[3]FTR BBT'!$D$974</f>
        <v>0.97435897435897434</v>
      </c>
      <c r="N17" s="55">
        <f>'[3]FTR BBT'!$D$1126</f>
        <v>0.97058823529411764</v>
      </c>
      <c r="O17" s="55">
        <f>'[3]FTR BBT'!$D$399</f>
        <v>0.88709677419354838</v>
      </c>
      <c r="W17" t="s">
        <v>96</v>
      </c>
    </row>
    <row r="18" spans="1:23" ht="15.75" x14ac:dyDescent="0.25">
      <c r="A18" s="4" t="s">
        <v>10</v>
      </c>
      <c r="B18" s="5" t="s">
        <v>1</v>
      </c>
      <c r="C18" s="56">
        <f>'[2]FTR BBT'!$J$84</f>
        <v>0.95238095238095233</v>
      </c>
      <c r="D18" s="56">
        <f>'[2]FTR BBT'!$J$178</f>
        <v>0.95454545454545459</v>
      </c>
      <c r="E18" s="56">
        <f>'[2]FTR BBT'!$J$279</f>
        <v>0.97938144329896903</v>
      </c>
      <c r="F18" s="56">
        <f>'[2]FTR BBT'!$J$367</f>
        <v>1</v>
      </c>
      <c r="G18" s="56">
        <f>'[2]FTR BBT'!$J$465</f>
        <v>0.98863636363636365</v>
      </c>
      <c r="H18" s="56">
        <f>'[1]FTR BBT'!$J$515</f>
        <v>1</v>
      </c>
      <c r="I18" s="56">
        <f>'[1]FTR BBT'!$J$617</f>
        <v>0.96739130434782605</v>
      </c>
      <c r="J18" s="56">
        <f>'[1]FTR BBT'!$J$704</f>
        <v>0.98750000000000004</v>
      </c>
      <c r="K18" s="56">
        <f>'[1]FTR BBT'!$J$790</f>
        <v>1</v>
      </c>
      <c r="L18" s="56">
        <f>'[3]FTR BBT'!$J$848</f>
        <v>0.97826086956521741</v>
      </c>
      <c r="M18" s="56">
        <f>'[3]FTR BBT'!$J$974</f>
        <v>0.9358974358974359</v>
      </c>
      <c r="N18" s="56">
        <f>'[3]FTR BBT'!$J$1126</f>
        <v>0.98039215686274506</v>
      </c>
      <c r="O18" s="56">
        <f>'[3]FTR BBT'!$J$399</f>
        <v>0.967741935483871</v>
      </c>
    </row>
    <row r="19" spans="1:23" ht="15.75" x14ac:dyDescent="0.25">
      <c r="A19" s="4" t="s">
        <v>13</v>
      </c>
      <c r="B19" s="5" t="s">
        <v>1</v>
      </c>
      <c r="C19" s="55">
        <f>'[2]FTR BBT'!$H$84</f>
        <v>1</v>
      </c>
      <c r="D19" s="55">
        <f>'[2]FTR BBT'!$H$178</f>
        <v>0.92727272727272725</v>
      </c>
      <c r="E19" s="55">
        <f>'[2]FTR BBT'!$H$279</f>
        <v>0.9662921348314607</v>
      </c>
      <c r="F19" s="55">
        <f>'[2]FTR BBT'!$H$367</f>
        <v>1</v>
      </c>
      <c r="G19" s="55">
        <f>'[2]FTR BBT'!$H$465</f>
        <v>1</v>
      </c>
      <c r="H19" s="55">
        <f>'[1]FTR BBT'!$H$515</f>
        <v>1</v>
      </c>
      <c r="I19" s="55">
        <f>'[1]FTR BBT'!$H$617</f>
        <v>1</v>
      </c>
      <c r="J19" s="55">
        <f>'[1]FTR BBT'!$H$704</f>
        <v>0.9859154929577465</v>
      </c>
      <c r="K19" s="55">
        <f>'[1]FTR BBT'!$H$790</f>
        <v>1</v>
      </c>
      <c r="L19" s="55">
        <f>'[3]FTR BBT'!$H$848</f>
        <v>1</v>
      </c>
      <c r="M19" s="55">
        <f>'[3]FTR BBT'!$H$974</f>
        <v>0.98684210526315785</v>
      </c>
      <c r="N19" s="55">
        <f>'[3]FTR BBT'!$H$1126</f>
        <v>0.97938144329896903</v>
      </c>
      <c r="O19" s="55">
        <f>'[3]FTR BBT'!$H$399</f>
        <v>0.98360655737704916</v>
      </c>
    </row>
    <row r="20" spans="1:23" ht="15.75" x14ac:dyDescent="0.25">
      <c r="A20" s="4" t="s">
        <v>14</v>
      </c>
      <c r="B20" s="5" t="s">
        <v>1</v>
      </c>
      <c r="C20" s="55">
        <f>'[2]FTR BBT'!$F$84</f>
        <v>1</v>
      </c>
      <c r="D20" s="55">
        <f>'[2]FTR BBT'!$F$178</f>
        <v>1</v>
      </c>
      <c r="E20" s="55">
        <f>'[2]FTR BBT'!$F$279</f>
        <v>1</v>
      </c>
      <c r="F20" s="55">
        <f>'[2]FTR BBT'!$F$367</f>
        <v>1</v>
      </c>
      <c r="G20" s="55">
        <f>'[2]FTR BBT'!$F$465</f>
        <v>1</v>
      </c>
      <c r="H20" s="55">
        <f>'[1]FTR BBT'!$F$515</f>
        <v>1</v>
      </c>
      <c r="I20" s="55">
        <f>'[1]FTR BBT'!$F$617</f>
        <v>1</v>
      </c>
      <c r="J20" s="55">
        <f>'[1]FTR BBT'!$F$704</f>
        <v>1</v>
      </c>
      <c r="K20" s="55">
        <f>'[1]FTR BBT'!$F$790</f>
        <v>1</v>
      </c>
      <c r="L20" s="55">
        <f>'[3]FTR BBT'!$F$848</f>
        <v>1</v>
      </c>
      <c r="M20" s="55">
        <f>'[3]FTR BBT'!$F$974</f>
        <v>1</v>
      </c>
      <c r="N20" s="55">
        <f>'[3]FTR BBT'!$F$1126</f>
        <v>0.98630136986301364</v>
      </c>
      <c r="O20" s="55">
        <f>'[3]FTR BBT'!$F$399</f>
        <v>1</v>
      </c>
    </row>
    <row r="21" spans="1:23" ht="15.75" x14ac:dyDescent="0.25">
      <c r="A21" s="4" t="s">
        <v>90</v>
      </c>
      <c r="B21" s="5" t="s">
        <v>1</v>
      </c>
      <c r="C21" s="52">
        <f>'[2]FTR BBT'!$L$84</f>
        <v>0.91836734693877553</v>
      </c>
      <c r="D21" s="52">
        <f>'[2]FTR BBT'!$L$178</f>
        <v>1</v>
      </c>
      <c r="E21" s="52">
        <f>'[2]FTR BBT'!$L$279</f>
        <v>0.98684210526315785</v>
      </c>
      <c r="F21" s="52">
        <f>'[2]FTR BBT'!$L$367</f>
        <v>1</v>
      </c>
      <c r="G21" s="52">
        <f>'[2]FTR BBT'!$L$465</f>
        <v>1</v>
      </c>
      <c r="H21" s="52">
        <f>'[1]FTR BBT'!$L$515</f>
        <v>1</v>
      </c>
      <c r="I21" s="52">
        <f>'[1]FTR BBT'!$L$617</f>
        <v>0.98717948717948723</v>
      </c>
      <c r="J21" s="52">
        <f>'[1]FTR BBT'!$L$704</f>
        <v>1</v>
      </c>
      <c r="K21" s="52">
        <f>'[1]FTR BBT'!$L$790</f>
        <v>1</v>
      </c>
      <c r="L21" s="52">
        <f>'[3]FTR BBT'!$L$848</f>
        <v>1</v>
      </c>
      <c r="M21" s="52">
        <f>'[3]FTR BBT'!$L$974</f>
        <v>1</v>
      </c>
      <c r="N21" s="52">
        <f>'[3]FTR BBT'!$L$1126</f>
        <v>1</v>
      </c>
      <c r="O21" s="52">
        <f>'[3]FTR BBT'!$L$399</f>
        <v>1</v>
      </c>
    </row>
    <row r="22" spans="1:23" ht="15.75" x14ac:dyDescent="0.25">
      <c r="A22" s="7"/>
      <c r="B22" s="8"/>
      <c r="C22" s="53"/>
      <c r="D22" s="53"/>
      <c r="E22" s="53"/>
      <c r="F22" s="53"/>
      <c r="G22" s="53"/>
      <c r="H22" s="53"/>
      <c r="I22" s="53"/>
      <c r="J22" s="53"/>
      <c r="K22" s="53"/>
      <c r="L22" s="53"/>
      <c r="M22" s="53"/>
      <c r="N22" s="53"/>
      <c r="O22" s="53"/>
      <c r="R22" t="s">
        <v>96</v>
      </c>
    </row>
    <row r="23" spans="1:23" s="146" customFormat="1" ht="24" thickBot="1" x14ac:dyDescent="0.4">
      <c r="A23" s="145"/>
      <c r="C23" s="145" t="s">
        <v>105</v>
      </c>
      <c r="D23" s="145" t="s">
        <v>107</v>
      </c>
      <c r="E23" s="145" t="s">
        <v>106</v>
      </c>
      <c r="F23" s="145" t="s">
        <v>108</v>
      </c>
      <c r="G23" s="145" t="s">
        <v>43</v>
      </c>
      <c r="H23" s="145" t="s">
        <v>109</v>
      </c>
      <c r="I23" s="145" t="s">
        <v>36</v>
      </c>
      <c r="J23" s="145" t="s">
        <v>37</v>
      </c>
      <c r="K23" s="145" t="s">
        <v>38</v>
      </c>
      <c r="L23" s="145" t="s">
        <v>110</v>
      </c>
      <c r="M23" s="145" t="s">
        <v>111</v>
      </c>
      <c r="N23" s="145" t="s">
        <v>112</v>
      </c>
      <c r="O23" s="145" t="s">
        <v>105</v>
      </c>
    </row>
    <row r="24" spans="1:23" ht="15.75" x14ac:dyDescent="0.25">
      <c r="A24" s="1" t="s">
        <v>16</v>
      </c>
      <c r="B24" s="2" t="s">
        <v>1</v>
      </c>
      <c r="C24" s="151">
        <f>'[1]FTR Packaging'!$L$63</f>
        <v>0.875</v>
      </c>
      <c r="D24" s="51">
        <f>'[1]FTR Packaging'!$L$125</f>
        <v>0.81395348837209303</v>
      </c>
      <c r="E24" s="51">
        <f>'[1]FTR Packaging'!$L$200</f>
        <v>0.85483870967741937</v>
      </c>
      <c r="F24" s="51">
        <f>'[1]FTR Packaging'!$L$256</f>
        <v>0.97826086956521741</v>
      </c>
      <c r="G24" s="51">
        <f>'[1]FTR Packaging'!$L$326</f>
        <v>0.98305084745762716</v>
      </c>
      <c r="H24" s="51">
        <f>'[1]FTR Packaging'!$L$357</f>
        <v>0.20833333333333334</v>
      </c>
      <c r="I24" s="51">
        <f>'[1]FTR Packaging'!$L$430</f>
        <v>0.75</v>
      </c>
      <c r="J24" s="51">
        <f>'[1]FTR Packaging'!$L$486</f>
        <v>0.8</v>
      </c>
      <c r="K24" s="51">
        <f>'[1]FTR Packaging'!$L$558</f>
        <v>0.875</v>
      </c>
      <c r="L24" s="51">
        <f>'[3]FTR Packaging'!$L$590</f>
        <v>0.98461538461538467</v>
      </c>
      <c r="M24" s="51">
        <f>'[3]FTR Packaging'!$L$664</f>
        <v>0.97872340425531912</v>
      </c>
      <c r="N24" s="51">
        <f>'[3]FTR Packaging'!$L$763</f>
        <v>0.92537313432835822</v>
      </c>
      <c r="O24" s="51">
        <f>'[3]FTR Packaging'!$L$519</f>
        <v>0.85245901639344257</v>
      </c>
    </row>
    <row r="25" spans="1:23" ht="15.75" x14ac:dyDescent="0.25">
      <c r="A25" s="4" t="s">
        <v>18</v>
      </c>
      <c r="B25" s="5" t="s">
        <v>1</v>
      </c>
      <c r="C25" s="152">
        <f>'[1]FTR Packaging'!$F$63</f>
        <v>0.8571428571428571</v>
      </c>
      <c r="D25" s="54">
        <f>'[1]FTR Packaging'!$F$125</f>
        <v>0.81818181818181823</v>
      </c>
      <c r="E25" s="54">
        <f>'[1]FTR Packaging'!$F$200</f>
        <v>0.87096774193548387</v>
      </c>
      <c r="F25" s="54">
        <f>'[1]FTR Packaging'!$F$256</f>
        <v>0.97826086956521741</v>
      </c>
      <c r="G25" s="54">
        <f>'[1]FTR Packaging'!$F$326</f>
        <v>0.96721311475409832</v>
      </c>
      <c r="H25" s="54">
        <f>'[1]FTR Packaging'!$F$357</f>
        <v>0.20833333333333334</v>
      </c>
      <c r="I25" s="54">
        <f>'[1]FTR Packaging'!$F$430</f>
        <v>0.73770491803278693</v>
      </c>
      <c r="J25" s="54">
        <f>'[1]FTR Packaging'!$F$486</f>
        <v>0.85365853658536583</v>
      </c>
      <c r="K25" s="54">
        <f>'[1]FTR Packaging'!$F$558</f>
        <v>0.90322580645161288</v>
      </c>
      <c r="L25" s="54">
        <f>'[3]FTR Packaging'!$F$590</f>
        <v>0.98412698412698407</v>
      </c>
      <c r="M25" s="54">
        <f>'[3]FTR Packaging'!$F$664</f>
        <v>0.97872340425531912</v>
      </c>
      <c r="N25" s="54">
        <f>'[3]FTR Packaging'!$F$763</f>
        <v>0.90476190476190477</v>
      </c>
      <c r="O25" s="54">
        <f>'[3]FTR Packaging'!$F$519</f>
        <v>0.9</v>
      </c>
    </row>
    <row r="26" spans="1:23" ht="15.75" x14ac:dyDescent="0.25">
      <c r="A26" s="4" t="s">
        <v>19</v>
      </c>
      <c r="B26" s="5" t="s">
        <v>1</v>
      </c>
      <c r="C26" s="54">
        <f>'[1]FTR Packaging'!$D$63</f>
        <v>1</v>
      </c>
      <c r="D26" s="54">
        <f>'[1]FTR Packaging'!$D$125</f>
        <v>1</v>
      </c>
      <c r="E26" s="54">
        <f>'[1]FTR Packaging'!$D$200</f>
        <v>1</v>
      </c>
      <c r="F26" s="54">
        <f>'[1]FTR Packaging'!$D$256</f>
        <v>1</v>
      </c>
      <c r="G26" s="54">
        <f>'[1]FTR Packaging'!$D$326</f>
        <v>1</v>
      </c>
      <c r="H26" s="54">
        <f>'[1]FTR Packaging'!$D$357</f>
        <v>0.95652173913043481</v>
      </c>
      <c r="I26" s="54">
        <f>'[1]FTR Packaging'!$D$430</f>
        <v>1</v>
      </c>
      <c r="J26" s="54">
        <f>'[1]FTR Packaging'!$D$486</f>
        <v>1</v>
      </c>
      <c r="K26" s="54">
        <f>'[1]FTR Packaging'!$D$558</f>
        <v>1</v>
      </c>
      <c r="L26" s="54">
        <f>'[3]FTR Packaging'!$D$590</f>
        <v>1</v>
      </c>
      <c r="M26" s="54">
        <f>'[3]FTR Packaging'!$D$664</f>
        <v>1</v>
      </c>
      <c r="N26" s="54">
        <f>'[3]FTR Packaging'!$D$763</f>
        <v>1</v>
      </c>
      <c r="O26" s="54">
        <f>'[3]FTR Packaging'!$D$519</f>
        <v>1</v>
      </c>
    </row>
    <row r="27" spans="1:23" ht="15.75" x14ac:dyDescent="0.25">
      <c r="A27" s="4" t="s">
        <v>20</v>
      </c>
      <c r="B27" s="5" t="s">
        <v>1</v>
      </c>
      <c r="C27" s="52">
        <f>'[1]FTR Packaging'!$H$63</f>
        <v>1</v>
      </c>
      <c r="D27" s="52">
        <f>'[1]FTR Packaging'!$H$125</f>
        <v>1</v>
      </c>
      <c r="E27" s="52">
        <f>'[1]FTR Packaging'!$H$200</f>
        <v>1</v>
      </c>
      <c r="F27" s="52">
        <f>'[1]FTR Packaging'!$H$256</f>
        <v>1</v>
      </c>
      <c r="G27" s="52">
        <f>'[1]FTR Packaging'!$H$326</f>
        <v>1</v>
      </c>
      <c r="H27" s="52">
        <f>'[1]FTR Packaging'!$H$357</f>
        <v>1</v>
      </c>
      <c r="I27" s="52">
        <f>'[1]FTR Packaging'!$H$430</f>
        <v>0.98412698412698407</v>
      </c>
      <c r="J27" s="52">
        <f>'[1]FTR Packaging'!$H$486</f>
        <v>1</v>
      </c>
      <c r="K27" s="52">
        <f>'[1]FTR Packaging'!$H$558</f>
        <v>1</v>
      </c>
      <c r="L27" s="52">
        <f>'[3]FTR Packaging'!$H$590</f>
        <v>1</v>
      </c>
      <c r="M27" s="52">
        <f>'[3]FTR Packaging'!$H$664</f>
        <v>1</v>
      </c>
      <c r="N27" s="52">
        <f>'[3]FTR Packaging'!$H$763</f>
        <v>1</v>
      </c>
      <c r="O27" s="52">
        <f>'[3]FTR Packaging'!$H$519</f>
        <v>0.94545454545454544</v>
      </c>
    </row>
    <row r="28" spans="1:23" ht="15.75" x14ac:dyDescent="0.25">
      <c r="A28" s="4" t="s">
        <v>91</v>
      </c>
      <c r="B28" s="5" t="s">
        <v>1</v>
      </c>
      <c r="C28" s="52">
        <f>'[1]FTR Packaging'!$J$63</f>
        <v>1</v>
      </c>
      <c r="D28" s="52">
        <f>'[1]FTR Packaging'!$J$125</f>
        <v>0.97499999999999998</v>
      </c>
      <c r="E28" s="52">
        <f>'[1]FTR Packaging'!$L$200</f>
        <v>0.85483870967741937</v>
      </c>
      <c r="F28" s="52">
        <f>'[1]FTR Packaging'!$L$256</f>
        <v>0.97826086956521741</v>
      </c>
      <c r="G28" s="52">
        <f>'[1]FTR Packaging'!$L$326</f>
        <v>0.98305084745762716</v>
      </c>
      <c r="H28" s="52">
        <f>'[1]FTR Packaging'!$J$357</f>
        <v>1</v>
      </c>
      <c r="I28" s="52">
        <f>'[1]FTR Packaging'!$L$430</f>
        <v>0.75</v>
      </c>
      <c r="J28" s="52">
        <f>'[1]FTR Packaging'!$L$486</f>
        <v>0.8</v>
      </c>
      <c r="K28" s="52">
        <f>'[1]FTR Packaging'!$L$558</f>
        <v>0.875</v>
      </c>
      <c r="L28" s="52">
        <f>'[3]FTR Packaging'!$L$590</f>
        <v>0.98461538461538467</v>
      </c>
      <c r="M28" s="52">
        <f>'[3]FTR Packaging'!$L$664</f>
        <v>0.97872340425531912</v>
      </c>
      <c r="N28" s="52">
        <f>'[3]FTR Packaging'!$L$763</f>
        <v>0.92537313432835822</v>
      </c>
      <c r="O28" s="52">
        <f>'[3]FTR Packaging'!$L$519</f>
        <v>0.85245901639344257</v>
      </c>
    </row>
    <row r="29" spans="1:23" ht="15.75" x14ac:dyDescent="0.25">
      <c r="A29" s="7"/>
      <c r="B29" s="8"/>
      <c r="C29" s="53"/>
      <c r="D29" s="53"/>
      <c r="E29" s="53"/>
      <c r="F29" s="53"/>
      <c r="G29" s="53"/>
      <c r="H29" s="53"/>
      <c r="I29" s="53"/>
      <c r="J29" s="53"/>
      <c r="K29" s="53"/>
      <c r="L29" s="53"/>
      <c r="M29" s="53"/>
      <c r="N29" s="53"/>
      <c r="O29" s="53"/>
    </row>
    <row r="30" spans="1:23" s="146" customFormat="1" ht="24" thickBot="1" x14ac:dyDescent="0.4">
      <c r="A30" s="145"/>
      <c r="C30" s="145" t="s">
        <v>105</v>
      </c>
      <c r="D30" s="145" t="s">
        <v>107</v>
      </c>
      <c r="E30" s="145" t="s">
        <v>106</v>
      </c>
      <c r="F30" s="145" t="s">
        <v>108</v>
      </c>
      <c r="G30" s="145" t="s">
        <v>43</v>
      </c>
      <c r="H30" s="145" t="s">
        <v>109</v>
      </c>
      <c r="I30" s="145" t="s">
        <v>36</v>
      </c>
      <c r="J30" s="145" t="s">
        <v>37</v>
      </c>
      <c r="K30" s="145" t="s">
        <v>38</v>
      </c>
      <c r="L30" s="145" t="s">
        <v>110</v>
      </c>
      <c r="M30" s="145" t="s">
        <v>111</v>
      </c>
      <c r="N30" s="145" t="s">
        <v>112</v>
      </c>
      <c r="O30" s="145"/>
    </row>
    <row r="31" spans="1:23" ht="15.75" x14ac:dyDescent="0.25">
      <c r="A31" s="1" t="s">
        <v>22</v>
      </c>
      <c r="B31" s="2" t="s">
        <v>1</v>
      </c>
      <c r="C31" s="51">
        <v>0.81</v>
      </c>
      <c r="D31" s="51">
        <v>0.81799999999999995</v>
      </c>
      <c r="E31" s="51">
        <v>0.85699999999999998</v>
      </c>
      <c r="F31" s="51">
        <v>0.82699999999999996</v>
      </c>
      <c r="G31" s="51">
        <v>0.82899999999999996</v>
      </c>
      <c r="H31" s="51">
        <v>0.84399999999999997</v>
      </c>
      <c r="I31" s="51">
        <v>0.83399999999999996</v>
      </c>
      <c r="J31" s="51">
        <v>0.82</v>
      </c>
      <c r="K31" s="156">
        <v>0.87</v>
      </c>
      <c r="L31" s="51">
        <v>0.80640000000000001</v>
      </c>
      <c r="M31" s="51">
        <v>0.79859999999999998</v>
      </c>
      <c r="N31" s="51">
        <v>0.79500000000000004</v>
      </c>
    </row>
    <row r="32" spans="1:23" ht="15.75" x14ac:dyDescent="0.25">
      <c r="A32" s="4" t="s">
        <v>23</v>
      </c>
      <c r="B32" s="2" t="s">
        <v>1</v>
      </c>
      <c r="C32" s="54">
        <v>1</v>
      </c>
      <c r="D32" s="54">
        <v>1</v>
      </c>
      <c r="E32" s="54">
        <v>1</v>
      </c>
      <c r="F32" s="54">
        <v>1</v>
      </c>
      <c r="G32" s="54">
        <v>1</v>
      </c>
      <c r="H32" s="54">
        <v>1</v>
      </c>
      <c r="I32" s="54">
        <v>1</v>
      </c>
      <c r="J32" s="54">
        <v>1</v>
      </c>
      <c r="K32" s="54"/>
      <c r="L32" s="54">
        <v>1</v>
      </c>
      <c r="M32" s="54">
        <v>1</v>
      </c>
      <c r="N32" s="54">
        <v>1</v>
      </c>
    </row>
    <row r="33" spans="1:16" ht="15.75" x14ac:dyDescent="0.25">
      <c r="A33" s="4" t="s">
        <v>24</v>
      </c>
      <c r="B33" s="2" t="s">
        <v>1</v>
      </c>
      <c r="C33" s="54">
        <v>0.81</v>
      </c>
      <c r="D33" s="54">
        <v>0.81799999999999995</v>
      </c>
      <c r="E33" s="54">
        <v>0.85699999999999998</v>
      </c>
      <c r="F33" s="54">
        <v>0.82699999999999996</v>
      </c>
      <c r="G33" s="54">
        <v>0.82899999999999996</v>
      </c>
      <c r="H33" s="54">
        <v>0.84399999999999997</v>
      </c>
      <c r="I33" s="54">
        <v>0.83399999999999996</v>
      </c>
      <c r="J33" s="54">
        <v>0.82</v>
      </c>
      <c r="K33" s="54"/>
      <c r="L33" s="54">
        <v>0.80640000000000001</v>
      </c>
      <c r="M33" s="54">
        <v>0.79859999999999998</v>
      </c>
      <c r="N33" s="54">
        <v>0.79500000000000004</v>
      </c>
    </row>
    <row r="34" spans="1:16" ht="15.75" x14ac:dyDescent="0.25">
      <c r="A34" s="7"/>
      <c r="B34" s="8"/>
      <c r="C34" s="53"/>
      <c r="D34" s="53"/>
      <c r="E34" s="53"/>
      <c r="F34" s="53"/>
      <c r="G34" s="53"/>
      <c r="H34" s="53"/>
      <c r="I34" s="53"/>
      <c r="J34" s="53"/>
      <c r="K34" s="53"/>
      <c r="L34" s="53"/>
      <c r="M34" s="53"/>
      <c r="N34" s="53"/>
    </row>
    <row r="35" spans="1:16" s="146" customFormat="1" ht="24" thickBot="1" x14ac:dyDescent="0.4">
      <c r="A35" s="145"/>
      <c r="C35" s="145" t="s">
        <v>105</v>
      </c>
      <c r="D35" s="145" t="s">
        <v>107</v>
      </c>
      <c r="E35" s="145" t="s">
        <v>106</v>
      </c>
      <c r="F35" s="145" t="s">
        <v>108</v>
      </c>
      <c r="G35" s="145" t="s">
        <v>43</v>
      </c>
      <c r="H35" s="145" t="s">
        <v>109</v>
      </c>
      <c r="I35" s="145" t="s">
        <v>36</v>
      </c>
      <c r="J35" s="145" t="s">
        <v>37</v>
      </c>
      <c r="K35" s="145" t="s">
        <v>38</v>
      </c>
      <c r="L35" s="145" t="s">
        <v>110</v>
      </c>
      <c r="M35" s="145" t="s">
        <v>111</v>
      </c>
      <c r="N35" s="145" t="s">
        <v>112</v>
      </c>
      <c r="O35" s="149"/>
    </row>
    <row r="36" spans="1:16" ht="15.75" x14ac:dyDescent="0.25">
      <c r="A36" s="1" t="s">
        <v>25</v>
      </c>
      <c r="B36" s="2" t="s">
        <v>1</v>
      </c>
      <c r="C36" s="51">
        <f>'[1]FTR Finished Product'!$L$61</f>
        <v>0.83333333333333337</v>
      </c>
      <c r="D36" s="51">
        <f>'[1]FTR Finished Product'!$L$123</f>
        <v>0.68888888888888888</v>
      </c>
      <c r="E36" s="51">
        <f>'[1]FTR Finished Product'!$L$195</f>
        <v>0.77419354838709675</v>
      </c>
      <c r="F36" s="51">
        <f>'[1]FTR Finished Product'!$L$250</f>
        <v>0.97826086956521741</v>
      </c>
      <c r="G36" s="51">
        <f>'[1]FTR Finished Product'!$L$318</f>
        <v>0.94</v>
      </c>
      <c r="H36" s="51">
        <f>'[1]FTR Finished Product'!$L$353</f>
        <v>0.91666666666666663</v>
      </c>
      <c r="I36" s="51">
        <f>'[1]FTR Finished Product'!$L$424</f>
        <v>0.92063492063492058</v>
      </c>
      <c r="J36" s="51">
        <f>'[1]FTR Finished Product'!$L$479</f>
        <v>0.97872340425531912</v>
      </c>
      <c r="K36" s="51">
        <f>'[1]FTR Finished Product'!$L$551</f>
        <v>1</v>
      </c>
      <c r="L36" s="51">
        <f>'[2]FTR Finished Product'!$L$195</f>
        <v>0.77419354838709675</v>
      </c>
      <c r="M36" s="51">
        <f>'[2]FTR Finished Product'!$L$195</f>
        <v>0.77419354838709675</v>
      </c>
      <c r="N36" s="51">
        <f>'[2]FTR Finished Product'!$L$195</f>
        <v>0.77419354838709675</v>
      </c>
      <c r="O36" s="51">
        <f>'[2]FTR Finished Product'!$L$195</f>
        <v>0.77419354838709675</v>
      </c>
    </row>
    <row r="37" spans="1:16" ht="16.5" thickBot="1" x14ac:dyDescent="0.3">
      <c r="A37" s="4" t="s">
        <v>10</v>
      </c>
      <c r="B37" s="2" t="s">
        <v>1</v>
      </c>
      <c r="C37" s="56">
        <f>'[1]FTR Finished Product'!$J$61</f>
        <v>0.97368421052631582</v>
      </c>
      <c r="D37" s="56">
        <f>'[1]FTR Finished Product'!$J$123</f>
        <v>1</v>
      </c>
      <c r="E37" s="56">
        <f>'[1]FTR Finished Product'!$J$195</f>
        <v>0.96825396825396826</v>
      </c>
      <c r="F37" s="56">
        <f>'[1]FTR Finished Product'!$J$250</f>
        <v>1</v>
      </c>
      <c r="G37" s="56">
        <f>'[1]FTR Finished Product'!$J$318</f>
        <v>1</v>
      </c>
      <c r="H37" s="56">
        <f>'[1]FTR Finished Product'!$J$353</f>
        <v>0.95833333333333337</v>
      </c>
      <c r="I37" s="56">
        <f>'[1]FTR Finished Product'!$J$424</f>
        <v>0.96721311475409832</v>
      </c>
      <c r="J37" s="56">
        <f>'[1]FTR Finished Product'!$J$479</f>
        <v>0.97916666666666663</v>
      </c>
      <c r="K37" s="56">
        <f>'[1]FTR Finished Product'!$J$551</f>
        <v>1</v>
      </c>
      <c r="L37" s="56">
        <f>'[2]FTR Finished Product'!$J$195</f>
        <v>0.96825396825396826</v>
      </c>
      <c r="M37" s="56">
        <f>'[2]FTR Finished Product'!$J$195</f>
        <v>0.96825396825396826</v>
      </c>
      <c r="N37" s="56">
        <f>'[2]FTR Finished Product'!$J$195</f>
        <v>0.96825396825396826</v>
      </c>
      <c r="O37" s="56">
        <f>'[2]FTR Finished Product'!$J$195</f>
        <v>0.96825396825396826</v>
      </c>
    </row>
    <row r="38" spans="1:16" ht="16.5" thickBot="1" x14ac:dyDescent="0.3">
      <c r="A38" s="4" t="s">
        <v>26</v>
      </c>
      <c r="B38" s="2" t="s">
        <v>1</v>
      </c>
      <c r="C38" s="57">
        <f>'[1]FTR Finished Product'!$F$61</f>
        <v>0.91176470588235292</v>
      </c>
      <c r="D38" s="57">
        <f>'[1]FTR Finished Product'!$F$123</f>
        <v>0.97674418604651159</v>
      </c>
      <c r="E38" s="57">
        <f>'[1]FTR Finished Product'!$F$195</f>
        <v>0.96666666666666667</v>
      </c>
      <c r="F38" s="57">
        <f>'[1]FTR Finished Product'!$F$250</f>
        <v>1</v>
      </c>
      <c r="G38" s="57">
        <f>'[1]FTR Finished Product'!$F$318</f>
        <v>0.93877551020408168</v>
      </c>
      <c r="H38" s="57">
        <f>'[1]FTR Finished Product'!$F$353</f>
        <v>1</v>
      </c>
      <c r="I38" s="57">
        <f>'[1]FTR Finished Product'!$F$424</f>
        <v>1</v>
      </c>
      <c r="J38" s="57">
        <f>'[1]FTR Finished Product'!$F$479</f>
        <v>1</v>
      </c>
      <c r="K38" s="57">
        <f>'[1]FTR Finished Product'!$F$551</f>
        <v>1</v>
      </c>
      <c r="L38" s="57">
        <f>'[2]FTR Finished Product'!$F$195</f>
        <v>0.96666666666666667</v>
      </c>
      <c r="M38" s="57">
        <f>'[2]FTR Finished Product'!$F$195</f>
        <v>0.96666666666666667</v>
      </c>
      <c r="N38" s="57">
        <f>'[2]FTR Finished Product'!$F$195</f>
        <v>0.96666666666666667</v>
      </c>
      <c r="O38" s="57">
        <f>'[2]FTR Finished Product'!$F$195</f>
        <v>0.96666666666666667</v>
      </c>
    </row>
    <row r="39" spans="1:16" ht="16.5" thickBot="1" x14ac:dyDescent="0.3">
      <c r="A39" s="4" t="s">
        <v>95</v>
      </c>
      <c r="B39" s="2" t="s">
        <v>1</v>
      </c>
      <c r="C39" s="57">
        <f>'[1]FTR Finished Product'!$D$61</f>
        <v>0.94736842105263153</v>
      </c>
      <c r="D39" s="57">
        <f>'[1]FTR Finished Product'!$D$123</f>
        <v>0.76744186046511631</v>
      </c>
      <c r="E39" s="57">
        <f>'[1]FTR Finished Product'!$D$195</f>
        <v>0.85483870967741937</v>
      </c>
      <c r="F39" s="57">
        <f>'[1]FTR Finished Product'!$D$250</f>
        <v>0.97826086956521741</v>
      </c>
      <c r="G39" s="57">
        <f>'[1]FTR Finished Product'!$D$318</f>
        <v>1</v>
      </c>
      <c r="H39" s="57">
        <f>'[1]FTR Finished Product'!$D$353</f>
        <v>1</v>
      </c>
      <c r="I39" s="57">
        <f>'[1]FTR Finished Product'!$D$424</f>
        <v>0.95161290322580649</v>
      </c>
      <c r="J39" s="57">
        <f>'[1]FTR Finished Product'!$D$479</f>
        <v>1</v>
      </c>
      <c r="K39" s="57">
        <f>'[1]FTR Finished Product'!$D$551</f>
        <v>1</v>
      </c>
      <c r="L39" s="57">
        <f>'[2]FTR Finished Product'!$D$195</f>
        <v>0.85483870967741937</v>
      </c>
      <c r="M39" s="57">
        <f>'[2]FTR Finished Product'!$D$195</f>
        <v>0.85483870967741937</v>
      </c>
      <c r="N39" s="57">
        <f>'[2]FTR Finished Product'!$D$195</f>
        <v>0.85483870967741937</v>
      </c>
      <c r="O39" s="57">
        <f>'[2]FTR Finished Product'!$D$195</f>
        <v>0.85483870967741937</v>
      </c>
    </row>
    <row r="40" spans="1:16" ht="16.5" thickBot="1" x14ac:dyDescent="0.3">
      <c r="A40" s="4" t="s">
        <v>89</v>
      </c>
      <c r="B40" s="2" t="s">
        <v>1</v>
      </c>
      <c r="C40" s="57">
        <f>'[1]FTR Finished Product'!$H$61</f>
        <v>0.96875</v>
      </c>
      <c r="D40" s="57">
        <f>'[1]FTR Finished Product'!$H$123</f>
        <v>0.88636363636363635</v>
      </c>
      <c r="E40" s="57">
        <f>'[1]FTR Finished Product'!$H$195</f>
        <v>1</v>
      </c>
      <c r="F40" s="57">
        <f>'[1]FTR Finished Product'!$H$250</f>
        <v>1</v>
      </c>
      <c r="G40" s="57">
        <f>'[1]FTR Finished Product'!$H$318</f>
        <v>1</v>
      </c>
      <c r="H40" s="57">
        <f>'[1]FTR Finished Product'!$H$353</f>
        <v>0.95454545454545459</v>
      </c>
      <c r="I40" s="57">
        <f>'[1]FTR Finished Product'!$H$424</f>
        <v>0.9838709677419355</v>
      </c>
      <c r="J40" s="57">
        <f>'[1]FTR Finished Product'!$H$479</f>
        <v>1</v>
      </c>
      <c r="K40" s="57">
        <f>'[1]FTR Finished Product'!$H$551</f>
        <v>1</v>
      </c>
      <c r="L40" s="57">
        <f>'[2]FTR Finished Product'!$H$195</f>
        <v>1</v>
      </c>
      <c r="M40" s="57">
        <f>'[2]FTR Finished Product'!$H$195</f>
        <v>1</v>
      </c>
      <c r="N40" s="57">
        <f>'[2]FTR Finished Product'!$H$195</f>
        <v>1</v>
      </c>
      <c r="O40" s="57">
        <f>'[2]FTR Finished Product'!$H$195</f>
        <v>1</v>
      </c>
    </row>
    <row r="41" spans="1:16" ht="16.5" hidden="1" thickBot="1" x14ac:dyDescent="0.3">
      <c r="A41" s="147"/>
      <c r="C41" s="58"/>
      <c r="D41" s="58"/>
      <c r="E41" s="58"/>
    </row>
    <row r="42" spans="1:16" ht="15.75" x14ac:dyDescent="0.25">
      <c r="B42" s="142" t="s">
        <v>55</v>
      </c>
      <c r="C42" s="122">
        <f>(C2+C8+C16+C24+C31+C36)/6</f>
        <v>0.66911375661375672</v>
      </c>
      <c r="D42" s="122">
        <f>(D2+D8+D16+D24+D31+D36)/6</f>
        <v>0.57840287713451499</v>
      </c>
      <c r="E42" s="122">
        <f t="shared" ref="E42:G42" si="0">(E2+E8+E16+E24+E31+E36)/6</f>
        <v>0.7435704970109217</v>
      </c>
      <c r="F42" s="122">
        <f t="shared" si="0"/>
        <v>0.82378748388684297</v>
      </c>
      <c r="G42" s="122">
        <f t="shared" si="0"/>
        <v>0.70886335882245977</v>
      </c>
      <c r="H42" s="122">
        <f>(H2+H8+H16+H24+H31+H36)/6</f>
        <v>0.64388482384823842</v>
      </c>
      <c r="I42" s="122">
        <f>(I2+I8+I16+I24+I31+I36)/6</f>
        <v>0.71911665687504922</v>
      </c>
      <c r="J42" s="122">
        <f>(J2+J8+J16+J24+J31+J36)/6</f>
        <v>0.77341491545991314</v>
      </c>
      <c r="K42" s="122">
        <f>(K2+K8+K16+K24+K31+K36)/6</f>
        <v>0.76324516908212559</v>
      </c>
      <c r="L42" s="122">
        <f t="shared" ref="L42:M42" si="1">(L2+L8+L16+L24+L31+L36)/6</f>
        <v>0.78793011609315089</v>
      </c>
      <c r="M42" s="122">
        <f t="shared" si="1"/>
        <v>0.78226732736810634</v>
      </c>
      <c r="N42" s="122">
        <f>(N2+N8+N16+N24+N31+N36)/6</f>
        <v>0.76627382620440121</v>
      </c>
      <c r="O42" s="122">
        <f>(O2+O8+O16+O24+O31+O36)/5</f>
        <v>0.68005719258311381</v>
      </c>
      <c r="P42" s="150"/>
    </row>
    <row r="43" spans="1:16" ht="18.75" x14ac:dyDescent="0.3">
      <c r="B43" s="142" t="s">
        <v>35</v>
      </c>
      <c r="C43" s="60"/>
      <c r="D43" s="144">
        <f>AVERAGE(C42,D42)</f>
        <v>0.62375831687413585</v>
      </c>
      <c r="E43" s="144">
        <f>AVERAGE(C42,D42,E42)</f>
        <v>0.66369571025306451</v>
      </c>
      <c r="F43" s="144">
        <f>AVERAGE(C42,D42,E42,F42)</f>
        <v>0.7037186536615091</v>
      </c>
      <c r="G43" s="144">
        <f>AVERAGE(D42,E42,F42,G42,C42)</f>
        <v>0.70474759469369919</v>
      </c>
      <c r="H43" s="144">
        <f>AVERAGE(C42,E42,F42,G42,H42,D42)</f>
        <v>0.69460379955278917</v>
      </c>
      <c r="I43" s="144">
        <f>AVERAGE($C$42:I42)</f>
        <v>0.69810563631311207</v>
      </c>
      <c r="J43" s="144">
        <f>AVERAGE($C$42:J42)</f>
        <v>0.70751929620646214</v>
      </c>
      <c r="K43" s="144">
        <f>AVERAGE($C$42:K42)</f>
        <v>0.7137110598593136</v>
      </c>
      <c r="L43" s="144">
        <f>AVERAGE($C$42:L42)</f>
        <v>0.72113296548269745</v>
      </c>
      <c r="M43" s="144">
        <f>AVERAGE($C$42:M42)</f>
        <v>0.72669063474500728</v>
      </c>
      <c r="N43" s="144">
        <f>AVERAGE($C$42:N42)</f>
        <v>0.72998923403329019</v>
      </c>
      <c r="O43" s="143">
        <f t="shared" ref="O43" si="2">AVERAGE(L42,M42,N42,O42,K42)</f>
        <v>0.75595472626617966</v>
      </c>
    </row>
    <row r="44" spans="1:16" ht="15.75" thickBot="1" x14ac:dyDescent="0.3">
      <c r="B44" t="s">
        <v>31</v>
      </c>
      <c r="C44" s="60">
        <v>0.82</v>
      </c>
    </row>
    <row r="45" spans="1:16" ht="16.5" thickBot="1" x14ac:dyDescent="0.3">
      <c r="B45" s="155">
        <v>2025</v>
      </c>
      <c r="C45" s="153">
        <f>'[4]Summary Report'!C$42</f>
        <v>0.70982918294442687</v>
      </c>
      <c r="D45" s="153">
        <f>'[4]Summary Report'!D42</f>
        <v>0.75197722285824475</v>
      </c>
      <c r="E45" s="153">
        <f>'[4]Summary Report'!E42</f>
        <v>0.78403664939830542</v>
      </c>
      <c r="F45" s="153">
        <f>'[4]Summary Report'!F42</f>
        <v>0.68888480528214613</v>
      </c>
      <c r="G45" s="153">
        <f>'[4]Summary Report'!G42</f>
        <v>0.75529019145030152</v>
      </c>
      <c r="H45" s="153" cm="1">
        <f t="array" ref="H45:N45">'[4]Summary Report'!$H$42:$N$42</f>
        <v>0.73208329470807298</v>
      </c>
      <c r="I45" s="153">
        <v>0.86065081528477316</v>
      </c>
      <c r="J45" s="153">
        <v>0.79568632867531008</v>
      </c>
      <c r="K45" s="153">
        <v>0.81817183778596547</v>
      </c>
      <c r="L45" s="153">
        <v>0.81031318006305053</v>
      </c>
      <c r="M45" s="153">
        <v>0.81945374202433319</v>
      </c>
      <c r="N45" s="153">
        <v>0.79861128456578123</v>
      </c>
    </row>
    <row r="46" spans="1:16" ht="15.75" x14ac:dyDescent="0.25">
      <c r="B46" s="155">
        <v>2024</v>
      </c>
      <c r="C46" s="154">
        <f>'[5]January ''24'!$C$37</f>
        <v>0.81666351295763062</v>
      </c>
      <c r="D46" s="154">
        <f>'[5]February ''24'!$C$38</f>
        <v>0.77628844734077296</v>
      </c>
      <c r="E46" s="154">
        <f>'[5]March ''24'!$C$36</f>
        <v>0.76636541540651137</v>
      </c>
      <c r="F46" s="154">
        <f>'[5]April ''24'!$C$36</f>
        <v>0.76766967736672331</v>
      </c>
      <c r="G46" s="154">
        <f>'[5]May ''24'!$C$36</f>
        <v>0.73306118715428747</v>
      </c>
      <c r="H46" s="154">
        <f>'[5]June ''24 '!$C$36</f>
        <v>0.7198977701736321</v>
      </c>
      <c r="I46" s="154">
        <f>'[5]July ''24'!$C$35</f>
        <v>0.7691059655611755</v>
      </c>
      <c r="J46" s="154">
        <f>'[5]August ''24'!$C$35</f>
        <v>0.86073913717225559</v>
      </c>
      <c r="K46" s="154">
        <f>'[5]September ''24 '!$C$35</f>
        <v>0.7785898416949818</v>
      </c>
      <c r="L46" s="154">
        <f>'[5]October ''24 '!$C$35</f>
        <v>0.77010484544695068</v>
      </c>
      <c r="M46" s="154">
        <f>'[5]November ''24 '!$C$35</f>
        <v>0.70942826398852221</v>
      </c>
      <c r="N46" s="154">
        <f>'[5]December ''24'!$C$35</f>
        <v>0.69609422239974938</v>
      </c>
      <c r="O46"/>
    </row>
    <row r="47" spans="1:16" x14ac:dyDescent="0.25">
      <c r="O47"/>
    </row>
    <row r="48" spans="1:16" x14ac:dyDescent="0.25">
      <c r="O48"/>
    </row>
    <row r="49" spans="15:15" x14ac:dyDescent="0.25">
      <c r="O49"/>
    </row>
    <row r="50" spans="15:15" x14ac:dyDescent="0.25">
      <c r="O50"/>
    </row>
    <row r="51" spans="15:15" x14ac:dyDescent="0.25">
      <c r="O51"/>
    </row>
    <row r="52" spans="15:15" x14ac:dyDescent="0.25">
      <c r="O52"/>
    </row>
    <row r="53" spans="15:15" x14ac:dyDescent="0.25">
      <c r="O53"/>
    </row>
    <row r="54" spans="15:15" x14ac:dyDescent="0.25">
      <c r="O54"/>
    </row>
    <row r="55" spans="15:15" x14ac:dyDescent="0.25">
      <c r="O55"/>
    </row>
    <row r="56" spans="15:15" x14ac:dyDescent="0.25">
      <c r="O56"/>
    </row>
    <row r="57" spans="15:15" x14ac:dyDescent="0.25">
      <c r="O57"/>
    </row>
    <row r="58" spans="15:15" x14ac:dyDescent="0.25">
      <c r="O58"/>
    </row>
    <row r="59" spans="15:15" x14ac:dyDescent="0.25">
      <c r="O59"/>
    </row>
    <row r="60" spans="15:15" x14ac:dyDescent="0.25">
      <c r="O60"/>
    </row>
    <row r="61" spans="15:15" x14ac:dyDescent="0.25">
      <c r="O61"/>
    </row>
    <row r="62" spans="15:15" x14ac:dyDescent="0.25">
      <c r="O62"/>
    </row>
    <row r="63" spans="15:15" x14ac:dyDescent="0.25">
      <c r="O63"/>
    </row>
    <row r="64" spans="15:15" x14ac:dyDescent="0.25">
      <c r="O64"/>
    </row>
    <row r="65" spans="15:15" x14ac:dyDescent="0.25">
      <c r="O65"/>
    </row>
    <row r="66" spans="15:15" x14ac:dyDescent="0.25">
      <c r="O66"/>
    </row>
    <row r="67" spans="15:15" x14ac:dyDescent="0.25">
      <c r="O67"/>
    </row>
    <row r="68" spans="15:15" x14ac:dyDescent="0.25">
      <c r="O68"/>
    </row>
    <row r="69" spans="15:15" x14ac:dyDescent="0.25">
      <c r="O69"/>
    </row>
    <row r="70" spans="15:15" x14ac:dyDescent="0.25">
      <c r="O70"/>
    </row>
    <row r="71" spans="15:15" x14ac:dyDescent="0.25">
      <c r="O71"/>
    </row>
    <row r="72" spans="15:15" x14ac:dyDescent="0.25">
      <c r="O72"/>
    </row>
    <row r="73" spans="15:15" x14ac:dyDescent="0.25">
      <c r="O73"/>
    </row>
    <row r="74" spans="15:15" x14ac:dyDescent="0.25">
      <c r="O74"/>
    </row>
    <row r="75" spans="15:15" x14ac:dyDescent="0.25">
      <c r="O75"/>
    </row>
    <row r="76" spans="15:15" x14ac:dyDescent="0.25">
      <c r="O76"/>
    </row>
    <row r="77" spans="15:15" x14ac:dyDescent="0.25">
      <c r="O77"/>
    </row>
    <row r="78" spans="15:15" x14ac:dyDescent="0.25">
      <c r="O78"/>
    </row>
    <row r="79" spans="15:15" x14ac:dyDescent="0.25">
      <c r="O79"/>
    </row>
    <row r="80" spans="15:15" x14ac:dyDescent="0.25">
      <c r="O80"/>
    </row>
    <row r="81" spans="15:15" x14ac:dyDescent="0.25">
      <c r="O81"/>
    </row>
    <row r="82" spans="15:15" x14ac:dyDescent="0.25">
      <c r="O82"/>
    </row>
    <row r="83" spans="15:15" x14ac:dyDescent="0.25">
      <c r="O83"/>
    </row>
    <row r="84" spans="15:15" x14ac:dyDescent="0.25">
      <c r="O84"/>
    </row>
  </sheetData>
  <phoneticPr fontId="27" type="noConversion"/>
  <pageMargins left="0.7" right="0.7" top="0.75" bottom="0.75" header="0.3" footer="0.3"/>
  <pageSetup scale="45" orientation="portrait"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FA3AB-2A3C-410B-9BF2-28C093775681}">
  <dimension ref="A1"/>
  <sheetViews>
    <sheetView zoomScale="106" zoomScaleNormal="106" workbookViewId="0">
      <selection activeCell="U1" sqref="U1"/>
    </sheetView>
  </sheetViews>
  <sheetFormatPr defaultRowHeight="15" x14ac:dyDescent="0.2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
  <dimension ref="A1:E42"/>
  <sheetViews>
    <sheetView showGridLines="0" workbookViewId="0">
      <selection activeCell="D36" sqref="D36"/>
    </sheetView>
  </sheetViews>
  <sheetFormatPr defaultRowHeight="15" x14ac:dyDescent="0.25"/>
  <cols>
    <col min="1" max="1" width="28" customWidth="1"/>
    <col min="3" max="3" width="9.42578125" bestFit="1" customWidth="1"/>
  </cols>
  <sheetData>
    <row r="1" spans="1:5" s="18" customFormat="1" ht="24" thickBot="1" x14ac:dyDescent="0.4">
      <c r="A1" s="17" t="s">
        <v>30</v>
      </c>
      <c r="C1" s="17" t="s">
        <v>31</v>
      </c>
    </row>
    <row r="2" spans="1:5" ht="16.5" thickBot="1" x14ac:dyDescent="0.3">
      <c r="A2" s="1" t="s">
        <v>27</v>
      </c>
      <c r="B2" s="2" t="s">
        <v>1</v>
      </c>
      <c r="C2" s="12">
        <v>90</v>
      </c>
    </row>
    <row r="3" spans="1:5" ht="15.75" x14ac:dyDescent="0.25">
      <c r="A3" s="15" t="s">
        <v>28</v>
      </c>
      <c r="B3" s="5" t="s">
        <v>1</v>
      </c>
      <c r="C3" s="14">
        <v>94.9</v>
      </c>
      <c r="E3" s="157" t="s">
        <v>32</v>
      </c>
    </row>
    <row r="4" spans="1:5" ht="15.75" x14ac:dyDescent="0.25">
      <c r="A4" s="4" t="s">
        <v>29</v>
      </c>
      <c r="B4" s="5" t="s">
        <v>1</v>
      </c>
      <c r="C4" s="16">
        <v>94.9</v>
      </c>
      <c r="E4" s="157"/>
    </row>
    <row r="5" spans="1:5" ht="3.95" customHeight="1" thickBot="1" x14ac:dyDescent="0.3">
      <c r="A5" s="7"/>
      <c r="B5" s="8"/>
      <c r="C5" s="9"/>
    </row>
    <row r="6" spans="1:5" ht="15.75" x14ac:dyDescent="0.25">
      <c r="A6" s="1" t="s">
        <v>0</v>
      </c>
      <c r="B6" s="2" t="s">
        <v>1</v>
      </c>
      <c r="C6" s="3">
        <v>80</v>
      </c>
    </row>
    <row r="7" spans="1:5" ht="15.75" x14ac:dyDescent="0.25">
      <c r="A7" s="4" t="s">
        <v>2</v>
      </c>
      <c r="B7" s="5" t="s">
        <v>1</v>
      </c>
      <c r="C7" s="6">
        <v>97.2</v>
      </c>
    </row>
    <row r="8" spans="1:5" ht="15.75" x14ac:dyDescent="0.25">
      <c r="A8" s="4" t="s">
        <v>3</v>
      </c>
      <c r="B8" s="5" t="s">
        <v>1</v>
      </c>
      <c r="C8" s="6">
        <v>97.2</v>
      </c>
    </row>
    <row r="9" spans="1:5" ht="15.75" x14ac:dyDescent="0.25">
      <c r="A9" s="4" t="s">
        <v>4</v>
      </c>
      <c r="B9" s="5" t="s">
        <v>1</v>
      </c>
      <c r="C9" s="6">
        <v>97.2</v>
      </c>
    </row>
    <row r="10" spans="1:5" ht="15.75" x14ac:dyDescent="0.25">
      <c r="A10" s="4" t="s">
        <v>5</v>
      </c>
      <c r="B10" s="5" t="s">
        <v>1</v>
      </c>
      <c r="C10" s="6">
        <v>97.2</v>
      </c>
    </row>
    <row r="11" spans="1:5" ht="15.75" x14ac:dyDescent="0.25">
      <c r="A11" s="4" t="s">
        <v>6</v>
      </c>
      <c r="B11" s="5" t="s">
        <v>1</v>
      </c>
      <c r="C11" s="6">
        <v>97.2</v>
      </c>
    </row>
    <row r="12" spans="1:5" ht="15.75" x14ac:dyDescent="0.25">
      <c r="A12" s="4" t="s">
        <v>7</v>
      </c>
      <c r="B12" s="5" t="s">
        <v>1</v>
      </c>
      <c r="C12" s="6">
        <v>97.2</v>
      </c>
    </row>
    <row r="13" spans="1:5" ht="3.95" customHeight="1" x14ac:dyDescent="0.25">
      <c r="A13" s="7"/>
      <c r="B13" s="8"/>
      <c r="C13" s="9"/>
    </row>
    <row r="14" spans="1:5" ht="16.5" thickBot="1" x14ac:dyDescent="0.3">
      <c r="A14" s="1" t="s">
        <v>8</v>
      </c>
      <c r="B14" s="2" t="s">
        <v>1</v>
      </c>
      <c r="C14" s="10">
        <v>80</v>
      </c>
    </row>
    <row r="15" spans="1:5" ht="15.75" x14ac:dyDescent="0.25">
      <c r="A15" s="4" t="s">
        <v>9</v>
      </c>
      <c r="B15" s="5" t="s">
        <v>1</v>
      </c>
      <c r="C15" s="11">
        <v>96.9</v>
      </c>
    </row>
    <row r="16" spans="1:5" ht="15.75" x14ac:dyDescent="0.25">
      <c r="A16" s="4" t="s">
        <v>10</v>
      </c>
      <c r="B16" s="5" t="s">
        <v>1</v>
      </c>
      <c r="C16" s="11">
        <v>96.9</v>
      </c>
    </row>
    <row r="17" spans="1:5" ht="15.75" x14ac:dyDescent="0.25">
      <c r="A17" s="4" t="s">
        <v>11</v>
      </c>
      <c r="B17" s="5" t="s">
        <v>1</v>
      </c>
      <c r="C17" s="11">
        <v>96.9</v>
      </c>
    </row>
    <row r="18" spans="1:5" ht="15.75" x14ac:dyDescent="0.25">
      <c r="A18" s="4" t="s">
        <v>12</v>
      </c>
      <c r="B18" s="5" t="s">
        <v>1</v>
      </c>
      <c r="C18" s="11">
        <v>96.9</v>
      </c>
    </row>
    <row r="19" spans="1:5" ht="15.75" x14ac:dyDescent="0.25">
      <c r="A19" s="4" t="s">
        <v>13</v>
      </c>
      <c r="B19" s="5" t="s">
        <v>1</v>
      </c>
      <c r="C19" s="11">
        <v>96.9</v>
      </c>
    </row>
    <row r="20" spans="1:5" ht="15.75" x14ac:dyDescent="0.25">
      <c r="A20" s="4" t="s">
        <v>14</v>
      </c>
      <c r="B20" s="5" t="s">
        <v>1</v>
      </c>
      <c r="C20" s="11">
        <v>96.9</v>
      </c>
    </row>
    <row r="21" spans="1:5" ht="15.75" x14ac:dyDescent="0.25">
      <c r="A21" s="4" t="s">
        <v>15</v>
      </c>
      <c r="B21" s="5" t="s">
        <v>1</v>
      </c>
      <c r="C21" s="11">
        <v>96.9</v>
      </c>
    </row>
    <row r="22" spans="1:5" ht="3.95" customHeight="1" thickBot="1" x14ac:dyDescent="0.3">
      <c r="A22" s="7"/>
      <c r="B22" s="8"/>
      <c r="C22" s="9"/>
    </row>
    <row r="23" spans="1:5" ht="16.5" thickBot="1" x14ac:dyDescent="0.3">
      <c r="A23" s="1" t="s">
        <v>16</v>
      </c>
      <c r="B23" s="2" t="s">
        <v>1</v>
      </c>
      <c r="C23" s="12">
        <v>70</v>
      </c>
    </row>
    <row r="24" spans="1:5" ht="15.75" x14ac:dyDescent="0.25">
      <c r="A24" s="13" t="s">
        <v>17</v>
      </c>
      <c r="B24" s="2"/>
      <c r="C24" s="3">
        <v>70</v>
      </c>
      <c r="E24" s="157" t="s">
        <v>33</v>
      </c>
    </row>
    <row r="25" spans="1:5" ht="15.75" x14ac:dyDescent="0.25">
      <c r="A25" s="4" t="s">
        <v>18</v>
      </c>
      <c r="B25" s="5" t="s">
        <v>1</v>
      </c>
      <c r="C25" s="6">
        <v>88.9</v>
      </c>
      <c r="E25" s="157"/>
    </row>
    <row r="26" spans="1:5" ht="15.75" x14ac:dyDescent="0.25">
      <c r="A26" s="4" t="s">
        <v>19</v>
      </c>
      <c r="B26" s="5" t="s">
        <v>1</v>
      </c>
      <c r="C26" s="6">
        <v>88.9</v>
      </c>
      <c r="E26" s="157"/>
    </row>
    <row r="27" spans="1:5" ht="15.75" x14ac:dyDescent="0.25">
      <c r="A27" s="4" t="s">
        <v>20</v>
      </c>
      <c r="B27" s="5" t="s">
        <v>1</v>
      </c>
      <c r="C27" s="6">
        <v>88.9</v>
      </c>
      <c r="E27" s="157"/>
    </row>
    <row r="28" spans="1:5" ht="3.95" customHeight="1" x14ac:dyDescent="0.25">
      <c r="A28" s="7"/>
      <c r="B28" s="8"/>
      <c r="C28" s="9"/>
      <c r="E28" s="157"/>
    </row>
    <row r="29" spans="1:5" ht="15.75" x14ac:dyDescent="0.25">
      <c r="A29" s="13" t="s">
        <v>21</v>
      </c>
      <c r="B29" s="2"/>
      <c r="C29" s="14">
        <v>70</v>
      </c>
      <c r="E29" s="157"/>
    </row>
    <row r="30" spans="1:5" ht="15.75" x14ac:dyDescent="0.25">
      <c r="A30" s="4" t="s">
        <v>18</v>
      </c>
      <c r="B30" s="5" t="s">
        <v>1</v>
      </c>
      <c r="C30" s="6">
        <v>88.9</v>
      </c>
    </row>
    <row r="31" spans="1:5" ht="15.75" x14ac:dyDescent="0.25">
      <c r="A31" s="4" t="s">
        <v>19</v>
      </c>
      <c r="B31" s="5" t="s">
        <v>1</v>
      </c>
      <c r="C31" s="6">
        <v>88.9</v>
      </c>
    </row>
    <row r="32" spans="1:5" ht="15.75" x14ac:dyDescent="0.25">
      <c r="A32" s="4" t="s">
        <v>20</v>
      </c>
      <c r="B32" s="5" t="s">
        <v>1</v>
      </c>
      <c r="C32" s="6">
        <v>88.9</v>
      </c>
    </row>
    <row r="33" spans="1:3" ht="3.95" customHeight="1" x14ac:dyDescent="0.25">
      <c r="A33" s="7"/>
      <c r="B33" s="8"/>
      <c r="C33" s="9"/>
    </row>
    <row r="34" spans="1:3" ht="15.75" x14ac:dyDescent="0.25">
      <c r="A34" s="1" t="s">
        <v>22</v>
      </c>
      <c r="B34" s="2" t="s">
        <v>1</v>
      </c>
      <c r="C34" s="14">
        <v>85</v>
      </c>
    </row>
    <row r="35" spans="1:3" ht="15.75" x14ac:dyDescent="0.25">
      <c r="A35" s="4" t="s">
        <v>23</v>
      </c>
      <c r="B35" s="5"/>
      <c r="C35" s="6">
        <v>92.2</v>
      </c>
    </row>
    <row r="36" spans="1:3" ht="15.75" x14ac:dyDescent="0.25">
      <c r="A36" s="4" t="s">
        <v>24</v>
      </c>
      <c r="B36" s="5"/>
      <c r="C36" s="14">
        <v>92.2</v>
      </c>
    </row>
    <row r="37" spans="1:3" ht="3.95" customHeight="1" thickBot="1" x14ac:dyDescent="0.3">
      <c r="A37" s="7"/>
      <c r="B37" s="8"/>
      <c r="C37" s="9"/>
    </row>
    <row r="38" spans="1:3" ht="16.5" thickBot="1" x14ac:dyDescent="0.3">
      <c r="A38" s="1" t="s">
        <v>25</v>
      </c>
      <c r="B38" s="2" t="s">
        <v>1</v>
      </c>
      <c r="C38" s="12">
        <v>75</v>
      </c>
    </row>
    <row r="39" spans="1:3" ht="16.5" thickBot="1" x14ac:dyDescent="0.3">
      <c r="A39" s="4" t="s">
        <v>10</v>
      </c>
      <c r="B39" s="5"/>
      <c r="C39" s="12">
        <v>93</v>
      </c>
    </row>
    <row r="40" spans="1:3" ht="16.5" thickBot="1" x14ac:dyDescent="0.3">
      <c r="A40" s="4" t="s">
        <v>26</v>
      </c>
      <c r="B40" s="5"/>
      <c r="C40" s="12">
        <v>93</v>
      </c>
    </row>
    <row r="41" spans="1:3" ht="16.5" thickBot="1" x14ac:dyDescent="0.3">
      <c r="A41" s="4" t="s">
        <v>9</v>
      </c>
      <c r="B41" s="5"/>
      <c r="C41" s="12">
        <v>93</v>
      </c>
    </row>
    <row r="42" spans="1:3" ht="16.5" thickBot="1" x14ac:dyDescent="0.3">
      <c r="A42" s="4" t="s">
        <v>15</v>
      </c>
      <c r="B42" s="5"/>
      <c r="C42" s="12">
        <v>93</v>
      </c>
    </row>
  </sheetData>
  <mergeCells count="2">
    <mergeCell ref="E3:E4"/>
    <mergeCell ref="E24:E29"/>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3:L43"/>
  <sheetViews>
    <sheetView topLeftCell="A12" workbookViewId="0">
      <selection activeCell="D16" sqref="D16"/>
    </sheetView>
  </sheetViews>
  <sheetFormatPr defaultRowHeight="15" x14ac:dyDescent="0.25"/>
  <cols>
    <col min="2" max="2" width="13.42578125" customWidth="1"/>
    <col min="3" max="3" width="10.42578125" customWidth="1"/>
    <col min="4" max="4" width="13.140625" customWidth="1"/>
    <col min="6" max="6" width="11.85546875" customWidth="1"/>
    <col min="8" max="8" width="13.5703125" customWidth="1"/>
    <col min="10" max="10" width="14.5703125" customWidth="1"/>
  </cols>
  <sheetData>
    <row r="3" spans="2:12" x14ac:dyDescent="0.25">
      <c r="B3" s="24" t="s">
        <v>36</v>
      </c>
      <c r="C3" s="24"/>
      <c r="D3" s="24"/>
      <c r="E3" s="24"/>
      <c r="F3" s="24" t="s">
        <v>37</v>
      </c>
      <c r="G3" s="24"/>
      <c r="H3" s="24"/>
      <c r="I3" s="24"/>
      <c r="J3" s="24" t="s">
        <v>38</v>
      </c>
    </row>
    <row r="5" spans="2:12" ht="24" thickBot="1" x14ac:dyDescent="0.4">
      <c r="B5" s="17" t="s">
        <v>30</v>
      </c>
      <c r="C5" s="18"/>
      <c r="D5" s="17" t="s">
        <v>31</v>
      </c>
      <c r="F5" s="17" t="s">
        <v>30</v>
      </c>
      <c r="G5" s="18"/>
      <c r="H5" s="17" t="s">
        <v>31</v>
      </c>
      <c r="J5" s="17" t="s">
        <v>30</v>
      </c>
      <c r="K5" s="18"/>
      <c r="L5" s="17" t="s">
        <v>31</v>
      </c>
    </row>
    <row r="6" spans="2:12" ht="31.5" x14ac:dyDescent="0.25">
      <c r="B6" s="1" t="s">
        <v>27</v>
      </c>
      <c r="C6" s="2" t="s">
        <v>1</v>
      </c>
      <c r="D6" s="19">
        <f>(D7*D8)/100</f>
        <v>55.2</v>
      </c>
      <c r="F6" s="1" t="s">
        <v>27</v>
      </c>
      <c r="G6" s="2" t="s">
        <v>1</v>
      </c>
      <c r="H6" s="19">
        <f>(H7*H8)/100</f>
        <v>67.760000000000005</v>
      </c>
      <c r="J6" s="1" t="s">
        <v>27</v>
      </c>
      <c r="K6" s="2" t="s">
        <v>1</v>
      </c>
      <c r="L6" s="19">
        <f>(L7*L8)/100</f>
        <v>66.12</v>
      </c>
    </row>
    <row r="7" spans="2:12" ht="31.5" x14ac:dyDescent="0.25">
      <c r="B7" s="15" t="s">
        <v>28</v>
      </c>
      <c r="C7" s="5" t="s">
        <v>1</v>
      </c>
      <c r="D7" s="14">
        <v>80</v>
      </c>
      <c r="F7" s="15" t="s">
        <v>28</v>
      </c>
      <c r="G7" s="5" t="s">
        <v>1</v>
      </c>
      <c r="H7" s="14">
        <v>88</v>
      </c>
      <c r="J7" s="15" t="s">
        <v>28</v>
      </c>
      <c r="K7" s="5" t="s">
        <v>1</v>
      </c>
      <c r="L7" s="14">
        <v>87</v>
      </c>
    </row>
    <row r="8" spans="2:12" ht="31.5" x14ac:dyDescent="0.25">
      <c r="B8" s="4" t="s">
        <v>29</v>
      </c>
      <c r="C8" s="5" t="s">
        <v>1</v>
      </c>
      <c r="D8" s="16">
        <v>69</v>
      </c>
      <c r="F8" s="4" t="s">
        <v>29</v>
      </c>
      <c r="G8" s="5" t="s">
        <v>1</v>
      </c>
      <c r="H8" s="16">
        <v>77</v>
      </c>
      <c r="J8" s="4" t="s">
        <v>29</v>
      </c>
      <c r="K8" s="5" t="s">
        <v>1</v>
      </c>
      <c r="L8" s="16">
        <v>76</v>
      </c>
    </row>
    <row r="9" spans="2:12" ht="16.5" thickBot="1" x14ac:dyDescent="0.3">
      <c r="B9" s="7"/>
      <c r="C9" s="8"/>
      <c r="D9" s="9"/>
      <c r="F9" s="7"/>
      <c r="G9" s="8"/>
      <c r="H9" s="9"/>
      <c r="J9" s="7"/>
      <c r="K9" s="8"/>
      <c r="L9" s="9"/>
    </row>
    <row r="10" spans="2:12" ht="47.25" x14ac:dyDescent="0.25">
      <c r="B10" s="1" t="s">
        <v>0</v>
      </c>
      <c r="C10" s="2" t="s">
        <v>1</v>
      </c>
      <c r="D10" s="19">
        <f>((D11*D12*D13*D14*D16)/10000000000)*100</f>
        <v>46.007100000000001</v>
      </c>
      <c r="F10" s="1" t="s">
        <v>0</v>
      </c>
      <c r="G10" s="2" t="s">
        <v>1</v>
      </c>
      <c r="H10" s="19">
        <f>((H11*H12*H13*H14*H16)/10000000000)*100</f>
        <v>90.25</v>
      </c>
      <c r="J10" s="1" t="s">
        <v>0</v>
      </c>
      <c r="K10" s="2" t="s">
        <v>1</v>
      </c>
      <c r="L10" s="19">
        <f>((L11*L12*L13*L14*L16)/10000000000)*100</f>
        <v>89.3</v>
      </c>
    </row>
    <row r="11" spans="2:12" ht="31.5" x14ac:dyDescent="0.25">
      <c r="B11" s="4" t="s">
        <v>2</v>
      </c>
      <c r="C11" s="5" t="s">
        <v>1</v>
      </c>
      <c r="D11" s="6">
        <v>97</v>
      </c>
      <c r="F11" s="4" t="s">
        <v>2</v>
      </c>
      <c r="G11" s="5" t="s">
        <v>1</v>
      </c>
      <c r="H11" s="6">
        <v>100</v>
      </c>
      <c r="J11" s="4" t="s">
        <v>2</v>
      </c>
      <c r="K11" s="5" t="s">
        <v>1</v>
      </c>
      <c r="L11" s="6">
        <v>100</v>
      </c>
    </row>
    <row r="12" spans="2:12" ht="31.5" x14ac:dyDescent="0.25">
      <c r="B12" s="4" t="s">
        <v>3</v>
      </c>
      <c r="C12" s="5" t="s">
        <v>1</v>
      </c>
      <c r="D12" s="6">
        <v>93</v>
      </c>
      <c r="F12" s="4" t="s">
        <v>3</v>
      </c>
      <c r="G12" s="5" t="s">
        <v>1</v>
      </c>
      <c r="H12" s="6">
        <v>95</v>
      </c>
      <c r="J12" s="4" t="s">
        <v>3</v>
      </c>
      <c r="K12" s="5" t="s">
        <v>1</v>
      </c>
      <c r="L12" s="6">
        <v>100</v>
      </c>
    </row>
    <row r="13" spans="2:12" ht="31.5" x14ac:dyDescent="0.25">
      <c r="B13" s="4" t="s">
        <v>4</v>
      </c>
      <c r="C13" s="5" t="s">
        <v>1</v>
      </c>
      <c r="D13" s="6">
        <v>100</v>
      </c>
      <c r="F13" s="4" t="s">
        <v>4</v>
      </c>
      <c r="G13" s="5" t="s">
        <v>1</v>
      </c>
      <c r="H13" s="6">
        <v>100</v>
      </c>
      <c r="J13" s="4" t="s">
        <v>4</v>
      </c>
      <c r="K13" s="5" t="s">
        <v>1</v>
      </c>
      <c r="L13" s="6">
        <v>100</v>
      </c>
    </row>
    <row r="14" spans="2:12" ht="47.25" x14ac:dyDescent="0.25">
      <c r="B14" s="4" t="s">
        <v>5</v>
      </c>
      <c r="C14" s="5" t="s">
        <v>1</v>
      </c>
      <c r="D14" s="6">
        <v>85</v>
      </c>
      <c r="F14" s="4" t="s">
        <v>5</v>
      </c>
      <c r="G14" s="5" t="s">
        <v>1</v>
      </c>
      <c r="H14" s="6">
        <v>100</v>
      </c>
      <c r="J14" s="4" t="s">
        <v>5</v>
      </c>
      <c r="K14" s="5" t="s">
        <v>1</v>
      </c>
      <c r="L14" s="6">
        <v>94</v>
      </c>
    </row>
    <row r="15" spans="2:12" ht="31.5" x14ac:dyDescent="0.25">
      <c r="B15" s="4" t="s">
        <v>6</v>
      </c>
      <c r="C15" s="5" t="s">
        <v>1</v>
      </c>
      <c r="D15" s="6" t="s">
        <v>34</v>
      </c>
      <c r="F15" s="4" t="s">
        <v>6</v>
      </c>
      <c r="G15" s="5" t="s">
        <v>1</v>
      </c>
      <c r="H15" s="6" t="s">
        <v>34</v>
      </c>
      <c r="J15" s="4" t="s">
        <v>6</v>
      </c>
      <c r="K15" s="5" t="s">
        <v>1</v>
      </c>
      <c r="L15" s="6" t="s">
        <v>34</v>
      </c>
    </row>
    <row r="16" spans="2:12" ht="31.5" x14ac:dyDescent="0.25">
      <c r="B16" s="4" t="s">
        <v>7</v>
      </c>
      <c r="C16" s="5" t="s">
        <v>1</v>
      </c>
      <c r="D16" s="6">
        <v>60</v>
      </c>
      <c r="F16" s="4" t="s">
        <v>7</v>
      </c>
      <c r="G16" s="5" t="s">
        <v>1</v>
      </c>
      <c r="H16" s="6">
        <v>95</v>
      </c>
      <c r="J16" s="4" t="s">
        <v>7</v>
      </c>
      <c r="K16" s="5" t="s">
        <v>1</v>
      </c>
      <c r="L16" s="6">
        <v>95</v>
      </c>
    </row>
    <row r="17" spans="2:12" ht="16.5" thickBot="1" x14ac:dyDescent="0.3">
      <c r="B17" s="7"/>
      <c r="C17" s="8"/>
      <c r="D17" s="9"/>
      <c r="F17" s="7"/>
      <c r="G17" s="8"/>
      <c r="H17" s="9"/>
      <c r="J17" s="7"/>
      <c r="K17" s="8"/>
      <c r="L17" s="9"/>
    </row>
    <row r="18" spans="2:12" ht="15.75" x14ac:dyDescent="0.25">
      <c r="B18" s="1" t="s">
        <v>8</v>
      </c>
      <c r="C18" s="2" t="s">
        <v>1</v>
      </c>
      <c r="D18" s="19">
        <f>((D19*D20*D23*D24)/100000000)*100</f>
        <v>15.681600000000001</v>
      </c>
      <c r="F18" s="1" t="s">
        <v>8</v>
      </c>
      <c r="G18" s="2" t="s">
        <v>1</v>
      </c>
      <c r="H18" s="19">
        <f>((H19*H20*H23*H24)/100000000)*100</f>
        <v>17.100000000000001</v>
      </c>
      <c r="J18" s="1" t="s">
        <v>8</v>
      </c>
      <c r="K18" s="2" t="s">
        <v>1</v>
      </c>
      <c r="L18" s="19">
        <f>((L19*L20*L23*L24)/100000000)*100</f>
        <v>14.337400000000001</v>
      </c>
    </row>
    <row r="19" spans="2:12" ht="31.5" x14ac:dyDescent="0.25">
      <c r="B19" s="4" t="s">
        <v>9</v>
      </c>
      <c r="C19" s="5" t="s">
        <v>1</v>
      </c>
      <c r="D19" s="11">
        <v>72</v>
      </c>
      <c r="F19" s="4" t="s">
        <v>9</v>
      </c>
      <c r="G19" s="5" t="s">
        <v>1</v>
      </c>
      <c r="H19" s="11">
        <v>100</v>
      </c>
      <c r="J19" s="4" t="s">
        <v>9</v>
      </c>
      <c r="K19" s="5" t="s">
        <v>1</v>
      </c>
      <c r="L19" s="11">
        <v>77</v>
      </c>
    </row>
    <row r="20" spans="2:12" ht="15.75" x14ac:dyDescent="0.25">
      <c r="B20" s="4" t="s">
        <v>10</v>
      </c>
      <c r="C20" s="5" t="s">
        <v>1</v>
      </c>
      <c r="D20" s="21">
        <v>22</v>
      </c>
      <c r="F20" s="4" t="s">
        <v>10</v>
      </c>
      <c r="G20" s="5" t="s">
        <v>1</v>
      </c>
      <c r="H20" s="21">
        <v>18</v>
      </c>
      <c r="J20" s="4" t="s">
        <v>10</v>
      </c>
      <c r="K20" s="5" t="s">
        <v>1</v>
      </c>
      <c r="L20" s="21">
        <v>28</v>
      </c>
    </row>
    <row r="21" spans="2:12" ht="15.75" x14ac:dyDescent="0.25">
      <c r="B21" s="4" t="s">
        <v>11</v>
      </c>
      <c r="C21" s="5" t="s">
        <v>1</v>
      </c>
      <c r="D21" s="11" t="s">
        <v>34</v>
      </c>
      <c r="F21" s="4" t="s">
        <v>11</v>
      </c>
      <c r="G21" s="5" t="s">
        <v>1</v>
      </c>
      <c r="H21" s="11" t="s">
        <v>34</v>
      </c>
      <c r="J21" s="4" t="s">
        <v>11</v>
      </c>
      <c r="K21" s="5" t="s">
        <v>1</v>
      </c>
      <c r="L21" s="11" t="s">
        <v>34</v>
      </c>
    </row>
    <row r="22" spans="2:12" ht="15.75" x14ac:dyDescent="0.25">
      <c r="B22" s="4" t="s">
        <v>12</v>
      </c>
      <c r="C22" s="5" t="s">
        <v>1</v>
      </c>
      <c r="D22" s="11" t="s">
        <v>34</v>
      </c>
      <c r="F22" s="4" t="s">
        <v>12</v>
      </c>
      <c r="G22" s="5" t="s">
        <v>1</v>
      </c>
      <c r="H22" s="11" t="s">
        <v>34</v>
      </c>
      <c r="J22" s="4" t="s">
        <v>12</v>
      </c>
      <c r="K22" s="5" t="s">
        <v>1</v>
      </c>
      <c r="L22" s="11" t="s">
        <v>34</v>
      </c>
    </row>
    <row r="23" spans="2:12" ht="15.75" x14ac:dyDescent="0.25">
      <c r="B23" s="4" t="s">
        <v>13</v>
      </c>
      <c r="C23" s="5" t="s">
        <v>1</v>
      </c>
      <c r="D23" s="11">
        <v>99</v>
      </c>
      <c r="F23" s="4" t="s">
        <v>13</v>
      </c>
      <c r="G23" s="5" t="s">
        <v>1</v>
      </c>
      <c r="H23" s="11">
        <v>95</v>
      </c>
      <c r="J23" s="4" t="s">
        <v>13</v>
      </c>
      <c r="K23" s="5" t="s">
        <v>1</v>
      </c>
      <c r="L23" s="11">
        <v>95</v>
      </c>
    </row>
    <row r="24" spans="2:12" ht="15.75" x14ac:dyDescent="0.25">
      <c r="B24" s="4" t="s">
        <v>14</v>
      </c>
      <c r="C24" s="5" t="s">
        <v>1</v>
      </c>
      <c r="D24" s="11">
        <v>100</v>
      </c>
      <c r="F24" s="4" t="s">
        <v>14</v>
      </c>
      <c r="G24" s="5" t="s">
        <v>1</v>
      </c>
      <c r="H24" s="11">
        <v>100</v>
      </c>
      <c r="J24" s="4" t="s">
        <v>14</v>
      </c>
      <c r="K24" s="5" t="s">
        <v>1</v>
      </c>
      <c r="L24" s="11">
        <v>70</v>
      </c>
    </row>
    <row r="25" spans="2:12" ht="15.75" x14ac:dyDescent="0.25">
      <c r="B25" s="4" t="s">
        <v>15</v>
      </c>
      <c r="C25" s="5" t="s">
        <v>1</v>
      </c>
      <c r="D25" s="11" t="s">
        <v>34</v>
      </c>
      <c r="F25" s="4" t="s">
        <v>15</v>
      </c>
      <c r="G25" s="5" t="s">
        <v>1</v>
      </c>
      <c r="H25" s="11" t="s">
        <v>34</v>
      </c>
      <c r="J25" s="4" t="s">
        <v>15</v>
      </c>
      <c r="K25" s="5" t="s">
        <v>1</v>
      </c>
      <c r="L25" s="11" t="s">
        <v>34</v>
      </c>
    </row>
    <row r="26" spans="2:12" ht="16.5" thickBot="1" x14ac:dyDescent="0.3">
      <c r="B26" s="7"/>
      <c r="C26" s="8"/>
      <c r="D26" s="9"/>
      <c r="F26" s="7"/>
      <c r="G26" s="8"/>
      <c r="H26" s="9"/>
      <c r="J26" s="7"/>
      <c r="K26" s="8"/>
      <c r="L26" s="9"/>
    </row>
    <row r="27" spans="2:12" ht="31.5" x14ac:dyDescent="0.25">
      <c r="B27" s="1" t="s">
        <v>16</v>
      </c>
      <c r="C27" s="2" t="s">
        <v>1</v>
      </c>
      <c r="D27" s="19">
        <f>((D28*D29)/10000)*100</f>
        <v>32.550000000000004</v>
      </c>
      <c r="F27" s="1" t="s">
        <v>16</v>
      </c>
      <c r="G27" s="2" t="s">
        <v>1</v>
      </c>
      <c r="H27" s="19">
        <f>((H28*H29)/10000)*100</f>
        <v>26</v>
      </c>
      <c r="J27" s="1" t="s">
        <v>16</v>
      </c>
      <c r="K27" s="2" t="s">
        <v>1</v>
      </c>
      <c r="L27" s="19">
        <f>((L28*L29)/10000)*100</f>
        <v>21.62</v>
      </c>
    </row>
    <row r="28" spans="2:12" ht="15.75" x14ac:dyDescent="0.25">
      <c r="B28" s="4" t="s">
        <v>18</v>
      </c>
      <c r="C28" s="5" t="s">
        <v>1</v>
      </c>
      <c r="D28" s="6">
        <v>35</v>
      </c>
      <c r="F28" s="4" t="s">
        <v>18</v>
      </c>
      <c r="G28" s="5" t="s">
        <v>1</v>
      </c>
      <c r="H28" s="6">
        <v>26</v>
      </c>
      <c r="J28" s="4" t="s">
        <v>18</v>
      </c>
      <c r="K28" s="5" t="s">
        <v>1</v>
      </c>
      <c r="L28" s="6">
        <v>23</v>
      </c>
    </row>
    <row r="29" spans="2:12" ht="15.75" x14ac:dyDescent="0.25">
      <c r="B29" s="4" t="s">
        <v>19</v>
      </c>
      <c r="C29" s="5" t="s">
        <v>1</v>
      </c>
      <c r="D29" s="6">
        <v>93</v>
      </c>
      <c r="F29" s="4" t="s">
        <v>19</v>
      </c>
      <c r="G29" s="5" t="s">
        <v>1</v>
      </c>
      <c r="H29" s="6">
        <v>100</v>
      </c>
      <c r="J29" s="4" t="s">
        <v>19</v>
      </c>
      <c r="K29" s="5" t="s">
        <v>1</v>
      </c>
      <c r="L29" s="6">
        <v>94</v>
      </c>
    </row>
    <row r="30" spans="2:12" ht="15.75" x14ac:dyDescent="0.25">
      <c r="B30" s="4" t="s">
        <v>20</v>
      </c>
      <c r="C30" s="5" t="s">
        <v>1</v>
      </c>
      <c r="D30" s="6" t="s">
        <v>34</v>
      </c>
      <c r="F30" s="4" t="s">
        <v>20</v>
      </c>
      <c r="G30" s="5" t="s">
        <v>1</v>
      </c>
      <c r="H30" s="6" t="s">
        <v>34</v>
      </c>
      <c r="J30" s="4" t="s">
        <v>20</v>
      </c>
      <c r="K30" s="5" t="s">
        <v>1</v>
      </c>
      <c r="L30" s="6" t="s">
        <v>34</v>
      </c>
    </row>
    <row r="31" spans="2:12" ht="15.75" x14ac:dyDescent="0.25">
      <c r="B31" s="7"/>
      <c r="C31" s="8"/>
      <c r="D31" s="9"/>
      <c r="F31" s="7"/>
      <c r="G31" s="8"/>
      <c r="H31" s="9"/>
      <c r="J31" s="7"/>
      <c r="K31" s="8"/>
      <c r="L31" s="9"/>
    </row>
    <row r="32" spans="2:12" ht="16.5" thickBot="1" x14ac:dyDescent="0.3">
      <c r="B32" s="7"/>
      <c r="C32" s="8"/>
      <c r="D32" s="9"/>
      <c r="F32" s="7"/>
      <c r="G32" s="8"/>
      <c r="H32" s="9"/>
      <c r="J32" s="7"/>
      <c r="K32" s="8"/>
      <c r="L32" s="9"/>
    </row>
    <row r="33" spans="2:12" ht="15.75" x14ac:dyDescent="0.25">
      <c r="B33" s="1" t="s">
        <v>22</v>
      </c>
      <c r="C33" s="2" t="s">
        <v>1</v>
      </c>
      <c r="D33" s="19">
        <f>(D34*D35)/100</f>
        <v>10.37</v>
      </c>
      <c r="F33" s="1" t="s">
        <v>22</v>
      </c>
      <c r="G33" s="2" t="s">
        <v>1</v>
      </c>
      <c r="H33" s="19">
        <f>(H34*H35)/100</f>
        <v>34.9</v>
      </c>
      <c r="J33" s="1" t="s">
        <v>22</v>
      </c>
      <c r="K33" s="2" t="s">
        <v>1</v>
      </c>
      <c r="L33" s="19">
        <f>(L34*L35)/100</f>
        <v>71.3</v>
      </c>
    </row>
    <row r="34" spans="2:12" ht="47.25" x14ac:dyDescent="0.25">
      <c r="B34" s="4" t="s">
        <v>23</v>
      </c>
      <c r="C34" s="5"/>
      <c r="D34" s="6">
        <v>100</v>
      </c>
      <c r="F34" s="4" t="s">
        <v>23</v>
      </c>
      <c r="G34" s="5"/>
      <c r="H34" s="6">
        <v>100</v>
      </c>
      <c r="J34" s="4" t="s">
        <v>23</v>
      </c>
      <c r="K34" s="5"/>
      <c r="L34" s="6">
        <v>100</v>
      </c>
    </row>
    <row r="35" spans="2:12" ht="47.25" x14ac:dyDescent="0.25">
      <c r="B35" s="4" t="s">
        <v>24</v>
      </c>
      <c r="C35" s="5"/>
      <c r="D35" s="6">
        <v>10.37</v>
      </c>
      <c r="F35" s="4" t="s">
        <v>24</v>
      </c>
      <c r="G35" s="5"/>
      <c r="H35" s="6">
        <v>34.9</v>
      </c>
      <c r="J35" s="4" t="s">
        <v>24</v>
      </c>
      <c r="K35" s="5"/>
      <c r="L35" s="6">
        <v>71.3</v>
      </c>
    </row>
    <row r="36" spans="2:12" ht="16.5" thickBot="1" x14ac:dyDescent="0.3">
      <c r="B36" s="7"/>
      <c r="C36" s="8"/>
      <c r="D36" s="9"/>
      <c r="F36" s="7"/>
      <c r="G36" s="8"/>
      <c r="H36" s="9"/>
      <c r="J36" s="7"/>
      <c r="K36" s="8"/>
      <c r="L36" s="9"/>
    </row>
    <row r="37" spans="2:12" ht="48" thickBot="1" x14ac:dyDescent="0.3">
      <c r="B37" s="1" t="s">
        <v>25</v>
      </c>
      <c r="C37" s="2" t="s">
        <v>1</v>
      </c>
      <c r="D37" s="19">
        <f>((D38*D39*D40)/1000000)*100</f>
        <v>8.9640000000000004</v>
      </c>
      <c r="F37" s="1" t="s">
        <v>25</v>
      </c>
      <c r="G37" s="2" t="s">
        <v>1</v>
      </c>
      <c r="H37" s="19">
        <f>((H38*H39*H40)/1000000)*100</f>
        <v>3.08</v>
      </c>
      <c r="J37" s="1" t="s">
        <v>25</v>
      </c>
      <c r="K37" s="2" t="s">
        <v>1</v>
      </c>
      <c r="L37" s="19">
        <f>((L38*L39*L40)/1000000)*100</f>
        <v>13.157999999999999</v>
      </c>
    </row>
    <row r="38" spans="2:12" ht="16.5" thickBot="1" x14ac:dyDescent="0.3">
      <c r="B38" s="4" t="s">
        <v>10</v>
      </c>
      <c r="C38" s="5"/>
      <c r="D38" s="22">
        <v>27</v>
      </c>
      <c r="F38" s="4" t="s">
        <v>10</v>
      </c>
      <c r="G38" s="5"/>
      <c r="H38" s="22">
        <v>11</v>
      </c>
      <c r="J38" s="4" t="s">
        <v>10</v>
      </c>
      <c r="K38" s="5"/>
      <c r="L38" s="22">
        <v>34</v>
      </c>
    </row>
    <row r="39" spans="2:12" ht="16.5" thickBot="1" x14ac:dyDescent="0.3">
      <c r="B39" s="4" t="s">
        <v>26</v>
      </c>
      <c r="C39" s="5"/>
      <c r="D39" s="12">
        <v>40</v>
      </c>
      <c r="F39" s="4" t="s">
        <v>26</v>
      </c>
      <c r="G39" s="5"/>
      <c r="H39" s="12">
        <v>28</v>
      </c>
      <c r="J39" s="4" t="s">
        <v>26</v>
      </c>
      <c r="K39" s="5"/>
      <c r="L39" s="12">
        <v>45</v>
      </c>
    </row>
    <row r="40" spans="2:12" ht="32.25" thickBot="1" x14ac:dyDescent="0.3">
      <c r="B40" s="4" t="s">
        <v>9</v>
      </c>
      <c r="C40" s="5"/>
      <c r="D40" s="12">
        <v>83</v>
      </c>
      <c r="F40" s="4" t="s">
        <v>9</v>
      </c>
      <c r="G40" s="5"/>
      <c r="H40" s="12">
        <v>100</v>
      </c>
      <c r="J40" s="4" t="s">
        <v>9</v>
      </c>
      <c r="K40" s="5"/>
      <c r="L40" s="12">
        <v>86</v>
      </c>
    </row>
    <row r="41" spans="2:12" ht="16.5" thickBot="1" x14ac:dyDescent="0.3">
      <c r="B41" s="4" t="s">
        <v>15</v>
      </c>
      <c r="C41" s="5"/>
      <c r="D41" s="12" t="s">
        <v>34</v>
      </c>
      <c r="F41" s="4" t="s">
        <v>15</v>
      </c>
      <c r="G41" s="5"/>
      <c r="H41" s="12" t="s">
        <v>34</v>
      </c>
      <c r="J41" s="4" t="s">
        <v>15</v>
      </c>
      <c r="K41" s="5"/>
      <c r="L41" s="12" t="s">
        <v>34</v>
      </c>
    </row>
    <row r="42" spans="2:12" ht="15.75" thickBot="1" x14ac:dyDescent="0.3"/>
    <row r="43" spans="2:12" ht="15.75" x14ac:dyDescent="0.25">
      <c r="D43" s="20">
        <f>(D6+D10+D18+D27+D33+D37)/6</f>
        <v>28.128783333333335</v>
      </c>
      <c r="H43" s="20">
        <f>(H6+H10+H18+H27+H33+H37)/6</f>
        <v>39.848333333333336</v>
      </c>
      <c r="L43" s="20">
        <f>(L6+L10+L18+L27+L33+L37)/6</f>
        <v>45.972566666666673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26</vt:i4>
      </vt:variant>
    </vt:vector>
  </HeadingPairs>
  <TitlesOfParts>
    <vt:vector size="26" baseType="lpstr">
      <vt:lpstr>FTR Spec Change (Overall)</vt:lpstr>
      <vt:lpstr>FTR Spec Change (By Area)</vt:lpstr>
      <vt:lpstr>January '25</vt:lpstr>
      <vt:lpstr>February '24</vt:lpstr>
      <vt:lpstr>March '24</vt:lpstr>
      <vt:lpstr>April '24</vt:lpstr>
      <vt:lpstr>June '24 </vt:lpstr>
      <vt:lpstr>July '24</vt:lpstr>
      <vt:lpstr>August '24</vt:lpstr>
      <vt:lpstr>September '24 </vt:lpstr>
      <vt:lpstr>October '24 </vt:lpstr>
      <vt:lpstr>November '24 </vt:lpstr>
      <vt:lpstr>December '24</vt:lpstr>
      <vt:lpstr>May '20</vt:lpstr>
      <vt:lpstr>June'20</vt:lpstr>
      <vt:lpstr>September '20</vt:lpstr>
      <vt:lpstr>November '18</vt:lpstr>
      <vt:lpstr>December '18</vt:lpstr>
      <vt:lpstr>FTR Trend</vt:lpstr>
      <vt:lpstr>FTR Parameter Trend</vt:lpstr>
      <vt:lpstr>February '25 </vt:lpstr>
      <vt:lpstr>March'25 </vt:lpstr>
      <vt:lpstr>Summary Report</vt:lpstr>
      <vt:lpstr>Monthly Comparison Graphs</vt:lpstr>
      <vt:lpstr>FTR Targets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Rienzi Sookram</dc:creator>
  <cp:lastModifiedBy>Kaylil Baptiste</cp:lastModifiedBy>
  <cp:lastPrinted>2025-06-03T15:15:49Z</cp:lastPrinted>
  <dcterms:created xsi:type="dcterms:W3CDTF">2017-05-24T17:19:13Z</dcterms:created>
  <dcterms:modified xsi:type="dcterms:W3CDTF">2026-09-25T16:16:47Z</dcterms:modified>
</cp:coreProperties>
</file>