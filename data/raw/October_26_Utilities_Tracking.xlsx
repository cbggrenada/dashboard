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91B8A8E6-1A74-4A7D-AE34-E58500E8BECC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4" i="110" l="1" a="1"/>
  <c r="B84" i="110" s="1"/>
  <c r="K7" i="29"/>
  <c r="F8" i="110"/>
  <c r="F9" i="110" s="1"/>
  <c r="C8" i="110"/>
  <c r="B9" i="110"/>
  <c r="B8" i="110"/>
  <c r="E7" i="28" a="1"/>
  <c r="E7" i="28" s="1"/>
  <c r="R8" i="28"/>
  <c r="S8" i="28" a="1"/>
  <c r="S8" i="28" s="1"/>
  <c r="W8" i="28" s="1"/>
  <c r="X7" i="28" s="1"/>
  <c r="T8" i="28"/>
  <c r="U8" i="28"/>
  <c r="V8" i="28"/>
  <c r="R9" i="28"/>
  <c r="S9" i="28" a="1"/>
  <c r="S9" i="28"/>
  <c r="T9" i="28"/>
  <c r="U9" i="28"/>
  <c r="V9" i="28"/>
  <c r="W9" i="28"/>
  <c r="R10" i="28"/>
  <c r="S10" i="28" a="1"/>
  <c r="S10" i="28"/>
  <c r="W10" i="28" s="1"/>
  <c r="T10" i="28"/>
  <c r="U10" i="28"/>
  <c r="V10" i="28"/>
  <c r="R11" i="28"/>
  <c r="S11" i="28" s="1" a="1"/>
  <c r="S11" i="28" s="1"/>
  <c r="W11" i="28" s="1"/>
  <c r="T11" i="28"/>
  <c r="U11" i="28"/>
  <c r="V11" i="28"/>
  <c r="R12" i="28"/>
  <c r="S12" i="28" a="1"/>
  <c r="S12" i="28"/>
  <c r="T12" i="28"/>
  <c r="U12" i="28"/>
  <c r="V12" i="28"/>
  <c r="W12" i="28"/>
  <c r="R13" i="28"/>
  <c r="S13" i="28" a="1"/>
  <c r="S13" i="28"/>
  <c r="W13" i="28" s="1"/>
  <c r="T13" i="28"/>
  <c r="U13" i="28"/>
  <c r="V13" i="28"/>
  <c r="R14" i="28"/>
  <c r="S14" i="28" a="1"/>
  <c r="S14" i="28"/>
  <c r="T14" i="28"/>
  <c r="U14" i="28"/>
  <c r="V14" i="28"/>
  <c r="W14" i="28"/>
  <c r="R15" i="28"/>
  <c r="S15" i="28" a="1"/>
  <c r="S15" i="28"/>
  <c r="T15" i="28"/>
  <c r="U15" i="28"/>
  <c r="V15" i="28"/>
  <c r="W15" i="28"/>
  <c r="R16" i="28"/>
  <c r="S16" i="28" a="1"/>
  <c r="S16" i="28"/>
  <c r="W16" i="28" s="1"/>
  <c r="T16" i="28"/>
  <c r="U16" i="28"/>
  <c r="V16" i="28"/>
  <c r="R17" i="28"/>
  <c r="S17" i="28" a="1"/>
  <c r="S17" i="28"/>
  <c r="T17" i="28"/>
  <c r="U17" i="28"/>
  <c r="V17" i="28"/>
  <c r="W17" i="28"/>
  <c r="R18" i="28"/>
  <c r="S18" i="28" a="1"/>
  <c r="S18" i="28"/>
  <c r="T18" i="28"/>
  <c r="U18" i="28"/>
  <c r="V18" i="28"/>
  <c r="W18" i="28"/>
  <c r="R19" i="28"/>
  <c r="S19" i="28" s="1" a="1"/>
  <c r="S19" i="28" s="1"/>
  <c r="W19" i="28" s="1"/>
  <c r="T19" i="28"/>
  <c r="U19" i="28"/>
  <c r="V19" i="28"/>
  <c r="R20" i="28"/>
  <c r="S20" i="28" a="1"/>
  <c r="S20" i="28"/>
  <c r="T20" i="28"/>
  <c r="U20" i="28"/>
  <c r="V20" i="28"/>
  <c r="W20" i="28"/>
  <c r="R21" i="28"/>
  <c r="S21" i="28" a="1"/>
  <c r="S21" i="28"/>
  <c r="T21" i="28"/>
  <c r="U21" i="28"/>
  <c r="V21" i="28"/>
  <c r="W21" i="28"/>
  <c r="R22" i="28"/>
  <c r="S22" i="28" a="1"/>
  <c r="S22" i="28" s="1"/>
  <c r="W22" i="28" s="1"/>
  <c r="T22" i="28"/>
  <c r="U22" i="28"/>
  <c r="V22" i="28"/>
  <c r="R23" i="28"/>
  <c r="S23" i="28" a="1"/>
  <c r="S23" i="28"/>
  <c r="T23" i="28"/>
  <c r="U23" i="28"/>
  <c r="V23" i="28"/>
  <c r="W23" i="28"/>
  <c r="R24" i="28"/>
  <c r="S24" i="28" a="1"/>
  <c r="S24" i="28"/>
  <c r="T24" i="28"/>
  <c r="U24" i="28"/>
  <c r="V24" i="28"/>
  <c r="W24" i="28"/>
  <c r="R25" i="28"/>
  <c r="S25" i="28" s="1" a="1"/>
  <c r="S25" i="28" s="1"/>
  <c r="W25" i="28" s="1"/>
  <c r="T25" i="28"/>
  <c r="U25" i="28"/>
  <c r="V25" i="28"/>
  <c r="R26" i="28"/>
  <c r="S26" i="28" a="1"/>
  <c r="S26" i="28"/>
  <c r="T26" i="28"/>
  <c r="U26" i="28"/>
  <c r="V26" i="28"/>
  <c r="W26" i="28"/>
  <c r="R27" i="28"/>
  <c r="S27" i="28" a="1"/>
  <c r="S27" i="28"/>
  <c r="T27" i="28"/>
  <c r="U27" i="28"/>
  <c r="V27" i="28"/>
  <c r="W27" i="28"/>
  <c r="R28" i="28"/>
  <c r="S28" i="28" a="1"/>
  <c r="S28" i="28" s="1"/>
  <c r="W28" i="28" s="1"/>
  <c r="T28" i="28"/>
  <c r="U28" i="28"/>
  <c r="V28" i="28"/>
  <c r="R29" i="28"/>
  <c r="S29" i="28" a="1"/>
  <c r="S29" i="28" s="1"/>
  <c r="W29" i="28" s="1"/>
  <c r="T29" i="28"/>
  <c r="U29" i="28"/>
  <c r="V29" i="28"/>
  <c r="R30" i="28"/>
  <c r="S30" i="28" a="1"/>
  <c r="S30" i="28"/>
  <c r="W30" i="28" s="1"/>
  <c r="T30" i="28"/>
  <c r="U30" i="28"/>
  <c r="V30" i="28"/>
  <c r="R31" i="28"/>
  <c r="S31" i="28" s="1" a="1"/>
  <c r="S31" i="28" s="1"/>
  <c r="W31" i="28" s="1"/>
  <c r="T31" i="28"/>
  <c r="U31" i="28"/>
  <c r="V31" i="28"/>
  <c r="R32" i="28"/>
  <c r="S32" i="28" a="1"/>
  <c r="S32" i="28"/>
  <c r="T32" i="28"/>
  <c r="U32" i="28"/>
  <c r="V32" i="28"/>
  <c r="W32" i="28"/>
  <c r="R33" i="28"/>
  <c r="S33" i="28" a="1"/>
  <c r="S33" i="28"/>
  <c r="W33" i="28" s="1"/>
  <c r="T33" i="28"/>
  <c r="U33" i="28"/>
  <c r="V33" i="28"/>
  <c r="R34" i="28"/>
  <c r="S34" i="28" a="1"/>
  <c r="S34" i="28"/>
  <c r="T34" i="28"/>
  <c r="U34" i="28"/>
  <c r="V34" i="28"/>
  <c r="W34" i="28"/>
  <c r="R35" i="28"/>
  <c r="S35" i="28" a="1"/>
  <c r="S35" i="28"/>
  <c r="T35" i="28"/>
  <c r="U35" i="28"/>
  <c r="V35" i="28"/>
  <c r="W35" i="28"/>
  <c r="R36" i="28"/>
  <c r="S36" i="28" a="1"/>
  <c r="S36" i="28"/>
  <c r="W36" i="28" s="1"/>
  <c r="T36" i="28"/>
  <c r="U36" i="28"/>
  <c r="V36" i="28"/>
  <c r="R37" i="28"/>
  <c r="S37" i="28" a="1"/>
  <c r="S37" i="28"/>
  <c r="T37" i="28"/>
  <c r="U37" i="28"/>
  <c r="V37" i="28"/>
  <c r="W37" i="28"/>
  <c r="R38" i="28"/>
  <c r="S38" i="28" a="1"/>
  <c r="S38" i="28"/>
  <c r="T38" i="28"/>
  <c r="U38" i="28"/>
  <c r="V38" i="28"/>
  <c r="W38" i="28"/>
  <c r="R39" i="28"/>
  <c r="S39" i="28" a="1"/>
  <c r="S39" i="28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J9" i="110"/>
  <c r="H9" i="110"/>
  <c r="I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AH8" i="110" l="1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I12" i="29" s="1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F38" i="29"/>
  <c r="V30" i="110"/>
  <c r="B96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84" i="110" l="1"/>
  <c r="AH96" i="110" s="1"/>
  <c r="AH32" i="110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K96" i="110"/>
  <c r="AJ96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7" i="28" l="1"/>
  <c r="O7" i="28"/>
  <c r="F7" i="28"/>
  <c r="H5" i="32"/>
  <c r="AA7" i="31"/>
  <c r="L7" i="29"/>
  <c r="P10" i="23"/>
  <c r="B83" i="110"/>
  <c r="B82" i="110"/>
  <c r="B81" i="110"/>
  <c r="AH81" i="110" s="1"/>
  <c r="AH77" i="110" s="1"/>
  <c r="AH75" i="110" s="1"/>
  <c r="B80" i="110"/>
  <c r="B94" i="110" s="1"/>
  <c r="B77" i="110"/>
  <c r="B76" i="110"/>
  <c r="B93" i="110" s="1"/>
  <c r="B75" i="110"/>
  <c r="B43" i="110"/>
  <c r="B61" i="110" s="1"/>
  <c r="B68" i="110" l="1"/>
  <c r="B69" i="110"/>
  <c r="B78" i="110"/>
  <c r="AH43" i="110"/>
  <c r="AH61" i="110" s="1"/>
  <c r="B50" i="110"/>
  <c r="AH50" i="110" s="1"/>
  <c r="B49" i="111"/>
  <c r="AH76" i="110"/>
  <c r="AH93" i="110" s="1"/>
  <c r="B116" i="110"/>
  <c r="AH80" i="110"/>
  <c r="E38" i="28"/>
  <c r="K10" i="23"/>
  <c r="K43" i="23" s="1"/>
  <c r="AA38" i="31"/>
  <c r="AB38" i="31" s="1"/>
  <c r="AD38" i="31" s="1"/>
  <c r="AB7" i="31"/>
  <c r="F38" i="28"/>
  <c r="G7" i="28"/>
  <c r="H36" i="32"/>
  <c r="F7" i="30"/>
  <c r="P43" i="23"/>
  <c r="Q44" i="23" s="1"/>
  <c r="R44" i="23" s="1"/>
  <c r="S44" i="23" s="1"/>
  <c r="Q10" i="23"/>
  <c r="R10" i="23" s="1"/>
  <c r="S10" i="23" s="1"/>
  <c r="N7" i="29"/>
  <c r="L38" i="29"/>
  <c r="M7" i="29"/>
  <c r="AG49" i="111" l="1"/>
  <c r="AG81" i="111" s="1"/>
  <c r="AI81" i="111" s="1"/>
  <c r="B81" i="111"/>
  <c r="T44" i="23"/>
  <c r="AJ61" i="110"/>
  <c r="AH68" i="110"/>
  <c r="AH69" i="110"/>
  <c r="AJ93" i="110"/>
  <c r="AK93" i="110"/>
  <c r="AH78" i="110"/>
  <c r="AH95" i="110" s="1"/>
  <c r="AK95" i="110" s="1"/>
  <c r="AH116" i="110"/>
  <c r="T10" i="23"/>
  <c r="G7" i="30"/>
  <c r="F38" i="30"/>
  <c r="G38" i="30" s="1"/>
  <c r="I38" i="30" s="1"/>
  <c r="N38" i="29"/>
  <c r="M38" i="29"/>
  <c r="AH83" i="110"/>
  <c r="AH82" i="110" s="1"/>
  <c r="G38" i="28"/>
  <c r="AH94" i="110" l="1"/>
  <c r="AJ68" i="110"/>
  <c r="AJ69" i="110"/>
  <c r="AH140" i="110"/>
  <c r="AK94" i="110" l="1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89924D7F-CED0-4C3F-9C04-88723B3A5DE9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19600 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8600 Kgs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<sst xmlns="http://schemas.openxmlformats.org/spreadsheetml/2006/main" count="609" uniqueCount="309">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</sst>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3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" fontId="7" fillId="31" borderId="115" xfId="0" applyNumberFormat="1" applyFont="1" applyFill="1" applyBorder="1" applyAlignment="1">
      <alignment horizontal="center"/>
    </xf>
    <xf numFmtId="3" fontId="7" fillId="31" borderId="61" xfId="0" applyNumberFormat="1" applyFont="1" applyFill="1" applyBorder="1" applyAlignment="1">
      <alignment horizontal="center"/>
    </xf>
    <xf numFmtId="3" fontId="7" fillId="31" borderId="62" xfId="0" applyNumberFormat="1" applyFont="1" applyFill="1" applyBorder="1" applyAlignment="1">
      <alignment horizontal="center"/>
    </xf>
    <xf numFmtId="1" fontId="7" fillId="31" borderId="63" xfId="0" applyNumberFormat="1" applyFont="1" applyFill="1" applyBorder="1" applyAlignment="1">
      <alignment horizont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62"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11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8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12" t="s">
        <v>209</v>
      </c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363"/>
      <c r="O1" s="913" t="str">
        <f>B1</f>
        <v>ENTRIES FOR DAILY CONS. MONITOR</v>
      </c>
      <c r="P1" s="913"/>
      <c r="Q1" s="913"/>
      <c r="R1" s="913"/>
      <c r="S1" s="913"/>
      <c r="T1" s="913"/>
      <c r="U1" s="913"/>
      <c r="V1" s="913"/>
      <c r="W1" s="913"/>
      <c r="X1" s="913"/>
      <c r="Y1" s="913"/>
      <c r="Z1" s="913"/>
      <c r="AA1" s="913"/>
      <c r="AB1" s="913"/>
    </row>
    <row r="2" spans="1:44" ht="16.5" thickBot="1" x14ac:dyDescent="0.25">
      <c r="C2" s="814"/>
      <c r="F2" s="364"/>
      <c r="G2" s="365"/>
      <c r="O2" s="920" t="s">
        <v>231</v>
      </c>
      <c r="P2" s="920"/>
      <c r="Q2" s="920"/>
      <c r="R2" s="920"/>
      <c r="S2" s="920"/>
      <c r="T2" s="920"/>
      <c r="U2" s="920"/>
      <c r="V2" s="920"/>
    </row>
    <row r="3" spans="1:44" ht="20.100000000000001" customHeight="1" x14ac:dyDescent="0.2">
      <c r="A3" s="366"/>
      <c r="B3" s="367"/>
      <c r="C3" s="815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03" t="s">
        <v>53</v>
      </c>
      <c r="M3" s="904"/>
      <c r="N3" s="905"/>
      <c r="O3" s="914" t="s">
        <v>3</v>
      </c>
      <c r="P3" s="914"/>
      <c r="Q3" s="914"/>
      <c r="R3" s="914"/>
      <c r="S3" s="914"/>
      <c r="T3" s="914"/>
      <c r="U3" s="914"/>
      <c r="V3" s="914"/>
      <c r="W3" s="914"/>
      <c r="X3" s="914"/>
      <c r="Y3" s="914"/>
      <c r="Z3" s="914"/>
      <c r="AA3" s="914"/>
      <c r="AB3" s="914"/>
      <c r="AC3" s="914"/>
      <c r="AD3" s="372"/>
      <c r="AE3" s="373"/>
      <c r="AF3" s="372"/>
      <c r="AG3" s="898" t="s">
        <v>206</v>
      </c>
      <c r="AH3" s="896" t="s">
        <v>204</v>
      </c>
      <c r="AI3" s="896" t="s">
        <v>205</v>
      </c>
      <c r="AJ3" s="899" t="s">
        <v>233</v>
      </c>
      <c r="AK3" s="416"/>
      <c r="AL3" s="900" t="s">
        <v>178</v>
      </c>
      <c r="AM3" s="900"/>
      <c r="AN3" s="900"/>
      <c r="AO3" s="900"/>
    </row>
    <row r="4" spans="1:44" ht="32.25" customHeight="1" x14ac:dyDescent="0.2">
      <c r="A4" s="374"/>
      <c r="B4" s="371" t="s">
        <v>23</v>
      </c>
      <c r="C4" s="816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21" t="s">
        <v>289</v>
      </c>
      <c r="M4" s="376" t="s">
        <v>260</v>
      </c>
      <c r="N4" s="906" t="s">
        <v>167</v>
      </c>
      <c r="O4" s="908" t="s">
        <v>100</v>
      </c>
      <c r="P4" s="908" t="s">
        <v>101</v>
      </c>
      <c r="Q4" s="908" t="s">
        <v>160</v>
      </c>
      <c r="R4" s="908" t="s">
        <v>171</v>
      </c>
      <c r="S4" s="908" t="s">
        <v>102</v>
      </c>
      <c r="T4" s="908" t="s">
        <v>172</v>
      </c>
      <c r="U4" s="908" t="s">
        <v>103</v>
      </c>
      <c r="V4" s="918" t="s">
        <v>236</v>
      </c>
      <c r="W4" s="908" t="s">
        <v>177</v>
      </c>
      <c r="X4" s="372" t="s">
        <v>96</v>
      </c>
      <c r="Y4" s="372" t="s">
        <v>97</v>
      </c>
      <c r="Z4" s="372" t="s">
        <v>98</v>
      </c>
      <c r="AA4" s="914" t="s">
        <v>68</v>
      </c>
      <c r="AB4" s="916" t="s">
        <v>69</v>
      </c>
      <c r="AC4" s="919" t="s">
        <v>151</v>
      </c>
      <c r="AD4" s="908" t="s">
        <v>154</v>
      </c>
      <c r="AE4" s="908" t="s">
        <v>155</v>
      </c>
      <c r="AF4" s="908" t="s">
        <v>159</v>
      </c>
      <c r="AG4" s="898"/>
      <c r="AH4" s="897"/>
      <c r="AI4" s="897"/>
      <c r="AJ4" s="899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7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22"/>
      <c r="M5" s="466" t="s">
        <v>261</v>
      </c>
      <c r="N5" s="907"/>
      <c r="O5" s="909"/>
      <c r="P5" s="908"/>
      <c r="Q5" s="908"/>
      <c r="R5" s="908"/>
      <c r="S5" s="909"/>
      <c r="T5" s="909"/>
      <c r="U5" s="909"/>
      <c r="V5" s="918"/>
      <c r="W5" s="910"/>
      <c r="X5" s="372" t="s">
        <v>104</v>
      </c>
      <c r="Y5" s="372" t="s">
        <v>104</v>
      </c>
      <c r="Z5" s="372" t="s">
        <v>104</v>
      </c>
      <c r="AA5" s="915"/>
      <c r="AB5" s="917"/>
      <c r="AC5" s="919"/>
      <c r="AD5" s="908"/>
      <c r="AE5" s="908"/>
      <c r="AF5" s="911"/>
      <c r="AG5" s="898"/>
      <c r="AH5" s="897"/>
      <c r="AI5" s="897"/>
      <c r="AJ5" s="899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9">
        <v>8521060</v>
      </c>
      <c r="C6" s="820">
        <v>1664248</v>
      </c>
      <c r="D6" s="821"/>
      <c r="E6" s="821">
        <v>64</v>
      </c>
      <c r="F6" s="821">
        <v>11257.8</v>
      </c>
      <c r="G6" s="821">
        <v>68225</v>
      </c>
      <c r="H6" s="822"/>
      <c r="I6" s="823">
        <v>1879366</v>
      </c>
      <c r="J6" s="880"/>
      <c r="K6" s="822">
        <v>468000</v>
      </c>
      <c r="L6" s="821">
        <v>86618.26</v>
      </c>
      <c r="M6" s="825">
        <v>630345.15</v>
      </c>
      <c r="N6" s="823">
        <v>84635.48</v>
      </c>
      <c r="O6" s="826">
        <v>252994</v>
      </c>
      <c r="P6" s="827">
        <v>85776</v>
      </c>
      <c r="Q6" s="821">
        <v>989503</v>
      </c>
      <c r="R6" s="821"/>
      <c r="S6" s="821">
        <v>97233</v>
      </c>
      <c r="T6" s="821"/>
      <c r="U6" s="821">
        <v>538</v>
      </c>
      <c r="V6" s="828">
        <v>1366036</v>
      </c>
      <c r="W6" s="821"/>
      <c r="X6" s="829">
        <v>49130</v>
      </c>
      <c r="Y6" s="821">
        <v>70773</v>
      </c>
      <c r="Z6" s="821">
        <v>15697</v>
      </c>
      <c r="AA6" s="821">
        <v>97122</v>
      </c>
      <c r="AB6" s="821"/>
      <c r="AC6" s="821">
        <v>6750</v>
      </c>
      <c r="AD6" s="821">
        <v>263787</v>
      </c>
      <c r="AE6" s="821"/>
      <c r="AF6" s="823"/>
      <c r="AG6" s="821"/>
      <c r="AH6" s="821"/>
      <c r="AI6" s="830"/>
      <c r="AJ6" s="884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9">
        <v>8522020</v>
      </c>
      <c r="C7" s="893">
        <v>1667565.2</v>
      </c>
      <c r="D7" s="821"/>
      <c r="E7" s="821">
        <v>64</v>
      </c>
      <c r="F7" s="821">
        <v>11278.3</v>
      </c>
      <c r="G7" s="821">
        <v>68225</v>
      </c>
      <c r="H7" s="822"/>
      <c r="I7" s="823">
        <v>1886735</v>
      </c>
      <c r="J7" s="824"/>
      <c r="K7" s="822">
        <v>468000</v>
      </c>
      <c r="L7" s="821">
        <v>87182.39</v>
      </c>
      <c r="M7" s="825">
        <v>631924.63</v>
      </c>
      <c r="N7" s="823">
        <v>84829.82</v>
      </c>
      <c r="O7" s="826">
        <v>253049</v>
      </c>
      <c r="P7" s="827">
        <v>85956</v>
      </c>
      <c r="Q7" s="821">
        <v>989752</v>
      </c>
      <c r="R7" s="821"/>
      <c r="S7" s="831">
        <v>97390</v>
      </c>
      <c r="T7" s="821"/>
      <c r="U7" s="821">
        <v>540</v>
      </c>
      <c r="V7" s="828">
        <v>1366284</v>
      </c>
      <c r="W7" s="821"/>
      <c r="X7" s="829">
        <v>49189</v>
      </c>
      <c r="Y7" s="821">
        <v>70872</v>
      </c>
      <c r="Z7" s="821">
        <v>15716</v>
      </c>
      <c r="AA7" s="821">
        <v>97122</v>
      </c>
      <c r="AB7" s="821"/>
      <c r="AC7" s="821">
        <v>6766</v>
      </c>
      <c r="AD7" s="821">
        <v>263787</v>
      </c>
      <c r="AE7" s="821"/>
      <c r="AF7" s="823"/>
      <c r="AG7" s="821"/>
      <c r="AH7" s="821"/>
      <c r="AI7" s="830"/>
      <c r="AJ7" s="884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9">
        <v>8522020</v>
      </c>
      <c r="C8" s="820">
        <v>1669800.3</v>
      </c>
      <c r="D8" s="821"/>
      <c r="E8" s="821">
        <v>64</v>
      </c>
      <c r="F8" s="821">
        <v>11294.9</v>
      </c>
      <c r="G8" s="821">
        <v>68225</v>
      </c>
      <c r="H8" s="822"/>
      <c r="I8" s="823">
        <v>1893824</v>
      </c>
      <c r="J8" s="824"/>
      <c r="K8" s="822">
        <v>468000</v>
      </c>
      <c r="L8" s="821">
        <v>87657.8</v>
      </c>
      <c r="M8" s="825">
        <v>633066.25</v>
      </c>
      <c r="N8" s="823">
        <v>84975.92</v>
      </c>
      <c r="O8" s="826">
        <v>253181</v>
      </c>
      <c r="P8" s="827">
        <v>86136</v>
      </c>
      <c r="Q8" s="821">
        <v>989942</v>
      </c>
      <c r="R8" s="821"/>
      <c r="S8" s="821">
        <v>97516</v>
      </c>
      <c r="T8" s="821"/>
      <c r="U8" s="821">
        <v>543</v>
      </c>
      <c r="V8" s="828">
        <v>1366475</v>
      </c>
      <c r="W8" s="821"/>
      <c r="X8" s="829">
        <v>49233</v>
      </c>
      <c r="Y8" s="821">
        <v>70953</v>
      </c>
      <c r="Z8" s="821">
        <v>15732</v>
      </c>
      <c r="AA8" s="821">
        <v>97122</v>
      </c>
      <c r="AB8" s="821"/>
      <c r="AC8" s="821">
        <v>6781</v>
      </c>
      <c r="AD8" s="821">
        <v>263787</v>
      </c>
      <c r="AE8" s="821"/>
      <c r="AF8" s="823"/>
      <c r="AG8" s="821"/>
      <c r="AH8" s="821"/>
      <c r="AI8" s="830"/>
      <c r="AJ8" s="884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9">
        <v>8522020</v>
      </c>
      <c r="C9" s="820">
        <v>1670038.6</v>
      </c>
      <c r="D9" s="821"/>
      <c r="E9" s="821">
        <v>64</v>
      </c>
      <c r="F9" s="821">
        <v>11296.5</v>
      </c>
      <c r="G9" s="821">
        <v>68225</v>
      </c>
      <c r="H9" s="822"/>
      <c r="I9" s="823">
        <v>1897596</v>
      </c>
      <c r="J9" s="824"/>
      <c r="K9" s="822">
        <v>468000</v>
      </c>
      <c r="L9" s="821">
        <v>87657.8</v>
      </c>
      <c r="M9" s="825">
        <v>633066.25</v>
      </c>
      <c r="N9" s="823">
        <v>84975.92</v>
      </c>
      <c r="O9" s="826">
        <v>253181</v>
      </c>
      <c r="P9" s="827">
        <v>86263</v>
      </c>
      <c r="Q9" s="821">
        <v>989987</v>
      </c>
      <c r="R9" s="821"/>
      <c r="S9" s="821">
        <v>97516</v>
      </c>
      <c r="T9" s="821"/>
      <c r="U9" s="821">
        <v>543</v>
      </c>
      <c r="V9" s="828">
        <v>1366609</v>
      </c>
      <c r="W9" s="821"/>
      <c r="X9" s="829">
        <v>49233</v>
      </c>
      <c r="Y9" s="821">
        <v>70953</v>
      </c>
      <c r="Z9" s="821">
        <v>15735</v>
      </c>
      <c r="AA9" s="821">
        <v>97122</v>
      </c>
      <c r="AB9" s="821"/>
      <c r="AC9" s="821">
        <v>6781</v>
      </c>
      <c r="AD9" s="821">
        <v>263787</v>
      </c>
      <c r="AE9" s="821"/>
      <c r="AF9" s="823"/>
      <c r="AG9" s="821"/>
      <c r="AH9" s="821"/>
      <c r="AI9" s="821"/>
      <c r="AJ9" s="884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9">
        <v>8522020</v>
      </c>
      <c r="C10" s="820">
        <v>1670373.5</v>
      </c>
      <c r="D10" s="821"/>
      <c r="E10" s="821">
        <v>64</v>
      </c>
      <c r="F10" s="821">
        <v>11298.4</v>
      </c>
      <c r="G10" s="821">
        <v>68225</v>
      </c>
      <c r="H10" s="822"/>
      <c r="I10" s="823">
        <v>1901658</v>
      </c>
      <c r="J10" s="824"/>
      <c r="K10" s="822">
        <v>468000</v>
      </c>
      <c r="L10" s="821">
        <v>87657.8</v>
      </c>
      <c r="M10" s="825">
        <v>633066.25</v>
      </c>
      <c r="N10" s="823">
        <v>84975.92</v>
      </c>
      <c r="O10" s="826">
        <v>253245</v>
      </c>
      <c r="P10" s="827">
        <v>86263</v>
      </c>
      <c r="Q10" s="821">
        <v>990034</v>
      </c>
      <c r="R10" s="821"/>
      <c r="S10" s="821">
        <v>97516</v>
      </c>
      <c r="T10" s="821"/>
      <c r="U10" s="821">
        <v>543</v>
      </c>
      <c r="V10" s="828">
        <v>1366609</v>
      </c>
      <c r="W10" s="821"/>
      <c r="X10" s="829">
        <v>49233</v>
      </c>
      <c r="Y10" s="821">
        <v>70953</v>
      </c>
      <c r="Z10" s="821">
        <v>15737</v>
      </c>
      <c r="AA10" s="821">
        <v>97122</v>
      </c>
      <c r="AB10" s="821"/>
      <c r="AC10" s="821">
        <v>6781</v>
      </c>
      <c r="AD10" s="821">
        <v>263787</v>
      </c>
      <c r="AE10" s="821"/>
      <c r="AF10" s="823"/>
      <c r="AG10" s="821"/>
      <c r="AH10" s="821"/>
      <c r="AI10" s="821"/>
      <c r="AJ10" s="884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9">
        <v>8522020</v>
      </c>
      <c r="C11" s="820">
        <v>1673725.1</v>
      </c>
      <c r="D11" s="821"/>
      <c r="E11" s="821">
        <v>64</v>
      </c>
      <c r="F11" s="821">
        <v>11318.3</v>
      </c>
      <c r="G11" s="821">
        <v>68225</v>
      </c>
      <c r="H11" s="822"/>
      <c r="I11" s="823">
        <v>1906432</v>
      </c>
      <c r="J11" s="824"/>
      <c r="K11" s="822">
        <v>468000</v>
      </c>
      <c r="L11" s="821">
        <v>88065.59</v>
      </c>
      <c r="M11" s="825">
        <v>634649.56000000006</v>
      </c>
      <c r="N11" s="823">
        <v>85154.74</v>
      </c>
      <c r="O11" s="826">
        <v>253318</v>
      </c>
      <c r="P11" s="827">
        <v>86332</v>
      </c>
      <c r="Q11" s="821">
        <v>990220</v>
      </c>
      <c r="R11" s="821"/>
      <c r="S11" s="821">
        <v>97698</v>
      </c>
      <c r="T11" s="821"/>
      <c r="U11" s="821">
        <v>544</v>
      </c>
      <c r="V11" s="828">
        <v>1366609</v>
      </c>
      <c r="W11" s="821"/>
      <c r="X11" s="829">
        <v>49271</v>
      </c>
      <c r="Y11" s="821">
        <v>71065</v>
      </c>
      <c r="Z11" s="821">
        <v>15757</v>
      </c>
      <c r="AA11" s="821">
        <v>97122</v>
      </c>
      <c r="AB11" s="821"/>
      <c r="AC11" s="821">
        <v>6798</v>
      </c>
      <c r="AD11" s="876">
        <v>263787</v>
      </c>
      <c r="AE11" s="821"/>
      <c r="AF11" s="823"/>
      <c r="AG11" s="821"/>
      <c r="AH11" s="821"/>
      <c r="AI11" s="821"/>
      <c r="AJ11" s="884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9"/>
      <c r="C12" s="820"/>
      <c r="D12" s="821"/>
      <c r="E12" s="821"/>
      <c r="F12" s="821"/>
      <c r="G12" s="821"/>
      <c r="H12" s="822"/>
      <c r="I12" s="823"/>
      <c r="J12" s="824"/>
      <c r="K12" s="822"/>
      <c r="L12" s="821"/>
      <c r="M12" s="825"/>
      <c r="N12" s="823"/>
      <c r="O12" s="826"/>
      <c r="P12" s="827"/>
      <c r="Q12" s="821"/>
      <c r="R12" s="821"/>
      <c r="S12" s="821"/>
      <c r="T12" s="821"/>
      <c r="U12" s="821"/>
      <c r="V12" s="828"/>
      <c r="W12" s="821"/>
      <c r="X12" s="829"/>
      <c r="Y12" s="821"/>
      <c r="Z12" s="821"/>
      <c r="AA12" s="821"/>
      <c r="AB12" s="821"/>
      <c r="AC12" s="821"/>
      <c r="AD12" s="876"/>
      <c r="AE12" s="821"/>
      <c r="AF12" s="823"/>
      <c r="AG12" s="821"/>
      <c r="AH12" s="821"/>
      <c r="AI12" s="821"/>
      <c r="AJ12" s="884"/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9"/>
      <c r="C13" s="820"/>
      <c r="D13" s="821"/>
      <c r="E13" s="821"/>
      <c r="F13" s="821"/>
      <c r="G13" s="821"/>
      <c r="H13" s="822"/>
      <c r="I13" s="823"/>
      <c r="J13" s="824"/>
      <c r="K13" s="822"/>
      <c r="L13" s="821"/>
      <c r="M13" s="825"/>
      <c r="N13" s="823"/>
      <c r="O13" s="826"/>
      <c r="P13" s="827"/>
      <c r="Q13" s="821"/>
      <c r="R13" s="821"/>
      <c r="S13" s="821"/>
      <c r="T13" s="821"/>
      <c r="U13" s="821"/>
      <c r="V13" s="828"/>
      <c r="W13" s="821"/>
      <c r="X13" s="829"/>
      <c r="Y13" s="821"/>
      <c r="Z13" s="821"/>
      <c r="AA13" s="821"/>
      <c r="AB13" s="821"/>
      <c r="AC13" s="821"/>
      <c r="AD13" s="821"/>
      <c r="AE13" s="821"/>
      <c r="AF13" s="823"/>
      <c r="AG13" s="821"/>
      <c r="AH13" s="821"/>
      <c r="AI13" s="821"/>
      <c r="AJ13" s="884"/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9"/>
      <c r="C14" s="820"/>
      <c r="D14" s="821"/>
      <c r="E14" s="821"/>
      <c r="F14" s="821"/>
      <c r="G14" s="821"/>
      <c r="H14" s="822"/>
      <c r="I14" s="823"/>
      <c r="J14" s="824"/>
      <c r="K14" s="822"/>
      <c r="L14" s="821"/>
      <c r="M14" s="825"/>
      <c r="N14" s="823"/>
      <c r="O14" s="826"/>
      <c r="P14" s="827"/>
      <c r="Q14" s="821"/>
      <c r="R14" s="821"/>
      <c r="S14" s="821"/>
      <c r="T14" s="821"/>
      <c r="U14" s="821"/>
      <c r="V14" s="828"/>
      <c r="W14" s="821"/>
      <c r="X14" s="829"/>
      <c r="Y14" s="821"/>
      <c r="Z14" s="821"/>
      <c r="AA14" s="821"/>
      <c r="AB14" s="821"/>
      <c r="AC14" s="821"/>
      <c r="AD14" s="821"/>
      <c r="AE14" s="821"/>
      <c r="AF14" s="823"/>
      <c r="AG14" s="821"/>
      <c r="AH14" s="821"/>
      <c r="AI14" s="821"/>
      <c r="AJ14" s="884"/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9"/>
      <c r="C15" s="820"/>
      <c r="D15" s="821"/>
      <c r="E15" s="821"/>
      <c r="F15" s="821"/>
      <c r="G15" s="821"/>
      <c r="H15" s="822"/>
      <c r="I15" s="879"/>
      <c r="J15" s="880"/>
      <c r="K15" s="822"/>
      <c r="L15" s="821"/>
      <c r="M15" s="825"/>
      <c r="N15" s="823"/>
      <c r="O15" s="826"/>
      <c r="P15" s="827"/>
      <c r="Q15" s="821"/>
      <c r="R15" s="821"/>
      <c r="S15" s="821"/>
      <c r="T15" s="821"/>
      <c r="U15" s="821"/>
      <c r="V15" s="828"/>
      <c r="W15" s="821"/>
      <c r="X15" s="829"/>
      <c r="Y15" s="821"/>
      <c r="Z15" s="821"/>
      <c r="AA15" s="821"/>
      <c r="AB15" s="821"/>
      <c r="AC15" s="821"/>
      <c r="AD15" s="821"/>
      <c r="AE15" s="821"/>
      <c r="AF15" s="823"/>
      <c r="AG15" s="821"/>
      <c r="AH15" s="821"/>
      <c r="AI15" s="821"/>
      <c r="AJ15" s="884"/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9"/>
      <c r="C16" s="820"/>
      <c r="D16" s="821"/>
      <c r="E16" s="821"/>
      <c r="F16" s="821"/>
      <c r="G16" s="821"/>
      <c r="H16" s="822"/>
      <c r="I16" s="823"/>
      <c r="J16" s="880"/>
      <c r="K16" s="822"/>
      <c r="L16" s="821"/>
      <c r="M16" s="825"/>
      <c r="N16" s="823"/>
      <c r="O16" s="826"/>
      <c r="P16" s="827"/>
      <c r="Q16" s="821"/>
      <c r="R16" s="821"/>
      <c r="S16" s="821"/>
      <c r="T16" s="821"/>
      <c r="U16" s="821"/>
      <c r="V16" s="828"/>
      <c r="W16" s="821"/>
      <c r="X16" s="829"/>
      <c r="Y16" s="821"/>
      <c r="Z16" s="821"/>
      <c r="AA16" s="821"/>
      <c r="AB16" s="821"/>
      <c r="AC16" s="821"/>
      <c r="AD16" s="821"/>
      <c r="AE16" s="821"/>
      <c r="AF16" s="823"/>
      <c r="AG16" s="821"/>
      <c r="AH16" s="821"/>
      <c r="AI16" s="821"/>
      <c r="AJ16" s="884"/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9"/>
      <c r="C17" s="820"/>
      <c r="D17" s="821"/>
      <c r="E17" s="821"/>
      <c r="F17" s="821"/>
      <c r="G17" s="821"/>
      <c r="H17" s="822"/>
      <c r="I17" s="823"/>
      <c r="J17" s="880"/>
      <c r="K17" s="822"/>
      <c r="L17" s="821"/>
      <c r="M17" s="825"/>
      <c r="N17" s="823"/>
      <c r="O17" s="826"/>
      <c r="P17" s="827"/>
      <c r="Q17" s="821"/>
      <c r="R17" s="821"/>
      <c r="S17" s="821"/>
      <c r="T17" s="821"/>
      <c r="U17" s="821"/>
      <c r="V17" s="828"/>
      <c r="W17" s="821"/>
      <c r="X17" s="829"/>
      <c r="Y17" s="821"/>
      <c r="Z17" s="821"/>
      <c r="AA17" s="821"/>
      <c r="AB17" s="821"/>
      <c r="AC17" s="821"/>
      <c r="AD17" s="821"/>
      <c r="AE17" s="821"/>
      <c r="AF17" s="823"/>
      <c r="AG17" s="821"/>
      <c r="AH17" s="821"/>
      <c r="AI17" s="821"/>
      <c r="AJ17" s="884"/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9"/>
      <c r="C18" s="820"/>
      <c r="D18" s="821"/>
      <c r="E18" s="821"/>
      <c r="F18" s="821"/>
      <c r="G18" s="821"/>
      <c r="H18" s="822"/>
      <c r="I18" s="823"/>
      <c r="J18" s="880"/>
      <c r="K18" s="822"/>
      <c r="L18" s="821"/>
      <c r="M18" s="825"/>
      <c r="N18" s="823"/>
      <c r="O18" s="826"/>
      <c r="P18" s="827"/>
      <c r="Q18" s="821"/>
      <c r="R18" s="821"/>
      <c r="S18" s="821"/>
      <c r="T18" s="821"/>
      <c r="U18" s="821"/>
      <c r="V18" s="828"/>
      <c r="W18" s="821"/>
      <c r="X18" s="829"/>
      <c r="Y18" s="821"/>
      <c r="Z18" s="821"/>
      <c r="AA18" s="821"/>
      <c r="AB18" s="821"/>
      <c r="AC18" s="821"/>
      <c r="AD18" s="821"/>
      <c r="AE18" s="821"/>
      <c r="AF18" s="823"/>
      <c r="AG18" s="821"/>
      <c r="AH18" s="821"/>
      <c r="AI18" s="821"/>
      <c r="AJ18" s="884"/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9"/>
      <c r="C19" s="820"/>
      <c r="D19" s="821"/>
      <c r="E19" s="821"/>
      <c r="F19" s="821"/>
      <c r="G19" s="821"/>
      <c r="H19" s="822"/>
      <c r="I19" s="823"/>
      <c r="J19" s="880"/>
      <c r="K19" s="822"/>
      <c r="L19" s="821"/>
      <c r="M19" s="825"/>
      <c r="N19" s="823"/>
      <c r="O19" s="826"/>
      <c r="P19" s="827"/>
      <c r="Q19" s="821"/>
      <c r="R19" s="821"/>
      <c r="S19" s="821"/>
      <c r="T19" s="821"/>
      <c r="U19" s="821"/>
      <c r="V19" s="828"/>
      <c r="W19" s="821"/>
      <c r="X19" s="829"/>
      <c r="Y19" s="821"/>
      <c r="Z19" s="821"/>
      <c r="AA19" s="821"/>
      <c r="AB19" s="821"/>
      <c r="AC19" s="821"/>
      <c r="AD19" s="821"/>
      <c r="AE19" s="821"/>
      <c r="AF19" s="823"/>
      <c r="AG19" s="821"/>
      <c r="AH19" s="821"/>
      <c r="AI19" s="821"/>
      <c r="AJ19" s="884"/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9"/>
      <c r="C20" s="820"/>
      <c r="D20" s="821"/>
      <c r="E20" s="821"/>
      <c r="F20" s="821"/>
      <c r="G20" s="821"/>
      <c r="H20" s="822"/>
      <c r="I20" s="823"/>
      <c r="J20" s="880"/>
      <c r="K20" s="822"/>
      <c r="L20" s="821"/>
      <c r="M20" s="825"/>
      <c r="N20" s="823"/>
      <c r="O20" s="826"/>
      <c r="P20" s="827"/>
      <c r="Q20" s="821"/>
      <c r="R20" s="821"/>
      <c r="S20" s="821"/>
      <c r="T20" s="821"/>
      <c r="U20" s="821"/>
      <c r="V20" s="828"/>
      <c r="W20" s="821"/>
      <c r="X20" s="829"/>
      <c r="Y20" s="821"/>
      <c r="Z20" s="821"/>
      <c r="AA20" s="821"/>
      <c r="AB20" s="821"/>
      <c r="AC20" s="821"/>
      <c r="AD20" s="821"/>
      <c r="AE20" s="821"/>
      <c r="AF20" s="823"/>
      <c r="AG20" s="821"/>
      <c r="AH20" s="821"/>
      <c r="AI20" s="821"/>
      <c r="AJ20" s="884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9"/>
      <c r="C21" s="820"/>
      <c r="D21" s="821"/>
      <c r="E21" s="821"/>
      <c r="F21" s="821"/>
      <c r="G21" s="821"/>
      <c r="H21" s="822"/>
      <c r="I21" s="823"/>
      <c r="J21" s="880"/>
      <c r="K21" s="822"/>
      <c r="L21" s="821"/>
      <c r="M21" s="825"/>
      <c r="N21" s="823"/>
      <c r="O21" s="826"/>
      <c r="P21" s="827"/>
      <c r="Q21" s="821"/>
      <c r="R21" s="821"/>
      <c r="S21" s="821"/>
      <c r="T21" s="821"/>
      <c r="U21" s="821"/>
      <c r="V21" s="828"/>
      <c r="W21" s="821"/>
      <c r="X21" s="829"/>
      <c r="Y21" s="821"/>
      <c r="Z21" s="821"/>
      <c r="AA21" s="821"/>
      <c r="AB21" s="821"/>
      <c r="AC21" s="821"/>
      <c r="AD21" s="821"/>
      <c r="AE21" s="821"/>
      <c r="AF21" s="823"/>
      <c r="AG21" s="821"/>
      <c r="AH21" s="821"/>
      <c r="AI21" s="821"/>
      <c r="AJ21" s="884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9"/>
      <c r="C22" s="820"/>
      <c r="D22" s="821"/>
      <c r="E22" s="821"/>
      <c r="F22" s="821"/>
      <c r="G22" s="821"/>
      <c r="H22" s="822"/>
      <c r="I22" s="823"/>
      <c r="J22" s="880"/>
      <c r="K22" s="822"/>
      <c r="L22" s="821"/>
      <c r="M22" s="825"/>
      <c r="N22" s="823"/>
      <c r="O22" s="826"/>
      <c r="P22" s="827"/>
      <c r="Q22" s="821"/>
      <c r="R22" s="821"/>
      <c r="S22" s="821"/>
      <c r="T22" s="821"/>
      <c r="U22" s="821"/>
      <c r="V22" s="828"/>
      <c r="W22" s="821"/>
      <c r="X22" s="829"/>
      <c r="Y22" s="821"/>
      <c r="Z22" s="821"/>
      <c r="AA22" s="821"/>
      <c r="AB22" s="821"/>
      <c r="AC22" s="821"/>
      <c r="AD22" s="821"/>
      <c r="AE22" s="821"/>
      <c r="AF22" s="823"/>
      <c r="AG22" s="821"/>
      <c r="AH22" s="821"/>
      <c r="AI22" s="821"/>
      <c r="AJ22" s="884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9"/>
      <c r="C23" s="820"/>
      <c r="D23" s="821"/>
      <c r="E23" s="821"/>
      <c r="F23" s="821"/>
      <c r="G23" s="821"/>
      <c r="H23" s="822"/>
      <c r="I23" s="823"/>
      <c r="J23" s="880"/>
      <c r="K23" s="822"/>
      <c r="L23" s="821"/>
      <c r="M23" s="825"/>
      <c r="N23" s="823"/>
      <c r="O23" s="826"/>
      <c r="P23" s="827"/>
      <c r="Q23" s="821"/>
      <c r="R23" s="821"/>
      <c r="S23" s="821"/>
      <c r="T23" s="821"/>
      <c r="U23" s="821"/>
      <c r="V23" s="828"/>
      <c r="W23" s="821"/>
      <c r="X23" s="829"/>
      <c r="Y23" s="821"/>
      <c r="Z23" s="821"/>
      <c r="AA23" s="821"/>
      <c r="AB23" s="821"/>
      <c r="AC23" s="821"/>
      <c r="AD23" s="821"/>
      <c r="AE23" s="821"/>
      <c r="AF23" s="823"/>
      <c r="AG23" s="821"/>
      <c r="AH23" s="821"/>
      <c r="AI23" s="821"/>
      <c r="AJ23" s="884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9"/>
      <c r="C24" s="820"/>
      <c r="D24" s="821"/>
      <c r="E24" s="821"/>
      <c r="F24" s="821"/>
      <c r="G24" s="821"/>
      <c r="H24" s="822"/>
      <c r="I24" s="823"/>
      <c r="J24" s="880"/>
      <c r="K24" s="822"/>
      <c r="L24" s="821"/>
      <c r="M24" s="825"/>
      <c r="N24" s="823"/>
      <c r="O24" s="826"/>
      <c r="P24" s="827"/>
      <c r="Q24" s="821"/>
      <c r="R24" s="821"/>
      <c r="S24" s="821"/>
      <c r="T24" s="821"/>
      <c r="U24" s="821"/>
      <c r="V24" s="828"/>
      <c r="W24" s="821"/>
      <c r="X24" s="829"/>
      <c r="Y24" s="821"/>
      <c r="Z24" s="821"/>
      <c r="AA24" s="821"/>
      <c r="AB24" s="821"/>
      <c r="AC24" s="821"/>
      <c r="AD24" s="821"/>
      <c r="AE24" s="821"/>
      <c r="AF24" s="823"/>
      <c r="AG24" s="821"/>
      <c r="AH24" s="821"/>
      <c r="AI24" s="821"/>
      <c r="AJ24" s="884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9"/>
      <c r="C25" s="820"/>
      <c r="D25" s="821"/>
      <c r="E25" s="821"/>
      <c r="F25" s="821"/>
      <c r="G25" s="821"/>
      <c r="H25" s="822"/>
      <c r="I25" s="823"/>
      <c r="J25" s="880"/>
      <c r="K25" s="822"/>
      <c r="L25" s="821"/>
      <c r="M25" s="825"/>
      <c r="N25" s="823"/>
      <c r="O25" s="826"/>
      <c r="P25" s="827"/>
      <c r="Q25" s="876"/>
      <c r="R25" s="821"/>
      <c r="S25" s="821"/>
      <c r="T25" s="821"/>
      <c r="U25" s="821"/>
      <c r="V25" s="828"/>
      <c r="W25" s="821"/>
      <c r="X25" s="829"/>
      <c r="Y25" s="821"/>
      <c r="Z25" s="821"/>
      <c r="AA25" s="821"/>
      <c r="AB25" s="821"/>
      <c r="AC25" s="821"/>
      <c r="AD25" s="821"/>
      <c r="AE25" s="821"/>
      <c r="AF25" s="823"/>
      <c r="AG25" s="821"/>
      <c r="AH25" s="821"/>
      <c r="AI25" s="821"/>
      <c r="AJ25" s="884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9"/>
      <c r="C26" s="820"/>
      <c r="D26" s="821"/>
      <c r="E26" s="821"/>
      <c r="F26" s="821"/>
      <c r="G26" s="821"/>
      <c r="H26" s="822"/>
      <c r="I26" s="823"/>
      <c r="J26" s="880"/>
      <c r="K26" s="822"/>
      <c r="L26" s="821"/>
      <c r="M26" s="825"/>
      <c r="N26" s="823"/>
      <c r="O26" s="826"/>
      <c r="P26" s="827"/>
      <c r="Q26" s="876"/>
      <c r="R26" s="821"/>
      <c r="S26" s="821"/>
      <c r="T26" s="821"/>
      <c r="U26" s="821"/>
      <c r="V26" s="828"/>
      <c r="W26" s="821"/>
      <c r="X26" s="829"/>
      <c r="Y26" s="821"/>
      <c r="Z26" s="821"/>
      <c r="AA26" s="821"/>
      <c r="AB26" s="821"/>
      <c r="AC26" s="821"/>
      <c r="AD26" s="821"/>
      <c r="AE26" s="821"/>
      <c r="AF26" s="823"/>
      <c r="AG26" s="821"/>
      <c r="AH26" s="821"/>
      <c r="AI26" s="821"/>
      <c r="AJ26" s="884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9"/>
      <c r="C27" s="820"/>
      <c r="D27" s="821"/>
      <c r="E27" s="821"/>
      <c r="F27" s="821"/>
      <c r="G27" s="821"/>
      <c r="H27" s="822"/>
      <c r="I27" s="823"/>
      <c r="J27" s="880"/>
      <c r="K27" s="822"/>
      <c r="L27" s="821"/>
      <c r="M27" s="825"/>
      <c r="N27" s="823"/>
      <c r="O27" s="826"/>
      <c r="P27" s="827"/>
      <c r="Q27" s="821"/>
      <c r="R27" s="821"/>
      <c r="S27" s="821"/>
      <c r="T27" s="821"/>
      <c r="U27" s="821"/>
      <c r="V27" s="828"/>
      <c r="W27" s="821"/>
      <c r="X27" s="829"/>
      <c r="Y27" s="821"/>
      <c r="Z27" s="821"/>
      <c r="AA27" s="821"/>
      <c r="AB27" s="821"/>
      <c r="AC27" s="821"/>
      <c r="AD27" s="821"/>
      <c r="AE27" s="821"/>
      <c r="AF27" s="823"/>
      <c r="AG27" s="821"/>
      <c r="AH27" s="821"/>
      <c r="AI27" s="821"/>
      <c r="AJ27" s="884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9"/>
      <c r="C28" s="820"/>
      <c r="D28" s="821"/>
      <c r="E28" s="821"/>
      <c r="F28" s="821"/>
      <c r="G28" s="821"/>
      <c r="H28" s="822"/>
      <c r="I28" s="823"/>
      <c r="J28" s="880"/>
      <c r="K28" s="822"/>
      <c r="L28" s="821"/>
      <c r="M28" s="825"/>
      <c r="N28" s="823"/>
      <c r="O28" s="826"/>
      <c r="P28" s="827"/>
      <c r="Q28" s="821"/>
      <c r="R28" s="821"/>
      <c r="S28" s="821"/>
      <c r="T28" s="821"/>
      <c r="U28" s="821"/>
      <c r="V28" s="828"/>
      <c r="W28" s="821"/>
      <c r="X28" s="829"/>
      <c r="Y28" s="821"/>
      <c r="Z28" s="821"/>
      <c r="AA28" s="821"/>
      <c r="AB28" s="821"/>
      <c r="AC28" s="821"/>
      <c r="AD28" s="821"/>
      <c r="AE28" s="821"/>
      <c r="AF28" s="823"/>
      <c r="AG28" s="821"/>
      <c r="AH28" s="821"/>
      <c r="AI28" s="821"/>
      <c r="AJ28" s="884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9"/>
      <c r="C29" s="820"/>
      <c r="D29" s="821"/>
      <c r="E29" s="821"/>
      <c r="F29" s="821"/>
      <c r="G29" s="821"/>
      <c r="H29" s="822"/>
      <c r="I29" s="823"/>
      <c r="J29" s="880"/>
      <c r="K29" s="822"/>
      <c r="L29" s="821"/>
      <c r="M29" s="825"/>
      <c r="N29" s="823"/>
      <c r="O29" s="826"/>
      <c r="P29" s="827"/>
      <c r="Q29" s="821"/>
      <c r="R29" s="821"/>
      <c r="S29" s="821"/>
      <c r="T29" s="821"/>
      <c r="U29" s="821"/>
      <c r="V29" s="828"/>
      <c r="W29" s="821"/>
      <c r="X29" s="829"/>
      <c r="Y29" s="821"/>
      <c r="Z29" s="821"/>
      <c r="AA29" s="821"/>
      <c r="AB29" s="821"/>
      <c r="AC29" s="821"/>
      <c r="AD29" s="821"/>
      <c r="AE29" s="821"/>
      <c r="AF29" s="823"/>
      <c r="AG29" s="821"/>
      <c r="AH29" s="821"/>
      <c r="AI29" s="821"/>
      <c r="AJ29" s="884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9"/>
      <c r="C30" s="820"/>
      <c r="D30" s="821"/>
      <c r="E30" s="821"/>
      <c r="F30" s="821"/>
      <c r="G30" s="821"/>
      <c r="H30" s="822"/>
      <c r="I30" s="823"/>
      <c r="J30" s="880"/>
      <c r="K30" s="822"/>
      <c r="L30" s="821"/>
      <c r="M30" s="825"/>
      <c r="N30" s="823"/>
      <c r="O30" s="826"/>
      <c r="P30" s="827"/>
      <c r="Q30" s="821"/>
      <c r="R30" s="821"/>
      <c r="S30" s="821"/>
      <c r="T30" s="821"/>
      <c r="U30" s="821"/>
      <c r="V30" s="828"/>
      <c r="W30" s="821"/>
      <c r="X30" s="829"/>
      <c r="Y30" s="821"/>
      <c r="Z30" s="821"/>
      <c r="AA30" s="821"/>
      <c r="AB30" s="821"/>
      <c r="AC30" s="821"/>
      <c r="AD30" s="821"/>
      <c r="AE30" s="821"/>
      <c r="AF30" s="823"/>
      <c r="AG30" s="821"/>
      <c r="AH30" s="821"/>
      <c r="AI30" s="821"/>
      <c r="AJ30" s="884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9"/>
      <c r="C31" s="820"/>
      <c r="D31" s="821"/>
      <c r="E31" s="821"/>
      <c r="F31" s="821"/>
      <c r="G31" s="821"/>
      <c r="H31" s="822"/>
      <c r="I31" s="823"/>
      <c r="J31" s="880"/>
      <c r="K31" s="822"/>
      <c r="L31" s="821"/>
      <c r="M31" s="825"/>
      <c r="N31" s="823"/>
      <c r="O31" s="826"/>
      <c r="P31" s="827"/>
      <c r="Q31" s="821"/>
      <c r="R31" s="821"/>
      <c r="S31" s="821"/>
      <c r="T31" s="821"/>
      <c r="U31" s="821"/>
      <c r="V31" s="828"/>
      <c r="W31" s="821"/>
      <c r="X31" s="829"/>
      <c r="Y31" s="821"/>
      <c r="Z31" s="821"/>
      <c r="AA31" s="821"/>
      <c r="AB31" s="821"/>
      <c r="AC31" s="821"/>
      <c r="AD31" s="821"/>
      <c r="AE31" s="821"/>
      <c r="AF31" s="823"/>
      <c r="AG31" s="821"/>
      <c r="AH31" s="821"/>
      <c r="AI31" s="821"/>
      <c r="AJ31" s="884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9"/>
      <c r="C32" s="820"/>
      <c r="D32" s="821"/>
      <c r="E32" s="821"/>
      <c r="F32" s="821"/>
      <c r="G32" s="821"/>
      <c r="H32" s="822"/>
      <c r="I32" s="823"/>
      <c r="J32" s="880"/>
      <c r="K32" s="822"/>
      <c r="L32" s="821"/>
      <c r="M32" s="825"/>
      <c r="N32" s="823"/>
      <c r="O32" s="826"/>
      <c r="P32" s="827"/>
      <c r="Q32" s="821"/>
      <c r="R32" s="821"/>
      <c r="S32" s="888"/>
      <c r="T32" s="821"/>
      <c r="U32" s="821"/>
      <c r="V32" s="828"/>
      <c r="W32" s="821"/>
      <c r="X32" s="829"/>
      <c r="Y32" s="821"/>
      <c r="Z32" s="821"/>
      <c r="AA32" s="821"/>
      <c r="AB32" s="821"/>
      <c r="AC32" s="821"/>
      <c r="AD32" s="821"/>
      <c r="AE32" s="821"/>
      <c r="AF32" s="823"/>
      <c r="AG32" s="821"/>
      <c r="AH32" s="821"/>
      <c r="AI32" s="821"/>
      <c r="AJ32" s="884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9"/>
      <c r="C33" s="820"/>
      <c r="D33" s="821"/>
      <c r="E33" s="821"/>
      <c r="F33" s="821"/>
      <c r="G33" s="821"/>
      <c r="H33" s="822"/>
      <c r="I33" s="823"/>
      <c r="J33" s="880"/>
      <c r="K33" s="822"/>
      <c r="L33" s="821"/>
      <c r="M33" s="825"/>
      <c r="N33" s="823"/>
      <c r="O33" s="826"/>
      <c r="P33" s="827"/>
      <c r="Q33" s="821"/>
      <c r="R33" s="821"/>
      <c r="S33" s="888"/>
      <c r="T33" s="821"/>
      <c r="U33" s="821"/>
      <c r="V33" s="828"/>
      <c r="W33" s="821"/>
      <c r="X33" s="829"/>
      <c r="Y33" s="821"/>
      <c r="Z33" s="821"/>
      <c r="AA33" s="821"/>
      <c r="AB33" s="821"/>
      <c r="AC33" s="821"/>
      <c r="AD33" s="821"/>
      <c r="AE33" s="821"/>
      <c r="AF33" s="823"/>
      <c r="AG33" s="821"/>
      <c r="AH33" s="821"/>
      <c r="AI33" s="821"/>
      <c r="AJ33" s="884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9"/>
      <c r="C34" s="820"/>
      <c r="D34" s="821"/>
      <c r="E34" s="821"/>
      <c r="F34" s="821"/>
      <c r="G34" s="821"/>
      <c r="H34" s="822"/>
      <c r="I34" s="823"/>
      <c r="J34" s="880"/>
      <c r="K34" s="822"/>
      <c r="L34" s="821"/>
      <c r="M34" s="825"/>
      <c r="N34" s="823"/>
      <c r="O34" s="826"/>
      <c r="P34" s="827"/>
      <c r="Q34" s="821"/>
      <c r="R34" s="821"/>
      <c r="S34" s="821"/>
      <c r="T34" s="821"/>
      <c r="U34" s="821"/>
      <c r="V34" s="828"/>
      <c r="W34" s="821"/>
      <c r="X34" s="829"/>
      <c r="Y34" s="821"/>
      <c r="Z34" s="821"/>
      <c r="AA34" s="821"/>
      <c r="AB34" s="821"/>
      <c r="AC34" s="821"/>
      <c r="AD34" s="821"/>
      <c r="AE34" s="821"/>
      <c r="AF34" s="823"/>
      <c r="AG34" s="821"/>
      <c r="AH34" s="821"/>
      <c r="AI34" s="821"/>
      <c r="AJ34" s="884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9"/>
      <c r="C35" s="820"/>
      <c r="D35" s="192"/>
      <c r="E35" s="821"/>
      <c r="F35" s="821"/>
      <c r="G35" s="821"/>
      <c r="H35" s="193"/>
      <c r="I35" s="194"/>
      <c r="J35" s="711"/>
      <c r="K35" s="822"/>
      <c r="L35" s="821"/>
      <c r="M35" s="825"/>
      <c r="N35" s="823"/>
      <c r="O35" s="826"/>
      <c r="P35" s="827"/>
      <c r="Q35" s="821"/>
      <c r="R35" s="192"/>
      <c r="S35" s="821"/>
      <c r="T35" s="192"/>
      <c r="U35" s="821"/>
      <c r="V35" s="828"/>
      <c r="W35" s="192"/>
      <c r="X35" s="829"/>
      <c r="Y35" s="821"/>
      <c r="Z35" s="821"/>
      <c r="AA35" s="821"/>
      <c r="AB35" s="192"/>
      <c r="AC35" s="821"/>
      <c r="AD35" s="821"/>
      <c r="AE35" s="192"/>
      <c r="AF35" s="194"/>
      <c r="AG35" s="192"/>
      <c r="AH35" s="192"/>
      <c r="AI35" s="199"/>
      <c r="AJ35" s="884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8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8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01"/>
      <c r="J38" s="901"/>
      <c r="R38" s="190"/>
      <c r="S38" s="190"/>
      <c r="T38" s="190"/>
      <c r="U38" s="190"/>
      <c r="V38" s="190"/>
      <c r="W38" s="190"/>
      <c r="Z38" s="190"/>
      <c r="AA38" s="902"/>
      <c r="AB38" s="902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8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8"/>
    </row>
    <row r="178" spans="3:3" s="189" customFormat="1" x14ac:dyDescent="0.2">
      <c r="C178" s="818"/>
    </row>
    <row r="179" spans="3:3" s="189" customFormat="1" x14ac:dyDescent="0.2">
      <c r="C179" s="818"/>
    </row>
    <row r="180" spans="3:3" s="189" customFormat="1" x14ac:dyDescent="0.2">
      <c r="C180" s="818"/>
    </row>
    <row r="181" spans="3:3" s="189" customFormat="1" x14ac:dyDescent="0.2">
      <c r="C181" s="818"/>
    </row>
    <row r="182" spans="3:3" s="189" customFormat="1" x14ac:dyDescent="0.2">
      <c r="C182" s="818"/>
    </row>
    <row r="183" spans="3:3" s="189" customFormat="1" x14ac:dyDescent="0.2">
      <c r="C183" s="818"/>
    </row>
    <row r="184" spans="3:3" s="189" customFormat="1" x14ac:dyDescent="0.2">
      <c r="C184" s="818"/>
    </row>
    <row r="185" spans="3:3" s="189" customFormat="1" x14ac:dyDescent="0.2">
      <c r="C185" s="818"/>
    </row>
    <row r="186" spans="3:3" s="189" customFormat="1" x14ac:dyDescent="0.2">
      <c r="C186" s="818"/>
    </row>
    <row r="187" spans="3:3" s="189" customFormat="1" x14ac:dyDescent="0.2">
      <c r="C187" s="818"/>
    </row>
    <row r="188" spans="3:3" s="189" customFormat="1" x14ac:dyDescent="0.2">
      <c r="C188" s="818"/>
    </row>
    <row r="189" spans="3:3" s="189" customFormat="1" x14ac:dyDescent="0.2">
      <c r="C189" s="818"/>
    </row>
    <row r="190" spans="3:3" s="189" customFormat="1" x14ac:dyDescent="0.2">
      <c r="C190" s="818"/>
    </row>
    <row r="191" spans="3:3" s="189" customFormat="1" x14ac:dyDescent="0.2">
      <c r="C191" s="818"/>
    </row>
    <row r="192" spans="3:3" s="189" customFormat="1" x14ac:dyDescent="0.2">
      <c r="C192" s="818"/>
    </row>
    <row r="193" spans="3:3" s="189" customFormat="1" x14ac:dyDescent="0.2">
      <c r="C193" s="818"/>
    </row>
    <row r="194" spans="3:3" s="189" customFormat="1" x14ac:dyDescent="0.2">
      <c r="C194" s="818"/>
    </row>
    <row r="195" spans="3:3" s="189" customFormat="1" x14ac:dyDescent="0.2">
      <c r="C195" s="818"/>
    </row>
    <row r="196" spans="3:3" s="189" customFormat="1" x14ac:dyDescent="0.2">
      <c r="C196" s="818"/>
    </row>
    <row r="197" spans="3:3" s="189" customFormat="1" x14ac:dyDescent="0.2">
      <c r="C197" s="818"/>
    </row>
    <row r="198" spans="3:3" s="189" customFormat="1" x14ac:dyDescent="0.2">
      <c r="C198" s="818"/>
    </row>
    <row r="199" spans="3:3" s="189" customFormat="1" x14ac:dyDescent="0.2">
      <c r="C199" s="818"/>
    </row>
    <row r="200" spans="3:3" s="189" customFormat="1" x14ac:dyDescent="0.2">
      <c r="C200" s="818"/>
    </row>
    <row r="201" spans="3:3" s="189" customFormat="1" x14ac:dyDescent="0.2">
      <c r="C201" s="818"/>
    </row>
    <row r="202" spans="3:3" s="189" customFormat="1" x14ac:dyDescent="0.2">
      <c r="C202" s="818"/>
    </row>
    <row r="203" spans="3:3" s="189" customFormat="1" x14ac:dyDescent="0.2">
      <c r="C203" s="818"/>
    </row>
    <row r="204" spans="3:3" s="189" customFormat="1" x14ac:dyDescent="0.2">
      <c r="C204" s="818"/>
    </row>
    <row r="205" spans="3:3" s="189" customFormat="1" x14ac:dyDescent="0.2">
      <c r="C205" s="818"/>
    </row>
    <row r="206" spans="3:3" s="189" customFormat="1" x14ac:dyDescent="0.2">
      <c r="C206" s="818"/>
    </row>
    <row r="207" spans="3:3" s="189" customFormat="1" x14ac:dyDescent="0.2">
      <c r="C207" s="818"/>
    </row>
    <row r="208" spans="3:3" s="189" customFormat="1" x14ac:dyDescent="0.2">
      <c r="C208" s="818"/>
    </row>
    <row r="209" spans="3:3" s="189" customFormat="1" x14ac:dyDescent="0.2">
      <c r="C209" s="818"/>
    </row>
    <row r="210" spans="3:3" s="189" customFormat="1" x14ac:dyDescent="0.2">
      <c r="C210" s="818"/>
    </row>
    <row r="211" spans="3:3" s="189" customFormat="1" x14ac:dyDescent="0.2">
      <c r="C211" s="818"/>
    </row>
    <row r="212" spans="3:3" s="189" customFormat="1" x14ac:dyDescent="0.2">
      <c r="C212" s="818"/>
    </row>
    <row r="213" spans="3:3" s="189" customFormat="1" x14ac:dyDescent="0.2">
      <c r="C213" s="818"/>
    </row>
    <row r="214" spans="3:3" s="189" customFormat="1" x14ac:dyDescent="0.2">
      <c r="C214" s="818"/>
    </row>
    <row r="215" spans="3:3" s="189" customFormat="1" x14ac:dyDescent="0.2">
      <c r="C215" s="818"/>
    </row>
    <row r="216" spans="3:3" s="189" customFormat="1" x14ac:dyDescent="0.2">
      <c r="C216" s="818"/>
    </row>
    <row r="217" spans="3:3" s="189" customFormat="1" x14ac:dyDescent="0.2">
      <c r="C217" s="818"/>
    </row>
    <row r="218" spans="3:3" s="189" customFormat="1" x14ac:dyDescent="0.2">
      <c r="C218" s="818"/>
    </row>
    <row r="219" spans="3:3" s="189" customFormat="1" x14ac:dyDescent="0.2">
      <c r="C219" s="818"/>
    </row>
    <row r="220" spans="3:3" s="189" customFormat="1" x14ac:dyDescent="0.2">
      <c r="C220" s="818"/>
    </row>
    <row r="221" spans="3:3" s="189" customFormat="1" x14ac:dyDescent="0.2">
      <c r="C221" s="818"/>
    </row>
    <row r="222" spans="3:3" s="189" customFormat="1" x14ac:dyDescent="0.2">
      <c r="C222" s="818"/>
    </row>
    <row r="223" spans="3:3" s="189" customFormat="1" x14ac:dyDescent="0.2">
      <c r="C223" s="818"/>
    </row>
    <row r="224" spans="3:3" s="189" customFormat="1" x14ac:dyDescent="0.2">
      <c r="C224" s="818"/>
    </row>
    <row r="225" spans="3:3" s="189" customFormat="1" x14ac:dyDescent="0.2">
      <c r="C225" s="818"/>
    </row>
    <row r="226" spans="3:3" s="189" customFormat="1" x14ac:dyDescent="0.2">
      <c r="C226" s="818"/>
    </row>
    <row r="227" spans="3:3" s="189" customFormat="1" x14ac:dyDescent="0.2">
      <c r="C227" s="818"/>
    </row>
    <row r="228" spans="3:3" s="189" customFormat="1" x14ac:dyDescent="0.2">
      <c r="C228" s="818"/>
    </row>
    <row r="229" spans="3:3" s="189" customFormat="1" x14ac:dyDescent="0.2">
      <c r="C229" s="818"/>
    </row>
    <row r="230" spans="3:3" s="189" customFormat="1" x14ac:dyDescent="0.2">
      <c r="C230" s="818"/>
    </row>
    <row r="231" spans="3:3" s="189" customFormat="1" x14ac:dyDescent="0.2">
      <c r="C231" s="818"/>
    </row>
    <row r="232" spans="3:3" s="189" customFormat="1" x14ac:dyDescent="0.2">
      <c r="C232" s="818"/>
    </row>
    <row r="233" spans="3:3" s="189" customFormat="1" x14ac:dyDescent="0.2">
      <c r="C233" s="818"/>
    </row>
    <row r="234" spans="3:3" s="189" customFormat="1" x14ac:dyDescent="0.2">
      <c r="C234" s="818"/>
    </row>
    <row r="235" spans="3:3" s="189" customFormat="1" x14ac:dyDescent="0.2">
      <c r="C235" s="818"/>
    </row>
    <row r="236" spans="3:3" s="189" customFormat="1" x14ac:dyDescent="0.2">
      <c r="C236" s="818"/>
    </row>
    <row r="237" spans="3:3" s="189" customFormat="1" x14ac:dyDescent="0.2">
      <c r="C237" s="818"/>
    </row>
    <row r="238" spans="3:3" s="189" customFormat="1" x14ac:dyDescent="0.2">
      <c r="C238" s="818"/>
    </row>
    <row r="239" spans="3:3" s="189" customFormat="1" x14ac:dyDescent="0.2">
      <c r="C239" s="818"/>
    </row>
    <row r="240" spans="3:3" s="189" customFormat="1" x14ac:dyDescent="0.2">
      <c r="C240" s="818"/>
    </row>
    <row r="241" spans="3:3" s="189" customFormat="1" x14ac:dyDescent="0.2">
      <c r="C241" s="818"/>
    </row>
    <row r="242" spans="3:3" s="189" customFormat="1" x14ac:dyDescent="0.2">
      <c r="C242" s="818"/>
    </row>
    <row r="243" spans="3:3" s="189" customFormat="1" x14ac:dyDescent="0.2">
      <c r="C243" s="818"/>
    </row>
    <row r="244" spans="3:3" s="189" customFormat="1" x14ac:dyDescent="0.2">
      <c r="C244" s="818"/>
    </row>
    <row r="245" spans="3:3" s="189" customFormat="1" x14ac:dyDescent="0.2">
      <c r="C245" s="818"/>
    </row>
    <row r="246" spans="3:3" s="189" customFormat="1" x14ac:dyDescent="0.2">
      <c r="C246" s="818"/>
    </row>
    <row r="247" spans="3:3" s="189" customFormat="1" x14ac:dyDescent="0.2">
      <c r="C247" s="818"/>
    </row>
    <row r="248" spans="3:3" s="189" customFormat="1" x14ac:dyDescent="0.2">
      <c r="C248" s="818"/>
    </row>
    <row r="249" spans="3:3" s="189" customFormat="1" x14ac:dyDescent="0.2">
      <c r="C249" s="818"/>
    </row>
    <row r="250" spans="3:3" s="189" customFormat="1" x14ac:dyDescent="0.2">
      <c r="C250" s="818"/>
    </row>
    <row r="251" spans="3:3" s="189" customFormat="1" x14ac:dyDescent="0.2">
      <c r="C251" s="818"/>
    </row>
    <row r="252" spans="3:3" s="189" customFormat="1" x14ac:dyDescent="0.2">
      <c r="C252" s="818"/>
    </row>
    <row r="253" spans="3:3" s="189" customFormat="1" x14ac:dyDescent="0.2">
      <c r="C253" s="818"/>
    </row>
    <row r="254" spans="3:3" s="189" customFormat="1" x14ac:dyDescent="0.2">
      <c r="C254" s="818"/>
    </row>
    <row r="255" spans="3:3" s="189" customFormat="1" x14ac:dyDescent="0.2">
      <c r="C255" s="818"/>
    </row>
    <row r="256" spans="3:3" s="189" customFormat="1" x14ac:dyDescent="0.2">
      <c r="C256" s="818"/>
    </row>
    <row r="257" spans="3:3" s="189" customFormat="1" x14ac:dyDescent="0.2">
      <c r="C257" s="818"/>
    </row>
    <row r="258" spans="3:3" s="189" customFormat="1" x14ac:dyDescent="0.2">
      <c r="C258" s="818"/>
    </row>
    <row r="259" spans="3:3" s="189" customFormat="1" x14ac:dyDescent="0.2">
      <c r="C259" s="818"/>
    </row>
    <row r="260" spans="3:3" s="189" customFormat="1" x14ac:dyDescent="0.2">
      <c r="C260" s="818"/>
    </row>
    <row r="261" spans="3:3" s="189" customFormat="1" x14ac:dyDescent="0.2">
      <c r="C261" s="818"/>
    </row>
    <row r="262" spans="3:3" s="189" customFormat="1" x14ac:dyDescent="0.2">
      <c r="C262" s="818"/>
    </row>
    <row r="263" spans="3:3" s="189" customFormat="1" x14ac:dyDescent="0.2">
      <c r="C263" s="818"/>
    </row>
    <row r="264" spans="3:3" s="189" customFormat="1" x14ac:dyDescent="0.2">
      <c r="C264" s="818"/>
    </row>
    <row r="265" spans="3:3" s="189" customFormat="1" x14ac:dyDescent="0.2">
      <c r="C265" s="818"/>
    </row>
    <row r="266" spans="3:3" s="189" customFormat="1" x14ac:dyDescent="0.2">
      <c r="C266" s="818"/>
    </row>
    <row r="267" spans="3:3" s="189" customFormat="1" x14ac:dyDescent="0.2">
      <c r="C267" s="818"/>
    </row>
    <row r="268" spans="3:3" s="189" customFormat="1" x14ac:dyDescent="0.2">
      <c r="C268" s="818"/>
    </row>
    <row r="269" spans="3:3" s="189" customFormat="1" x14ac:dyDescent="0.2">
      <c r="C269" s="818"/>
    </row>
    <row r="270" spans="3:3" s="189" customFormat="1" x14ac:dyDescent="0.2">
      <c r="C270" s="818"/>
    </row>
    <row r="271" spans="3:3" s="189" customFormat="1" x14ac:dyDescent="0.2">
      <c r="C271" s="818"/>
    </row>
    <row r="272" spans="3:3" s="189" customFormat="1" x14ac:dyDescent="0.2">
      <c r="C272" s="818"/>
    </row>
    <row r="273" spans="3:3" s="189" customFormat="1" x14ac:dyDescent="0.2">
      <c r="C273" s="818"/>
    </row>
    <row r="274" spans="3:3" s="189" customFormat="1" x14ac:dyDescent="0.2">
      <c r="C274" s="818"/>
    </row>
    <row r="275" spans="3:3" s="189" customFormat="1" x14ac:dyDescent="0.2">
      <c r="C275" s="818"/>
    </row>
    <row r="276" spans="3:3" s="189" customFormat="1" x14ac:dyDescent="0.2">
      <c r="C276" s="818"/>
    </row>
    <row r="277" spans="3:3" s="189" customFormat="1" x14ac:dyDescent="0.2">
      <c r="C277" s="818"/>
    </row>
    <row r="278" spans="3:3" s="189" customFormat="1" x14ac:dyDescent="0.2">
      <c r="C278" s="818"/>
    </row>
    <row r="279" spans="3:3" s="189" customFormat="1" x14ac:dyDescent="0.2">
      <c r="C279" s="818"/>
    </row>
    <row r="280" spans="3:3" s="189" customFormat="1" x14ac:dyDescent="0.2">
      <c r="C280" s="818"/>
    </row>
    <row r="281" spans="3:3" s="189" customFormat="1" x14ac:dyDescent="0.2">
      <c r="C281" s="818"/>
    </row>
    <row r="282" spans="3:3" s="189" customFormat="1" x14ac:dyDescent="0.2">
      <c r="C282" s="818"/>
    </row>
    <row r="283" spans="3:3" s="189" customFormat="1" x14ac:dyDescent="0.2">
      <c r="C283" s="818"/>
    </row>
    <row r="284" spans="3:3" s="189" customFormat="1" x14ac:dyDescent="0.2">
      <c r="C284" s="818"/>
    </row>
    <row r="285" spans="3:3" s="189" customFormat="1" x14ac:dyDescent="0.2">
      <c r="C285" s="818"/>
    </row>
    <row r="286" spans="3:3" s="189" customFormat="1" x14ac:dyDescent="0.2">
      <c r="C286" s="818"/>
    </row>
    <row r="287" spans="3:3" s="189" customFormat="1" x14ac:dyDescent="0.2">
      <c r="C287" s="818"/>
    </row>
    <row r="288" spans="3:3" s="189" customFormat="1" x14ac:dyDescent="0.2">
      <c r="C288" s="818"/>
    </row>
    <row r="289" spans="3:3" s="189" customFormat="1" x14ac:dyDescent="0.2">
      <c r="C289" s="818"/>
    </row>
    <row r="290" spans="3:3" s="189" customFormat="1" x14ac:dyDescent="0.2">
      <c r="C290" s="818"/>
    </row>
    <row r="291" spans="3:3" s="189" customFormat="1" x14ac:dyDescent="0.2">
      <c r="C291" s="818"/>
    </row>
    <row r="292" spans="3:3" s="189" customFormat="1" x14ac:dyDescent="0.2">
      <c r="C292" s="818"/>
    </row>
    <row r="293" spans="3:3" s="189" customFormat="1" x14ac:dyDescent="0.2">
      <c r="C293" s="818"/>
    </row>
    <row r="294" spans="3:3" s="189" customFormat="1" x14ac:dyDescent="0.2">
      <c r="C294" s="818"/>
    </row>
    <row r="295" spans="3:3" s="189" customFormat="1" x14ac:dyDescent="0.2">
      <c r="C295" s="818"/>
    </row>
    <row r="296" spans="3:3" s="189" customFormat="1" x14ac:dyDescent="0.2">
      <c r="C296" s="818"/>
    </row>
    <row r="297" spans="3:3" s="189" customFormat="1" x14ac:dyDescent="0.2">
      <c r="C297" s="818"/>
    </row>
    <row r="298" spans="3:3" s="189" customFormat="1" x14ac:dyDescent="0.2">
      <c r="C298" s="818"/>
    </row>
    <row r="299" spans="3:3" s="189" customFormat="1" x14ac:dyDescent="0.2">
      <c r="C299" s="818"/>
    </row>
    <row r="300" spans="3:3" s="189" customFormat="1" x14ac:dyDescent="0.2">
      <c r="C300" s="818"/>
    </row>
    <row r="301" spans="3:3" s="189" customFormat="1" x14ac:dyDescent="0.2">
      <c r="C301" s="818"/>
    </row>
    <row r="302" spans="3:3" s="189" customFormat="1" x14ac:dyDescent="0.2">
      <c r="C302" s="818"/>
    </row>
    <row r="303" spans="3:3" s="189" customFormat="1" x14ac:dyDescent="0.2">
      <c r="C303" s="818"/>
    </row>
    <row r="304" spans="3:3" s="189" customFormat="1" x14ac:dyDescent="0.2">
      <c r="C304" s="818"/>
    </row>
    <row r="305" spans="3:3" s="189" customFormat="1" x14ac:dyDescent="0.2">
      <c r="C305" s="818"/>
    </row>
    <row r="306" spans="3:3" s="189" customFormat="1" x14ac:dyDescent="0.2">
      <c r="C306" s="818"/>
    </row>
    <row r="307" spans="3:3" s="189" customFormat="1" x14ac:dyDescent="0.2">
      <c r="C307" s="818"/>
    </row>
    <row r="308" spans="3:3" s="189" customFormat="1" x14ac:dyDescent="0.2">
      <c r="C308" s="818"/>
    </row>
    <row r="309" spans="3:3" s="189" customFormat="1" x14ac:dyDescent="0.2">
      <c r="C309" s="818"/>
    </row>
    <row r="310" spans="3:3" s="189" customFormat="1" x14ac:dyDescent="0.2">
      <c r="C310" s="818"/>
    </row>
    <row r="311" spans="3:3" s="189" customFormat="1" x14ac:dyDescent="0.2">
      <c r="C311" s="818"/>
    </row>
    <row r="312" spans="3:3" s="189" customFormat="1" x14ac:dyDescent="0.2">
      <c r="C312" s="818"/>
    </row>
    <row r="313" spans="3:3" s="189" customFormat="1" x14ac:dyDescent="0.2">
      <c r="C313" s="818"/>
    </row>
    <row r="314" spans="3:3" s="189" customFormat="1" x14ac:dyDescent="0.2">
      <c r="C314" s="818"/>
    </row>
    <row r="315" spans="3:3" s="189" customFormat="1" x14ac:dyDescent="0.2">
      <c r="C315" s="818"/>
    </row>
    <row r="316" spans="3:3" s="189" customFormat="1" x14ac:dyDescent="0.2">
      <c r="C316" s="818"/>
    </row>
    <row r="317" spans="3:3" s="189" customFormat="1" x14ac:dyDescent="0.2">
      <c r="C317" s="818"/>
    </row>
    <row r="318" spans="3:3" s="189" customFormat="1" x14ac:dyDescent="0.2">
      <c r="C318" s="818"/>
    </row>
    <row r="319" spans="3:3" s="189" customFormat="1" x14ac:dyDescent="0.2">
      <c r="C319" s="818"/>
    </row>
    <row r="320" spans="3:3" s="189" customFormat="1" x14ac:dyDescent="0.2">
      <c r="C320" s="818"/>
    </row>
    <row r="321" spans="3:3" s="189" customFormat="1" x14ac:dyDescent="0.2">
      <c r="C321" s="818"/>
    </row>
    <row r="322" spans="3:3" s="189" customFormat="1" x14ac:dyDescent="0.2">
      <c r="C322" s="818"/>
    </row>
    <row r="323" spans="3:3" s="189" customFormat="1" x14ac:dyDescent="0.2">
      <c r="C323" s="818"/>
    </row>
    <row r="324" spans="3:3" s="189" customFormat="1" x14ac:dyDescent="0.2">
      <c r="C324" s="818"/>
    </row>
    <row r="325" spans="3:3" s="189" customFormat="1" x14ac:dyDescent="0.2">
      <c r="C325" s="818"/>
    </row>
    <row r="326" spans="3:3" s="189" customFormat="1" x14ac:dyDescent="0.2">
      <c r="C326" s="818"/>
    </row>
    <row r="327" spans="3:3" s="189" customFormat="1" x14ac:dyDescent="0.2">
      <c r="C327" s="818"/>
    </row>
    <row r="328" spans="3:3" s="189" customFormat="1" x14ac:dyDescent="0.2">
      <c r="C328" s="818"/>
    </row>
    <row r="329" spans="3:3" s="189" customFormat="1" x14ac:dyDescent="0.2">
      <c r="C329" s="818"/>
    </row>
    <row r="330" spans="3:3" s="189" customFormat="1" x14ac:dyDescent="0.2">
      <c r="C330" s="818"/>
    </row>
    <row r="331" spans="3:3" s="189" customFormat="1" x14ac:dyDescent="0.2">
      <c r="C331" s="818"/>
    </row>
    <row r="332" spans="3:3" s="189" customFormat="1" x14ac:dyDescent="0.2">
      <c r="C332" s="818"/>
    </row>
    <row r="333" spans="3:3" s="189" customFormat="1" x14ac:dyDescent="0.2">
      <c r="C333" s="818"/>
    </row>
    <row r="334" spans="3:3" s="189" customFormat="1" x14ac:dyDescent="0.2">
      <c r="C334" s="818"/>
    </row>
    <row r="335" spans="3:3" s="189" customFormat="1" x14ac:dyDescent="0.2">
      <c r="C335" s="818"/>
    </row>
    <row r="336" spans="3:3" s="189" customFormat="1" x14ac:dyDescent="0.2">
      <c r="C336" s="818"/>
    </row>
    <row r="337" spans="3:3" s="189" customFormat="1" x14ac:dyDescent="0.2">
      <c r="C337" s="818"/>
    </row>
    <row r="338" spans="3:3" s="189" customFormat="1" x14ac:dyDescent="0.2">
      <c r="C338" s="818"/>
    </row>
    <row r="339" spans="3:3" s="189" customFormat="1" x14ac:dyDescent="0.2">
      <c r="C339" s="818"/>
    </row>
    <row r="340" spans="3:3" s="189" customFormat="1" x14ac:dyDescent="0.2">
      <c r="C340" s="818"/>
    </row>
    <row r="341" spans="3:3" s="189" customFormat="1" x14ac:dyDescent="0.2">
      <c r="C341" s="818"/>
    </row>
    <row r="342" spans="3:3" s="189" customFormat="1" x14ac:dyDescent="0.2">
      <c r="C342" s="818"/>
    </row>
    <row r="343" spans="3:3" s="189" customFormat="1" x14ac:dyDescent="0.2">
      <c r="C343" s="818"/>
    </row>
    <row r="344" spans="3:3" s="189" customFormat="1" x14ac:dyDescent="0.2">
      <c r="C344" s="818"/>
    </row>
    <row r="345" spans="3:3" s="189" customFormat="1" x14ac:dyDescent="0.2">
      <c r="C345" s="818"/>
    </row>
    <row r="346" spans="3:3" s="189" customFormat="1" x14ac:dyDescent="0.2">
      <c r="C346" s="818"/>
    </row>
    <row r="347" spans="3:3" s="189" customFormat="1" x14ac:dyDescent="0.2">
      <c r="C347" s="818"/>
    </row>
    <row r="348" spans="3:3" s="189" customFormat="1" x14ac:dyDescent="0.2">
      <c r="C348" s="818"/>
    </row>
    <row r="349" spans="3:3" s="189" customFormat="1" x14ac:dyDescent="0.2">
      <c r="C349" s="818"/>
    </row>
    <row r="350" spans="3:3" s="189" customFormat="1" x14ac:dyDescent="0.2">
      <c r="C350" s="818"/>
    </row>
    <row r="351" spans="3:3" s="189" customFormat="1" x14ac:dyDescent="0.2">
      <c r="C351" s="818"/>
    </row>
    <row r="352" spans="3:3" s="189" customFormat="1" x14ac:dyDescent="0.2">
      <c r="C352" s="818"/>
    </row>
    <row r="353" spans="3:3" s="189" customFormat="1" x14ac:dyDescent="0.2">
      <c r="C353" s="818"/>
    </row>
    <row r="354" spans="3:3" s="189" customFormat="1" x14ac:dyDescent="0.2">
      <c r="C354" s="818"/>
    </row>
    <row r="355" spans="3:3" s="189" customFormat="1" x14ac:dyDescent="0.2">
      <c r="C355" s="818"/>
    </row>
    <row r="356" spans="3:3" s="189" customFormat="1" x14ac:dyDescent="0.2">
      <c r="C356" s="818"/>
    </row>
    <row r="357" spans="3:3" s="189" customFormat="1" x14ac:dyDescent="0.2">
      <c r="C357" s="818"/>
    </row>
    <row r="358" spans="3:3" s="189" customFormat="1" x14ac:dyDescent="0.2">
      <c r="C358" s="818"/>
    </row>
    <row r="359" spans="3:3" s="189" customFormat="1" x14ac:dyDescent="0.2">
      <c r="C359" s="818"/>
    </row>
    <row r="360" spans="3:3" s="189" customFormat="1" x14ac:dyDescent="0.2">
      <c r="C360" s="818"/>
    </row>
    <row r="361" spans="3:3" s="189" customFormat="1" x14ac:dyDescent="0.2">
      <c r="C361" s="818"/>
    </row>
    <row r="362" spans="3:3" s="189" customFormat="1" x14ac:dyDescent="0.2">
      <c r="C362" s="818"/>
    </row>
    <row r="363" spans="3:3" s="189" customFormat="1" x14ac:dyDescent="0.2">
      <c r="C363" s="818"/>
    </row>
    <row r="364" spans="3:3" s="189" customFormat="1" x14ac:dyDescent="0.2">
      <c r="C364" s="818"/>
    </row>
    <row r="365" spans="3:3" s="189" customFormat="1" x14ac:dyDescent="0.2">
      <c r="C365" s="818"/>
    </row>
    <row r="366" spans="3:3" s="189" customFormat="1" x14ac:dyDescent="0.2">
      <c r="C366" s="818"/>
    </row>
    <row r="367" spans="3:3" s="189" customFormat="1" x14ac:dyDescent="0.2">
      <c r="C367" s="818"/>
    </row>
    <row r="368" spans="3:3" s="189" customFormat="1" x14ac:dyDescent="0.2">
      <c r="C368" s="818"/>
    </row>
    <row r="369" spans="3:3" s="189" customFormat="1" x14ac:dyDescent="0.2">
      <c r="C369" s="818"/>
    </row>
    <row r="370" spans="3:3" s="189" customFormat="1" x14ac:dyDescent="0.2">
      <c r="C370" s="818"/>
    </row>
    <row r="371" spans="3:3" s="189" customFormat="1" x14ac:dyDescent="0.2">
      <c r="C371" s="818"/>
    </row>
    <row r="372" spans="3:3" s="189" customFormat="1" x14ac:dyDescent="0.2">
      <c r="C372" s="818"/>
    </row>
    <row r="373" spans="3:3" s="189" customFormat="1" x14ac:dyDescent="0.2">
      <c r="C373" s="818"/>
    </row>
    <row r="374" spans="3:3" s="189" customFormat="1" x14ac:dyDescent="0.2">
      <c r="C374" s="818"/>
    </row>
    <row r="375" spans="3:3" s="189" customFormat="1" x14ac:dyDescent="0.2">
      <c r="C375" s="818"/>
    </row>
    <row r="376" spans="3:3" s="189" customFormat="1" x14ac:dyDescent="0.2">
      <c r="C376" s="818"/>
    </row>
    <row r="377" spans="3:3" s="189" customFormat="1" x14ac:dyDescent="0.2">
      <c r="C377" s="818"/>
    </row>
    <row r="378" spans="3:3" s="189" customFormat="1" x14ac:dyDescent="0.2">
      <c r="C378" s="818"/>
    </row>
    <row r="379" spans="3:3" s="189" customFormat="1" x14ac:dyDescent="0.2">
      <c r="C379" s="818"/>
    </row>
    <row r="380" spans="3:3" s="189" customFormat="1" x14ac:dyDescent="0.2">
      <c r="C380" s="818"/>
    </row>
    <row r="381" spans="3:3" s="189" customFormat="1" x14ac:dyDescent="0.2">
      <c r="C381" s="818"/>
    </row>
    <row r="382" spans="3:3" s="189" customFormat="1" x14ac:dyDescent="0.2">
      <c r="C382" s="818"/>
    </row>
    <row r="383" spans="3:3" s="189" customFormat="1" x14ac:dyDescent="0.2">
      <c r="C383" s="818"/>
    </row>
    <row r="384" spans="3:3" s="189" customFormat="1" x14ac:dyDescent="0.2">
      <c r="C384" s="818"/>
    </row>
    <row r="385" spans="3:3" s="189" customFormat="1" x14ac:dyDescent="0.2">
      <c r="C385" s="818"/>
    </row>
    <row r="386" spans="3:3" s="189" customFormat="1" x14ac:dyDescent="0.2">
      <c r="C386" s="818"/>
    </row>
    <row r="387" spans="3:3" s="189" customFormat="1" x14ac:dyDescent="0.2">
      <c r="C387" s="818"/>
    </row>
    <row r="388" spans="3:3" s="189" customFormat="1" x14ac:dyDescent="0.2">
      <c r="C388" s="818"/>
    </row>
    <row r="389" spans="3:3" s="189" customFormat="1" x14ac:dyDescent="0.2">
      <c r="C389" s="818"/>
    </row>
    <row r="390" spans="3:3" s="189" customFormat="1" x14ac:dyDescent="0.2">
      <c r="C390" s="818"/>
    </row>
    <row r="391" spans="3:3" s="189" customFormat="1" x14ac:dyDescent="0.2">
      <c r="C391" s="818"/>
    </row>
    <row r="392" spans="3:3" s="189" customFormat="1" x14ac:dyDescent="0.2">
      <c r="C392" s="818"/>
    </row>
    <row r="393" spans="3:3" s="189" customFormat="1" x14ac:dyDescent="0.2">
      <c r="C393" s="818"/>
    </row>
    <row r="394" spans="3:3" s="189" customFormat="1" x14ac:dyDescent="0.2">
      <c r="C394" s="818"/>
    </row>
    <row r="395" spans="3:3" s="189" customFormat="1" x14ac:dyDescent="0.2">
      <c r="C395" s="818"/>
    </row>
    <row r="396" spans="3:3" s="189" customFormat="1" x14ac:dyDescent="0.2">
      <c r="C396" s="818"/>
    </row>
    <row r="397" spans="3:3" s="189" customFormat="1" x14ac:dyDescent="0.2">
      <c r="C397" s="818"/>
    </row>
    <row r="398" spans="3:3" s="189" customFormat="1" x14ac:dyDescent="0.2">
      <c r="C398" s="818"/>
    </row>
    <row r="399" spans="3:3" s="189" customFormat="1" x14ac:dyDescent="0.2">
      <c r="C399" s="818"/>
    </row>
    <row r="400" spans="3:3" s="189" customFormat="1" x14ac:dyDescent="0.2">
      <c r="C400" s="818"/>
    </row>
    <row r="401" spans="3:3" s="189" customFormat="1" x14ac:dyDescent="0.2">
      <c r="C401" s="818"/>
    </row>
    <row r="402" spans="3:3" s="189" customFormat="1" x14ac:dyDescent="0.2">
      <c r="C402" s="818"/>
    </row>
    <row r="403" spans="3:3" s="189" customFormat="1" x14ac:dyDescent="0.2">
      <c r="C403" s="818"/>
    </row>
    <row r="404" spans="3:3" s="189" customFormat="1" x14ac:dyDescent="0.2">
      <c r="C404" s="818"/>
    </row>
    <row r="405" spans="3:3" s="189" customFormat="1" x14ac:dyDescent="0.2">
      <c r="C405" s="818"/>
    </row>
    <row r="406" spans="3:3" s="189" customFormat="1" x14ac:dyDescent="0.2">
      <c r="C406" s="818"/>
    </row>
    <row r="407" spans="3:3" s="189" customFormat="1" x14ac:dyDescent="0.2">
      <c r="C407" s="818"/>
    </row>
    <row r="408" spans="3:3" s="189" customFormat="1" x14ac:dyDescent="0.2">
      <c r="C408" s="818"/>
    </row>
    <row r="409" spans="3:3" s="189" customFormat="1" x14ac:dyDescent="0.2">
      <c r="C409" s="818"/>
    </row>
    <row r="410" spans="3:3" s="189" customFormat="1" x14ac:dyDescent="0.2">
      <c r="C410" s="818"/>
    </row>
    <row r="411" spans="3:3" s="189" customFormat="1" x14ac:dyDescent="0.2">
      <c r="C411" s="818"/>
    </row>
    <row r="412" spans="3:3" s="189" customFormat="1" x14ac:dyDescent="0.2">
      <c r="C412" s="818"/>
    </row>
    <row r="413" spans="3:3" s="189" customFormat="1" x14ac:dyDescent="0.2">
      <c r="C413" s="818"/>
    </row>
    <row r="414" spans="3:3" s="189" customFormat="1" x14ac:dyDescent="0.2">
      <c r="C414" s="818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12:B35">
    <cfRule type="expression" dxfId="160" priority="71">
      <formula>B12&lt;B11</formula>
    </cfRule>
  </conditionalFormatting>
  <conditionalFormatting sqref="B12">
    <cfRule type="expression" dxfId="159" priority="148">
      <formula>B12&lt;#REF!</formula>
    </cfRule>
  </conditionalFormatting>
  <conditionalFormatting sqref="C12:D14">
    <cfRule type="expression" dxfId="156" priority="78">
      <formula>C12&lt;C11</formula>
    </cfRule>
  </conditionalFormatting>
  <conditionalFormatting sqref="C36:D37">
    <cfRule type="expression" dxfId="155" priority="1203">
      <formula>C36&lt;C35</formula>
    </cfRule>
  </conditionalFormatting>
  <conditionalFormatting sqref="D35 B36:B37">
    <cfRule type="expression" dxfId="154" priority="1190">
      <formula>B35&lt;#REF!</formula>
    </cfRule>
  </conditionalFormatting>
  <conditionalFormatting sqref="E12:E14">
    <cfRule type="expression" dxfId="153" priority="48">
      <formula>E12&lt;E11</formula>
    </cfRule>
  </conditionalFormatting>
  <conditionalFormatting sqref="F12:F37">
    <cfRule type="expression" dxfId="152" priority="47">
      <formula>F12&lt;#REF!</formula>
    </cfRule>
  </conditionalFormatting>
  <conditionalFormatting sqref="G12:G37">
    <cfRule type="expression" dxfId="151" priority="45">
      <formula>G12&lt;G11</formula>
    </cfRule>
  </conditionalFormatting>
  <conditionalFormatting sqref="G36:J37 L36:O37">
    <cfRule type="expression" dxfId="150" priority="1037">
      <formula>G36&lt;G35</formula>
    </cfRule>
  </conditionalFormatting>
  <conditionalFormatting sqref="H19:I34">
    <cfRule type="expression" dxfId="148" priority="151">
      <formula>H19&lt;H18</formula>
    </cfRule>
  </conditionalFormatting>
  <conditionalFormatting sqref="H35:I35 R35 T35 W35 AB35 AE35:AI35 P36:P37 S36:S37 X36:Y37">
    <cfRule type="expression" dxfId="147" priority="1189">
      <formula>H35&lt;#REF!</formula>
    </cfRule>
  </conditionalFormatting>
  <conditionalFormatting sqref="H12:J18">
    <cfRule type="expression" dxfId="146" priority="79">
      <formula>H12&lt;H11</formula>
    </cfRule>
  </conditionalFormatting>
  <conditionalFormatting sqref="J19:J35">
    <cfRule type="expression" dxfId="145" priority="152">
      <formula>J19&lt;J18</formula>
    </cfRule>
  </conditionalFormatting>
  <conditionalFormatting sqref="K12:L21">
    <cfRule type="expression" dxfId="144" priority="143">
      <formula>K12&lt;K11</formula>
    </cfRule>
  </conditionalFormatting>
  <conditionalFormatting sqref="K22:M22">
    <cfRule type="expression" dxfId="143" priority="153">
      <formula>K22&lt;K21</formula>
    </cfRule>
  </conditionalFormatting>
  <conditionalFormatting sqref="K23:Z23 K24:K37">
    <cfRule type="expression" dxfId="141" priority="154">
      <formula>K23&lt;K22</formula>
    </cfRule>
  </conditionalFormatting>
  <conditionalFormatting sqref="L24:Z27 L28:AC28">
    <cfRule type="expression" dxfId="140" priority="156">
      <formula>L24&lt;L23</formula>
    </cfRule>
  </conditionalFormatting>
  <conditionalFormatting sqref="M12:M17">
    <cfRule type="expression" dxfId="139" priority="145">
      <formula>M12&lt;#REF!</formula>
    </cfRule>
  </conditionalFormatting>
  <conditionalFormatting sqref="N12:O12">
    <cfRule type="expression" dxfId="138" priority="144">
      <formula>N12&lt;N11</formula>
    </cfRule>
  </conditionalFormatting>
  <conditionalFormatting sqref="N13:T22">
    <cfRule type="expression" dxfId="137" priority="147">
      <formula>N13&lt;N12</formula>
    </cfRule>
  </conditionalFormatting>
  <conditionalFormatting sqref="P12 V12">
    <cfRule type="expression" dxfId="136" priority="81">
      <formula>P12&lt;#REF!</formula>
    </cfRule>
  </conditionalFormatting>
  <conditionalFormatting sqref="Q36">
    <cfRule type="expression" dxfId="133" priority="1206">
      <formula>Q36&lt;#REF!</formula>
    </cfRule>
  </conditionalFormatting>
  <conditionalFormatting sqref="Q12:T12">
    <cfRule type="expression" dxfId="131" priority="146">
      <formula>Q12&lt;Q11</formula>
    </cfRule>
  </conditionalFormatting>
  <conditionalFormatting sqref="R36">
    <cfRule type="expression" dxfId="129" priority="1202">
      <formula>R36&lt;R35</formula>
    </cfRule>
  </conditionalFormatting>
  <conditionalFormatting sqref="U12:U22">
    <cfRule type="expression" dxfId="126" priority="52">
      <formula>U12&lt;U11</formula>
    </cfRule>
  </conditionalFormatting>
  <conditionalFormatting sqref="V13:X14 C15:E34 C35 E35:E37">
    <cfRule type="expression" dxfId="124" priority="150">
      <formula>C13&lt;C12</formula>
    </cfRule>
  </conditionalFormatting>
  <conditionalFormatting sqref="V15:Z22 M18:M21">
    <cfRule type="expression" dxfId="123" priority="149">
      <formula>M15&lt;M14</formula>
    </cfRule>
  </conditionalFormatting>
  <conditionalFormatting sqref="V29:AC29 AA30:AC30 Z30:Z31 V30:Y34 AA31:AB31 AC31:AC37 Z32:AB34 V35 X35:AA35">
    <cfRule type="expression" dxfId="122" priority="160">
      <formula>V29&lt;V28</formula>
    </cfRule>
  </conditionalFormatting>
  <conditionalFormatting sqref="W12">
    <cfRule type="expression" dxfId="121" priority="77">
      <formula>W12&lt;W11</formula>
    </cfRule>
  </conditionalFormatting>
  <conditionalFormatting sqref="Y12:Z14">
    <cfRule type="expression" dxfId="120" priority="69">
      <formula>Y12&lt;Y11</formula>
    </cfRule>
  </conditionalFormatting>
  <conditionalFormatting sqref="AA12">
    <cfRule type="expression" dxfId="119" priority="51">
      <formula>AA12&lt;#REF!</formula>
    </cfRule>
  </conditionalFormatting>
  <conditionalFormatting sqref="AA12:AA37">
    <cfRule type="expression" dxfId="118" priority="44">
      <formula>AA12&lt;AA11</formula>
    </cfRule>
  </conditionalFormatting>
  <conditionalFormatting sqref="AA28:AA37">
    <cfRule type="expression" dxfId="117" priority="158">
      <formula>AA28&lt;#REF!</formula>
    </cfRule>
  </conditionalFormatting>
  <conditionalFormatting sqref="AB12:AI27">
    <cfRule type="expression" dxfId="116" priority="137">
      <formula>AB12&lt;AB11</formula>
    </cfRule>
  </conditionalFormatting>
  <conditionalFormatting sqref="AD28:AD37">
    <cfRule type="expression" dxfId="114" priority="155">
      <formula>AD28&lt;AD27</formula>
    </cfRule>
  </conditionalFormatting>
  <conditionalFormatting sqref="X12">
    <cfRule type="expression" dxfId="112" priority="70">
      <formula>X12&lt;#REF!</formula>
    </cfRule>
  </conditionalFormatting>
  <conditionalFormatting sqref="AE28:AI34 L29:T34 U29:U37 L35:Q35 S35">
    <cfRule type="expression" dxfId="111" priority="159">
      <formula>L28&lt;L27</formula>
    </cfRule>
  </conditionalFormatting>
  <conditionalFormatting sqref="AJ12:AJ37">
    <cfRule type="expression" dxfId="110" priority="46">
      <formula>AJ12&lt;AJ11</formula>
    </cfRule>
  </conditionalFormatting>
  <conditionalFormatting sqref="AK6:AK12">
    <cfRule type="expression" dxfId="109" priority="1079">
      <formula>AK6&lt;AK5</formula>
    </cfRule>
  </conditionalFormatting>
  <conditionalFormatting sqref="AK13:AL15">
    <cfRule type="expression" dxfId="108" priority="1159">
      <formula>AK13&lt;#REF!</formula>
    </cfRule>
  </conditionalFormatting>
  <conditionalFormatting sqref="AL9:AL14 AL15:AN34 AK16:AK37 AK20:AN21 T36:W37 Z36:Z37 AB36:AB37 AE36:AI37 Q37:R37">
    <cfRule type="expression" dxfId="107" priority="1096">
      <formula>Q9&lt;Q8</formula>
    </cfRule>
  </conditionalFormatting>
  <conditionalFormatting sqref="AO9:AO34">
    <cfRule type="expression" dxfId="106" priority="1104">
      <formula>AO9&lt;#REF!</formula>
    </cfRule>
  </conditionalFormatting>
  <conditionalFormatting sqref="B7:B11">
    <cfRule type="expression" dxfId="42" priority="28">
      <formula>B7&lt;B6</formula>
    </cfRule>
  </conditionalFormatting>
  <conditionalFormatting sqref="B11">
    <cfRule type="expression" dxfId="41" priority="43">
      <formula>B11&lt;#REF!</formula>
    </cfRule>
  </conditionalFormatting>
  <conditionalFormatting sqref="C7:D7 H7:J7 R7 T7 W7 AB7">
    <cfRule type="expression" dxfId="40" priority="31">
      <formula>C7&lt;#REF!</formula>
    </cfRule>
  </conditionalFormatting>
  <conditionalFormatting sqref="C8:D11">
    <cfRule type="expression" dxfId="39" priority="35">
      <formula>C8&lt;C7</formula>
    </cfRule>
  </conditionalFormatting>
  <conditionalFormatting sqref="E7:E11">
    <cfRule type="expression" dxfId="38" priority="18">
      <formula>E7&lt;E6</formula>
    </cfRule>
  </conditionalFormatting>
  <conditionalFormatting sqref="F7:F11">
    <cfRule type="expression" dxfId="37" priority="32">
      <formula>F7&lt;#REF!</formula>
    </cfRule>
  </conditionalFormatting>
  <conditionalFormatting sqref="G7:G11">
    <cfRule type="expression" dxfId="36" priority="29">
      <formula>G7&lt;G6</formula>
    </cfRule>
  </conditionalFormatting>
  <conditionalFormatting sqref="H8:J11">
    <cfRule type="expression" dxfId="35" priority="36">
      <formula>H8&lt;H7</formula>
    </cfRule>
  </conditionalFormatting>
  <conditionalFormatting sqref="K11:L11">
    <cfRule type="expression" dxfId="34" priority="39">
      <formula>K11&lt;K10</formula>
    </cfRule>
  </conditionalFormatting>
  <conditionalFormatting sqref="K7:O8 K9:N10 O9">
    <cfRule type="expression" dxfId="33" priority="23">
      <formula>K7&lt;K6</formula>
    </cfRule>
  </conditionalFormatting>
  <conditionalFormatting sqref="M11">
    <cfRule type="expression" dxfId="32" priority="41">
      <formula>M11&lt;#REF!</formula>
    </cfRule>
  </conditionalFormatting>
  <conditionalFormatting sqref="N11:O11 O10">
    <cfRule type="expression" dxfId="31" priority="40">
      <formula>N10&lt;N9</formula>
    </cfRule>
  </conditionalFormatting>
  <conditionalFormatting sqref="S7:S10">
    <cfRule type="expression" dxfId="30" priority="22">
      <formula>S7&lt;#REF!</formula>
    </cfRule>
  </conditionalFormatting>
  <conditionalFormatting sqref="P8:P11 V8:V11">
    <cfRule type="expression" dxfId="29" priority="38">
      <formula>P8&lt;#REF!</formula>
    </cfRule>
  </conditionalFormatting>
  <conditionalFormatting sqref="P7:Q7">
    <cfRule type="expression" dxfId="28" priority="30">
      <formula>P7&lt;P6</formula>
    </cfRule>
  </conditionalFormatting>
  <conditionalFormatting sqref="Q8:R8">
    <cfRule type="expression" dxfId="27" priority="37">
      <formula>Q8&lt;Q7</formula>
    </cfRule>
  </conditionalFormatting>
  <conditionalFormatting sqref="Q11:T11 Q9:R10 T9:T10">
    <cfRule type="expression" dxfId="26" priority="42">
      <formula>Q9&lt;Q8</formula>
    </cfRule>
  </conditionalFormatting>
  <conditionalFormatting sqref="T8 AB11:AI11 AB8:AC10 AE8:AI10">
    <cfRule type="expression" dxfId="25" priority="33">
      <formula>T8&lt;T7</formula>
    </cfRule>
  </conditionalFormatting>
  <conditionalFormatting sqref="U7:U11">
    <cfRule type="expression" dxfId="24" priority="20">
      <formula>U7&lt;U6</formula>
    </cfRule>
  </conditionalFormatting>
  <conditionalFormatting sqref="V7">
    <cfRule type="expression" dxfId="23" priority="25">
      <formula>V7&lt;V6</formula>
    </cfRule>
  </conditionalFormatting>
  <conditionalFormatting sqref="W8:W11">
    <cfRule type="expression" dxfId="22" priority="34">
      <formula>W8&lt;W7</formula>
    </cfRule>
  </conditionalFormatting>
  <conditionalFormatting sqref="Y7:Z11">
    <cfRule type="expression" dxfId="21" priority="26">
      <formula>Y7&lt;Y6</formula>
    </cfRule>
  </conditionalFormatting>
  <conditionalFormatting sqref="AA7:AA11">
    <cfRule type="expression" dxfId="20" priority="19">
      <formula>AA7&lt;#REF!</formula>
    </cfRule>
  </conditionalFormatting>
  <conditionalFormatting sqref="AA7:AA11">
    <cfRule type="expression" dxfId="19" priority="24">
      <formula>AA7&lt;AA6</formula>
    </cfRule>
  </conditionalFormatting>
  <conditionalFormatting sqref="AC7">
    <cfRule type="expression" dxfId="18" priority="21">
      <formula>AC7&lt;AC6</formula>
    </cfRule>
  </conditionalFormatting>
  <conditionalFormatting sqref="AD7:AI7 X7:X11 AD8:AD10">
    <cfRule type="expression" dxfId="17" priority="27">
      <formula>X7&lt;#REF!</formula>
    </cfRule>
  </conditionalFormatting>
  <conditionalFormatting sqref="C6:D6">
    <cfRule type="expression" dxfId="16" priority="16">
      <formula>C6&lt;C5</formula>
    </cfRule>
  </conditionalFormatting>
  <conditionalFormatting sqref="B6">
    <cfRule type="expression" dxfId="15" priority="14">
      <formula>B6&lt;#REF!</formula>
    </cfRule>
  </conditionalFormatting>
  <conditionalFormatting sqref="F6">
    <cfRule type="expression" dxfId="14" priority="4">
      <formula>F6&lt;#REF!</formula>
    </cfRule>
  </conditionalFormatting>
  <conditionalFormatting sqref="G6">
    <cfRule type="expression" dxfId="13" priority="2">
      <formula>G6&lt;G5</formula>
    </cfRule>
  </conditionalFormatting>
  <conditionalFormatting sqref="G6:J6 L6:O6">
    <cfRule type="expression" dxfId="12" priority="11">
      <formula>G6&lt;G5</formula>
    </cfRule>
  </conditionalFormatting>
  <conditionalFormatting sqref="P6 S6 X6:Y6">
    <cfRule type="expression" dxfId="11" priority="13">
      <formula>P6&lt;#REF!</formula>
    </cfRule>
  </conditionalFormatting>
  <conditionalFormatting sqref="K6">
    <cfRule type="expression" dxfId="10" priority="6">
      <formula>K6&lt;K5</formula>
    </cfRule>
  </conditionalFormatting>
  <conditionalFormatting sqref="Q6">
    <cfRule type="expression" dxfId="9" priority="17">
      <formula>Q6&lt;#REF!</formula>
    </cfRule>
  </conditionalFormatting>
  <conditionalFormatting sqref="R6">
    <cfRule type="expression" dxfId="8" priority="15">
      <formula>R6&lt;R5</formula>
    </cfRule>
  </conditionalFormatting>
  <conditionalFormatting sqref="E6">
    <cfRule type="expression" dxfId="7" priority="5">
      <formula>E6&lt;E5</formula>
    </cfRule>
  </conditionalFormatting>
  <conditionalFormatting sqref="AC6">
    <cfRule type="expression" dxfId="6" priority="10">
      <formula>AC6&lt;AC5</formula>
    </cfRule>
  </conditionalFormatting>
  <conditionalFormatting sqref="AA6">
    <cfRule type="expression" dxfId="5" priority="1">
      <formula>AA6&lt;AA5</formula>
    </cfRule>
  </conditionalFormatting>
  <conditionalFormatting sqref="AA6">
    <cfRule type="expression" dxfId="4" priority="8">
      <formula>AA6&lt;#REF!</formula>
    </cfRule>
  </conditionalFormatting>
  <conditionalFormatting sqref="AD6">
    <cfRule type="expression" dxfId="3" priority="7">
      <formula>AD6&lt;AD5</formula>
    </cfRule>
  </conditionalFormatting>
  <conditionalFormatting sqref="U6">
    <cfRule type="expression" dxfId="2" priority="9">
      <formula>U6&lt;U5</formula>
    </cfRule>
  </conditionalFormatting>
  <conditionalFormatting sqref="AJ6:AJ11">
    <cfRule type="expression" dxfId="1" priority="3">
      <formula>AJ6&lt;AJ5</formula>
    </cfRule>
  </conditionalFormatting>
  <conditionalFormatting sqref="T6:W6 Z6 AB6 AE6:AI6">
    <cfRule type="expression" dxfId="0" priority="12">
      <formula>T6&lt;T5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14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3" t="s">
        <v>7</v>
      </c>
      <c r="B7" s="383"/>
      <c r="C7" s="383"/>
      <c r="D7" s="936" t="s">
        <v>254</v>
      </c>
      <c r="E7" s="939" t="s">
        <v>286</v>
      </c>
      <c r="F7" s="933" t="s">
        <v>287</v>
      </c>
      <c r="G7" s="929" t="s">
        <v>255</v>
      </c>
      <c r="H7" s="929" t="s">
        <v>256</v>
      </c>
      <c r="I7" s="383" t="s">
        <v>3</v>
      </c>
      <c r="J7" s="383" t="s">
        <v>4</v>
      </c>
      <c r="K7" s="390" t="s">
        <v>53</v>
      </c>
      <c r="L7" s="930" t="s">
        <v>17</v>
      </c>
      <c r="M7" s="931"/>
      <c r="N7" s="931"/>
      <c r="O7" s="931"/>
      <c r="P7" s="932"/>
      <c r="Q7" s="927" t="s">
        <v>11</v>
      </c>
      <c r="R7" s="928"/>
      <c r="S7" s="928"/>
      <c r="T7" s="928"/>
    </row>
    <row r="8" spans="1:20" x14ac:dyDescent="0.2">
      <c r="A8" s="924"/>
      <c r="B8" s="384" t="s">
        <v>257</v>
      </c>
      <c r="C8" s="384" t="s">
        <v>258</v>
      </c>
      <c r="D8" s="937"/>
      <c r="E8" s="940"/>
      <c r="F8" s="934"/>
      <c r="G8" s="929"/>
      <c r="H8" s="929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5"/>
      <c r="B9" s="385"/>
      <c r="C9" s="385"/>
      <c r="D9" s="938"/>
      <c r="E9" s="941"/>
      <c r="F9" s="935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7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7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1142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19">
        <v>3</v>
      </c>
      <c r="B12" s="719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19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20">
        <f t="shared" si="0"/>
        <v>3772</v>
      </c>
      <c r="E12" s="878">
        <v>801.3</v>
      </c>
      <c r="F12" s="721">
        <f t="shared" si="1"/>
        <v>0.17521264732250233</v>
      </c>
      <c r="G12" s="737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20">
        <f t="shared" si="2"/>
        <v>4573.3</v>
      </c>
      <c r="I12" s="737">
        <f>'Water '!Z9*10</f>
        <v>1270</v>
      </c>
      <c r="J12" s="720" t="str">
        <f>IF('Entries October 2026'!B9-'Entries October 2026'!B8&lt;1,"0",'Entries October 2026'!B9-'Entries October 2026'!B8)</f>
        <v>0</v>
      </c>
      <c r="K12" s="722">
        <f>'CO2'!E9</f>
        <v>0</v>
      </c>
      <c r="L12" s="723">
        <f>+'PROD.FIG. '!F7</f>
        <v>0</v>
      </c>
      <c r="M12" s="720">
        <f>+'PROD.FIG. '!C7</f>
        <v>0</v>
      </c>
      <c r="N12" s="720">
        <f>+'PROD.FIG. '!D7</f>
        <v>0</v>
      </c>
      <c r="O12" s="720">
        <f>+'PROD.FIG. '!E7</f>
        <v>0</v>
      </c>
      <c r="P12" s="724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19">
        <v>4</v>
      </c>
      <c r="B13" s="719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19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20">
        <f t="shared" si="0"/>
        <v>4062</v>
      </c>
      <c r="E13" s="878">
        <v>694.6</v>
      </c>
      <c r="F13" s="721">
        <f t="shared" si="1"/>
        <v>0.14602867594500274</v>
      </c>
      <c r="G13" s="737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20">
        <f t="shared" si="2"/>
        <v>4756.6000000000004</v>
      </c>
      <c r="I13" s="737">
        <f>'Water '!Z10*10</f>
        <v>640</v>
      </c>
      <c r="J13" s="720" t="str">
        <f>IF('Entries October 2026'!B10-'Entries October 2026'!B9&lt;1,"0",'Entries October 2026'!B10-'Entries October 2026'!B9)</f>
        <v>0</v>
      </c>
      <c r="K13" s="722">
        <f>'CO2'!E10</f>
        <v>0</v>
      </c>
      <c r="L13" s="723">
        <f>+'PROD.FIG. '!F8</f>
        <v>0</v>
      </c>
      <c r="M13" s="720">
        <f>+'PROD.FIG. '!C8</f>
        <v>0</v>
      </c>
      <c r="N13" s="720">
        <f>+'PROD.FIG. '!D8</f>
        <v>0</v>
      </c>
      <c r="O13" s="720">
        <f>+'PROD.FIG. '!E8</f>
        <v>0</v>
      </c>
      <c r="P13" s="724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75">
        <v>5</v>
      </c>
      <c r="B14" s="775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75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76">
        <f t="shared" si="0"/>
        <v>4774</v>
      </c>
      <c r="E14" s="877">
        <v>1421</v>
      </c>
      <c r="F14" s="777">
        <f t="shared" si="1"/>
        <v>0.22937853107344633</v>
      </c>
      <c r="G14" s="778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76">
        <f t="shared" si="2"/>
        <v>6195</v>
      </c>
      <c r="I14" s="778">
        <f>'Water '!Z11*10</f>
        <v>1420</v>
      </c>
      <c r="J14" s="776" t="str">
        <f>IF('Entries October 2026'!B11-'Entries October 2026'!B10&lt;1,"0",'Entries October 2026'!B11-'Entries October 2026'!B10)</f>
        <v>0</v>
      </c>
      <c r="K14" s="779">
        <f>'CO2'!E11</f>
        <v>1583</v>
      </c>
      <c r="L14" s="780">
        <f>+'PROD.FIG. '!F9</f>
        <v>0</v>
      </c>
      <c r="M14" s="776">
        <f>+'PROD.FIG. '!C9</f>
        <v>0</v>
      </c>
      <c r="N14" s="776">
        <f>+'PROD.FIG. '!D9</f>
        <v>0</v>
      </c>
      <c r="O14" s="776">
        <f>+'PROD.FIG. '!E9</f>
        <v>0</v>
      </c>
      <c r="P14" s="781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75">
        <v>6</v>
      </c>
      <c r="B15" s="775" t="str">
        <f>IF('Entries October 2026'!I12&lt;'Entries October 2026'!I11,"0",(IF('Entries October 2026'!I12&gt;='Entries October 2026'!I11,'Entries October 2026'!I12-'Entries October 2026'!I11,(999999-'Entries October 2026'!I11)+'Entries October 2026'!I12+1)))</f>
        <v>0</v>
      </c>
      <c r="C15" s="775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76">
        <f t="shared" si="0"/>
        <v>0</v>
      </c>
      <c r="E15" s="878"/>
      <c r="F15" s="777" t="str">
        <f t="shared" si="1"/>
        <v>0</v>
      </c>
      <c r="G15" s="778" t="str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76">
        <f t="shared" si="2"/>
        <v>0</v>
      </c>
      <c r="I15" s="778">
        <f>'Water '!Z12*10</f>
        <v>0</v>
      </c>
      <c r="J15" s="776" t="str">
        <f>IF('Entries October 2026'!B12-'Entries October 2026'!B11&lt;1,"0",'Entries October 2026'!B12-'Entries October 2026'!B11)</f>
        <v>0</v>
      </c>
      <c r="K15" s="779">
        <f>'CO2'!E12</f>
        <v>0</v>
      </c>
      <c r="L15" s="780">
        <f>+'PROD.FIG. '!F10</f>
        <v>0</v>
      </c>
      <c r="M15" s="776">
        <f>+'PROD.FIG. '!C10</f>
        <v>0</v>
      </c>
      <c r="N15" s="776">
        <f>+'PROD.FIG. '!D10</f>
        <v>0</v>
      </c>
      <c r="O15" s="776">
        <f>+'PROD.FIG. '!E10</f>
        <v>0</v>
      </c>
      <c r="P15" s="781">
        <v>0</v>
      </c>
      <c r="Q15" s="393">
        <f t="shared" si="3"/>
        <v>0</v>
      </c>
      <c r="R15" s="393">
        <f t="shared" si="4"/>
        <v>0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0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0</v>
      </c>
      <c r="E16" s="877"/>
      <c r="F16" s="721" t="str">
        <f t="shared" si="1"/>
        <v>0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0</v>
      </c>
      <c r="I16" s="737">
        <f>'Water '!Z13*10</f>
        <v>0</v>
      </c>
      <c r="J16" s="720" t="str">
        <f>IF('Entries October 2026'!B13-'Entries October 2026'!B12&lt;1,"0",'Entries October 2026'!B13-'Entries October 2026'!B12)</f>
        <v>0</v>
      </c>
      <c r="K16" s="722">
        <f>'CO2'!E13</f>
        <v>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0</v>
      </c>
      <c r="Q16" s="393">
        <f t="shared" si="3"/>
        <v>0</v>
      </c>
      <c r="R16" s="393">
        <f t="shared" si="4"/>
        <v>0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0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0</v>
      </c>
      <c r="E17" s="877"/>
      <c r="F17" s="721" t="str">
        <f t="shared" si="1"/>
        <v>0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0</v>
      </c>
      <c r="I17" s="737">
        <f>'Water '!Z14*10</f>
        <v>0</v>
      </c>
      <c r="J17" s="720" t="str">
        <f>IF('Entries October 2026'!B14-'Entries October 2026'!B13&lt;1,"0",'Entries October 2026'!B14-'Entries October 2026'!B13)</f>
        <v>0</v>
      </c>
      <c r="K17" s="722">
        <f>'CO2'!E14</f>
        <v>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0</v>
      </c>
      <c r="Q17" s="393">
        <f t="shared" si="3"/>
        <v>0</v>
      </c>
      <c r="R17" s="393">
        <f>IF(Q17=0,0,I17/P17)</f>
        <v>0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0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0</v>
      </c>
      <c r="E18" s="877"/>
      <c r="F18" s="721" t="str">
        <f t="shared" si="1"/>
        <v>0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0</v>
      </c>
      <c r="I18" s="737">
        <f>'Water '!Z15*10</f>
        <v>0</v>
      </c>
      <c r="J18" s="720" t="str">
        <f>IF('Entries October 2026'!B15-'Entries October 2026'!B14&lt;1,"0",'Entries October 2026'!B15-'Entries October 2026'!B14)</f>
        <v>0</v>
      </c>
      <c r="K18" s="722">
        <f>'CO2'!E15</f>
        <v>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0</v>
      </c>
      <c r="Q18" s="393">
        <f t="shared" si="3"/>
        <v>0</v>
      </c>
      <c r="R18" s="393">
        <f t="shared" si="4"/>
        <v>0</v>
      </c>
      <c r="S18" s="393">
        <f t="shared" si="5"/>
        <v>0</v>
      </c>
      <c r="T18" s="393">
        <f t="shared" si="6"/>
        <v>0</v>
      </c>
    </row>
    <row r="19" spans="1:26" ht="15" x14ac:dyDescent="0.2">
      <c r="A19" s="719">
        <v>10</v>
      </c>
      <c r="B19" s="719">
        <f>IF('Entries October 2026'!I16&lt;'Entries October 2026'!I15,"0",(IF('Entries October 2026'!I16&gt;='Entries October 2026'!I15,'Entries October 2026'!I16-'Entries October 2026'!I15,(999999-'Entries October 2026'!I15)+'Entries October 2026'!I16+1)))</f>
        <v>0</v>
      </c>
      <c r="C19" s="719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20">
        <f t="shared" si="0"/>
        <v>0</v>
      </c>
      <c r="E19" s="877"/>
      <c r="F19" s="721" t="str">
        <f t="shared" si="1"/>
        <v>0</v>
      </c>
      <c r="G19" s="737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20">
        <f t="shared" si="2"/>
        <v>0</v>
      </c>
      <c r="I19" s="737">
        <f>'Water '!Z16*10</f>
        <v>0</v>
      </c>
      <c r="J19" s="720" t="str">
        <f>IF('Entries October 2026'!B16-'Entries October 2026'!B15&lt;1,"0",'Entries October 2026'!B16-'Entries October 2026'!B15)</f>
        <v>0</v>
      </c>
      <c r="K19" s="722">
        <f>'CO2'!E16</f>
        <v>0</v>
      </c>
      <c r="L19" s="723">
        <f>+'PROD.FIG. '!F14</f>
        <v>0</v>
      </c>
      <c r="M19" s="720">
        <f>+'PROD.FIG. '!C14</f>
        <v>0</v>
      </c>
      <c r="N19" s="720">
        <f>+'PROD.FIG. '!D14</f>
        <v>0</v>
      </c>
      <c r="O19" s="720">
        <f>+'PROD.FIG. '!E14</f>
        <v>0</v>
      </c>
      <c r="P19" s="724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19">
        <v>11</v>
      </c>
      <c r="B20" s="719">
        <f>IF('Entries October 2026'!I17&lt;'Entries October 2026'!I16,"0",(IF('Entries October 2026'!I17&gt;='Entries October 2026'!I16,'Entries October 2026'!I17-'Entries October 2026'!I16,(999999-'Entries October 2026'!I16)+'Entries October 2026'!I17+1)))</f>
        <v>0</v>
      </c>
      <c r="C20" s="719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20">
        <f t="shared" si="0"/>
        <v>0</v>
      </c>
      <c r="E20" s="877"/>
      <c r="F20" s="721" t="str">
        <f t="shared" si="1"/>
        <v>0</v>
      </c>
      <c r="G20" s="737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20">
        <f t="shared" si="2"/>
        <v>0</v>
      </c>
      <c r="I20" s="737">
        <f>'Water '!Z17*10</f>
        <v>0</v>
      </c>
      <c r="J20" s="720" t="str">
        <f>IF('Entries October 2026'!B17-'Entries October 2026'!B16&lt;1,"0",'Entries October 2026'!B17-'Entries October 2026'!B16)</f>
        <v>0</v>
      </c>
      <c r="K20" s="722">
        <f>'CO2'!E17</f>
        <v>0</v>
      </c>
      <c r="L20" s="723">
        <f>+'PROD.FIG. '!F15</f>
        <v>0</v>
      </c>
      <c r="M20" s="720">
        <f>+'PROD.FIG. '!C15</f>
        <v>0</v>
      </c>
      <c r="N20" s="720">
        <f>+'PROD.FIG. '!D15</f>
        <v>0</v>
      </c>
      <c r="O20" s="720">
        <f>+'PROD.FIG. '!E15</f>
        <v>0</v>
      </c>
      <c r="P20" s="724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75">
        <v>12</v>
      </c>
      <c r="B21" s="775">
        <f>IF('Entries October 2026'!I18&lt;'Entries October 2026'!I17,"0",(IF('Entries October 2026'!I18&gt;='Entries October 2026'!I17,'Entries October 2026'!I18-'Entries October 2026'!I17,(999999-'Entries October 2026'!I17)+'Entries October 2026'!I18+1)))</f>
        <v>0</v>
      </c>
      <c r="C21" s="775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76">
        <f t="shared" si="0"/>
        <v>0</v>
      </c>
      <c r="E21" s="878"/>
      <c r="F21" s="777" t="str">
        <f t="shared" si="1"/>
        <v>0</v>
      </c>
      <c r="G21" s="778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76">
        <f t="shared" si="2"/>
        <v>0</v>
      </c>
      <c r="I21" s="778">
        <f>'Water '!Z18*10</f>
        <v>0</v>
      </c>
      <c r="J21" s="776" t="str">
        <f>IF('Entries October 2026'!B18-'Entries October 2026'!B17&lt;1,"0",'Entries October 2026'!B18-'Entries October 2026'!B17)</f>
        <v>0</v>
      </c>
      <c r="K21" s="779">
        <f>'CO2'!E18</f>
        <v>0</v>
      </c>
      <c r="L21" s="780">
        <f>+'PROD.FIG. '!F16</f>
        <v>0</v>
      </c>
      <c r="M21" s="776">
        <f>+'PROD.FIG. '!C16</f>
        <v>0</v>
      </c>
      <c r="N21" s="776">
        <f>+'PROD.FIG. '!D16</f>
        <v>0</v>
      </c>
      <c r="O21" s="776">
        <f>+'PROD.FIG. '!E16</f>
        <v>0</v>
      </c>
      <c r="P21" s="781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75">
        <v>13</v>
      </c>
      <c r="B22" s="775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75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76">
        <f t="shared" si="0"/>
        <v>0</v>
      </c>
      <c r="E22" s="878"/>
      <c r="F22" s="777" t="str">
        <f t="shared" si="1"/>
        <v>0</v>
      </c>
      <c r="G22" s="778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76">
        <f t="shared" si="2"/>
        <v>0</v>
      </c>
      <c r="I22" s="778">
        <f>'Water '!Z19*10</f>
        <v>0</v>
      </c>
      <c r="J22" s="776" t="str">
        <f>IF('Entries October 2026'!B19-'Entries October 2026'!B18&lt;1,"0",'Entries October 2026'!B19-'Entries October 2026'!B18)</f>
        <v>0</v>
      </c>
      <c r="K22" s="779">
        <f>'CO2'!E19</f>
        <v>0</v>
      </c>
      <c r="L22" s="780">
        <f>+'PROD.FIG. '!F17</f>
        <v>0</v>
      </c>
      <c r="M22" s="776">
        <f>+'PROD.FIG. '!C17</f>
        <v>0</v>
      </c>
      <c r="N22" s="776">
        <f>+'PROD.FIG. '!D17</f>
        <v>0</v>
      </c>
      <c r="O22" s="776">
        <f>+'PROD.FIG. '!E17</f>
        <v>0</v>
      </c>
      <c r="P22" s="781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7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7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7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19">
        <v>17</v>
      </c>
      <c r="B26" s="719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19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20">
        <f t="shared" si="0"/>
        <v>0</v>
      </c>
      <c r="E26" s="877"/>
      <c r="F26" s="721" t="str">
        <f t="shared" si="1"/>
        <v>0</v>
      </c>
      <c r="G26" s="737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20">
        <f t="shared" si="2"/>
        <v>0</v>
      </c>
      <c r="I26" s="737">
        <f>'Water '!Z23*10</f>
        <v>0</v>
      </c>
      <c r="J26" s="720" t="str">
        <f>IF('Entries October 2026'!B23-'Entries October 2026'!B22&lt;1,"0",'Entries October 2026'!B23-'Entries October 2026'!B22)</f>
        <v>0</v>
      </c>
      <c r="K26" s="722">
        <f>'CO2'!E23</f>
        <v>0</v>
      </c>
      <c r="L26" s="723">
        <f>+'PROD.FIG. '!F21</f>
        <v>0</v>
      </c>
      <c r="M26" s="720">
        <f>+'PROD.FIG. '!C21</f>
        <v>0</v>
      </c>
      <c r="N26" s="720">
        <f>+'PROD.FIG. '!D21</f>
        <v>0</v>
      </c>
      <c r="O26" s="720">
        <f>+'PROD.FIG. '!E21</f>
        <v>0</v>
      </c>
      <c r="P26" s="724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19">
        <v>18</v>
      </c>
      <c r="B27" s="719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19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20">
        <f t="shared" si="0"/>
        <v>0</v>
      </c>
      <c r="E27" s="877"/>
      <c r="F27" s="721" t="str">
        <f t="shared" si="1"/>
        <v>0</v>
      </c>
      <c r="G27" s="737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20">
        <f t="shared" si="2"/>
        <v>0</v>
      </c>
      <c r="I27" s="737">
        <f>'Water '!Z24*10</f>
        <v>0</v>
      </c>
      <c r="J27" s="720" t="str">
        <f>IF('Entries October 2026'!B24-'Entries October 2026'!B23&lt;1,"0",'Entries October 2026'!B24-'Entries October 2026'!B23)</f>
        <v>0</v>
      </c>
      <c r="K27" s="722">
        <f>'CO2'!E24</f>
        <v>0</v>
      </c>
      <c r="L27" s="723">
        <f>+'PROD.FIG. '!F22</f>
        <v>0</v>
      </c>
      <c r="M27" s="720">
        <f>+'PROD.FIG. '!C22</f>
        <v>0</v>
      </c>
      <c r="N27" s="720">
        <f>+'PROD.FIG. '!D22</f>
        <v>0</v>
      </c>
      <c r="O27" s="720">
        <f>+'PROD.FIG. '!E22</f>
        <v>0</v>
      </c>
      <c r="P27" s="724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75">
        <v>19</v>
      </c>
      <c r="B28" s="775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75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76">
        <f t="shared" si="0"/>
        <v>0</v>
      </c>
      <c r="E28" s="878"/>
      <c r="F28" s="777" t="str">
        <f t="shared" si="1"/>
        <v>0</v>
      </c>
      <c r="G28" s="778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76">
        <f t="shared" si="2"/>
        <v>0</v>
      </c>
      <c r="I28" s="778">
        <f>'Water '!Z25*10</f>
        <v>0</v>
      </c>
      <c r="J28" s="776" t="str">
        <f>IF('Entries October 2026'!B25-'Entries October 2026'!B24&lt;1,"0",'Entries October 2026'!B25-'Entries October 2026'!B24)</f>
        <v>0</v>
      </c>
      <c r="K28" s="779">
        <f>'CO2'!E25</f>
        <v>0</v>
      </c>
      <c r="L28" s="780">
        <f>+'PROD.FIG. '!F23</f>
        <v>0</v>
      </c>
      <c r="M28" s="776">
        <f>+'PROD.FIG. '!C23</f>
        <v>0</v>
      </c>
      <c r="N28" s="776">
        <f>+'PROD.FIG. '!D23</f>
        <v>0</v>
      </c>
      <c r="O28" s="776">
        <f>+'PROD.FIG. '!E23</f>
        <v>0</v>
      </c>
      <c r="P28" s="781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75">
        <v>20</v>
      </c>
      <c r="B29" s="775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75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76">
        <f t="shared" si="0"/>
        <v>0</v>
      </c>
      <c r="E29" s="878"/>
      <c r="F29" s="777" t="str">
        <f t="shared" si="1"/>
        <v>0</v>
      </c>
      <c r="G29" s="778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76">
        <f t="shared" si="2"/>
        <v>0</v>
      </c>
      <c r="I29" s="778">
        <f>'Water '!Z26*10</f>
        <v>0</v>
      </c>
      <c r="J29" s="776" t="str">
        <f>IF('Entries October 2026'!B26-'Entries October 2026'!B25&lt;1,"0",'Entries October 2026'!B26-'Entries October 2026'!B25)</f>
        <v>0</v>
      </c>
      <c r="K29" s="779">
        <f>'CO2'!E26</f>
        <v>0</v>
      </c>
      <c r="L29" s="780">
        <f>+'PROD.FIG. '!F24</f>
        <v>0</v>
      </c>
      <c r="M29" s="776">
        <f>+'PROD.FIG. '!C24</f>
        <v>0</v>
      </c>
      <c r="N29" s="776">
        <f>+'PROD.FIG. '!D24</f>
        <v>0</v>
      </c>
      <c r="O29" s="776">
        <f>+'PROD.FIG. '!E24</f>
        <v>0</v>
      </c>
      <c r="P29" s="781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7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7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7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19">
        <v>24</v>
      </c>
      <c r="B33" s="719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19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20">
        <f t="shared" si="0"/>
        <v>0</v>
      </c>
      <c r="E33" s="877"/>
      <c r="F33" s="721" t="str">
        <f t="shared" si="1"/>
        <v>0</v>
      </c>
      <c r="G33" s="737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20">
        <f t="shared" si="2"/>
        <v>0</v>
      </c>
      <c r="I33" s="737">
        <f>'Water '!Z30*10</f>
        <v>0</v>
      </c>
      <c r="J33" s="720" t="str">
        <f>IF('Entries October 2026'!B30-'Entries October 2026'!B29&lt;1,"0",'Entries October 2026'!B30-'Entries October 2026'!B29)</f>
        <v>0</v>
      </c>
      <c r="K33" s="722">
        <f>'CO2'!E30</f>
        <v>0</v>
      </c>
      <c r="L33" s="723">
        <f>+'PROD.FIG. '!F28</f>
        <v>0</v>
      </c>
      <c r="M33" s="720">
        <f>+'PROD.FIG. '!C28</f>
        <v>0</v>
      </c>
      <c r="N33" s="720">
        <f>+'PROD.FIG. '!D28</f>
        <v>0</v>
      </c>
      <c r="O33" s="720">
        <f>+'PROD.FIG. '!E28</f>
        <v>0</v>
      </c>
      <c r="P33" s="724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19">
        <v>25</v>
      </c>
      <c r="B34" s="719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19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20">
        <f t="shared" si="0"/>
        <v>0</v>
      </c>
      <c r="E34" s="877"/>
      <c r="F34" s="721" t="str">
        <f t="shared" si="1"/>
        <v>0</v>
      </c>
      <c r="G34" s="737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20">
        <f t="shared" si="2"/>
        <v>0</v>
      </c>
      <c r="I34" s="737">
        <f>'Water '!Z31*10</f>
        <v>0</v>
      </c>
      <c r="J34" s="720" t="str">
        <f>IF('Entries October 2026'!B31-'Entries October 2026'!B30&lt;1,"0",'Entries October 2026'!B31-'Entries October 2026'!B30)</f>
        <v>0</v>
      </c>
      <c r="K34" s="722">
        <f>'CO2'!E31</f>
        <v>0</v>
      </c>
      <c r="L34" s="723">
        <f>+'PROD.FIG. '!F29</f>
        <v>0</v>
      </c>
      <c r="M34" s="720">
        <f>+'PROD.FIG. '!C29</f>
        <v>0</v>
      </c>
      <c r="N34" s="720">
        <f>+'PROD.FIG. '!D29</f>
        <v>0</v>
      </c>
      <c r="O34" s="720">
        <f>+'PROD.FIG. '!E29</f>
        <v>0</v>
      </c>
      <c r="P34" s="724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75">
        <v>26</v>
      </c>
      <c r="B35" s="775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75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76">
        <f t="shared" si="0"/>
        <v>0</v>
      </c>
      <c r="E35" s="878"/>
      <c r="F35" s="777" t="str">
        <f t="shared" si="1"/>
        <v>0</v>
      </c>
      <c r="G35" s="778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76">
        <f t="shared" si="2"/>
        <v>0</v>
      </c>
      <c r="I35" s="778">
        <f>'Water '!Z32*10</f>
        <v>0</v>
      </c>
      <c r="J35" s="776" t="str">
        <f>IF('Entries October 2026'!B32-'Entries October 2026'!B31&lt;1,"0",'Entries October 2026'!B32-'Entries October 2026'!B31)</f>
        <v>0</v>
      </c>
      <c r="K35" s="779">
        <f>'CO2'!E32</f>
        <v>0</v>
      </c>
      <c r="L35" s="780">
        <f>+'PROD.FIG. '!F30</f>
        <v>0</v>
      </c>
      <c r="M35" s="776">
        <f>+'PROD.FIG. '!C30</f>
        <v>0</v>
      </c>
      <c r="N35" s="776">
        <f>+'PROD.FIG. '!D30</f>
        <v>0</v>
      </c>
      <c r="O35" s="776">
        <f>+'PROD.FIG. '!E30</f>
        <v>0</v>
      </c>
      <c r="P35" s="781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75">
        <v>27</v>
      </c>
      <c r="B36" s="775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75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76">
        <f t="shared" si="0"/>
        <v>0</v>
      </c>
      <c r="E36" s="878"/>
      <c r="F36" s="777" t="str">
        <f t="shared" si="1"/>
        <v>0</v>
      </c>
      <c r="G36" s="778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76">
        <f t="shared" si="2"/>
        <v>0</v>
      </c>
      <c r="I36" s="778">
        <f>'Water '!Z33*10</f>
        <v>0</v>
      </c>
      <c r="J36" s="776" t="str">
        <f>IF('Entries October 2026'!B33-'Entries October 2026'!B32&lt;1,"0",'Entries October 2026'!B33-'Entries October 2026'!B32)</f>
        <v>0</v>
      </c>
      <c r="K36" s="779">
        <f>'CO2'!E33</f>
        <v>0</v>
      </c>
      <c r="L36" s="780">
        <f>+'PROD.FIG. '!F31</f>
        <v>0</v>
      </c>
      <c r="M36" s="776">
        <f>+'PROD.FIG. '!C31</f>
        <v>0</v>
      </c>
      <c r="N36" s="776">
        <f>+'PROD.FIG. '!D31</f>
        <v>0</v>
      </c>
      <c r="O36" s="776">
        <f>+'PROD.FIG. '!E31</f>
        <v>0</v>
      </c>
      <c r="P36" s="781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7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7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19">
        <v>31</v>
      </c>
      <c r="B40" s="719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19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20">
        <f t="shared" si="0"/>
        <v>0</v>
      </c>
      <c r="E40" s="761"/>
      <c r="F40" s="721" t="str">
        <f t="shared" si="1"/>
        <v>0</v>
      </c>
      <c r="G40" s="737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20">
        <f t="shared" si="2"/>
        <v>0</v>
      </c>
      <c r="I40" s="737">
        <f>'Water '!Z37*10</f>
        <v>0</v>
      </c>
      <c r="J40" s="720" t="str">
        <f>IF('Entries October 2026'!B37-'Entries October 2026'!B36&lt;1,"0",'Entries October 2026'!B37-'Entries October 2026'!B36)</f>
        <v>0</v>
      </c>
      <c r="K40" s="722">
        <f>'CO2'!E37</f>
        <v>0</v>
      </c>
      <c r="L40" s="762"/>
      <c r="M40" s="763"/>
      <c r="N40" s="763"/>
      <c r="O40" s="763"/>
      <c r="P40" s="764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27066</v>
      </c>
      <c r="E43" s="741">
        <f>SUM(E10:E40)</f>
        <v>5545.7000000000007</v>
      </c>
      <c r="F43" s="754">
        <f>IF((E43+D43)=0,"0",E43/(D43+E43))</f>
        <v>0.17005246583281461</v>
      </c>
      <c r="G43" s="20">
        <f t="shared" ref="G43:P43" si="7">SUM(G10:G40)</f>
        <v>0</v>
      </c>
      <c r="H43" s="20">
        <f t="shared" si="7"/>
        <v>32611.699999999997</v>
      </c>
      <c r="I43" s="20">
        <f t="shared" si="7"/>
        <v>8800</v>
      </c>
      <c r="J43" s="20">
        <f t="shared" si="7"/>
        <v>960</v>
      </c>
      <c r="K43" s="20">
        <f t="shared" si="7"/>
        <v>4325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977.60279999999989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32611.7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33.358844716893202</v>
      </c>
      <c r="R44" s="398">
        <f>IF(Q44=0,0,I43/P43)</f>
        <v>9.0016108791832448</v>
      </c>
      <c r="S44" s="398">
        <f>IF(R44=0,0,J43/P43)</f>
        <v>0.98199391409271752</v>
      </c>
      <c r="T44" s="399">
        <f>IF(S44=0,0,K43/P43)</f>
        <v>4.4240871650531286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26"/>
      <c r="E47" s="926"/>
      <c r="F47" s="926"/>
      <c r="G47" s="926"/>
      <c r="H47" s="926"/>
      <c r="I47" s="926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105" priority="7" operator="between">
      <formula>0</formula>
      <formula>22</formula>
    </cfRule>
    <cfRule type="cellIs" dxfId="104" priority="8" operator="greaterThan">
      <formula>22</formula>
    </cfRule>
    <cfRule type="cellIs" dxfId="103" priority="9" operator="greaterThan">
      <formula>7.2</formula>
    </cfRule>
  </conditionalFormatting>
  <conditionalFormatting sqref="R10:R44">
    <cfRule type="cellIs" dxfId="102" priority="1" operator="between">
      <formula>0</formula>
      <formula>10.2</formula>
    </cfRule>
    <cfRule type="cellIs" dxfId="101" priority="2" operator="greaterThan">
      <formula>10.2</formula>
    </cfRule>
  </conditionalFormatting>
  <conditionalFormatting sqref="S10:S44">
    <cfRule type="cellIs" dxfId="100" priority="3" operator="between">
      <formula>0</formula>
      <formula>7.2</formula>
    </cfRule>
    <cfRule type="cellIs" dxfId="99" priority="4" operator="greaterThan">
      <formula>7.2</formula>
    </cfRule>
  </conditionalFormatting>
  <conditionalFormatting sqref="T10:T44">
    <cfRule type="cellIs" dxfId="98" priority="5" operator="between">
      <formula>0</formula>
      <formula>5</formula>
    </cfRule>
    <cfRule type="cellIs" dxfId="97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2" t="s">
        <v>7</v>
      </c>
      <c r="B3" s="944" t="s">
        <v>235</v>
      </c>
    </row>
    <row r="4" spans="1:4" ht="15" customHeight="1" x14ac:dyDescent="0.2">
      <c r="A4" s="943"/>
      <c r="B4" s="945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 t="str">
        <f>IF('Entries October 2026'!AJ12-'Entries October 2026'!AJ11&lt;1,"0",'Entries October 2026'!AJ12-'Entries October 2026'!AJ11)</f>
        <v>0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0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K7" sqref="K7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4" t="s">
        <v>304</v>
      </c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</row>
    <row r="2" spans="1:17" ht="15" customHeight="1" x14ac:dyDescent="0.2">
      <c r="B2" s="8"/>
      <c r="D2" s="8"/>
      <c r="E2" s="8"/>
      <c r="F2" s="9"/>
      <c r="M2" s="946" t="s">
        <v>296</v>
      </c>
      <c r="N2" s="946" t="s">
        <v>297</v>
      </c>
    </row>
    <row r="3" spans="1:17" ht="15.75" thickBot="1" x14ac:dyDescent="0.25">
      <c r="B3" s="8"/>
      <c r="D3" s="8"/>
      <c r="E3" s="8"/>
      <c r="F3" s="9"/>
      <c r="M3" s="947"/>
      <c r="N3" s="947"/>
    </row>
    <row r="4" spans="1:17" s="339" customFormat="1" ht="32.25" customHeight="1" x14ac:dyDescent="0.2">
      <c r="A4" s="960" t="s">
        <v>7</v>
      </c>
      <c r="B4" s="851" t="s">
        <v>27</v>
      </c>
      <c r="C4" s="852" t="s">
        <v>27</v>
      </c>
      <c r="D4" s="853" t="s">
        <v>295</v>
      </c>
      <c r="E4" s="867" t="s">
        <v>24</v>
      </c>
      <c r="F4" s="867" t="s">
        <v>24</v>
      </c>
      <c r="G4" s="855" t="s">
        <v>38</v>
      </c>
      <c r="H4" s="852" t="s">
        <v>39</v>
      </c>
      <c r="I4" s="852" t="s">
        <v>299</v>
      </c>
      <c r="J4" s="852" t="s">
        <v>38</v>
      </c>
      <c r="K4" s="852" t="s">
        <v>40</v>
      </c>
      <c r="L4" s="956" t="s">
        <v>243</v>
      </c>
      <c r="M4" s="958" t="s">
        <v>246</v>
      </c>
      <c r="N4" s="948" t="s">
        <v>246</v>
      </c>
      <c r="O4" s="951" t="s">
        <v>298</v>
      </c>
      <c r="P4" s="350"/>
    </row>
    <row r="5" spans="1:17" s="339" customFormat="1" ht="16.5" thickBot="1" x14ac:dyDescent="0.25">
      <c r="A5" s="961"/>
      <c r="B5" s="868" t="s">
        <v>41</v>
      </c>
      <c r="C5" s="869" t="s">
        <v>34</v>
      </c>
      <c r="D5" s="856" t="s">
        <v>41</v>
      </c>
      <c r="E5" s="854" t="s">
        <v>41</v>
      </c>
      <c r="F5" s="854" t="s">
        <v>34</v>
      </c>
      <c r="G5" s="857" t="s">
        <v>41</v>
      </c>
      <c r="H5" s="869" t="s">
        <v>34</v>
      </c>
      <c r="I5" s="869" t="s">
        <v>42</v>
      </c>
      <c r="J5" s="869" t="s">
        <v>43</v>
      </c>
      <c r="K5" s="869" t="s">
        <v>44</v>
      </c>
      <c r="L5" s="957"/>
      <c r="M5" s="959"/>
      <c r="N5" s="949"/>
      <c r="O5" s="952"/>
      <c r="P5" s="350"/>
    </row>
    <row r="6" spans="1:17" s="73" customFormat="1" ht="16.5" thickBot="1" x14ac:dyDescent="0.3">
      <c r="A6" s="870"/>
      <c r="B6" s="871"/>
      <c r="C6" s="840"/>
      <c r="D6" s="842"/>
      <c r="E6" s="872"/>
      <c r="F6" s="872"/>
      <c r="G6" s="845"/>
      <c r="H6" s="840"/>
      <c r="I6" s="840"/>
      <c r="J6" s="840"/>
      <c r="K6" s="840"/>
      <c r="L6" s="873"/>
      <c r="M6" s="837"/>
      <c r="N6" s="950"/>
      <c r="O6" s="953"/>
      <c r="P6" s="350"/>
    </row>
    <row r="7" spans="1:17" x14ac:dyDescent="0.2">
      <c r="A7" s="858">
        <v>1</v>
      </c>
      <c r="B7" s="859">
        <f>IF('Entries October 2026'!B7-'Entries October 2026'!B6&lt;1,"0",'Entries October 2026'!B7-'Entries October 2026'!B6)</f>
        <v>960</v>
      </c>
      <c r="C7" s="860">
        <f>IF('Entries October 2026'!F7-'Entries October 2026'!F6&lt;1,"0",'Entries October 2026'!F7-'Entries October 2026'!F6)</f>
        <v>20.5</v>
      </c>
      <c r="D7" s="861">
        <f>IF('Entries October 2026'!C7-'Entries October 2026'!C6&lt;1,"0",'Entries October 2026'!C7-'Entries October 2026'!C6)</f>
        <v>3317.1999999999534</v>
      </c>
      <c r="E7" s="862" t="str">
        <f t="shared" ref="E7:E37" si="0">IF(F7=0,"0", D7/F7)</f>
        <v>0</v>
      </c>
      <c r="F7" s="863" t="str">
        <f>IF('Entries October 2026'!G7-'Entries October 2026'!G6&lt;1,"0",'Entries October 2026'!G7-'Entries October 2026'!G6)</f>
        <v>0</v>
      </c>
      <c r="G7" s="864"/>
      <c r="H7" s="860"/>
      <c r="I7" s="865">
        <f>IF(C7=0,"0", B7/(C7))</f>
        <v>46.829268292682926</v>
      </c>
      <c r="J7" s="865" t="str">
        <f t="shared" ref="J7:J37" si="1">IF(H7=0,"0", G7/H7)</f>
        <v>0</v>
      </c>
      <c r="K7" s="860">
        <f>B7+E7+G7</f>
        <v>960</v>
      </c>
      <c r="L7" s="746" cm="1">
        <f t="array" ref="L7:L37">IF(TRANSPOSE('Daily KPIs'!B9:AF9)=0,"0",TRANSPOSE('Daily KPIs'!B9:AF9))</f>
        <v>367.56479999999999</v>
      </c>
      <c r="M7" s="836">
        <f>IF(L7=0,"0",(K7/L7))</f>
        <v>2.6117843710823236</v>
      </c>
      <c r="N7" s="836">
        <f t="shared" ref="N7:N37" si="2">IF(L7=0,"0",(D7/L7))</f>
        <v>9.0248032455772513</v>
      </c>
      <c r="O7" s="866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43">
        <f>IF('Entries October 2026'!C8-'Entries October 2026'!C7&lt;1,"0",'Entries October 2026'!C8-'Entries October 2026'!C7)</f>
        <v>2235.1000000000931</v>
      </c>
      <c r="E8" s="847" t="str">
        <f t="shared" si="0"/>
        <v>0</v>
      </c>
      <c r="F8" s="848" t="str">
        <f>IF('Entries October 2026'!G8-'Entries October 2026'!G7&lt;1,"0",'Entries October 2026'!G8-'Entries October 2026'!G7)</f>
        <v>0</v>
      </c>
      <c r="G8" s="841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7:K37" si="4">B8+E8+G8</f>
        <v>0</v>
      </c>
      <c r="L8" s="835">
        <v>283.536</v>
      </c>
      <c r="M8" s="833">
        <f t="shared" ref="M8:M37" si="5">IF(L8=0,"0",(K8/L8))</f>
        <v>0</v>
      </c>
      <c r="N8" s="833">
        <f t="shared" si="2"/>
        <v>7.8829496078102714</v>
      </c>
      <c r="O8" s="834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43">
        <f>IF('Entries October 2026'!C9-'Entries October 2026'!C8&lt;1,"0",'Entries October 2026'!C9-'Entries October 2026'!C8)</f>
        <v>238.30000000004657</v>
      </c>
      <c r="E9" s="847" t="str">
        <f t="shared" si="0"/>
        <v>0</v>
      </c>
      <c r="F9" s="848" t="str">
        <f>IF('Entries October 2026'!G9-'Entries October 2026'!G8&lt;1,"0",'Entries October 2026'!G9-'Entries October 2026'!G8)</f>
        <v>0</v>
      </c>
      <c r="G9" s="841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5" t="str">
        <v>0</v>
      </c>
      <c r="M9" s="833" t="str">
        <f t="shared" si="5"/>
        <v>0</v>
      </c>
      <c r="N9" s="833" t="str">
        <f t="shared" si="2"/>
        <v>0</v>
      </c>
      <c r="O9" s="834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43">
        <f>IF('Entries October 2026'!C10-'Entries October 2026'!C9&lt;1,"0",'Entries October 2026'!C10-'Entries October 2026'!C9)</f>
        <v>334.89999999990687</v>
      </c>
      <c r="E10" s="847" t="str">
        <f t="shared" si="0"/>
        <v>0</v>
      </c>
      <c r="F10" s="848" t="str">
        <f>IF('Entries October 2026'!G10-'Entries October 2026'!G9&lt;1,"0",'Entries October 2026'!G10-'Entries October 2026'!G9)</f>
        <v>0</v>
      </c>
      <c r="G10" s="841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5" t="str">
        <v>0</v>
      </c>
      <c r="M10" s="833" t="str">
        <f t="shared" si="5"/>
        <v>0</v>
      </c>
      <c r="N10" s="833" t="str">
        <f t="shared" si="2"/>
        <v>0</v>
      </c>
      <c r="O10" s="834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43">
        <f>IF('Entries October 2026'!C11-'Entries October 2026'!C10&lt;1,"0",'Entries October 2026'!C11-'Entries October 2026'!C10)</f>
        <v>3351.6000000000931</v>
      </c>
      <c r="E11" s="847" t="str">
        <f t="shared" si="0"/>
        <v>0</v>
      </c>
      <c r="F11" s="848" t="str">
        <f>IF('Entries October 2026'!G11-'Entries October 2026'!G10&lt;1,"0",'Entries October 2026'!G11-'Entries October 2026'!G10)</f>
        <v>0</v>
      </c>
      <c r="G11" s="841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5">
        <v>326.50200000000001</v>
      </c>
      <c r="M11" s="833">
        <f t="shared" si="5"/>
        <v>0</v>
      </c>
      <c r="N11" s="833">
        <f t="shared" si="2"/>
        <v>10.265174485914613</v>
      </c>
      <c r="O11" s="834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 t="str">
        <f>IF('Entries October 2026'!F12-'Entries October 2026'!F11&lt;1,"0",'Entries October 2026'!F12-'Entries October 2026'!F11)</f>
        <v>0</v>
      </c>
      <c r="D12" s="843" t="str">
        <f>IF('Entries October 2026'!C12-'Entries October 2026'!C11&lt;1,"0",'Entries October 2026'!C12-'Entries October 2026'!C11)</f>
        <v>0</v>
      </c>
      <c r="E12" s="847" t="str">
        <f t="shared" si="0"/>
        <v>0</v>
      </c>
      <c r="F12" s="848" t="str">
        <f>IF('Entries October 2026'!G12-'Entries October 2026'!G11&lt;1,"0",'Entries October 2026'!G12-'Entries October 2026'!G11)</f>
        <v>0</v>
      </c>
      <c r="G12" s="841"/>
      <c r="H12" s="739"/>
      <c r="I12" s="740" t="str">
        <f t="shared" si="3"/>
        <v>0</v>
      </c>
      <c r="J12" s="740" t="str">
        <f t="shared" si="1"/>
        <v>0</v>
      </c>
      <c r="K12" s="739">
        <f t="shared" si="4"/>
        <v>0</v>
      </c>
      <c r="L12" s="835" t="str">
        <v>0</v>
      </c>
      <c r="M12" s="833" t="str">
        <f t="shared" si="5"/>
        <v>0</v>
      </c>
      <c r="N12" s="833" t="str">
        <f t="shared" si="2"/>
        <v>0</v>
      </c>
      <c r="O12" s="834">
        <f t="shared" si="6"/>
        <v>0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 t="str">
        <f>IF('Entries October 2026'!F13-'Entries October 2026'!F12&lt;1,"0",'Entries October 2026'!F13-'Entries October 2026'!F12)</f>
        <v>0</v>
      </c>
      <c r="D13" s="843" t="str">
        <f>IF('Entries October 2026'!C13-'Entries October 2026'!C12&lt;1,"0",'Entries October 2026'!C13-'Entries October 2026'!C12)</f>
        <v>0</v>
      </c>
      <c r="E13" s="847" t="str">
        <f t="shared" si="0"/>
        <v>0</v>
      </c>
      <c r="F13" s="848" t="str">
        <f>IF('Entries October 2026'!G13-'Entries October 2026'!G12&lt;1,"0",'Entries October 2026'!G13-'Entries October 2026'!G12)</f>
        <v>0</v>
      </c>
      <c r="G13" s="841"/>
      <c r="H13" s="739"/>
      <c r="I13" s="740" t="str">
        <f t="shared" si="3"/>
        <v>0</v>
      </c>
      <c r="J13" s="740" t="str">
        <f t="shared" si="1"/>
        <v>0</v>
      </c>
      <c r="K13" s="739">
        <f t="shared" si="4"/>
        <v>0</v>
      </c>
      <c r="L13" s="835" t="str">
        <v>0</v>
      </c>
      <c r="M13" s="833" t="str">
        <f t="shared" si="5"/>
        <v>0</v>
      </c>
      <c r="N13" s="833" t="str">
        <f t="shared" si="2"/>
        <v>0</v>
      </c>
      <c r="O13" s="834">
        <f t="shared" si="6"/>
        <v>0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 t="str">
        <f>IF('Entries October 2026'!F14-'Entries October 2026'!F13&lt;1,"0",'Entries October 2026'!F14-'Entries October 2026'!F13)</f>
        <v>0</v>
      </c>
      <c r="D14" s="843" t="str">
        <f>IF('Entries October 2026'!C14-'Entries October 2026'!C13&lt;1,"0",'Entries October 2026'!C14-'Entries October 2026'!C13)</f>
        <v>0</v>
      </c>
      <c r="E14" s="847" t="str">
        <f t="shared" si="0"/>
        <v>0</v>
      </c>
      <c r="F14" s="848" t="str">
        <f>IF('Entries October 2026'!G14-'Entries October 2026'!G13&lt;1,"0",'Entries October 2026'!G14-'Entries October 2026'!G13)</f>
        <v>0</v>
      </c>
      <c r="G14" s="841"/>
      <c r="H14" s="739"/>
      <c r="I14" s="740" t="str">
        <f t="shared" si="3"/>
        <v>0</v>
      </c>
      <c r="J14" s="740" t="str">
        <f t="shared" si="1"/>
        <v>0</v>
      </c>
      <c r="K14" s="739">
        <f t="shared" si="4"/>
        <v>0</v>
      </c>
      <c r="L14" s="835" t="str">
        <v>0</v>
      </c>
      <c r="M14" s="833" t="str">
        <f t="shared" si="5"/>
        <v>0</v>
      </c>
      <c r="N14" s="833" t="str">
        <f t="shared" si="2"/>
        <v>0</v>
      </c>
      <c r="O14" s="834">
        <f t="shared" si="6"/>
        <v>0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 t="str">
        <f>IF('Entries October 2026'!F15-'Entries October 2026'!F14&lt;1,"0",'Entries October 2026'!F15-'Entries October 2026'!F14)</f>
        <v>0</v>
      </c>
      <c r="D15" s="843" t="str">
        <f>IF('Entries October 2026'!C15-'Entries October 2026'!C14&lt;1,"0",'Entries October 2026'!C15-'Entries October 2026'!C14)</f>
        <v>0</v>
      </c>
      <c r="E15" s="847" t="str">
        <f t="shared" si="0"/>
        <v>0</v>
      </c>
      <c r="F15" s="848" t="str">
        <f>IF('Entries October 2026'!G15-'Entries October 2026'!G14&lt;1,"0",'Entries October 2026'!G15-'Entries October 2026'!G14)</f>
        <v>0</v>
      </c>
      <c r="G15" s="841"/>
      <c r="H15" s="739"/>
      <c r="I15" s="740" t="str">
        <f t="shared" si="3"/>
        <v>0</v>
      </c>
      <c r="J15" s="740" t="str">
        <f t="shared" si="1"/>
        <v>0</v>
      </c>
      <c r="K15" s="739">
        <f t="shared" si="4"/>
        <v>0</v>
      </c>
      <c r="L15" s="835" t="str">
        <v>0</v>
      </c>
      <c r="M15" s="833" t="str">
        <f t="shared" si="5"/>
        <v>0</v>
      </c>
      <c r="N15" s="833" t="str">
        <f t="shared" si="2"/>
        <v>0</v>
      </c>
      <c r="O15" s="834">
        <f t="shared" si="6"/>
        <v>0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 t="str">
        <f>IF('Entries October 2026'!F16-'Entries October 2026'!F15&lt;1,"0",'Entries October 2026'!F16-'Entries October 2026'!F15)</f>
        <v>0</v>
      </c>
      <c r="D16" s="843" t="str">
        <f>IF('Entries October 2026'!C16-'Entries October 2026'!C15&lt;1,"0",'Entries October 2026'!C16-'Entries October 2026'!C15)</f>
        <v>0</v>
      </c>
      <c r="E16" s="847" t="str">
        <f t="shared" si="0"/>
        <v>0</v>
      </c>
      <c r="F16" s="848" t="str">
        <f>IF('Entries October 2026'!G16-'Entries October 2026'!G15&lt;1,"0",'Entries October 2026'!G16-'Entries October 2026'!G15)</f>
        <v>0</v>
      </c>
      <c r="G16" s="841"/>
      <c r="H16" s="739"/>
      <c r="I16" s="740" t="str">
        <f t="shared" si="3"/>
        <v>0</v>
      </c>
      <c r="J16" s="740" t="str">
        <f t="shared" si="1"/>
        <v>0</v>
      </c>
      <c r="K16" s="739">
        <f t="shared" si="4"/>
        <v>0</v>
      </c>
      <c r="L16" s="835" t="str">
        <v>0</v>
      </c>
      <c r="M16" s="833" t="str">
        <f t="shared" si="5"/>
        <v>0</v>
      </c>
      <c r="N16" s="833" t="str">
        <f t="shared" si="2"/>
        <v>0</v>
      </c>
      <c r="O16" s="834">
        <f t="shared" si="6"/>
        <v>0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 t="str">
        <f>IF('Entries October 2026'!F17-'Entries October 2026'!F16&lt;1,"0",'Entries October 2026'!F17-'Entries October 2026'!F16)</f>
        <v>0</v>
      </c>
      <c r="D17" s="843" t="str">
        <f>IF('Entries October 2026'!C17-'Entries October 2026'!C16&lt;1,"0",'Entries October 2026'!C17-'Entries October 2026'!C16)</f>
        <v>0</v>
      </c>
      <c r="E17" s="847" t="str">
        <f t="shared" si="0"/>
        <v>0</v>
      </c>
      <c r="F17" s="848" t="str">
        <f>IF('Entries October 2026'!G17-'Entries October 2026'!G16&lt;1,"0",'Entries October 2026'!G17-'Entries October 2026'!G16)</f>
        <v>0</v>
      </c>
      <c r="G17" s="841"/>
      <c r="H17" s="739"/>
      <c r="I17" s="740" t="str">
        <f t="shared" si="3"/>
        <v>0</v>
      </c>
      <c r="J17" s="740" t="str">
        <f t="shared" si="1"/>
        <v>0</v>
      </c>
      <c r="K17" s="739">
        <f t="shared" si="4"/>
        <v>0</v>
      </c>
      <c r="L17" s="835" t="str">
        <v>0</v>
      </c>
      <c r="M17" s="833" t="str">
        <f t="shared" si="5"/>
        <v>0</v>
      </c>
      <c r="N17" s="833" t="str">
        <f t="shared" si="2"/>
        <v>0</v>
      </c>
      <c r="O17" s="834">
        <f t="shared" si="6"/>
        <v>0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 t="str">
        <f>IF('Entries October 2026'!F18-'Entries October 2026'!F17&lt;1,"0",'Entries October 2026'!F18-'Entries October 2026'!F17)</f>
        <v>0</v>
      </c>
      <c r="D18" s="843" t="str">
        <f>IF('Entries October 2026'!C18-'Entries October 2026'!C17&lt;1,"0",'Entries October 2026'!C18-'Entries October 2026'!C17)</f>
        <v>0</v>
      </c>
      <c r="E18" s="847" t="str">
        <f t="shared" si="0"/>
        <v>0</v>
      </c>
      <c r="F18" s="848" t="str">
        <f>IF('Entries October 2026'!G18-'Entries October 2026'!G17&lt;1,"0",'Entries October 2026'!G18-'Entries October 2026'!G17)</f>
        <v>0</v>
      </c>
      <c r="G18" s="841"/>
      <c r="H18" s="739"/>
      <c r="I18" s="740" t="str">
        <f t="shared" si="3"/>
        <v>0</v>
      </c>
      <c r="J18" s="740" t="str">
        <f t="shared" si="1"/>
        <v>0</v>
      </c>
      <c r="K18" s="739">
        <f t="shared" si="4"/>
        <v>0</v>
      </c>
      <c r="L18" s="835" t="str">
        <v>0</v>
      </c>
      <c r="M18" s="833" t="str">
        <f t="shared" si="5"/>
        <v>0</v>
      </c>
      <c r="N18" s="833" t="str">
        <f t="shared" si="2"/>
        <v>0</v>
      </c>
      <c r="O18" s="834">
        <f t="shared" si="6"/>
        <v>0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43" t="str">
        <f>IF('Entries October 2026'!C19-'Entries October 2026'!C18&lt;1,"0",'Entries October 2026'!C19-'Entries October 2026'!C18)</f>
        <v>0</v>
      </c>
      <c r="E19" s="847" t="str">
        <f t="shared" si="0"/>
        <v>0</v>
      </c>
      <c r="F19" s="848" t="str">
        <f>IF('Entries October 2026'!G19-'Entries October 2026'!G18&lt;1,"0",'Entries October 2026'!G19-'Entries October 2026'!G18)</f>
        <v>0</v>
      </c>
      <c r="G19" s="841"/>
      <c r="H19" s="739"/>
      <c r="I19" s="740" t="str">
        <f t="shared" si="3"/>
        <v>0</v>
      </c>
      <c r="J19" s="740" t="str">
        <f t="shared" si="1"/>
        <v>0</v>
      </c>
      <c r="K19" s="739">
        <f t="shared" si="4"/>
        <v>0</v>
      </c>
      <c r="L19" s="835" t="str">
        <v>0</v>
      </c>
      <c r="M19" s="833" t="str">
        <f t="shared" si="5"/>
        <v>0</v>
      </c>
      <c r="N19" s="833" t="str">
        <f t="shared" si="2"/>
        <v>0</v>
      </c>
      <c r="O19" s="834">
        <f t="shared" si="6"/>
        <v>0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43" t="str">
        <f>IF('Entries October 2026'!C20-'Entries October 2026'!C19&lt;1,"0",'Entries October 2026'!C20-'Entries October 2026'!C19)</f>
        <v>0</v>
      </c>
      <c r="E20" s="847" t="str">
        <f t="shared" si="0"/>
        <v>0</v>
      </c>
      <c r="F20" s="848" t="str">
        <f>IF('Entries October 2026'!G20-'Entries October 2026'!G19&lt;1,"0",'Entries October 2026'!G20-'Entries October 2026'!G19)</f>
        <v>0</v>
      </c>
      <c r="G20" s="841"/>
      <c r="H20" s="739"/>
      <c r="I20" s="740" t="str">
        <f t="shared" si="3"/>
        <v>0</v>
      </c>
      <c r="J20" s="740" t="str">
        <f t="shared" si="1"/>
        <v>0</v>
      </c>
      <c r="K20" s="739">
        <f t="shared" si="4"/>
        <v>0</v>
      </c>
      <c r="L20" s="835" t="str">
        <v>0</v>
      </c>
      <c r="M20" s="833" t="str">
        <f t="shared" si="5"/>
        <v>0</v>
      </c>
      <c r="N20" s="833" t="str">
        <f t="shared" si="2"/>
        <v>0</v>
      </c>
      <c r="O20" s="834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43" t="str">
        <f>IF('Entries October 2026'!C21-'Entries October 2026'!C20&lt;1,"0",'Entries October 2026'!C21-'Entries October 2026'!C20)</f>
        <v>0</v>
      </c>
      <c r="E21" s="847" t="str">
        <f t="shared" si="0"/>
        <v>0</v>
      </c>
      <c r="F21" s="848" t="str">
        <f>IF('Entries October 2026'!G21-'Entries October 2026'!G20&lt;1,"0",'Entries October 2026'!G21-'Entries October 2026'!G20)</f>
        <v>0</v>
      </c>
      <c r="G21" s="841"/>
      <c r="H21" s="739"/>
      <c r="I21" s="740" t="str">
        <f t="shared" si="3"/>
        <v>0</v>
      </c>
      <c r="J21" s="740" t="str">
        <f t="shared" si="1"/>
        <v>0</v>
      </c>
      <c r="K21" s="739">
        <f t="shared" si="4"/>
        <v>0</v>
      </c>
      <c r="L21" s="835" t="str">
        <v>0</v>
      </c>
      <c r="M21" s="833" t="str">
        <f t="shared" si="5"/>
        <v>0</v>
      </c>
      <c r="N21" s="833" t="str">
        <f t="shared" si="2"/>
        <v>0</v>
      </c>
      <c r="O21" s="834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43" t="str">
        <f>IF('Entries October 2026'!C22-'Entries October 2026'!C21&lt;1,"0",'Entries October 2026'!C22-'Entries October 2026'!C21)</f>
        <v>0</v>
      </c>
      <c r="E22" s="847" t="str">
        <f t="shared" si="0"/>
        <v>0</v>
      </c>
      <c r="F22" s="848" t="str">
        <f>IF('Entries October 2026'!G22-'Entries October 2026'!G21&lt;1,"0",'Entries October 2026'!G22-'Entries October 2026'!G21)</f>
        <v>0</v>
      </c>
      <c r="G22" s="841"/>
      <c r="H22" s="739"/>
      <c r="I22" s="740" t="str">
        <f t="shared" si="3"/>
        <v>0</v>
      </c>
      <c r="J22" s="740" t="str">
        <f t="shared" si="1"/>
        <v>0</v>
      </c>
      <c r="K22" s="739">
        <f t="shared" si="4"/>
        <v>0</v>
      </c>
      <c r="L22" s="835" t="str">
        <v>0</v>
      </c>
      <c r="M22" s="833" t="str">
        <f t="shared" si="5"/>
        <v>0</v>
      </c>
      <c r="N22" s="833" t="str">
        <f t="shared" si="2"/>
        <v>0</v>
      </c>
      <c r="O22" s="834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43" t="str">
        <f>IF('Entries October 2026'!C23-'Entries October 2026'!C22&lt;1,"0",'Entries October 2026'!C23-'Entries October 2026'!C22)</f>
        <v>0</v>
      </c>
      <c r="E23" s="847" t="str">
        <f t="shared" si="0"/>
        <v>0</v>
      </c>
      <c r="F23" s="848" t="str">
        <f>IF('Entries October 2026'!G23-'Entries October 2026'!G22&lt;1,"0",'Entries October 2026'!G23-'Entries October 2026'!G22)</f>
        <v>0</v>
      </c>
      <c r="G23" s="841"/>
      <c r="H23" s="739"/>
      <c r="I23" s="740" t="str">
        <f t="shared" si="3"/>
        <v>0</v>
      </c>
      <c r="J23" s="740" t="str">
        <f t="shared" si="1"/>
        <v>0</v>
      </c>
      <c r="K23" s="739">
        <f t="shared" si="4"/>
        <v>0</v>
      </c>
      <c r="L23" s="835" t="str">
        <v>0</v>
      </c>
      <c r="M23" s="833" t="str">
        <f t="shared" si="5"/>
        <v>0</v>
      </c>
      <c r="N23" s="833" t="str">
        <f t="shared" si="2"/>
        <v>0</v>
      </c>
      <c r="O23" s="834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43" t="str">
        <f>IF('Entries October 2026'!C24-'Entries October 2026'!C23&lt;1,"0",'Entries October 2026'!C24-'Entries October 2026'!C23)</f>
        <v>0</v>
      </c>
      <c r="E24" s="847" t="str">
        <f t="shared" si="0"/>
        <v>0</v>
      </c>
      <c r="F24" s="848" t="str">
        <f>IF('Entries October 2026'!G24-'Entries October 2026'!G23&lt;1,"0",'Entries October 2026'!G24-'Entries October 2026'!G23)</f>
        <v>0</v>
      </c>
      <c r="G24" s="841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5" t="str">
        <v>0</v>
      </c>
      <c r="M24" s="833" t="str">
        <f t="shared" si="5"/>
        <v>0</v>
      </c>
      <c r="N24" s="833" t="str">
        <f t="shared" si="2"/>
        <v>0</v>
      </c>
      <c r="O24" s="834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43" t="str">
        <f>IF('Entries October 2026'!C25-'Entries October 2026'!C24&lt;1,"0",'Entries October 2026'!C25-'Entries October 2026'!C24)</f>
        <v>0</v>
      </c>
      <c r="E25" s="847" t="str">
        <f t="shared" si="0"/>
        <v>0</v>
      </c>
      <c r="F25" s="848" t="str">
        <f>IF('Entries October 2026'!G25-'Entries October 2026'!G24&lt;1,"0",'Entries October 2026'!G25-'Entries October 2026'!G24)</f>
        <v>0</v>
      </c>
      <c r="G25" s="841"/>
      <c r="H25" s="739"/>
      <c r="I25" s="740" t="str">
        <f t="shared" si="3"/>
        <v>0</v>
      </c>
      <c r="J25" s="740" t="str">
        <f t="shared" si="1"/>
        <v>0</v>
      </c>
      <c r="K25" s="739">
        <f t="shared" si="4"/>
        <v>0</v>
      </c>
      <c r="L25" s="835" t="str">
        <v>0</v>
      </c>
      <c r="M25" s="833" t="str">
        <f t="shared" si="5"/>
        <v>0</v>
      </c>
      <c r="N25" s="833" t="str">
        <f t="shared" si="2"/>
        <v>0</v>
      </c>
      <c r="O25" s="834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43" t="str">
        <f>IF('Entries October 2026'!C26-'Entries October 2026'!C25&lt;1,"0",'Entries October 2026'!C26-'Entries October 2026'!C25)</f>
        <v>0</v>
      </c>
      <c r="E26" s="847" t="str">
        <f t="shared" si="0"/>
        <v>0</v>
      </c>
      <c r="F26" s="848" t="str">
        <f>IF('Entries October 2026'!G26-'Entries October 2026'!G25&lt;1,"0",'Entries October 2026'!G26-'Entries October 2026'!G25)</f>
        <v>0</v>
      </c>
      <c r="G26" s="841"/>
      <c r="H26" s="739"/>
      <c r="I26" s="740" t="str">
        <f t="shared" si="3"/>
        <v>0</v>
      </c>
      <c r="J26" s="740" t="str">
        <f t="shared" si="1"/>
        <v>0</v>
      </c>
      <c r="K26" s="739">
        <f t="shared" si="4"/>
        <v>0</v>
      </c>
      <c r="L26" s="835" t="str">
        <v>0</v>
      </c>
      <c r="M26" s="833" t="str">
        <f t="shared" si="5"/>
        <v>0</v>
      </c>
      <c r="N26" s="833" t="str">
        <f t="shared" si="2"/>
        <v>0</v>
      </c>
      <c r="O26" s="834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43" t="str">
        <f>IF('Entries October 2026'!C27-'Entries October 2026'!C26&lt;1,"0",'Entries October 2026'!C27-'Entries October 2026'!C26)</f>
        <v>0</v>
      </c>
      <c r="E27" s="847" t="str">
        <f t="shared" si="0"/>
        <v>0</v>
      </c>
      <c r="F27" s="848" t="str">
        <f>IF('Entries October 2026'!G27-'Entries October 2026'!G26&lt;1,"0",'Entries October 2026'!G27-'Entries October 2026'!G26)</f>
        <v>0</v>
      </c>
      <c r="G27" s="841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5" t="str">
        <v>0</v>
      </c>
      <c r="M27" s="833" t="str">
        <f t="shared" si="5"/>
        <v>0</v>
      </c>
      <c r="N27" s="833" t="str">
        <f t="shared" si="2"/>
        <v>0</v>
      </c>
      <c r="O27" s="834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43" t="str">
        <f>IF('Entries October 2026'!C28-'Entries October 2026'!C27&lt;1,"0",'Entries October 2026'!C28-'Entries October 2026'!C27)</f>
        <v>0</v>
      </c>
      <c r="E28" s="847" t="str">
        <f t="shared" si="0"/>
        <v>0</v>
      </c>
      <c r="F28" s="848" t="str">
        <f>IF('Entries October 2026'!G28-'Entries October 2026'!G27&lt;1,"0",'Entries October 2026'!G28-'Entries October 2026'!G27)</f>
        <v>0</v>
      </c>
      <c r="G28" s="841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5" t="str">
        <v>0</v>
      </c>
      <c r="M28" s="833" t="str">
        <f t="shared" si="5"/>
        <v>0</v>
      </c>
      <c r="N28" s="833" t="str">
        <f t="shared" si="2"/>
        <v>0</v>
      </c>
      <c r="O28" s="834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43" t="str">
        <f>IF('Entries October 2026'!C29-'Entries October 2026'!C28&lt;1,"0",'Entries October 2026'!C29-'Entries October 2026'!C28)</f>
        <v>0</v>
      </c>
      <c r="E29" s="847" t="str">
        <f t="shared" si="0"/>
        <v>0</v>
      </c>
      <c r="F29" s="848" t="str">
        <f>IF('Entries October 2026'!G29-'Entries October 2026'!G28&lt;1,"0",'Entries October 2026'!G29-'Entries October 2026'!G28)</f>
        <v>0</v>
      </c>
      <c r="G29" s="841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5" t="str">
        <v>0</v>
      </c>
      <c r="M29" s="833" t="str">
        <f t="shared" si="5"/>
        <v>0</v>
      </c>
      <c r="N29" s="833" t="str">
        <f t="shared" si="2"/>
        <v>0</v>
      </c>
      <c r="O29" s="834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43" t="str">
        <f>IF('Entries October 2026'!C30-'Entries October 2026'!C29&lt;1,"0",'Entries October 2026'!C30-'Entries October 2026'!C29)</f>
        <v>0</v>
      </c>
      <c r="E30" s="847" t="str">
        <f t="shared" si="0"/>
        <v>0</v>
      </c>
      <c r="F30" s="848" t="str">
        <f>IF('Entries October 2026'!G30-'Entries October 2026'!G29&lt;1,"0",'Entries October 2026'!G30-'Entries October 2026'!G29)</f>
        <v>0</v>
      </c>
      <c r="G30" s="841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5" t="str">
        <v>0</v>
      </c>
      <c r="M30" s="833" t="str">
        <f t="shared" si="5"/>
        <v>0</v>
      </c>
      <c r="N30" s="833" t="str">
        <f t="shared" si="2"/>
        <v>0</v>
      </c>
      <c r="O30" s="834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43" t="str">
        <f>IF('Entries October 2026'!C31-'Entries October 2026'!C30&lt;1,"0",'Entries October 2026'!C31-'Entries October 2026'!C30)</f>
        <v>0</v>
      </c>
      <c r="E31" s="847" t="str">
        <f t="shared" si="0"/>
        <v>0</v>
      </c>
      <c r="F31" s="848" t="str">
        <f>IF('Entries October 2026'!G31-'Entries October 2026'!G30&lt;1,"0",'Entries October 2026'!G31-'Entries October 2026'!G30)</f>
        <v>0</v>
      </c>
      <c r="G31" s="841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5" t="str">
        <v>0</v>
      </c>
      <c r="M31" s="833" t="str">
        <f t="shared" si="5"/>
        <v>0</v>
      </c>
      <c r="N31" s="833" t="str">
        <f t="shared" si="2"/>
        <v>0</v>
      </c>
      <c r="O31" s="834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43" t="str">
        <f>IF('Entries October 2026'!C32-'Entries October 2026'!C31&lt;1,"0",'Entries October 2026'!C32-'Entries October 2026'!C31)</f>
        <v>0</v>
      </c>
      <c r="E32" s="847" t="str">
        <f t="shared" si="0"/>
        <v>0</v>
      </c>
      <c r="F32" s="848" t="str">
        <f>IF('Entries October 2026'!G32-'Entries October 2026'!G31&lt;1,"0",'Entries October 2026'!G32-'Entries October 2026'!G31)</f>
        <v>0</v>
      </c>
      <c r="G32" s="841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5" t="str">
        <v>0</v>
      </c>
      <c r="M32" s="833" t="str">
        <f t="shared" si="5"/>
        <v>0</v>
      </c>
      <c r="N32" s="833" t="str">
        <f t="shared" si="2"/>
        <v>0</v>
      </c>
      <c r="O32" s="834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43" t="str">
        <f>IF('Entries October 2026'!C33-'Entries October 2026'!C32&lt;1,"0",'Entries October 2026'!C33-'Entries October 2026'!C32)</f>
        <v>0</v>
      </c>
      <c r="E33" s="847" t="str">
        <f t="shared" si="0"/>
        <v>0</v>
      </c>
      <c r="F33" s="848" t="str">
        <f>IF('Entries October 2026'!G33-'Entries October 2026'!G32&lt;1,"0",'Entries October 2026'!G33-'Entries October 2026'!G32)</f>
        <v>0</v>
      </c>
      <c r="G33" s="841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5" t="str">
        <v>0</v>
      </c>
      <c r="M33" s="833" t="str">
        <f t="shared" si="5"/>
        <v>0</v>
      </c>
      <c r="N33" s="833" t="str">
        <f t="shared" si="2"/>
        <v>0</v>
      </c>
      <c r="O33" s="834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43" t="str">
        <f>IF('Entries October 2026'!C34-'Entries October 2026'!C33&lt;1,"0",'Entries October 2026'!C34-'Entries October 2026'!C33)</f>
        <v>0</v>
      </c>
      <c r="E34" s="847" t="str">
        <f t="shared" si="0"/>
        <v>0</v>
      </c>
      <c r="F34" s="848" t="str">
        <f>IF('Entries October 2026'!G34-'Entries October 2026'!G33&lt;1,"0",'Entries October 2026'!G34-'Entries October 2026'!G33)</f>
        <v>0</v>
      </c>
      <c r="G34" s="841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5" t="str">
        <v>0</v>
      </c>
      <c r="M34" s="833" t="str">
        <f t="shared" si="5"/>
        <v>0</v>
      </c>
      <c r="N34" s="833" t="str">
        <f t="shared" si="2"/>
        <v>0</v>
      </c>
      <c r="O34" s="834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43" t="str">
        <f>IF('Entries October 2026'!C35-'Entries October 2026'!C34&lt;1,"0",'Entries October 2026'!C35-'Entries October 2026'!C34)</f>
        <v>0</v>
      </c>
      <c r="E35" s="847" t="str">
        <f t="shared" si="0"/>
        <v>0</v>
      </c>
      <c r="F35" s="848" t="str">
        <f>IF('Entries October 2026'!G35-'Entries October 2026'!G34&lt;1,"0",'Entries October 2026'!G35-'Entries October 2026'!G34)</f>
        <v>0</v>
      </c>
      <c r="G35" s="841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5" t="str">
        <v>0</v>
      </c>
      <c r="M35" s="833" t="str">
        <f t="shared" si="5"/>
        <v>0</v>
      </c>
      <c r="N35" s="833" t="str">
        <f t="shared" si="2"/>
        <v>0</v>
      </c>
      <c r="O35" s="834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43" t="str">
        <f>IF('Entries October 2026'!C36-'Entries October 2026'!C35&lt;1,"0",'Entries October 2026'!C36-'Entries October 2026'!C35)</f>
        <v>0</v>
      </c>
      <c r="E36" s="847" t="str">
        <f t="shared" si="0"/>
        <v>0</v>
      </c>
      <c r="F36" s="848" t="str">
        <f>IF('Entries October 2026'!G36-'Entries October 2026'!G35&lt;1,"0",'Entries October 2026'!G36-'Entries October 2026'!G35)</f>
        <v>0</v>
      </c>
      <c r="G36" s="841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5" t="str">
        <v>0</v>
      </c>
      <c r="M36" s="833" t="str">
        <f t="shared" si="5"/>
        <v>0</v>
      </c>
      <c r="N36" s="833" t="str">
        <f t="shared" si="2"/>
        <v>0</v>
      </c>
      <c r="O36" s="834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43" t="str">
        <f>IF('Entries October 2026'!C37-'Entries October 2026'!C36&lt;1,"0",'Entries October 2026'!C37-'Entries October 2026'!C36)</f>
        <v>0</v>
      </c>
      <c r="E37" s="847" t="str">
        <f t="shared" si="0"/>
        <v>0</v>
      </c>
      <c r="F37" s="848" t="str">
        <f>IF('Entries October 2026'!G37-'Entries October 2026'!G36&lt;1,"0",'Entries October 2026'!G37-'Entries October 2026'!G36)</f>
        <v>0</v>
      </c>
      <c r="G37" s="841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5" t="str">
        <v>0</v>
      </c>
      <c r="M37" s="833" t="str">
        <f t="shared" si="5"/>
        <v>0</v>
      </c>
      <c r="N37" s="833" t="str">
        <f t="shared" si="2"/>
        <v>0</v>
      </c>
      <c r="O37" s="834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60.5</v>
      </c>
      <c r="D38" s="844">
        <f t="shared" si="7"/>
        <v>9477.1000000000931</v>
      </c>
      <c r="E38" s="849"/>
      <c r="F38" s="850">
        <f t="shared" si="7"/>
        <v>0</v>
      </c>
      <c r="G38" s="846">
        <f t="shared" si="7"/>
        <v>0</v>
      </c>
      <c r="H38" s="388">
        <f t="shared" si="7"/>
        <v>0</v>
      </c>
      <c r="I38" s="801">
        <f>B38/C38</f>
        <v>15.867768595041323</v>
      </c>
      <c r="J38" s="355"/>
      <c r="K38" s="356">
        <f>SUM(K7:K37)</f>
        <v>960</v>
      </c>
      <c r="L38" s="832">
        <f>SUM(L7:L37)</f>
        <v>977.60279999999989</v>
      </c>
      <c r="M38" s="838">
        <f>IF(L38=0,"0",(K38/L38))</f>
        <v>0.98199391409271752</v>
      </c>
      <c r="N38" s="838">
        <f>IF(L38=0,"0",(D38/L38))</f>
        <v>9.6942234617168594</v>
      </c>
      <c r="O38" s="839"/>
    </row>
    <row r="39" spans="1:16" ht="16.5" thickBot="1" x14ac:dyDescent="0.3">
      <c r="A39" s="8" t="s">
        <v>259</v>
      </c>
      <c r="B39" s="389">
        <f>AVERAGE(B7:B37)</f>
        <v>960</v>
      </c>
      <c r="C39" s="806">
        <f>AVERAGE(C7:C37)</f>
        <v>12.1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96" priority="13" operator="greaterThan">
      <formula>24</formula>
    </cfRule>
  </conditionalFormatting>
  <conditionalFormatting sqref="M7:N37">
    <cfRule type="cellIs" dxfId="95" priority="9" operator="greaterThan">
      <formula>7.2</formula>
    </cfRule>
    <cfRule type="cellIs" dxfId="94" priority="11" operator="between">
      <formula>0</formula>
      <formula>7.2</formula>
    </cfRule>
  </conditionalFormatting>
  <conditionalFormatting sqref="M7:N38">
    <cfRule type="cellIs" dxfId="93" priority="1" operator="lessThan">
      <formula>7.2</formula>
    </cfRule>
    <cfRule type="cellIs" dxfId="92" priority="2" operator="greaterThan">
      <formula>7.2</formula>
    </cfRule>
    <cfRule type="cellIs" dxfId="91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4"/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955"/>
      <c r="O1" s="955"/>
      <c r="P1" s="955"/>
      <c r="Q1" s="955"/>
      <c r="R1" s="955"/>
      <c r="S1" s="955"/>
      <c r="T1" s="955"/>
      <c r="U1" s="955"/>
      <c r="V1" s="955"/>
      <c r="W1" s="955"/>
      <c r="X1" s="955"/>
      <c r="Y1" s="955"/>
      <c r="Z1" s="955"/>
      <c r="AA1" s="955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4" t="s">
        <v>7</v>
      </c>
      <c r="C4" s="966" t="s">
        <v>105</v>
      </c>
      <c r="D4" s="971" t="s">
        <v>106</v>
      </c>
      <c r="E4" s="966" t="s">
        <v>107</v>
      </c>
      <c r="F4" s="971" t="s">
        <v>239</v>
      </c>
      <c r="G4" s="971" t="s">
        <v>108</v>
      </c>
      <c r="H4" s="971" t="s">
        <v>161</v>
      </c>
      <c r="I4" s="966" t="s">
        <v>207</v>
      </c>
      <c r="J4" s="966" t="s">
        <v>109</v>
      </c>
      <c r="K4" s="966" t="s">
        <v>174</v>
      </c>
      <c r="L4" s="966" t="s">
        <v>173</v>
      </c>
      <c r="M4" s="966" t="s">
        <v>103</v>
      </c>
      <c r="N4" s="48"/>
      <c r="O4" s="48"/>
      <c r="P4" s="48"/>
      <c r="Q4" s="48"/>
      <c r="R4" s="971" t="s">
        <v>110</v>
      </c>
      <c r="S4" s="971" t="s">
        <v>240</v>
      </c>
      <c r="T4" s="48"/>
      <c r="U4" s="966" t="s">
        <v>153</v>
      </c>
      <c r="V4" s="48"/>
      <c r="W4" s="48"/>
      <c r="X4" s="966" t="s">
        <v>175</v>
      </c>
      <c r="Y4" s="966" t="s">
        <v>176</v>
      </c>
      <c r="Z4" s="964" t="s">
        <v>247</v>
      </c>
      <c r="AA4" s="968" t="s">
        <v>243</v>
      </c>
      <c r="AB4" s="962" t="s">
        <v>76</v>
      </c>
    </row>
    <row r="5" spans="1:31" s="300" customFormat="1" ht="47.25" customHeight="1" x14ac:dyDescent="0.2">
      <c r="B5" s="975"/>
      <c r="C5" s="973"/>
      <c r="D5" s="972"/>
      <c r="E5" s="967"/>
      <c r="F5" s="972"/>
      <c r="G5" s="972"/>
      <c r="H5" s="972"/>
      <c r="I5" s="967"/>
      <c r="J5" s="967"/>
      <c r="K5" s="967"/>
      <c r="L5" s="967"/>
      <c r="M5" s="967"/>
      <c r="N5" s="50" t="s">
        <v>111</v>
      </c>
      <c r="O5" s="50" t="s">
        <v>112</v>
      </c>
      <c r="P5" s="50" t="s">
        <v>242</v>
      </c>
      <c r="Q5" s="50" t="s">
        <v>113</v>
      </c>
      <c r="R5" s="972"/>
      <c r="S5" s="972"/>
      <c r="T5" s="49" t="s">
        <v>99</v>
      </c>
      <c r="U5" s="970"/>
      <c r="V5" s="80" t="s">
        <v>156</v>
      </c>
      <c r="W5" s="80" t="s">
        <v>157</v>
      </c>
      <c r="X5" s="967"/>
      <c r="Y5" s="967"/>
      <c r="Z5" s="965"/>
      <c r="AA5" s="969"/>
      <c r="AB5" s="963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 t="str">
        <f>IF('Entries October 2026'!O12-'Entries October 2026'!O11&lt;1,"0",'Entries October 2026'!O12-'Entries October 2026'!O11)</f>
        <v>0</v>
      </c>
      <c r="E12" s="693" t="str">
        <f>IF('Entries October 2026'!P12-'Entries October 2026'!P11&lt;1,"0",'Entries October 2026'!P12-'Entries October 2026'!P11)</f>
        <v>0</v>
      </c>
      <c r="F12" s="693" t="str">
        <f>IF('Entries October 2026'!V12-'Entries October 2026'!V11&lt;1,"0",'Entries October 2026'!V12-'Entries October 2026'!V11)</f>
        <v>0</v>
      </c>
      <c r="G12" s="693">
        <f t="shared" si="0"/>
        <v>0</v>
      </c>
      <c r="H12" s="693">
        <f>IF('Entries October 2026'!Q12-'Entries October 2026'!Q11&lt;1,0,'Entries October 2026'!Q12-'Entries October 2026'!Q11)</f>
        <v>0</v>
      </c>
      <c r="I12" s="693">
        <f>IF('Entries October 2026'!AG12-'Entries October 2026'!AG11&lt;1,0,'Entries October 2026'!AG12-'Entries October 2026'!AG11)</f>
        <v>0</v>
      </c>
      <c r="J12" s="693" t="str">
        <f>IF('Entries October 2026'!S12-'Entries October 2026'!S11&lt;1,"0",'Entries October 2026'!S12-'Entries October 2026'!S11)</f>
        <v>0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 t="str">
        <f>IF('Entries October 2026'!U12-'Entries October 2026'!U11&lt;1,"0",'Entries October 2026'!U12-'Entries October 2026'!U11)</f>
        <v>0</v>
      </c>
      <c r="N12" s="693" t="str">
        <f>IF('Entries October 2026'!X12-'Entries October 2026'!X11&lt;1,"0",'Entries October 2026'!X12-'Entries October 2026'!X11)</f>
        <v>0</v>
      </c>
      <c r="O12" s="693" t="str">
        <f>IF('Entries October 2026'!Y12-'Entries October 2026'!Y11&lt;1,"0",'Entries October 2026'!Y12-'Entries October 2026'!Y11)</f>
        <v>0</v>
      </c>
      <c r="P12" s="693" t="str">
        <f>IF('Entries October 2026'!AC12-'Entries October 2026'!AC11&lt;1,"0",'Entries October 2026'!AC12-'Entries October 2026'!AC11)</f>
        <v>0</v>
      </c>
      <c r="Q12" s="693" t="str">
        <f>IF('Entries October 2026'!Z12-'Entries October 2026'!Z11&lt;1,"0",'Entries October 2026'!Z12-'Entries October 2026'!Z11)</f>
        <v>0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0</v>
      </c>
      <c r="T12" s="692">
        <f t="shared" si="1"/>
        <v>0</v>
      </c>
      <c r="U12" s="693" t="str">
        <f>IF('Entries October 2026'!AC12-'Entries October 2026'!AC11&lt;1,"0",'Entries October 2026'!AC12-'Entries October 2026'!AC11)</f>
        <v>0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0</v>
      </c>
      <c r="AA12" s="330" t="str">
        <v>0</v>
      </c>
      <c r="AB12" s="331" t="str">
        <f t="shared" si="3"/>
        <v>0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 t="str">
        <f>IF('Entries October 2026'!O13-'Entries October 2026'!O12&lt;1,"0",'Entries October 2026'!O13-'Entries October 2026'!O12)</f>
        <v>0</v>
      </c>
      <c r="E13" s="693" t="str">
        <f>IF('Entries October 2026'!P13-'Entries October 2026'!P12&lt;1,"0",'Entries October 2026'!P13-'Entries October 2026'!P12)</f>
        <v>0</v>
      </c>
      <c r="F13" s="693" t="str">
        <f>IF('Entries October 2026'!V13-'Entries October 2026'!V12&lt;1,"0",'Entries October 2026'!V13-'Entries October 2026'!V12)</f>
        <v>0</v>
      </c>
      <c r="G13" s="693">
        <f t="shared" si="0"/>
        <v>0</v>
      </c>
      <c r="H13" s="693">
        <f>IF('Entries October 2026'!Q13-'Entries October 2026'!Q12&lt;1,0,'Entries October 2026'!Q13-'Entries October 2026'!Q12)</f>
        <v>0</v>
      </c>
      <c r="I13" s="693">
        <f>IF('Entries October 2026'!AG13-'Entries October 2026'!AG12&lt;1,0,'Entries October 2026'!AG13-'Entries October 2026'!AG12)</f>
        <v>0</v>
      </c>
      <c r="J13" s="693" t="str">
        <f>IF('Entries October 2026'!S13-'Entries October 2026'!S12&lt;1,"0",'Entries October 2026'!S13-'Entries October 2026'!S12)</f>
        <v>0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 t="str">
        <f>IF('Entries October 2026'!U13-'Entries October 2026'!U12&lt;1,"0",'Entries October 2026'!U13-'Entries October 2026'!U12)</f>
        <v>0</v>
      </c>
      <c r="N13" s="693" t="str">
        <f>IF('Entries October 2026'!X13-'Entries October 2026'!X12&lt;1,"0",'Entries October 2026'!X13-'Entries October 2026'!X12)</f>
        <v>0</v>
      </c>
      <c r="O13" s="693" t="str">
        <f>IF('Entries October 2026'!Y13-'Entries October 2026'!Y12&lt;1,"0",'Entries October 2026'!Y13-'Entries October 2026'!Y12)</f>
        <v>0</v>
      </c>
      <c r="P13" s="693" t="str">
        <f>IF('Entries October 2026'!AC13-'Entries October 2026'!AC12&lt;1,"0",'Entries October 2026'!AC13-'Entries October 2026'!AC12)</f>
        <v>0</v>
      </c>
      <c r="Q13" s="693" t="str">
        <f>IF('Entries October 2026'!Z13-'Entries October 2026'!Z12&lt;1,"0",'Entries October 2026'!Z13-'Entries October 2026'!Z12)</f>
        <v>0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0</v>
      </c>
      <c r="T13" s="692">
        <f t="shared" si="1"/>
        <v>0</v>
      </c>
      <c r="U13" s="693" t="str">
        <f>IF('Entries October 2026'!AC13-'Entries October 2026'!AC12&lt;1,"0",'Entries October 2026'!AC13-'Entries October 2026'!AC12)</f>
        <v>0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0</v>
      </c>
      <c r="AA13" s="330" t="str">
        <v>0</v>
      </c>
      <c r="AB13" s="331" t="str">
        <f t="shared" si="3"/>
        <v>0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 t="str">
        <f>IF('Entries October 2026'!O14-'Entries October 2026'!O13&lt;1,"0",'Entries October 2026'!O14-'Entries October 2026'!O13)</f>
        <v>0</v>
      </c>
      <c r="E14" s="693" t="str">
        <f>IF('Entries October 2026'!P14-'Entries October 2026'!P13&lt;1,"0",'Entries October 2026'!P14-'Entries October 2026'!P13)</f>
        <v>0</v>
      </c>
      <c r="F14" s="693" t="str">
        <f>IF('Entries October 2026'!V14-'Entries October 2026'!V13&lt;1,"0",'Entries October 2026'!V14-'Entries October 2026'!V13)</f>
        <v>0</v>
      </c>
      <c r="G14" s="693">
        <f t="shared" si="0"/>
        <v>0</v>
      </c>
      <c r="H14" s="693">
        <f>IF('Entries October 2026'!Q14-'Entries October 2026'!Q13&lt;1,0,'Entries October 2026'!Q14-'Entries October 2026'!Q13)</f>
        <v>0</v>
      </c>
      <c r="I14" s="693">
        <f>IF('Entries October 2026'!AG14-'Entries October 2026'!AG13&lt;1,0,'Entries October 2026'!AG14-'Entries October 2026'!AG13)</f>
        <v>0</v>
      </c>
      <c r="J14" s="693" t="str">
        <f>IF('Entries October 2026'!S14-'Entries October 2026'!S13&lt;1,"0",'Entries October 2026'!S14-'Entries October 2026'!S13)</f>
        <v>0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 t="str">
        <f>IF('Entries October 2026'!U14-'Entries October 2026'!U13&lt;1,"0",'Entries October 2026'!U14-'Entries October 2026'!U13)</f>
        <v>0</v>
      </c>
      <c r="N14" s="693" t="str">
        <f>IF('Entries October 2026'!X14-'Entries October 2026'!X13&lt;1,"0",'Entries October 2026'!X14-'Entries October 2026'!X13)</f>
        <v>0</v>
      </c>
      <c r="O14" s="693" t="str">
        <f>IF('Entries October 2026'!Y14-'Entries October 2026'!Y13&lt;1,"0",'Entries October 2026'!Y14-'Entries October 2026'!Y13)</f>
        <v>0</v>
      </c>
      <c r="P14" s="693" t="str">
        <f>IF('Entries October 2026'!AC14-'Entries October 2026'!AC13&lt;1,"0",'Entries October 2026'!AC14-'Entries October 2026'!AC13)</f>
        <v>0</v>
      </c>
      <c r="Q14" s="693" t="str">
        <f>IF('Entries October 2026'!Z14-'Entries October 2026'!Z13&lt;1,"0",'Entries October 2026'!Z14-'Entries October 2026'!Z13)</f>
        <v>0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0</v>
      </c>
      <c r="T14" s="692">
        <f t="shared" si="1"/>
        <v>0</v>
      </c>
      <c r="U14" s="693" t="str">
        <f>IF('Entries October 2026'!AC14-'Entries October 2026'!AC13&lt;1,"0",'Entries October 2026'!AC14-'Entries October 2026'!AC13)</f>
        <v>0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0</v>
      </c>
      <c r="AA14" s="330" t="str">
        <v>0</v>
      </c>
      <c r="AB14" s="331" t="str">
        <f t="shared" si="3"/>
        <v>0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 t="str">
        <f>IF('Entries October 2026'!O15-'Entries October 2026'!O14&lt;1,"0",'Entries October 2026'!O15-'Entries October 2026'!O14)</f>
        <v>0</v>
      </c>
      <c r="E15" s="693" t="str">
        <f>IF('Entries October 2026'!P15-'Entries October 2026'!P14&lt;1,"0",'Entries October 2026'!P15-'Entries October 2026'!P14)</f>
        <v>0</v>
      </c>
      <c r="F15" s="693" t="str">
        <f>IF('Entries October 2026'!V15-'Entries October 2026'!V14&lt;1,"0",'Entries October 2026'!V15-'Entries October 2026'!V14)</f>
        <v>0</v>
      </c>
      <c r="G15" s="693">
        <f t="shared" si="0"/>
        <v>0</v>
      </c>
      <c r="H15" s="693">
        <f>IF('Entries October 2026'!Q15-'Entries October 2026'!Q14&lt;1,0,'Entries October 2026'!Q15-'Entries October 2026'!Q14)</f>
        <v>0</v>
      </c>
      <c r="I15" s="693">
        <f>IF('Entries October 2026'!AG15-'Entries October 2026'!AG14&lt;1,0,'Entries October 2026'!AG15-'Entries October 2026'!AG14)</f>
        <v>0</v>
      </c>
      <c r="J15" s="693" t="str">
        <f>IF('Entries October 2026'!S15-'Entries October 2026'!S14&lt;1,"0",'Entries October 2026'!S15-'Entries October 2026'!S14)</f>
        <v>0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 t="str">
        <f>IF('Entries October 2026'!U15-'Entries October 2026'!U14&lt;1,"0",'Entries October 2026'!U15-'Entries October 2026'!U14)</f>
        <v>0</v>
      </c>
      <c r="N15" s="693" t="str">
        <f>IF('Entries October 2026'!X15-'Entries October 2026'!X14&lt;1,"0",'Entries October 2026'!X15-'Entries October 2026'!X14)</f>
        <v>0</v>
      </c>
      <c r="O15" s="693" t="str">
        <f>IF('Entries October 2026'!Y15-'Entries October 2026'!Y14&lt;1,"0",'Entries October 2026'!Y15-'Entries October 2026'!Y14)</f>
        <v>0</v>
      </c>
      <c r="P15" s="693" t="str">
        <f>IF('Entries October 2026'!AC15-'Entries October 2026'!AC14&lt;1,"0",'Entries October 2026'!AC15-'Entries October 2026'!AC14)</f>
        <v>0</v>
      </c>
      <c r="Q15" s="693" t="str">
        <f>IF('Entries October 2026'!Z15-'Entries October 2026'!Z14&lt;1,"0",'Entries October 2026'!Z15-'Entries October 2026'!Z14)</f>
        <v>0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0</v>
      </c>
      <c r="T15" s="692">
        <f t="shared" si="1"/>
        <v>0</v>
      </c>
      <c r="U15" s="693" t="str">
        <f>IF('Entries October 2026'!AC15-'Entries October 2026'!AC14&lt;1,"0",'Entries October 2026'!AC15-'Entries October 2026'!AC14)</f>
        <v>0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0</v>
      </c>
      <c r="AA15" s="330" t="str">
        <v>0</v>
      </c>
      <c r="AB15" s="331" t="str">
        <f t="shared" si="3"/>
        <v>0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 t="str">
        <f>IF('Entries October 2026'!O16-'Entries October 2026'!O15&lt;1,"0",'Entries October 2026'!O16-'Entries October 2026'!O15)</f>
        <v>0</v>
      </c>
      <c r="E16" s="693" t="str">
        <f>IF('Entries October 2026'!P16-'Entries October 2026'!P15&lt;1,"0",'Entries October 2026'!P16-'Entries October 2026'!P15)</f>
        <v>0</v>
      </c>
      <c r="F16" s="693" t="str">
        <f>IF('Entries October 2026'!V16-'Entries October 2026'!V15&lt;1,"0",'Entries October 2026'!V16-'Entries October 2026'!V15)</f>
        <v>0</v>
      </c>
      <c r="G16" s="693">
        <f t="shared" si="0"/>
        <v>0</v>
      </c>
      <c r="H16" s="693">
        <f>IF('Entries October 2026'!Q16-'Entries October 2026'!Q15&lt;1,0,'Entries October 2026'!Q16-'Entries October 2026'!Q15)</f>
        <v>0</v>
      </c>
      <c r="I16" s="693">
        <f>IF('Entries October 2026'!AG16-'Entries October 2026'!AG15&lt;1,0,'Entries October 2026'!AG16-'Entries October 2026'!AG15)</f>
        <v>0</v>
      </c>
      <c r="J16" s="693" t="str">
        <f>IF('Entries October 2026'!S16-'Entries October 2026'!S15&lt;1,"0",'Entries October 2026'!S16-'Entries October 2026'!S15)</f>
        <v>0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 t="str">
        <f>IF('Entries October 2026'!X16-'Entries October 2026'!X15&lt;1,"0",'Entries October 2026'!X16-'Entries October 2026'!X15)</f>
        <v>0</v>
      </c>
      <c r="O16" s="693" t="str">
        <f>IF('Entries October 2026'!Y16-'Entries October 2026'!Y15&lt;1,"0",'Entries October 2026'!Y16-'Entries October 2026'!Y15)</f>
        <v>0</v>
      </c>
      <c r="P16" s="693" t="str">
        <f>IF('Entries October 2026'!AC16-'Entries October 2026'!AC15&lt;1,"0",'Entries October 2026'!AC16-'Entries October 2026'!AC15)</f>
        <v>0</v>
      </c>
      <c r="Q16" s="693" t="str">
        <f>IF('Entries October 2026'!Z16-'Entries October 2026'!Z15&lt;1,"0",'Entries October 2026'!Z16-'Entries October 2026'!Z15)</f>
        <v>0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0</v>
      </c>
      <c r="T16" s="692">
        <f t="shared" si="1"/>
        <v>0</v>
      </c>
      <c r="U16" s="693" t="str">
        <f>IF('Entries October 2026'!AC16-'Entries October 2026'!AC15&lt;1,"0",'Entries October 2026'!AC16-'Entries October 2026'!AC15)</f>
        <v>0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0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 t="str">
        <f>IF('Entries October 2026'!P17-'Entries October 2026'!P16&lt;1,"0",'Entries October 2026'!P17-'Entries October 2026'!P16)</f>
        <v>0</v>
      </c>
      <c r="F17" s="693" t="str">
        <f>IF('Entries October 2026'!V17-'Entries October 2026'!V16&lt;1,"0",'Entries October 2026'!V17-'Entries October 2026'!V16)</f>
        <v>0</v>
      </c>
      <c r="G17" s="693">
        <f t="shared" si="0"/>
        <v>0</v>
      </c>
      <c r="H17" s="693">
        <f>IF('Entries October 2026'!Q17-'Entries October 2026'!Q16&lt;1,0,'Entries October 2026'!Q17-'Entries October 2026'!Q16)</f>
        <v>0</v>
      </c>
      <c r="I17" s="693">
        <f>IF('Entries October 2026'!AG17-'Entries October 2026'!AG16&lt;1,0,'Entries October 2026'!AG17-'Entries October 2026'!AG16)</f>
        <v>0</v>
      </c>
      <c r="J17" s="693" t="str">
        <f>IF('Entries October 2026'!S17-'Entries October 2026'!S16&lt;1,"0",'Entries October 2026'!S17-'Entries October 2026'!S16)</f>
        <v>0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 t="str">
        <f>IF('Entries October 2026'!Z17-'Entries October 2026'!Z16&lt;1,"0",'Entries October 2026'!Z17-'Entries October 2026'!Z16)</f>
        <v>0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0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 t="str">
        <f>IF('Entries October 2026'!O18-'Entries October 2026'!O17&lt;1,"0",'Entries October 2026'!O18-'Entries October 2026'!O17)</f>
        <v>0</v>
      </c>
      <c r="E18" s="693" t="str">
        <f>IF('Entries October 2026'!P18-'Entries October 2026'!P17&lt;1,"0",'Entries October 2026'!P18-'Entries October 2026'!P17)</f>
        <v>0</v>
      </c>
      <c r="F18" s="693" t="str">
        <f>IF('Entries October 2026'!V18-'Entries October 2026'!V17&lt;1,"0",'Entries October 2026'!V18-'Entries October 2026'!V17)</f>
        <v>0</v>
      </c>
      <c r="G18" s="693">
        <f t="shared" si="0"/>
        <v>0</v>
      </c>
      <c r="H18" s="693">
        <f>IF('Entries October 2026'!Q18-'Entries October 2026'!Q17&lt;1,0,'Entries October 2026'!Q18-'Entries October 2026'!Q17)</f>
        <v>0</v>
      </c>
      <c r="I18" s="693">
        <f>IF('Entries October 2026'!AG18-'Entries October 2026'!AG17&lt;1,0,'Entries October 2026'!AG18-'Entries October 2026'!AG17)</f>
        <v>0</v>
      </c>
      <c r="J18" s="693" t="str">
        <f>IF('Entries October 2026'!S18-'Entries October 2026'!S17&lt;1,"0",'Entries October 2026'!S18-'Entries October 2026'!S17)</f>
        <v>0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 t="str">
        <f>IF('Entries October 2026'!U18-'Entries October 2026'!U17&lt;1,"0",'Entries October 2026'!U18-'Entries October 2026'!U17)</f>
        <v>0</v>
      </c>
      <c r="N18" s="693" t="str">
        <f>IF('Entries October 2026'!X18-'Entries October 2026'!X17&lt;1,"0",'Entries October 2026'!X18-'Entries October 2026'!X17)</f>
        <v>0</v>
      </c>
      <c r="O18" s="693" t="str">
        <f>IF('Entries October 2026'!Y18-'Entries October 2026'!Y17&lt;1,"0",'Entries October 2026'!Y18-'Entries October 2026'!Y17)</f>
        <v>0</v>
      </c>
      <c r="P18" s="693" t="str">
        <f>IF('Entries October 2026'!AC18-'Entries October 2026'!AC17&lt;1,"0",'Entries October 2026'!AC18-'Entries October 2026'!AC17)</f>
        <v>0</v>
      </c>
      <c r="Q18" s="693" t="str">
        <f>IF('Entries October 2026'!Z18-'Entries October 2026'!Z17&lt;1,"0",'Entries October 2026'!Z18-'Entries October 2026'!Z17)</f>
        <v>0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0</v>
      </c>
      <c r="T18" s="692">
        <f t="shared" si="1"/>
        <v>0</v>
      </c>
      <c r="U18" s="693" t="str">
        <f>IF('Entries October 2026'!AC18-'Entries October 2026'!AC17&lt;1,"0",'Entries October 2026'!AC18-'Entries October 2026'!AC17)</f>
        <v>0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0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324</v>
      </c>
      <c r="E38" s="303">
        <f>SUM(E7:E37)</f>
        <v>556</v>
      </c>
      <c r="F38" s="303">
        <f>SUM(F7:F37)</f>
        <v>573</v>
      </c>
      <c r="G38" s="304">
        <f>SUM(G7:G37)</f>
        <v>307</v>
      </c>
      <c r="H38" s="303">
        <f t="shared" si="5"/>
        <v>717</v>
      </c>
      <c r="I38" s="303"/>
      <c r="J38" s="303">
        <f t="shared" si="5"/>
        <v>465</v>
      </c>
      <c r="K38" s="303"/>
      <c r="L38" s="303">
        <f t="shared" si="5"/>
        <v>0</v>
      </c>
      <c r="M38" s="303">
        <f>SUM(M7:M37)</f>
        <v>6</v>
      </c>
      <c r="N38" s="303">
        <f t="shared" si="5"/>
        <v>141</v>
      </c>
      <c r="O38" s="303">
        <f t="shared" si="5"/>
        <v>292</v>
      </c>
      <c r="P38" s="303">
        <f>SUM(P7:P37)</f>
        <v>48</v>
      </c>
      <c r="Q38" s="303">
        <f>SUM(Q7:Q37)</f>
        <v>60</v>
      </c>
      <c r="R38" s="303">
        <f>SUM(R7:R34)</f>
        <v>0</v>
      </c>
      <c r="S38" s="304">
        <f>SUM(S7:S37)</f>
        <v>3070</v>
      </c>
      <c r="T38" s="304">
        <f>SUM(T7:T37)</f>
        <v>439</v>
      </c>
      <c r="U38" s="303">
        <f>SUM(U7:U37)</f>
        <v>48</v>
      </c>
      <c r="V38" s="303">
        <f>SUM(V7:V37)</f>
        <v>0</v>
      </c>
      <c r="W38" s="303"/>
      <c r="X38" s="303"/>
      <c r="Y38" s="303"/>
      <c r="Z38" s="332">
        <f>SUM(Z7:Z37)</f>
        <v>880</v>
      </c>
      <c r="AA38" s="332">
        <f>SUM(AA7:AA37)</f>
        <v>977.60279999999989</v>
      </c>
      <c r="AB38" s="331">
        <f>IF(AA38=0,"0",(Z38*10/AA38))</f>
        <v>9.0016108791832448</v>
      </c>
      <c r="AC38" s="321">
        <v>10.199999999999999</v>
      </c>
      <c r="AD38" s="340">
        <f>AB38/AC38*100</f>
        <v>88.251087050816139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71280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1126.9368000000002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1405.9068000000002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937.27120000000014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2343.1780000000003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90" priority="1" operator="lessThan">
      <formula>10.2</formula>
    </cfRule>
    <cfRule type="cellIs" dxfId="89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sqref="A1:G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6" t="s">
        <v>303</v>
      </c>
      <c r="B1" s="977"/>
      <c r="C1" s="977"/>
      <c r="D1" s="978"/>
      <c r="E1" s="977"/>
      <c r="F1" s="977"/>
      <c r="G1" s="979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0" t="s">
        <v>7</v>
      </c>
      <c r="B4" s="39" t="s">
        <v>46</v>
      </c>
      <c r="C4" s="360" t="s">
        <v>47</v>
      </c>
      <c r="D4" s="361" t="s">
        <v>285</v>
      </c>
      <c r="E4" s="980" t="s">
        <v>245</v>
      </c>
      <c r="F4" s="983" t="s">
        <v>243</v>
      </c>
      <c r="G4" s="986" t="s">
        <v>253</v>
      </c>
      <c r="H4" s="989"/>
    </row>
    <row r="5" spans="1:10" ht="15.75" x14ac:dyDescent="0.25">
      <c r="A5" s="991"/>
      <c r="B5" s="34" t="s">
        <v>48</v>
      </c>
      <c r="C5" s="361" t="s">
        <v>49</v>
      </c>
      <c r="D5" s="361" t="s">
        <v>49</v>
      </c>
      <c r="E5" s="981"/>
      <c r="F5" s="984"/>
      <c r="G5" s="987"/>
      <c r="H5" s="989"/>
    </row>
    <row r="6" spans="1:10" ht="16.5" thickBot="1" x14ac:dyDescent="0.3">
      <c r="A6" s="992"/>
      <c r="B6" s="40"/>
      <c r="C6" s="362"/>
      <c r="D6" s="361"/>
      <c r="E6" s="982"/>
      <c r="F6" s="985"/>
      <c r="G6" s="988"/>
      <c r="H6" s="989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5">
        <f>'Utility Analysis October 2026'!D14</f>
        <v>4774</v>
      </c>
      <c r="C11" s="766">
        <f>'Utility Analysis October 2026'!G14</f>
        <v>0</v>
      </c>
      <c r="D11" s="767">
        <f>'Utility Analysis October 2026'!E14</f>
        <v>1421</v>
      </c>
      <c r="E11" s="768">
        <f t="shared" si="0"/>
        <v>6195</v>
      </c>
      <c r="F11" s="769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5">
        <f>'Utility Analysis October 2026'!D15</f>
        <v>0</v>
      </c>
      <c r="C12" s="766" t="str">
        <f>'Utility Analysis October 2026'!G15</f>
        <v>0</v>
      </c>
      <c r="D12" s="767">
        <f>'Utility Analysis October 2026'!E15</f>
        <v>0</v>
      </c>
      <c r="E12" s="768">
        <f t="shared" si="0"/>
        <v>0</v>
      </c>
      <c r="F12" s="769" t="str">
        <f>'PROD.FIG. '!H10</f>
        <v>0</v>
      </c>
      <c r="G12" s="456" t="str">
        <f t="shared" si="1"/>
        <v>0</v>
      </c>
      <c r="J12" s="30"/>
    </row>
    <row r="13" spans="1:10" x14ac:dyDescent="0.2">
      <c r="A13" s="686">
        <v>7</v>
      </c>
      <c r="B13" s="742">
        <f>'Utility Analysis October 2026'!D16</f>
        <v>0</v>
      </c>
      <c r="C13" s="743">
        <f>'Utility Analysis October 2026'!G16</f>
        <v>0</v>
      </c>
      <c r="D13" s="744">
        <f>'Utility Analysis October 2026'!E16</f>
        <v>0</v>
      </c>
      <c r="E13" s="745">
        <f t="shared" si="0"/>
        <v>0</v>
      </c>
      <c r="F13" s="746" t="str">
        <f>'PROD.FIG. '!H11</f>
        <v>0</v>
      </c>
      <c r="G13" s="336" t="str">
        <f t="shared" si="1"/>
        <v>0</v>
      </c>
      <c r="J13" s="30"/>
    </row>
    <row r="14" spans="1:10" x14ac:dyDescent="0.2">
      <c r="A14" s="686">
        <v>8</v>
      </c>
      <c r="B14" s="742">
        <f>'Utility Analysis October 2026'!D17</f>
        <v>0</v>
      </c>
      <c r="C14" s="743">
        <f>'Utility Analysis October 2026'!G17</f>
        <v>0</v>
      </c>
      <c r="D14" s="744">
        <f>'Utility Analysis October 2026'!E17</f>
        <v>0</v>
      </c>
      <c r="E14" s="745">
        <f t="shared" si="0"/>
        <v>0</v>
      </c>
      <c r="F14" s="746" t="str">
        <f>'PROD.FIG. '!H12</f>
        <v>0</v>
      </c>
      <c r="G14" s="336" t="str">
        <f t="shared" si="1"/>
        <v>0</v>
      </c>
      <c r="J14" s="30"/>
    </row>
    <row r="15" spans="1:10" x14ac:dyDescent="0.2">
      <c r="A15" s="686">
        <v>9</v>
      </c>
      <c r="B15" s="742">
        <f>'Utility Analysis October 2026'!D18</f>
        <v>0</v>
      </c>
      <c r="C15" s="743">
        <f>'Utility Analysis October 2026'!G18</f>
        <v>0</v>
      </c>
      <c r="D15" s="744">
        <f>'Utility Analysis October 2026'!E18</f>
        <v>0</v>
      </c>
      <c r="E15" s="745">
        <f t="shared" si="0"/>
        <v>0</v>
      </c>
      <c r="F15" s="746" t="str">
        <f>'PROD.FIG. '!H13</f>
        <v>0</v>
      </c>
      <c r="G15" s="336" t="str">
        <f t="shared" si="1"/>
        <v>0</v>
      </c>
      <c r="J15" s="30"/>
    </row>
    <row r="16" spans="1:10" x14ac:dyDescent="0.2">
      <c r="A16" s="686">
        <v>10</v>
      </c>
      <c r="B16" s="742">
        <f>'Utility Analysis October 2026'!D19</f>
        <v>0</v>
      </c>
      <c r="C16" s="743">
        <f>'Utility Analysis October 2026'!G19</f>
        <v>0</v>
      </c>
      <c r="D16" s="744">
        <f>'Utility Analysis October 2026'!E19</f>
        <v>0</v>
      </c>
      <c r="E16" s="745">
        <f t="shared" si="0"/>
        <v>0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0</v>
      </c>
      <c r="C17" s="743">
        <f>'Utility Analysis October 2026'!G20</f>
        <v>0</v>
      </c>
      <c r="D17" s="744">
        <f>'Utility Analysis October 2026'!E20</f>
        <v>0</v>
      </c>
      <c r="E17" s="745">
        <f t="shared" si="0"/>
        <v>0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5">
        <f>'Utility Analysis October 2026'!D21</f>
        <v>0</v>
      </c>
      <c r="C18" s="766">
        <f>'Utility Analysis October 2026'!G21</f>
        <v>0</v>
      </c>
      <c r="D18" s="767">
        <f>'Utility Analysis October 2026'!E21</f>
        <v>0</v>
      </c>
      <c r="E18" s="768">
        <f t="shared" si="0"/>
        <v>0</v>
      </c>
      <c r="F18" s="769" t="str">
        <f>'PROD.FIG. '!H16</f>
        <v>0</v>
      </c>
      <c r="G18" s="456" t="str">
        <f t="shared" si="1"/>
        <v>0</v>
      </c>
      <c r="J18" s="30"/>
    </row>
    <row r="19" spans="1:10" x14ac:dyDescent="0.2">
      <c r="A19" s="756">
        <v>13</v>
      </c>
      <c r="B19" s="765">
        <f>'Utility Analysis October 2026'!D22</f>
        <v>0</v>
      </c>
      <c r="C19" s="766">
        <f>'Utility Analysis October 2026'!G22</f>
        <v>0</v>
      </c>
      <c r="D19" s="767">
        <f>'Utility Analysis October 2026'!E22</f>
        <v>0</v>
      </c>
      <c r="E19" s="768">
        <f t="shared" si="0"/>
        <v>0</v>
      </c>
      <c r="F19" s="769" t="str">
        <f>'PROD.FIG. '!H17</f>
        <v>0</v>
      </c>
      <c r="G19" s="456" t="str">
        <f t="shared" si="1"/>
        <v>0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5">
        <f>'Utility Analysis October 2026'!D28</f>
        <v>0</v>
      </c>
      <c r="C25" s="766">
        <f>'Utility Analysis October 2026'!G28</f>
        <v>0</v>
      </c>
      <c r="D25" s="767">
        <f>'Utility Analysis October 2026'!E28</f>
        <v>0</v>
      </c>
      <c r="E25" s="768">
        <f t="shared" si="0"/>
        <v>0</v>
      </c>
      <c r="F25" s="769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5">
        <f>'Utility Analysis October 2026'!D29</f>
        <v>0</v>
      </c>
      <c r="C26" s="766">
        <f>'Utility Analysis October 2026'!G29</f>
        <v>0</v>
      </c>
      <c r="D26" s="767">
        <f>'Utility Analysis October 2026'!E29</f>
        <v>0</v>
      </c>
      <c r="E26" s="768">
        <f t="shared" si="0"/>
        <v>0</v>
      </c>
      <c r="F26" s="769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5">
        <f>'Utility Analysis October 2026'!D35</f>
        <v>0</v>
      </c>
      <c r="C32" s="766">
        <f>'Utility Analysis October 2026'!G35</f>
        <v>0</v>
      </c>
      <c r="D32" s="767">
        <f>'Utility Analysis October 2026'!E35</f>
        <v>0</v>
      </c>
      <c r="E32" s="768">
        <f t="shared" si="0"/>
        <v>0</v>
      </c>
      <c r="F32" s="769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5">
        <f>'Utility Analysis October 2026'!D36</f>
        <v>0</v>
      </c>
      <c r="C33" s="766">
        <f>'Utility Analysis October 2026'!G36</f>
        <v>0</v>
      </c>
      <c r="D33" s="767">
        <f>'Utility Analysis October 2026'!E36</f>
        <v>0</v>
      </c>
      <c r="E33" s="768">
        <f t="shared" si="0"/>
        <v>0</v>
      </c>
      <c r="F33" s="769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27066</v>
      </c>
      <c r="C38" s="308">
        <f>SUM(C7:C37)</f>
        <v>0</v>
      </c>
      <c r="D38" s="308">
        <f>SUM(D7:D37)</f>
        <v>5545.7000000000007</v>
      </c>
      <c r="E38" s="337">
        <f>SUM(E7:E37)</f>
        <v>32611.699999999997</v>
      </c>
      <c r="F38" s="358">
        <f>SUM(F7:F37)</f>
        <v>977.60279999999989</v>
      </c>
      <c r="G38" s="338">
        <f>IF(F38=0,"0",(E38/F38))</f>
        <v>33.358844716893202</v>
      </c>
      <c r="H38" s="335">
        <v>22</v>
      </c>
      <c r="I38" s="340">
        <f>G38/H38*100</f>
        <v>151.63111234951455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88" priority="1" operator="lessThan">
      <formula>22</formula>
    </cfRule>
  </conditionalFormatting>
  <conditionalFormatting sqref="G7:G38">
    <cfRule type="cellIs" dxfId="87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3" t="s">
        <v>302</v>
      </c>
      <c r="B1" s="955"/>
      <c r="C1" s="955"/>
      <c r="D1" s="955"/>
      <c r="E1" s="955"/>
      <c r="F1" s="955"/>
      <c r="G1" s="955"/>
      <c r="H1" s="955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70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9" t="s">
        <v>91</v>
      </c>
      <c r="B9" s="756">
        <v>5</v>
      </c>
      <c r="C9" s="810"/>
      <c r="D9" s="811"/>
      <c r="E9" s="756"/>
      <c r="F9" s="756"/>
      <c r="G9" s="756"/>
      <c r="H9" s="812">
        <v>326.50200000000001</v>
      </c>
      <c r="I9" s="298"/>
      <c r="J9" s="299"/>
    </row>
    <row r="10" spans="1:10" x14ac:dyDescent="0.2">
      <c r="A10" s="809" t="s">
        <v>92</v>
      </c>
      <c r="B10" s="756">
        <v>6</v>
      </c>
      <c r="C10" s="810"/>
      <c r="D10" s="811"/>
      <c r="E10" s="756"/>
      <c r="F10" s="756"/>
      <c r="G10" s="756"/>
      <c r="H10" s="812" t="str">
        <v>0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 t="str">
        <v>0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 t="str">
        <v>0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 t="str">
        <v>0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9" t="s">
        <v>91</v>
      </c>
      <c r="B16" s="756">
        <v>12</v>
      </c>
      <c r="C16" s="810"/>
      <c r="D16" s="811"/>
      <c r="E16" s="813"/>
      <c r="F16" s="756"/>
      <c r="G16" s="756"/>
      <c r="H16" s="812" t="str">
        <v>0</v>
      </c>
      <c r="I16" s="298"/>
      <c r="J16" s="299"/>
    </row>
    <row r="17" spans="1:13" x14ac:dyDescent="0.2">
      <c r="A17" s="809" t="s">
        <v>92</v>
      </c>
      <c r="B17" s="756">
        <v>13</v>
      </c>
      <c r="C17" s="810"/>
      <c r="D17" s="811"/>
      <c r="E17" s="756"/>
      <c r="F17" s="756"/>
      <c r="G17" s="756"/>
      <c r="H17" s="812" t="str">
        <v>0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9" t="s">
        <v>91</v>
      </c>
      <c r="B23" s="756">
        <v>19</v>
      </c>
      <c r="C23" s="810"/>
      <c r="D23" s="811"/>
      <c r="E23" s="756"/>
      <c r="F23" s="756"/>
      <c r="G23" s="756"/>
      <c r="H23" s="812" t="str">
        <v>0</v>
      </c>
      <c r="I23" s="298"/>
      <c r="J23" s="299"/>
    </row>
    <row r="24" spans="1:13" x14ac:dyDescent="0.2">
      <c r="A24" s="809" t="s">
        <v>92</v>
      </c>
      <c r="B24" s="756">
        <v>20</v>
      </c>
      <c r="C24" s="810"/>
      <c r="D24" s="811"/>
      <c r="E24" s="756"/>
      <c r="F24" s="756"/>
      <c r="G24" s="756"/>
      <c r="H24" s="812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9" t="s">
        <v>91</v>
      </c>
      <c r="B30" s="756">
        <v>26</v>
      </c>
      <c r="C30" s="810"/>
      <c r="D30" s="811"/>
      <c r="E30" s="756"/>
      <c r="F30" s="756"/>
      <c r="G30" s="756"/>
      <c r="H30" s="812" t="str">
        <v>0</v>
      </c>
      <c r="I30" s="298"/>
      <c r="J30" s="299"/>
    </row>
    <row r="31" spans="1:13" x14ac:dyDescent="0.2">
      <c r="A31" s="809" t="s">
        <v>92</v>
      </c>
      <c r="B31" s="756">
        <v>27</v>
      </c>
      <c r="C31" s="810"/>
      <c r="D31" s="811"/>
      <c r="E31" s="756"/>
      <c r="F31" s="756"/>
      <c r="G31" s="756"/>
      <c r="H31" s="812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977.60279999999989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06" t="s">
        <v>267</v>
      </c>
      <c r="J3" s="1007"/>
      <c r="K3" s="1008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9" t="s">
        <v>262</v>
      </c>
      <c r="J4" s="1010"/>
      <c r="K4" s="1011"/>
      <c r="M4" s="417"/>
      <c r="N4" s="417"/>
      <c r="O4" s="418"/>
      <c r="P4" s="418"/>
      <c r="Q4" s="1021" t="s">
        <v>283</v>
      </c>
      <c r="R4" s="1021"/>
      <c r="S4" s="1021"/>
      <c r="T4" s="1021"/>
      <c r="U4" s="191"/>
      <c r="V4" s="417"/>
      <c r="W4" s="191"/>
      <c r="X4" s="191"/>
    </row>
    <row r="5" spans="1:24" ht="15.75" customHeight="1" thickBot="1" x14ac:dyDescent="0.25">
      <c r="A5" s="942" t="s">
        <v>7</v>
      </c>
      <c r="B5" s="944" t="s">
        <v>251</v>
      </c>
      <c r="C5" s="944" t="s">
        <v>282</v>
      </c>
      <c r="D5" s="1000" t="s">
        <v>279</v>
      </c>
      <c r="E5" s="1000" t="s">
        <v>280</v>
      </c>
      <c r="F5" s="998" t="s">
        <v>243</v>
      </c>
      <c r="G5" s="995" t="s">
        <v>249</v>
      </c>
      <c r="I5" s="419" t="s">
        <v>263</v>
      </c>
      <c r="J5" s="420" t="s">
        <v>264</v>
      </c>
      <c r="K5" s="421" t="s">
        <v>265</v>
      </c>
      <c r="M5" s="1012" t="s">
        <v>266</v>
      </c>
      <c r="N5" s="1013"/>
      <c r="O5" s="1014"/>
      <c r="P5" s="422"/>
      <c r="Q5" s="1015" t="s">
        <v>7</v>
      </c>
      <c r="R5" s="1017" t="s">
        <v>267</v>
      </c>
      <c r="S5" s="1018"/>
      <c r="T5" s="452" t="s">
        <v>268</v>
      </c>
      <c r="U5" s="423" t="s">
        <v>269</v>
      </c>
      <c r="V5" s="1019" t="s">
        <v>277</v>
      </c>
      <c r="W5" s="1002" t="s">
        <v>270</v>
      </c>
      <c r="X5" s="1004" t="s">
        <v>271</v>
      </c>
    </row>
    <row r="6" spans="1:24" ht="28.5" customHeight="1" thickBot="1" x14ac:dyDescent="0.25">
      <c r="A6" s="994"/>
      <c r="B6" s="997"/>
      <c r="C6" s="997"/>
      <c r="D6" s="1001"/>
      <c r="E6" s="1001"/>
      <c r="F6" s="999"/>
      <c r="G6" s="996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16"/>
      <c r="R6" s="448" t="s">
        <v>274</v>
      </c>
      <c r="S6" s="449" t="s">
        <v>275</v>
      </c>
      <c r="T6" s="453" t="s">
        <v>275</v>
      </c>
      <c r="U6" s="429" t="s">
        <v>275</v>
      </c>
      <c r="V6" s="1020"/>
      <c r="W6" s="1003"/>
      <c r="X6" s="1005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7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1142</v>
      </c>
      <c r="F8" s="717">
        <v>283.536</v>
      </c>
      <c r="G8" s="336">
        <f t="shared" ref="G8:G37" si="1">IF(F8=0,"0",(E8/F8))</f>
        <v>4.0277072399977429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71">
        <v>5</v>
      </c>
      <c r="B11" s="772">
        <f>IF('Entries October 2026'!N11-'Entries October 2026'!N10&lt;1,"0",'Entries October 2026'!N11-'Entries October 2026'!N10)</f>
        <v>178.82000000000698</v>
      </c>
      <c r="C11" s="772">
        <f>IF('Entries October 2026'!L11-'Entries October 2026'!L10&lt;1,"0",'Entries October 2026'!L11-'Entries October 2026'!L10)</f>
        <v>407.7899999999936</v>
      </c>
      <c r="D11" s="772">
        <f>IF('Entries October 2026'!M11-'Entries October 2026'!M10&lt;1,"0",'Entries October 2026'!M11-'Entries October 2026'!M10)</f>
        <v>1583.3100000000559</v>
      </c>
      <c r="E11" s="772">
        <v>1583</v>
      </c>
      <c r="F11" s="773">
        <v>326.50200000000001</v>
      </c>
      <c r="G11" s="336">
        <f t="shared" si="1"/>
        <v>4.8483623377498448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71">
        <v>6</v>
      </c>
      <c r="B12" s="772" t="str">
        <f>IF('Entries October 2026'!N12-'Entries October 2026'!N11&lt;1,"0",'Entries October 2026'!N12-'Entries October 2026'!N11)</f>
        <v>0</v>
      </c>
      <c r="C12" s="772" t="str">
        <f>IF('Entries October 2026'!L12-'Entries October 2026'!L11&lt;1,"0",'Entries October 2026'!L12-'Entries October 2026'!L11)</f>
        <v>0</v>
      </c>
      <c r="D12" s="772" t="str">
        <f>IF('Entries October 2026'!M12-'Entries October 2026'!M11&lt;1,"0",'Entries October 2026'!M12-'Entries October 2026'!M11)</f>
        <v>0</v>
      </c>
      <c r="E12" s="772">
        <v>0</v>
      </c>
      <c r="F12" s="773">
        <v>0</v>
      </c>
      <c r="G12" s="336" t="str">
        <f>IF(F12=0,"0",(E12/F12))</f>
        <v>0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 t="str">
        <f>IF('Entries October 2026'!N13-'Entries October 2026'!N12&lt;1,"0",'Entries October 2026'!N13-'Entries October 2026'!N12)</f>
        <v>0</v>
      </c>
      <c r="C13" s="716" t="str">
        <f>IF('Entries October 2026'!L13-'Entries October 2026'!L12&lt;1,"0",'Entries October 2026'!L13-'Entries October 2026'!L12)</f>
        <v>0</v>
      </c>
      <c r="D13" s="716" t="str">
        <f>IF('Entries October 2026'!M13-'Entries October 2026'!M12&lt;1,"0",'Entries October 2026'!M13-'Entries October 2026'!M12)</f>
        <v>0</v>
      </c>
      <c r="E13" s="716">
        <v>0</v>
      </c>
      <c r="F13" s="717">
        <v>0</v>
      </c>
      <c r="G13" s="336" t="str">
        <f t="shared" si="1"/>
        <v>0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 t="str">
        <f>IF('Entries October 2026'!N14-'Entries October 2026'!N13&lt;1,"0",'Entries October 2026'!N14-'Entries October 2026'!N13)</f>
        <v>0</v>
      </c>
      <c r="C14" s="716" t="str">
        <f>IF('Entries October 2026'!L14-'Entries October 2026'!L13&lt;1,"0",'Entries October 2026'!L14-'Entries October 2026'!L13)</f>
        <v>0</v>
      </c>
      <c r="D14" s="716" t="str">
        <f>IF('Entries October 2026'!M14-'Entries October 2026'!M13&lt;1,"0",'Entries October 2026'!M14-'Entries October 2026'!M13)</f>
        <v>0</v>
      </c>
      <c r="E14" s="716">
        <v>0</v>
      </c>
      <c r="F14" s="717">
        <v>0</v>
      </c>
      <c r="G14" s="336" t="str">
        <f t="shared" si="1"/>
        <v>0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 t="str">
        <f>IF('Entries October 2026'!N15-'Entries October 2026'!N14&lt;1,"0",'Entries October 2026'!N15-'Entries October 2026'!N14)</f>
        <v>0</v>
      </c>
      <c r="C15" s="716" t="str">
        <f>IF('Entries October 2026'!L15-'Entries October 2026'!L14&lt;1,"0",'Entries October 2026'!L15-'Entries October 2026'!L14)</f>
        <v>0</v>
      </c>
      <c r="D15" s="716" t="str">
        <f>IF('Entries October 2026'!M15-'Entries October 2026'!M14&lt;1,"0",'Entries October 2026'!M15-'Entries October 2026'!M14)</f>
        <v>0</v>
      </c>
      <c r="E15" s="716">
        <v>0</v>
      </c>
      <c r="F15" s="717">
        <v>0</v>
      </c>
      <c r="G15" s="336" t="str">
        <f t="shared" si="1"/>
        <v>0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 t="str">
        <f>IF('Entries October 2026'!N16-'Entries October 2026'!N15&lt;1,"0",'Entries October 2026'!N16-'Entries October 2026'!N15)</f>
        <v>0</v>
      </c>
      <c r="C16" s="716" t="str">
        <f>IF('Entries October 2026'!L16-'Entries October 2026'!L15&lt;1,"0",'Entries October 2026'!L16-'Entries October 2026'!L15)</f>
        <v>0</v>
      </c>
      <c r="D16" s="716" t="str">
        <f>IF('Entries October 2026'!M16-'Entries October 2026'!M15&lt;1,"0",'Entries October 2026'!M16-'Entries October 2026'!M15)</f>
        <v>0</v>
      </c>
      <c r="E16" s="716">
        <v>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71">
        <v>12</v>
      </c>
      <c r="B18" s="772" t="str">
        <f>IF('Entries October 2026'!N18-'Entries October 2026'!N17&lt;1,"0",'Entries October 2026'!N18-'Entries October 2026'!N17)</f>
        <v>0</v>
      </c>
      <c r="C18" s="772" t="str">
        <f>IF('Entries October 2026'!L18-'Entries October 2026'!L17&lt;1,"0",'Entries October 2026'!L18-'Entries October 2026'!L17)</f>
        <v>0</v>
      </c>
      <c r="D18" s="772" t="str">
        <f>IF('Entries October 2026'!M18-'Entries October 2026'!M17&lt;1,"0",'Entries October 2026'!M18-'Entries October 2026'!M17)</f>
        <v>0</v>
      </c>
      <c r="E18" s="772">
        <v>0</v>
      </c>
      <c r="F18" s="773">
        <v>0</v>
      </c>
      <c r="G18" s="336" t="str">
        <f t="shared" si="1"/>
        <v>0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71">
        <v>13</v>
      </c>
      <c r="B19" s="772" t="str">
        <f>IF('Entries October 2026'!N19-'Entries October 2026'!N18&lt;1,"0",'Entries October 2026'!N19-'Entries October 2026'!N18)</f>
        <v>0</v>
      </c>
      <c r="C19" s="772" t="str">
        <f>IF('Entries October 2026'!L19-'Entries October 2026'!L18&lt;1,"0",'Entries October 2026'!L19-'Entries October 2026'!L18)</f>
        <v>0</v>
      </c>
      <c r="D19" s="772" t="str">
        <f>IF('Entries October 2026'!M19-'Entries October 2026'!M18&lt;1,"0",'Entries October 2026'!M19-'Entries October 2026'!M18)</f>
        <v>0</v>
      </c>
      <c r="E19" s="772">
        <v>0</v>
      </c>
      <c r="F19" s="773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71">
        <v>19</v>
      </c>
      <c r="B25" s="772" t="str">
        <f>IF('Entries October 2026'!N25-'Entries October 2026'!N24&lt;1,"0",'Entries October 2026'!N25-'Entries October 2026'!N24)</f>
        <v>0</v>
      </c>
      <c r="C25" s="772" t="str">
        <f>IF('Entries October 2026'!L25-'Entries October 2026'!L24&lt;1,"0",'Entries October 2026'!L25-'Entries October 2026'!L24)</f>
        <v>0</v>
      </c>
      <c r="D25" s="772" t="str">
        <f>IF('Entries October 2026'!M25-'Entries October 2026'!M24&lt;1,"0",'Entries October 2026'!M25-'Entries October 2026'!M24)</f>
        <v>0</v>
      </c>
      <c r="E25" s="772">
        <v>0</v>
      </c>
      <c r="F25" s="773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71">
        <v>20</v>
      </c>
      <c r="B26" s="772" t="str">
        <f>IF('Entries October 2026'!N26-'Entries October 2026'!N25&lt;1,"0",'Entries October 2026'!N26-'Entries October 2026'!N25)</f>
        <v>0</v>
      </c>
      <c r="C26" s="772" t="str">
        <f>IF('Entries October 2026'!L26-'Entries October 2026'!L25&lt;1,"0",'Entries October 2026'!L26-'Entries October 2026'!L25)</f>
        <v>0</v>
      </c>
      <c r="D26" s="772" t="str">
        <f>IF('Entries October 2026'!M26-'Entries October 2026'!M25&lt;1,"0",'Entries October 2026'!M26-'Entries October 2026'!M25)</f>
        <v>0</v>
      </c>
      <c r="E26" s="772">
        <v>0</v>
      </c>
      <c r="F26" s="773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71">
        <v>26</v>
      </c>
      <c r="B32" s="772" t="str">
        <f>IF('Entries October 2026'!N32-'Entries October 2026'!N31&lt;1,"0",'Entries October 2026'!N32-'Entries October 2026'!N31)</f>
        <v>0</v>
      </c>
      <c r="C32" s="772" t="str">
        <f>IF('Entries October 2026'!L32-'Entries October 2026'!L31&lt;1,"0",'Entries October 2026'!L32-'Entries October 2026'!L31)</f>
        <v>0</v>
      </c>
      <c r="D32" s="772" t="str">
        <f>IF('Entries October 2026'!M32-'Entries October 2026'!M31&lt;1,"0",'Entries October 2026'!M32-'Entries October 2026'!M31)</f>
        <v>0</v>
      </c>
      <c r="E32" s="772">
        <v>0</v>
      </c>
      <c r="F32" s="773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71">
        <v>27</v>
      </c>
      <c r="B33" s="772" t="str">
        <f>IF('Entries October 2026'!N33-'Entries October 2026'!N32&lt;1,"0",'Entries October 2026'!N33-'Entries October 2026'!N32)</f>
        <v>0</v>
      </c>
      <c r="C33" s="772" t="str">
        <f>IF('Entries October 2026'!L33-'Entries October 2026'!L32&lt;1,"0",'Entries October 2026'!L33-'Entries October 2026'!L32)</f>
        <v>0</v>
      </c>
      <c r="D33" s="772" t="str">
        <f>IF('Entries October 2026'!M33-'Entries October 2026'!M32&lt;1,"0",'Entries October 2026'!M33-'Entries October 2026'!M32)</f>
        <v>0</v>
      </c>
      <c r="E33" s="772">
        <v>0</v>
      </c>
      <c r="F33" s="773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519.26000000000931</v>
      </c>
      <c r="C38" s="713">
        <f>SUM(C7:C37)</f>
        <v>1447.3300000000017</v>
      </c>
      <c r="D38" s="713">
        <f>SUM(D7:D37)</f>
        <v>4304.4100000000326</v>
      </c>
      <c r="E38" s="713">
        <f>SUM(E7:E37)</f>
        <v>4325</v>
      </c>
      <c r="F38" s="714">
        <f>SUM(F7:F37)</f>
        <v>977.60279999999989</v>
      </c>
      <c r="G38" s="345">
        <f>IF(F38=0,"0",(E38/F38))</f>
        <v>4.4240871650531286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86" priority="1" operator="greaterThan">
      <formula>5</formula>
    </cfRule>
    <cfRule type="cellIs" dxfId="85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894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894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0</v>
      </c>
      <c r="H8" s="100">
        <f>'Daily KPIs'!H8</f>
        <v>0</v>
      </c>
      <c r="I8" s="100">
        <f>'Daily KPIs'!I8</f>
        <v>0</v>
      </c>
      <c r="J8" s="99">
        <f>'Daily KPIs'!J8</f>
        <v>0</v>
      </c>
      <c r="K8" s="99">
        <f>'Daily KPIs'!K8</f>
        <v>0</v>
      </c>
      <c r="L8" s="99">
        <f>'Daily KPIs'!L8</f>
        <v>0</v>
      </c>
      <c r="M8" s="99">
        <f>'Daily KPIs'!M8</f>
        <v>0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9243</v>
      </c>
      <c r="AH8" s="293">
        <v>96325</v>
      </c>
      <c r="AI8" s="294">
        <f>AG8-AH8</f>
        <v>-87082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0</v>
      </c>
      <c r="H9" s="99">
        <f>'Daily KPIs'!H9</f>
        <v>0</v>
      </c>
      <c r="I9" s="99">
        <f>'Daily KPIs'!I9</f>
        <v>0</v>
      </c>
      <c r="J9" s="99">
        <f>'Daily KPIs'!J9</f>
        <v>0</v>
      </c>
      <c r="K9" s="99">
        <f>'Daily KPIs'!K9</f>
        <v>0</v>
      </c>
      <c r="L9" s="99">
        <f>'Daily KPIs'!L9</f>
        <v>0</v>
      </c>
      <c r="M9" s="99">
        <f>'Daily KPIs'!M9</f>
        <v>0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977.60279999999989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>
        <f>'Daily KPIs'!G10</f>
        <v>0</v>
      </c>
      <c r="H10" s="163">
        <f>'Daily KPIs'!I10</f>
        <v>0</v>
      </c>
      <c r="I10" s="163">
        <f>'Daily KPIs'!J10</f>
        <v>0</v>
      </c>
      <c r="J10" s="163">
        <f>'Daily KPIs'!J10</f>
        <v>0</v>
      </c>
      <c r="K10" s="163">
        <f>'Daily KPIs'!K10</f>
        <v>0</v>
      </c>
      <c r="L10" s="163">
        <f>'Daily KPIs'!L10</f>
        <v>0</v>
      </c>
      <c r="M10" s="163">
        <f>'Daily KPIs'!M10</f>
        <v>0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2">
        <f>'Daily KPIs'!Y10</f>
        <v>0</v>
      </c>
      <c r="Z10" s="1022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 t="str">
        <f>+'Water '!$D12</f>
        <v>0</v>
      </c>
      <c r="H16" s="110" t="str">
        <f>+'Water '!$D13</f>
        <v>0</v>
      </c>
      <c r="I16" s="110" t="str">
        <f>+'Water '!$D14</f>
        <v>0</v>
      </c>
      <c r="J16" s="110" t="str">
        <f>+'Water '!$D15</f>
        <v>0</v>
      </c>
      <c r="K16" s="110" t="str">
        <f>+'Water '!$D16</f>
        <v>0</v>
      </c>
      <c r="L16" s="110" t="str">
        <f>+'Water '!$D17</f>
        <v>0</v>
      </c>
      <c r="M16" s="111" t="str">
        <f>+'Water '!$D18</f>
        <v>0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324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 t="str">
        <f>+'Water '!$E12</f>
        <v>0</v>
      </c>
      <c r="H17" s="114" t="str">
        <f>+'Water '!$E13</f>
        <v>0</v>
      </c>
      <c r="I17" s="113" t="str">
        <f>+'Water '!$E14</f>
        <v>0</v>
      </c>
      <c r="J17" s="114" t="str">
        <f>+'Water '!$E15</f>
        <v>0</v>
      </c>
      <c r="K17" s="114" t="str">
        <f>+'Water '!$E16</f>
        <v>0</v>
      </c>
      <c r="L17" s="114" t="str">
        <f>+'Water '!$E17</f>
        <v>0</v>
      </c>
      <c r="M17" s="115" t="str">
        <f>+'Water '!$E18</f>
        <v>0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556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0</v>
      </c>
      <c r="H18" s="118">
        <f t="shared" si="0"/>
        <v>0</v>
      </c>
      <c r="I18" s="118">
        <f t="shared" si="0"/>
        <v>0</v>
      </c>
      <c r="J18" s="118">
        <f t="shared" si="0"/>
        <v>0</v>
      </c>
      <c r="K18" s="118">
        <f t="shared" si="0"/>
        <v>0</v>
      </c>
      <c r="L18" s="118">
        <f t="shared" si="0"/>
        <v>0</v>
      </c>
      <c r="M18" s="118">
        <f t="shared" si="0"/>
        <v>0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880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0</v>
      </c>
      <c r="H21" s="119">
        <f t="shared" si="1"/>
        <v>0</v>
      </c>
      <c r="I21" s="119">
        <f t="shared" si="1"/>
        <v>0</v>
      </c>
      <c r="J21" s="119">
        <f t="shared" si="1"/>
        <v>0</v>
      </c>
      <c r="K21" s="119">
        <f t="shared" si="1"/>
        <v>0</v>
      </c>
      <c r="L21" s="119">
        <f t="shared" si="1"/>
        <v>0</v>
      </c>
      <c r="M21" s="119">
        <f t="shared" si="1"/>
        <v>0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418.29</v>
      </c>
      <c r="AH21" s="225">
        <f>AG24+AG37+AG28</f>
        <v>1242</v>
      </c>
      <c r="AI21" s="271"/>
      <c r="AJ21" s="272">
        <f>(AH21*10)/AG9</f>
        <v>12.704546263574533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0</v>
      </c>
      <c r="H24" s="112">
        <f>'Water '!H13</f>
        <v>0</v>
      </c>
      <c r="I24" s="112">
        <f>'Water '!H14</f>
        <v>0</v>
      </c>
      <c r="J24" s="112">
        <f>'Water '!H15</f>
        <v>0</v>
      </c>
      <c r="K24" s="112">
        <f>'Water '!H16</f>
        <v>0</v>
      </c>
      <c r="L24" s="112">
        <f>'Water '!H17</f>
        <v>0</v>
      </c>
      <c r="M24" s="123">
        <f>'Water '!H18</f>
        <v>0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717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0</v>
      </c>
      <c r="H25" s="118">
        <f t="shared" si="2"/>
        <v>0</v>
      </c>
      <c r="I25" s="118">
        <f t="shared" si="2"/>
        <v>0</v>
      </c>
      <c r="J25" s="118">
        <f t="shared" si="2"/>
        <v>0</v>
      </c>
      <c r="K25" s="118">
        <f t="shared" si="2"/>
        <v>0</v>
      </c>
      <c r="L25" s="118">
        <f t="shared" si="2"/>
        <v>0</v>
      </c>
      <c r="M25" s="118">
        <f t="shared" si="2"/>
        <v>0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717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 t="str">
        <f t="shared" si="3"/>
        <v/>
      </c>
      <c r="H26" s="125" t="str">
        <f t="shared" si="3"/>
        <v/>
      </c>
      <c r="I26" s="125" t="str">
        <f t="shared" si="3"/>
        <v/>
      </c>
      <c r="J26" s="125" t="str">
        <f t="shared" si="3"/>
        <v/>
      </c>
      <c r="K26" s="125" t="str">
        <f t="shared" si="3"/>
        <v/>
      </c>
      <c r="L26" s="125" t="str">
        <f>IF(L$9=0,"",+(L25*10)/L$9)</f>
        <v/>
      </c>
      <c r="M26" s="125" t="str">
        <f t="shared" si="3"/>
        <v/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 t="str">
        <f>+'Water '!$J12</f>
        <v>0</v>
      </c>
      <c r="H28" s="111" t="str">
        <f>+'Water '!$J13</f>
        <v>0</v>
      </c>
      <c r="I28" s="127" t="str">
        <f>+'Water '!$J14</f>
        <v>0</v>
      </c>
      <c r="J28" s="127" t="str">
        <f>+'Water '!$J15</f>
        <v>0</v>
      </c>
      <c r="K28" s="127" t="str">
        <f>+'Water '!$J16</f>
        <v>0</v>
      </c>
      <c r="L28" s="128" t="str">
        <f>+'Water '!$J17</f>
        <v>0</v>
      </c>
      <c r="M28" s="111" t="str">
        <f>+'Water '!$J18</f>
        <v>0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465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 t="str">
        <f>+'Water '!$N12</f>
        <v>0</v>
      </c>
      <c r="H33" s="131" t="str">
        <f>+'Water '!$N13</f>
        <v>0</v>
      </c>
      <c r="I33" s="131" t="str">
        <f>+'Water '!$N14</f>
        <v>0</v>
      </c>
      <c r="J33" s="131" t="str">
        <f>+'Water '!$N15</f>
        <v>0</v>
      </c>
      <c r="K33" s="131" t="str">
        <f>+'Water '!$N16</f>
        <v>0</v>
      </c>
      <c r="L33" s="131" t="str">
        <f>+'Water '!$N17</f>
        <v>0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141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 t="str">
        <f>+'Water '!$O12</f>
        <v>0</v>
      </c>
      <c r="H34" s="134" t="str">
        <f>+'Water '!$O13</f>
        <v>0</v>
      </c>
      <c r="I34" s="134" t="str">
        <f>+'Water '!$O14</f>
        <v>0</v>
      </c>
      <c r="J34" s="134" t="str">
        <f>+'Water '!$O15</f>
        <v>0</v>
      </c>
      <c r="K34" s="134" t="str">
        <f>+'Water '!$O16</f>
        <v>0</v>
      </c>
      <c r="L34" s="134" t="str">
        <f>+'Water '!$O17</f>
        <v>0</v>
      </c>
      <c r="M34" s="134" t="str">
        <f>+'Water '!$O18</f>
        <v>0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292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0</v>
      </c>
      <c r="H35" s="119">
        <f>IF('Entries October 2026'!AC13-'Entries October 2026'!AC12&lt;1,0,'Entries October 2026'!AC13-'Entries October 2026'!AC12)</f>
        <v>0</v>
      </c>
      <c r="I35" s="119">
        <f>IF('Entries October 2026'!AC14-'Entries October 2026'!AC13&lt;1,0,'Entries October 2026'!AC14-'Entries October 2026'!AC13)</f>
        <v>0</v>
      </c>
      <c r="J35" s="119">
        <f>IF('Entries October 2026'!AC15-'Entries October 2026'!AC14&lt;1,0,'Entries October 2026'!AC15-'Entries October 2026'!AC14)</f>
        <v>0</v>
      </c>
      <c r="K35" s="119">
        <f>IF('Entries October 2026'!AC16-'Entries October 2026'!AC15&lt;1,0,'Entries October 2026'!AC16-'Entries October 2026'!AC15)</f>
        <v>0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0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48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 t="str">
        <f>+'Water '!$M12</f>
        <v>0</v>
      </c>
      <c r="H36" s="110" t="str">
        <f>+'Water '!$M13</f>
        <v>0</v>
      </c>
      <c r="I36" s="110" t="str">
        <f>+'Water '!$M14</f>
        <v>0</v>
      </c>
      <c r="J36" s="110" t="str">
        <f>+'Water '!$M15</f>
        <v>0</v>
      </c>
      <c r="K36" s="110" t="str">
        <f>+'Water '!$M16</f>
        <v>0</v>
      </c>
      <c r="L36" s="110" t="str">
        <f>+'Water '!$M17</f>
        <v>0</v>
      </c>
      <c r="M36" s="110" t="str">
        <f>+'Water '!$M18</f>
        <v>0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6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 t="str">
        <f>+'Water '!$Q12</f>
        <v>0</v>
      </c>
      <c r="H37" s="131" t="str">
        <f>+'Water '!$Q13</f>
        <v>0</v>
      </c>
      <c r="I37" s="131" t="str">
        <f>+'Water '!$Q14</f>
        <v>0</v>
      </c>
      <c r="J37" s="131" t="str">
        <f>+'Water '!$Q15</f>
        <v>0</v>
      </c>
      <c r="K37" s="131" t="str">
        <f>+'Water '!$Q16</f>
        <v>0</v>
      </c>
      <c r="L37" s="131" t="str">
        <f>+'Water '!$Q17</f>
        <v>0</v>
      </c>
      <c r="M37" s="131" t="str">
        <f>+'Water '!$Q18</f>
        <v>0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60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 t="str">
        <f>'Water '!J16</f>
        <v>0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0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0</v>
      </c>
      <c r="H42" s="138">
        <f t="shared" si="4"/>
        <v>0</v>
      </c>
      <c r="I42" s="138">
        <f t="shared" si="4"/>
        <v>0</v>
      </c>
      <c r="J42" s="138">
        <f t="shared" si="4"/>
        <v>0</v>
      </c>
      <c r="K42" s="138">
        <f t="shared" si="4"/>
        <v>0</v>
      </c>
      <c r="L42" s="138">
        <f t="shared" si="4"/>
        <v>0</v>
      </c>
      <c r="M42" s="138">
        <f t="shared" si="4"/>
        <v>0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1012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0</v>
      </c>
      <c r="J47" s="178">
        <f>IF('Entries October 2026'!M15-'Entries October 2026'!M14&lt;1,0,'Entries October 2026'!M15-'Entries October 2026'!M14)</f>
        <v>0</v>
      </c>
      <c r="K47" s="178">
        <f>IF('Entries October 2026'!M16-'Entries October 2026'!M15&lt;1,0,'Entries October 2026'!M16-'Entries October 2026'!M15)</f>
        <v>0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0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 t="str">
        <f>'Daily KPIs'!G76</f>
        <v>0</v>
      </c>
      <c r="H49" s="187" t="str">
        <f>'Daily KPIs'!H76</f>
        <v>0</v>
      </c>
      <c r="I49" s="187" t="str">
        <f>'Daily KPIs'!I76</f>
        <v>0</v>
      </c>
      <c r="J49" s="187" t="str">
        <f>'Daily KPIs'!J76</f>
        <v>0</v>
      </c>
      <c r="K49" s="187" t="str">
        <f>'Daily KPIs'!K76</f>
        <v>0</v>
      </c>
      <c r="L49" s="187" t="str">
        <f>'Daily KPIs'!L76</f>
        <v>0</v>
      </c>
      <c r="M49" s="187" t="str">
        <f>'Daily KPIs'!M76</f>
        <v>0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519.26000000000931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0</v>
      </c>
      <c r="H52" s="141">
        <f>'Elec.OCTOBER 2026'!$B$13</f>
        <v>0</v>
      </c>
      <c r="I52" s="141">
        <f>'Elec.OCTOBER 2026'!$B$14</f>
        <v>0</v>
      </c>
      <c r="J52" s="141">
        <f>'Elec.OCTOBER 2026'!$B$15</f>
        <v>0</v>
      </c>
      <c r="K52" s="141">
        <f>'Elec.OCTOBER 2026'!$B$16</f>
        <v>0</v>
      </c>
      <c r="L52" s="141">
        <f>'Elec.OCTOBER 2026'!$B$17</f>
        <v>0</v>
      </c>
      <c r="M52" s="141">
        <f>'Elec.OCTOBER 2026'!$B$18</f>
        <v>0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27066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 t="str">
        <f t="shared" si="5"/>
        <v/>
      </c>
      <c r="H59" s="144" t="str">
        <f t="shared" si="5"/>
        <v/>
      </c>
      <c r="I59" s="144" t="str">
        <f t="shared" si="5"/>
        <v/>
      </c>
      <c r="J59" s="144" t="str">
        <f t="shared" si="5"/>
        <v/>
      </c>
      <c r="K59" s="144" t="str">
        <f t="shared" ref="K59:S59" si="6">IF(K$9=0,"",+(K18*10)/K$9)</f>
        <v/>
      </c>
      <c r="L59" s="144" t="str">
        <f t="shared" si="6"/>
        <v/>
      </c>
      <c r="M59" s="144" t="str">
        <f t="shared" si="6"/>
        <v/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9.0016108791832448</v>
      </c>
      <c r="AH59" s="239">
        <f>'Daily KPIs'!AI90</f>
        <v>10.199999999999999</v>
      </c>
      <c r="AI59" s="282">
        <f>+AH59-AG59</f>
        <v>1.1983891208167545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 t="str">
        <f t="shared" si="8"/>
        <v/>
      </c>
      <c r="H62" s="145" t="str">
        <f t="shared" si="8"/>
        <v/>
      </c>
      <c r="I62" s="145" t="str">
        <f t="shared" si="8"/>
        <v/>
      </c>
      <c r="J62" s="145" t="str">
        <f t="shared" si="8"/>
        <v/>
      </c>
      <c r="K62" s="145" t="str">
        <f t="shared" si="8"/>
        <v/>
      </c>
      <c r="L62" s="145" t="str">
        <f t="shared" si="8"/>
        <v/>
      </c>
      <c r="M62" s="145" t="str">
        <f t="shared" ref="M62:S62" si="9">IF(M$9=0,"",+(M28*10)/M$9)</f>
        <v/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4.7565330213866002</v>
      </c>
      <c r="AH62" s="241">
        <v>2.5</v>
      </c>
      <c r="AI62" s="242">
        <f t="shared" ref="AI62:AI78" si="11">AH62-AG62</f>
        <v>-2.2565330213866002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 t="str">
        <f t="shared" si="12"/>
        <v/>
      </c>
      <c r="G63" s="168" t="str">
        <f t="shared" si="12"/>
        <v/>
      </c>
      <c r="H63" s="168" t="str">
        <f t="shared" si="12"/>
        <v/>
      </c>
      <c r="I63" s="168" t="str">
        <f>IF(I$93=0,"",+(I28*10)/I$93)</f>
        <v/>
      </c>
      <c r="J63" s="168" t="str">
        <f t="shared" si="12"/>
        <v/>
      </c>
      <c r="K63" s="168" t="str">
        <f t="shared" si="12"/>
        <v/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11.610486891385769</v>
      </c>
      <c r="AH63" s="243">
        <v>2.5</v>
      </c>
      <c r="AI63" s="244">
        <f t="shared" si="11"/>
        <v>-9.1104868913857686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 t="str">
        <f t="shared" si="14"/>
        <v/>
      </c>
      <c r="H64" s="147" t="str">
        <f t="shared" si="14"/>
        <v/>
      </c>
      <c r="I64" s="147" t="str">
        <f t="shared" si="14"/>
        <v/>
      </c>
      <c r="J64" s="147" t="str">
        <f t="shared" si="14"/>
        <v/>
      </c>
      <c r="K64" s="147" t="str">
        <f t="shared" si="14"/>
        <v/>
      </c>
      <c r="L64" s="147" t="str">
        <f t="shared" si="14"/>
        <v/>
      </c>
      <c r="M64" s="147" t="str">
        <f>IF(M$9=0,"",+(M29*10)/M$9)</f>
        <v/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 t="str">
        <f t="shared" si="16"/>
        <v/>
      </c>
      <c r="H66" s="145" t="str">
        <f t="shared" si="16"/>
        <v/>
      </c>
      <c r="I66" s="145" t="str">
        <f t="shared" si="16"/>
        <v/>
      </c>
      <c r="J66" s="145" t="str">
        <f t="shared" si="16"/>
        <v/>
      </c>
      <c r="K66" s="145" t="str">
        <f t="shared" si="16"/>
        <v/>
      </c>
      <c r="L66" s="145" t="str">
        <f t="shared" si="16"/>
        <v/>
      </c>
      <c r="M66" s="145" t="str">
        <f t="shared" si="16"/>
        <v/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 t="str">
        <f t="shared" si="18"/>
        <v/>
      </c>
      <c r="H67" s="150" t="str">
        <f t="shared" si="18"/>
        <v/>
      </c>
      <c r="I67" s="150" t="str">
        <f t="shared" si="18"/>
        <v/>
      </c>
      <c r="J67" s="150" t="str">
        <f t="shared" si="18"/>
        <v/>
      </c>
      <c r="K67" s="150" t="str">
        <f t="shared" si="18"/>
        <v/>
      </c>
      <c r="L67" s="150" t="str">
        <f t="shared" si="18"/>
        <v/>
      </c>
      <c r="M67" s="150" t="str">
        <f t="shared" si="18"/>
        <v/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 t="str">
        <f t="shared" si="20"/>
        <v/>
      </c>
      <c r="H68" s="145" t="str">
        <f t="shared" si="20"/>
        <v/>
      </c>
      <c r="I68" s="145" t="str">
        <f t="shared" si="20"/>
        <v/>
      </c>
      <c r="J68" s="145" t="str">
        <f t="shared" si="20"/>
        <v/>
      </c>
      <c r="K68" s="145" t="str">
        <f t="shared" si="20"/>
        <v/>
      </c>
      <c r="L68" s="145" t="str">
        <f t="shared" si="20"/>
        <v/>
      </c>
      <c r="M68" s="145" t="str">
        <f t="shared" si="20"/>
        <v/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1.4423035613236788</v>
      </c>
      <c r="AH68" s="241">
        <v>0.7</v>
      </c>
      <c r="AI68" s="242">
        <f t="shared" si="11"/>
        <v>-0.74230356132367881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 t="str">
        <f t="shared" si="22"/>
        <v/>
      </c>
      <c r="H69" s="145" t="str">
        <f t="shared" si="22"/>
        <v/>
      </c>
      <c r="I69" s="145" t="str">
        <f t="shared" si="22"/>
        <v/>
      </c>
      <c r="J69" s="145" t="str">
        <f t="shared" si="22"/>
        <v/>
      </c>
      <c r="K69" s="145" t="str">
        <f t="shared" si="22"/>
        <v/>
      </c>
      <c r="L69" s="145" t="str">
        <f t="shared" si="22"/>
        <v/>
      </c>
      <c r="M69" s="145" t="str">
        <f t="shared" si="22"/>
        <v/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2.9868981553653491</v>
      </c>
      <c r="AH69" s="241">
        <v>2.6</v>
      </c>
      <c r="AI69" s="242">
        <f t="shared" si="11"/>
        <v>-0.38689815536534899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 t="str">
        <f t="shared" si="26"/>
        <v/>
      </c>
      <c r="H71" s="145" t="str">
        <f t="shared" si="26"/>
        <v/>
      </c>
      <c r="I71" s="145" t="str">
        <f t="shared" si="26"/>
        <v/>
      </c>
      <c r="J71" s="145" t="str">
        <f t="shared" si="26"/>
        <v/>
      </c>
      <c r="K71" s="145" t="str">
        <f t="shared" si="26"/>
        <v/>
      </c>
      <c r="L71" s="145" t="str">
        <f t="shared" si="26"/>
        <v/>
      </c>
      <c r="M71" s="145" t="str">
        <f t="shared" si="26"/>
        <v/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0.49099695704635876</v>
      </c>
      <c r="AH71" s="241">
        <v>0.7</v>
      </c>
      <c r="AI71" s="242">
        <f>AH71-AG71</f>
        <v>0.20900304295364119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 t="str">
        <f t="shared" si="29"/>
        <v/>
      </c>
      <c r="H72" s="145" t="str">
        <f t="shared" si="29"/>
        <v/>
      </c>
      <c r="I72" s="145" t="str">
        <f t="shared" si="29"/>
        <v/>
      </c>
      <c r="J72" s="145" t="str">
        <f t="shared" si="29"/>
        <v/>
      </c>
      <c r="K72" s="145" t="str">
        <f t="shared" si="29"/>
        <v/>
      </c>
      <c r="L72" s="145" t="str">
        <f t="shared" si="29"/>
        <v/>
      </c>
      <c r="M72" s="145" t="str">
        <f t="shared" si="29"/>
        <v/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6.1374619630794845E-2</v>
      </c>
      <c r="AH72" s="241">
        <v>0.1</v>
      </c>
      <c r="AI72" s="242">
        <f>AH72-AG72</f>
        <v>3.862538036920516E-2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 t="str">
        <f t="shared" si="31"/>
        <v/>
      </c>
      <c r="H73" s="145" t="str">
        <f t="shared" si="31"/>
        <v/>
      </c>
      <c r="I73" s="145" t="str">
        <f t="shared" si="31"/>
        <v/>
      </c>
      <c r="J73" s="145" t="str">
        <f t="shared" si="31"/>
        <v/>
      </c>
      <c r="K73" s="145" t="str">
        <f t="shared" si="31"/>
        <v/>
      </c>
      <c r="L73" s="145" t="str">
        <f t="shared" si="31"/>
        <v/>
      </c>
      <c r="M73" s="145" t="str">
        <f t="shared" si="31"/>
        <v/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0.61374619630794847</v>
      </c>
      <c r="AH73" s="241">
        <v>0.6</v>
      </c>
      <c r="AI73" s="242">
        <f t="shared" si="11"/>
        <v>-1.3746196307948488E-2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 t="str">
        <f t="shared" si="33"/>
        <v/>
      </c>
      <c r="H74" s="150" t="str">
        <f t="shared" si="33"/>
        <v/>
      </c>
      <c r="I74" s="150" t="str">
        <f t="shared" si="33"/>
        <v/>
      </c>
      <c r="J74" s="150" t="str">
        <f t="shared" si="33"/>
        <v/>
      </c>
      <c r="K74" s="150" t="str">
        <f t="shared" si="33"/>
        <v/>
      </c>
      <c r="L74" s="150" t="str">
        <f t="shared" si="33"/>
        <v/>
      </c>
      <c r="M74" s="150" t="str">
        <f t="shared" si="33"/>
        <v/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 t="str">
        <f t="shared" si="35"/>
        <v/>
      </c>
      <c r="H75" s="145" t="str">
        <f t="shared" si="35"/>
        <v/>
      </c>
      <c r="I75" s="145" t="str">
        <f t="shared" si="35"/>
        <v/>
      </c>
      <c r="J75" s="145" t="str">
        <f t="shared" si="35"/>
        <v/>
      </c>
      <c r="K75" s="145" t="str">
        <f t="shared" si="35"/>
        <v/>
      </c>
      <c r="L75" s="145" t="str">
        <f t="shared" si="35"/>
        <v/>
      </c>
      <c r="M75" s="145" t="str">
        <f t="shared" si="35"/>
        <v/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11.332242987791805</v>
      </c>
      <c r="G78" s="152">
        <f t="shared" si="37"/>
        <v>0</v>
      </c>
      <c r="H78" s="152">
        <f t="shared" si="37"/>
        <v>0</v>
      </c>
      <c r="I78" s="152">
        <f t="shared" si="37"/>
        <v>0</v>
      </c>
      <c r="J78" s="152">
        <f t="shared" si="37"/>
        <v>0</v>
      </c>
      <c r="K78" s="152">
        <f t="shared" si="37"/>
        <v>0</v>
      </c>
      <c r="L78" s="152">
        <f t="shared" si="37"/>
        <v>0</v>
      </c>
      <c r="M78" s="152">
        <f t="shared" si="37"/>
        <v>0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21.962339402446503</v>
      </c>
      <c r="AH78" s="253">
        <f t="shared" si="37"/>
        <v>15.599999999999998</v>
      </c>
      <c r="AI78" s="253">
        <f t="shared" si="11"/>
        <v>-6.362339402446505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0</v>
      </c>
      <c r="H79" s="154">
        <f t="shared" si="38"/>
        <v>0</v>
      </c>
      <c r="I79" s="154">
        <f t="shared" si="38"/>
        <v>0</v>
      </c>
      <c r="J79" s="154">
        <f t="shared" si="38"/>
        <v>0</v>
      </c>
      <c r="K79" s="154">
        <f t="shared" si="38"/>
        <v>0</v>
      </c>
      <c r="L79" s="154">
        <f t="shared" si="38"/>
        <v>0</v>
      </c>
      <c r="M79" s="154">
        <f>SUM(M69:M72)</f>
        <v>0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3.5392697320425026</v>
      </c>
      <c r="AH79" s="254">
        <f t="shared" si="38"/>
        <v>6</v>
      </c>
      <c r="AI79" s="254">
        <f t="shared" si="38"/>
        <v>2.4607302679574974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str">
        <f t="shared" si="39"/>
        <v/>
      </c>
      <c r="H80" s="155" t="str">
        <f t="shared" si="39"/>
        <v/>
      </c>
      <c r="I80" s="155" t="str">
        <f t="shared" si="39"/>
        <v/>
      </c>
      <c r="J80" s="155" t="str">
        <f t="shared" si="39"/>
        <v/>
      </c>
      <c r="K80" s="155" t="str">
        <f t="shared" si="39"/>
        <v/>
      </c>
      <c r="L80" s="155" t="str">
        <f t="shared" si="39"/>
        <v/>
      </c>
      <c r="M80" s="155" t="str">
        <f t="shared" si="39"/>
        <v/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 t="str">
        <f t="shared" si="41"/>
        <v/>
      </c>
      <c r="H81" s="157" t="str">
        <f t="shared" si="41"/>
        <v/>
      </c>
      <c r="I81" s="157" t="str">
        <f t="shared" si="41"/>
        <v/>
      </c>
      <c r="J81" s="157" t="str">
        <f t="shared" si="41"/>
        <v/>
      </c>
      <c r="K81" s="157" t="str">
        <f t="shared" si="41"/>
        <v/>
      </c>
      <c r="L81" s="157" t="str">
        <f t="shared" si="41"/>
        <v/>
      </c>
      <c r="M81" s="157" t="str">
        <f t="shared" si="41"/>
        <v/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0.53115641649145173</v>
      </c>
      <c r="AH81" s="287">
        <f>'Daily KPIs'!AI93</f>
        <v>1.7</v>
      </c>
      <c r="AI81" s="286">
        <f>AH81-AG81</f>
        <v>1.1688435835085482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 t="str">
        <f t="shared" si="43"/>
        <v/>
      </c>
      <c r="H82" s="144" t="str">
        <f t="shared" si="43"/>
        <v/>
      </c>
      <c r="I82" s="144" t="str">
        <f t="shared" si="43"/>
        <v/>
      </c>
      <c r="J82" s="144" t="str">
        <f t="shared" si="43"/>
        <v/>
      </c>
      <c r="K82" s="144" t="str">
        <f t="shared" si="43"/>
        <v/>
      </c>
      <c r="L82" s="144" t="str">
        <f t="shared" si="43"/>
        <v/>
      </c>
      <c r="M82" s="144" t="str">
        <f t="shared" si="43"/>
        <v/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27.686090915451555</v>
      </c>
      <c r="AH82" s="239">
        <f>'Daily KPIs'!AI94</f>
        <v>22</v>
      </c>
      <c r="AI82" s="286">
        <f>AH82-AG82</f>
        <v>-5.6860909154515547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 t="str">
        <f>IF(G$9=0,"",G54/G$9)</f>
        <v/>
      </c>
      <c r="H84" s="144" t="str">
        <f t="shared" si="46"/>
        <v/>
      </c>
      <c r="I84" s="144" t="str">
        <f t="shared" si="46"/>
        <v/>
      </c>
      <c r="J84" s="144" t="str">
        <f t="shared" si="46"/>
        <v/>
      </c>
      <c r="K84" s="144" t="str">
        <f t="shared" si="46"/>
        <v/>
      </c>
      <c r="L84" s="144" t="str">
        <f t="shared" si="46"/>
        <v/>
      </c>
      <c r="M84" s="144" t="str">
        <f t="shared" si="46"/>
        <v/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0.98199391409271752</v>
      </c>
      <c r="AH84" s="256">
        <f>'Daily KPIs'!AI96</f>
        <v>7.2</v>
      </c>
      <c r="AI84" s="286">
        <f>AH84-AG84</f>
        <v>6.218006085907283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0</v>
      </c>
      <c r="H87" s="159">
        <f>IF('Entries October 2026'!M12-'Entries October 2026'!L12&lt;1,0,'Entries October 2026'!M12-'Entries October 2026'!L12)</f>
        <v>0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0</v>
      </c>
      <c r="K87" s="159">
        <f>IF('Entries October 2026'!L16-'Entries October 2026'!L15&lt;1,0,'Entries October 2026'!L16-'Entries October 2026'!L15)</f>
        <v>0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0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1447.3300000000017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 t="str">
        <f t="shared" si="49"/>
        <v/>
      </c>
      <c r="H89" s="160" t="str">
        <f t="shared" si="49"/>
        <v/>
      </c>
      <c r="I89" s="160" t="str">
        <f>IF(I87=0,"",I88/I87)</f>
        <v/>
      </c>
      <c r="J89" s="160" t="str">
        <f t="shared" si="49"/>
        <v/>
      </c>
      <c r="K89" s="160" t="str">
        <f t="shared" si="49"/>
        <v/>
      </c>
      <c r="L89" s="160" t="str">
        <f t="shared" si="49"/>
        <v/>
      </c>
      <c r="M89" s="160" t="str">
        <f t="shared" si="49"/>
        <v/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0</v>
      </c>
      <c r="G93" s="165">
        <f>'Daily KPIs'!G12</f>
        <v>0</v>
      </c>
      <c r="H93" s="165">
        <f>'Daily KPIs'!H12</f>
        <v>0</v>
      </c>
      <c r="I93" s="165">
        <f>'Daily KPIs'!I12</f>
        <v>0</v>
      </c>
      <c r="J93" s="165">
        <f>'Daily KPIs'!J12</f>
        <v>0</v>
      </c>
      <c r="K93" s="165">
        <f>'Daily KPIs'!K12</f>
        <v>0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400.5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>
        <f>'Daily KPIs'!F13</f>
        <v>0</v>
      </c>
      <c r="G94" s="166">
        <f>'Daily KPIs'!G10</f>
        <v>0</v>
      </c>
      <c r="H94" s="166">
        <f>'Daily KPIs'!H13</f>
        <v>0</v>
      </c>
      <c r="I94" s="166">
        <f>'Daily KPIs'!I13</f>
        <v>0</v>
      </c>
      <c r="J94" s="166">
        <f>'Daily KPIs'!J13</f>
        <v>0</v>
      </c>
      <c r="K94" s="166">
        <f>'Daily KPIs'!K13</f>
        <v>0</v>
      </c>
      <c r="L94" s="166">
        <f>'Daily KPIs'!L13</f>
        <v>0</v>
      </c>
      <c r="M94" s="166">
        <f>'Daily KPIs'!M13</f>
        <v>0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0</v>
      </c>
      <c r="G95" s="174">
        <f>'Daily KPIs'!G14</f>
        <v>0</v>
      </c>
      <c r="H95" s="174">
        <f>'Daily KPIs'!H14</f>
        <v>0</v>
      </c>
      <c r="I95" s="174">
        <f>'Daily KPIs'!I14</f>
        <v>0</v>
      </c>
      <c r="J95" s="174">
        <f>'Daily KPIs'!J14</f>
        <v>0</v>
      </c>
      <c r="K95" s="174">
        <f>'Daily KPIs'!K14</f>
        <v>0</v>
      </c>
      <c r="L95" s="174">
        <f>'Daily KPIs'!L14</f>
        <v>0</v>
      </c>
      <c r="M95" s="174">
        <f>'Daily KPIs'!M14</f>
        <v>0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8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 t="str">
        <f>+'Water '!$F12</f>
        <v>0</v>
      </c>
      <c r="H96" s="110" t="str">
        <f>+'Water '!$F13</f>
        <v>0</v>
      </c>
      <c r="I96" s="110" t="str">
        <f>+'Water '!$F14</f>
        <v>0</v>
      </c>
      <c r="J96" s="110" t="str">
        <f>+'Water '!$F15</f>
        <v>0</v>
      </c>
      <c r="K96" s="110" t="str">
        <f>+'Water '!$F16</f>
        <v>0</v>
      </c>
      <c r="L96" s="110" t="str">
        <f>+'Water '!$F17</f>
        <v>0</v>
      </c>
      <c r="M96" s="110" t="str">
        <f>+'Water '!$F18</f>
        <v>0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573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0</v>
      </c>
      <c r="H101" s="159">
        <f>'Daily KPIs CO2'!H52</f>
        <v>0</v>
      </c>
      <c r="I101" s="159">
        <f>'Daily KPIs CO2'!I52</f>
        <v>0</v>
      </c>
      <c r="J101" s="159">
        <f>'Daily KPIs CO2'!J52</f>
        <v>0</v>
      </c>
      <c r="K101" s="159">
        <f>'Daily KPIs CO2'!K52</f>
        <v>0</v>
      </c>
      <c r="L101" s="159">
        <f>'Daily KPIs CO2'!L52</f>
        <v>0</v>
      </c>
      <c r="M101" s="159">
        <f>'Daily KPIs CO2'!M52</f>
        <v>0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27066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84" priority="3" operator="greaterThan">
      <formula>26</formula>
    </cfRule>
  </conditionalFormatting>
  <conditionalFormatting sqref="B84:AF84">
    <cfRule type="cellIs" dxfId="83" priority="4" operator="greaterThan">
      <formula>6.8</formula>
    </cfRule>
  </conditionalFormatting>
  <conditionalFormatting sqref="D64:D65 D67 T69:AI70 D71 D73:D77">
    <cfRule type="cellIs" dxfId="82" priority="5" stopIfTrue="1" operator="greaterThan">
      <formula>3.8</formula>
    </cfRule>
  </conditionalFormatting>
  <conditionalFormatting sqref="D69:S69 B70:S70">
    <cfRule type="cellIs" dxfId="81" priority="13" stopIfTrue="1" operator="greaterThan">
      <formula>3.8</formula>
    </cfRule>
  </conditionalFormatting>
  <conditionalFormatting sqref="AI8">
    <cfRule type="cellIs" dxfId="80" priority="1" operator="greaterThan">
      <formula>0</formula>
    </cfRule>
    <cfRule type="cellIs" dxfId="79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B1" activePane="topRight" state="frozen"/>
      <selection pane="topRight" activeCell="I1" sqref="I1:AF1048576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hidden="1" customWidth="1"/>
    <col min="10" max="10" width="22.140625" style="469" hidden="1" customWidth="1"/>
    <col min="11" max="11" width="29.7109375" style="469" hidden="1" customWidth="1"/>
    <col min="12" max="12" width="30.5703125" style="469" hidden="1" customWidth="1"/>
    <col min="13" max="13" width="29.7109375" style="470" hidden="1" customWidth="1"/>
    <col min="14" max="32" width="29.7109375" style="469" hidden="1" customWidth="1"/>
    <col min="33" max="33" width="29.7109375" style="469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895"/>
      <c r="L3" s="895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894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894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82"/>
      <c r="E8" s="678"/>
      <c r="F8" s="678">
        <f>4947</f>
        <v>4947</v>
      </c>
      <c r="G8" s="678"/>
      <c r="H8" s="678"/>
      <c r="I8" s="678"/>
      <c r="J8" s="678"/>
      <c r="K8" s="678"/>
      <c r="L8" s="680"/>
      <c r="M8" s="680"/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90"/>
      <c r="AG8" s="747"/>
      <c r="AH8" s="480">
        <f>SUM(B8:AG8)</f>
        <v>14727</v>
      </c>
      <c r="AI8" s="526">
        <v>123950</v>
      </c>
      <c r="AJ8" s="294">
        <f>AH8-AI8</f>
        <v>-109223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F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/>
      <c r="H9" s="678">
        <f>H8*0.066</f>
        <v>0</v>
      </c>
      <c r="I9" s="678">
        <f>I8*0.066</f>
        <v>0</v>
      </c>
      <c r="J9" s="678">
        <f>J8*0.066</f>
        <v>0</v>
      </c>
      <c r="K9" s="678">
        <f>K8*0.066</f>
        <v>0</v>
      </c>
      <c r="L9" s="678">
        <f>L8*0.066</f>
        <v>0</v>
      </c>
      <c r="M9" s="678">
        <f t="shared" ref="M9:O9" si="1">M8*0.066</f>
        <v>0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82"/>
      <c r="AG9" s="748"/>
      <c r="AH9" s="484">
        <f>SUM(B9:AG9)</f>
        <v>977.60279999999989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800"/>
      <c r="F10" s="774" t="s">
        <v>307</v>
      </c>
      <c r="G10" s="681"/>
      <c r="H10" s="875"/>
      <c r="I10" s="875"/>
      <c r="J10" s="875"/>
      <c r="K10" s="875"/>
      <c r="L10" s="875"/>
      <c r="M10" s="681"/>
      <c r="N10" s="681"/>
      <c r="O10" s="882"/>
      <c r="P10" s="882"/>
      <c r="Q10" s="875"/>
      <c r="R10" s="883"/>
      <c r="S10" s="681"/>
      <c r="T10" s="681"/>
      <c r="U10" s="804"/>
      <c r="V10" s="800"/>
      <c r="W10" s="885"/>
      <c r="X10" s="885"/>
      <c r="Y10" s="875"/>
      <c r="Z10" s="875"/>
      <c r="AA10" s="800"/>
      <c r="AB10" s="805"/>
      <c r="AC10" s="882"/>
      <c r="AD10" s="882"/>
      <c r="AE10" s="875"/>
      <c r="AF10" s="891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/>
      <c r="G12" s="494"/>
      <c r="H12" s="494"/>
      <c r="I12" s="494"/>
      <c r="J12" s="494"/>
      <c r="K12" s="494"/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400.5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4" t="s">
        <v>307</v>
      </c>
      <c r="C13" s="774" t="s">
        <v>307</v>
      </c>
      <c r="D13" s="669"/>
      <c r="E13" s="803"/>
      <c r="F13" s="802"/>
      <c r="G13" s="669"/>
      <c r="H13" s="682"/>
      <c r="I13" s="752"/>
      <c r="J13" s="669"/>
      <c r="K13" s="669"/>
      <c r="L13" s="669"/>
      <c r="M13" s="802"/>
      <c r="N13" s="802"/>
      <c r="O13" s="669"/>
      <c r="P13" s="669"/>
      <c r="Q13" s="669"/>
      <c r="R13" s="681"/>
      <c r="S13" s="800"/>
      <c r="T13" s="804"/>
      <c r="U13" s="669"/>
      <c r="V13" s="804"/>
      <c r="W13" s="669"/>
      <c r="X13" s="669"/>
      <c r="Y13" s="669"/>
      <c r="Z13" s="669"/>
      <c r="AA13" s="669"/>
      <c r="AB13" s="798"/>
      <c r="AC13" s="882"/>
      <c r="AD13" s="889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8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11.610486891385769</v>
      </c>
      <c r="AI15" s="502"/>
      <c r="AJ15" s="503"/>
      <c r="AK15" s="291"/>
      <c r="AL15" s="291"/>
      <c r="AM15" s="291"/>
      <c r="AN15" s="291"/>
      <c r="AO15" s="799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 t="str">
        <f>+'Water '!$D12</f>
        <v>0</v>
      </c>
      <c r="H20" s="508" t="str">
        <f>+'Water '!$D13</f>
        <v>0</v>
      </c>
      <c r="I20" s="508" t="str">
        <f>+'Water '!$D14</f>
        <v>0</v>
      </c>
      <c r="J20" s="509" t="str">
        <f>+'Water '!$D15</f>
        <v>0</v>
      </c>
      <c r="K20" s="509" t="str">
        <f>+'Water '!$D16</f>
        <v>0</v>
      </c>
      <c r="L20" s="509" t="str">
        <f>+'Water '!$D17</f>
        <v>0</v>
      </c>
      <c r="M20" s="509" t="str">
        <f>+'Water '!$D18</f>
        <v>0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324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 t="str">
        <f>+'Water '!$E12</f>
        <v>0</v>
      </c>
      <c r="H21" s="511" t="str">
        <f>+'Water '!$E13</f>
        <v>0</v>
      </c>
      <c r="I21" s="511" t="str">
        <f>+'Water '!$E14</f>
        <v>0</v>
      </c>
      <c r="J21" s="511" t="str">
        <f>+'Water '!$E15</f>
        <v>0</v>
      </c>
      <c r="K21" s="511" t="str">
        <f>+'Water '!$E16</f>
        <v>0</v>
      </c>
      <c r="L21" s="511" t="str">
        <f>+'Water '!$E17</f>
        <v>0</v>
      </c>
      <c r="M21" s="511" t="str">
        <f>+'Water '!$E18</f>
        <v>0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556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142</v>
      </c>
      <c r="G22" s="514">
        <f t="shared" si="3"/>
        <v>0</v>
      </c>
      <c r="H22" s="514">
        <f t="shared" si="3"/>
        <v>0</v>
      </c>
      <c r="I22" s="514">
        <f>SUM(I19:I21)</f>
        <v>0</v>
      </c>
      <c r="J22" s="514">
        <f>SUM(J19:J21)</f>
        <v>0</v>
      </c>
      <c r="K22" s="514">
        <f t="shared" si="3"/>
        <v>0</v>
      </c>
      <c r="L22" s="514">
        <f>SUM(L19:L21)</f>
        <v>0</v>
      </c>
      <c r="M22" s="514">
        <f t="shared" si="3"/>
        <v>0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880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0</v>
      </c>
      <c r="H26" s="485">
        <f t="shared" si="4"/>
        <v>0</v>
      </c>
      <c r="I26" s="485">
        <f t="shared" si="4"/>
        <v>0</v>
      </c>
      <c r="J26" s="521">
        <f t="shared" si="4"/>
        <v>0</v>
      </c>
      <c r="K26" s="521">
        <f>0.73*(K71+K19)</f>
        <v>0</v>
      </c>
      <c r="L26" s="521">
        <f t="shared" si="4"/>
        <v>0</v>
      </c>
      <c r="M26" s="521">
        <f t="shared" si="4"/>
        <v>0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418.29</v>
      </c>
      <c r="AI26" s="523">
        <f>AH29+AH45+AH36</f>
        <v>1242</v>
      </c>
      <c r="AK26" s="524">
        <f>(AI26*10)/AH9</f>
        <v>12.704546263574533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0</v>
      </c>
      <c r="H29" s="508">
        <f>'Water '!H13</f>
        <v>0</v>
      </c>
      <c r="I29" s="508">
        <f>'Water '!H14</f>
        <v>0</v>
      </c>
      <c r="J29" s="509">
        <f>'Water '!H15</f>
        <v>0</v>
      </c>
      <c r="K29" s="509">
        <f>'Water '!H16</f>
        <v>0</v>
      </c>
      <c r="L29" s="509">
        <f>'Water '!H17</f>
        <v>0</v>
      </c>
      <c r="M29" s="509">
        <f>'Water '!H18</f>
        <v>0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717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>
        <f t="shared" si="5"/>
        <v>182</v>
      </c>
      <c r="G30" s="508" t="str">
        <f t="shared" si="5"/>
        <v>0</v>
      </c>
      <c r="H30" s="508" t="str">
        <f>H36</f>
        <v>0</v>
      </c>
      <c r="I30" s="508" t="str">
        <f t="shared" si="5"/>
        <v>0</v>
      </c>
      <c r="J30" s="509" t="str">
        <f t="shared" si="5"/>
        <v>0</v>
      </c>
      <c r="K30" s="509" t="str">
        <f t="shared" si="5"/>
        <v>0</v>
      </c>
      <c r="L30" s="509" t="str">
        <f t="shared" si="5"/>
        <v>0</v>
      </c>
      <c r="M30" s="509" t="str">
        <f t="shared" si="5"/>
        <v>0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465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>
        <f t="shared" si="6"/>
        <v>20</v>
      </c>
      <c r="G31" s="508" t="str">
        <f t="shared" si="6"/>
        <v>0</v>
      </c>
      <c r="H31" s="508" t="str">
        <f t="shared" si="6"/>
        <v>0</v>
      </c>
      <c r="I31" s="508" t="str">
        <f t="shared" si="6"/>
        <v>0</v>
      </c>
      <c r="J31" s="509" t="str">
        <f>J45</f>
        <v>0</v>
      </c>
      <c r="K31" s="509" t="str">
        <f>K45</f>
        <v>0</v>
      </c>
      <c r="L31" s="509" t="str">
        <f t="shared" si="6"/>
        <v>0</v>
      </c>
      <c r="M31" s="509" t="str">
        <f>M45</f>
        <v>0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60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388</v>
      </c>
      <c r="G32" s="526">
        <f t="shared" si="7"/>
        <v>0</v>
      </c>
      <c r="H32" s="526">
        <f t="shared" si="7"/>
        <v>0</v>
      </c>
      <c r="I32" s="526">
        <f t="shared" si="7"/>
        <v>0</v>
      </c>
      <c r="J32" s="527">
        <f t="shared" si="7"/>
        <v>0</v>
      </c>
      <c r="K32" s="527">
        <f>SUM(K28:K31)</f>
        <v>0</v>
      </c>
      <c r="L32" s="527">
        <f t="shared" si="7"/>
        <v>0</v>
      </c>
      <c r="M32" s="527">
        <f t="shared" si="7"/>
        <v>0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1242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 t="str">
        <f>+'Water '!$J12</f>
        <v>0</v>
      </c>
      <c r="H36" s="508" t="str">
        <f>+'Water '!$J13</f>
        <v>0</v>
      </c>
      <c r="I36" s="535" t="str">
        <f>+'Water '!$J14</f>
        <v>0</v>
      </c>
      <c r="J36" s="535" t="str">
        <f>+'Water '!$J15</f>
        <v>0</v>
      </c>
      <c r="K36" s="535" t="str">
        <f>+'Water '!$J16</f>
        <v>0</v>
      </c>
      <c r="L36" s="508" t="str">
        <f>+'Water '!$J17</f>
        <v>0</v>
      </c>
      <c r="M36" s="535" t="str">
        <f>+'Water '!$J18</f>
        <v>0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465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 t="str">
        <f>+'Water '!$N12</f>
        <v>0</v>
      </c>
      <c r="H41" s="539" t="str">
        <f>+'Water '!$N13</f>
        <v>0</v>
      </c>
      <c r="I41" s="539" t="str">
        <f>+'Water '!$N14</f>
        <v>0</v>
      </c>
      <c r="J41" s="539" t="str">
        <f>+'Water '!$N15</f>
        <v>0</v>
      </c>
      <c r="K41" s="539" t="str">
        <f>+'Water '!$N16</f>
        <v>0</v>
      </c>
      <c r="L41" s="539" t="str">
        <f>+'Water '!$N17</f>
        <v>0</v>
      </c>
      <c r="M41" s="657" t="str">
        <f>+'Water '!$N18</f>
        <v>0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141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 t="str">
        <f>+'Water '!$O12</f>
        <v>0</v>
      </c>
      <c r="H42" s="508" t="str">
        <f>+'Water '!$O13</f>
        <v>0</v>
      </c>
      <c r="I42" s="508" t="str">
        <f>+'Water '!$O14</f>
        <v>0</v>
      </c>
      <c r="J42" s="508" t="str">
        <f>+'Water '!$O15</f>
        <v>0</v>
      </c>
      <c r="K42" s="508" t="str">
        <f>+'Water '!$O16</f>
        <v>0</v>
      </c>
      <c r="L42" s="508" t="str">
        <f>+'Water '!$O17</f>
        <v>0</v>
      </c>
      <c r="M42" s="508" t="str">
        <f>+'Water '!$O18</f>
        <v>0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292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 t="str">
        <v>0</v>
      </c>
      <c r="H43" s="542" t="str">
        <v>0</v>
      </c>
      <c r="I43" s="542" t="str">
        <v>0</v>
      </c>
      <c r="J43" s="542" t="str">
        <v>0</v>
      </c>
      <c r="K43" s="542" t="str">
        <v>0</v>
      </c>
      <c r="L43" s="542" t="str">
        <v>0</v>
      </c>
      <c r="M43" s="542" t="str">
        <v>0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48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 t="str">
        <f>+'Water '!$M12</f>
        <v>0</v>
      </c>
      <c r="H44" s="508" t="str">
        <f>+'Water '!$M13</f>
        <v>0</v>
      </c>
      <c r="I44" s="508" t="str">
        <f>+'Water '!$M14</f>
        <v>0</v>
      </c>
      <c r="J44" s="508" t="str">
        <f>+'Water '!$M15</f>
        <v>0</v>
      </c>
      <c r="K44" s="508" t="str">
        <f>+'Water '!$M16</f>
        <v>0</v>
      </c>
      <c r="L44" s="508" t="str">
        <f>+'Water '!$M17</f>
        <v>0</v>
      </c>
      <c r="M44" s="508" t="str">
        <f>+'Water '!$M18</f>
        <v>0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6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 t="str">
        <f>+'Water '!$Q12</f>
        <v>0</v>
      </c>
      <c r="H45" s="539" t="str">
        <f>+'Water '!$Q13</f>
        <v>0</v>
      </c>
      <c r="I45" s="539" t="str">
        <f>+'Water '!$Q14</f>
        <v>0</v>
      </c>
      <c r="J45" s="539" t="str">
        <f>+'Water '!$Q15</f>
        <v>0</v>
      </c>
      <c r="K45" s="539" t="str">
        <f>+'Water '!$Q16</f>
        <v>0</v>
      </c>
      <c r="L45" s="539" t="str">
        <f>+'Water '!$Q17</f>
        <v>0</v>
      </c>
      <c r="M45" s="539" t="str">
        <f>+'Water '!$Q18</f>
        <v>0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60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370</v>
      </c>
      <c r="G50" s="484">
        <f>SUM(G36:G48)</f>
        <v>0</v>
      </c>
      <c r="H50" s="484">
        <f t="shared" si="8"/>
        <v>0</v>
      </c>
      <c r="I50" s="484">
        <f t="shared" si="8"/>
        <v>0</v>
      </c>
      <c r="J50" s="484">
        <f t="shared" si="8"/>
        <v>0</v>
      </c>
      <c r="K50" s="484">
        <f t="shared" si="8"/>
        <v>0</v>
      </c>
      <c r="L50" s="484">
        <f t="shared" si="8"/>
        <v>0</v>
      </c>
      <c r="M50" s="484">
        <f t="shared" si="8"/>
        <v>0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1012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>
        <f t="shared" si="9"/>
        <v>5.5742384426435363</v>
      </c>
      <c r="G54" s="545" t="str">
        <f>IF(G$9=0,"",+(G36*10)/G$9)</f>
        <v/>
      </c>
      <c r="H54" s="545" t="str">
        <f>IF(H$9=0,"",+(H36*10)/H$9)</f>
        <v/>
      </c>
      <c r="I54" s="545" t="str">
        <f t="shared" ref="I54:AF54" si="10">IF(I$9=0,"",+(I36*10)/I$9)</f>
        <v/>
      </c>
      <c r="J54" s="545" t="str">
        <f t="shared" si="10"/>
        <v/>
      </c>
      <c r="K54" s="545" t="str">
        <f t="shared" si="10"/>
        <v/>
      </c>
      <c r="L54" s="545" t="str">
        <f t="shared" si="10"/>
        <v/>
      </c>
      <c r="M54" s="545" t="str">
        <f t="shared" si="10"/>
        <v/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4.7565330213866002</v>
      </c>
      <c r="AI54" s="546">
        <v>3.2</v>
      </c>
      <c r="AJ54" s="547">
        <f t="shared" ref="AJ54:AJ67" si="11">AI54-AH54</f>
        <v>-1.5565330213866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>
        <f t="shared" si="14"/>
        <v>0</v>
      </c>
      <c r="G56" s="545" t="str">
        <f t="shared" ref="G56:H63" si="15">IF(G$9=0,"",+(G38*10)/G$9)</f>
        <v/>
      </c>
      <c r="H56" s="545" t="str">
        <f t="shared" si="15"/>
        <v/>
      </c>
      <c r="I56" s="545" t="str">
        <f t="shared" ref="I56:AF56" si="16">IF(I$9=0,"",+(I38*10)/I$9)</f>
        <v/>
      </c>
      <c r="J56" s="545" t="str">
        <f t="shared" si="16"/>
        <v/>
      </c>
      <c r="K56" s="545" t="str">
        <f t="shared" si="16"/>
        <v/>
      </c>
      <c r="L56" s="545" t="str">
        <f t="shared" si="16"/>
        <v/>
      </c>
      <c r="M56" s="545" t="str">
        <f t="shared" si="16"/>
        <v/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>
        <f t="shared" si="14"/>
        <v>0</v>
      </c>
      <c r="G57" s="549" t="str">
        <f t="shared" si="15"/>
        <v/>
      </c>
      <c r="H57" s="549" t="str">
        <f t="shared" si="15"/>
        <v/>
      </c>
      <c r="I57" s="549" t="str">
        <f t="shared" ref="I57:AE57" si="19">IF(I$9=0,"",+(I39*10)/I$9)</f>
        <v/>
      </c>
      <c r="J57" s="549" t="str">
        <f t="shared" si="19"/>
        <v/>
      </c>
      <c r="K57" s="549" t="str">
        <f t="shared" si="19"/>
        <v/>
      </c>
      <c r="L57" s="549" t="str">
        <f t="shared" si="19"/>
        <v/>
      </c>
      <c r="M57" s="549" t="str">
        <f t="shared" si="19"/>
        <v/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>
        <f t="shared" si="14"/>
        <v>0</v>
      </c>
      <c r="G58" s="545" t="str">
        <f t="shared" si="15"/>
        <v/>
      </c>
      <c r="H58" s="545" t="str">
        <f t="shared" si="15"/>
        <v/>
      </c>
      <c r="I58" s="545" t="str">
        <f t="shared" ref="I58:AF58" si="20">IF(I$9=0,"",+(I40*10)/I$9)</f>
        <v/>
      </c>
      <c r="J58" s="545" t="str">
        <f t="shared" si="20"/>
        <v/>
      </c>
      <c r="K58" s="545" t="str">
        <f t="shared" si="20"/>
        <v/>
      </c>
      <c r="L58" s="545" t="str">
        <f t="shared" si="20"/>
        <v/>
      </c>
      <c r="M58" s="545" t="str">
        <f t="shared" si="20"/>
        <v/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>
        <f t="shared" si="14"/>
        <v>1.1638519825299691</v>
      </c>
      <c r="G59" s="549" t="str">
        <f t="shared" si="15"/>
        <v/>
      </c>
      <c r="H59" s="549" t="str">
        <f t="shared" si="15"/>
        <v/>
      </c>
      <c r="I59" s="549" t="str">
        <f t="shared" ref="I59:AF59" si="21">IF(I$9=0,"",+(I41*10)/I$9)</f>
        <v/>
      </c>
      <c r="J59" s="549" t="str">
        <f t="shared" si="21"/>
        <v/>
      </c>
      <c r="K59" s="549" t="str">
        <f t="shared" si="21"/>
        <v/>
      </c>
      <c r="L59" s="549" t="str">
        <f t="shared" si="21"/>
        <v/>
      </c>
      <c r="M59" s="549" t="str">
        <f t="shared" si="21"/>
        <v/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1.4423035613236788</v>
      </c>
      <c r="AI59" s="550">
        <v>0.7</v>
      </c>
      <c r="AJ59" s="551">
        <f t="shared" si="11"/>
        <v>-0.74230356132367881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>
        <f t="shared" si="14"/>
        <v>3.4303005800883302</v>
      </c>
      <c r="G60" s="545" t="str">
        <f t="shared" si="15"/>
        <v/>
      </c>
      <c r="H60" s="545" t="str">
        <f t="shared" si="15"/>
        <v/>
      </c>
      <c r="I60" s="545" t="str">
        <f t="shared" ref="I60:AF60" si="22">IF(I$9=0,"",+(I42*10)/I$9)</f>
        <v/>
      </c>
      <c r="J60" s="545" t="str">
        <f t="shared" si="22"/>
        <v/>
      </c>
      <c r="K60" s="545" t="str">
        <f t="shared" si="22"/>
        <v/>
      </c>
      <c r="L60" s="545" t="str">
        <f>IF(L$9=0,"",+(L42*10)/L$9)</f>
        <v/>
      </c>
      <c r="M60" s="545" t="str">
        <f t="shared" si="22"/>
        <v/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2.9868981553653491</v>
      </c>
      <c r="AI60" s="555">
        <v>2.1</v>
      </c>
      <c r="AJ60" s="547">
        <f t="shared" si="11"/>
        <v>-0.88689815536534899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>
        <f t="shared" si="14"/>
        <v>0.52067062376340723</v>
      </c>
      <c r="G61" s="549" t="str">
        <f t="shared" si="15"/>
        <v/>
      </c>
      <c r="H61" s="549" t="str">
        <f t="shared" si="15"/>
        <v/>
      </c>
      <c r="I61" s="549" t="str">
        <f t="shared" ref="I61:AF61" si="23">IF(I$9=0,"",+(I43*10)/I$9)</f>
        <v/>
      </c>
      <c r="J61" s="549" t="str">
        <f t="shared" si="23"/>
        <v/>
      </c>
      <c r="K61" s="549" t="str">
        <f t="shared" si="23"/>
        <v/>
      </c>
      <c r="L61" s="549" t="str">
        <f t="shared" si="23"/>
        <v/>
      </c>
      <c r="M61" s="549" t="str">
        <f t="shared" si="23"/>
        <v/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0.49099695704635876</v>
      </c>
      <c r="AI61" s="550">
        <v>0.7</v>
      </c>
      <c r="AJ61" s="551">
        <f t="shared" si="11"/>
        <v>0.20900304295364119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>
        <f t="shared" si="14"/>
        <v>3.0627683750788663E-2</v>
      </c>
      <c r="G62" s="545" t="str">
        <f t="shared" si="15"/>
        <v/>
      </c>
      <c r="H62" s="545" t="str">
        <f t="shared" si="15"/>
        <v/>
      </c>
      <c r="I62" s="545" t="str">
        <f t="shared" ref="I62:AF62" si="24">IF(I$9=0,"",+(I44*10)/I$9)</f>
        <v/>
      </c>
      <c r="J62" s="545" t="str">
        <f t="shared" si="24"/>
        <v/>
      </c>
      <c r="K62" s="545" t="str">
        <f t="shared" si="24"/>
        <v/>
      </c>
      <c r="L62" s="545" t="str">
        <f t="shared" si="24"/>
        <v/>
      </c>
      <c r="M62" s="545" t="str">
        <f t="shared" si="24"/>
        <v/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6.1374619630794845E-2</v>
      </c>
      <c r="AI62" s="555">
        <v>0.1</v>
      </c>
      <c r="AJ62" s="547">
        <f t="shared" si="11"/>
        <v>3.862538036920516E-2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>
        <f t="shared" si="25"/>
        <v>0.61255367501577329</v>
      </c>
      <c r="G63" s="569" t="str">
        <f t="shared" si="15"/>
        <v/>
      </c>
      <c r="H63" s="569" t="str">
        <f t="shared" si="15"/>
        <v/>
      </c>
      <c r="I63" s="569" t="str">
        <f t="shared" si="25"/>
        <v/>
      </c>
      <c r="J63" s="569" t="str">
        <f t="shared" si="25"/>
        <v/>
      </c>
      <c r="K63" s="569" t="str">
        <f t="shared" si="25"/>
        <v/>
      </c>
      <c r="L63" s="569" t="str">
        <f t="shared" si="25"/>
        <v/>
      </c>
      <c r="M63" s="569" t="str">
        <f t="shared" si="25"/>
        <v/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0.61374619630794847</v>
      </c>
      <c r="AI63" s="550">
        <v>0.6</v>
      </c>
      <c r="AJ63" s="551">
        <f t="shared" si="11"/>
        <v>-1.3746196307948488E-2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>
        <f t="shared" si="26"/>
        <v>0</v>
      </c>
      <c r="G65" s="575" t="str">
        <f>IF(G$9=0,"",+(G46*10)/G$9)</f>
        <v/>
      </c>
      <c r="H65" s="549" t="str">
        <f>IF(H$9=0,"",+(H46*10)/H$9)</f>
        <v/>
      </c>
      <c r="I65" s="549" t="str">
        <f t="shared" si="26"/>
        <v/>
      </c>
      <c r="J65" s="549" t="str">
        <f>IF(J$9=0,"",+(J46*10)/J$9)</f>
        <v/>
      </c>
      <c r="K65" s="549" t="str">
        <f t="shared" si="26"/>
        <v/>
      </c>
      <c r="L65" s="575" t="str">
        <f t="shared" si="26"/>
        <v/>
      </c>
      <c r="M65" s="549" t="str">
        <f t="shared" si="26"/>
        <v/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11.332242987791805</v>
      </c>
      <c r="G68" s="584">
        <f t="shared" si="27"/>
        <v>0</v>
      </c>
      <c r="H68" s="584">
        <f t="shared" si="27"/>
        <v>0</v>
      </c>
      <c r="I68" s="584">
        <f t="shared" si="27"/>
        <v>0</v>
      </c>
      <c r="J68" s="585">
        <f t="shared" si="27"/>
        <v>0</v>
      </c>
      <c r="K68" s="585">
        <f t="shared" si="27"/>
        <v>0</v>
      </c>
      <c r="L68" s="585">
        <f t="shared" si="27"/>
        <v>0</v>
      </c>
      <c r="M68" s="585">
        <f t="shared" si="27"/>
        <v>0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10.351852511060731</v>
      </c>
      <c r="AI68" s="584">
        <f>SUM(AI54:AI63,AI65)</f>
        <v>9.6</v>
      </c>
      <c r="AJ68" s="547">
        <f t="shared" si="27"/>
        <v>-0.75185251106072992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3.9815988876025261</v>
      </c>
      <c r="G69" s="587">
        <f t="shared" si="28"/>
        <v>0</v>
      </c>
      <c r="H69" s="587">
        <f t="shared" si="28"/>
        <v>0</v>
      </c>
      <c r="I69" s="587">
        <f t="shared" si="28"/>
        <v>0</v>
      </c>
      <c r="J69" s="588">
        <f t="shared" si="28"/>
        <v>0</v>
      </c>
      <c r="K69" s="588">
        <f t="shared" si="28"/>
        <v>0</v>
      </c>
      <c r="L69" s="588">
        <f t="shared" si="28"/>
        <v>0</v>
      </c>
      <c r="M69" s="588">
        <f t="shared" si="28"/>
        <v>0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3.5392697320425026</v>
      </c>
      <c r="AI69" s="587">
        <f t="shared" si="28"/>
        <v>2.9</v>
      </c>
      <c r="AJ69" s="587">
        <f t="shared" si="28"/>
        <v>-0.6392697320425027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 t="str">
        <f>+'Water '!$F12</f>
        <v>0</v>
      </c>
      <c r="H71" s="592" t="str">
        <f>+'Water '!$F13</f>
        <v>0</v>
      </c>
      <c r="I71" s="592" t="str">
        <f>+'Water '!$F14</f>
        <v>0</v>
      </c>
      <c r="J71" s="593" t="str">
        <f>+'Water '!$F15</f>
        <v>0</v>
      </c>
      <c r="K71" s="593" t="str">
        <f>+'Water '!$F16</f>
        <v>0</v>
      </c>
      <c r="L71" s="593" t="str">
        <f>+'Water '!$F17</f>
        <v>0</v>
      </c>
      <c r="M71" s="593" t="str">
        <f>+'Water '!$F18</f>
        <v>0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573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83" t="s">
        <v>220</v>
      </c>
      <c r="B74" s="795">
        <v>1600</v>
      </c>
      <c r="C74" s="892">
        <v>1142</v>
      </c>
      <c r="D74" s="881">
        <v>0</v>
      </c>
      <c r="E74" s="881">
        <v>0</v>
      </c>
      <c r="F74" s="794">
        <v>1583</v>
      </c>
      <c r="G74" s="794"/>
      <c r="H74" s="794"/>
      <c r="I74" s="794"/>
      <c r="J74" s="795"/>
      <c r="K74" s="881"/>
      <c r="L74" s="881"/>
      <c r="M74" s="881"/>
      <c r="N74" s="881"/>
      <c r="O74" s="881"/>
      <c r="P74" s="881"/>
      <c r="Q74" s="795"/>
      <c r="R74" s="881"/>
      <c r="S74" s="794"/>
      <c r="T74" s="794"/>
      <c r="U74" s="794"/>
      <c r="V74" s="794"/>
      <c r="W74" s="887"/>
      <c r="X74" s="881"/>
      <c r="Y74" s="881"/>
      <c r="Z74" s="881"/>
      <c r="AA74" s="881"/>
      <c r="AB74" s="881"/>
      <c r="AC74" s="881"/>
      <c r="AD74" s="881"/>
      <c r="AE74" s="881"/>
      <c r="AF74" s="881"/>
      <c r="AG74" s="794"/>
      <c r="AH74" s="516">
        <f>SUM(B74:AF74)</f>
        <v>4325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4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 t="str">
        <v>0</v>
      </c>
      <c r="H75" s="601" t="str">
        <v>0</v>
      </c>
      <c r="I75" s="601" t="str">
        <v>0</v>
      </c>
      <c r="J75" s="601" t="str">
        <v>0</v>
      </c>
      <c r="K75" s="601" t="str">
        <v>0</v>
      </c>
      <c r="L75" s="601" t="str">
        <v>0</v>
      </c>
      <c r="M75" s="601" t="str">
        <v>0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5" t="str">
        <v>0</v>
      </c>
      <c r="AG75" s="599"/>
      <c r="AH75" s="516">
        <f>SUM(B75:AF75)</f>
        <v>4304.4100000000326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6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 t="str">
        <v>0</v>
      </c>
      <c r="H76" s="604" t="str">
        <v>0</v>
      </c>
      <c r="I76" s="604" t="str">
        <v>0</v>
      </c>
      <c r="J76" s="604" t="str">
        <v>0</v>
      </c>
      <c r="K76" s="604" t="str">
        <v>0</v>
      </c>
      <c r="L76" s="604" t="str">
        <v>0</v>
      </c>
      <c r="M76" s="604" t="str">
        <v>0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7" t="str">
        <v>0</v>
      </c>
      <c r="AG76" s="604"/>
      <c r="AH76" s="604">
        <f>SUM($B76:AF76)</f>
        <v>519.26000000000931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8" t="s">
        <v>292</v>
      </c>
      <c r="B77" s="789" cm="1">
        <f t="array" ref="B77:AF77">TRANSPOSE('CO2'!C7:C37)</f>
        <v>564.13000000000466</v>
      </c>
      <c r="C77" s="789">
        <v>475.41000000000349</v>
      </c>
      <c r="D77" s="789" t="str">
        <v>0</v>
      </c>
      <c r="E77" s="789" t="str">
        <v>0</v>
      </c>
      <c r="F77" s="789">
        <v>407.7899999999936</v>
      </c>
      <c r="G77" s="789" t="str">
        <v>0</v>
      </c>
      <c r="H77" s="789" t="str">
        <v>0</v>
      </c>
      <c r="I77" s="789" t="str">
        <v>0</v>
      </c>
      <c r="J77" s="607" t="str">
        <v>0</v>
      </c>
      <c r="K77" s="607" t="str">
        <v>0</v>
      </c>
      <c r="L77" s="607" t="str">
        <v>0</v>
      </c>
      <c r="M77" s="607" t="str">
        <v>0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90" t="str">
        <v>0</v>
      </c>
      <c r="AG77" s="607"/>
      <c r="AH77" s="604">
        <f>SUM($B77:AF77)</f>
        <v>1447.3300000000017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91" t="s">
        <v>293</v>
      </c>
      <c r="B78" s="792">
        <f>B75-B76-B77</f>
        <v>821.00999999996566</v>
      </c>
      <c r="C78" s="792">
        <f t="shared" ref="C78:T78" si="29">C75-C76-C77</f>
        <v>520.11000000000058</v>
      </c>
      <c r="D78" s="792">
        <f t="shared" si="29"/>
        <v>0</v>
      </c>
      <c r="E78" s="792">
        <f t="shared" si="29"/>
        <v>0</v>
      </c>
      <c r="F78" s="792">
        <f t="shared" si="29"/>
        <v>996.7000000000553</v>
      </c>
      <c r="G78" s="792">
        <f t="shared" si="29"/>
        <v>0</v>
      </c>
      <c r="H78" s="792">
        <f t="shared" si="29"/>
        <v>0</v>
      </c>
      <c r="I78" s="792">
        <f t="shared" si="29"/>
        <v>0</v>
      </c>
      <c r="J78" s="792">
        <f t="shared" si="29"/>
        <v>0</v>
      </c>
      <c r="K78" s="792">
        <f t="shared" si="29"/>
        <v>0</v>
      </c>
      <c r="L78" s="792">
        <f t="shared" si="29"/>
        <v>0</v>
      </c>
      <c r="M78" s="792">
        <f t="shared" si="29"/>
        <v>0</v>
      </c>
      <c r="N78" s="792">
        <f t="shared" si="29"/>
        <v>0</v>
      </c>
      <c r="O78" s="792">
        <f t="shared" si="29"/>
        <v>0</v>
      </c>
      <c r="P78" s="792">
        <f t="shared" si="29"/>
        <v>0</v>
      </c>
      <c r="Q78" s="792">
        <f t="shared" si="29"/>
        <v>0</v>
      </c>
      <c r="R78" s="792">
        <f t="shared" si="29"/>
        <v>0</v>
      </c>
      <c r="S78" s="792">
        <f t="shared" si="29"/>
        <v>0</v>
      </c>
      <c r="T78" s="792">
        <f t="shared" si="29"/>
        <v>0</v>
      </c>
      <c r="U78" s="792">
        <f>U75-U76-U77</f>
        <v>0</v>
      </c>
      <c r="V78" s="792">
        <f>V75-V76-V77</f>
        <v>0</v>
      </c>
      <c r="W78" s="886">
        <f t="shared" ref="W78:AB78" si="30">W75-W76-W77</f>
        <v>0</v>
      </c>
      <c r="X78" s="792">
        <f t="shared" si="30"/>
        <v>0</v>
      </c>
      <c r="Y78" s="792">
        <f t="shared" si="30"/>
        <v>0</v>
      </c>
      <c r="Z78" s="792">
        <f t="shared" si="30"/>
        <v>0</v>
      </c>
      <c r="AA78" s="792">
        <f t="shared" si="30"/>
        <v>0</v>
      </c>
      <c r="AB78" s="792">
        <f t="shared" si="30"/>
        <v>0</v>
      </c>
      <c r="AC78" s="792">
        <f>AC75-AC76-AC77</f>
        <v>0</v>
      </c>
      <c r="AD78" s="792">
        <f t="shared" ref="AD78:AE78" si="31">AD75-AD76-AD77</f>
        <v>0</v>
      </c>
      <c r="AE78" s="792">
        <f t="shared" si="31"/>
        <v>0</v>
      </c>
      <c r="AF78" s="793">
        <f>AF75-AF76-AF77</f>
        <v>0</v>
      </c>
      <c r="AG78" s="485">
        <f t="shared" ref="AG78" si="32">AG75-AG76-AG77</f>
        <v>0</v>
      </c>
      <c r="AH78" s="484">
        <f>AH75-AH76-AH77</f>
        <v>2337.8200000000215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0</v>
      </c>
      <c r="J79" s="610">
        <f>'Daily KPIs CO2'!J47</f>
        <v>0</v>
      </c>
      <c r="K79" s="610">
        <f>'Daily KPIs CO2'!K47</f>
        <v>0</v>
      </c>
      <c r="L79" s="610" t="s">
        <v>237</v>
      </c>
      <c r="M79" s="610">
        <f>'Daily KPIs CO2'!M47</f>
        <v>0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0</v>
      </c>
      <c r="H80" s="612">
        <v>0</v>
      </c>
      <c r="I80" s="612">
        <v>0</v>
      </c>
      <c r="J80" s="612">
        <v>0</v>
      </c>
      <c r="K80" s="613">
        <v>0</v>
      </c>
      <c r="L80" s="613">
        <v>0</v>
      </c>
      <c r="M80" s="613">
        <v>0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27066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0</v>
      </c>
      <c r="F82" s="614">
        <v>0</v>
      </c>
      <c r="G82" s="614">
        <v>0</v>
      </c>
      <c r="H82" s="614">
        <v>0</v>
      </c>
      <c r="I82" s="614">
        <v>0</v>
      </c>
      <c r="J82" s="617">
        <v>0</v>
      </c>
      <c r="K82" s="617">
        <v>0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32611.699999999997</v>
      </c>
      <c r="AF82" s="617">
        <v>0</v>
      </c>
      <c r="AG82" s="617"/>
      <c r="AH82" s="594">
        <f>SUM(B82:AF82)</f>
        <v>48136.6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6" customFormat="1" x14ac:dyDescent="0.4">
      <c r="A83" s="797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0</v>
      </c>
      <c r="H83" s="594">
        <v>0</v>
      </c>
      <c r="I83" s="594">
        <v>0</v>
      </c>
      <c r="J83" s="621">
        <v>0</v>
      </c>
      <c r="K83" s="621">
        <v>0</v>
      </c>
      <c r="L83" s="621">
        <v>0</v>
      </c>
      <c r="M83" s="621">
        <v>0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5545.7000000000007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 t="str">
        <v>0</v>
      </c>
      <c r="H84" s="619" t="str">
        <v>0</v>
      </c>
      <c r="I84" s="619" t="str">
        <v>0</v>
      </c>
      <c r="J84" s="620" t="str">
        <v>0</v>
      </c>
      <c r="K84" s="620" t="str">
        <v>0</v>
      </c>
      <c r="L84" s="620" t="str">
        <v>0</v>
      </c>
      <c r="M84" s="620" t="str">
        <v>0</v>
      </c>
      <c r="N84" s="620" t="str">
        <v>0</v>
      </c>
      <c r="O84" s="620" t="str">
        <v>0</v>
      </c>
      <c r="P84" s="620" t="str">
        <v>0</v>
      </c>
      <c r="Q84" s="620" t="str">
        <v>0</v>
      </c>
      <c r="R84" s="620" t="str">
        <v>0</v>
      </c>
      <c r="S84" s="620" t="str">
        <v>0</v>
      </c>
      <c r="T84" s="620" t="str">
        <v>0</v>
      </c>
      <c r="U84" s="620" t="str">
        <v>0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9477.1000000000931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 t="str">
        <f>'Steam Mass Flow '!B10</f>
        <v>0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0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>
        <f t="shared" si="33"/>
        <v>4.3491310926119899</v>
      </c>
      <c r="G90" s="653" t="str">
        <f>IF(G$9=0,"",+(G22*10)/G$9)</f>
        <v/>
      </c>
      <c r="H90" s="653" t="str">
        <f>IF(H$9=0,"",+(H22*10)/H$9)</f>
        <v/>
      </c>
      <c r="I90" s="653" t="str">
        <f t="shared" si="33"/>
        <v/>
      </c>
      <c r="J90" s="653" t="str">
        <f t="shared" si="33"/>
        <v/>
      </c>
      <c r="K90" s="653" t="str">
        <f t="shared" si="33"/>
        <v/>
      </c>
      <c r="L90" s="653" t="str">
        <f t="shared" si="33"/>
        <v/>
      </c>
      <c r="M90" s="653" t="str">
        <f t="shared" si="33"/>
        <v/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9.0016108791832448</v>
      </c>
      <c r="AI90" s="662">
        <v>10.199999999999999</v>
      </c>
      <c r="AJ90" s="665">
        <f>+AI90-AH90</f>
        <v>1.1983891208167545</v>
      </c>
      <c r="AK90" s="667">
        <f>AH90/AI90*100</f>
        <v>88.251087050816139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>
        <f t="shared" si="35"/>
        <v>4.0277072399977429</v>
      </c>
      <c r="D92" s="653" t="str">
        <f t="shared" si="35"/>
        <v/>
      </c>
      <c r="E92" s="653" t="str">
        <f t="shared" si="35"/>
        <v/>
      </c>
      <c r="F92" s="653">
        <f t="shared" si="35"/>
        <v>4.8483623377498448</v>
      </c>
      <c r="G92" s="653" t="str">
        <f>IF(G$9=0,"",+G74/G$9)</f>
        <v/>
      </c>
      <c r="H92" s="653" t="str">
        <f>IF(H$9=0,"",+H74/H$9)</f>
        <v/>
      </c>
      <c r="I92" s="653" t="str">
        <f t="shared" si="35"/>
        <v/>
      </c>
      <c r="J92" s="653" t="str">
        <f t="shared" si="35"/>
        <v/>
      </c>
      <c r="K92" s="653" t="str">
        <f t="shared" si="35"/>
        <v/>
      </c>
      <c r="L92" s="653" t="str">
        <f t="shared" si="35"/>
        <v/>
      </c>
      <c r="M92" s="653" t="str">
        <f t="shared" si="35"/>
        <v/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4.4240871650531286</v>
      </c>
      <c r="AI92" s="674">
        <v>5</v>
      </c>
      <c r="AJ92" s="675">
        <f>AI92-AH92</f>
        <v>0.5759128349468714</v>
      </c>
      <c r="AK92" s="673">
        <f t="shared" si="34"/>
        <v>88.481743301062579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>
        <f t="shared" si="36"/>
        <v>0.54768424083162426</v>
      </c>
      <c r="G93" s="653" t="str">
        <f>IF(G$9=0,"",+G76/G$9)</f>
        <v/>
      </c>
      <c r="H93" s="653" t="str">
        <f>IF(H$9=0,"",+H76/H$9)</f>
        <v/>
      </c>
      <c r="I93" s="653" t="str">
        <f t="shared" si="36"/>
        <v/>
      </c>
      <c r="J93" s="653" t="str">
        <f t="shared" si="36"/>
        <v/>
      </c>
      <c r="K93" s="653" t="str">
        <f t="shared" si="36"/>
        <v/>
      </c>
      <c r="L93" s="653" t="str">
        <f t="shared" si="36"/>
        <v/>
      </c>
      <c r="M93" s="653" t="str">
        <f t="shared" si="36"/>
        <v/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0.53115641649145173</v>
      </c>
      <c r="AI93" s="674">
        <v>1.7</v>
      </c>
      <c r="AJ93" s="676">
        <f>AI93-AH93</f>
        <v>1.1688435835085482</v>
      </c>
      <c r="AK93" s="673">
        <f t="shared" si="34"/>
        <v>31.244495087732453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>
        <f t="shared" si="37"/>
        <v>18.973850083613577</v>
      </c>
      <c r="G94" s="653" t="str">
        <f>IF(G$9=0,"",(G80+G83)/G$9)</f>
        <v/>
      </c>
      <c r="H94" s="653" t="str">
        <f>IF(H$9=0,"",(H80+H83)/H$9)</f>
        <v/>
      </c>
      <c r="I94" s="653" t="str">
        <f t="shared" si="37"/>
        <v/>
      </c>
      <c r="J94" s="653" t="str">
        <f t="shared" si="37"/>
        <v/>
      </c>
      <c r="K94" s="653" t="str">
        <f>IF(K$9=0,"",(K80+K83)/K$9)</f>
        <v/>
      </c>
      <c r="L94" s="653" t="str">
        <f t="shared" si="37"/>
        <v/>
      </c>
      <c r="M94" s="653" t="str">
        <f t="shared" si="37"/>
        <v/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33.358844716893202</v>
      </c>
      <c r="AI94" s="674">
        <v>22</v>
      </c>
      <c r="AJ94" s="675">
        <f>AI94-AH94</f>
        <v>-11.358844716893202</v>
      </c>
      <c r="AK94" s="673">
        <f>AH94/AI94*100</f>
        <v>151.63111234951455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23.913802210877687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9.0248032455772513</v>
      </c>
      <c r="C96" s="653">
        <f t="shared" si="38"/>
        <v>7.8829496078102714</v>
      </c>
      <c r="D96" s="654" t="str">
        <f t="shared" si="38"/>
        <v/>
      </c>
      <c r="E96" s="653" t="str">
        <f t="shared" si="38"/>
        <v/>
      </c>
      <c r="F96" s="653">
        <f t="shared" si="38"/>
        <v>10.265174485914613</v>
      </c>
      <c r="G96" s="653" t="str">
        <f>IF(G$9=0,"",G84/G$9)</f>
        <v/>
      </c>
      <c r="H96" s="654" t="str">
        <f>IF(H$9=0,"",H84/H$9)</f>
        <v/>
      </c>
      <c r="I96" s="654" t="str">
        <f t="shared" si="38"/>
        <v/>
      </c>
      <c r="J96" s="654" t="str">
        <f t="shared" ref="J96:AE96" si="39">IF(J$9=0,"",J84/J$9)</f>
        <v/>
      </c>
      <c r="K96" s="654" t="str">
        <f t="shared" si="39"/>
        <v/>
      </c>
      <c r="L96" s="654" t="str">
        <f t="shared" si="39"/>
        <v/>
      </c>
      <c r="M96" s="654" t="str">
        <f t="shared" si="39"/>
        <v/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9.6942234617168594</v>
      </c>
      <c r="AI96" s="663">
        <v>7.2</v>
      </c>
      <c r="AJ96" s="677">
        <f>AI96-AH96</f>
        <v>-2.4942234617168593</v>
      </c>
      <c r="AK96" s="668">
        <f t="shared" si="34"/>
        <v>134.64199252384529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0</v>
      </c>
      <c r="H103" s="649">
        <f>IF('Entries October 2026'!M12-'Entries October 2026'!L12&lt;1,0,'Entries October 2026'!M12-'Entries October 2026'!L12)</f>
        <v>0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0</v>
      </c>
      <c r="K103" s="650">
        <f>IF('Entries October 2026'!L16-'Entries October 2026'!L15&lt;1,0,'Entries October 2026'!L16-'Entries October 2026'!L15)</f>
        <v>0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0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>
        <f t="shared" si="41"/>
        <v>0</v>
      </c>
      <c r="G105" s="651" t="s">
        <v>55</v>
      </c>
      <c r="H105" s="651" t="str">
        <f t="shared" si="41"/>
        <v/>
      </c>
      <c r="I105" s="651" t="str">
        <f>IF(I103=0,"",I104/I103)</f>
        <v/>
      </c>
      <c r="J105" s="652" t="str">
        <f t="shared" si="41"/>
        <v/>
      </c>
      <c r="K105" s="652" t="str">
        <f t="shared" si="41"/>
        <v/>
      </c>
      <c r="L105" s="652" t="str">
        <f t="shared" si="41"/>
        <v/>
      </c>
      <c r="M105" s="652" t="str">
        <f t="shared" si="41"/>
        <v/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0</v>
      </c>
      <c r="H116" s="649">
        <f>'Daily KPIs'!H80</f>
        <v>0</v>
      </c>
      <c r="I116" s="649">
        <f>'Daily KPIs'!I80</f>
        <v>0</v>
      </c>
      <c r="J116" s="650">
        <f>'Daily KPIs'!J80</f>
        <v>0</v>
      </c>
      <c r="K116" s="650">
        <f>'Daily KPIs'!K80</f>
        <v>0</v>
      </c>
      <c r="L116" s="650">
        <f>'Daily KPIs'!L80</f>
        <v>0</v>
      </c>
      <c r="M116" s="650">
        <f>'Daily KPIs'!M80</f>
        <v>0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27066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4">
        <f>AH83/(AH83+AH80)</f>
        <v>0.17005246583281461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78" priority="127" operator="greaterThan">
      <formula>$AI$93</formula>
    </cfRule>
  </conditionalFormatting>
  <conditionalFormatting sqref="B90:AF90">
    <cfRule type="cellIs" dxfId="77" priority="36" operator="greaterThan">
      <formula>10.2</formula>
    </cfRule>
  </conditionalFormatting>
  <conditionalFormatting sqref="B92:AF92">
    <cfRule type="cellIs" dxfId="76" priority="26" operator="greaterThan">
      <formula>5</formula>
    </cfRule>
    <cfRule type="cellIs" dxfId="75" priority="27" operator="lessThanOrEqual">
      <formula>5</formula>
    </cfRule>
  </conditionalFormatting>
  <conditionalFormatting sqref="B93:AF93">
    <cfRule type="cellIs" dxfId="74" priority="34" operator="greaterThan">
      <formula>1.7</formula>
    </cfRule>
  </conditionalFormatting>
  <conditionalFormatting sqref="B94:AF94">
    <cfRule type="cellIs" dxfId="73" priority="33" operator="greaterThan">
      <formula>22</formula>
    </cfRule>
  </conditionalFormatting>
  <conditionalFormatting sqref="B96:AF96">
    <cfRule type="cellIs" dxfId="72" priority="32" operator="greaterThan">
      <formula>7.2</formula>
    </cfRule>
  </conditionalFormatting>
  <conditionalFormatting sqref="B22:AG22">
    <cfRule type="cellIs" dxfId="71" priority="101" operator="greaterThan">
      <formula>400</formula>
    </cfRule>
  </conditionalFormatting>
  <conditionalFormatting sqref="B42:AG42">
    <cfRule type="cellIs" dxfId="70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69" priority="1174" operator="greaterThan">
      <formula>$AI$94</formula>
    </cfRule>
  </conditionalFormatting>
  <conditionalFormatting sqref="B96:AG96">
    <cfRule type="cellIs" dxfId="68" priority="1176" operator="greaterThan">
      <formula>$AI$96</formula>
    </cfRule>
  </conditionalFormatting>
  <conditionalFormatting sqref="B15:AH15">
    <cfRule type="cellIs" dxfId="67" priority="1" operator="greaterThan">
      <formula>3.2</formula>
    </cfRule>
  </conditionalFormatting>
  <conditionalFormatting sqref="B54:AH54">
    <cfRule type="cellIs" dxfId="66" priority="123" operator="greaterThan">
      <formula>3.2</formula>
    </cfRule>
  </conditionalFormatting>
  <conditionalFormatting sqref="B56:AH56">
    <cfRule type="cellIs" dxfId="65" priority="61" operator="greaterThan">
      <formula>0.1</formula>
    </cfRule>
  </conditionalFormatting>
  <conditionalFormatting sqref="B57:AH57 B59:AH59 B61:AH61">
    <cfRule type="cellIs" dxfId="64" priority="62" operator="greaterThan">
      <formula>0.7</formula>
    </cfRule>
  </conditionalFormatting>
  <conditionalFormatting sqref="B58:AH58 B62:AH62">
    <cfRule type="cellIs" dxfId="63" priority="63" operator="greaterThan">
      <formula>1</formula>
    </cfRule>
  </conditionalFormatting>
  <conditionalFormatting sqref="B60:AH60">
    <cfRule type="cellIs" dxfId="62" priority="22" operator="greaterThan">
      <formula>2.1</formula>
    </cfRule>
  </conditionalFormatting>
  <conditionalFormatting sqref="B65:AH65">
    <cfRule type="cellIs" dxfId="61" priority="56" operator="greaterThan">
      <formula>0.3</formula>
    </cfRule>
  </conditionalFormatting>
  <conditionalFormatting sqref="B68:AH68">
    <cfRule type="cellIs" dxfId="60" priority="58" operator="greaterThan">
      <formula>9.6</formula>
    </cfRule>
  </conditionalFormatting>
  <conditionalFormatting sqref="B69:AH69">
    <cfRule type="cellIs" dxfId="59" priority="59" operator="greaterThan">
      <formula>2.9</formula>
    </cfRule>
  </conditionalFormatting>
  <conditionalFormatting sqref="B92:AH92">
    <cfRule type="cellIs" dxfId="58" priority="48" operator="greaterThan">
      <formula>5.04</formula>
    </cfRule>
  </conditionalFormatting>
  <conditionalFormatting sqref="B93:AH93">
    <cfRule type="cellIs" dxfId="57" priority="44" operator="greaterThan">
      <formula>1.7</formula>
    </cfRule>
    <cfRule type="cellIs" dxfId="56" priority="43" operator="greaterThan">
      <formula>1.7</formula>
    </cfRule>
  </conditionalFormatting>
  <conditionalFormatting sqref="B96:AH96">
    <cfRule type="cellIs" dxfId="55" priority="37" operator="greaterThan">
      <formula>7.2</formula>
    </cfRule>
  </conditionalFormatting>
  <conditionalFormatting sqref="E96">
    <cfRule type="cellIs" dxfId="54" priority="39" operator="greaterThan">
      <formula>7.2</formula>
    </cfRule>
  </conditionalFormatting>
  <conditionalFormatting sqref="I63:AH63">
    <cfRule type="cellIs" dxfId="53" priority="68" operator="greaterThan">
      <formula>0.6</formula>
    </cfRule>
  </conditionalFormatting>
  <conditionalFormatting sqref="AC54:AG54">
    <cfRule type="cellIs" dxfId="52" priority="82" operator="greaterThan">
      <formula>$AI$54</formula>
    </cfRule>
  </conditionalFormatting>
  <conditionalFormatting sqref="AC55:AG59 AC61:AG61 AC63:AG63 B64:AG64">
    <cfRule type="cellIs" dxfId="51" priority="1135" operator="greaterThan">
      <formula>$AI59</formula>
    </cfRule>
  </conditionalFormatting>
  <conditionalFormatting sqref="AH94">
    <cfRule type="cellIs" dxfId="50" priority="28" operator="lessThanOrEqual">
      <formula>22</formula>
    </cfRule>
  </conditionalFormatting>
  <conditionalFormatting sqref="AH94:AH96 B90:AH90 AH91">
    <cfRule type="cellIs" dxfId="49" priority="1168" operator="greaterThan">
      <formula>$AI$90</formula>
    </cfRule>
  </conditionalFormatting>
  <conditionalFormatting sqref="AH96">
    <cfRule type="cellIs" dxfId="48" priority="29" operator="greaterThan">
      <formula>7.2</formula>
    </cfRule>
    <cfRule type="cellIs" dxfId="47" priority="30" operator="lessThan">
      <formula>7.2</formula>
    </cfRule>
    <cfRule type="cellIs" dxfId="46" priority="40" operator="greaterThan">
      <formula>7.2</formula>
    </cfRule>
  </conditionalFormatting>
  <conditionalFormatting sqref="AJ8">
    <cfRule type="cellIs" dxfId="45" priority="105" operator="greaterThan">
      <formula>0</formula>
    </cfRule>
    <cfRule type="cellIs" dxfId="44" priority="106" operator="lessThan">
      <formula>0</formula>
    </cfRule>
  </conditionalFormatting>
  <conditionalFormatting sqref="AK90:AK96">
    <cfRule type="cellIs" dxfId="43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-253318</v>
      </c>
      <c r="D12" s="55">
        <f t="shared" si="2"/>
        <v>1113291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-1366609</v>
      </c>
      <c r="H12" s="57">
        <f>'Entries October 2026'!AA11</f>
        <v>97122</v>
      </c>
      <c r="I12" s="58">
        <f t="shared" si="3"/>
        <v>-97122</v>
      </c>
      <c r="J12" s="57">
        <f>'Entries October 2026'!T11</f>
        <v>0</v>
      </c>
      <c r="K12" s="58">
        <f t="shared" si="4"/>
        <v>0</v>
      </c>
      <c r="L12" s="58">
        <f t="shared" si="6"/>
        <v>-97122</v>
      </c>
      <c r="M12" s="57">
        <f>'Entries October 2026'!R11</f>
        <v>0</v>
      </c>
      <c r="N12" s="57">
        <f>'Entries October 2026'!AC12-'Entries October 2026'!AC11</f>
        <v>-6798</v>
      </c>
      <c r="O12" s="57">
        <f t="shared" si="5"/>
        <v>-506636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0</v>
      </c>
      <c r="C13" s="55">
        <f t="shared" si="1"/>
        <v>0</v>
      </c>
      <c r="D13" s="55">
        <f t="shared" si="2"/>
        <v>0</v>
      </c>
      <c r="E13" s="56">
        <f>'Entries October 2026'!W12</f>
        <v>0</v>
      </c>
      <c r="F13" s="57">
        <f>'Entries October 2026'!V12</f>
        <v>0</v>
      </c>
      <c r="G13" s="57">
        <f t="shared" si="7"/>
        <v>0</v>
      </c>
      <c r="H13" s="57">
        <f>'Entries October 2026'!AA12</f>
        <v>0</v>
      </c>
      <c r="I13" s="58">
        <f t="shared" si="3"/>
        <v>0</v>
      </c>
      <c r="J13" s="57">
        <f>'Entries October 2026'!U12</f>
        <v>0</v>
      </c>
      <c r="K13" s="58">
        <f t="shared" si="4"/>
        <v>0</v>
      </c>
      <c r="L13" s="58">
        <f t="shared" si="6"/>
        <v>0</v>
      </c>
      <c r="M13" s="57">
        <f>'Entries October 2026'!R12</f>
        <v>0</v>
      </c>
      <c r="N13" s="57">
        <f>'Entries October 2026'!AC13-'Entries October 2026'!AC12</f>
        <v>0</v>
      </c>
      <c r="O13" s="57">
        <f t="shared" si="5"/>
        <v>0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0</v>
      </c>
      <c r="C14" s="55">
        <f t="shared" si="1"/>
        <v>0</v>
      </c>
      <c r="D14" s="55">
        <f t="shared" si="2"/>
        <v>0</v>
      </c>
      <c r="E14" s="56">
        <f>'Entries October 2026'!W13</f>
        <v>0</v>
      </c>
      <c r="F14" s="57">
        <f>'Entries October 2026'!V13</f>
        <v>0</v>
      </c>
      <c r="G14" s="57">
        <f>F15-F14</f>
        <v>0</v>
      </c>
      <c r="H14" s="57">
        <f>'Entries October 2026'!AA13</f>
        <v>0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0</v>
      </c>
      <c r="O14" s="57">
        <f t="shared" si="5"/>
        <v>0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0</v>
      </c>
      <c r="C15" s="55">
        <f t="shared" si="1"/>
        <v>0</v>
      </c>
      <c r="D15" s="55">
        <f t="shared" si="2"/>
        <v>0</v>
      </c>
      <c r="E15" s="56">
        <f>'Entries October 2026'!W14</f>
        <v>0</v>
      </c>
      <c r="F15" s="57">
        <f>'Entries October 2026'!V14</f>
        <v>0</v>
      </c>
      <c r="G15" s="57">
        <f t="shared" si="7"/>
        <v>0</v>
      </c>
      <c r="H15" s="57">
        <f>'Entries October 2026'!AA14</f>
        <v>0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0</v>
      </c>
      <c r="O15" s="57">
        <f t="shared" si="5"/>
        <v>0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0</v>
      </c>
      <c r="C16" s="55">
        <f t="shared" si="1"/>
        <v>0</v>
      </c>
      <c r="D16" s="55">
        <f t="shared" si="2"/>
        <v>0</v>
      </c>
      <c r="E16" s="56">
        <f>'Entries October 2026'!W15</f>
        <v>0</v>
      </c>
      <c r="F16" s="57">
        <f>'Entries October 2026'!V15</f>
        <v>0</v>
      </c>
      <c r="G16" s="57">
        <f t="shared" si="7"/>
        <v>0</v>
      </c>
      <c r="H16" s="57">
        <f>'Entries October 2026'!AA15</f>
        <v>0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0</v>
      </c>
      <c r="O16" s="57">
        <f t="shared" si="5"/>
        <v>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0</v>
      </c>
      <c r="C17" s="55">
        <f t="shared" si="1"/>
        <v>0</v>
      </c>
      <c r="D17" s="55">
        <f t="shared" si="2"/>
        <v>0</v>
      </c>
      <c r="E17" s="56">
        <f>'Entries October 2026'!W16</f>
        <v>0</v>
      </c>
      <c r="F17" s="57">
        <f>'Entries October 2026'!V16</f>
        <v>0</v>
      </c>
      <c r="G17" s="57">
        <f t="shared" si="7"/>
        <v>0</v>
      </c>
      <c r="H17" s="57">
        <f>'Entries October 2026'!AA16</f>
        <v>0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0</v>
      </c>
      <c r="C18" s="55">
        <f t="shared" si="1"/>
        <v>0</v>
      </c>
      <c r="D18" s="55">
        <f t="shared" si="2"/>
        <v>0</v>
      </c>
      <c r="E18" s="56">
        <f>'Entries October 2026'!W17</f>
        <v>0</v>
      </c>
      <c r="F18" s="57">
        <f>'Entries October 2026'!V17</f>
        <v>0</v>
      </c>
      <c r="G18" s="57">
        <f t="shared" si="7"/>
        <v>0</v>
      </c>
      <c r="H18" s="57">
        <f>'Entries October 2026'!AA17</f>
        <v>0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0</v>
      </c>
      <c r="O18" s="57">
        <f t="shared" si="5"/>
        <v>0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0</v>
      </c>
      <c r="C19" s="55">
        <f t="shared" si="1"/>
        <v>0</v>
      </c>
      <c r="D19" s="55">
        <f t="shared" si="2"/>
        <v>0</v>
      </c>
      <c r="E19" s="56">
        <f>'Entries October 2026'!W18</f>
        <v>0</v>
      </c>
      <c r="F19" s="57">
        <f>'Entries October 2026'!V18</f>
        <v>0</v>
      </c>
      <c r="G19" s="57">
        <f t="shared" si="7"/>
        <v>0</v>
      </c>
      <c r="H19" s="57">
        <f>'Entries October 2026'!AA18</f>
        <v>0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1366036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Alexander Dominguez -Ramon</cp:lastModifiedBy>
  <cp:lastPrinted>2026-05-01T14:23:39Z</cp:lastPrinted>
  <dcterms:created xsi:type="dcterms:W3CDTF">2003-05-05T15:42:25Z</dcterms:created>
  <dcterms:modified xsi:type="dcterms:W3CDTF">2026-10-06T11:34:11Z</dcterms:modified>
</cp:coreProperties>
</file>