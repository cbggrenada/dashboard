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CE9FF72B-664D-4F3F-8D74-B58D0F19F6F5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4" i="110" l="1"/>
  <c r="J9" i="110"/>
  <c r="I14" i="110"/>
  <c r="I8" i="110"/>
  <c r="I9" i="110" s="1"/>
  <c r="H9" i="110"/>
  <c r="G14" i="110"/>
  <c r="G9" i="110" l="1"/>
  <c r="F8" i="110"/>
  <c r="F9" i="110" s="1"/>
  <c r="C8" i="110"/>
  <c r="B9" i="110"/>
  <c r="B8" i="110"/>
  <c r="E7" i="28" a="1"/>
  <c r="R8" i="28"/>
  <c r="S8" i="28" a="1"/>
  <c r="W8" i="28" s="1"/>
  <c r="X7" i="28" s="1"/>
  <c r="T8" i="28"/>
  <c r="U8" i="28"/>
  <c r="V8" i="28"/>
  <c r="R9" i="28"/>
  <c r="S9" i="28" a="1"/>
  <c r="T9" i="28"/>
  <c r="U9" i="28"/>
  <c r="V9" i="28"/>
  <c r="W9" i="28"/>
  <c r="R10" i="28"/>
  <c r="S10" i="28" a="1"/>
  <c r="W10" i="28" s="1"/>
  <c r="T10" i="28"/>
  <c r="U10" i="28"/>
  <c r="V10" i="28"/>
  <c r="R11" i="28"/>
  <c r="S11" i="28" s="1" a="1"/>
  <c r="W11" i="28" s="1"/>
  <c r="T11" i="28"/>
  <c r="U11" i="28"/>
  <c r="V11" i="28"/>
  <c r="R12" i="28"/>
  <c r="S12" i="28" a="1"/>
  <c r="T12" i="28"/>
  <c r="U12" i="28"/>
  <c r="V12" i="28"/>
  <c r="W12" i="28"/>
  <c r="R13" i="28"/>
  <c r="S13" i="28" a="1"/>
  <c r="W13" i="28" s="1"/>
  <c r="T13" i="28"/>
  <c r="U13" i="28"/>
  <c r="V13" i="28"/>
  <c r="R14" i="28"/>
  <c r="S14" i="28" a="1"/>
  <c r="T14" i="28"/>
  <c r="U14" i="28"/>
  <c r="V14" i="28"/>
  <c r="W14" i="28"/>
  <c r="R15" i="28"/>
  <c r="S15" i="28" a="1"/>
  <c r="T15" i="28"/>
  <c r="U15" i="28"/>
  <c r="V15" i="28"/>
  <c r="W15" i="28"/>
  <c r="R16" i="28"/>
  <c r="S16" i="28" a="1"/>
  <c r="W16" i="28" s="1"/>
  <c r="T16" i="28"/>
  <c r="U16" i="28"/>
  <c r="V16" i="28"/>
  <c r="R17" i="28"/>
  <c r="S17" i="28" a="1"/>
  <c r="T17" i="28"/>
  <c r="U17" i="28"/>
  <c r="V17" i="28"/>
  <c r="W17" i="28"/>
  <c r="R18" i="28"/>
  <c r="S18" i="28" a="1"/>
  <c r="T18" i="28"/>
  <c r="U18" i="28"/>
  <c r="V18" i="28"/>
  <c r="W18" i="28"/>
  <c r="R19" i="28"/>
  <c r="S19" i="28" s="1" a="1"/>
  <c r="W19" i="28" s="1"/>
  <c r="T19" i="28"/>
  <c r="U19" i="28"/>
  <c r="V19" i="28"/>
  <c r="R20" i="28"/>
  <c r="S20" i="28" a="1"/>
  <c r="T20" i="28"/>
  <c r="U20" i="28"/>
  <c r="V20" i="28"/>
  <c r="W20" i="28"/>
  <c r="R21" i="28"/>
  <c r="S21" i="28" a="1"/>
  <c r="T21" i="28"/>
  <c r="U21" i="28"/>
  <c r="V21" i="28"/>
  <c r="W21" i="28"/>
  <c r="R22" i="28"/>
  <c r="S22" i="28" a="1"/>
  <c r="W22" i="28" s="1"/>
  <c r="T22" i="28"/>
  <c r="U22" i="28"/>
  <c r="V22" i="28"/>
  <c r="R23" i="28"/>
  <c r="S23" i="28" a="1"/>
  <c r="T23" i="28"/>
  <c r="U23" i="28"/>
  <c r="V23" i="28"/>
  <c r="W23" i="28"/>
  <c r="R24" i="28"/>
  <c r="S24" i="28" a="1"/>
  <c r="T24" i="28"/>
  <c r="U24" i="28"/>
  <c r="V24" i="28"/>
  <c r="W24" i="28"/>
  <c r="R25" i="28"/>
  <c r="S25" i="28" s="1" a="1"/>
  <c r="W25" i="28" s="1"/>
  <c r="T25" i="28"/>
  <c r="U25" i="28"/>
  <c r="V25" i="28"/>
  <c r="R26" i="28"/>
  <c r="S26" i="28" a="1"/>
  <c r="T26" i="28"/>
  <c r="U26" i="28"/>
  <c r="V26" i="28"/>
  <c r="W26" i="28"/>
  <c r="R27" i="28"/>
  <c r="S27" i="28" a="1"/>
  <c r="T27" i="28"/>
  <c r="U27" i="28"/>
  <c r="V27" i="28"/>
  <c r="W27" i="28"/>
  <c r="R28" i="28"/>
  <c r="S28" i="28" a="1"/>
  <c r="W28" i="28" s="1"/>
  <c r="T28" i="28"/>
  <c r="U28" i="28"/>
  <c r="V28" i="28"/>
  <c r="R29" i="28"/>
  <c r="S29" i="28" a="1"/>
  <c r="W29" i="28" s="1"/>
  <c r="T29" i="28"/>
  <c r="U29" i="28"/>
  <c r="V29" i="28"/>
  <c r="R30" i="28"/>
  <c r="S30" i="28" a="1"/>
  <c r="W30" i="28" s="1"/>
  <c r="T30" i="28"/>
  <c r="U30" i="28"/>
  <c r="V30" i="28"/>
  <c r="R31" i="28"/>
  <c r="S31" i="28" s="1" a="1"/>
  <c r="W31" i="28" s="1"/>
  <c r="T31" i="28"/>
  <c r="U31" i="28"/>
  <c r="V31" i="28"/>
  <c r="R32" i="28"/>
  <c r="S32" i="28" a="1"/>
  <c r="T32" i="28"/>
  <c r="U32" i="28"/>
  <c r="V32" i="28"/>
  <c r="W32" i="28"/>
  <c r="R33" i="28"/>
  <c r="S33" i="28" a="1"/>
  <c r="W33" i="28" s="1"/>
  <c r="T33" i="28"/>
  <c r="U33" i="28"/>
  <c r="V33" i="28"/>
  <c r="R34" i="28"/>
  <c r="S34" i="28" a="1"/>
  <c r="T34" i="28"/>
  <c r="U34" i="28"/>
  <c r="V34" i="28"/>
  <c r="W34" i="28"/>
  <c r="R35" i="28"/>
  <c r="S35" i="28" a="1"/>
  <c r="T35" i="28"/>
  <c r="U35" i="28"/>
  <c r="V35" i="28"/>
  <c r="W35" i="28"/>
  <c r="R36" i="28"/>
  <c r="S36" i="28" a="1"/>
  <c r="W36" i="28" s="1"/>
  <c r="T36" i="28"/>
  <c r="U36" i="28"/>
  <c r="V36" i="28"/>
  <c r="R37" i="28"/>
  <c r="S37" i="28" a="1"/>
  <c r="T37" i="28"/>
  <c r="U37" i="28"/>
  <c r="V37" i="28"/>
  <c r="W37" i="28"/>
  <c r="R38" i="28"/>
  <c r="S38" i="28" a="1"/>
  <c r="T38" i="28"/>
  <c r="U38" i="28"/>
  <c r="V38" i="28"/>
  <c r="W38" i="28"/>
  <c r="R39" i="28"/>
  <c r="S39" i="28" a="1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B84" i="110" l="1" a="1"/>
  <c r="AH8" i="110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I11" i="29" s="1"/>
  <c r="B12" i="29"/>
  <c r="I12" i="29" s="1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96" i="110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96" i="110"/>
  <c r="X96" i="110"/>
  <c r="P96" i="110"/>
  <c r="Q54" i="111"/>
  <c r="J54" i="111"/>
  <c r="E8" i="29"/>
  <c r="K8" i="29" s="1"/>
  <c r="U96" i="110"/>
  <c r="T96" i="110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96" i="110"/>
  <c r="N96" i="110"/>
  <c r="L96" i="110"/>
  <c r="B70" i="111"/>
  <c r="AG86" i="111"/>
  <c r="D96" i="110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96" i="110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96" i="110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96" i="110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96" i="110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96" i="110"/>
  <c r="AH103" i="110"/>
  <c r="AH105" i="110" s="1"/>
  <c r="J96" i="110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96" i="110"/>
  <c r="Y24" i="111"/>
  <c r="Z96" i="111"/>
  <c r="Z33" i="111"/>
  <c r="Z68" i="111" s="1"/>
  <c r="Z45" i="110"/>
  <c r="Z96" i="110"/>
  <c r="X21" i="110"/>
  <c r="X80" i="111"/>
  <c r="X75" i="111"/>
  <c r="K28" i="109"/>
  <c r="V96" i="110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96" i="110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AD96" i="110"/>
  <c r="G80" i="111"/>
  <c r="AE96" i="110"/>
  <c r="S80" i="111"/>
  <c r="R54" i="111"/>
  <c r="R84" i="111" s="1"/>
  <c r="R96" i="110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96" i="110" s="1"/>
  <c r="K11" i="29"/>
  <c r="F54" i="111" s="1"/>
  <c r="F84" i="111" s="1"/>
  <c r="K13" i="29"/>
  <c r="H96" i="110" s="1"/>
  <c r="K12" i="29"/>
  <c r="G54" i="111" s="1"/>
  <c r="G84" i="111" s="1"/>
  <c r="B54" i="111"/>
  <c r="B22" i="110"/>
  <c r="B90" i="110" s="1"/>
  <c r="W54" i="110"/>
  <c r="F96" i="110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96" i="110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96" i="110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32" i="110" l="1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39" i="28" l="1"/>
  <c r="S38" i="28"/>
  <c r="S37" i="28"/>
  <c r="S36" i="28"/>
  <c r="S35" i="28"/>
  <c r="S34" i="28"/>
  <c r="S33" i="28"/>
  <c r="S32" i="28"/>
  <c r="S31" i="28"/>
  <c r="S30" i="28"/>
  <c r="S29" i="28"/>
  <c r="S28" i="28"/>
  <c r="S27" i="28"/>
  <c r="S26" i="28"/>
  <c r="S25" i="28"/>
  <c r="S24" i="28"/>
  <c r="S23" i="28"/>
  <c r="S22" i="28"/>
  <c r="S21" i="28"/>
  <c r="S20" i="28"/>
  <c r="S19" i="28"/>
  <c r="S18" i="28"/>
  <c r="S17" i="28"/>
  <c r="S16" i="28"/>
  <c r="S15" i="28"/>
  <c r="S14" i="28"/>
  <c r="S13" i="28"/>
  <c r="S12" i="28"/>
  <c r="S11" i="28"/>
  <c r="S10" i="28"/>
  <c r="S9" i="28"/>
  <c r="S8" i="28"/>
  <c r="S7" i="28"/>
  <c r="O7" i="28"/>
  <c r="F7" i="28"/>
  <c r="E7" i="28"/>
  <c r="H5" i="32"/>
  <c r="AA7" i="31"/>
  <c r="L7" i="29"/>
  <c r="P10" i="23"/>
  <c r="B84" i="110"/>
  <c r="B83" i="110"/>
  <c r="AH83" i="110" s="1"/>
  <c r="B82" i="110"/>
  <c r="AH82" i="110" s="1"/>
  <c r="B81" i="110"/>
  <c r="AH81" i="110" s="1"/>
  <c r="AH77" i="110" s="1"/>
  <c r="AH75" i="110" s="1"/>
  <c r="B80" i="110"/>
  <c r="B77" i="110"/>
  <c r="B76" i="110"/>
  <c r="B75" i="110"/>
  <c r="B78" i="110" s="1"/>
  <c r="B43" i="110"/>
  <c r="K10" i="23" l="1"/>
  <c r="K43" i="23" s="1"/>
  <c r="E38" i="28"/>
  <c r="AH76" i="110"/>
  <c r="AH93" i="110" s="1"/>
  <c r="B49" i="111"/>
  <c r="AH43" i="110"/>
  <c r="AH61" i="110" s="1"/>
  <c r="B50" i="110"/>
  <c r="AH50" i="110" s="1"/>
  <c r="B116" i="110"/>
  <c r="AH80" i="110"/>
  <c r="B94" i="110"/>
  <c r="B93" i="110" s="1"/>
  <c r="B61" i="110" s="1"/>
  <c r="AH78" i="110"/>
  <c r="AH95" i="110" s="1"/>
  <c r="AK95" i="110" s="1"/>
  <c r="AH84" i="110"/>
  <c r="AH96" i="110" s="1"/>
  <c r="B96" i="110"/>
  <c r="F38" i="28"/>
  <c r="G7" i="28"/>
  <c r="AA38" i="31"/>
  <c r="AB38" i="31" s="1"/>
  <c r="AD38" i="31" s="1"/>
  <c r="AB7" i="31"/>
  <c r="F7" i="30"/>
  <c r="H36" i="32"/>
  <c r="Q10" i="23"/>
  <c r="R10" i="23" s="1"/>
  <c r="S10" i="23" s="1"/>
  <c r="P43" i="23"/>
  <c r="Q44" i="23" s="1"/>
  <c r="R44" i="23" s="1"/>
  <c r="S44" i="23" s="1"/>
  <c r="N7" i="29"/>
  <c r="L38" i="29"/>
  <c r="M7" i="29"/>
  <c r="T44" i="23" l="1"/>
  <c r="T10" i="23"/>
  <c r="G38" i="28"/>
  <c r="B69" i="110"/>
  <c r="B68" i="110"/>
  <c r="AG49" i="111"/>
  <c r="AG81" i="111" s="1"/>
  <c r="AI81" i="111" s="1"/>
  <c r="B81" i="111"/>
  <c r="AK96" i="110"/>
  <c r="AJ96" i="110"/>
  <c r="AH94" i="110"/>
  <c r="AH116" i="110"/>
  <c r="AH140" i="110"/>
  <c r="AJ61" i="110"/>
  <c r="AH68" i="110"/>
  <c r="AH69" i="110"/>
  <c r="AK93" i="110"/>
  <c r="AJ93" i="110"/>
  <c r="M38" i="29"/>
  <c r="N38" i="29"/>
  <c r="F38" i="30"/>
  <c r="G38" i="30" s="1"/>
  <c r="I38" i="30" s="1"/>
  <c r="G7" i="30"/>
  <c r="AJ68" i="110" l="1"/>
  <c r="AJ69" i="110"/>
  <c r="AK94" i="110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3C6D8AB8-D3CF-44D1-A98B-11EF87531E18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18900Kgs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7900 Kgs
0 kgs after adjustment for MT mobile weight
</t>
        </r>
      </text>
    </comment>
    <comment ref="D74" authorId="2" shapeId="0" xr:uid="{A9D615D0-28C9-4C13-9020-A7C276975F57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F74" authorId="2" shapeId="0" xr:uid="{B1148AEC-E522-4F72-A286-908A2BFB66B0}">
      <text>
        <r>
          <rPr>
            <sz val="12"/>
            <color indexed="81"/>
            <rFont val="Tahoma"/>
            <family val="2"/>
          </rPr>
          <t xml:space="preserve">Tank A 0 kgs 
Tank B 6700 kgs calculated
Tank C 25700 Kgs
mobile approx 0 Kgs
0 kgs after adjustment for MT mobile weight
</t>
        </r>
      </text>
    </comment>
    <comment ref="G74" authorId="2" shapeId="0" xr:uid="{72907FFC-D535-40B6-B65A-2A5AE920A761}">
      <text>
        <r>
          <rPr>
            <sz val="12"/>
            <color indexed="81"/>
            <rFont val="Tahoma"/>
            <family val="2"/>
          </rPr>
          <t xml:space="preserve">Tank A 0 kgs 
Tank B 5100 kgs calculated
Tank C 25700 Kgs
mobile approx 0 Kgs
0 kgs after adjustment for MT mobile weight
</t>
        </r>
      </text>
    </comment>
    <comment ref="H74" authorId="2" shapeId="0" xr:uid="{A350E13C-FC63-4A46-AEC7-D15BEAB66A89}">
      <text>
        <r>
          <rPr>
            <sz val="12"/>
            <color indexed="81"/>
            <rFont val="Tahoma"/>
            <family val="2"/>
          </rPr>
          <t xml:space="preserve">Tank A 0 kgs 
Tank B 3600 kgs calculated
Tank C 25700 Kgs
mobile approx 0 Kgs
0 kgs after adjustment for MT mobile weight
</t>
        </r>
      </text>
    </comment>
    <comment ref="I74" authorId="2" shapeId="0" xr:uid="{70143B87-12C5-483A-9CF2-B1AD2D0FFF73}">
      <text>
        <r>
          <rPr>
            <sz val="12"/>
            <color indexed="81"/>
            <rFont val="Tahoma"/>
            <family val="2"/>
          </rPr>
          <t xml:space="preserve">Tank A 0 kgs 
Tank B 2200 kgs calculated
Tank C 25700 Kgs
mobile approx 0 Kgs
0 kgs after adjustment for MT mobile weight
</t>
        </r>
      </text>
    </comment>
    <comment ref="J74" authorId="2" shapeId="0" xr:uid="{F10121C0-B811-45B6-8088-211B562FC585}">
      <text>
        <r>
          <rPr>
            <sz val="12"/>
            <color indexed="81"/>
            <rFont val="Tahoma"/>
            <family val="2"/>
          </rPr>
          <t xml:space="preserve">Tank A 0 kgs 
Tank B 0 kgs calculated
Tank C 24900 Kgs
mobile approx 0 Kgs
0 kgs after adjustment for MT mobile weight
</t>
        </r>
      </text>
    </comment>
    <comment ref="K74" authorId="2" shapeId="0" xr:uid="{7E734BED-4455-464B-B3BC-84E273292C6E}">
      <text>
        <r>
          <rPr>
            <sz val="12"/>
            <color indexed="81"/>
            <rFont val="Tahoma"/>
            <family val="2"/>
          </rPr>
          <t xml:space="preserve">Tank A 0 kgs 
Tank B 0 kgs 
Tank C 23200 Kgs
mobile approx 0 Kgs
0 kgs after adjustment for MT mobile weight
</t>
        </r>
      </text>
    </comment>
    <comment ref="L74" authorId="2" shapeId="0" xr:uid="{EDC26567-6215-4B13-89B4-8CB9A2D8B046}">
      <text>
        <r>
          <rPr>
            <sz val="12"/>
            <color indexed="81"/>
            <rFont val="Tahoma"/>
            <family val="2"/>
          </rPr>
          <t xml:space="preserve">Tank A 0 kgs 
Tank B 0 kgs
Tank C 22400 Kgs
mobile approx 0 Kgs
0 kgs after adjustment for MT mobile weight
</t>
        </r>
      </text>
    </comment>
    <comment ref="M74" authorId="2" shapeId="0" xr:uid="{88951BC3-57B8-4D8F-9300-706887E45023}">
      <text>
        <r>
          <rPr>
            <sz val="12"/>
            <color indexed="81"/>
            <rFont val="Tahoma"/>
            <family val="2"/>
          </rPr>
          <t xml:space="preserve">Tank A 0 kgs 
Tank B 0 kgs
Tank C 22400 Kgs
mobile approx 20800 Kgs
0 kgs after adjustment for MT mobile weight
</t>
        </r>
      </text>
    </comment>
    <comment ref="AG74" authorId="2" shapeId="0" xr:uid="{9E9E2207-A18A-4146-9737-6A7919818C19}">
      <text>
        <r>
          <rPr>
            <sz val="12"/>
            <color indexed="81"/>
            <rFont val="Tahoma"/>
            <family val="2"/>
          </rPr>
          <t xml:space="preserve">Tank A 11400 kgs 
Tank B 6800 kgs
Tank C 22400 Kgs
mobile approx 0Kgs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<sst xmlns="http://schemas.openxmlformats.org/spreadsheetml/2006/main" count="620" uniqueCount="314">
  <si>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</si>
  <si>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</si>
  <si>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</si>
  <si>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</si>
  <si>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</si>
  <si>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</si>
  <si>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</si>
  <si>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</si>
  <si>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</si>
  <si>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</si>
  <si>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</si>
  <si>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</si>
  <si>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</si>
  <si>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</si>
  <si>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</si>
  <si>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</si>
  <si>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</si>
  <si>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</si>
  <si>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</si>
  <si>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</si>
  <si>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</si>
  <si>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</si>
  <si>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</si>
  <si>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</si>
  <si>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</si>
  <si>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</si>
  <si>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</si>
  <si>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</si>
  <si>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</si>
  <si>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</si>
  <si>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</si>
  <si>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</si>
  <si>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</si>
  <si>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</si>
  <si>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</si>
  <si>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</si>
  <si>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</si>
  <si>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</si>
  <si>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</si>
  <si>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</si>
  <si>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</si>
  <si>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</si>
  <si>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</si>
  <si>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</si>
  <si>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</si>
  <si>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</si>
  <si>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</si>
  <si>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</si>
  <si>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</si>
  <si>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</si>
  <si>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</si>
  <si>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</si>
  <si>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</si>
  <si>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</si>
  <si>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</si>
  <si>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</si>
  <si>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</si>
  <si>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</si>
  <si>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</si>
  <si>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</si>
  <si>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</si>
  <si>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</si>
  <si>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</si>
  <si>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</si>
  <si>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</si>
  <si>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</si>
  <si>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</si>
  <si>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</si>
  <si>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</si>
  <si>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</si>
  <si>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</si>
  <si>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</si>
  <si>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</si>
  <si>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</si>
  <si>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</si>
  <si>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</si>
  <si>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</si>
  <si>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</si>
  <si>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</si>
  <si>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</si>
  <si>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</si>
  <si>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</si>
  <si>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</si>
  <si>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</si>
  <si>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</si>
  <si>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</si>
  <si>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</si>
  <si>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</si>
  <si>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</si>
  <si>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</si>
  <si>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</si>
  <si>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</si>
  <si>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</si>
  <si>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</si>
  <si>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</si>
  <si>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</si>
  <si>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</si>
  <si>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</si>
  <si>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</si>
  <si>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</si>
  <si>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</si>
  <si>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</si>
  <si>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</si>
  <si>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</si>
  <si>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</si>
  <si>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</si>
  <si>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</si>
  <si>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</si>
  <si>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</si>
  <si>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</si>
  <si>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</si>
  <si>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</si>
  <si>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</si>
  <si>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</si>
  <si>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</si>
  <si>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</si>
  <si>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</si>
  <si>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</si>
  <si>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</si>
  <si>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</si>
  <si>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</si>
  <si>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</si>
  <si>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</si>
  <si>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</si>
  <si>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</si>
  <si>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</si>
  <si>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</si>
  <si>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</si>
  <si>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</si>
  <si>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</si>
  <si>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</si>
  <si>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</si>
  <si>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</si>
  <si>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</si>
  <si>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</si>
  <si>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</si>
  <si>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</si>
  <si>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</si>
  <si>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</si>
  <si>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</si>
  <si>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</si>
  <si>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</si>
  <si>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</si>
  <si>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</si>
  <si>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</si>
  <si>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</si>
  <si>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</si>
  <si>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</si>
  <si>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</si>
  <si>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</si>
  <si>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</si>
  <si>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</si>
  <si>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</si>
  <si>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</si>
  <si>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</si>
  <si>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</si>
  <si>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</si>
  <si>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</si>
  <si>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</si>
  <si>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</si>
  <si>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</si>
  <si>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</si>
  <si>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</si>
  <si>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</si>
  <si>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</si>
  <si>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</si>
  <si>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</si>
  <si>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</si>
  <si>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</si>
  <si>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</si>
  <si>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</si>
  <si>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</si>
  <si>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</si>
  <si>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</si>
  <si>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</si>
  <si>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</si>
  <si>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</si>
  <si>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</si>
  <si>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</si>
  <si>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</si>
  <si>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</si>
  <si>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</si>
  <si>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</si>
  <si>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</si>
  <si>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</si>
  <si>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</si>
  <si>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</si>
  <si>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</si>
  <si>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</si>
  <si>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</si>
  <si>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</si>
  <si>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</si>
  <si>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</si>
  <si>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</si>
  <si>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</si>
  <si>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</si>
  <si>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</si>
  <si>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</si>
  <si>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</si>
  <si>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</si>
  <si>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</si>
  <si>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</si>
  <si>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</si>
  <si>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</si>
  <si>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</si>
  <si>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</si>
  <si>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</si>
  <si>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</si>
  <si>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</si>
  <si>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</si>
  <si>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</si>
  <si>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</si>
  <si>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</si>
  <si>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</si>
  <si>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</si>
  <si>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</si>
  <si>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</si>
  <si>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</si>
  <si>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</si>
  <si>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</si>
  <si>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</si>
  <si>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</si>
  <si>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</si>
  <si>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</si>
  <si>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</si>
  <si>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</si>
  <si>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</si>
  <si>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</si>
  <si>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</si>
  <si>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</si>
  <si>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</si>
  <si>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</si>
  <si>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</si>
  <si>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</si>
  <si>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</si>
  <si>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</si>
  <si>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</si>
  <si>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</si>
  <si>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</si>
  <si>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</si>
  <si>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</si>
  <si>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</si>
  <si>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</si>
  <si>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</si>
  <si>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</si>
  <si>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</si>
  <si>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</si>
  <si>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</si>
  <si>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</si>
  <si>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</si>
  <si>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</si>
  <si>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</si>
  <si>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</si>
  <si>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</si>
  <si>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</si>
  <si>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</si>
  <si>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</si>
  <si>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</si>
  <si>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</si>
  <si>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</si>
  <si>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</si>
  <si>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</si>
  <si>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</si>
  <si>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</si>
  <si>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</si>
  <si>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</si>
  <si>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</si>
  <si>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</si>
  <si>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</si>
  <si>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</si>
  <si>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</si>
  <si>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</si>
  <si>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</si>
  <si>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</si>
  <si>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</si>
  <si>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</si>
  <si>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</si>
  <si>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</si>
  <si>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</si>
  <si>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</si>
  <si>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</si>
  <si>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</si>
  <si>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</si>
  <si>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</si>
  <si>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</si>
  <si>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</si>
  <si>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</si>
  <si>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</si>
  <si>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</si>
  <si>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</si>
  <si>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</si>
  <si>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</si>
  <si>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</si>
  <si>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</si>
  <si>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</si>
  <si>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</si>
  <si>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</si>
  <si>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</si>
  <si>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</si>
  <si>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</si>
  <si>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</si>
  <si>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</si>
  <si>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</si>
  <si>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</si>
  <si>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</si>
  <si>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</si>
  <si>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</si>
  <si>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</si>
  <si>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</si>
  <si>
    <t>CB/ST</t>
  </si>
  <si>
    <t>ST</t>
  </si>
  <si>
    <r>
      <t>CB/</t>
    </r>
    <r>
      <rPr>
        <b/>
        <sz val="20"/>
        <color rgb="FF00A44A"/>
        <rFont val="Arial"/>
        <family val="2"/>
      </rPr>
      <t>ST</t>
    </r>
  </si>
  <si>
    <t>ST/CB</t>
  </si>
  <si>
    <t>GU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</si>
</sst>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8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3" fontId="7" fillId="18" borderId="115" xfId="0" applyNumberFormat="1" applyFont="1" applyFill="1" applyBorder="1" applyAlignment="1">
      <alignment horizontal="center"/>
    </xf>
    <xf numFmtId="3" fontId="7" fillId="18" borderId="61" xfId="0" applyNumberFormat="1" applyFont="1" applyFill="1" applyBorder="1" applyAlignment="1">
      <alignment horizontal="center"/>
    </xf>
    <xf numFmtId="3" fontId="7" fillId="18" borderId="62" xfId="0" applyNumberFormat="1" applyFont="1" applyFill="1" applyBorder="1" applyAlignment="1">
      <alignment horizontal="center"/>
    </xf>
    <xf numFmtId="1" fontId="7" fillId="18" borderId="63" xfId="0" applyNumberFormat="1" applyFont="1" applyFill="1" applyBorder="1" applyAlignment="1">
      <alignment horizontal="center"/>
    </xf>
    <xf numFmtId="0" fontId="104" fillId="0" borderId="0" xfId="0" applyFont="1" applyAlignment="1">
      <alignment horizontal="center" vertical="center"/>
    </xf>
    <xf numFmtId="3" fontId="75" fillId="19" borderId="0" xfId="0" applyNumberFormat="1" applyFont="1" applyFill="1" applyAlignment="1">
      <alignment horizontal="center"/>
    </xf>
    <xf numFmtId="3" fontId="75" fillId="22" borderId="0" xfId="0" applyNumberFormat="1" applyFont="1" applyFill="1" applyAlignment="1">
      <alignment horizontal="center"/>
    </xf>
    <xf numFmtId="167" fontId="95" fillId="31" borderId="0" xfId="1" applyNumberFormat="1" applyFont="1" applyFill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19" fillId="4" borderId="0" xfId="3" applyFont="1" applyFill="1" applyAlignment="1">
      <alignment horizontal="center" vertical="center" wrapText="1"/>
    </xf>
    <xf numFmtId="0" fontId="19" fillId="4" borderId="41" xfId="3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167" fontId="69" fillId="0" borderId="0" xfId="1" applyNumberFormat="1" applyFont="1" applyAlignment="1">
      <alignment horizontal="center"/>
    </xf>
    <xf numFmtId="3" fontId="75" fillId="41" borderId="0" xfId="0" applyNumberFormat="1" applyFont="1" applyFill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20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4774</c:v>
                </c:pt>
                <c:pt idx="5">
                  <c:v>7226</c:v>
                </c:pt>
                <c:pt idx="6">
                  <c:v>6606</c:v>
                </c:pt>
                <c:pt idx="7">
                  <c:v>7587</c:v>
                </c:pt>
                <c:pt idx="8">
                  <c:v>6341</c:v>
                </c:pt>
                <c:pt idx="9">
                  <c:v>4500</c:v>
                </c:pt>
                <c:pt idx="10">
                  <c:v>2914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  <c:pt idx="4">
                  <c:v>1421</c:v>
                </c:pt>
                <c:pt idx="5">
                  <c:v>1201.9000000000001</c:v>
                </c:pt>
                <c:pt idx="6">
                  <c:v>1346.2</c:v>
                </c:pt>
                <c:pt idx="7">
                  <c:v>1358.1</c:v>
                </c:pt>
                <c:pt idx="8">
                  <c:v>1373.4</c:v>
                </c:pt>
                <c:pt idx="9">
                  <c:v>1567.4</c:v>
                </c:pt>
                <c:pt idx="10">
                  <c:v>1119.5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0.22937853107344633</c:v>
                </c:pt>
                <c:pt idx="5">
                  <c:v>0.14260966551572754</c:v>
                </c:pt>
                <c:pt idx="6">
                  <c:v>0.16928648675838134</c:v>
                </c:pt>
                <c:pt idx="7">
                  <c:v>0.15182613945064893</c:v>
                </c:pt>
                <c:pt idx="8">
                  <c:v>0.1780306958415431</c:v>
                </c:pt>
                <c:pt idx="9">
                  <c:v>0.25833141048884206</c:v>
                </c:pt>
                <c:pt idx="10">
                  <c:v>0.27755051444155199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17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4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916" t="s">
        <v>209</v>
      </c>
      <c r="C1" s="916"/>
      <c r="D1" s="916"/>
      <c r="E1" s="916"/>
      <c r="F1" s="916"/>
      <c r="G1" s="916"/>
      <c r="H1" s="916"/>
      <c r="I1" s="916"/>
      <c r="J1" s="916"/>
      <c r="K1" s="916"/>
      <c r="L1" s="916"/>
      <c r="M1" s="916"/>
      <c r="N1" s="363"/>
      <c r="O1" s="917" t="str">
        <f>B1</f>
        <v>ENTRIES FOR DAILY CONS. MONITOR</v>
      </c>
      <c r="P1" s="917"/>
      <c r="Q1" s="917"/>
      <c r="R1" s="917"/>
      <c r="S1" s="917"/>
      <c r="T1" s="917"/>
      <c r="U1" s="917"/>
      <c r="V1" s="917"/>
      <c r="W1" s="917"/>
      <c r="X1" s="917"/>
      <c r="Y1" s="917"/>
      <c r="Z1" s="917"/>
      <c r="AA1" s="917"/>
      <c r="AB1" s="917"/>
    </row>
    <row r="2" spans="1:44" ht="16.5" thickBot="1" x14ac:dyDescent="0.25">
      <c r="C2" s="810"/>
      <c r="F2" s="364"/>
      <c r="G2" s="365"/>
      <c r="O2" s="924" t="s">
        <v>231</v>
      </c>
      <c r="P2" s="924"/>
      <c r="Q2" s="924"/>
      <c r="R2" s="924"/>
      <c r="S2" s="924"/>
      <c r="T2" s="924"/>
      <c r="U2" s="924"/>
      <c r="V2" s="924"/>
    </row>
    <row r="3" spans="1:44" ht="20.100000000000001" customHeight="1" x14ac:dyDescent="0.2">
      <c r="A3" s="366"/>
      <c r="B3" s="367"/>
      <c r="C3" s="811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07" t="s">
        <v>53</v>
      </c>
      <c r="M3" s="908"/>
      <c r="N3" s="909"/>
      <c r="O3" s="918" t="s">
        <v>3</v>
      </c>
      <c r="P3" s="918"/>
      <c r="Q3" s="918"/>
      <c r="R3" s="918"/>
      <c r="S3" s="918"/>
      <c r="T3" s="918"/>
      <c r="U3" s="918"/>
      <c r="V3" s="918"/>
      <c r="W3" s="918"/>
      <c r="X3" s="918"/>
      <c r="Y3" s="918"/>
      <c r="Z3" s="918"/>
      <c r="AA3" s="918"/>
      <c r="AB3" s="918"/>
      <c r="AC3" s="918"/>
      <c r="AD3" s="372"/>
      <c r="AE3" s="373"/>
      <c r="AF3" s="372"/>
      <c r="AG3" s="902" t="s">
        <v>206</v>
      </c>
      <c r="AH3" s="900" t="s">
        <v>204</v>
      </c>
      <c r="AI3" s="900" t="s">
        <v>205</v>
      </c>
      <c r="AJ3" s="903" t="s">
        <v>233</v>
      </c>
      <c r="AK3" s="416"/>
      <c r="AL3" s="904" t="s">
        <v>178</v>
      </c>
      <c r="AM3" s="904"/>
      <c r="AN3" s="904"/>
      <c r="AO3" s="904"/>
    </row>
    <row r="4" spans="1:44" ht="32.25" customHeight="1" x14ac:dyDescent="0.2">
      <c r="A4" s="374"/>
      <c r="B4" s="371" t="s">
        <v>23</v>
      </c>
      <c r="C4" s="812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25" t="s">
        <v>289</v>
      </c>
      <c r="M4" s="376" t="s">
        <v>260</v>
      </c>
      <c r="N4" s="910" t="s">
        <v>167</v>
      </c>
      <c r="O4" s="912" t="s">
        <v>100</v>
      </c>
      <c r="P4" s="912" t="s">
        <v>101</v>
      </c>
      <c r="Q4" s="912" t="s">
        <v>160</v>
      </c>
      <c r="R4" s="912" t="s">
        <v>171</v>
      </c>
      <c r="S4" s="912" t="s">
        <v>102</v>
      </c>
      <c r="T4" s="912" t="s">
        <v>172</v>
      </c>
      <c r="U4" s="912" t="s">
        <v>103</v>
      </c>
      <c r="V4" s="922" t="s">
        <v>236</v>
      </c>
      <c r="W4" s="912" t="s">
        <v>177</v>
      </c>
      <c r="X4" s="372" t="s">
        <v>96</v>
      </c>
      <c r="Y4" s="372" t="s">
        <v>97</v>
      </c>
      <c r="Z4" s="372" t="s">
        <v>98</v>
      </c>
      <c r="AA4" s="918" t="s">
        <v>68</v>
      </c>
      <c r="AB4" s="920" t="s">
        <v>69</v>
      </c>
      <c r="AC4" s="923" t="s">
        <v>151</v>
      </c>
      <c r="AD4" s="912" t="s">
        <v>154</v>
      </c>
      <c r="AE4" s="912" t="s">
        <v>155</v>
      </c>
      <c r="AF4" s="912" t="s">
        <v>159</v>
      </c>
      <c r="AG4" s="902"/>
      <c r="AH4" s="901"/>
      <c r="AI4" s="901"/>
      <c r="AJ4" s="903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3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26"/>
      <c r="M5" s="466" t="s">
        <v>261</v>
      </c>
      <c r="N5" s="911"/>
      <c r="O5" s="913"/>
      <c r="P5" s="912"/>
      <c r="Q5" s="912"/>
      <c r="R5" s="912"/>
      <c r="S5" s="913"/>
      <c r="T5" s="913"/>
      <c r="U5" s="913"/>
      <c r="V5" s="922"/>
      <c r="W5" s="914"/>
      <c r="X5" s="372" t="s">
        <v>104</v>
      </c>
      <c r="Y5" s="372" t="s">
        <v>104</v>
      </c>
      <c r="Z5" s="372" t="s">
        <v>104</v>
      </c>
      <c r="AA5" s="919"/>
      <c r="AB5" s="921"/>
      <c r="AC5" s="923"/>
      <c r="AD5" s="912"/>
      <c r="AE5" s="912"/>
      <c r="AF5" s="915"/>
      <c r="AG5" s="902"/>
      <c r="AH5" s="901"/>
      <c r="AI5" s="901"/>
      <c r="AJ5" s="903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5">
        <v>8521060</v>
      </c>
      <c r="C6" s="816">
        <v>1664248</v>
      </c>
      <c r="D6" s="817"/>
      <c r="E6" s="817">
        <v>64</v>
      </c>
      <c r="F6" s="817">
        <v>11257.8</v>
      </c>
      <c r="G6" s="817">
        <v>68225</v>
      </c>
      <c r="H6" s="818"/>
      <c r="I6" s="819">
        <v>1879366</v>
      </c>
      <c r="J6" s="876"/>
      <c r="K6" s="818">
        <v>468000</v>
      </c>
      <c r="L6" s="817">
        <v>86618.26</v>
      </c>
      <c r="M6" s="821">
        <v>630345.15</v>
      </c>
      <c r="N6" s="819">
        <v>84635.48</v>
      </c>
      <c r="O6" s="822">
        <v>252994</v>
      </c>
      <c r="P6" s="823">
        <v>85776</v>
      </c>
      <c r="Q6" s="817">
        <v>989503</v>
      </c>
      <c r="R6" s="817"/>
      <c r="S6" s="817">
        <v>97233</v>
      </c>
      <c r="T6" s="817"/>
      <c r="U6" s="817">
        <v>538</v>
      </c>
      <c r="V6" s="824">
        <v>1366036</v>
      </c>
      <c r="W6" s="817"/>
      <c r="X6" s="825">
        <v>49130</v>
      </c>
      <c r="Y6" s="817">
        <v>70773</v>
      </c>
      <c r="Z6" s="817">
        <v>15697</v>
      </c>
      <c r="AA6" s="817">
        <v>97122</v>
      </c>
      <c r="AB6" s="817"/>
      <c r="AC6" s="817">
        <v>6750</v>
      </c>
      <c r="AD6" s="817">
        <v>263787</v>
      </c>
      <c r="AE6" s="817"/>
      <c r="AF6" s="819"/>
      <c r="AG6" s="817"/>
      <c r="AH6" s="817"/>
      <c r="AI6" s="826"/>
      <c r="AJ6" s="880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5">
        <v>8522020</v>
      </c>
      <c r="C7" s="889">
        <v>1667565.2</v>
      </c>
      <c r="D7" s="817"/>
      <c r="E7" s="817">
        <v>64</v>
      </c>
      <c r="F7" s="817">
        <v>11278.3</v>
      </c>
      <c r="G7" s="817">
        <v>68225</v>
      </c>
      <c r="H7" s="818"/>
      <c r="I7" s="819">
        <v>1886735</v>
      </c>
      <c r="J7" s="820"/>
      <c r="K7" s="818">
        <v>468000</v>
      </c>
      <c r="L7" s="817">
        <v>87182.39</v>
      </c>
      <c r="M7" s="821">
        <v>631924.63</v>
      </c>
      <c r="N7" s="819">
        <v>84829.82</v>
      </c>
      <c r="O7" s="822">
        <v>253049</v>
      </c>
      <c r="P7" s="823">
        <v>85956</v>
      </c>
      <c r="Q7" s="817">
        <v>989752</v>
      </c>
      <c r="R7" s="817"/>
      <c r="S7" s="827">
        <v>97390</v>
      </c>
      <c r="T7" s="817"/>
      <c r="U7" s="817">
        <v>540</v>
      </c>
      <c r="V7" s="824">
        <v>1366284</v>
      </c>
      <c r="W7" s="817"/>
      <c r="X7" s="825">
        <v>49189</v>
      </c>
      <c r="Y7" s="817">
        <v>70872</v>
      </c>
      <c r="Z7" s="817">
        <v>15716</v>
      </c>
      <c r="AA7" s="817">
        <v>97122</v>
      </c>
      <c r="AB7" s="817"/>
      <c r="AC7" s="817">
        <v>6766</v>
      </c>
      <c r="AD7" s="817">
        <v>263787</v>
      </c>
      <c r="AE7" s="817"/>
      <c r="AF7" s="819"/>
      <c r="AG7" s="817"/>
      <c r="AH7" s="817"/>
      <c r="AI7" s="826"/>
      <c r="AJ7" s="880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5">
        <v>8522020</v>
      </c>
      <c r="C8" s="816">
        <v>1669800.3</v>
      </c>
      <c r="D8" s="817"/>
      <c r="E8" s="817">
        <v>64</v>
      </c>
      <c r="F8" s="817">
        <v>11294.9</v>
      </c>
      <c r="G8" s="817">
        <v>68225</v>
      </c>
      <c r="H8" s="818"/>
      <c r="I8" s="819">
        <v>1893824</v>
      </c>
      <c r="J8" s="820"/>
      <c r="K8" s="818">
        <v>468000</v>
      </c>
      <c r="L8" s="817">
        <v>87657.8</v>
      </c>
      <c r="M8" s="821">
        <v>633066.25</v>
      </c>
      <c r="N8" s="819">
        <v>84975.92</v>
      </c>
      <c r="O8" s="822">
        <v>253181</v>
      </c>
      <c r="P8" s="823">
        <v>86136</v>
      </c>
      <c r="Q8" s="817">
        <v>989942</v>
      </c>
      <c r="R8" s="817"/>
      <c r="S8" s="817">
        <v>97516</v>
      </c>
      <c r="T8" s="817"/>
      <c r="U8" s="817">
        <v>543</v>
      </c>
      <c r="V8" s="824">
        <v>1366475</v>
      </c>
      <c r="W8" s="817"/>
      <c r="X8" s="825">
        <v>49233</v>
      </c>
      <c r="Y8" s="817">
        <v>70953</v>
      </c>
      <c r="Z8" s="817">
        <v>15732</v>
      </c>
      <c r="AA8" s="817">
        <v>97122</v>
      </c>
      <c r="AB8" s="817"/>
      <c r="AC8" s="817">
        <v>6781</v>
      </c>
      <c r="AD8" s="817">
        <v>263787</v>
      </c>
      <c r="AE8" s="817"/>
      <c r="AF8" s="819"/>
      <c r="AG8" s="817"/>
      <c r="AH8" s="817"/>
      <c r="AI8" s="826"/>
      <c r="AJ8" s="880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5">
        <v>8522020</v>
      </c>
      <c r="C9" s="816">
        <v>1670038.6</v>
      </c>
      <c r="D9" s="817"/>
      <c r="E9" s="817">
        <v>64</v>
      </c>
      <c r="F9" s="817">
        <v>11296.5</v>
      </c>
      <c r="G9" s="817">
        <v>68225</v>
      </c>
      <c r="H9" s="818"/>
      <c r="I9" s="819">
        <v>1897596</v>
      </c>
      <c r="J9" s="820"/>
      <c r="K9" s="818">
        <v>468000</v>
      </c>
      <c r="L9" s="817">
        <v>87657.8</v>
      </c>
      <c r="M9" s="821">
        <v>633066.25</v>
      </c>
      <c r="N9" s="819">
        <v>84975.92</v>
      </c>
      <c r="O9" s="822">
        <v>253181</v>
      </c>
      <c r="P9" s="823">
        <v>86263</v>
      </c>
      <c r="Q9" s="817">
        <v>989987</v>
      </c>
      <c r="R9" s="817"/>
      <c r="S9" s="817">
        <v>97516</v>
      </c>
      <c r="T9" s="817"/>
      <c r="U9" s="817">
        <v>543</v>
      </c>
      <c r="V9" s="824">
        <v>1366609</v>
      </c>
      <c r="W9" s="817"/>
      <c r="X9" s="825">
        <v>49233</v>
      </c>
      <c r="Y9" s="817">
        <v>70953</v>
      </c>
      <c r="Z9" s="817">
        <v>15735</v>
      </c>
      <c r="AA9" s="817">
        <v>97122</v>
      </c>
      <c r="AB9" s="817"/>
      <c r="AC9" s="817">
        <v>6781</v>
      </c>
      <c r="AD9" s="817">
        <v>263787</v>
      </c>
      <c r="AE9" s="817"/>
      <c r="AF9" s="819"/>
      <c r="AG9" s="817"/>
      <c r="AH9" s="817"/>
      <c r="AI9" s="817"/>
      <c r="AJ9" s="880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5">
        <v>8522020</v>
      </c>
      <c r="C10" s="816">
        <v>1670373.5</v>
      </c>
      <c r="D10" s="817"/>
      <c r="E10" s="817">
        <v>64</v>
      </c>
      <c r="F10" s="817">
        <v>11298.4</v>
      </c>
      <c r="G10" s="817">
        <v>68225</v>
      </c>
      <c r="H10" s="818"/>
      <c r="I10" s="819">
        <v>1901658</v>
      </c>
      <c r="J10" s="820"/>
      <c r="K10" s="818">
        <v>468000</v>
      </c>
      <c r="L10" s="817">
        <v>87657.8</v>
      </c>
      <c r="M10" s="821">
        <v>633066.25</v>
      </c>
      <c r="N10" s="819">
        <v>84975.92</v>
      </c>
      <c r="O10" s="822">
        <v>253245</v>
      </c>
      <c r="P10" s="823">
        <v>86263</v>
      </c>
      <c r="Q10" s="817">
        <v>990034</v>
      </c>
      <c r="R10" s="817"/>
      <c r="S10" s="817">
        <v>97516</v>
      </c>
      <c r="T10" s="817"/>
      <c r="U10" s="817">
        <v>543</v>
      </c>
      <c r="V10" s="824">
        <v>1366609</v>
      </c>
      <c r="W10" s="817"/>
      <c r="X10" s="825">
        <v>49233</v>
      </c>
      <c r="Y10" s="817">
        <v>70953</v>
      </c>
      <c r="Z10" s="817">
        <v>15737</v>
      </c>
      <c r="AA10" s="817">
        <v>97122</v>
      </c>
      <c r="AB10" s="817"/>
      <c r="AC10" s="817">
        <v>6781</v>
      </c>
      <c r="AD10" s="817">
        <v>263787</v>
      </c>
      <c r="AE10" s="817"/>
      <c r="AF10" s="819"/>
      <c r="AG10" s="817"/>
      <c r="AH10" s="817"/>
      <c r="AI10" s="817"/>
      <c r="AJ10" s="880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5">
        <v>8522020</v>
      </c>
      <c r="C11" s="816">
        <v>1673725.1</v>
      </c>
      <c r="D11" s="817"/>
      <c r="E11" s="817">
        <v>64</v>
      </c>
      <c r="F11" s="817">
        <v>11318.3</v>
      </c>
      <c r="G11" s="817">
        <v>68225</v>
      </c>
      <c r="H11" s="818"/>
      <c r="I11" s="819">
        <v>1906432</v>
      </c>
      <c r="J11" s="820"/>
      <c r="K11" s="818">
        <v>468000</v>
      </c>
      <c r="L11" s="817">
        <v>88065.59</v>
      </c>
      <c r="M11" s="821">
        <v>634649.56000000006</v>
      </c>
      <c r="N11" s="819">
        <v>85154.74</v>
      </c>
      <c r="O11" s="822">
        <v>253318</v>
      </c>
      <c r="P11" s="823">
        <v>86332</v>
      </c>
      <c r="Q11" s="817">
        <v>990220</v>
      </c>
      <c r="R11" s="817"/>
      <c r="S11" s="817">
        <v>97698</v>
      </c>
      <c r="T11" s="817"/>
      <c r="U11" s="817">
        <v>544</v>
      </c>
      <c r="V11" s="824">
        <v>1366609</v>
      </c>
      <c r="W11" s="817"/>
      <c r="X11" s="825">
        <v>49271</v>
      </c>
      <c r="Y11" s="817">
        <v>71065</v>
      </c>
      <c r="Z11" s="817">
        <v>15757</v>
      </c>
      <c r="AA11" s="817">
        <v>97122</v>
      </c>
      <c r="AB11" s="817"/>
      <c r="AC11" s="817">
        <v>6798</v>
      </c>
      <c r="AD11" s="872">
        <v>263787</v>
      </c>
      <c r="AE11" s="817"/>
      <c r="AF11" s="819"/>
      <c r="AG11" s="817"/>
      <c r="AH11" s="817"/>
      <c r="AI11" s="817"/>
      <c r="AJ11" s="880">
        <v>7383497.2000000002</v>
      </c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5">
        <v>8522020</v>
      </c>
      <c r="C12" s="816">
        <v>1676379.8</v>
      </c>
      <c r="D12" s="817"/>
      <c r="E12" s="817">
        <v>64</v>
      </c>
      <c r="F12" s="817">
        <v>11338.7</v>
      </c>
      <c r="G12" s="817">
        <v>68225</v>
      </c>
      <c r="H12" s="818"/>
      <c r="I12" s="819">
        <v>1913658</v>
      </c>
      <c r="J12" s="820"/>
      <c r="K12" s="818">
        <v>468000</v>
      </c>
      <c r="L12" s="817">
        <v>88532.83</v>
      </c>
      <c r="M12" s="821">
        <v>636153.12</v>
      </c>
      <c r="N12" s="819">
        <v>85356.25</v>
      </c>
      <c r="O12" s="822">
        <v>253568</v>
      </c>
      <c r="P12" s="823">
        <v>86424</v>
      </c>
      <c r="Q12" s="817">
        <v>990423</v>
      </c>
      <c r="R12" s="817"/>
      <c r="S12" s="817">
        <v>97932</v>
      </c>
      <c r="T12" s="817"/>
      <c r="U12" s="817">
        <v>547</v>
      </c>
      <c r="V12" s="824">
        <v>1366778</v>
      </c>
      <c r="W12" s="817"/>
      <c r="X12" s="825">
        <v>49310</v>
      </c>
      <c r="Y12" s="817">
        <v>71164</v>
      </c>
      <c r="Z12" s="817">
        <v>15773</v>
      </c>
      <c r="AA12" s="817">
        <v>97122</v>
      </c>
      <c r="AB12" s="817"/>
      <c r="AC12" s="817">
        <v>6815</v>
      </c>
      <c r="AD12" s="872">
        <v>263787</v>
      </c>
      <c r="AE12" s="817"/>
      <c r="AF12" s="819"/>
      <c r="AG12" s="817"/>
      <c r="AH12" s="817"/>
      <c r="AI12" s="817"/>
      <c r="AJ12" s="880">
        <v>7383613.8779999996</v>
      </c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5">
        <v>8522020</v>
      </c>
      <c r="C13" s="816">
        <v>1679130.4</v>
      </c>
      <c r="D13" s="817"/>
      <c r="E13" s="817">
        <v>64</v>
      </c>
      <c r="F13" s="817">
        <v>11357.9</v>
      </c>
      <c r="G13" s="817">
        <v>68225</v>
      </c>
      <c r="H13" s="818"/>
      <c r="I13" s="819">
        <v>1920264</v>
      </c>
      <c r="J13" s="820"/>
      <c r="K13" s="818">
        <v>468000</v>
      </c>
      <c r="L13" s="817">
        <v>88837.55</v>
      </c>
      <c r="M13" s="821">
        <v>637569.31000000006</v>
      </c>
      <c r="N13" s="819">
        <v>85576.66</v>
      </c>
      <c r="O13" s="822">
        <v>253802</v>
      </c>
      <c r="P13" s="823">
        <v>86571</v>
      </c>
      <c r="Q13" s="817">
        <v>990642</v>
      </c>
      <c r="R13" s="817"/>
      <c r="S13" s="817">
        <v>98159</v>
      </c>
      <c r="T13" s="817"/>
      <c r="U13" s="817">
        <v>550</v>
      </c>
      <c r="V13" s="824">
        <v>1366929</v>
      </c>
      <c r="W13" s="817"/>
      <c r="X13" s="825">
        <v>49360</v>
      </c>
      <c r="Y13" s="817">
        <v>71255</v>
      </c>
      <c r="Z13" s="817">
        <v>15789</v>
      </c>
      <c r="AA13" s="817">
        <v>97122</v>
      </c>
      <c r="AB13" s="817"/>
      <c r="AC13" s="817">
        <v>6832</v>
      </c>
      <c r="AD13" s="817">
        <v>263787</v>
      </c>
      <c r="AE13" s="817"/>
      <c r="AF13" s="819"/>
      <c r="AG13" s="817" t="s">
        <v>55</v>
      </c>
      <c r="AH13" s="817"/>
      <c r="AI13" s="817"/>
      <c r="AJ13" s="880">
        <v>7383613.8779999996</v>
      </c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5">
        <v>8522020</v>
      </c>
      <c r="C14" s="816">
        <v>1682101.2</v>
      </c>
      <c r="D14" s="817"/>
      <c r="E14" s="817">
        <v>64</v>
      </c>
      <c r="F14" s="817">
        <v>11378.1</v>
      </c>
      <c r="G14" s="817">
        <v>68225</v>
      </c>
      <c r="H14" s="818"/>
      <c r="I14" s="819">
        <v>1927851</v>
      </c>
      <c r="J14" s="820"/>
      <c r="K14" s="818">
        <v>468000</v>
      </c>
      <c r="L14" s="817">
        <v>89615.13</v>
      </c>
      <c r="M14" s="821">
        <v>639340.81000000006</v>
      </c>
      <c r="N14" s="819">
        <v>85799.84</v>
      </c>
      <c r="O14" s="822">
        <v>254161</v>
      </c>
      <c r="P14" s="823">
        <v>86661</v>
      </c>
      <c r="Q14" s="817">
        <v>990860</v>
      </c>
      <c r="R14" s="817"/>
      <c r="S14" s="817">
        <v>98346</v>
      </c>
      <c r="T14" s="817"/>
      <c r="U14" s="817">
        <v>554</v>
      </c>
      <c r="V14" s="824">
        <v>1367136</v>
      </c>
      <c r="W14" s="817"/>
      <c r="X14" s="825">
        <v>49427</v>
      </c>
      <c r="Y14" s="817">
        <v>71344</v>
      </c>
      <c r="Z14" s="817">
        <v>15806</v>
      </c>
      <c r="AA14" s="817">
        <v>97122</v>
      </c>
      <c r="AB14" s="817"/>
      <c r="AC14" s="817">
        <v>6850</v>
      </c>
      <c r="AD14" s="817">
        <v>263787</v>
      </c>
      <c r="AE14" s="817"/>
      <c r="AF14" s="819"/>
      <c r="AG14" s="817"/>
      <c r="AH14" s="817"/>
      <c r="AI14" s="817"/>
      <c r="AJ14" s="880">
        <v>7383613.8779999996</v>
      </c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5">
        <v>8522020</v>
      </c>
      <c r="C15" s="816">
        <v>1685007.4</v>
      </c>
      <c r="D15" s="817"/>
      <c r="E15" s="817">
        <v>64</v>
      </c>
      <c r="F15" s="817">
        <v>11396.3</v>
      </c>
      <c r="G15" s="817">
        <v>68225</v>
      </c>
      <c r="H15" s="818"/>
      <c r="I15" s="875">
        <v>1934192</v>
      </c>
      <c r="J15" s="876"/>
      <c r="K15" s="818">
        <v>468000</v>
      </c>
      <c r="L15" s="817">
        <v>90054.81</v>
      </c>
      <c r="M15" s="821">
        <v>640872.81000000006</v>
      </c>
      <c r="N15" s="819">
        <v>85980.74</v>
      </c>
      <c r="O15" s="822">
        <v>254539</v>
      </c>
      <c r="P15" s="823">
        <v>86922</v>
      </c>
      <c r="Q15" s="817">
        <v>991066</v>
      </c>
      <c r="R15" s="817"/>
      <c r="S15" s="817">
        <v>98538</v>
      </c>
      <c r="T15" s="817"/>
      <c r="U15" s="817">
        <v>557</v>
      </c>
      <c r="V15" s="824">
        <v>1367294</v>
      </c>
      <c r="W15" s="817"/>
      <c r="X15" s="825">
        <v>49468</v>
      </c>
      <c r="Y15" s="817">
        <v>71420</v>
      </c>
      <c r="Z15" s="817">
        <v>15830</v>
      </c>
      <c r="AA15" s="817">
        <v>97122</v>
      </c>
      <c r="AB15" s="817"/>
      <c r="AC15" s="817">
        <v>6864</v>
      </c>
      <c r="AD15" s="817">
        <v>263787</v>
      </c>
      <c r="AE15" s="817"/>
      <c r="AF15" s="819"/>
      <c r="AG15" s="817"/>
      <c r="AH15" s="817"/>
      <c r="AI15" s="817"/>
      <c r="AJ15" s="880">
        <v>7383613.8779999996</v>
      </c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5">
        <v>8522020</v>
      </c>
      <c r="C16" s="816">
        <v>1686556.9</v>
      </c>
      <c r="D16" s="817"/>
      <c r="E16" s="817">
        <v>64</v>
      </c>
      <c r="F16" s="817">
        <v>11412.8</v>
      </c>
      <c r="G16" s="817">
        <v>68225</v>
      </c>
      <c r="H16" s="818"/>
      <c r="I16" s="819">
        <v>1938692</v>
      </c>
      <c r="J16" s="876"/>
      <c r="K16" s="818">
        <v>468000</v>
      </c>
      <c r="L16" s="817">
        <v>90382.36</v>
      </c>
      <c r="M16" s="821">
        <v>641233.57999999996</v>
      </c>
      <c r="N16" s="819">
        <v>85985.83</v>
      </c>
      <c r="O16" s="822">
        <v>254694</v>
      </c>
      <c r="P16" s="823">
        <v>87082</v>
      </c>
      <c r="Q16" s="817">
        <v>991123</v>
      </c>
      <c r="R16" s="817"/>
      <c r="S16" s="817">
        <v>98700</v>
      </c>
      <c r="T16" s="817"/>
      <c r="U16" s="817">
        <v>557</v>
      </c>
      <c r="V16" s="824">
        <v>1367464</v>
      </c>
      <c r="W16" s="817"/>
      <c r="X16" s="825">
        <v>49473</v>
      </c>
      <c r="Y16" s="817">
        <v>71425</v>
      </c>
      <c r="Z16" s="817">
        <v>15841</v>
      </c>
      <c r="AA16" s="817">
        <v>97122</v>
      </c>
      <c r="AB16" s="817"/>
      <c r="AC16" s="817">
        <v>6865</v>
      </c>
      <c r="AD16" s="817">
        <v>263787</v>
      </c>
      <c r="AE16" s="817"/>
      <c r="AF16" s="819"/>
      <c r="AG16" s="817"/>
      <c r="AH16" s="817"/>
      <c r="AI16" s="817"/>
      <c r="AJ16" s="880">
        <v>7383613.8779999996</v>
      </c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5">
        <v>8522020</v>
      </c>
      <c r="C17" s="816">
        <v>1687099</v>
      </c>
      <c r="D17" s="817"/>
      <c r="E17" s="817">
        <v>64</v>
      </c>
      <c r="F17" s="817">
        <v>11415.6</v>
      </c>
      <c r="G17" s="817">
        <v>68225</v>
      </c>
      <c r="H17" s="818"/>
      <c r="I17" s="819">
        <v>1941606</v>
      </c>
      <c r="J17" s="876"/>
      <c r="K17" s="818">
        <v>468000</v>
      </c>
      <c r="L17" s="817">
        <v>90382.36</v>
      </c>
      <c r="M17" s="821">
        <v>641233.57999999996</v>
      </c>
      <c r="N17" s="819">
        <v>85985.83</v>
      </c>
      <c r="O17" s="822">
        <v>254694</v>
      </c>
      <c r="P17" s="823">
        <v>87085</v>
      </c>
      <c r="Q17" s="817">
        <v>991166</v>
      </c>
      <c r="R17" s="817"/>
      <c r="S17" s="817">
        <v>98718</v>
      </c>
      <c r="T17" s="817"/>
      <c r="U17" s="817">
        <v>557</v>
      </c>
      <c r="V17" s="824">
        <v>1367469</v>
      </c>
      <c r="W17" s="817"/>
      <c r="X17" s="825">
        <v>49473</v>
      </c>
      <c r="Y17" s="817">
        <v>71425</v>
      </c>
      <c r="Z17" s="817">
        <v>15850</v>
      </c>
      <c r="AA17" s="817">
        <v>97122</v>
      </c>
      <c r="AB17" s="817"/>
      <c r="AC17" s="817">
        <v>6865</v>
      </c>
      <c r="AD17" s="817">
        <v>263787</v>
      </c>
      <c r="AE17" s="817"/>
      <c r="AF17" s="819"/>
      <c r="AG17" s="817"/>
      <c r="AH17" s="817"/>
      <c r="AI17" s="817"/>
      <c r="AJ17" s="880">
        <v>7383613.8779999996</v>
      </c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5"/>
      <c r="C18" s="816"/>
      <c r="D18" s="817"/>
      <c r="E18" s="817"/>
      <c r="F18" s="817"/>
      <c r="G18" s="817"/>
      <c r="H18" s="818"/>
      <c r="I18" s="819"/>
      <c r="J18" s="876"/>
      <c r="K18" s="818"/>
      <c r="L18" s="817"/>
      <c r="M18" s="821"/>
      <c r="N18" s="819"/>
      <c r="O18" s="822"/>
      <c r="P18" s="823"/>
      <c r="Q18" s="817"/>
      <c r="R18" s="817"/>
      <c r="S18" s="817"/>
      <c r="T18" s="817"/>
      <c r="U18" s="817"/>
      <c r="V18" s="824"/>
      <c r="W18" s="817"/>
      <c r="X18" s="825"/>
      <c r="Y18" s="817"/>
      <c r="Z18" s="817"/>
      <c r="AA18" s="817"/>
      <c r="AB18" s="817"/>
      <c r="AC18" s="817"/>
      <c r="AD18" s="817"/>
      <c r="AE18" s="817"/>
      <c r="AF18" s="819"/>
      <c r="AG18" s="817"/>
      <c r="AH18" s="817"/>
      <c r="AI18" s="817"/>
      <c r="AJ18" s="880"/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5"/>
      <c r="C19" s="816"/>
      <c r="D19" s="817"/>
      <c r="E19" s="817"/>
      <c r="F19" s="817"/>
      <c r="G19" s="817"/>
      <c r="H19" s="818"/>
      <c r="I19" s="819"/>
      <c r="J19" s="876"/>
      <c r="K19" s="818"/>
      <c r="L19" s="817"/>
      <c r="M19" s="821"/>
      <c r="N19" s="819"/>
      <c r="O19" s="822"/>
      <c r="P19" s="823"/>
      <c r="Q19" s="817"/>
      <c r="R19" s="817"/>
      <c r="S19" s="817"/>
      <c r="T19" s="817"/>
      <c r="U19" s="817"/>
      <c r="V19" s="824"/>
      <c r="W19" s="817"/>
      <c r="X19" s="825"/>
      <c r="Y19" s="817"/>
      <c r="Z19" s="817"/>
      <c r="AA19" s="817"/>
      <c r="AB19" s="817"/>
      <c r="AC19" s="817"/>
      <c r="AD19" s="817"/>
      <c r="AE19" s="817"/>
      <c r="AF19" s="819"/>
      <c r="AG19" s="817"/>
      <c r="AH19" s="817"/>
      <c r="AI19" s="817"/>
      <c r="AJ19" s="880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5"/>
      <c r="C20" s="816"/>
      <c r="D20" s="817"/>
      <c r="E20" s="817"/>
      <c r="F20" s="817"/>
      <c r="G20" s="817"/>
      <c r="H20" s="818"/>
      <c r="I20" s="819"/>
      <c r="J20" s="876"/>
      <c r="K20" s="818"/>
      <c r="L20" s="817"/>
      <c r="M20" s="821"/>
      <c r="N20" s="819"/>
      <c r="O20" s="822"/>
      <c r="P20" s="823"/>
      <c r="Q20" s="817"/>
      <c r="R20" s="817"/>
      <c r="S20" s="817"/>
      <c r="T20" s="817"/>
      <c r="U20" s="817"/>
      <c r="V20" s="824"/>
      <c r="W20" s="817"/>
      <c r="X20" s="825"/>
      <c r="Y20" s="817"/>
      <c r="Z20" s="817"/>
      <c r="AA20" s="817"/>
      <c r="AB20" s="817"/>
      <c r="AC20" s="817"/>
      <c r="AD20" s="817"/>
      <c r="AE20" s="817"/>
      <c r="AF20" s="819"/>
      <c r="AG20" s="817"/>
      <c r="AH20" s="817"/>
      <c r="AI20" s="817"/>
      <c r="AJ20" s="880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5"/>
      <c r="C21" s="816"/>
      <c r="D21" s="817"/>
      <c r="E21" s="817"/>
      <c r="F21" s="817"/>
      <c r="G21" s="817"/>
      <c r="H21" s="818"/>
      <c r="I21" s="819"/>
      <c r="J21" s="876"/>
      <c r="K21" s="818"/>
      <c r="L21" s="817"/>
      <c r="M21" s="821"/>
      <c r="N21" s="819"/>
      <c r="O21" s="822"/>
      <c r="P21" s="823"/>
      <c r="Q21" s="817"/>
      <c r="R21" s="817"/>
      <c r="S21" s="817"/>
      <c r="T21" s="817"/>
      <c r="U21" s="817"/>
      <c r="V21" s="824"/>
      <c r="W21" s="817"/>
      <c r="X21" s="825"/>
      <c r="Y21" s="817"/>
      <c r="Z21" s="817"/>
      <c r="AA21" s="817"/>
      <c r="AB21" s="817"/>
      <c r="AC21" s="817"/>
      <c r="AD21" s="817"/>
      <c r="AE21" s="817"/>
      <c r="AF21" s="819"/>
      <c r="AG21" s="817"/>
      <c r="AH21" s="817"/>
      <c r="AI21" s="817"/>
      <c r="AJ21" s="880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5"/>
      <c r="C22" s="816"/>
      <c r="D22" s="817"/>
      <c r="E22" s="817"/>
      <c r="F22" s="817"/>
      <c r="G22" s="817"/>
      <c r="H22" s="818"/>
      <c r="I22" s="819"/>
      <c r="J22" s="876"/>
      <c r="K22" s="818"/>
      <c r="L22" s="817"/>
      <c r="M22" s="821"/>
      <c r="N22" s="819"/>
      <c r="O22" s="822"/>
      <c r="P22" s="823"/>
      <c r="Q22" s="817"/>
      <c r="R22" s="817"/>
      <c r="S22" s="817"/>
      <c r="T22" s="817"/>
      <c r="U22" s="817"/>
      <c r="V22" s="824"/>
      <c r="W22" s="817"/>
      <c r="X22" s="825"/>
      <c r="Y22" s="817"/>
      <c r="Z22" s="817"/>
      <c r="AA22" s="817"/>
      <c r="AB22" s="817"/>
      <c r="AC22" s="817"/>
      <c r="AD22" s="817"/>
      <c r="AE22" s="817"/>
      <c r="AF22" s="819"/>
      <c r="AG22" s="817"/>
      <c r="AH22" s="817"/>
      <c r="AI22" s="817"/>
      <c r="AJ22" s="880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5"/>
      <c r="C23" s="816"/>
      <c r="D23" s="817"/>
      <c r="E23" s="817"/>
      <c r="F23" s="817"/>
      <c r="G23" s="817"/>
      <c r="H23" s="818"/>
      <c r="I23" s="819"/>
      <c r="J23" s="876"/>
      <c r="K23" s="818"/>
      <c r="L23" s="817"/>
      <c r="M23" s="821"/>
      <c r="N23" s="819"/>
      <c r="O23" s="822"/>
      <c r="P23" s="823"/>
      <c r="Q23" s="817"/>
      <c r="R23" s="817"/>
      <c r="S23" s="817"/>
      <c r="T23" s="817"/>
      <c r="U23" s="817"/>
      <c r="V23" s="824"/>
      <c r="W23" s="817"/>
      <c r="X23" s="825"/>
      <c r="Y23" s="817"/>
      <c r="Z23" s="817"/>
      <c r="AA23" s="817"/>
      <c r="AB23" s="817"/>
      <c r="AC23" s="817"/>
      <c r="AD23" s="817"/>
      <c r="AE23" s="817"/>
      <c r="AF23" s="819"/>
      <c r="AG23" s="817"/>
      <c r="AH23" s="817"/>
      <c r="AI23" s="817"/>
      <c r="AJ23" s="880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5"/>
      <c r="C24" s="816"/>
      <c r="D24" s="817"/>
      <c r="E24" s="817"/>
      <c r="F24" s="817"/>
      <c r="G24" s="817"/>
      <c r="H24" s="818"/>
      <c r="I24" s="819"/>
      <c r="J24" s="876"/>
      <c r="K24" s="818"/>
      <c r="L24" s="817"/>
      <c r="M24" s="821"/>
      <c r="N24" s="819"/>
      <c r="O24" s="822"/>
      <c r="P24" s="823"/>
      <c r="Q24" s="817"/>
      <c r="R24" s="817"/>
      <c r="S24" s="817"/>
      <c r="T24" s="817"/>
      <c r="U24" s="817"/>
      <c r="V24" s="824"/>
      <c r="W24" s="817"/>
      <c r="X24" s="825"/>
      <c r="Y24" s="817"/>
      <c r="Z24" s="817"/>
      <c r="AA24" s="817"/>
      <c r="AB24" s="817"/>
      <c r="AC24" s="817"/>
      <c r="AD24" s="817"/>
      <c r="AE24" s="817"/>
      <c r="AF24" s="819"/>
      <c r="AG24" s="817"/>
      <c r="AH24" s="817"/>
      <c r="AI24" s="817"/>
      <c r="AJ24" s="880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5"/>
      <c r="C25" s="816"/>
      <c r="D25" s="817"/>
      <c r="E25" s="817"/>
      <c r="F25" s="817"/>
      <c r="G25" s="817"/>
      <c r="H25" s="818"/>
      <c r="I25" s="819"/>
      <c r="J25" s="876"/>
      <c r="K25" s="818"/>
      <c r="L25" s="817"/>
      <c r="M25" s="821"/>
      <c r="N25" s="819"/>
      <c r="O25" s="822"/>
      <c r="P25" s="823"/>
      <c r="Q25" s="872"/>
      <c r="R25" s="817"/>
      <c r="S25" s="817"/>
      <c r="T25" s="817"/>
      <c r="U25" s="817"/>
      <c r="V25" s="824"/>
      <c r="W25" s="817"/>
      <c r="X25" s="825"/>
      <c r="Y25" s="817"/>
      <c r="Z25" s="817"/>
      <c r="AA25" s="817"/>
      <c r="AB25" s="817"/>
      <c r="AC25" s="817"/>
      <c r="AD25" s="817"/>
      <c r="AE25" s="817"/>
      <c r="AF25" s="819"/>
      <c r="AG25" s="817"/>
      <c r="AH25" s="817"/>
      <c r="AI25" s="817"/>
      <c r="AJ25" s="880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5"/>
      <c r="C26" s="816"/>
      <c r="D26" s="817"/>
      <c r="E26" s="817"/>
      <c r="F26" s="817"/>
      <c r="G26" s="817"/>
      <c r="H26" s="818"/>
      <c r="I26" s="819"/>
      <c r="J26" s="876"/>
      <c r="K26" s="818"/>
      <c r="L26" s="817"/>
      <c r="M26" s="821"/>
      <c r="N26" s="819"/>
      <c r="O26" s="822"/>
      <c r="P26" s="823"/>
      <c r="Q26" s="872"/>
      <c r="R26" s="817"/>
      <c r="S26" s="817"/>
      <c r="T26" s="817"/>
      <c r="U26" s="817"/>
      <c r="V26" s="824"/>
      <c r="W26" s="817"/>
      <c r="X26" s="825"/>
      <c r="Y26" s="817"/>
      <c r="Z26" s="817"/>
      <c r="AA26" s="817"/>
      <c r="AB26" s="817"/>
      <c r="AC26" s="817"/>
      <c r="AD26" s="817"/>
      <c r="AE26" s="817"/>
      <c r="AF26" s="819"/>
      <c r="AG26" s="817"/>
      <c r="AH26" s="817"/>
      <c r="AI26" s="817"/>
      <c r="AJ26" s="880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5"/>
      <c r="C27" s="816"/>
      <c r="D27" s="817"/>
      <c r="E27" s="817"/>
      <c r="F27" s="817"/>
      <c r="G27" s="817"/>
      <c r="H27" s="818"/>
      <c r="I27" s="819"/>
      <c r="J27" s="876"/>
      <c r="K27" s="818"/>
      <c r="L27" s="817"/>
      <c r="M27" s="821"/>
      <c r="N27" s="819"/>
      <c r="O27" s="822"/>
      <c r="P27" s="823"/>
      <c r="Q27" s="817"/>
      <c r="R27" s="817"/>
      <c r="S27" s="817"/>
      <c r="T27" s="817"/>
      <c r="U27" s="817"/>
      <c r="V27" s="824"/>
      <c r="W27" s="817"/>
      <c r="X27" s="825"/>
      <c r="Y27" s="817"/>
      <c r="Z27" s="817"/>
      <c r="AA27" s="817"/>
      <c r="AB27" s="817"/>
      <c r="AC27" s="817"/>
      <c r="AD27" s="817"/>
      <c r="AE27" s="817"/>
      <c r="AF27" s="819"/>
      <c r="AG27" s="817"/>
      <c r="AH27" s="817"/>
      <c r="AI27" s="817"/>
      <c r="AJ27" s="880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5"/>
      <c r="C28" s="816"/>
      <c r="D28" s="817"/>
      <c r="E28" s="817"/>
      <c r="F28" s="817"/>
      <c r="G28" s="817"/>
      <c r="H28" s="818"/>
      <c r="I28" s="819"/>
      <c r="J28" s="876"/>
      <c r="K28" s="818"/>
      <c r="L28" s="817"/>
      <c r="M28" s="821"/>
      <c r="N28" s="819"/>
      <c r="O28" s="822"/>
      <c r="P28" s="823"/>
      <c r="Q28" s="817"/>
      <c r="R28" s="817"/>
      <c r="S28" s="817"/>
      <c r="T28" s="817"/>
      <c r="U28" s="817"/>
      <c r="V28" s="824"/>
      <c r="W28" s="817"/>
      <c r="X28" s="825"/>
      <c r="Y28" s="817"/>
      <c r="Z28" s="817"/>
      <c r="AA28" s="817"/>
      <c r="AB28" s="817"/>
      <c r="AC28" s="817"/>
      <c r="AD28" s="817"/>
      <c r="AE28" s="817"/>
      <c r="AF28" s="819"/>
      <c r="AG28" s="817"/>
      <c r="AH28" s="817"/>
      <c r="AI28" s="817"/>
      <c r="AJ28" s="880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5"/>
      <c r="C29" s="816"/>
      <c r="D29" s="817"/>
      <c r="E29" s="817"/>
      <c r="F29" s="817"/>
      <c r="G29" s="817"/>
      <c r="H29" s="818"/>
      <c r="I29" s="819"/>
      <c r="J29" s="876"/>
      <c r="K29" s="818"/>
      <c r="L29" s="817"/>
      <c r="M29" s="821"/>
      <c r="N29" s="819"/>
      <c r="O29" s="822"/>
      <c r="P29" s="823"/>
      <c r="Q29" s="817"/>
      <c r="R29" s="817"/>
      <c r="S29" s="817"/>
      <c r="T29" s="817"/>
      <c r="U29" s="817"/>
      <c r="V29" s="824"/>
      <c r="W29" s="817"/>
      <c r="X29" s="825"/>
      <c r="Y29" s="817"/>
      <c r="Z29" s="817"/>
      <c r="AA29" s="817"/>
      <c r="AB29" s="817"/>
      <c r="AC29" s="817"/>
      <c r="AD29" s="817"/>
      <c r="AE29" s="817"/>
      <c r="AF29" s="819"/>
      <c r="AG29" s="817"/>
      <c r="AH29" s="817"/>
      <c r="AI29" s="817"/>
      <c r="AJ29" s="880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5"/>
      <c r="C30" s="816"/>
      <c r="D30" s="817"/>
      <c r="E30" s="817"/>
      <c r="F30" s="817"/>
      <c r="G30" s="817"/>
      <c r="H30" s="818"/>
      <c r="I30" s="819"/>
      <c r="J30" s="876"/>
      <c r="K30" s="818"/>
      <c r="L30" s="817"/>
      <c r="M30" s="821"/>
      <c r="N30" s="819"/>
      <c r="O30" s="822"/>
      <c r="P30" s="823"/>
      <c r="Q30" s="817"/>
      <c r="R30" s="817"/>
      <c r="S30" s="817"/>
      <c r="T30" s="817"/>
      <c r="U30" s="817"/>
      <c r="V30" s="824"/>
      <c r="W30" s="817"/>
      <c r="X30" s="825"/>
      <c r="Y30" s="817"/>
      <c r="Z30" s="817"/>
      <c r="AA30" s="817"/>
      <c r="AB30" s="817"/>
      <c r="AC30" s="817"/>
      <c r="AD30" s="817"/>
      <c r="AE30" s="817"/>
      <c r="AF30" s="819"/>
      <c r="AG30" s="817"/>
      <c r="AH30" s="817"/>
      <c r="AI30" s="817"/>
      <c r="AJ30" s="880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5"/>
      <c r="C31" s="816"/>
      <c r="D31" s="817"/>
      <c r="E31" s="817"/>
      <c r="F31" s="817"/>
      <c r="G31" s="817"/>
      <c r="H31" s="818"/>
      <c r="I31" s="819"/>
      <c r="J31" s="876"/>
      <c r="K31" s="818"/>
      <c r="L31" s="817"/>
      <c r="M31" s="821"/>
      <c r="N31" s="819"/>
      <c r="O31" s="822"/>
      <c r="P31" s="823"/>
      <c r="Q31" s="817"/>
      <c r="R31" s="817"/>
      <c r="S31" s="817"/>
      <c r="T31" s="817"/>
      <c r="U31" s="817"/>
      <c r="V31" s="824"/>
      <c r="W31" s="817"/>
      <c r="X31" s="825"/>
      <c r="Y31" s="817"/>
      <c r="Z31" s="817"/>
      <c r="AA31" s="817"/>
      <c r="AB31" s="817"/>
      <c r="AC31" s="817"/>
      <c r="AD31" s="817"/>
      <c r="AE31" s="817"/>
      <c r="AF31" s="819"/>
      <c r="AG31" s="817"/>
      <c r="AH31" s="817"/>
      <c r="AI31" s="817"/>
      <c r="AJ31" s="880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5"/>
      <c r="C32" s="816"/>
      <c r="D32" s="817"/>
      <c r="E32" s="817"/>
      <c r="F32" s="817"/>
      <c r="G32" s="817"/>
      <c r="H32" s="818"/>
      <c r="I32" s="819"/>
      <c r="J32" s="876"/>
      <c r="K32" s="818"/>
      <c r="L32" s="817"/>
      <c r="M32" s="821"/>
      <c r="N32" s="819"/>
      <c r="O32" s="822"/>
      <c r="P32" s="823"/>
      <c r="Q32" s="817"/>
      <c r="R32" s="817"/>
      <c r="S32" s="884"/>
      <c r="T32" s="817"/>
      <c r="U32" s="817"/>
      <c r="V32" s="824"/>
      <c r="W32" s="817"/>
      <c r="X32" s="825"/>
      <c r="Y32" s="817"/>
      <c r="Z32" s="817"/>
      <c r="AA32" s="817"/>
      <c r="AB32" s="817"/>
      <c r="AC32" s="817"/>
      <c r="AD32" s="817"/>
      <c r="AE32" s="817"/>
      <c r="AF32" s="819"/>
      <c r="AG32" s="817"/>
      <c r="AH32" s="817"/>
      <c r="AI32" s="817"/>
      <c r="AJ32" s="880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5"/>
      <c r="C33" s="816"/>
      <c r="D33" s="817"/>
      <c r="E33" s="817"/>
      <c r="F33" s="817"/>
      <c r="G33" s="817"/>
      <c r="H33" s="818"/>
      <c r="I33" s="819"/>
      <c r="J33" s="876"/>
      <c r="K33" s="818"/>
      <c r="L33" s="817"/>
      <c r="M33" s="821"/>
      <c r="N33" s="819"/>
      <c r="O33" s="822"/>
      <c r="P33" s="823"/>
      <c r="Q33" s="817"/>
      <c r="R33" s="817"/>
      <c r="S33" s="884"/>
      <c r="T33" s="817"/>
      <c r="U33" s="817"/>
      <c r="V33" s="824"/>
      <c r="W33" s="817"/>
      <c r="X33" s="825"/>
      <c r="Y33" s="817"/>
      <c r="Z33" s="817"/>
      <c r="AA33" s="817"/>
      <c r="AB33" s="817"/>
      <c r="AC33" s="817"/>
      <c r="AD33" s="817"/>
      <c r="AE33" s="817"/>
      <c r="AF33" s="819"/>
      <c r="AG33" s="817"/>
      <c r="AH33" s="817"/>
      <c r="AI33" s="817"/>
      <c r="AJ33" s="880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5"/>
      <c r="C34" s="816"/>
      <c r="D34" s="817"/>
      <c r="E34" s="817"/>
      <c r="F34" s="817"/>
      <c r="G34" s="817"/>
      <c r="H34" s="818"/>
      <c r="I34" s="819"/>
      <c r="J34" s="876"/>
      <c r="K34" s="818"/>
      <c r="L34" s="817"/>
      <c r="M34" s="821"/>
      <c r="N34" s="819"/>
      <c r="O34" s="822"/>
      <c r="P34" s="823"/>
      <c r="Q34" s="817"/>
      <c r="R34" s="817"/>
      <c r="S34" s="817"/>
      <c r="T34" s="817"/>
      <c r="U34" s="817"/>
      <c r="V34" s="824"/>
      <c r="W34" s="817"/>
      <c r="X34" s="825"/>
      <c r="Y34" s="817"/>
      <c r="Z34" s="817"/>
      <c r="AA34" s="817"/>
      <c r="AB34" s="817"/>
      <c r="AC34" s="817"/>
      <c r="AD34" s="817"/>
      <c r="AE34" s="817"/>
      <c r="AF34" s="819"/>
      <c r="AG34" s="817"/>
      <c r="AH34" s="817"/>
      <c r="AI34" s="817"/>
      <c r="AJ34" s="880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5"/>
      <c r="C35" s="816"/>
      <c r="D35" s="192"/>
      <c r="E35" s="817"/>
      <c r="F35" s="817"/>
      <c r="G35" s="817"/>
      <c r="H35" s="193"/>
      <c r="I35" s="194"/>
      <c r="J35" s="711"/>
      <c r="K35" s="818"/>
      <c r="L35" s="817"/>
      <c r="M35" s="821"/>
      <c r="N35" s="819"/>
      <c r="O35" s="822"/>
      <c r="P35" s="823"/>
      <c r="Q35" s="817"/>
      <c r="R35" s="192"/>
      <c r="S35" s="817"/>
      <c r="T35" s="192"/>
      <c r="U35" s="817"/>
      <c r="V35" s="824"/>
      <c r="W35" s="192"/>
      <c r="X35" s="825"/>
      <c r="Y35" s="817"/>
      <c r="Z35" s="817"/>
      <c r="AA35" s="817"/>
      <c r="AB35" s="192"/>
      <c r="AC35" s="817"/>
      <c r="AD35" s="817"/>
      <c r="AE35" s="192"/>
      <c r="AF35" s="194"/>
      <c r="AG35" s="192"/>
      <c r="AH35" s="192"/>
      <c r="AI35" s="199"/>
      <c r="AJ35" s="880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4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4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05"/>
      <c r="J38" s="905"/>
      <c r="R38" s="190"/>
      <c r="S38" s="190"/>
      <c r="T38" s="190"/>
      <c r="U38" s="190"/>
      <c r="V38" s="190"/>
      <c r="W38" s="190"/>
      <c r="Z38" s="190"/>
      <c r="AA38" s="906"/>
      <c r="AB38" s="906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4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4"/>
    </row>
    <row r="178" spans="3:3" s="189" customFormat="1" x14ac:dyDescent="0.2">
      <c r="C178" s="814"/>
    </row>
    <row r="179" spans="3:3" s="189" customFormat="1" x14ac:dyDescent="0.2">
      <c r="C179" s="814"/>
    </row>
    <row r="180" spans="3:3" s="189" customFormat="1" x14ac:dyDescent="0.2">
      <c r="C180" s="814"/>
    </row>
    <row r="181" spans="3:3" s="189" customFormat="1" x14ac:dyDescent="0.2">
      <c r="C181" s="814"/>
    </row>
    <row r="182" spans="3:3" s="189" customFormat="1" x14ac:dyDescent="0.2">
      <c r="C182" s="814"/>
    </row>
    <row r="183" spans="3:3" s="189" customFormat="1" x14ac:dyDescent="0.2">
      <c r="C183" s="814"/>
    </row>
    <row r="184" spans="3:3" s="189" customFormat="1" x14ac:dyDescent="0.2">
      <c r="C184" s="814"/>
    </row>
    <row r="185" spans="3:3" s="189" customFormat="1" x14ac:dyDescent="0.2">
      <c r="C185" s="814"/>
    </row>
    <row r="186" spans="3:3" s="189" customFormat="1" x14ac:dyDescent="0.2">
      <c r="C186" s="814"/>
    </row>
    <row r="187" spans="3:3" s="189" customFormat="1" x14ac:dyDescent="0.2">
      <c r="C187" s="814"/>
    </row>
    <row r="188" spans="3:3" s="189" customFormat="1" x14ac:dyDescent="0.2">
      <c r="C188" s="814"/>
    </row>
    <row r="189" spans="3:3" s="189" customFormat="1" x14ac:dyDescent="0.2">
      <c r="C189" s="814"/>
    </row>
    <row r="190" spans="3:3" s="189" customFormat="1" x14ac:dyDescent="0.2">
      <c r="C190" s="814"/>
    </row>
    <row r="191" spans="3:3" s="189" customFormat="1" x14ac:dyDescent="0.2">
      <c r="C191" s="814"/>
    </row>
    <row r="192" spans="3:3" s="189" customFormat="1" x14ac:dyDescent="0.2">
      <c r="C192" s="814"/>
    </row>
    <row r="193" spans="3:3" s="189" customFormat="1" x14ac:dyDescent="0.2">
      <c r="C193" s="814"/>
    </row>
    <row r="194" spans="3:3" s="189" customFormat="1" x14ac:dyDescent="0.2">
      <c r="C194" s="814"/>
    </row>
    <row r="195" spans="3:3" s="189" customFormat="1" x14ac:dyDescent="0.2">
      <c r="C195" s="814"/>
    </row>
    <row r="196" spans="3:3" s="189" customFormat="1" x14ac:dyDescent="0.2">
      <c r="C196" s="814"/>
    </row>
    <row r="197" spans="3:3" s="189" customFormat="1" x14ac:dyDescent="0.2">
      <c r="C197" s="814"/>
    </row>
    <row r="198" spans="3:3" s="189" customFormat="1" x14ac:dyDescent="0.2">
      <c r="C198" s="814"/>
    </row>
    <row r="199" spans="3:3" s="189" customFormat="1" x14ac:dyDescent="0.2">
      <c r="C199" s="814"/>
    </row>
    <row r="200" spans="3:3" s="189" customFormat="1" x14ac:dyDescent="0.2">
      <c r="C200" s="814"/>
    </row>
    <row r="201" spans="3:3" s="189" customFormat="1" x14ac:dyDescent="0.2">
      <c r="C201" s="814"/>
    </row>
    <row r="202" spans="3:3" s="189" customFormat="1" x14ac:dyDescent="0.2">
      <c r="C202" s="814"/>
    </row>
    <row r="203" spans="3:3" s="189" customFormat="1" x14ac:dyDescent="0.2">
      <c r="C203" s="814"/>
    </row>
    <row r="204" spans="3:3" s="189" customFormat="1" x14ac:dyDescent="0.2">
      <c r="C204" s="814"/>
    </row>
    <row r="205" spans="3:3" s="189" customFormat="1" x14ac:dyDescent="0.2">
      <c r="C205" s="814"/>
    </row>
    <row r="206" spans="3:3" s="189" customFormat="1" x14ac:dyDescent="0.2">
      <c r="C206" s="814"/>
    </row>
    <row r="207" spans="3:3" s="189" customFormat="1" x14ac:dyDescent="0.2">
      <c r="C207" s="814"/>
    </row>
    <row r="208" spans="3:3" s="189" customFormat="1" x14ac:dyDescent="0.2">
      <c r="C208" s="814"/>
    </row>
    <row r="209" spans="3:3" s="189" customFormat="1" x14ac:dyDescent="0.2">
      <c r="C209" s="814"/>
    </row>
    <row r="210" spans="3:3" s="189" customFormat="1" x14ac:dyDescent="0.2">
      <c r="C210" s="814"/>
    </row>
    <row r="211" spans="3:3" s="189" customFormat="1" x14ac:dyDescent="0.2">
      <c r="C211" s="814"/>
    </row>
    <row r="212" spans="3:3" s="189" customFormat="1" x14ac:dyDescent="0.2">
      <c r="C212" s="814"/>
    </row>
    <row r="213" spans="3:3" s="189" customFormat="1" x14ac:dyDescent="0.2">
      <c r="C213" s="814"/>
    </row>
    <row r="214" spans="3:3" s="189" customFormat="1" x14ac:dyDescent="0.2">
      <c r="C214" s="814"/>
    </row>
    <row r="215" spans="3:3" s="189" customFormat="1" x14ac:dyDescent="0.2">
      <c r="C215" s="814"/>
    </row>
    <row r="216" spans="3:3" s="189" customFormat="1" x14ac:dyDescent="0.2">
      <c r="C216" s="814"/>
    </row>
    <row r="217" spans="3:3" s="189" customFormat="1" x14ac:dyDescent="0.2">
      <c r="C217" s="814"/>
    </row>
    <row r="218" spans="3:3" s="189" customFormat="1" x14ac:dyDescent="0.2">
      <c r="C218" s="814"/>
    </row>
    <row r="219" spans="3:3" s="189" customFormat="1" x14ac:dyDescent="0.2">
      <c r="C219" s="814"/>
    </row>
    <row r="220" spans="3:3" s="189" customFormat="1" x14ac:dyDescent="0.2">
      <c r="C220" s="814"/>
    </row>
    <row r="221" spans="3:3" s="189" customFormat="1" x14ac:dyDescent="0.2">
      <c r="C221" s="814"/>
    </row>
    <row r="222" spans="3:3" s="189" customFormat="1" x14ac:dyDescent="0.2">
      <c r="C222" s="814"/>
    </row>
    <row r="223" spans="3:3" s="189" customFormat="1" x14ac:dyDescent="0.2">
      <c r="C223" s="814"/>
    </row>
    <row r="224" spans="3:3" s="189" customFormat="1" x14ac:dyDescent="0.2">
      <c r="C224" s="814"/>
    </row>
    <row r="225" spans="3:3" s="189" customFormat="1" x14ac:dyDescent="0.2">
      <c r="C225" s="814"/>
    </row>
    <row r="226" spans="3:3" s="189" customFormat="1" x14ac:dyDescent="0.2">
      <c r="C226" s="814"/>
    </row>
    <row r="227" spans="3:3" s="189" customFormat="1" x14ac:dyDescent="0.2">
      <c r="C227" s="814"/>
    </row>
    <row r="228" spans="3:3" s="189" customFormat="1" x14ac:dyDescent="0.2">
      <c r="C228" s="814"/>
    </row>
    <row r="229" spans="3:3" s="189" customFormat="1" x14ac:dyDescent="0.2">
      <c r="C229" s="814"/>
    </row>
    <row r="230" spans="3:3" s="189" customFormat="1" x14ac:dyDescent="0.2">
      <c r="C230" s="814"/>
    </row>
    <row r="231" spans="3:3" s="189" customFormat="1" x14ac:dyDescent="0.2">
      <c r="C231" s="814"/>
    </row>
    <row r="232" spans="3:3" s="189" customFormat="1" x14ac:dyDescent="0.2">
      <c r="C232" s="814"/>
    </row>
    <row r="233" spans="3:3" s="189" customFormat="1" x14ac:dyDescent="0.2">
      <c r="C233" s="814"/>
    </row>
    <row r="234" spans="3:3" s="189" customFormat="1" x14ac:dyDescent="0.2">
      <c r="C234" s="814"/>
    </row>
    <row r="235" spans="3:3" s="189" customFormat="1" x14ac:dyDescent="0.2">
      <c r="C235" s="814"/>
    </row>
    <row r="236" spans="3:3" s="189" customFormat="1" x14ac:dyDescent="0.2">
      <c r="C236" s="814"/>
    </row>
    <row r="237" spans="3:3" s="189" customFormat="1" x14ac:dyDescent="0.2">
      <c r="C237" s="814"/>
    </row>
    <row r="238" spans="3:3" s="189" customFormat="1" x14ac:dyDescent="0.2">
      <c r="C238" s="814"/>
    </row>
    <row r="239" spans="3:3" s="189" customFormat="1" x14ac:dyDescent="0.2">
      <c r="C239" s="814"/>
    </row>
    <row r="240" spans="3:3" s="189" customFormat="1" x14ac:dyDescent="0.2">
      <c r="C240" s="814"/>
    </row>
    <row r="241" spans="3:3" s="189" customFormat="1" x14ac:dyDescent="0.2">
      <c r="C241" s="814"/>
    </row>
    <row r="242" spans="3:3" s="189" customFormat="1" x14ac:dyDescent="0.2">
      <c r="C242" s="814"/>
    </row>
    <row r="243" spans="3:3" s="189" customFormat="1" x14ac:dyDescent="0.2">
      <c r="C243" s="814"/>
    </row>
    <row r="244" spans="3:3" s="189" customFormat="1" x14ac:dyDescent="0.2">
      <c r="C244" s="814"/>
    </row>
    <row r="245" spans="3:3" s="189" customFormat="1" x14ac:dyDescent="0.2">
      <c r="C245" s="814"/>
    </row>
    <row r="246" spans="3:3" s="189" customFormat="1" x14ac:dyDescent="0.2">
      <c r="C246" s="814"/>
    </row>
    <row r="247" spans="3:3" s="189" customFormat="1" x14ac:dyDescent="0.2">
      <c r="C247" s="814"/>
    </row>
    <row r="248" spans="3:3" s="189" customFormat="1" x14ac:dyDescent="0.2">
      <c r="C248" s="814"/>
    </row>
    <row r="249" spans="3:3" s="189" customFormat="1" x14ac:dyDescent="0.2">
      <c r="C249" s="814"/>
    </row>
    <row r="250" spans="3:3" s="189" customFormat="1" x14ac:dyDescent="0.2">
      <c r="C250" s="814"/>
    </row>
    <row r="251" spans="3:3" s="189" customFormat="1" x14ac:dyDescent="0.2">
      <c r="C251" s="814"/>
    </row>
    <row r="252" spans="3:3" s="189" customFormat="1" x14ac:dyDescent="0.2">
      <c r="C252" s="814"/>
    </row>
    <row r="253" spans="3:3" s="189" customFormat="1" x14ac:dyDescent="0.2">
      <c r="C253" s="814"/>
    </row>
    <row r="254" spans="3:3" s="189" customFormat="1" x14ac:dyDescent="0.2">
      <c r="C254" s="814"/>
    </row>
    <row r="255" spans="3:3" s="189" customFormat="1" x14ac:dyDescent="0.2">
      <c r="C255" s="814"/>
    </row>
    <row r="256" spans="3:3" s="189" customFormat="1" x14ac:dyDescent="0.2">
      <c r="C256" s="814"/>
    </row>
    <row r="257" spans="3:3" s="189" customFormat="1" x14ac:dyDescent="0.2">
      <c r="C257" s="814"/>
    </row>
    <row r="258" spans="3:3" s="189" customFormat="1" x14ac:dyDescent="0.2">
      <c r="C258" s="814"/>
    </row>
    <row r="259" spans="3:3" s="189" customFormat="1" x14ac:dyDescent="0.2">
      <c r="C259" s="814"/>
    </row>
    <row r="260" spans="3:3" s="189" customFormat="1" x14ac:dyDescent="0.2">
      <c r="C260" s="814"/>
    </row>
    <row r="261" spans="3:3" s="189" customFormat="1" x14ac:dyDescent="0.2">
      <c r="C261" s="814"/>
    </row>
    <row r="262" spans="3:3" s="189" customFormat="1" x14ac:dyDescent="0.2">
      <c r="C262" s="814"/>
    </row>
    <row r="263" spans="3:3" s="189" customFormat="1" x14ac:dyDescent="0.2">
      <c r="C263" s="814"/>
    </row>
    <row r="264" spans="3:3" s="189" customFormat="1" x14ac:dyDescent="0.2">
      <c r="C264" s="814"/>
    </row>
    <row r="265" spans="3:3" s="189" customFormat="1" x14ac:dyDescent="0.2">
      <c r="C265" s="814"/>
    </row>
    <row r="266" spans="3:3" s="189" customFormat="1" x14ac:dyDescent="0.2">
      <c r="C266" s="814"/>
    </row>
    <row r="267" spans="3:3" s="189" customFormat="1" x14ac:dyDescent="0.2">
      <c r="C267" s="814"/>
    </row>
    <row r="268" spans="3:3" s="189" customFormat="1" x14ac:dyDescent="0.2">
      <c r="C268" s="814"/>
    </row>
    <row r="269" spans="3:3" s="189" customFormat="1" x14ac:dyDescent="0.2">
      <c r="C269" s="814"/>
    </row>
    <row r="270" spans="3:3" s="189" customFormat="1" x14ac:dyDescent="0.2">
      <c r="C270" s="814"/>
    </row>
    <row r="271" spans="3:3" s="189" customFormat="1" x14ac:dyDescent="0.2">
      <c r="C271" s="814"/>
    </row>
    <row r="272" spans="3:3" s="189" customFormat="1" x14ac:dyDescent="0.2">
      <c r="C272" s="814"/>
    </row>
    <row r="273" spans="3:3" s="189" customFormat="1" x14ac:dyDescent="0.2">
      <c r="C273" s="814"/>
    </row>
    <row r="274" spans="3:3" s="189" customFormat="1" x14ac:dyDescent="0.2">
      <c r="C274" s="814"/>
    </row>
    <row r="275" spans="3:3" s="189" customFormat="1" x14ac:dyDescent="0.2">
      <c r="C275" s="814"/>
    </row>
    <row r="276" spans="3:3" s="189" customFormat="1" x14ac:dyDescent="0.2">
      <c r="C276" s="814"/>
    </row>
    <row r="277" spans="3:3" s="189" customFormat="1" x14ac:dyDescent="0.2">
      <c r="C277" s="814"/>
    </row>
    <row r="278" spans="3:3" s="189" customFormat="1" x14ac:dyDescent="0.2">
      <c r="C278" s="814"/>
    </row>
    <row r="279" spans="3:3" s="189" customFormat="1" x14ac:dyDescent="0.2">
      <c r="C279" s="814"/>
    </row>
    <row r="280" spans="3:3" s="189" customFormat="1" x14ac:dyDescent="0.2">
      <c r="C280" s="814"/>
    </row>
    <row r="281" spans="3:3" s="189" customFormat="1" x14ac:dyDescent="0.2">
      <c r="C281" s="814"/>
    </row>
    <row r="282" spans="3:3" s="189" customFormat="1" x14ac:dyDescent="0.2">
      <c r="C282" s="814"/>
    </row>
    <row r="283" spans="3:3" s="189" customFormat="1" x14ac:dyDescent="0.2">
      <c r="C283" s="814"/>
    </row>
    <row r="284" spans="3:3" s="189" customFormat="1" x14ac:dyDescent="0.2">
      <c r="C284" s="814"/>
    </row>
    <row r="285" spans="3:3" s="189" customFormat="1" x14ac:dyDescent="0.2">
      <c r="C285" s="814"/>
    </row>
    <row r="286" spans="3:3" s="189" customFormat="1" x14ac:dyDescent="0.2">
      <c r="C286" s="814"/>
    </row>
    <row r="287" spans="3:3" s="189" customFormat="1" x14ac:dyDescent="0.2">
      <c r="C287" s="814"/>
    </row>
    <row r="288" spans="3:3" s="189" customFormat="1" x14ac:dyDescent="0.2">
      <c r="C288" s="814"/>
    </row>
    <row r="289" spans="3:3" s="189" customFormat="1" x14ac:dyDescent="0.2">
      <c r="C289" s="814"/>
    </row>
    <row r="290" spans="3:3" s="189" customFormat="1" x14ac:dyDescent="0.2">
      <c r="C290" s="814"/>
    </row>
    <row r="291" spans="3:3" s="189" customFormat="1" x14ac:dyDescent="0.2">
      <c r="C291" s="814"/>
    </row>
    <row r="292" spans="3:3" s="189" customFormat="1" x14ac:dyDescent="0.2">
      <c r="C292" s="814"/>
    </row>
    <row r="293" spans="3:3" s="189" customFormat="1" x14ac:dyDescent="0.2">
      <c r="C293" s="814"/>
    </row>
    <row r="294" spans="3:3" s="189" customFormat="1" x14ac:dyDescent="0.2">
      <c r="C294" s="814"/>
    </row>
    <row r="295" spans="3:3" s="189" customFormat="1" x14ac:dyDescent="0.2">
      <c r="C295" s="814"/>
    </row>
    <row r="296" spans="3:3" s="189" customFormat="1" x14ac:dyDescent="0.2">
      <c r="C296" s="814"/>
    </row>
    <row r="297" spans="3:3" s="189" customFormat="1" x14ac:dyDescent="0.2">
      <c r="C297" s="814"/>
    </row>
    <row r="298" spans="3:3" s="189" customFormat="1" x14ac:dyDescent="0.2">
      <c r="C298" s="814"/>
    </row>
    <row r="299" spans="3:3" s="189" customFormat="1" x14ac:dyDescent="0.2">
      <c r="C299" s="814"/>
    </row>
    <row r="300" spans="3:3" s="189" customFormat="1" x14ac:dyDescent="0.2">
      <c r="C300" s="814"/>
    </row>
    <row r="301" spans="3:3" s="189" customFormat="1" x14ac:dyDescent="0.2">
      <c r="C301" s="814"/>
    </row>
    <row r="302" spans="3:3" s="189" customFormat="1" x14ac:dyDescent="0.2">
      <c r="C302" s="814"/>
    </row>
    <row r="303" spans="3:3" s="189" customFormat="1" x14ac:dyDescent="0.2">
      <c r="C303" s="814"/>
    </row>
    <row r="304" spans="3:3" s="189" customFormat="1" x14ac:dyDescent="0.2">
      <c r="C304" s="814"/>
    </row>
    <row r="305" spans="3:3" s="189" customFormat="1" x14ac:dyDescent="0.2">
      <c r="C305" s="814"/>
    </row>
    <row r="306" spans="3:3" s="189" customFormat="1" x14ac:dyDescent="0.2">
      <c r="C306" s="814"/>
    </row>
    <row r="307" spans="3:3" s="189" customFormat="1" x14ac:dyDescent="0.2">
      <c r="C307" s="814"/>
    </row>
    <row r="308" spans="3:3" s="189" customFormat="1" x14ac:dyDescent="0.2">
      <c r="C308" s="814"/>
    </row>
    <row r="309" spans="3:3" s="189" customFormat="1" x14ac:dyDescent="0.2">
      <c r="C309" s="814"/>
    </row>
    <row r="310" spans="3:3" s="189" customFormat="1" x14ac:dyDescent="0.2">
      <c r="C310" s="814"/>
    </row>
    <row r="311" spans="3:3" s="189" customFormat="1" x14ac:dyDescent="0.2">
      <c r="C311" s="814"/>
    </row>
    <row r="312" spans="3:3" s="189" customFormat="1" x14ac:dyDescent="0.2">
      <c r="C312" s="814"/>
    </row>
    <row r="313" spans="3:3" s="189" customFormat="1" x14ac:dyDescent="0.2">
      <c r="C313" s="814"/>
    </row>
    <row r="314" spans="3:3" s="189" customFormat="1" x14ac:dyDescent="0.2">
      <c r="C314" s="814"/>
    </row>
    <row r="315" spans="3:3" s="189" customFormat="1" x14ac:dyDescent="0.2">
      <c r="C315" s="814"/>
    </row>
    <row r="316" spans="3:3" s="189" customFormat="1" x14ac:dyDescent="0.2">
      <c r="C316" s="814"/>
    </row>
    <row r="317" spans="3:3" s="189" customFormat="1" x14ac:dyDescent="0.2">
      <c r="C317" s="814"/>
    </row>
    <row r="318" spans="3:3" s="189" customFormat="1" x14ac:dyDescent="0.2">
      <c r="C318" s="814"/>
    </row>
    <row r="319" spans="3:3" s="189" customFormat="1" x14ac:dyDescent="0.2">
      <c r="C319" s="814"/>
    </row>
    <row r="320" spans="3:3" s="189" customFormat="1" x14ac:dyDescent="0.2">
      <c r="C320" s="814"/>
    </row>
    <row r="321" spans="3:3" s="189" customFormat="1" x14ac:dyDescent="0.2">
      <c r="C321" s="814"/>
    </row>
    <row r="322" spans="3:3" s="189" customFormat="1" x14ac:dyDescent="0.2">
      <c r="C322" s="814"/>
    </row>
    <row r="323" spans="3:3" s="189" customFormat="1" x14ac:dyDescent="0.2">
      <c r="C323" s="814"/>
    </row>
    <row r="324" spans="3:3" s="189" customFormat="1" x14ac:dyDescent="0.2">
      <c r="C324" s="814"/>
    </row>
    <row r="325" spans="3:3" s="189" customFormat="1" x14ac:dyDescent="0.2">
      <c r="C325" s="814"/>
    </row>
    <row r="326" spans="3:3" s="189" customFormat="1" x14ac:dyDescent="0.2">
      <c r="C326" s="814"/>
    </row>
    <row r="327" spans="3:3" s="189" customFormat="1" x14ac:dyDescent="0.2">
      <c r="C327" s="814"/>
    </row>
    <row r="328" spans="3:3" s="189" customFormat="1" x14ac:dyDescent="0.2">
      <c r="C328" s="814"/>
    </row>
    <row r="329" spans="3:3" s="189" customFormat="1" x14ac:dyDescent="0.2">
      <c r="C329" s="814"/>
    </row>
    <row r="330" spans="3:3" s="189" customFormat="1" x14ac:dyDescent="0.2">
      <c r="C330" s="814"/>
    </row>
    <row r="331" spans="3:3" s="189" customFormat="1" x14ac:dyDescent="0.2">
      <c r="C331" s="814"/>
    </row>
    <row r="332" spans="3:3" s="189" customFormat="1" x14ac:dyDescent="0.2">
      <c r="C332" s="814"/>
    </row>
    <row r="333" spans="3:3" s="189" customFormat="1" x14ac:dyDescent="0.2">
      <c r="C333" s="814"/>
    </row>
    <row r="334" spans="3:3" s="189" customFormat="1" x14ac:dyDescent="0.2">
      <c r="C334" s="814"/>
    </row>
    <row r="335" spans="3:3" s="189" customFormat="1" x14ac:dyDescent="0.2">
      <c r="C335" s="814"/>
    </row>
    <row r="336" spans="3:3" s="189" customFormat="1" x14ac:dyDescent="0.2">
      <c r="C336" s="814"/>
    </row>
    <row r="337" spans="3:3" s="189" customFormat="1" x14ac:dyDescent="0.2">
      <c r="C337" s="814"/>
    </row>
    <row r="338" spans="3:3" s="189" customFormat="1" x14ac:dyDescent="0.2">
      <c r="C338" s="814"/>
    </row>
    <row r="339" spans="3:3" s="189" customFormat="1" x14ac:dyDescent="0.2">
      <c r="C339" s="814"/>
    </row>
    <row r="340" spans="3:3" s="189" customFormat="1" x14ac:dyDescent="0.2">
      <c r="C340" s="814"/>
    </row>
    <row r="341" spans="3:3" s="189" customFormat="1" x14ac:dyDescent="0.2">
      <c r="C341" s="814"/>
    </row>
    <row r="342" spans="3:3" s="189" customFormat="1" x14ac:dyDescent="0.2">
      <c r="C342" s="814"/>
    </row>
    <row r="343" spans="3:3" s="189" customFormat="1" x14ac:dyDescent="0.2">
      <c r="C343" s="814"/>
    </row>
    <row r="344" spans="3:3" s="189" customFormat="1" x14ac:dyDescent="0.2">
      <c r="C344" s="814"/>
    </row>
    <row r="345" spans="3:3" s="189" customFormat="1" x14ac:dyDescent="0.2">
      <c r="C345" s="814"/>
    </row>
    <row r="346" spans="3:3" s="189" customFormat="1" x14ac:dyDescent="0.2">
      <c r="C346" s="814"/>
    </row>
    <row r="347" spans="3:3" s="189" customFormat="1" x14ac:dyDescent="0.2">
      <c r="C347" s="814"/>
    </row>
    <row r="348" spans="3:3" s="189" customFormat="1" x14ac:dyDescent="0.2">
      <c r="C348" s="814"/>
    </row>
    <row r="349" spans="3:3" s="189" customFormat="1" x14ac:dyDescent="0.2">
      <c r="C349" s="814"/>
    </row>
    <row r="350" spans="3:3" s="189" customFormat="1" x14ac:dyDescent="0.2">
      <c r="C350" s="814"/>
    </row>
    <row r="351" spans="3:3" s="189" customFormat="1" x14ac:dyDescent="0.2">
      <c r="C351" s="814"/>
    </row>
    <row r="352" spans="3:3" s="189" customFormat="1" x14ac:dyDescent="0.2">
      <c r="C352" s="814"/>
    </row>
    <row r="353" spans="3:3" s="189" customFormat="1" x14ac:dyDescent="0.2">
      <c r="C353" s="814"/>
    </row>
    <row r="354" spans="3:3" s="189" customFormat="1" x14ac:dyDescent="0.2">
      <c r="C354" s="814"/>
    </row>
    <row r="355" spans="3:3" s="189" customFormat="1" x14ac:dyDescent="0.2">
      <c r="C355" s="814"/>
    </row>
    <row r="356" spans="3:3" s="189" customFormat="1" x14ac:dyDescent="0.2">
      <c r="C356" s="814"/>
    </row>
    <row r="357" spans="3:3" s="189" customFormat="1" x14ac:dyDescent="0.2">
      <c r="C357" s="814"/>
    </row>
    <row r="358" spans="3:3" s="189" customFormat="1" x14ac:dyDescent="0.2">
      <c r="C358" s="814"/>
    </row>
    <row r="359" spans="3:3" s="189" customFormat="1" x14ac:dyDescent="0.2">
      <c r="C359" s="814"/>
    </row>
    <row r="360" spans="3:3" s="189" customFormat="1" x14ac:dyDescent="0.2">
      <c r="C360" s="814"/>
    </row>
    <row r="361" spans="3:3" s="189" customFormat="1" x14ac:dyDescent="0.2">
      <c r="C361" s="814"/>
    </row>
    <row r="362" spans="3:3" s="189" customFormat="1" x14ac:dyDescent="0.2">
      <c r="C362" s="814"/>
    </row>
    <row r="363" spans="3:3" s="189" customFormat="1" x14ac:dyDescent="0.2">
      <c r="C363" s="814"/>
    </row>
    <row r="364" spans="3:3" s="189" customFormat="1" x14ac:dyDescent="0.2">
      <c r="C364" s="814"/>
    </row>
    <row r="365" spans="3:3" s="189" customFormat="1" x14ac:dyDescent="0.2">
      <c r="C365" s="814"/>
    </row>
    <row r="366" spans="3:3" s="189" customFormat="1" x14ac:dyDescent="0.2">
      <c r="C366" s="814"/>
    </row>
    <row r="367" spans="3:3" s="189" customFormat="1" x14ac:dyDescent="0.2">
      <c r="C367" s="814"/>
    </row>
    <row r="368" spans="3:3" s="189" customFormat="1" x14ac:dyDescent="0.2">
      <c r="C368" s="814"/>
    </row>
    <row r="369" spans="3:3" s="189" customFormat="1" x14ac:dyDescent="0.2">
      <c r="C369" s="814"/>
    </row>
    <row r="370" spans="3:3" s="189" customFormat="1" x14ac:dyDescent="0.2">
      <c r="C370" s="814"/>
    </row>
    <row r="371" spans="3:3" s="189" customFormat="1" x14ac:dyDescent="0.2">
      <c r="C371" s="814"/>
    </row>
    <row r="372" spans="3:3" s="189" customFormat="1" x14ac:dyDescent="0.2">
      <c r="C372" s="814"/>
    </row>
    <row r="373" spans="3:3" s="189" customFormat="1" x14ac:dyDescent="0.2">
      <c r="C373" s="814"/>
    </row>
    <row r="374" spans="3:3" s="189" customFormat="1" x14ac:dyDescent="0.2">
      <c r="C374" s="814"/>
    </row>
    <row r="375" spans="3:3" s="189" customFormat="1" x14ac:dyDescent="0.2">
      <c r="C375" s="814"/>
    </row>
    <row r="376" spans="3:3" s="189" customFormat="1" x14ac:dyDescent="0.2">
      <c r="C376" s="814"/>
    </row>
    <row r="377" spans="3:3" s="189" customFormat="1" x14ac:dyDescent="0.2">
      <c r="C377" s="814"/>
    </row>
    <row r="378" spans="3:3" s="189" customFormat="1" x14ac:dyDescent="0.2">
      <c r="C378" s="814"/>
    </row>
    <row r="379" spans="3:3" s="189" customFormat="1" x14ac:dyDescent="0.2">
      <c r="C379" s="814"/>
    </row>
    <row r="380" spans="3:3" s="189" customFormat="1" x14ac:dyDescent="0.2">
      <c r="C380" s="814"/>
    </row>
    <row r="381" spans="3:3" s="189" customFormat="1" x14ac:dyDescent="0.2">
      <c r="C381" s="814"/>
    </row>
    <row r="382" spans="3:3" s="189" customFormat="1" x14ac:dyDescent="0.2">
      <c r="C382" s="814"/>
    </row>
    <row r="383" spans="3:3" s="189" customFormat="1" x14ac:dyDescent="0.2">
      <c r="C383" s="814"/>
    </row>
    <row r="384" spans="3:3" s="189" customFormat="1" x14ac:dyDescent="0.2">
      <c r="C384" s="814"/>
    </row>
    <row r="385" spans="3:3" s="189" customFormat="1" x14ac:dyDescent="0.2">
      <c r="C385" s="814"/>
    </row>
    <row r="386" spans="3:3" s="189" customFormat="1" x14ac:dyDescent="0.2">
      <c r="C386" s="814"/>
    </row>
    <row r="387" spans="3:3" s="189" customFormat="1" x14ac:dyDescent="0.2">
      <c r="C387" s="814"/>
    </row>
    <row r="388" spans="3:3" s="189" customFormat="1" x14ac:dyDescent="0.2">
      <c r="C388" s="814"/>
    </row>
    <row r="389" spans="3:3" s="189" customFormat="1" x14ac:dyDescent="0.2">
      <c r="C389" s="814"/>
    </row>
    <row r="390" spans="3:3" s="189" customFormat="1" x14ac:dyDescent="0.2">
      <c r="C390" s="814"/>
    </row>
    <row r="391" spans="3:3" s="189" customFormat="1" x14ac:dyDescent="0.2">
      <c r="C391" s="814"/>
    </row>
    <row r="392" spans="3:3" s="189" customFormat="1" x14ac:dyDescent="0.2">
      <c r="C392" s="814"/>
    </row>
    <row r="393" spans="3:3" s="189" customFormat="1" x14ac:dyDescent="0.2">
      <c r="C393" s="814"/>
    </row>
    <row r="394" spans="3:3" s="189" customFormat="1" x14ac:dyDescent="0.2">
      <c r="C394" s="814"/>
    </row>
    <row r="395" spans="3:3" s="189" customFormat="1" x14ac:dyDescent="0.2">
      <c r="C395" s="814"/>
    </row>
    <row r="396" spans="3:3" s="189" customFormat="1" x14ac:dyDescent="0.2">
      <c r="C396" s="814"/>
    </row>
    <row r="397" spans="3:3" s="189" customFormat="1" x14ac:dyDescent="0.2">
      <c r="C397" s="814"/>
    </row>
    <row r="398" spans="3:3" s="189" customFormat="1" x14ac:dyDescent="0.2">
      <c r="C398" s="814"/>
    </row>
    <row r="399" spans="3:3" s="189" customFormat="1" x14ac:dyDescent="0.2">
      <c r="C399" s="814"/>
    </row>
    <row r="400" spans="3:3" s="189" customFormat="1" x14ac:dyDescent="0.2">
      <c r="C400" s="814"/>
    </row>
    <row r="401" spans="3:3" s="189" customFormat="1" x14ac:dyDescent="0.2">
      <c r="C401" s="814"/>
    </row>
    <row r="402" spans="3:3" s="189" customFormat="1" x14ac:dyDescent="0.2">
      <c r="C402" s="814"/>
    </row>
    <row r="403" spans="3:3" s="189" customFormat="1" x14ac:dyDescent="0.2">
      <c r="C403" s="814"/>
    </row>
    <row r="404" spans="3:3" s="189" customFormat="1" x14ac:dyDescent="0.2">
      <c r="C404" s="814"/>
    </row>
    <row r="405" spans="3:3" s="189" customFormat="1" x14ac:dyDescent="0.2">
      <c r="C405" s="814"/>
    </row>
    <row r="406" spans="3:3" s="189" customFormat="1" x14ac:dyDescent="0.2">
      <c r="C406" s="814"/>
    </row>
    <row r="407" spans="3:3" s="189" customFormat="1" x14ac:dyDescent="0.2">
      <c r="C407" s="814"/>
    </row>
    <row r="408" spans="3:3" s="189" customFormat="1" x14ac:dyDescent="0.2">
      <c r="C408" s="814"/>
    </row>
    <row r="409" spans="3:3" s="189" customFormat="1" x14ac:dyDescent="0.2">
      <c r="C409" s="814"/>
    </row>
    <row r="410" spans="3:3" s="189" customFormat="1" x14ac:dyDescent="0.2">
      <c r="C410" s="814"/>
    </row>
    <row r="411" spans="3:3" s="189" customFormat="1" x14ac:dyDescent="0.2">
      <c r="C411" s="814"/>
    </row>
    <row r="412" spans="3:3" s="189" customFormat="1" x14ac:dyDescent="0.2">
      <c r="C412" s="814"/>
    </row>
    <row r="413" spans="3:3" s="189" customFormat="1" x14ac:dyDescent="0.2">
      <c r="C413" s="814"/>
    </row>
    <row r="414" spans="3:3" s="189" customFormat="1" x14ac:dyDescent="0.2">
      <c r="C414" s="814"/>
    </row>
  </sheetData>
  <mergeCells count="29"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  <mergeCell ref="I38:J38"/>
    <mergeCell ref="AA38:AB38"/>
    <mergeCell ref="L3:N3"/>
    <mergeCell ref="N4:N5"/>
    <mergeCell ref="S4:S5"/>
    <mergeCell ref="U4:U5"/>
    <mergeCell ref="P4:P5"/>
    <mergeCell ref="W4:W5"/>
    <mergeCell ref="AH3:AH5"/>
    <mergeCell ref="AG3:AG5"/>
    <mergeCell ref="AI3:AI5"/>
    <mergeCell ref="AJ3:AJ5"/>
    <mergeCell ref="AL3:AO3"/>
  </mergeCells>
  <phoneticPr fontId="0" type="noConversion"/>
  <conditionalFormatting sqref="B6">
    <cfRule type="expression" dxfId="119" priority="14">
      <formula>B6&lt;#REF!</formula>
    </cfRule>
  </conditionalFormatting>
  <conditionalFormatting sqref="B7:B35">
    <cfRule type="expression" dxfId="118" priority="28">
      <formula>B7&lt;B6</formula>
    </cfRule>
  </conditionalFormatting>
  <conditionalFormatting sqref="B11:B17">
    <cfRule type="expression" dxfId="117" priority="45">
      <formula>B11&lt;#REF!</formula>
    </cfRule>
  </conditionalFormatting>
  <conditionalFormatting sqref="C35 E35:E37">
    <cfRule type="expression" dxfId="116" priority="380">
      <formula>C35&lt;C34</formula>
    </cfRule>
  </conditionalFormatting>
  <conditionalFormatting sqref="C6:D6">
    <cfRule type="expression" dxfId="115" priority="16">
      <formula>C6&lt;C5</formula>
    </cfRule>
  </conditionalFormatting>
  <conditionalFormatting sqref="C7:D7 H7:J7 R7 T7 W7 AB7">
    <cfRule type="expression" dxfId="114" priority="32">
      <formula>C7&lt;#REF!</formula>
    </cfRule>
  </conditionalFormatting>
  <conditionalFormatting sqref="C8:D14">
    <cfRule type="expression" dxfId="113" priority="36">
      <formula>C8&lt;C7</formula>
    </cfRule>
  </conditionalFormatting>
  <conditionalFormatting sqref="C36:D37">
    <cfRule type="expression" dxfId="112" priority="1433">
      <formula>C36&lt;C35</formula>
    </cfRule>
  </conditionalFormatting>
  <conditionalFormatting sqref="D35 B36:B37">
    <cfRule type="expression" dxfId="111" priority="1420">
      <formula>B35&lt;#REF!</formula>
    </cfRule>
  </conditionalFormatting>
  <conditionalFormatting sqref="E6:E14">
    <cfRule type="expression" dxfId="110" priority="5">
      <formula>E6&lt;E5</formula>
    </cfRule>
  </conditionalFormatting>
  <conditionalFormatting sqref="F6:F37">
    <cfRule type="expression" dxfId="109" priority="4">
      <formula>F6&lt;#REF!</formula>
    </cfRule>
  </conditionalFormatting>
  <conditionalFormatting sqref="G6:G37">
    <cfRule type="expression" dxfId="108" priority="2">
      <formula>G6&lt;G5</formula>
    </cfRule>
  </conditionalFormatting>
  <conditionalFormatting sqref="G36:J37 L36:O37">
    <cfRule type="expression" dxfId="107" priority="1267">
      <formula>G36&lt;G35</formula>
    </cfRule>
  </conditionalFormatting>
  <conditionalFormatting sqref="G6:O6">
    <cfRule type="expression" dxfId="106" priority="6">
      <formula>G6&lt;G5</formula>
    </cfRule>
  </conditionalFormatting>
  <conditionalFormatting sqref="H19:I34">
    <cfRule type="expression" dxfId="105" priority="381">
      <formula>H19&lt;H18</formula>
    </cfRule>
  </conditionalFormatting>
  <conditionalFormatting sqref="H35:I35 R35 T35 W35 AB35 AE35:AI35 P36:P37 S36:S37 X36:Y37">
    <cfRule type="expression" dxfId="104" priority="1419">
      <formula>H35&lt;#REF!</formula>
    </cfRule>
  </conditionalFormatting>
  <conditionalFormatting sqref="H8:J18">
    <cfRule type="expression" dxfId="103" priority="37">
      <formula>H8&lt;H7</formula>
    </cfRule>
  </conditionalFormatting>
  <conditionalFormatting sqref="J19:J35">
    <cfRule type="expression" dxfId="102" priority="382">
      <formula>J19&lt;J18</formula>
    </cfRule>
  </conditionalFormatting>
  <conditionalFormatting sqref="K11:L21">
    <cfRule type="expression" dxfId="101" priority="40">
      <formula>K11&lt;K10</formula>
    </cfRule>
  </conditionalFormatting>
  <conditionalFormatting sqref="K22:M22">
    <cfRule type="expression" dxfId="100" priority="383">
      <formula>K22&lt;K21</formula>
    </cfRule>
  </conditionalFormatting>
  <conditionalFormatting sqref="K7:O10">
    <cfRule type="expression" dxfId="99" priority="23">
      <formula>K7&lt;K6</formula>
    </cfRule>
  </conditionalFormatting>
  <conditionalFormatting sqref="K23:Z23 K24:K37">
    <cfRule type="expression" dxfId="98" priority="384">
      <formula>K23&lt;K22</formula>
    </cfRule>
  </conditionalFormatting>
  <conditionalFormatting sqref="L24:Z27 L28:AC28">
    <cfRule type="expression" dxfId="97" priority="386">
      <formula>L24&lt;L23</formula>
    </cfRule>
  </conditionalFormatting>
  <conditionalFormatting sqref="M11:M17">
    <cfRule type="expression" dxfId="96" priority="42">
      <formula>M11&lt;#REF!</formula>
    </cfRule>
  </conditionalFormatting>
  <conditionalFormatting sqref="M18:M21">
    <cfRule type="expression" dxfId="95" priority="379">
      <formula>M18&lt;M17</formula>
    </cfRule>
  </conditionalFormatting>
  <conditionalFormatting sqref="N11:O12">
    <cfRule type="expression" dxfId="94" priority="41">
      <formula>N11&lt;N10</formula>
    </cfRule>
  </conditionalFormatting>
  <conditionalFormatting sqref="N13:T22">
    <cfRule type="expression" dxfId="93" priority="44">
      <formula>N13&lt;N12</formula>
    </cfRule>
  </conditionalFormatting>
  <conditionalFormatting sqref="P8:P12 V8:V12">
    <cfRule type="expression" dxfId="92" priority="39">
      <formula>P8&lt;#REF!</formula>
    </cfRule>
  </conditionalFormatting>
  <conditionalFormatting sqref="P6:Q6 X6:Y6 S6:S10">
    <cfRule type="expression" dxfId="91" priority="13">
      <formula>P6&lt;#REF!</formula>
    </cfRule>
  </conditionalFormatting>
  <conditionalFormatting sqref="P7:Q7">
    <cfRule type="expression" dxfId="90" priority="30">
      <formula>P7&lt;P6</formula>
    </cfRule>
  </conditionalFormatting>
  <conditionalFormatting sqref="Q36">
    <cfRule type="expression" dxfId="89" priority="1436">
      <formula>Q36&lt;#REF!</formula>
    </cfRule>
  </conditionalFormatting>
  <conditionalFormatting sqref="Q8:R10">
    <cfRule type="expression" dxfId="88" priority="38">
      <formula>Q8&lt;Q7</formula>
    </cfRule>
  </conditionalFormatting>
  <conditionalFormatting sqref="Q11:T12">
    <cfRule type="expression" dxfId="87" priority="43">
      <formula>Q11&lt;Q10</formula>
    </cfRule>
  </conditionalFormatting>
  <conditionalFormatting sqref="R6">
    <cfRule type="expression" dxfId="86" priority="15">
      <formula>R6&lt;R5</formula>
    </cfRule>
  </conditionalFormatting>
  <conditionalFormatting sqref="R36">
    <cfRule type="expression" dxfId="85" priority="1432">
      <formula>R36&lt;R35</formula>
    </cfRule>
  </conditionalFormatting>
  <conditionalFormatting sqref="T8:T10 AB8:AC10 AE8:AI10 AB11:AI27">
    <cfRule type="expression" dxfId="84" priority="34">
      <formula>T8&lt;T7</formula>
    </cfRule>
  </conditionalFormatting>
  <conditionalFormatting sqref="T6:W6 Z6 AB6">
    <cfRule type="expression" dxfId="83" priority="12">
      <formula>T6&lt;T5</formula>
    </cfRule>
  </conditionalFormatting>
  <conditionalFormatting sqref="U6:U22">
    <cfRule type="expression" dxfId="82" priority="9">
      <formula>U6&lt;U5</formula>
    </cfRule>
  </conditionalFormatting>
  <conditionalFormatting sqref="V7">
    <cfRule type="expression" dxfId="81" priority="25">
      <formula>V7&lt;V6</formula>
    </cfRule>
  </conditionalFormatting>
  <conditionalFormatting sqref="V13:X14 C15:E34">
    <cfRule type="expression" dxfId="80" priority="47">
      <formula>C13&lt;C12</formula>
    </cfRule>
  </conditionalFormatting>
  <conditionalFormatting sqref="V15:Z22">
    <cfRule type="expression" dxfId="79" priority="46">
      <formula>V15&lt;V14</formula>
    </cfRule>
  </conditionalFormatting>
  <conditionalFormatting sqref="V29:AC29 AA30:AC30 Z30:Z31 V30:Y34 AA31:AB31 AC31:AC37 Z32:AB34 V35 X35:AA35">
    <cfRule type="expression" dxfId="78" priority="390">
      <formula>V29&lt;V28</formula>
    </cfRule>
  </conditionalFormatting>
  <conditionalFormatting sqref="W8:W12">
    <cfRule type="expression" dxfId="77" priority="35">
      <formula>W8&lt;W7</formula>
    </cfRule>
  </conditionalFormatting>
  <conditionalFormatting sqref="Y7:Z14">
    <cfRule type="expression" dxfId="76" priority="26">
      <formula>Y7&lt;Y6</formula>
    </cfRule>
  </conditionalFormatting>
  <conditionalFormatting sqref="AA6:AA12">
    <cfRule type="expression" dxfId="75" priority="8">
      <formula>AA6&lt;#REF!</formula>
    </cfRule>
  </conditionalFormatting>
  <conditionalFormatting sqref="AA6:AA37">
    <cfRule type="expression" dxfId="74" priority="1">
      <formula>AA6&lt;AA5</formula>
    </cfRule>
  </conditionalFormatting>
  <conditionalFormatting sqref="AA28:AA37">
    <cfRule type="expression" dxfId="73" priority="388">
      <formula>AA28&lt;#REF!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385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27">
      <formula>X7&lt;#REF!</formula>
    </cfRule>
  </conditionalFormatting>
  <conditionalFormatting sqref="AE28:AI34 L29:T34 U29:U37 L35:Q35 S35">
    <cfRule type="expression" dxfId="68" priority="389">
      <formula>L28&lt;L27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309">
      <formula>AK6&lt;AK5</formula>
    </cfRule>
  </conditionalFormatting>
  <conditionalFormatting sqref="AK13:AL15">
    <cfRule type="expression" dxfId="65" priority="1389">
      <formula>AK13&lt;#REF!</formula>
    </cfRule>
  </conditionalFormatting>
  <conditionalFormatting sqref="AL9:AL14 AL15:AN34 AK16:AK37 AK20:AN21 T36:W37 Z36:Z37 AB36:AB37 AE36:AI37 Q37:R37">
    <cfRule type="expression" dxfId="64" priority="1326">
      <formula>Q9&lt;Q8</formula>
    </cfRule>
  </conditionalFormatting>
  <conditionalFormatting sqref="AO9:AO34">
    <cfRule type="expression" dxfId="63" priority="1334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20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7" t="s">
        <v>7</v>
      </c>
      <c r="B7" s="383"/>
      <c r="C7" s="383"/>
      <c r="D7" s="940" t="s">
        <v>254</v>
      </c>
      <c r="E7" s="943" t="s">
        <v>286</v>
      </c>
      <c r="F7" s="937" t="s">
        <v>287</v>
      </c>
      <c r="G7" s="933" t="s">
        <v>255</v>
      </c>
      <c r="H7" s="933" t="s">
        <v>256</v>
      </c>
      <c r="I7" s="383" t="s">
        <v>3</v>
      </c>
      <c r="J7" s="383" t="s">
        <v>4</v>
      </c>
      <c r="K7" s="390" t="s">
        <v>53</v>
      </c>
      <c r="L7" s="934" t="s">
        <v>17</v>
      </c>
      <c r="M7" s="935"/>
      <c r="N7" s="935"/>
      <c r="O7" s="935"/>
      <c r="P7" s="936"/>
      <c r="Q7" s="931" t="s">
        <v>11</v>
      </c>
      <c r="R7" s="932"/>
      <c r="S7" s="932"/>
      <c r="T7" s="932"/>
    </row>
    <row r="8" spans="1:20" x14ac:dyDescent="0.2">
      <c r="A8" s="928"/>
      <c r="B8" s="384" t="s">
        <v>257</v>
      </c>
      <c r="C8" s="384" t="s">
        <v>258</v>
      </c>
      <c r="D8" s="941"/>
      <c r="E8" s="944"/>
      <c r="F8" s="938"/>
      <c r="G8" s="933"/>
      <c r="H8" s="933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9"/>
      <c r="B9" s="385"/>
      <c r="C9" s="385"/>
      <c r="D9" s="942"/>
      <c r="E9" s="945"/>
      <c r="F9" s="939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3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3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1200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71">
        <v>3</v>
      </c>
      <c r="B12" s="771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71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72">
        <f t="shared" si="0"/>
        <v>3772</v>
      </c>
      <c r="E12" s="874">
        <v>801.3</v>
      </c>
      <c r="F12" s="773">
        <f t="shared" si="1"/>
        <v>0.17521264732250233</v>
      </c>
      <c r="G12" s="774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72">
        <f t="shared" si="2"/>
        <v>4573.3</v>
      </c>
      <c r="I12" s="774">
        <f>'Water '!Z9*10</f>
        <v>1270</v>
      </c>
      <c r="J12" s="772" t="str">
        <f>IF('Entries October 2026'!B9-'Entries October 2026'!B8&lt;1,"0",'Entries October 2026'!B9-'Entries October 2026'!B8)</f>
        <v>0</v>
      </c>
      <c r="K12" s="775">
        <f>'CO2'!E9</f>
        <v>0</v>
      </c>
      <c r="L12" s="776">
        <f>+'PROD.FIG. '!F7</f>
        <v>0</v>
      </c>
      <c r="M12" s="772">
        <f>+'PROD.FIG. '!C7</f>
        <v>0</v>
      </c>
      <c r="N12" s="772">
        <f>+'PROD.FIG. '!D7</f>
        <v>0</v>
      </c>
      <c r="O12" s="772">
        <f>+'PROD.FIG. '!E7</f>
        <v>0</v>
      </c>
      <c r="P12" s="777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71">
        <v>4</v>
      </c>
      <c r="B13" s="771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71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72">
        <f t="shared" si="0"/>
        <v>4062</v>
      </c>
      <c r="E13" s="874">
        <v>694.6</v>
      </c>
      <c r="F13" s="773">
        <f t="shared" si="1"/>
        <v>0.14602867594500274</v>
      </c>
      <c r="G13" s="774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72">
        <f t="shared" si="2"/>
        <v>4756.6000000000004</v>
      </c>
      <c r="I13" s="774">
        <f>'Water '!Z10*10</f>
        <v>640</v>
      </c>
      <c r="J13" s="772" t="str">
        <f>IF('Entries October 2026'!B10-'Entries October 2026'!B9&lt;1,"0",'Entries October 2026'!B10-'Entries October 2026'!B9)</f>
        <v>0</v>
      </c>
      <c r="K13" s="775">
        <f>'CO2'!E10</f>
        <v>0</v>
      </c>
      <c r="L13" s="776">
        <f>+'PROD.FIG. '!F8</f>
        <v>0</v>
      </c>
      <c r="M13" s="772">
        <f>+'PROD.FIG. '!C8</f>
        <v>0</v>
      </c>
      <c r="N13" s="772">
        <f>+'PROD.FIG. '!D8</f>
        <v>0</v>
      </c>
      <c r="O13" s="772">
        <f>+'PROD.FIG. '!E8</f>
        <v>0</v>
      </c>
      <c r="P13" s="777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19">
        <v>5</v>
      </c>
      <c r="B14" s="719">
        <f>IF('Entries October 2026'!I11&lt;'Entries October 2026'!I10,"0",(IF('Entries October 2026'!I11&gt;='Entries October 2026'!I10,'Entries October 2026'!I11-'Entries October 2026'!I10,(999999-'Entries October 2026'!I10)+'Entries October 2026'!I11+1)))</f>
        <v>4774</v>
      </c>
      <c r="C14" s="719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20">
        <f t="shared" si="0"/>
        <v>4774</v>
      </c>
      <c r="E14" s="873">
        <v>1421</v>
      </c>
      <c r="F14" s="721">
        <f t="shared" si="1"/>
        <v>0.22937853107344633</v>
      </c>
      <c r="G14" s="737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20">
        <f t="shared" si="2"/>
        <v>6195</v>
      </c>
      <c r="I14" s="737">
        <f>'Water '!Z11*10</f>
        <v>1420</v>
      </c>
      <c r="J14" s="720" t="str">
        <f>IF('Entries October 2026'!B11-'Entries October 2026'!B10&lt;1,"0",'Entries October 2026'!B11-'Entries October 2026'!B10)</f>
        <v>0</v>
      </c>
      <c r="K14" s="722">
        <f>'CO2'!E11</f>
        <v>1600</v>
      </c>
      <c r="L14" s="723">
        <f>+'PROD.FIG. '!F9</f>
        <v>0</v>
      </c>
      <c r="M14" s="720">
        <f>+'PROD.FIG. '!C9</f>
        <v>0</v>
      </c>
      <c r="N14" s="720">
        <f>+'PROD.FIG. '!D9</f>
        <v>0</v>
      </c>
      <c r="O14" s="720">
        <f>+'PROD.FIG. '!E9</f>
        <v>0</v>
      </c>
      <c r="P14" s="724">
        <v>326.50200000000001</v>
      </c>
      <c r="Q14" s="393">
        <f t="shared" si="3"/>
        <v>18.973850083613577</v>
      </c>
      <c r="R14" s="393">
        <f t="shared" si="4"/>
        <v>4.3491310926119899</v>
      </c>
      <c r="S14" s="393">
        <f t="shared" si="5"/>
        <v>0</v>
      </c>
      <c r="T14" s="393">
        <f t="shared" si="6"/>
        <v>0</v>
      </c>
    </row>
    <row r="15" spans="1:20" ht="15" x14ac:dyDescent="0.2">
      <c r="A15" s="719">
        <v>6</v>
      </c>
      <c r="B15" s="719">
        <f>IF('Entries October 2026'!I12&lt;'Entries October 2026'!I11,"0",(IF('Entries October 2026'!I12&gt;='Entries October 2026'!I11,'Entries October 2026'!I12-'Entries October 2026'!I11,(999999-'Entries October 2026'!I11)+'Entries October 2026'!I12+1)))</f>
        <v>7226</v>
      </c>
      <c r="C15" s="719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20">
        <f t="shared" si="0"/>
        <v>7226</v>
      </c>
      <c r="E15" s="873">
        <v>1201.9000000000001</v>
      </c>
      <c r="F15" s="721">
        <f t="shared" si="1"/>
        <v>0.14260966551572754</v>
      </c>
      <c r="G15" s="737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20">
        <f t="shared" si="2"/>
        <v>8427.9</v>
      </c>
      <c r="I15" s="737">
        <f>'Water '!Z12*10</f>
        <v>3420</v>
      </c>
      <c r="J15" s="720" t="str">
        <f>IF('Entries October 2026'!B12-'Entries October 2026'!B11&lt;1,"0",'Entries October 2026'!B12-'Entries October 2026'!B11)</f>
        <v>0</v>
      </c>
      <c r="K15" s="722">
        <f>'CO2'!E12</f>
        <v>1500</v>
      </c>
      <c r="L15" s="723">
        <f>+'PROD.FIG. '!F10</f>
        <v>0</v>
      </c>
      <c r="M15" s="720">
        <f>+'PROD.FIG. '!C10</f>
        <v>0</v>
      </c>
      <c r="N15" s="720">
        <f>+'PROD.FIG. '!D10</f>
        <v>0</v>
      </c>
      <c r="O15" s="720">
        <f>+'PROD.FIG. '!E10</f>
        <v>0</v>
      </c>
      <c r="P15" s="724">
        <v>357.19200000000001</v>
      </c>
      <c r="Q15" s="393">
        <f t="shared" si="3"/>
        <v>23.594873345427668</v>
      </c>
      <c r="R15" s="393">
        <f t="shared" si="4"/>
        <v>9.574682523684741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6606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6606</v>
      </c>
      <c r="E16" s="873">
        <v>1346.2</v>
      </c>
      <c r="F16" s="721">
        <f t="shared" si="1"/>
        <v>0.16928648675838134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7952.2</v>
      </c>
      <c r="I16" s="737">
        <f>'Water '!Z13*10</f>
        <v>3810</v>
      </c>
      <c r="J16" s="720" t="str">
        <f>IF('Entries October 2026'!B13-'Entries October 2026'!B12&lt;1,"0",'Entries October 2026'!B13-'Entries October 2026'!B12)</f>
        <v>0</v>
      </c>
      <c r="K16" s="722">
        <f>'CO2'!E13</f>
        <v>1400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406.428</v>
      </c>
      <c r="Q16" s="393">
        <f t="shared" si="3"/>
        <v>19.566073203617862</v>
      </c>
      <c r="R16" s="393">
        <f t="shared" si="4"/>
        <v>9.3743541291446455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7587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7587</v>
      </c>
      <c r="E17" s="873">
        <v>1358.1</v>
      </c>
      <c r="F17" s="721">
        <f t="shared" si="1"/>
        <v>0.15182613945064893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8945.1</v>
      </c>
      <c r="I17" s="737">
        <f>'Water '!Z14*10</f>
        <v>4490</v>
      </c>
      <c r="J17" s="720" t="str">
        <f>IF('Entries October 2026'!B14-'Entries October 2026'!B13&lt;1,"0",'Entries October 2026'!B14-'Entries October 2026'!B13)</f>
        <v>0</v>
      </c>
      <c r="K17" s="722">
        <f>'CO2'!E14</f>
        <v>3000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361.21800000000002</v>
      </c>
      <c r="Q17" s="393">
        <f t="shared" si="3"/>
        <v>24.763716093882365</v>
      </c>
      <c r="R17" s="393">
        <f>IF(Q17=0,0,I17/P17)</f>
        <v>12.430166824466111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6341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6341</v>
      </c>
      <c r="E18" s="873">
        <v>1373.4</v>
      </c>
      <c r="F18" s="721">
        <f t="shared" si="1"/>
        <v>0.1780306958415431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7714.4</v>
      </c>
      <c r="I18" s="737">
        <f>'Water '!Z15*10</f>
        <v>6390</v>
      </c>
      <c r="J18" s="720" t="str">
        <f>IF('Entries October 2026'!B15-'Entries October 2026'!B14&lt;1,"0",'Entries October 2026'!B15-'Entries October 2026'!B14)</f>
        <v>0</v>
      </c>
      <c r="K18" s="722">
        <f>'CO2'!E15</f>
        <v>1700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308.48400000000004</v>
      </c>
      <c r="Q18" s="393">
        <f t="shared" si="3"/>
        <v>25.007455816184951</v>
      </c>
      <c r="R18" s="393">
        <f t="shared" si="4"/>
        <v>20.714202357334575</v>
      </c>
      <c r="S18" s="393">
        <f t="shared" si="5"/>
        <v>0</v>
      </c>
      <c r="T18" s="393">
        <f t="shared" si="6"/>
        <v>0</v>
      </c>
    </row>
    <row r="19" spans="1:26" ht="15" x14ac:dyDescent="0.2">
      <c r="A19" s="771">
        <v>10</v>
      </c>
      <c r="B19" s="771">
        <f>IF('Entries October 2026'!I16&lt;'Entries October 2026'!I15,"0",(IF('Entries October 2026'!I16&gt;='Entries October 2026'!I15,'Entries October 2026'!I16-'Entries October 2026'!I15,(999999-'Entries October 2026'!I15)+'Entries October 2026'!I16+1)))</f>
        <v>4500</v>
      </c>
      <c r="C19" s="771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72">
        <f t="shared" si="0"/>
        <v>4500</v>
      </c>
      <c r="E19" s="874">
        <v>1567.4</v>
      </c>
      <c r="F19" s="773">
        <f t="shared" si="1"/>
        <v>0.25833141048884206</v>
      </c>
      <c r="G19" s="774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72">
        <f t="shared" si="2"/>
        <v>6067.4</v>
      </c>
      <c r="I19" s="774">
        <f>'Water '!Z16*10</f>
        <v>3150</v>
      </c>
      <c r="J19" s="772" t="str">
        <f>IF('Entries October 2026'!B16-'Entries October 2026'!B15&lt;1,"0",'Entries October 2026'!B16-'Entries October 2026'!B15)</f>
        <v>0</v>
      </c>
      <c r="K19" s="775">
        <f>'CO2'!E16</f>
        <v>800</v>
      </c>
      <c r="L19" s="776">
        <f>+'PROD.FIG. '!F14</f>
        <v>0</v>
      </c>
      <c r="M19" s="772">
        <f>+'PROD.FIG. '!C14</f>
        <v>0</v>
      </c>
      <c r="N19" s="772">
        <f>+'PROD.FIG. '!D14</f>
        <v>0</v>
      </c>
      <c r="O19" s="772">
        <f>+'PROD.FIG. '!E14</f>
        <v>0</v>
      </c>
      <c r="P19" s="777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71">
        <v>11</v>
      </c>
      <c r="B20" s="771">
        <f>IF('Entries October 2026'!I17&lt;'Entries October 2026'!I16,"0",(IF('Entries October 2026'!I17&gt;='Entries October 2026'!I16,'Entries October 2026'!I17-'Entries October 2026'!I16,(999999-'Entries October 2026'!I16)+'Entries October 2026'!I17+1)))</f>
        <v>2914</v>
      </c>
      <c r="C20" s="771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72">
        <f t="shared" si="0"/>
        <v>2914</v>
      </c>
      <c r="E20" s="874">
        <v>1119.5</v>
      </c>
      <c r="F20" s="773">
        <f t="shared" si="1"/>
        <v>0.27755051444155199</v>
      </c>
      <c r="G20" s="774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72">
        <f t="shared" si="2"/>
        <v>4033.5</v>
      </c>
      <c r="I20" s="774">
        <f>'Water '!Z17*10</f>
        <v>30</v>
      </c>
      <c r="J20" s="772" t="str">
        <f>IF('Entries October 2026'!B17-'Entries October 2026'!B16&lt;1,"0",'Entries October 2026'!B17-'Entries October 2026'!B16)</f>
        <v>0</v>
      </c>
      <c r="K20" s="775">
        <f>'CO2'!E17</f>
        <v>0</v>
      </c>
      <c r="L20" s="776">
        <f>+'PROD.FIG. '!F15</f>
        <v>0</v>
      </c>
      <c r="M20" s="772">
        <f>+'PROD.FIG. '!C15</f>
        <v>0</v>
      </c>
      <c r="N20" s="772">
        <f>+'PROD.FIG. '!D15</f>
        <v>0</v>
      </c>
      <c r="O20" s="772">
        <f>+'PROD.FIG. '!E15</f>
        <v>0</v>
      </c>
      <c r="P20" s="777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19">
        <v>12</v>
      </c>
      <c r="B21" s="719" t="str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19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20">
        <f t="shared" si="0"/>
        <v>0</v>
      </c>
      <c r="E21" s="873"/>
      <c r="F21" s="721" t="str">
        <f t="shared" si="1"/>
        <v>0</v>
      </c>
      <c r="G21" s="737" t="str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20">
        <f t="shared" si="2"/>
        <v>0</v>
      </c>
      <c r="I21" s="737">
        <f>'Water '!Z18*10</f>
        <v>0</v>
      </c>
      <c r="J21" s="720" t="str">
        <f>IF('Entries October 2026'!B18-'Entries October 2026'!B17&lt;1,"0",'Entries October 2026'!B18-'Entries October 2026'!B17)</f>
        <v>0</v>
      </c>
      <c r="K21" s="722">
        <f>'CO2'!E18</f>
        <v>0</v>
      </c>
      <c r="L21" s="723">
        <f>+'PROD.FIG. '!F16</f>
        <v>0</v>
      </c>
      <c r="M21" s="720">
        <f>+'PROD.FIG. '!C16</f>
        <v>0</v>
      </c>
      <c r="N21" s="720">
        <f>+'PROD.FIG. '!D16</f>
        <v>0</v>
      </c>
      <c r="O21" s="720">
        <f>+'PROD.FIG. '!E16</f>
        <v>0</v>
      </c>
      <c r="P21" s="724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19">
        <v>13</v>
      </c>
      <c r="B22" s="719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19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20">
        <f t="shared" si="0"/>
        <v>0</v>
      </c>
      <c r="E22" s="873"/>
      <c r="F22" s="721" t="str">
        <f t="shared" si="1"/>
        <v>0</v>
      </c>
      <c r="G22" s="737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20">
        <f t="shared" si="2"/>
        <v>0</v>
      </c>
      <c r="I22" s="737">
        <f>'Water '!Z19*10</f>
        <v>0</v>
      </c>
      <c r="J22" s="720" t="str">
        <f>IF('Entries October 2026'!B19-'Entries October 2026'!B18&lt;1,"0",'Entries October 2026'!B19-'Entries October 2026'!B18)</f>
        <v>0</v>
      </c>
      <c r="K22" s="722">
        <f>'CO2'!E19</f>
        <v>0</v>
      </c>
      <c r="L22" s="723">
        <f>+'PROD.FIG. '!F17</f>
        <v>0</v>
      </c>
      <c r="M22" s="720">
        <f>+'PROD.FIG. '!C17</f>
        <v>0</v>
      </c>
      <c r="N22" s="720">
        <f>+'PROD.FIG. '!D17</f>
        <v>0</v>
      </c>
      <c r="O22" s="720">
        <f>+'PROD.FIG. '!E17</f>
        <v>0</v>
      </c>
      <c r="P22" s="724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3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3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3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71">
        <v>17</v>
      </c>
      <c r="B26" s="771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71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72">
        <f t="shared" si="0"/>
        <v>0</v>
      </c>
      <c r="E26" s="874"/>
      <c r="F26" s="773" t="str">
        <f t="shared" si="1"/>
        <v>0</v>
      </c>
      <c r="G26" s="774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72">
        <f t="shared" si="2"/>
        <v>0</v>
      </c>
      <c r="I26" s="774">
        <f>'Water '!Z23*10</f>
        <v>0</v>
      </c>
      <c r="J26" s="772" t="str">
        <f>IF('Entries October 2026'!B23-'Entries October 2026'!B22&lt;1,"0",'Entries October 2026'!B23-'Entries October 2026'!B22)</f>
        <v>0</v>
      </c>
      <c r="K26" s="775">
        <f>'CO2'!E23</f>
        <v>0</v>
      </c>
      <c r="L26" s="776">
        <f>+'PROD.FIG. '!F21</f>
        <v>0</v>
      </c>
      <c r="M26" s="772">
        <f>+'PROD.FIG. '!C21</f>
        <v>0</v>
      </c>
      <c r="N26" s="772">
        <f>+'PROD.FIG. '!D21</f>
        <v>0</v>
      </c>
      <c r="O26" s="772">
        <f>+'PROD.FIG. '!E21</f>
        <v>0</v>
      </c>
      <c r="P26" s="777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71">
        <v>18</v>
      </c>
      <c r="B27" s="771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71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72">
        <f t="shared" si="0"/>
        <v>0</v>
      </c>
      <c r="E27" s="874"/>
      <c r="F27" s="773" t="str">
        <f t="shared" si="1"/>
        <v>0</v>
      </c>
      <c r="G27" s="774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72">
        <f t="shared" si="2"/>
        <v>0</v>
      </c>
      <c r="I27" s="774">
        <f>'Water '!Z24*10</f>
        <v>0</v>
      </c>
      <c r="J27" s="772" t="str">
        <f>IF('Entries October 2026'!B24-'Entries October 2026'!B23&lt;1,"0",'Entries October 2026'!B24-'Entries October 2026'!B23)</f>
        <v>0</v>
      </c>
      <c r="K27" s="775">
        <f>'CO2'!E24</f>
        <v>0</v>
      </c>
      <c r="L27" s="776">
        <f>+'PROD.FIG. '!F22</f>
        <v>0</v>
      </c>
      <c r="M27" s="772">
        <f>+'PROD.FIG. '!C22</f>
        <v>0</v>
      </c>
      <c r="N27" s="772">
        <f>+'PROD.FIG. '!D22</f>
        <v>0</v>
      </c>
      <c r="O27" s="772">
        <f>+'PROD.FIG. '!E22</f>
        <v>0</v>
      </c>
      <c r="P27" s="777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19">
        <v>19</v>
      </c>
      <c r="B28" s="719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19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20">
        <f t="shared" si="0"/>
        <v>0</v>
      </c>
      <c r="E28" s="873"/>
      <c r="F28" s="721" t="str">
        <f t="shared" si="1"/>
        <v>0</v>
      </c>
      <c r="G28" s="737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20">
        <f t="shared" si="2"/>
        <v>0</v>
      </c>
      <c r="I28" s="737">
        <f>'Water '!Z25*10</f>
        <v>0</v>
      </c>
      <c r="J28" s="720" t="str">
        <f>IF('Entries October 2026'!B25-'Entries October 2026'!B24&lt;1,"0",'Entries October 2026'!B25-'Entries October 2026'!B24)</f>
        <v>0</v>
      </c>
      <c r="K28" s="722">
        <f>'CO2'!E25</f>
        <v>0</v>
      </c>
      <c r="L28" s="723">
        <f>+'PROD.FIG. '!F23</f>
        <v>0</v>
      </c>
      <c r="M28" s="720">
        <f>+'PROD.FIG. '!C23</f>
        <v>0</v>
      </c>
      <c r="N28" s="720">
        <f>+'PROD.FIG. '!D23</f>
        <v>0</v>
      </c>
      <c r="O28" s="720">
        <f>+'PROD.FIG. '!E23</f>
        <v>0</v>
      </c>
      <c r="P28" s="724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19">
        <v>20</v>
      </c>
      <c r="B29" s="719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19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20">
        <f t="shared" si="0"/>
        <v>0</v>
      </c>
      <c r="E29" s="873"/>
      <c r="F29" s="721" t="str">
        <f t="shared" si="1"/>
        <v>0</v>
      </c>
      <c r="G29" s="737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20">
        <f t="shared" si="2"/>
        <v>0</v>
      </c>
      <c r="I29" s="737">
        <f>'Water '!Z26*10</f>
        <v>0</v>
      </c>
      <c r="J29" s="720" t="str">
        <f>IF('Entries October 2026'!B26-'Entries October 2026'!B25&lt;1,"0",'Entries October 2026'!B26-'Entries October 2026'!B25)</f>
        <v>0</v>
      </c>
      <c r="K29" s="722">
        <f>'CO2'!E26</f>
        <v>0</v>
      </c>
      <c r="L29" s="723">
        <f>+'PROD.FIG. '!F24</f>
        <v>0</v>
      </c>
      <c r="M29" s="720">
        <f>+'PROD.FIG. '!C24</f>
        <v>0</v>
      </c>
      <c r="N29" s="720">
        <f>+'PROD.FIG. '!D24</f>
        <v>0</v>
      </c>
      <c r="O29" s="720">
        <f>+'PROD.FIG. '!E24</f>
        <v>0</v>
      </c>
      <c r="P29" s="724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3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3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3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71">
        <v>24</v>
      </c>
      <c r="B33" s="771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71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72">
        <f t="shared" si="0"/>
        <v>0</v>
      </c>
      <c r="E33" s="874"/>
      <c r="F33" s="773" t="str">
        <f t="shared" si="1"/>
        <v>0</v>
      </c>
      <c r="G33" s="774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72">
        <f t="shared" si="2"/>
        <v>0</v>
      </c>
      <c r="I33" s="774">
        <f>'Water '!Z30*10</f>
        <v>0</v>
      </c>
      <c r="J33" s="772" t="str">
        <f>IF('Entries October 2026'!B30-'Entries October 2026'!B29&lt;1,"0",'Entries October 2026'!B30-'Entries October 2026'!B29)</f>
        <v>0</v>
      </c>
      <c r="K33" s="775">
        <f>'CO2'!E30</f>
        <v>0</v>
      </c>
      <c r="L33" s="776">
        <f>+'PROD.FIG. '!F28</f>
        <v>0</v>
      </c>
      <c r="M33" s="772">
        <f>+'PROD.FIG. '!C28</f>
        <v>0</v>
      </c>
      <c r="N33" s="772">
        <f>+'PROD.FIG. '!D28</f>
        <v>0</v>
      </c>
      <c r="O33" s="772">
        <f>+'PROD.FIG. '!E28</f>
        <v>0</v>
      </c>
      <c r="P33" s="777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71">
        <v>25</v>
      </c>
      <c r="B34" s="771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71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72">
        <f t="shared" si="0"/>
        <v>0</v>
      </c>
      <c r="E34" s="874"/>
      <c r="F34" s="773" t="str">
        <f t="shared" si="1"/>
        <v>0</v>
      </c>
      <c r="G34" s="774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72">
        <f t="shared" si="2"/>
        <v>0</v>
      </c>
      <c r="I34" s="774">
        <f>'Water '!Z31*10</f>
        <v>0</v>
      </c>
      <c r="J34" s="772" t="str">
        <f>IF('Entries October 2026'!B31-'Entries October 2026'!B30&lt;1,"0",'Entries October 2026'!B31-'Entries October 2026'!B30)</f>
        <v>0</v>
      </c>
      <c r="K34" s="775">
        <f>'CO2'!E31</f>
        <v>0</v>
      </c>
      <c r="L34" s="776">
        <f>+'PROD.FIG. '!F29</f>
        <v>0</v>
      </c>
      <c r="M34" s="772">
        <f>+'PROD.FIG. '!C29</f>
        <v>0</v>
      </c>
      <c r="N34" s="772">
        <f>+'PROD.FIG. '!D29</f>
        <v>0</v>
      </c>
      <c r="O34" s="772">
        <f>+'PROD.FIG. '!E29</f>
        <v>0</v>
      </c>
      <c r="P34" s="777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19">
        <v>26</v>
      </c>
      <c r="B35" s="719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19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20">
        <f t="shared" si="0"/>
        <v>0</v>
      </c>
      <c r="E35" s="873"/>
      <c r="F35" s="721" t="str">
        <f t="shared" si="1"/>
        <v>0</v>
      </c>
      <c r="G35" s="737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20">
        <f t="shared" si="2"/>
        <v>0</v>
      </c>
      <c r="I35" s="737">
        <f>'Water '!Z32*10</f>
        <v>0</v>
      </c>
      <c r="J35" s="720" t="str">
        <f>IF('Entries October 2026'!B32-'Entries October 2026'!B31&lt;1,"0",'Entries October 2026'!B32-'Entries October 2026'!B31)</f>
        <v>0</v>
      </c>
      <c r="K35" s="722">
        <f>'CO2'!E32</f>
        <v>0</v>
      </c>
      <c r="L35" s="723">
        <f>+'PROD.FIG. '!F30</f>
        <v>0</v>
      </c>
      <c r="M35" s="720">
        <f>+'PROD.FIG. '!C30</f>
        <v>0</v>
      </c>
      <c r="N35" s="720">
        <f>+'PROD.FIG. '!D30</f>
        <v>0</v>
      </c>
      <c r="O35" s="720">
        <f>+'PROD.FIG. '!E30</f>
        <v>0</v>
      </c>
      <c r="P35" s="724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19">
        <v>27</v>
      </c>
      <c r="B36" s="719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19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20">
        <f t="shared" si="0"/>
        <v>0</v>
      </c>
      <c r="E36" s="873"/>
      <c r="F36" s="721" t="str">
        <f t="shared" si="1"/>
        <v>0</v>
      </c>
      <c r="G36" s="737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20">
        <f t="shared" si="2"/>
        <v>0</v>
      </c>
      <c r="I36" s="737">
        <f>'Water '!Z33*10</f>
        <v>0</v>
      </c>
      <c r="J36" s="720" t="str">
        <f>IF('Entries October 2026'!B33-'Entries October 2026'!B32&lt;1,"0",'Entries October 2026'!B33-'Entries October 2026'!B32)</f>
        <v>0</v>
      </c>
      <c r="K36" s="722">
        <f>'CO2'!E33</f>
        <v>0</v>
      </c>
      <c r="L36" s="723">
        <f>+'PROD.FIG. '!F31</f>
        <v>0</v>
      </c>
      <c r="M36" s="720">
        <f>+'PROD.FIG. '!C31</f>
        <v>0</v>
      </c>
      <c r="N36" s="720">
        <f>+'PROD.FIG. '!D31</f>
        <v>0</v>
      </c>
      <c r="O36" s="720">
        <f>+'PROD.FIG. '!E31</f>
        <v>0</v>
      </c>
      <c r="P36" s="724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3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3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71">
        <v>31</v>
      </c>
      <c r="B40" s="771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71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72">
        <f t="shared" si="0"/>
        <v>0</v>
      </c>
      <c r="E40" s="890"/>
      <c r="F40" s="773" t="str">
        <f t="shared" si="1"/>
        <v>0</v>
      </c>
      <c r="G40" s="774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72">
        <f t="shared" si="2"/>
        <v>0</v>
      </c>
      <c r="I40" s="774">
        <f>'Water '!Z37*10</f>
        <v>0</v>
      </c>
      <c r="J40" s="772" t="str">
        <f>IF('Entries October 2026'!B37-'Entries October 2026'!B36&lt;1,"0",'Entries October 2026'!B37-'Entries October 2026'!B36)</f>
        <v>0</v>
      </c>
      <c r="K40" s="775">
        <f>'CO2'!E37</f>
        <v>0</v>
      </c>
      <c r="L40" s="891"/>
      <c r="M40" s="892"/>
      <c r="N40" s="892"/>
      <c r="O40" s="892"/>
      <c r="P40" s="893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62240</v>
      </c>
      <c r="E43" s="741">
        <f>SUM(E10:E40)</f>
        <v>13512.199999999999</v>
      </c>
      <c r="F43" s="754">
        <f>IF((E43+D43)=0,"0",E43/(D43+E43))</f>
        <v>0.17837369739756731</v>
      </c>
      <c r="G43" s="20">
        <f t="shared" ref="G43:P43" si="7">SUM(G10:G40)</f>
        <v>0</v>
      </c>
      <c r="H43" s="20">
        <f t="shared" si="7"/>
        <v>75752.199999999983</v>
      </c>
      <c r="I43" s="20">
        <f t="shared" si="7"/>
        <v>30090</v>
      </c>
      <c r="J43" s="20">
        <f t="shared" si="7"/>
        <v>960</v>
      </c>
      <c r="K43" s="20">
        <f t="shared" si="7"/>
        <v>12800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2410.9247999999998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75752.2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31.420391046622438</v>
      </c>
      <c r="R44" s="398">
        <f>IF(Q44=0,0,I43/P43)</f>
        <v>12.480687908639872</v>
      </c>
      <c r="S44" s="398">
        <f>IF(R44=0,0,J43/P43)</f>
        <v>0.398187450724303</v>
      </c>
      <c r="T44" s="399">
        <f>IF(S44=0,0,K43/P43)</f>
        <v>5.3091660096573738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30"/>
      <c r="E47" s="930"/>
      <c r="F47" s="930"/>
      <c r="G47" s="930"/>
      <c r="H47" s="930"/>
      <c r="I47" s="930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6" t="s">
        <v>7</v>
      </c>
      <c r="B3" s="948" t="s">
        <v>235</v>
      </c>
    </row>
    <row r="4" spans="1:4" ht="15" customHeight="1" x14ac:dyDescent="0.2">
      <c r="A4" s="947"/>
      <c r="B4" s="949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>
        <f>IF('Entries October 2026'!AJ12-'Entries October 2026'!AJ11&lt;1,"0",'Entries October 2026'!AJ12-'Entries October 2026'!AJ11)</f>
        <v>116.67799999937415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116.67799999937415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topLeftCell="A3" colorId="22" zoomScaleNormal="100" workbookViewId="0">
      <selection activeCell="K7" sqref="K7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8" t="s">
        <v>304</v>
      </c>
      <c r="B1" s="959"/>
      <c r="C1" s="959"/>
      <c r="D1" s="959"/>
      <c r="E1" s="959"/>
      <c r="F1" s="959"/>
      <c r="G1" s="959"/>
      <c r="H1" s="959"/>
      <c r="I1" s="959"/>
      <c r="J1" s="959"/>
      <c r="K1" s="959"/>
      <c r="L1" s="959"/>
      <c r="M1" s="959"/>
    </row>
    <row r="2" spans="1:17" ht="15" customHeight="1" x14ac:dyDescent="0.2">
      <c r="B2" s="8"/>
      <c r="D2" s="8"/>
      <c r="E2" s="8"/>
      <c r="F2" s="9"/>
      <c r="M2" s="950" t="s">
        <v>296</v>
      </c>
      <c r="N2" s="950" t="s">
        <v>297</v>
      </c>
    </row>
    <row r="3" spans="1:17" ht="15.75" thickBot="1" x14ac:dyDescent="0.25">
      <c r="B3" s="8"/>
      <c r="D3" s="8"/>
      <c r="E3" s="8"/>
      <c r="F3" s="9"/>
      <c r="M3" s="951"/>
      <c r="N3" s="951"/>
    </row>
    <row r="4" spans="1:17" s="339" customFormat="1" ht="32.25" customHeight="1" x14ac:dyDescent="0.2">
      <c r="A4" s="964" t="s">
        <v>7</v>
      </c>
      <c r="B4" s="847" t="s">
        <v>27</v>
      </c>
      <c r="C4" s="848" t="s">
        <v>27</v>
      </c>
      <c r="D4" s="849" t="s">
        <v>295</v>
      </c>
      <c r="E4" s="863" t="s">
        <v>24</v>
      </c>
      <c r="F4" s="863" t="s">
        <v>24</v>
      </c>
      <c r="G4" s="851" t="s">
        <v>38</v>
      </c>
      <c r="H4" s="848" t="s">
        <v>39</v>
      </c>
      <c r="I4" s="848" t="s">
        <v>299</v>
      </c>
      <c r="J4" s="848" t="s">
        <v>38</v>
      </c>
      <c r="K4" s="848" t="s">
        <v>40</v>
      </c>
      <c r="L4" s="960" t="s">
        <v>243</v>
      </c>
      <c r="M4" s="962" t="s">
        <v>246</v>
      </c>
      <c r="N4" s="952" t="s">
        <v>246</v>
      </c>
      <c r="O4" s="955" t="s">
        <v>298</v>
      </c>
      <c r="P4" s="350"/>
    </row>
    <row r="5" spans="1:17" s="339" customFormat="1" ht="16.5" thickBot="1" x14ac:dyDescent="0.25">
      <c r="A5" s="965"/>
      <c r="B5" s="864" t="s">
        <v>41</v>
      </c>
      <c r="C5" s="865" t="s">
        <v>34</v>
      </c>
      <c r="D5" s="852" t="s">
        <v>41</v>
      </c>
      <c r="E5" s="850" t="s">
        <v>41</v>
      </c>
      <c r="F5" s="850" t="s">
        <v>34</v>
      </c>
      <c r="G5" s="853" t="s">
        <v>41</v>
      </c>
      <c r="H5" s="865" t="s">
        <v>34</v>
      </c>
      <c r="I5" s="865" t="s">
        <v>42</v>
      </c>
      <c r="J5" s="865" t="s">
        <v>43</v>
      </c>
      <c r="K5" s="865" t="s">
        <v>44</v>
      </c>
      <c r="L5" s="961"/>
      <c r="M5" s="963"/>
      <c r="N5" s="953"/>
      <c r="O5" s="956"/>
      <c r="P5" s="350"/>
    </row>
    <row r="6" spans="1:17" s="73" customFormat="1" ht="16.5" thickBot="1" x14ac:dyDescent="0.3">
      <c r="A6" s="866"/>
      <c r="B6" s="867"/>
      <c r="C6" s="836"/>
      <c r="D6" s="838"/>
      <c r="E6" s="868"/>
      <c r="F6" s="868"/>
      <c r="G6" s="841"/>
      <c r="H6" s="836"/>
      <c r="I6" s="836"/>
      <c r="J6" s="836"/>
      <c r="K6" s="836"/>
      <c r="L6" s="869"/>
      <c r="M6" s="833"/>
      <c r="N6" s="954"/>
      <c r="O6" s="957"/>
      <c r="P6" s="350"/>
    </row>
    <row r="7" spans="1:17" x14ac:dyDescent="0.2">
      <c r="A7" s="854">
        <v>1</v>
      </c>
      <c r="B7" s="855">
        <f>IF('Entries October 2026'!B7-'Entries October 2026'!B6&lt;1,"0",'Entries October 2026'!B7-'Entries October 2026'!B6)</f>
        <v>960</v>
      </c>
      <c r="C7" s="856">
        <f>IF('Entries October 2026'!F7-'Entries October 2026'!F6&lt;1,"0",'Entries October 2026'!F7-'Entries October 2026'!F6)</f>
        <v>20.5</v>
      </c>
      <c r="D7" s="857">
        <f>IF('Entries October 2026'!C7-'Entries October 2026'!C6&lt;1,"0",'Entries October 2026'!C7-'Entries October 2026'!C6)</f>
        <v>3317.1999999999534</v>
      </c>
      <c r="E7" s="858" t="str">
        <f t="shared" ref="E7:E37" si="0">IF(F7=0,"0", D7/F7)</f>
        <v>0</v>
      </c>
      <c r="F7" s="859" t="str">
        <f>IF('Entries October 2026'!G7-'Entries October 2026'!G6&lt;1,"0",'Entries October 2026'!G7-'Entries October 2026'!G6)</f>
        <v>0</v>
      </c>
      <c r="G7" s="860"/>
      <c r="H7" s="856"/>
      <c r="I7" s="861">
        <f>IF(C7=0,"0", B7/(C7))</f>
        <v>46.829268292682926</v>
      </c>
      <c r="J7" s="861" t="str">
        <f t="shared" ref="J7:J37" si="1">IF(H7=0,"0", G7/H7)</f>
        <v>0</v>
      </c>
      <c r="K7" s="856">
        <f>B7+E7+G7</f>
        <v>960</v>
      </c>
      <c r="L7" s="746" cm="1">
        <f t="array" ref="L7:L37">IF(TRANSPOSE('Daily KPIs'!B9:AF9)=0,"0",TRANSPOSE('Daily KPIs'!B9:AF9))</f>
        <v>367.56479999999999</v>
      </c>
      <c r="M7" s="832">
        <f>IF(L7=0,"0",(K7/L7))</f>
        <v>2.6117843710823236</v>
      </c>
      <c r="N7" s="832">
        <f t="shared" ref="N7:N37" si="2">IF(L7=0,"0",(D7/L7))</f>
        <v>9.0248032455772513</v>
      </c>
      <c r="O7" s="862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39">
        <f>IF('Entries October 2026'!C8-'Entries October 2026'!C7&lt;1,"0",'Entries October 2026'!C8-'Entries October 2026'!C7)</f>
        <v>2235.1000000000931</v>
      </c>
      <c r="E8" s="843" t="str">
        <f t="shared" si="0"/>
        <v>0</v>
      </c>
      <c r="F8" s="844" t="str">
        <f>IF('Entries October 2026'!G8-'Entries October 2026'!G7&lt;1,"0",'Entries October 2026'!G8-'Entries October 2026'!G7)</f>
        <v>0</v>
      </c>
      <c r="G8" s="837"/>
      <c r="H8" s="739"/>
      <c r="I8" s="740">
        <f t="shared" ref="I8:I37" si="3">IF(C8=0,"0", B8/(C8))</f>
        <v>0</v>
      </c>
      <c r="J8" s="740" t="str">
        <f t="shared" si="1"/>
        <v>0</v>
      </c>
      <c r="K8" s="739">
        <f t="shared" ref="K8:K37" si="4">B8+E8+G8</f>
        <v>0</v>
      </c>
      <c r="L8" s="831">
        <v>283.536</v>
      </c>
      <c r="M8" s="829">
        <f t="shared" ref="M8:M37" si="5">IF(L8=0,"0",(K8/L8))</f>
        <v>0</v>
      </c>
      <c r="N8" s="829">
        <f t="shared" si="2"/>
        <v>7.8829496078102714</v>
      </c>
      <c r="O8" s="830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39">
        <f>IF('Entries October 2026'!C9-'Entries October 2026'!C8&lt;1,"0",'Entries October 2026'!C9-'Entries October 2026'!C8)</f>
        <v>238.30000000004657</v>
      </c>
      <c r="E9" s="843" t="str">
        <f t="shared" si="0"/>
        <v>0</v>
      </c>
      <c r="F9" s="844" t="str">
        <f>IF('Entries October 2026'!G9-'Entries October 2026'!G8&lt;1,"0",'Entries October 2026'!G9-'Entries October 2026'!G8)</f>
        <v>0</v>
      </c>
      <c r="G9" s="837"/>
      <c r="H9" s="739"/>
      <c r="I9" s="740">
        <f t="shared" si="3"/>
        <v>0</v>
      </c>
      <c r="J9" s="740" t="str">
        <f t="shared" si="1"/>
        <v>0</v>
      </c>
      <c r="K9" s="739">
        <f t="shared" si="4"/>
        <v>0</v>
      </c>
      <c r="L9" s="831" t="str">
        <v>0</v>
      </c>
      <c r="M9" s="829" t="str">
        <f t="shared" si="5"/>
        <v>0</v>
      </c>
      <c r="N9" s="829" t="str">
        <f t="shared" si="2"/>
        <v>0</v>
      </c>
      <c r="O9" s="830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39">
        <f>IF('Entries October 2026'!C10-'Entries October 2026'!C9&lt;1,"0",'Entries October 2026'!C10-'Entries October 2026'!C9)</f>
        <v>334.89999999990687</v>
      </c>
      <c r="E10" s="843" t="str">
        <f t="shared" si="0"/>
        <v>0</v>
      </c>
      <c r="F10" s="844" t="str">
        <f>IF('Entries October 2026'!G10-'Entries October 2026'!G9&lt;1,"0",'Entries October 2026'!G10-'Entries October 2026'!G9)</f>
        <v>0</v>
      </c>
      <c r="G10" s="837"/>
      <c r="H10" s="739"/>
      <c r="I10" s="740">
        <f t="shared" si="3"/>
        <v>0</v>
      </c>
      <c r="J10" s="740" t="str">
        <f t="shared" si="1"/>
        <v>0</v>
      </c>
      <c r="K10" s="739">
        <f t="shared" si="4"/>
        <v>0</v>
      </c>
      <c r="L10" s="831" t="str">
        <v>0</v>
      </c>
      <c r="M10" s="829" t="str">
        <f t="shared" si="5"/>
        <v>0</v>
      </c>
      <c r="N10" s="829" t="str">
        <f t="shared" si="2"/>
        <v>0</v>
      </c>
      <c r="O10" s="830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>
        <f>IF('Entries October 2026'!F11-'Entries October 2026'!F10&lt;1,"0",'Entries October 2026'!F11-'Entries October 2026'!F10)</f>
        <v>19.899999999999636</v>
      </c>
      <c r="D11" s="839">
        <f>IF('Entries October 2026'!C11-'Entries October 2026'!C10&lt;1,"0",'Entries October 2026'!C11-'Entries October 2026'!C10)</f>
        <v>3351.6000000000931</v>
      </c>
      <c r="E11" s="843" t="str">
        <f t="shared" si="0"/>
        <v>0</v>
      </c>
      <c r="F11" s="844" t="str">
        <f>IF('Entries October 2026'!G11-'Entries October 2026'!G10&lt;1,"0",'Entries October 2026'!G11-'Entries October 2026'!G10)</f>
        <v>0</v>
      </c>
      <c r="G11" s="837"/>
      <c r="H11" s="739"/>
      <c r="I11" s="740">
        <f t="shared" si="3"/>
        <v>0</v>
      </c>
      <c r="J11" s="740" t="str">
        <f t="shared" si="1"/>
        <v>0</v>
      </c>
      <c r="K11" s="739">
        <f t="shared" si="4"/>
        <v>0</v>
      </c>
      <c r="L11" s="831">
        <v>326.50200000000001</v>
      </c>
      <c r="M11" s="829">
        <f t="shared" si="5"/>
        <v>0</v>
      </c>
      <c r="N11" s="829">
        <f t="shared" si="2"/>
        <v>10.265174485914613</v>
      </c>
      <c r="O11" s="830">
        <f t="shared" si="6"/>
        <v>-3351.6000000000931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>
        <f>IF('Entries October 2026'!F12-'Entries October 2026'!F11&lt;1,"0",'Entries October 2026'!F12-'Entries October 2026'!F11)</f>
        <v>20.400000000001455</v>
      </c>
      <c r="D12" s="839">
        <f>IF('Entries October 2026'!C12-'Entries October 2026'!C11&lt;1,"0",'Entries October 2026'!C12-'Entries October 2026'!C11)</f>
        <v>2654.6999999999534</v>
      </c>
      <c r="E12" s="843" t="str">
        <f t="shared" si="0"/>
        <v>0</v>
      </c>
      <c r="F12" s="844" t="str">
        <f>IF('Entries October 2026'!G12-'Entries October 2026'!G11&lt;1,"0",'Entries October 2026'!G12-'Entries October 2026'!G11)</f>
        <v>0</v>
      </c>
      <c r="G12" s="837"/>
      <c r="H12" s="739"/>
      <c r="I12" s="740">
        <f t="shared" si="3"/>
        <v>0</v>
      </c>
      <c r="J12" s="740" t="str">
        <f t="shared" si="1"/>
        <v>0</v>
      </c>
      <c r="K12" s="739">
        <f t="shared" si="4"/>
        <v>0</v>
      </c>
      <c r="L12" s="831">
        <v>357.19200000000001</v>
      </c>
      <c r="M12" s="829">
        <f t="shared" si="5"/>
        <v>0</v>
      </c>
      <c r="N12" s="829">
        <f t="shared" si="2"/>
        <v>7.4321373379021738</v>
      </c>
      <c r="O12" s="830">
        <f t="shared" si="6"/>
        <v>-2654.6999999999534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>
        <f>IF('Entries October 2026'!F13-'Entries October 2026'!F12&lt;1,"0",'Entries October 2026'!F13-'Entries October 2026'!F12)</f>
        <v>19.199999999998909</v>
      </c>
      <c r="D13" s="839">
        <f>IF('Entries October 2026'!C13-'Entries October 2026'!C12&lt;1,"0",'Entries October 2026'!C13-'Entries October 2026'!C12)</f>
        <v>2750.5999999998603</v>
      </c>
      <c r="E13" s="843" t="str">
        <f t="shared" si="0"/>
        <v>0</v>
      </c>
      <c r="F13" s="844" t="str">
        <f>IF('Entries October 2026'!G13-'Entries October 2026'!G12&lt;1,"0",'Entries October 2026'!G13-'Entries October 2026'!G12)</f>
        <v>0</v>
      </c>
      <c r="G13" s="837"/>
      <c r="H13" s="739"/>
      <c r="I13" s="740">
        <f t="shared" si="3"/>
        <v>0</v>
      </c>
      <c r="J13" s="740" t="str">
        <f t="shared" si="1"/>
        <v>0</v>
      </c>
      <c r="K13" s="739">
        <f t="shared" si="4"/>
        <v>0</v>
      </c>
      <c r="L13" s="831">
        <v>406.428</v>
      </c>
      <c r="M13" s="829">
        <f t="shared" si="5"/>
        <v>0</v>
      </c>
      <c r="N13" s="829">
        <f t="shared" si="2"/>
        <v>6.767742379953793</v>
      </c>
      <c r="O13" s="830">
        <f t="shared" si="6"/>
        <v>-2750.5999999998603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>
        <f>IF('Entries October 2026'!F14-'Entries October 2026'!F13&lt;1,"0",'Entries October 2026'!F14-'Entries October 2026'!F13)</f>
        <v>20.200000000000728</v>
      </c>
      <c r="D14" s="839">
        <f>IF('Entries October 2026'!C14-'Entries October 2026'!C13&lt;1,"0",'Entries October 2026'!C14-'Entries October 2026'!C13)</f>
        <v>2970.8000000000466</v>
      </c>
      <c r="E14" s="843" t="str">
        <f t="shared" si="0"/>
        <v>0</v>
      </c>
      <c r="F14" s="844" t="str">
        <f>IF('Entries October 2026'!G14-'Entries October 2026'!G13&lt;1,"0",'Entries October 2026'!G14-'Entries October 2026'!G13)</f>
        <v>0</v>
      </c>
      <c r="G14" s="837"/>
      <c r="H14" s="739"/>
      <c r="I14" s="740">
        <f t="shared" si="3"/>
        <v>0</v>
      </c>
      <c r="J14" s="740" t="str">
        <f t="shared" si="1"/>
        <v>0</v>
      </c>
      <c r="K14" s="739">
        <f t="shared" si="4"/>
        <v>0</v>
      </c>
      <c r="L14" s="831">
        <v>361.21800000000002</v>
      </c>
      <c r="M14" s="829">
        <f t="shared" si="5"/>
        <v>0</v>
      </c>
      <c r="N14" s="829">
        <f t="shared" si="2"/>
        <v>8.2243963479119166</v>
      </c>
      <c r="O14" s="830">
        <f t="shared" si="6"/>
        <v>-2970.8000000000466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>
        <f>IF('Entries October 2026'!F15-'Entries October 2026'!F14&lt;1,"0",'Entries October 2026'!F15-'Entries October 2026'!F14)</f>
        <v>18.199999999998909</v>
      </c>
      <c r="D15" s="839">
        <f>IF('Entries October 2026'!C15-'Entries October 2026'!C14&lt;1,"0",'Entries October 2026'!C15-'Entries October 2026'!C14)</f>
        <v>2906.1999999999534</v>
      </c>
      <c r="E15" s="843" t="str">
        <f t="shared" si="0"/>
        <v>0</v>
      </c>
      <c r="F15" s="844" t="str">
        <f>IF('Entries October 2026'!G15-'Entries October 2026'!G14&lt;1,"0",'Entries October 2026'!G15-'Entries October 2026'!G14)</f>
        <v>0</v>
      </c>
      <c r="G15" s="837"/>
      <c r="H15" s="739"/>
      <c r="I15" s="740">
        <f t="shared" si="3"/>
        <v>0</v>
      </c>
      <c r="J15" s="740" t="str">
        <f t="shared" si="1"/>
        <v>0</v>
      </c>
      <c r="K15" s="739">
        <f t="shared" si="4"/>
        <v>0</v>
      </c>
      <c r="L15" s="831">
        <v>308.48400000000004</v>
      </c>
      <c r="M15" s="829">
        <f t="shared" si="5"/>
        <v>0</v>
      </c>
      <c r="N15" s="829">
        <f t="shared" si="2"/>
        <v>9.4209099985735172</v>
      </c>
      <c r="O15" s="830">
        <f t="shared" si="6"/>
        <v>-2906.1999999999534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>
        <f>IF('Entries October 2026'!F16-'Entries October 2026'!F15&lt;1,"0",'Entries October 2026'!F16-'Entries October 2026'!F15)</f>
        <v>16.5</v>
      </c>
      <c r="D16" s="839">
        <f>IF('Entries October 2026'!C16-'Entries October 2026'!C15&lt;1,"0",'Entries October 2026'!C16-'Entries October 2026'!C15)</f>
        <v>1549.5</v>
      </c>
      <c r="E16" s="843" t="str">
        <f t="shared" si="0"/>
        <v>0</v>
      </c>
      <c r="F16" s="844" t="str">
        <f>IF('Entries October 2026'!G16-'Entries October 2026'!G15&lt;1,"0",'Entries October 2026'!G16-'Entries October 2026'!G15)</f>
        <v>0</v>
      </c>
      <c r="G16" s="837"/>
      <c r="H16" s="739"/>
      <c r="I16" s="740">
        <f t="shared" si="3"/>
        <v>0</v>
      </c>
      <c r="J16" s="740" t="str">
        <f t="shared" si="1"/>
        <v>0</v>
      </c>
      <c r="K16" s="739">
        <f t="shared" si="4"/>
        <v>0</v>
      </c>
      <c r="L16" s="831" t="str">
        <v>0</v>
      </c>
      <c r="M16" s="829" t="str">
        <f t="shared" si="5"/>
        <v>0</v>
      </c>
      <c r="N16" s="829" t="str">
        <f t="shared" si="2"/>
        <v>0</v>
      </c>
      <c r="O16" s="830">
        <f t="shared" si="6"/>
        <v>-1549.5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>
        <f>IF('Entries October 2026'!F17-'Entries October 2026'!F16&lt;1,"0",'Entries October 2026'!F17-'Entries October 2026'!F16)</f>
        <v>2.8000000000010914</v>
      </c>
      <c r="D17" s="839">
        <f>IF('Entries October 2026'!C17-'Entries October 2026'!C16&lt;1,"0",'Entries October 2026'!C17-'Entries October 2026'!C16)</f>
        <v>542.10000000009313</v>
      </c>
      <c r="E17" s="843" t="str">
        <f t="shared" si="0"/>
        <v>0</v>
      </c>
      <c r="F17" s="844" t="str">
        <f>IF('Entries October 2026'!G17-'Entries October 2026'!G16&lt;1,"0",'Entries October 2026'!G17-'Entries October 2026'!G16)</f>
        <v>0</v>
      </c>
      <c r="G17" s="837"/>
      <c r="H17" s="739"/>
      <c r="I17" s="740">
        <f t="shared" si="3"/>
        <v>0</v>
      </c>
      <c r="J17" s="740" t="str">
        <f t="shared" si="1"/>
        <v>0</v>
      </c>
      <c r="K17" s="739">
        <f t="shared" si="4"/>
        <v>0</v>
      </c>
      <c r="L17" s="831" t="str">
        <v>0</v>
      </c>
      <c r="M17" s="829" t="str">
        <f t="shared" si="5"/>
        <v>0</v>
      </c>
      <c r="N17" s="829" t="str">
        <f t="shared" si="2"/>
        <v>0</v>
      </c>
      <c r="O17" s="830">
        <f t="shared" si="6"/>
        <v>-542.10000000009313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39" t="str">
        <f>IF('Entries October 2026'!C18-'Entries October 2026'!C17&lt;1,"0",'Entries October 2026'!C18-'Entries October 2026'!C17)</f>
        <v>0</v>
      </c>
      <c r="E18" s="843" t="str">
        <f t="shared" si="0"/>
        <v>0</v>
      </c>
      <c r="F18" s="844" t="str">
        <f>IF('Entries October 2026'!G18-'Entries October 2026'!G17&lt;1,"0",'Entries October 2026'!G18-'Entries October 2026'!G17)</f>
        <v>0</v>
      </c>
      <c r="G18" s="837"/>
      <c r="H18" s="739"/>
      <c r="I18" s="740" t="str">
        <f t="shared" si="3"/>
        <v>0</v>
      </c>
      <c r="J18" s="740" t="str">
        <f t="shared" si="1"/>
        <v>0</v>
      </c>
      <c r="K18" s="739">
        <f t="shared" si="4"/>
        <v>0</v>
      </c>
      <c r="L18" s="831" t="str">
        <v>0</v>
      </c>
      <c r="M18" s="829" t="str">
        <f t="shared" si="5"/>
        <v>0</v>
      </c>
      <c r="N18" s="829" t="str">
        <f t="shared" si="2"/>
        <v>0</v>
      </c>
      <c r="O18" s="830">
        <f t="shared" si="6"/>
        <v>0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39" t="str">
        <f>IF('Entries October 2026'!C19-'Entries October 2026'!C18&lt;1,"0",'Entries October 2026'!C19-'Entries October 2026'!C18)</f>
        <v>0</v>
      </c>
      <c r="E19" s="843" t="str">
        <f t="shared" si="0"/>
        <v>0</v>
      </c>
      <c r="F19" s="844" t="str">
        <f>IF('Entries October 2026'!G19-'Entries October 2026'!G18&lt;1,"0",'Entries October 2026'!G19-'Entries October 2026'!G18)</f>
        <v>0</v>
      </c>
      <c r="G19" s="837"/>
      <c r="H19" s="739"/>
      <c r="I19" s="740" t="str">
        <f t="shared" si="3"/>
        <v>0</v>
      </c>
      <c r="J19" s="740" t="str">
        <f t="shared" si="1"/>
        <v>0</v>
      </c>
      <c r="K19" s="739">
        <f t="shared" si="4"/>
        <v>0</v>
      </c>
      <c r="L19" s="831" t="str">
        <v>0</v>
      </c>
      <c r="M19" s="829" t="str">
        <f t="shared" si="5"/>
        <v>0</v>
      </c>
      <c r="N19" s="829" t="str">
        <f t="shared" si="2"/>
        <v>0</v>
      </c>
      <c r="O19" s="830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39" t="str">
        <f>IF('Entries October 2026'!C20-'Entries October 2026'!C19&lt;1,"0",'Entries October 2026'!C20-'Entries October 2026'!C19)</f>
        <v>0</v>
      </c>
      <c r="E20" s="843" t="str">
        <f t="shared" si="0"/>
        <v>0</v>
      </c>
      <c r="F20" s="844" t="str">
        <f>IF('Entries October 2026'!G20-'Entries October 2026'!G19&lt;1,"0",'Entries October 2026'!G20-'Entries October 2026'!G19)</f>
        <v>0</v>
      </c>
      <c r="G20" s="837"/>
      <c r="H20" s="739"/>
      <c r="I20" s="740" t="str">
        <f t="shared" si="3"/>
        <v>0</v>
      </c>
      <c r="J20" s="740" t="str">
        <f t="shared" si="1"/>
        <v>0</v>
      </c>
      <c r="K20" s="739">
        <f t="shared" si="4"/>
        <v>0</v>
      </c>
      <c r="L20" s="831" t="str">
        <v>0</v>
      </c>
      <c r="M20" s="829" t="str">
        <f t="shared" si="5"/>
        <v>0</v>
      </c>
      <c r="N20" s="829" t="str">
        <f t="shared" si="2"/>
        <v>0</v>
      </c>
      <c r="O20" s="830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39" t="str">
        <f>IF('Entries October 2026'!C21-'Entries October 2026'!C20&lt;1,"0",'Entries October 2026'!C21-'Entries October 2026'!C20)</f>
        <v>0</v>
      </c>
      <c r="E21" s="843" t="str">
        <f t="shared" si="0"/>
        <v>0</v>
      </c>
      <c r="F21" s="844" t="str">
        <f>IF('Entries October 2026'!G21-'Entries October 2026'!G20&lt;1,"0",'Entries October 2026'!G21-'Entries October 2026'!G20)</f>
        <v>0</v>
      </c>
      <c r="G21" s="837"/>
      <c r="H21" s="739"/>
      <c r="I21" s="740" t="str">
        <f t="shared" si="3"/>
        <v>0</v>
      </c>
      <c r="J21" s="740" t="str">
        <f t="shared" si="1"/>
        <v>0</v>
      </c>
      <c r="K21" s="739">
        <f t="shared" si="4"/>
        <v>0</v>
      </c>
      <c r="L21" s="831" t="str">
        <v>0</v>
      </c>
      <c r="M21" s="829" t="str">
        <f t="shared" si="5"/>
        <v>0</v>
      </c>
      <c r="N21" s="829" t="str">
        <f t="shared" si="2"/>
        <v>0</v>
      </c>
      <c r="O21" s="830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39" t="str">
        <f>IF('Entries October 2026'!C22-'Entries October 2026'!C21&lt;1,"0",'Entries October 2026'!C22-'Entries October 2026'!C21)</f>
        <v>0</v>
      </c>
      <c r="E22" s="843" t="str">
        <f t="shared" si="0"/>
        <v>0</v>
      </c>
      <c r="F22" s="844" t="str">
        <f>IF('Entries October 2026'!G22-'Entries October 2026'!G21&lt;1,"0",'Entries October 2026'!G22-'Entries October 2026'!G21)</f>
        <v>0</v>
      </c>
      <c r="G22" s="837"/>
      <c r="H22" s="739"/>
      <c r="I22" s="740" t="str">
        <f t="shared" si="3"/>
        <v>0</v>
      </c>
      <c r="J22" s="740" t="str">
        <f t="shared" si="1"/>
        <v>0</v>
      </c>
      <c r="K22" s="739">
        <f t="shared" si="4"/>
        <v>0</v>
      </c>
      <c r="L22" s="831" t="str">
        <v>0</v>
      </c>
      <c r="M22" s="829" t="str">
        <f t="shared" si="5"/>
        <v>0</v>
      </c>
      <c r="N22" s="829" t="str">
        <f t="shared" si="2"/>
        <v>0</v>
      </c>
      <c r="O22" s="830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39" t="str">
        <f>IF('Entries October 2026'!C23-'Entries October 2026'!C22&lt;1,"0",'Entries October 2026'!C23-'Entries October 2026'!C22)</f>
        <v>0</v>
      </c>
      <c r="E23" s="843" t="str">
        <f t="shared" si="0"/>
        <v>0</v>
      </c>
      <c r="F23" s="844" t="str">
        <f>IF('Entries October 2026'!G23-'Entries October 2026'!G22&lt;1,"0",'Entries October 2026'!G23-'Entries October 2026'!G22)</f>
        <v>0</v>
      </c>
      <c r="G23" s="837"/>
      <c r="H23" s="739"/>
      <c r="I23" s="740" t="str">
        <f t="shared" si="3"/>
        <v>0</v>
      </c>
      <c r="J23" s="740" t="str">
        <f t="shared" si="1"/>
        <v>0</v>
      </c>
      <c r="K23" s="739">
        <f t="shared" si="4"/>
        <v>0</v>
      </c>
      <c r="L23" s="831" t="str">
        <v>0</v>
      </c>
      <c r="M23" s="829" t="str">
        <f t="shared" si="5"/>
        <v>0</v>
      </c>
      <c r="N23" s="829" t="str">
        <f t="shared" si="2"/>
        <v>0</v>
      </c>
      <c r="O23" s="830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39" t="str">
        <f>IF('Entries October 2026'!C24-'Entries October 2026'!C23&lt;1,"0",'Entries October 2026'!C24-'Entries October 2026'!C23)</f>
        <v>0</v>
      </c>
      <c r="E24" s="843" t="str">
        <f t="shared" si="0"/>
        <v>0</v>
      </c>
      <c r="F24" s="844" t="str">
        <f>IF('Entries October 2026'!G24-'Entries October 2026'!G23&lt;1,"0",'Entries October 2026'!G24-'Entries October 2026'!G23)</f>
        <v>0</v>
      </c>
      <c r="G24" s="837"/>
      <c r="H24" s="739"/>
      <c r="I24" s="740" t="str">
        <f t="shared" si="3"/>
        <v>0</v>
      </c>
      <c r="J24" s="740" t="str">
        <f t="shared" si="1"/>
        <v>0</v>
      </c>
      <c r="K24" s="739">
        <f t="shared" si="4"/>
        <v>0</v>
      </c>
      <c r="L24" s="831" t="str">
        <v>0</v>
      </c>
      <c r="M24" s="829" t="str">
        <f t="shared" si="5"/>
        <v>0</v>
      </c>
      <c r="N24" s="829" t="str">
        <f t="shared" si="2"/>
        <v>0</v>
      </c>
      <c r="O24" s="830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39" t="str">
        <f>IF('Entries October 2026'!C25-'Entries October 2026'!C24&lt;1,"0",'Entries October 2026'!C25-'Entries October 2026'!C24)</f>
        <v>0</v>
      </c>
      <c r="E25" s="843" t="str">
        <f t="shared" si="0"/>
        <v>0</v>
      </c>
      <c r="F25" s="844" t="str">
        <f>IF('Entries October 2026'!G25-'Entries October 2026'!G24&lt;1,"0",'Entries October 2026'!G25-'Entries October 2026'!G24)</f>
        <v>0</v>
      </c>
      <c r="G25" s="837"/>
      <c r="H25" s="739"/>
      <c r="I25" s="740" t="str">
        <f t="shared" si="3"/>
        <v>0</v>
      </c>
      <c r="J25" s="740" t="str">
        <f t="shared" si="1"/>
        <v>0</v>
      </c>
      <c r="K25" s="739">
        <f t="shared" si="4"/>
        <v>0</v>
      </c>
      <c r="L25" s="831" t="str">
        <v>0</v>
      </c>
      <c r="M25" s="829" t="str">
        <f t="shared" si="5"/>
        <v>0</v>
      </c>
      <c r="N25" s="829" t="str">
        <f t="shared" si="2"/>
        <v>0</v>
      </c>
      <c r="O25" s="830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39" t="str">
        <f>IF('Entries October 2026'!C26-'Entries October 2026'!C25&lt;1,"0",'Entries October 2026'!C26-'Entries October 2026'!C25)</f>
        <v>0</v>
      </c>
      <c r="E26" s="843" t="str">
        <f t="shared" si="0"/>
        <v>0</v>
      </c>
      <c r="F26" s="844" t="str">
        <f>IF('Entries October 2026'!G26-'Entries October 2026'!G25&lt;1,"0",'Entries October 2026'!G26-'Entries October 2026'!G25)</f>
        <v>0</v>
      </c>
      <c r="G26" s="837"/>
      <c r="H26" s="739"/>
      <c r="I26" s="740" t="str">
        <f t="shared" si="3"/>
        <v>0</v>
      </c>
      <c r="J26" s="740" t="str">
        <f t="shared" si="1"/>
        <v>0</v>
      </c>
      <c r="K26" s="739">
        <f t="shared" si="4"/>
        <v>0</v>
      </c>
      <c r="L26" s="831" t="str">
        <v>0</v>
      </c>
      <c r="M26" s="829" t="str">
        <f t="shared" si="5"/>
        <v>0</v>
      </c>
      <c r="N26" s="829" t="str">
        <f t="shared" si="2"/>
        <v>0</v>
      </c>
      <c r="O26" s="830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39" t="str">
        <f>IF('Entries October 2026'!C27-'Entries October 2026'!C26&lt;1,"0",'Entries October 2026'!C27-'Entries October 2026'!C26)</f>
        <v>0</v>
      </c>
      <c r="E27" s="843" t="str">
        <f t="shared" si="0"/>
        <v>0</v>
      </c>
      <c r="F27" s="844" t="str">
        <f>IF('Entries October 2026'!G27-'Entries October 2026'!G26&lt;1,"0",'Entries October 2026'!G27-'Entries October 2026'!G26)</f>
        <v>0</v>
      </c>
      <c r="G27" s="837"/>
      <c r="H27" s="739"/>
      <c r="I27" s="740" t="str">
        <f t="shared" si="3"/>
        <v>0</v>
      </c>
      <c r="J27" s="740" t="str">
        <f t="shared" si="1"/>
        <v>0</v>
      </c>
      <c r="K27" s="739">
        <f t="shared" si="4"/>
        <v>0</v>
      </c>
      <c r="L27" s="831" t="str">
        <v>0</v>
      </c>
      <c r="M27" s="829" t="str">
        <f t="shared" si="5"/>
        <v>0</v>
      </c>
      <c r="N27" s="829" t="str">
        <f t="shared" si="2"/>
        <v>0</v>
      </c>
      <c r="O27" s="830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39" t="str">
        <f>IF('Entries October 2026'!C28-'Entries October 2026'!C27&lt;1,"0",'Entries October 2026'!C28-'Entries October 2026'!C27)</f>
        <v>0</v>
      </c>
      <c r="E28" s="843" t="str">
        <f t="shared" si="0"/>
        <v>0</v>
      </c>
      <c r="F28" s="844" t="str">
        <f>IF('Entries October 2026'!G28-'Entries October 2026'!G27&lt;1,"0",'Entries October 2026'!G28-'Entries October 2026'!G27)</f>
        <v>0</v>
      </c>
      <c r="G28" s="837"/>
      <c r="H28" s="739"/>
      <c r="I28" s="740" t="str">
        <f t="shared" si="3"/>
        <v>0</v>
      </c>
      <c r="J28" s="740" t="str">
        <f t="shared" si="1"/>
        <v>0</v>
      </c>
      <c r="K28" s="739">
        <f t="shared" si="4"/>
        <v>0</v>
      </c>
      <c r="L28" s="831" t="str">
        <v>0</v>
      </c>
      <c r="M28" s="829" t="str">
        <f t="shared" si="5"/>
        <v>0</v>
      </c>
      <c r="N28" s="829" t="str">
        <f t="shared" si="2"/>
        <v>0</v>
      </c>
      <c r="O28" s="830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39" t="str">
        <f>IF('Entries October 2026'!C29-'Entries October 2026'!C28&lt;1,"0",'Entries October 2026'!C29-'Entries October 2026'!C28)</f>
        <v>0</v>
      </c>
      <c r="E29" s="843" t="str">
        <f t="shared" si="0"/>
        <v>0</v>
      </c>
      <c r="F29" s="844" t="str">
        <f>IF('Entries October 2026'!G29-'Entries October 2026'!G28&lt;1,"0",'Entries October 2026'!G29-'Entries October 2026'!G28)</f>
        <v>0</v>
      </c>
      <c r="G29" s="837"/>
      <c r="H29" s="739"/>
      <c r="I29" s="740" t="str">
        <f t="shared" si="3"/>
        <v>0</v>
      </c>
      <c r="J29" s="740" t="str">
        <f t="shared" si="1"/>
        <v>0</v>
      </c>
      <c r="K29" s="739">
        <f t="shared" si="4"/>
        <v>0</v>
      </c>
      <c r="L29" s="831" t="str">
        <v>0</v>
      </c>
      <c r="M29" s="829" t="str">
        <f t="shared" si="5"/>
        <v>0</v>
      </c>
      <c r="N29" s="829" t="str">
        <f t="shared" si="2"/>
        <v>0</v>
      </c>
      <c r="O29" s="830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39" t="str">
        <f>IF('Entries October 2026'!C30-'Entries October 2026'!C29&lt;1,"0",'Entries October 2026'!C30-'Entries October 2026'!C29)</f>
        <v>0</v>
      </c>
      <c r="E30" s="843" t="str">
        <f t="shared" si="0"/>
        <v>0</v>
      </c>
      <c r="F30" s="844" t="str">
        <f>IF('Entries October 2026'!G30-'Entries October 2026'!G29&lt;1,"0",'Entries October 2026'!G30-'Entries October 2026'!G29)</f>
        <v>0</v>
      </c>
      <c r="G30" s="837"/>
      <c r="H30" s="739"/>
      <c r="I30" s="740" t="str">
        <f t="shared" si="3"/>
        <v>0</v>
      </c>
      <c r="J30" s="740" t="str">
        <f t="shared" si="1"/>
        <v>0</v>
      </c>
      <c r="K30" s="739">
        <f t="shared" si="4"/>
        <v>0</v>
      </c>
      <c r="L30" s="831" t="str">
        <v>0</v>
      </c>
      <c r="M30" s="829" t="str">
        <f t="shared" si="5"/>
        <v>0</v>
      </c>
      <c r="N30" s="829" t="str">
        <f t="shared" si="2"/>
        <v>0</v>
      </c>
      <c r="O30" s="830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39" t="str">
        <f>IF('Entries October 2026'!C31-'Entries October 2026'!C30&lt;1,"0",'Entries October 2026'!C31-'Entries October 2026'!C30)</f>
        <v>0</v>
      </c>
      <c r="E31" s="843" t="str">
        <f t="shared" si="0"/>
        <v>0</v>
      </c>
      <c r="F31" s="844" t="str">
        <f>IF('Entries October 2026'!G31-'Entries October 2026'!G30&lt;1,"0",'Entries October 2026'!G31-'Entries October 2026'!G30)</f>
        <v>0</v>
      </c>
      <c r="G31" s="837"/>
      <c r="H31" s="739"/>
      <c r="I31" s="740" t="str">
        <f t="shared" si="3"/>
        <v>0</v>
      </c>
      <c r="J31" s="740" t="str">
        <f t="shared" si="1"/>
        <v>0</v>
      </c>
      <c r="K31" s="739">
        <f t="shared" si="4"/>
        <v>0</v>
      </c>
      <c r="L31" s="831" t="str">
        <v>0</v>
      </c>
      <c r="M31" s="829" t="str">
        <f t="shared" si="5"/>
        <v>0</v>
      </c>
      <c r="N31" s="829" t="str">
        <f t="shared" si="2"/>
        <v>0</v>
      </c>
      <c r="O31" s="830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39" t="str">
        <f>IF('Entries October 2026'!C32-'Entries October 2026'!C31&lt;1,"0",'Entries October 2026'!C32-'Entries October 2026'!C31)</f>
        <v>0</v>
      </c>
      <c r="E32" s="843" t="str">
        <f t="shared" si="0"/>
        <v>0</v>
      </c>
      <c r="F32" s="844" t="str">
        <f>IF('Entries October 2026'!G32-'Entries October 2026'!G31&lt;1,"0",'Entries October 2026'!G32-'Entries October 2026'!G31)</f>
        <v>0</v>
      </c>
      <c r="G32" s="837"/>
      <c r="H32" s="739"/>
      <c r="I32" s="740" t="str">
        <f t="shared" si="3"/>
        <v>0</v>
      </c>
      <c r="J32" s="740" t="str">
        <f t="shared" si="1"/>
        <v>0</v>
      </c>
      <c r="K32" s="739">
        <f t="shared" si="4"/>
        <v>0</v>
      </c>
      <c r="L32" s="831" t="str">
        <v>0</v>
      </c>
      <c r="M32" s="829" t="str">
        <f t="shared" si="5"/>
        <v>0</v>
      </c>
      <c r="N32" s="829" t="str">
        <f t="shared" si="2"/>
        <v>0</v>
      </c>
      <c r="O32" s="830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39" t="str">
        <f>IF('Entries October 2026'!C33-'Entries October 2026'!C32&lt;1,"0",'Entries October 2026'!C33-'Entries October 2026'!C32)</f>
        <v>0</v>
      </c>
      <c r="E33" s="843" t="str">
        <f t="shared" si="0"/>
        <v>0</v>
      </c>
      <c r="F33" s="844" t="str">
        <f>IF('Entries October 2026'!G33-'Entries October 2026'!G32&lt;1,"0",'Entries October 2026'!G33-'Entries October 2026'!G32)</f>
        <v>0</v>
      </c>
      <c r="G33" s="837"/>
      <c r="H33" s="739"/>
      <c r="I33" s="740" t="str">
        <f t="shared" si="3"/>
        <v>0</v>
      </c>
      <c r="J33" s="740" t="str">
        <f t="shared" si="1"/>
        <v>0</v>
      </c>
      <c r="K33" s="739">
        <f t="shared" si="4"/>
        <v>0</v>
      </c>
      <c r="L33" s="831" t="str">
        <v>0</v>
      </c>
      <c r="M33" s="829" t="str">
        <f t="shared" si="5"/>
        <v>0</v>
      </c>
      <c r="N33" s="829" t="str">
        <f t="shared" si="2"/>
        <v>0</v>
      </c>
      <c r="O33" s="830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39" t="str">
        <f>IF('Entries October 2026'!C34-'Entries October 2026'!C33&lt;1,"0",'Entries October 2026'!C34-'Entries October 2026'!C33)</f>
        <v>0</v>
      </c>
      <c r="E34" s="843" t="str">
        <f t="shared" si="0"/>
        <v>0</v>
      </c>
      <c r="F34" s="844" t="str">
        <f>IF('Entries October 2026'!G34-'Entries October 2026'!G33&lt;1,"0",'Entries October 2026'!G34-'Entries October 2026'!G33)</f>
        <v>0</v>
      </c>
      <c r="G34" s="837"/>
      <c r="H34" s="739"/>
      <c r="I34" s="740" t="str">
        <f t="shared" si="3"/>
        <v>0</v>
      </c>
      <c r="J34" s="740" t="str">
        <f t="shared" si="1"/>
        <v>0</v>
      </c>
      <c r="K34" s="739">
        <f t="shared" si="4"/>
        <v>0</v>
      </c>
      <c r="L34" s="831" t="str">
        <v>0</v>
      </c>
      <c r="M34" s="829" t="str">
        <f t="shared" si="5"/>
        <v>0</v>
      </c>
      <c r="N34" s="829" t="str">
        <f t="shared" si="2"/>
        <v>0</v>
      </c>
      <c r="O34" s="830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39" t="str">
        <f>IF('Entries October 2026'!C35-'Entries October 2026'!C34&lt;1,"0",'Entries October 2026'!C35-'Entries October 2026'!C34)</f>
        <v>0</v>
      </c>
      <c r="E35" s="843" t="str">
        <f t="shared" si="0"/>
        <v>0</v>
      </c>
      <c r="F35" s="844" t="str">
        <f>IF('Entries October 2026'!G35-'Entries October 2026'!G34&lt;1,"0",'Entries October 2026'!G35-'Entries October 2026'!G34)</f>
        <v>0</v>
      </c>
      <c r="G35" s="837"/>
      <c r="H35" s="739"/>
      <c r="I35" s="740" t="str">
        <f t="shared" si="3"/>
        <v>0</v>
      </c>
      <c r="J35" s="740" t="str">
        <f t="shared" si="1"/>
        <v>0</v>
      </c>
      <c r="K35" s="739">
        <f t="shared" si="4"/>
        <v>0</v>
      </c>
      <c r="L35" s="831" t="str">
        <v>0</v>
      </c>
      <c r="M35" s="829" t="str">
        <f t="shared" si="5"/>
        <v>0</v>
      </c>
      <c r="N35" s="829" t="str">
        <f t="shared" si="2"/>
        <v>0</v>
      </c>
      <c r="O35" s="830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39" t="str">
        <f>IF('Entries October 2026'!C36-'Entries October 2026'!C35&lt;1,"0",'Entries October 2026'!C36-'Entries October 2026'!C35)</f>
        <v>0</v>
      </c>
      <c r="E36" s="843" t="str">
        <f t="shared" si="0"/>
        <v>0</v>
      </c>
      <c r="F36" s="844" t="str">
        <f>IF('Entries October 2026'!G36-'Entries October 2026'!G35&lt;1,"0",'Entries October 2026'!G36-'Entries October 2026'!G35)</f>
        <v>0</v>
      </c>
      <c r="G36" s="837"/>
      <c r="H36" s="739"/>
      <c r="I36" s="740" t="str">
        <f t="shared" si="3"/>
        <v>0</v>
      </c>
      <c r="J36" s="740" t="str">
        <f t="shared" si="1"/>
        <v>0</v>
      </c>
      <c r="K36" s="739">
        <f t="shared" si="4"/>
        <v>0</v>
      </c>
      <c r="L36" s="831" t="str">
        <v>0</v>
      </c>
      <c r="M36" s="829" t="str">
        <f t="shared" si="5"/>
        <v>0</v>
      </c>
      <c r="N36" s="829" t="str">
        <f t="shared" si="2"/>
        <v>0</v>
      </c>
      <c r="O36" s="830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39" t="str">
        <f>IF('Entries October 2026'!C37-'Entries October 2026'!C36&lt;1,"0",'Entries October 2026'!C37-'Entries October 2026'!C36)</f>
        <v>0</v>
      </c>
      <c r="E37" s="843" t="str">
        <f t="shared" si="0"/>
        <v>0</v>
      </c>
      <c r="F37" s="844" t="str">
        <f>IF('Entries October 2026'!G37-'Entries October 2026'!G36&lt;1,"0",'Entries October 2026'!G37-'Entries October 2026'!G36)</f>
        <v>0</v>
      </c>
      <c r="G37" s="837"/>
      <c r="H37" s="739"/>
      <c r="I37" s="740" t="str">
        <f t="shared" si="3"/>
        <v>0</v>
      </c>
      <c r="J37" s="740" t="str">
        <f t="shared" si="1"/>
        <v>0</v>
      </c>
      <c r="K37" s="739">
        <f t="shared" si="4"/>
        <v>0</v>
      </c>
      <c r="L37" s="831" t="str">
        <v>0</v>
      </c>
      <c r="M37" s="829" t="str">
        <f t="shared" si="5"/>
        <v>0</v>
      </c>
      <c r="N37" s="829" t="str">
        <f t="shared" si="2"/>
        <v>0</v>
      </c>
      <c r="O37" s="830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157.80000000000109</v>
      </c>
      <c r="D38" s="840">
        <f t="shared" si="7"/>
        <v>22851</v>
      </c>
      <c r="E38" s="845"/>
      <c r="F38" s="846">
        <f t="shared" si="7"/>
        <v>0</v>
      </c>
      <c r="G38" s="842">
        <f t="shared" si="7"/>
        <v>0</v>
      </c>
      <c r="H38" s="388">
        <f t="shared" si="7"/>
        <v>0</v>
      </c>
      <c r="I38" s="797">
        <f>B38/C38</f>
        <v>6.0836501901140263</v>
      </c>
      <c r="J38" s="355"/>
      <c r="K38" s="356">
        <f>SUM(K7:K37)</f>
        <v>960</v>
      </c>
      <c r="L38" s="828">
        <f>SUM(L7:L37)</f>
        <v>2410.9247999999998</v>
      </c>
      <c r="M38" s="834">
        <f>IF(L38=0,"0",(K38/L38))</f>
        <v>0.398187450724303</v>
      </c>
      <c r="N38" s="834">
        <f>IF(L38=0,"0",(D38/L38))</f>
        <v>9.4781056630219247</v>
      </c>
      <c r="O38" s="835"/>
    </row>
    <row r="39" spans="1:16" ht="16.5" thickBot="1" x14ac:dyDescent="0.3">
      <c r="A39" s="8" t="s">
        <v>259</v>
      </c>
      <c r="B39" s="389">
        <f>AVERAGE(B7:B37)</f>
        <v>960</v>
      </c>
      <c r="C39" s="802">
        <f>AVERAGE(C7:C37)</f>
        <v>14.345454545454645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8"/>
      <c r="B1" s="959"/>
      <c r="C1" s="959"/>
      <c r="D1" s="959"/>
      <c r="E1" s="959"/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  <c r="AA1" s="959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78" t="s">
        <v>7</v>
      </c>
      <c r="C4" s="970" t="s">
        <v>105</v>
      </c>
      <c r="D4" s="975" t="s">
        <v>106</v>
      </c>
      <c r="E4" s="970" t="s">
        <v>107</v>
      </c>
      <c r="F4" s="975" t="s">
        <v>239</v>
      </c>
      <c r="G4" s="975" t="s">
        <v>108</v>
      </c>
      <c r="H4" s="975" t="s">
        <v>161</v>
      </c>
      <c r="I4" s="970" t="s">
        <v>207</v>
      </c>
      <c r="J4" s="970" t="s">
        <v>109</v>
      </c>
      <c r="K4" s="970" t="s">
        <v>174</v>
      </c>
      <c r="L4" s="970" t="s">
        <v>173</v>
      </c>
      <c r="M4" s="970" t="s">
        <v>103</v>
      </c>
      <c r="N4" s="48"/>
      <c r="O4" s="48"/>
      <c r="P4" s="48"/>
      <c r="Q4" s="48"/>
      <c r="R4" s="975" t="s">
        <v>110</v>
      </c>
      <c r="S4" s="975" t="s">
        <v>240</v>
      </c>
      <c r="T4" s="48"/>
      <c r="U4" s="970" t="s">
        <v>153</v>
      </c>
      <c r="V4" s="48"/>
      <c r="W4" s="48"/>
      <c r="X4" s="970" t="s">
        <v>175</v>
      </c>
      <c r="Y4" s="970" t="s">
        <v>176</v>
      </c>
      <c r="Z4" s="968" t="s">
        <v>247</v>
      </c>
      <c r="AA4" s="972" t="s">
        <v>243</v>
      </c>
      <c r="AB4" s="966" t="s">
        <v>76</v>
      </c>
    </row>
    <row r="5" spans="1:31" s="300" customFormat="1" ht="47.25" customHeight="1" x14ac:dyDescent="0.2">
      <c r="B5" s="979"/>
      <c r="C5" s="977"/>
      <c r="D5" s="976"/>
      <c r="E5" s="971"/>
      <c r="F5" s="976"/>
      <c r="G5" s="976"/>
      <c r="H5" s="976"/>
      <c r="I5" s="971"/>
      <c r="J5" s="971"/>
      <c r="K5" s="971"/>
      <c r="L5" s="971"/>
      <c r="M5" s="971"/>
      <c r="N5" s="50" t="s">
        <v>111</v>
      </c>
      <c r="O5" s="50" t="s">
        <v>112</v>
      </c>
      <c r="P5" s="50" t="s">
        <v>242</v>
      </c>
      <c r="Q5" s="50" t="s">
        <v>113</v>
      </c>
      <c r="R5" s="976"/>
      <c r="S5" s="976"/>
      <c r="T5" s="49" t="s">
        <v>99</v>
      </c>
      <c r="U5" s="974"/>
      <c r="V5" s="80" t="s">
        <v>156</v>
      </c>
      <c r="W5" s="80" t="s">
        <v>157</v>
      </c>
      <c r="X5" s="971"/>
      <c r="Y5" s="971"/>
      <c r="Z5" s="969"/>
      <c r="AA5" s="973"/>
      <c r="AB5" s="967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>
        <f>IF('Entries October 2026'!O11-'Entries October 2026'!O10&lt;1,"0",'Entries October 2026'!O11-'Entries October 2026'!O10)</f>
        <v>73</v>
      </c>
      <c r="E11" s="693">
        <f>IF('Entries October 2026'!P11-'Entries October 2026'!P10&lt;1,"0",'Entries October 2026'!P11-'Entries October 2026'!P10)</f>
        <v>69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142</v>
      </c>
      <c r="H11" s="693">
        <f>IF('Entries October 2026'!Q11-'Entries October 2026'!Q10&lt;1,0,'Entries October 2026'!Q11-'Entries October 2026'!Q10)</f>
        <v>186</v>
      </c>
      <c r="I11" s="693">
        <f>IF('Entries October 2026'!AG11-'Entries October 2026'!AG10&lt;1,0,'Entries October 2026'!AG11-'Entries October 2026'!AG10)</f>
        <v>0</v>
      </c>
      <c r="J11" s="693">
        <f>IF('Entries October 2026'!S11-'Entries October 2026'!S10&lt;1,"0",'Entries October 2026'!S11-'Entries October 2026'!S10)</f>
        <v>182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>
        <f>IF('Entries October 2026'!U11-'Entries October 2026'!U10&lt;1,"0",'Entries October 2026'!U11-'Entries October 2026'!U10)</f>
        <v>1</v>
      </c>
      <c r="N11" s="693">
        <f>IF('Entries October 2026'!X11-'Entries October 2026'!X10&lt;1,"0",'Entries October 2026'!X11-'Entries October 2026'!X10)</f>
        <v>38</v>
      </c>
      <c r="O11" s="693">
        <f>IF('Entries October 2026'!Y11-'Entries October 2026'!Y10&lt;1,"0",'Entries October 2026'!Y11-'Entries October 2026'!Y10)</f>
        <v>112</v>
      </c>
      <c r="P11" s="693">
        <f>IF('Entries October 2026'!AC11-'Entries October 2026'!AC10&lt;1,"0",'Entries October 2026'!AC11-'Entries October 2026'!AC10)</f>
        <v>17</v>
      </c>
      <c r="Q11" s="693">
        <f>IF('Entries October 2026'!Z11-'Entries October 2026'!Z10&lt;1,"0",'Entries October 2026'!Z11-'Entries October 2026'!Z10)</f>
        <v>20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1420</v>
      </c>
      <c r="T11" s="692">
        <f t="shared" si="1"/>
        <v>151</v>
      </c>
      <c r="U11" s="693">
        <f>IF('Entries October 2026'!AC11-'Entries October 2026'!AC10&lt;1,"0",'Entries October 2026'!AC11-'Entries October 2026'!AC10)</f>
        <v>17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142</v>
      </c>
      <c r="AA11" s="330">
        <v>326.50200000000001</v>
      </c>
      <c r="AB11" s="331">
        <f t="shared" si="3"/>
        <v>4.3491310926119899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>
        <f>IF('Entries October 2026'!O12-'Entries October 2026'!O11&lt;1,"0",'Entries October 2026'!O12-'Entries October 2026'!O11)</f>
        <v>250</v>
      </c>
      <c r="E12" s="693">
        <f>IF('Entries October 2026'!P12-'Entries October 2026'!P11&lt;1,"0",'Entries October 2026'!P12-'Entries October 2026'!P11)</f>
        <v>92</v>
      </c>
      <c r="F12" s="693">
        <f>IF('Entries October 2026'!V12-'Entries October 2026'!V11&lt;1,"0",'Entries October 2026'!V12-'Entries October 2026'!V11)</f>
        <v>169</v>
      </c>
      <c r="G12" s="693">
        <f t="shared" si="0"/>
        <v>173</v>
      </c>
      <c r="H12" s="693">
        <f>IF('Entries October 2026'!Q12-'Entries October 2026'!Q11&lt;1,0,'Entries October 2026'!Q12-'Entries October 2026'!Q11)</f>
        <v>203</v>
      </c>
      <c r="I12" s="693">
        <f>IF('Entries October 2026'!AG12-'Entries October 2026'!AG11&lt;1,0,'Entries October 2026'!AG12-'Entries October 2026'!AG11)</f>
        <v>0</v>
      </c>
      <c r="J12" s="693">
        <f>IF('Entries October 2026'!S12-'Entries October 2026'!S11&lt;1,"0",'Entries October 2026'!S12-'Entries October 2026'!S11)</f>
        <v>234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>
        <f>IF('Entries October 2026'!U12-'Entries October 2026'!U11&lt;1,"0",'Entries October 2026'!U12-'Entries October 2026'!U11)</f>
        <v>3</v>
      </c>
      <c r="N12" s="693">
        <f>IF('Entries October 2026'!X12-'Entries October 2026'!X11&lt;1,"0",'Entries October 2026'!X12-'Entries October 2026'!X11)</f>
        <v>39</v>
      </c>
      <c r="O12" s="693">
        <f>IF('Entries October 2026'!Y12-'Entries October 2026'!Y11&lt;1,"0",'Entries October 2026'!Y12-'Entries October 2026'!Y11)</f>
        <v>99</v>
      </c>
      <c r="P12" s="693">
        <f>IF('Entries October 2026'!AC12-'Entries October 2026'!AC11&lt;1,"0",'Entries October 2026'!AC12-'Entries October 2026'!AC11)</f>
        <v>17</v>
      </c>
      <c r="Q12" s="693">
        <f>IF('Entries October 2026'!Z12-'Entries October 2026'!Z11&lt;1,"0",'Entries October 2026'!Z12-'Entries October 2026'!Z11)</f>
        <v>16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1730</v>
      </c>
      <c r="T12" s="692">
        <f t="shared" si="1"/>
        <v>141</v>
      </c>
      <c r="U12" s="693">
        <f>IF('Entries October 2026'!AC12-'Entries October 2026'!AC11&lt;1,"0",'Entries October 2026'!AC12-'Entries October 2026'!AC11)</f>
        <v>17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342</v>
      </c>
      <c r="AA12" s="330">
        <v>357.19200000000001</v>
      </c>
      <c r="AB12" s="331">
        <f t="shared" si="3"/>
        <v>9.574682523684741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>
        <f>IF('Entries October 2026'!O13-'Entries October 2026'!O12&lt;1,"0",'Entries October 2026'!O13-'Entries October 2026'!O12)</f>
        <v>234</v>
      </c>
      <c r="E13" s="693">
        <f>IF('Entries October 2026'!P13-'Entries October 2026'!P12&lt;1,"0",'Entries October 2026'!P13-'Entries October 2026'!P12)</f>
        <v>147</v>
      </c>
      <c r="F13" s="693">
        <f>IF('Entries October 2026'!V13-'Entries October 2026'!V12&lt;1,"0",'Entries October 2026'!V13-'Entries October 2026'!V12)</f>
        <v>151</v>
      </c>
      <c r="G13" s="693">
        <f t="shared" si="0"/>
        <v>230</v>
      </c>
      <c r="H13" s="693">
        <f>IF('Entries October 2026'!Q13-'Entries October 2026'!Q12&lt;1,0,'Entries October 2026'!Q13-'Entries October 2026'!Q12)</f>
        <v>219</v>
      </c>
      <c r="I13" s="693">
        <f>IF('Entries October 2026'!AG13-'Entries October 2026'!AG12&lt;1,0,'Entries October 2026'!AG13-'Entries October 2026'!AG12)</f>
        <v>0</v>
      </c>
      <c r="J13" s="693">
        <f>IF('Entries October 2026'!S13-'Entries October 2026'!S12&lt;1,"0",'Entries October 2026'!S13-'Entries October 2026'!S12)</f>
        <v>227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>
        <f>IF('Entries October 2026'!U13-'Entries October 2026'!U12&lt;1,"0",'Entries October 2026'!U13-'Entries October 2026'!U12)</f>
        <v>3</v>
      </c>
      <c r="N13" s="693">
        <f>IF('Entries October 2026'!X13-'Entries October 2026'!X12&lt;1,"0",'Entries October 2026'!X13-'Entries October 2026'!X12)</f>
        <v>50</v>
      </c>
      <c r="O13" s="693">
        <f>IF('Entries October 2026'!Y13-'Entries October 2026'!Y12&lt;1,"0",'Entries October 2026'!Y13-'Entries October 2026'!Y12)</f>
        <v>91</v>
      </c>
      <c r="P13" s="693">
        <f>IF('Entries October 2026'!AC13-'Entries October 2026'!AC12&lt;1,"0",'Entries October 2026'!AC13-'Entries October 2026'!AC12)</f>
        <v>17</v>
      </c>
      <c r="Q13" s="693">
        <f>IF('Entries October 2026'!Z13-'Entries October 2026'!Z12&lt;1,"0",'Entries October 2026'!Z13-'Entries October 2026'!Z12)</f>
        <v>16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2300</v>
      </c>
      <c r="T13" s="692">
        <f t="shared" si="1"/>
        <v>144</v>
      </c>
      <c r="U13" s="693">
        <f>IF('Entries October 2026'!AC13-'Entries October 2026'!AC12&lt;1,"0",'Entries October 2026'!AC13-'Entries October 2026'!AC12)</f>
        <v>17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381</v>
      </c>
      <c r="AA13" s="330">
        <v>406.428</v>
      </c>
      <c r="AB13" s="331">
        <f t="shared" si="3"/>
        <v>9.3743541291446455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>
        <f>IF('Entries October 2026'!O14-'Entries October 2026'!O13&lt;1,"0",'Entries October 2026'!O14-'Entries October 2026'!O13)</f>
        <v>359</v>
      </c>
      <c r="E14" s="693">
        <f>IF('Entries October 2026'!P14-'Entries October 2026'!P13&lt;1,"0",'Entries October 2026'!P14-'Entries October 2026'!P13)</f>
        <v>90</v>
      </c>
      <c r="F14" s="693">
        <f>IF('Entries October 2026'!V14-'Entries October 2026'!V13&lt;1,"0",'Entries October 2026'!V14-'Entries October 2026'!V13)</f>
        <v>207</v>
      </c>
      <c r="G14" s="693">
        <f t="shared" si="0"/>
        <v>242</v>
      </c>
      <c r="H14" s="693">
        <f>IF('Entries October 2026'!Q14-'Entries October 2026'!Q13&lt;1,0,'Entries October 2026'!Q14-'Entries October 2026'!Q13)</f>
        <v>218</v>
      </c>
      <c r="I14" s="693">
        <f>IF('Entries October 2026'!AG14-'Entries October 2026'!AG13&lt;1,0,'Entries October 2026'!AG14-'Entries October 2026'!AG13)</f>
        <v>0</v>
      </c>
      <c r="J14" s="693">
        <f>IF('Entries October 2026'!S14-'Entries October 2026'!S13&lt;1,"0",'Entries October 2026'!S14-'Entries October 2026'!S13)</f>
        <v>187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>
        <f>IF('Entries October 2026'!U14-'Entries October 2026'!U13&lt;1,"0",'Entries October 2026'!U14-'Entries October 2026'!U13)</f>
        <v>4</v>
      </c>
      <c r="N14" s="693">
        <f>IF('Entries October 2026'!X14-'Entries October 2026'!X13&lt;1,"0",'Entries October 2026'!X14-'Entries October 2026'!X13)</f>
        <v>67</v>
      </c>
      <c r="O14" s="693">
        <f>IF('Entries October 2026'!Y14-'Entries October 2026'!Y13&lt;1,"0",'Entries October 2026'!Y14-'Entries October 2026'!Y13)</f>
        <v>89</v>
      </c>
      <c r="P14" s="693">
        <f>IF('Entries October 2026'!AC14-'Entries October 2026'!AC13&lt;1,"0",'Entries October 2026'!AC14-'Entries October 2026'!AC13)</f>
        <v>18</v>
      </c>
      <c r="Q14" s="693">
        <f>IF('Entries October 2026'!Z14-'Entries October 2026'!Z13&lt;1,"0",'Entries October 2026'!Z14-'Entries October 2026'!Z13)</f>
        <v>17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2420</v>
      </c>
      <c r="T14" s="692">
        <f t="shared" si="1"/>
        <v>160</v>
      </c>
      <c r="U14" s="693">
        <f>IF('Entries October 2026'!AC14-'Entries October 2026'!AC13&lt;1,"0",'Entries October 2026'!AC14-'Entries October 2026'!AC13)</f>
        <v>18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449</v>
      </c>
      <c r="AA14" s="330">
        <v>361.21800000000002</v>
      </c>
      <c r="AB14" s="331">
        <f t="shared" si="3"/>
        <v>12.430166824466111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>
        <f>IF('Entries October 2026'!O15-'Entries October 2026'!O14&lt;1,"0",'Entries October 2026'!O15-'Entries October 2026'!O14)</f>
        <v>378</v>
      </c>
      <c r="E15" s="693">
        <f>IF('Entries October 2026'!P15-'Entries October 2026'!P14&lt;1,"0",'Entries October 2026'!P15-'Entries October 2026'!P14)</f>
        <v>261</v>
      </c>
      <c r="F15" s="693">
        <f>IF('Entries October 2026'!V15-'Entries October 2026'!V14&lt;1,"0",'Entries October 2026'!V15-'Entries October 2026'!V14)</f>
        <v>158</v>
      </c>
      <c r="G15" s="693">
        <f t="shared" si="0"/>
        <v>481</v>
      </c>
      <c r="H15" s="693">
        <f>IF('Entries October 2026'!Q15-'Entries October 2026'!Q14&lt;1,0,'Entries October 2026'!Q15-'Entries October 2026'!Q14)</f>
        <v>206</v>
      </c>
      <c r="I15" s="693">
        <f>IF('Entries October 2026'!AG15-'Entries October 2026'!AG14&lt;1,0,'Entries October 2026'!AG15-'Entries October 2026'!AG14)</f>
        <v>0</v>
      </c>
      <c r="J15" s="693">
        <f>IF('Entries October 2026'!S15-'Entries October 2026'!S14&lt;1,"0",'Entries October 2026'!S15-'Entries October 2026'!S14)</f>
        <v>192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>
        <f>IF('Entries October 2026'!U15-'Entries October 2026'!U14&lt;1,"0",'Entries October 2026'!U15-'Entries October 2026'!U14)</f>
        <v>3</v>
      </c>
      <c r="N15" s="693">
        <f>IF('Entries October 2026'!X15-'Entries October 2026'!X14&lt;1,"0",'Entries October 2026'!X15-'Entries October 2026'!X14)</f>
        <v>41</v>
      </c>
      <c r="O15" s="693">
        <f>IF('Entries October 2026'!Y15-'Entries October 2026'!Y14&lt;1,"0",'Entries October 2026'!Y15-'Entries October 2026'!Y14)</f>
        <v>76</v>
      </c>
      <c r="P15" s="693">
        <f>IF('Entries October 2026'!AC15-'Entries October 2026'!AC14&lt;1,"0",'Entries October 2026'!AC15-'Entries October 2026'!AC14)</f>
        <v>14</v>
      </c>
      <c r="Q15" s="693">
        <f>IF('Entries October 2026'!Z15-'Entries October 2026'!Z14&lt;1,"0",'Entries October 2026'!Z15-'Entries October 2026'!Z14)</f>
        <v>24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4810</v>
      </c>
      <c r="T15" s="692">
        <f t="shared" si="1"/>
        <v>120</v>
      </c>
      <c r="U15" s="693">
        <f>IF('Entries October 2026'!AC15-'Entries October 2026'!AC14&lt;1,"0",'Entries October 2026'!AC15-'Entries October 2026'!AC14)</f>
        <v>14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639</v>
      </c>
      <c r="AA15" s="330">
        <v>308.48400000000004</v>
      </c>
      <c r="AB15" s="331">
        <f t="shared" si="3"/>
        <v>20.714202357334575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>
        <f>IF('Entries October 2026'!O16-'Entries October 2026'!O15&lt;1,"0",'Entries October 2026'!O16-'Entries October 2026'!O15)</f>
        <v>155</v>
      </c>
      <c r="E16" s="693">
        <f>IF('Entries October 2026'!P16-'Entries October 2026'!P15&lt;1,"0",'Entries October 2026'!P16-'Entries October 2026'!P15)</f>
        <v>160</v>
      </c>
      <c r="F16" s="693">
        <f>IF('Entries October 2026'!V16-'Entries October 2026'!V15&lt;1,"0",'Entries October 2026'!V16-'Entries October 2026'!V15)</f>
        <v>170</v>
      </c>
      <c r="G16" s="693">
        <f t="shared" si="0"/>
        <v>145</v>
      </c>
      <c r="H16" s="693">
        <f>IF('Entries October 2026'!Q16-'Entries October 2026'!Q15&lt;1,0,'Entries October 2026'!Q16-'Entries October 2026'!Q15)</f>
        <v>57</v>
      </c>
      <c r="I16" s="693">
        <f>IF('Entries October 2026'!AG16-'Entries October 2026'!AG15&lt;1,0,'Entries October 2026'!AG16-'Entries October 2026'!AG15)</f>
        <v>0</v>
      </c>
      <c r="J16" s="693">
        <f>IF('Entries October 2026'!S16-'Entries October 2026'!S15&lt;1,"0",'Entries October 2026'!S16-'Entries October 2026'!S15)</f>
        <v>162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>
        <f>IF('Entries October 2026'!X16-'Entries October 2026'!X15&lt;1,"0",'Entries October 2026'!X16-'Entries October 2026'!X15)</f>
        <v>5</v>
      </c>
      <c r="O16" s="693">
        <f>IF('Entries October 2026'!Y16-'Entries October 2026'!Y15&lt;1,"0",'Entries October 2026'!Y16-'Entries October 2026'!Y15)</f>
        <v>5</v>
      </c>
      <c r="P16" s="693">
        <f>IF('Entries October 2026'!AC16-'Entries October 2026'!AC15&lt;1,"0",'Entries October 2026'!AC16-'Entries October 2026'!AC15)</f>
        <v>1</v>
      </c>
      <c r="Q16" s="693">
        <f>IF('Entries October 2026'!Z16-'Entries October 2026'!Z15&lt;1,"0",'Entries October 2026'!Z16-'Entries October 2026'!Z15)</f>
        <v>11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1450</v>
      </c>
      <c r="T16" s="692">
        <f t="shared" si="1"/>
        <v>10</v>
      </c>
      <c r="U16" s="693">
        <f>IF('Entries October 2026'!AC16-'Entries October 2026'!AC15&lt;1,"0",'Entries October 2026'!AC16-'Entries October 2026'!AC15)</f>
        <v>1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315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>
        <f>IF('Entries October 2026'!P17-'Entries October 2026'!P16&lt;1,"0",'Entries October 2026'!P17-'Entries October 2026'!P16)</f>
        <v>3</v>
      </c>
      <c r="F17" s="693">
        <f>IF('Entries October 2026'!V17-'Entries October 2026'!V16&lt;1,"0",'Entries October 2026'!V17-'Entries October 2026'!V16)</f>
        <v>5</v>
      </c>
      <c r="G17" s="693">
        <f t="shared" si="0"/>
        <v>-2</v>
      </c>
      <c r="H17" s="693">
        <f>IF('Entries October 2026'!Q17-'Entries October 2026'!Q16&lt;1,0,'Entries October 2026'!Q17-'Entries October 2026'!Q16)</f>
        <v>43</v>
      </c>
      <c r="I17" s="693">
        <f>IF('Entries October 2026'!AG17-'Entries October 2026'!AG16&lt;1,0,'Entries October 2026'!AG17-'Entries October 2026'!AG16)</f>
        <v>0</v>
      </c>
      <c r="J17" s="693">
        <f>IF('Entries October 2026'!S17-'Entries October 2026'!S16&lt;1,"0",'Entries October 2026'!S17-'Entries October 2026'!S16)</f>
        <v>18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>
        <f>IF('Entries October 2026'!Z17-'Entries October 2026'!Z16&lt;1,"0",'Entries October 2026'!Z17-'Entries October 2026'!Z16)</f>
        <v>9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-20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3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1700</v>
      </c>
      <c r="E38" s="303">
        <f>SUM(E7:E37)</f>
        <v>1309</v>
      </c>
      <c r="F38" s="303">
        <f>SUM(F7:F37)</f>
        <v>1433</v>
      </c>
      <c r="G38" s="304">
        <f>SUM(G7:G37)</f>
        <v>1576</v>
      </c>
      <c r="H38" s="303">
        <f t="shared" si="5"/>
        <v>1663</v>
      </c>
      <c r="I38" s="303"/>
      <c r="J38" s="303">
        <f t="shared" si="5"/>
        <v>1485</v>
      </c>
      <c r="K38" s="303"/>
      <c r="L38" s="303">
        <f t="shared" si="5"/>
        <v>0</v>
      </c>
      <c r="M38" s="303">
        <f>SUM(M7:M37)</f>
        <v>19</v>
      </c>
      <c r="N38" s="303">
        <f t="shared" si="5"/>
        <v>343</v>
      </c>
      <c r="O38" s="303">
        <f t="shared" si="5"/>
        <v>652</v>
      </c>
      <c r="P38" s="303">
        <f>SUM(P7:P37)</f>
        <v>115</v>
      </c>
      <c r="Q38" s="303">
        <f>SUM(Q7:Q37)</f>
        <v>153</v>
      </c>
      <c r="R38" s="303">
        <f>SUM(R7:R34)</f>
        <v>0</v>
      </c>
      <c r="S38" s="304">
        <f>SUM(S7:S37)</f>
        <v>15760</v>
      </c>
      <c r="T38" s="304">
        <f>SUM(T7:T37)</f>
        <v>1014</v>
      </c>
      <c r="U38" s="303">
        <f>SUM(U7:U37)</f>
        <v>115</v>
      </c>
      <c r="V38" s="303">
        <f>SUM(V7:V37)</f>
        <v>0</v>
      </c>
      <c r="W38" s="303"/>
      <c r="X38" s="303"/>
      <c r="Y38" s="303"/>
      <c r="Z38" s="332">
        <f>SUM(Z7:Z37)</f>
        <v>3009</v>
      </c>
      <c r="AA38" s="332">
        <f>SUM(AA7:AA37)</f>
        <v>2410.9247999999998</v>
      </c>
      <c r="AB38" s="331">
        <f>IF(AA38=0,"0",(Z38*10/AA38))</f>
        <v>12.480687908639872</v>
      </c>
      <c r="AC38" s="321">
        <v>10.199999999999999</v>
      </c>
      <c r="AD38" s="340">
        <f>AB38/AC38*100</f>
        <v>122.35968537882229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374000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5912.9400000000005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6191.9100000000008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4127.9400000000005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10319.850000000002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80" t="s">
        <v>303</v>
      </c>
      <c r="B1" s="981"/>
      <c r="C1" s="981"/>
      <c r="D1" s="982"/>
      <c r="E1" s="981"/>
      <c r="F1" s="981"/>
      <c r="G1" s="983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4" t="s">
        <v>7</v>
      </c>
      <c r="B4" s="39" t="s">
        <v>46</v>
      </c>
      <c r="C4" s="360" t="s">
        <v>47</v>
      </c>
      <c r="D4" s="361" t="s">
        <v>285</v>
      </c>
      <c r="E4" s="984" t="s">
        <v>245</v>
      </c>
      <c r="F4" s="987" t="s">
        <v>243</v>
      </c>
      <c r="G4" s="990" t="s">
        <v>253</v>
      </c>
      <c r="H4" s="993"/>
    </row>
    <row r="5" spans="1:10" ht="15.75" x14ac:dyDescent="0.25">
      <c r="A5" s="995"/>
      <c r="B5" s="34" t="s">
        <v>48</v>
      </c>
      <c r="C5" s="361" t="s">
        <v>49</v>
      </c>
      <c r="D5" s="361" t="s">
        <v>49</v>
      </c>
      <c r="E5" s="985"/>
      <c r="F5" s="988"/>
      <c r="G5" s="991"/>
      <c r="H5" s="993"/>
    </row>
    <row r="6" spans="1:10" ht="16.5" thickBot="1" x14ac:dyDescent="0.3">
      <c r="A6" s="996"/>
      <c r="B6" s="40"/>
      <c r="C6" s="362"/>
      <c r="D6" s="361"/>
      <c r="E6" s="986"/>
      <c r="F6" s="989"/>
      <c r="G6" s="992"/>
      <c r="H6" s="993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1">
        <f>'Utility Analysis October 2026'!D14</f>
        <v>4774</v>
      </c>
      <c r="C11" s="762">
        <f>'Utility Analysis October 2026'!G14</f>
        <v>0</v>
      </c>
      <c r="D11" s="763">
        <f>'Utility Analysis October 2026'!E14</f>
        <v>1421</v>
      </c>
      <c r="E11" s="764">
        <f t="shared" si="0"/>
        <v>6195</v>
      </c>
      <c r="F11" s="765">
        <f>'PROD.FIG. '!H9</f>
        <v>326.50200000000001</v>
      </c>
      <c r="G11" s="456">
        <f t="shared" si="1"/>
        <v>18.973850083613577</v>
      </c>
      <c r="J11" s="30"/>
    </row>
    <row r="12" spans="1:10" x14ac:dyDescent="0.2">
      <c r="A12" s="756">
        <v>6</v>
      </c>
      <c r="B12" s="761">
        <f>'Utility Analysis October 2026'!D15</f>
        <v>7226</v>
      </c>
      <c r="C12" s="762">
        <f>'Utility Analysis October 2026'!G15</f>
        <v>0</v>
      </c>
      <c r="D12" s="763">
        <f>'Utility Analysis October 2026'!E15</f>
        <v>1201.9000000000001</v>
      </c>
      <c r="E12" s="764">
        <f t="shared" si="0"/>
        <v>8427.9</v>
      </c>
      <c r="F12" s="765">
        <f>'PROD.FIG. '!H10</f>
        <v>357.19200000000001</v>
      </c>
      <c r="G12" s="456">
        <f t="shared" si="1"/>
        <v>23.594873345427668</v>
      </c>
      <c r="J12" s="30"/>
    </row>
    <row r="13" spans="1:10" x14ac:dyDescent="0.2">
      <c r="A13" s="686">
        <v>7</v>
      </c>
      <c r="B13" s="742">
        <f>'Utility Analysis October 2026'!D16</f>
        <v>6606</v>
      </c>
      <c r="C13" s="743">
        <f>'Utility Analysis October 2026'!G16</f>
        <v>0</v>
      </c>
      <c r="D13" s="744">
        <f>'Utility Analysis October 2026'!E16</f>
        <v>1346.2</v>
      </c>
      <c r="E13" s="745">
        <f t="shared" si="0"/>
        <v>7952.2</v>
      </c>
      <c r="F13" s="746">
        <f>'PROD.FIG. '!H11</f>
        <v>406.428</v>
      </c>
      <c r="G13" s="336">
        <f t="shared" si="1"/>
        <v>19.566073203617862</v>
      </c>
      <c r="J13" s="30"/>
    </row>
    <row r="14" spans="1:10" x14ac:dyDescent="0.2">
      <c r="A14" s="686">
        <v>8</v>
      </c>
      <c r="B14" s="742">
        <f>'Utility Analysis October 2026'!D17</f>
        <v>7587</v>
      </c>
      <c r="C14" s="743">
        <f>'Utility Analysis October 2026'!G17</f>
        <v>0</v>
      </c>
      <c r="D14" s="744">
        <f>'Utility Analysis October 2026'!E17</f>
        <v>1358.1</v>
      </c>
      <c r="E14" s="745">
        <f t="shared" si="0"/>
        <v>8945.1</v>
      </c>
      <c r="F14" s="746">
        <f>'PROD.FIG. '!H12</f>
        <v>361.21800000000002</v>
      </c>
      <c r="G14" s="336">
        <f t="shared" si="1"/>
        <v>24.763716093882365</v>
      </c>
      <c r="J14" s="30"/>
    </row>
    <row r="15" spans="1:10" x14ac:dyDescent="0.2">
      <c r="A15" s="686">
        <v>9</v>
      </c>
      <c r="B15" s="742">
        <f>'Utility Analysis October 2026'!D18</f>
        <v>6341</v>
      </c>
      <c r="C15" s="743">
        <f>'Utility Analysis October 2026'!G18</f>
        <v>0</v>
      </c>
      <c r="D15" s="744">
        <f>'Utility Analysis October 2026'!E18</f>
        <v>1373.4</v>
      </c>
      <c r="E15" s="745">
        <f t="shared" si="0"/>
        <v>7714.4</v>
      </c>
      <c r="F15" s="746">
        <f>'PROD.FIG. '!H13</f>
        <v>308.48400000000004</v>
      </c>
      <c r="G15" s="336">
        <f t="shared" si="1"/>
        <v>25.007455816184951</v>
      </c>
      <c r="J15" s="30"/>
    </row>
    <row r="16" spans="1:10" x14ac:dyDescent="0.2">
      <c r="A16" s="686">
        <v>10</v>
      </c>
      <c r="B16" s="742">
        <f>'Utility Analysis October 2026'!D19</f>
        <v>4500</v>
      </c>
      <c r="C16" s="743">
        <f>'Utility Analysis October 2026'!G19</f>
        <v>0</v>
      </c>
      <c r="D16" s="744">
        <f>'Utility Analysis October 2026'!E19</f>
        <v>1567.4</v>
      </c>
      <c r="E16" s="745">
        <f t="shared" si="0"/>
        <v>6067.4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2914</v>
      </c>
      <c r="C17" s="743">
        <f>'Utility Analysis October 2026'!G20</f>
        <v>0</v>
      </c>
      <c r="D17" s="744">
        <f>'Utility Analysis October 2026'!E20</f>
        <v>1119.5</v>
      </c>
      <c r="E17" s="745">
        <f t="shared" si="0"/>
        <v>4033.5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1">
        <f>'Utility Analysis October 2026'!D21</f>
        <v>0</v>
      </c>
      <c r="C18" s="762" t="str">
        <f>'Utility Analysis October 2026'!G21</f>
        <v>0</v>
      </c>
      <c r="D18" s="763">
        <f>'Utility Analysis October 2026'!E21</f>
        <v>0</v>
      </c>
      <c r="E18" s="764">
        <f t="shared" si="0"/>
        <v>0</v>
      </c>
      <c r="F18" s="765" t="str">
        <f>'PROD.FIG. '!H16</f>
        <v>0</v>
      </c>
      <c r="G18" s="456" t="str">
        <f t="shared" si="1"/>
        <v>0</v>
      </c>
      <c r="J18" s="30"/>
    </row>
    <row r="19" spans="1:10" x14ac:dyDescent="0.2">
      <c r="A19" s="756">
        <v>13</v>
      </c>
      <c r="B19" s="761">
        <f>'Utility Analysis October 2026'!D22</f>
        <v>0</v>
      </c>
      <c r="C19" s="762">
        <f>'Utility Analysis October 2026'!G22</f>
        <v>0</v>
      </c>
      <c r="D19" s="763">
        <f>'Utility Analysis October 2026'!E22</f>
        <v>0</v>
      </c>
      <c r="E19" s="764">
        <f t="shared" si="0"/>
        <v>0</v>
      </c>
      <c r="F19" s="765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1">
        <f>'Utility Analysis October 2026'!D28</f>
        <v>0</v>
      </c>
      <c r="C25" s="762">
        <f>'Utility Analysis October 2026'!G28</f>
        <v>0</v>
      </c>
      <c r="D25" s="763">
        <f>'Utility Analysis October 2026'!E28</f>
        <v>0</v>
      </c>
      <c r="E25" s="764">
        <f t="shared" si="0"/>
        <v>0</v>
      </c>
      <c r="F25" s="765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1">
        <f>'Utility Analysis October 2026'!D29</f>
        <v>0</v>
      </c>
      <c r="C26" s="762">
        <f>'Utility Analysis October 2026'!G29</f>
        <v>0</v>
      </c>
      <c r="D26" s="763">
        <f>'Utility Analysis October 2026'!E29</f>
        <v>0</v>
      </c>
      <c r="E26" s="764">
        <f t="shared" si="0"/>
        <v>0</v>
      </c>
      <c r="F26" s="765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1">
        <f>'Utility Analysis October 2026'!D35</f>
        <v>0</v>
      </c>
      <c r="C32" s="762">
        <f>'Utility Analysis October 2026'!G35</f>
        <v>0</v>
      </c>
      <c r="D32" s="763">
        <f>'Utility Analysis October 2026'!E35</f>
        <v>0</v>
      </c>
      <c r="E32" s="764">
        <f t="shared" si="0"/>
        <v>0</v>
      </c>
      <c r="F32" s="765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1">
        <f>'Utility Analysis October 2026'!D36</f>
        <v>0</v>
      </c>
      <c r="C33" s="762">
        <f>'Utility Analysis October 2026'!G36</f>
        <v>0</v>
      </c>
      <c r="D33" s="763">
        <f>'Utility Analysis October 2026'!E36</f>
        <v>0</v>
      </c>
      <c r="E33" s="764">
        <f t="shared" si="0"/>
        <v>0</v>
      </c>
      <c r="F33" s="765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62240</v>
      </c>
      <c r="C38" s="308">
        <f>SUM(C7:C37)</f>
        <v>0</v>
      </c>
      <c r="D38" s="308">
        <f>SUM(D7:D37)</f>
        <v>13512.199999999999</v>
      </c>
      <c r="E38" s="337">
        <f>SUM(E7:E37)</f>
        <v>75752.199999999983</v>
      </c>
      <c r="F38" s="358">
        <f>SUM(F7:F37)</f>
        <v>2410.9247999999998</v>
      </c>
      <c r="G38" s="338">
        <f>IF(F38=0,"0",(E38/F38))</f>
        <v>31.420391046622438</v>
      </c>
      <c r="H38" s="335">
        <v>22</v>
      </c>
      <c r="I38" s="340">
        <f>G38/H38*100</f>
        <v>142.81995930282926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7" t="s">
        <v>302</v>
      </c>
      <c r="B1" s="959"/>
      <c r="C1" s="959"/>
      <c r="D1" s="959"/>
      <c r="E1" s="959"/>
      <c r="F1" s="959"/>
      <c r="G1" s="959"/>
      <c r="H1" s="959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66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5" t="s">
        <v>91</v>
      </c>
      <c r="B9" s="756">
        <v>5</v>
      </c>
      <c r="C9" s="806"/>
      <c r="D9" s="807"/>
      <c r="E9" s="756"/>
      <c r="F9" s="756"/>
      <c r="G9" s="756"/>
      <c r="H9" s="808">
        <v>326.50200000000001</v>
      </c>
      <c r="I9" s="298"/>
      <c r="J9" s="299"/>
    </row>
    <row r="10" spans="1:10" x14ac:dyDescent="0.2">
      <c r="A10" s="805" t="s">
        <v>92</v>
      </c>
      <c r="B10" s="756">
        <v>6</v>
      </c>
      <c r="C10" s="806"/>
      <c r="D10" s="807"/>
      <c r="E10" s="756"/>
      <c r="F10" s="756"/>
      <c r="G10" s="756"/>
      <c r="H10" s="808">
        <v>357.19200000000001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>
        <v>406.428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>
        <v>361.21800000000002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>
        <v>308.48400000000004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5" t="s">
        <v>91</v>
      </c>
      <c r="B16" s="756">
        <v>12</v>
      </c>
      <c r="C16" s="806"/>
      <c r="D16" s="807"/>
      <c r="E16" s="809"/>
      <c r="F16" s="756"/>
      <c r="G16" s="756"/>
      <c r="H16" s="808" t="str">
        <v>0</v>
      </c>
      <c r="I16" s="298"/>
      <c r="J16" s="299"/>
    </row>
    <row r="17" spans="1:13" x14ac:dyDescent="0.2">
      <c r="A17" s="805" t="s">
        <v>92</v>
      </c>
      <c r="B17" s="756">
        <v>13</v>
      </c>
      <c r="C17" s="806"/>
      <c r="D17" s="807"/>
      <c r="E17" s="756"/>
      <c r="F17" s="756"/>
      <c r="G17" s="756"/>
      <c r="H17" s="808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5" t="s">
        <v>91</v>
      </c>
      <c r="B23" s="756">
        <v>19</v>
      </c>
      <c r="C23" s="806"/>
      <c r="D23" s="807"/>
      <c r="E23" s="756"/>
      <c r="F23" s="756"/>
      <c r="G23" s="756"/>
      <c r="H23" s="808" t="str">
        <v>0</v>
      </c>
      <c r="I23" s="298"/>
      <c r="J23" s="299"/>
    </row>
    <row r="24" spans="1:13" x14ac:dyDescent="0.2">
      <c r="A24" s="805" t="s">
        <v>92</v>
      </c>
      <c r="B24" s="756">
        <v>20</v>
      </c>
      <c r="C24" s="806"/>
      <c r="D24" s="807"/>
      <c r="E24" s="756"/>
      <c r="F24" s="756"/>
      <c r="G24" s="756"/>
      <c r="H24" s="808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5" t="s">
        <v>91</v>
      </c>
      <c r="B30" s="756">
        <v>26</v>
      </c>
      <c r="C30" s="806"/>
      <c r="D30" s="807"/>
      <c r="E30" s="756"/>
      <c r="F30" s="756"/>
      <c r="G30" s="756"/>
      <c r="H30" s="808" t="str">
        <v>0</v>
      </c>
      <c r="I30" s="298"/>
      <c r="J30" s="299"/>
    </row>
    <row r="31" spans="1:13" x14ac:dyDescent="0.2">
      <c r="A31" s="805" t="s">
        <v>92</v>
      </c>
      <c r="B31" s="756">
        <v>27</v>
      </c>
      <c r="C31" s="806"/>
      <c r="D31" s="807"/>
      <c r="E31" s="756"/>
      <c r="F31" s="756"/>
      <c r="G31" s="756"/>
      <c r="H31" s="808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2410.9247999999998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1010" t="s">
        <v>267</v>
      </c>
      <c r="J3" s="1011"/>
      <c r="K3" s="1012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13" t="s">
        <v>262</v>
      </c>
      <c r="J4" s="1014"/>
      <c r="K4" s="1015"/>
      <c r="M4" s="417"/>
      <c r="N4" s="417"/>
      <c r="O4" s="418"/>
      <c r="P4" s="418"/>
      <c r="Q4" s="1025" t="s">
        <v>283</v>
      </c>
      <c r="R4" s="1025"/>
      <c r="S4" s="1025"/>
      <c r="T4" s="1025"/>
      <c r="U4" s="191"/>
      <c r="V4" s="417"/>
      <c r="W4" s="191"/>
      <c r="X4" s="191"/>
    </row>
    <row r="5" spans="1:24" ht="15.75" customHeight="1" thickBot="1" x14ac:dyDescent="0.25">
      <c r="A5" s="946" t="s">
        <v>7</v>
      </c>
      <c r="B5" s="948" t="s">
        <v>251</v>
      </c>
      <c r="C5" s="948" t="s">
        <v>282</v>
      </c>
      <c r="D5" s="1004" t="s">
        <v>279</v>
      </c>
      <c r="E5" s="1004" t="s">
        <v>280</v>
      </c>
      <c r="F5" s="1002" t="s">
        <v>243</v>
      </c>
      <c r="G5" s="999" t="s">
        <v>249</v>
      </c>
      <c r="I5" s="419" t="s">
        <v>263</v>
      </c>
      <c r="J5" s="420" t="s">
        <v>264</v>
      </c>
      <c r="K5" s="421" t="s">
        <v>265</v>
      </c>
      <c r="M5" s="1016" t="s">
        <v>266</v>
      </c>
      <c r="N5" s="1017"/>
      <c r="O5" s="1018"/>
      <c r="P5" s="422"/>
      <c r="Q5" s="1019" t="s">
        <v>7</v>
      </c>
      <c r="R5" s="1021" t="s">
        <v>267</v>
      </c>
      <c r="S5" s="1022"/>
      <c r="T5" s="452" t="s">
        <v>268</v>
      </c>
      <c r="U5" s="423" t="s">
        <v>269</v>
      </c>
      <c r="V5" s="1023" t="s">
        <v>277</v>
      </c>
      <c r="W5" s="1006" t="s">
        <v>270</v>
      </c>
      <c r="X5" s="1008" t="s">
        <v>271</v>
      </c>
    </row>
    <row r="6" spans="1:24" ht="28.5" customHeight="1" thickBot="1" x14ac:dyDescent="0.25">
      <c r="A6" s="998"/>
      <c r="B6" s="1001"/>
      <c r="C6" s="1001"/>
      <c r="D6" s="1005"/>
      <c r="E6" s="1005"/>
      <c r="F6" s="1003"/>
      <c r="G6" s="1000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20"/>
      <c r="R6" s="448" t="s">
        <v>274</v>
      </c>
      <c r="S6" s="449" t="s">
        <v>275</v>
      </c>
      <c r="T6" s="453" t="s">
        <v>275</v>
      </c>
      <c r="U6" s="429" t="s">
        <v>275</v>
      </c>
      <c r="V6" s="1024"/>
      <c r="W6" s="1007"/>
      <c r="X6" s="1009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3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1200</v>
      </c>
      <c r="F8" s="717">
        <v>283.536</v>
      </c>
      <c r="G8" s="336">
        <f t="shared" ref="G8:G37" si="1">IF(F8=0,"0",(E8/F8))</f>
        <v>4.232266802099204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67">
        <v>5</v>
      </c>
      <c r="B11" s="768">
        <f>IF('Entries October 2026'!N11-'Entries October 2026'!N10&lt;1,"0",'Entries October 2026'!N11-'Entries October 2026'!N10)</f>
        <v>178.82000000000698</v>
      </c>
      <c r="C11" s="768">
        <f>IF('Entries October 2026'!L11-'Entries October 2026'!L10&lt;1,"0",'Entries October 2026'!L11-'Entries October 2026'!L10)</f>
        <v>407.7899999999936</v>
      </c>
      <c r="D11" s="768">
        <f>IF('Entries October 2026'!M11-'Entries October 2026'!M10&lt;1,"0",'Entries October 2026'!M11-'Entries October 2026'!M10)</f>
        <v>1583.3100000000559</v>
      </c>
      <c r="E11" s="768">
        <v>1600</v>
      </c>
      <c r="F11" s="769">
        <v>326.50200000000001</v>
      </c>
      <c r="G11" s="336">
        <f t="shared" si="1"/>
        <v>4.9004294001261863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67">
        <v>6</v>
      </c>
      <c r="B12" s="768">
        <f>IF('Entries October 2026'!N12-'Entries October 2026'!N11&lt;1,"0",'Entries October 2026'!N12-'Entries October 2026'!N11)</f>
        <v>201.50999999999476</v>
      </c>
      <c r="C12" s="768">
        <f>IF('Entries October 2026'!L12-'Entries October 2026'!L11&lt;1,"0",'Entries October 2026'!L12-'Entries October 2026'!L11)</f>
        <v>467.24000000000524</v>
      </c>
      <c r="D12" s="768">
        <f>IF('Entries October 2026'!M12-'Entries October 2026'!M11&lt;1,"0",'Entries October 2026'!M12-'Entries October 2026'!M11)</f>
        <v>1503.5599999999395</v>
      </c>
      <c r="E12" s="768">
        <v>1500</v>
      </c>
      <c r="F12" s="769">
        <v>357.19200000000001</v>
      </c>
      <c r="G12" s="336">
        <f>IF(F12=0,"0",(E12/F12))</f>
        <v>4.199422159510851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>
        <f>IF('Entries October 2026'!N13-'Entries October 2026'!N12&lt;1,"0",'Entries October 2026'!N13-'Entries October 2026'!N12)</f>
        <v>220.41000000000349</v>
      </c>
      <c r="C13" s="716">
        <f>IF('Entries October 2026'!L13-'Entries October 2026'!L12&lt;1,"0",'Entries October 2026'!L13-'Entries October 2026'!L12)</f>
        <v>304.72000000000116</v>
      </c>
      <c r="D13" s="716">
        <f>IF('Entries October 2026'!M13-'Entries October 2026'!M12&lt;1,"0",'Entries October 2026'!M13-'Entries October 2026'!M12)</f>
        <v>1416.1900000000605</v>
      </c>
      <c r="E13" s="716">
        <v>1400</v>
      </c>
      <c r="F13" s="717">
        <v>406.428</v>
      </c>
      <c r="G13" s="336">
        <f t="shared" si="1"/>
        <v>3.4446445618904211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>
        <f>IF('Entries October 2026'!N14-'Entries October 2026'!N13&lt;1,"0",'Entries October 2026'!N14-'Entries October 2026'!N13)</f>
        <v>223.17999999999302</v>
      </c>
      <c r="C14" s="716">
        <f>IF('Entries October 2026'!L14-'Entries October 2026'!L13&lt;1,"0",'Entries October 2026'!L14-'Entries October 2026'!L13)</f>
        <v>777.58000000000175</v>
      </c>
      <c r="D14" s="716">
        <f>IF('Entries October 2026'!M14-'Entries October 2026'!M13&lt;1,"0",'Entries October 2026'!M14-'Entries October 2026'!M13)</f>
        <v>1771.5</v>
      </c>
      <c r="E14" s="716">
        <v>3000</v>
      </c>
      <c r="F14" s="717">
        <v>361.21800000000002</v>
      </c>
      <c r="G14" s="336">
        <f t="shared" si="1"/>
        <v>8.3052339584406081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>
        <f>IF('Entries October 2026'!N15-'Entries October 2026'!N14&lt;1,"0",'Entries October 2026'!N15-'Entries October 2026'!N14)</f>
        <v>180.90000000000873</v>
      </c>
      <c r="C15" s="716">
        <f>IF('Entries October 2026'!L15-'Entries October 2026'!L14&lt;1,"0",'Entries October 2026'!L15-'Entries October 2026'!L14)</f>
        <v>439.67999999999302</v>
      </c>
      <c r="D15" s="716">
        <f>IF('Entries October 2026'!M15-'Entries October 2026'!M14&lt;1,"0",'Entries October 2026'!M15-'Entries October 2026'!M14)</f>
        <v>1532</v>
      </c>
      <c r="E15" s="716">
        <v>1700</v>
      </c>
      <c r="F15" s="717">
        <v>308.48400000000004</v>
      </c>
      <c r="G15" s="336">
        <f t="shared" si="1"/>
        <v>5.5108206584458186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>
        <f>IF('Entries October 2026'!N16-'Entries October 2026'!N15&lt;1,"0",'Entries October 2026'!N16-'Entries October 2026'!N15)</f>
        <v>5.0899999999965075</v>
      </c>
      <c r="C16" s="716">
        <f>IF('Entries October 2026'!L16-'Entries October 2026'!L15&lt;1,"0",'Entries October 2026'!L16-'Entries October 2026'!L15)</f>
        <v>327.55000000000291</v>
      </c>
      <c r="D16" s="716">
        <f>IF('Entries October 2026'!M16-'Entries October 2026'!M15&lt;1,"0",'Entries October 2026'!M16-'Entries October 2026'!M15)</f>
        <v>360.76999999990221</v>
      </c>
      <c r="E16" s="716">
        <v>800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67">
        <v>12</v>
      </c>
      <c r="B18" s="768" t="str">
        <f>IF('Entries October 2026'!N18-'Entries October 2026'!N17&lt;1,"0",'Entries October 2026'!N18-'Entries October 2026'!N17)</f>
        <v>0</v>
      </c>
      <c r="C18" s="768" t="str">
        <f>IF('Entries October 2026'!L18-'Entries October 2026'!L17&lt;1,"0",'Entries October 2026'!L18-'Entries October 2026'!L17)</f>
        <v>0</v>
      </c>
      <c r="D18" s="768" t="str">
        <f>IF('Entries October 2026'!M18-'Entries October 2026'!M17&lt;1,"0",'Entries October 2026'!M18-'Entries October 2026'!M17)</f>
        <v>0</v>
      </c>
      <c r="E18" s="768">
        <v>0</v>
      </c>
      <c r="F18" s="769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67">
        <v>13</v>
      </c>
      <c r="B19" s="768" t="str">
        <f>IF('Entries October 2026'!N19-'Entries October 2026'!N18&lt;1,"0",'Entries October 2026'!N19-'Entries October 2026'!N18)</f>
        <v>0</v>
      </c>
      <c r="C19" s="768" t="str">
        <f>IF('Entries October 2026'!L19-'Entries October 2026'!L18&lt;1,"0",'Entries October 2026'!L19-'Entries October 2026'!L18)</f>
        <v>0</v>
      </c>
      <c r="D19" s="768" t="str">
        <f>IF('Entries October 2026'!M19-'Entries October 2026'!M18&lt;1,"0",'Entries October 2026'!M19-'Entries October 2026'!M18)</f>
        <v>0</v>
      </c>
      <c r="E19" s="768">
        <v>0</v>
      </c>
      <c r="F19" s="769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67">
        <v>19</v>
      </c>
      <c r="B25" s="768" t="str">
        <f>IF('Entries October 2026'!N25-'Entries October 2026'!N24&lt;1,"0",'Entries October 2026'!N25-'Entries October 2026'!N24)</f>
        <v>0</v>
      </c>
      <c r="C25" s="768" t="str">
        <f>IF('Entries October 2026'!L25-'Entries October 2026'!L24&lt;1,"0",'Entries October 2026'!L25-'Entries October 2026'!L24)</f>
        <v>0</v>
      </c>
      <c r="D25" s="768" t="str">
        <f>IF('Entries October 2026'!M25-'Entries October 2026'!M24&lt;1,"0",'Entries October 2026'!M25-'Entries October 2026'!M24)</f>
        <v>0</v>
      </c>
      <c r="E25" s="768">
        <v>0</v>
      </c>
      <c r="F25" s="769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67">
        <v>20</v>
      </c>
      <c r="B26" s="768" t="str">
        <f>IF('Entries October 2026'!N26-'Entries October 2026'!N25&lt;1,"0",'Entries October 2026'!N26-'Entries October 2026'!N25)</f>
        <v>0</v>
      </c>
      <c r="C26" s="768" t="str">
        <f>IF('Entries October 2026'!L26-'Entries October 2026'!L25&lt;1,"0",'Entries October 2026'!L26-'Entries October 2026'!L25)</f>
        <v>0</v>
      </c>
      <c r="D26" s="768" t="str">
        <f>IF('Entries October 2026'!M26-'Entries October 2026'!M25&lt;1,"0",'Entries October 2026'!M26-'Entries October 2026'!M25)</f>
        <v>0</v>
      </c>
      <c r="E26" s="768">
        <v>0</v>
      </c>
      <c r="F26" s="769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67">
        <v>26</v>
      </c>
      <c r="B32" s="768" t="str">
        <f>IF('Entries October 2026'!N32-'Entries October 2026'!N31&lt;1,"0",'Entries October 2026'!N32-'Entries October 2026'!N31)</f>
        <v>0</v>
      </c>
      <c r="C32" s="768" t="str">
        <f>IF('Entries October 2026'!L32-'Entries October 2026'!L31&lt;1,"0",'Entries October 2026'!L32-'Entries October 2026'!L31)</f>
        <v>0</v>
      </c>
      <c r="D32" s="768" t="str">
        <f>IF('Entries October 2026'!M32-'Entries October 2026'!M31&lt;1,"0",'Entries October 2026'!M32-'Entries October 2026'!M31)</f>
        <v>0</v>
      </c>
      <c r="E32" s="768">
        <v>0</v>
      </c>
      <c r="F32" s="769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67">
        <v>27</v>
      </c>
      <c r="B33" s="768" t="str">
        <f>IF('Entries October 2026'!N33-'Entries October 2026'!N32&lt;1,"0",'Entries October 2026'!N33-'Entries October 2026'!N32)</f>
        <v>0</v>
      </c>
      <c r="C33" s="768" t="str">
        <f>IF('Entries October 2026'!L33-'Entries October 2026'!L32&lt;1,"0",'Entries October 2026'!L33-'Entries October 2026'!L32)</f>
        <v>0</v>
      </c>
      <c r="D33" s="768" t="str">
        <f>IF('Entries October 2026'!M33-'Entries October 2026'!M32&lt;1,"0",'Entries October 2026'!M33-'Entries October 2026'!M32)</f>
        <v>0</v>
      </c>
      <c r="E33" s="768">
        <v>0</v>
      </c>
      <c r="F33" s="769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1350.3500000000058</v>
      </c>
      <c r="C38" s="713">
        <f>SUM(C7:C37)</f>
        <v>3764.1000000000058</v>
      </c>
      <c r="D38" s="713">
        <f>SUM(D7:D37)</f>
        <v>10888.429999999935</v>
      </c>
      <c r="E38" s="713">
        <f>SUM(E7:E37)</f>
        <v>12800</v>
      </c>
      <c r="F38" s="714">
        <f>SUM(F7:F37)</f>
        <v>2410.9247999999998</v>
      </c>
      <c r="G38" s="345">
        <f>IF(F38=0,"0",(E38/F38))</f>
        <v>5.3091660096573738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W5:W6"/>
    <mergeCell ref="X5:X6"/>
    <mergeCell ref="I3:K3"/>
    <mergeCell ref="I4:K4"/>
    <mergeCell ref="M5:O5"/>
    <mergeCell ref="Q5:Q6"/>
    <mergeCell ref="R5:S5"/>
    <mergeCell ref="V5:V6"/>
    <mergeCell ref="Q4:T4"/>
    <mergeCell ref="A5:A6"/>
    <mergeCell ref="G5:G6"/>
    <mergeCell ref="B5:B6"/>
    <mergeCell ref="F5:F6"/>
    <mergeCell ref="D5:D6"/>
    <mergeCell ref="E5:E6"/>
    <mergeCell ref="C5:C6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8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8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4947</v>
      </c>
      <c r="G8" s="99">
        <f>'Daily KPIs'!G8</f>
        <v>5412</v>
      </c>
      <c r="H8" s="100">
        <f>'Daily KPIs'!H8</f>
        <v>6158</v>
      </c>
      <c r="I8" s="100">
        <f>'Daily KPIs'!I8</f>
        <v>5473</v>
      </c>
      <c r="J8" s="99">
        <f>'Daily KPIs'!J8</f>
        <v>4674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30960</v>
      </c>
      <c r="AH8" s="293">
        <v>96325</v>
      </c>
      <c r="AI8" s="294">
        <f>AG8-AH8</f>
        <v>-65365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326.50200000000001</v>
      </c>
      <c r="G9" s="99">
        <f>'Daily KPIs'!G9</f>
        <v>357.19200000000001</v>
      </c>
      <c r="H9" s="99">
        <f>'Daily KPIs'!H9</f>
        <v>406.428</v>
      </c>
      <c r="I9" s="99">
        <f>'Daily KPIs'!I9</f>
        <v>361.21800000000002</v>
      </c>
      <c r="J9" s="99">
        <f>'Daily KPIs'!J9</f>
        <v>308.48400000000004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2410.9247999999998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 t="str">
        <f>'Daily KPIs'!F10</f>
        <v>CB</v>
      </c>
      <c r="G10" s="163" t="str">
        <f>'Daily KPIs'!G10</f>
        <v>CB</v>
      </c>
      <c r="H10" s="163" t="str">
        <f>'Daily KPIs'!I10</f>
        <v>CB/ST</v>
      </c>
      <c r="I10" s="163" t="str">
        <f>'Daily KPIs'!J10</f>
        <v>ST</v>
      </c>
      <c r="J10" s="163" t="str">
        <f>'Daily KPIs'!J10</f>
        <v>ST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6">
        <f>'Daily KPIs'!Y10</f>
        <v>0</v>
      </c>
      <c r="Z10" s="1026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>
        <f>+'Water '!$D11</f>
        <v>73</v>
      </c>
      <c r="G16" s="110">
        <f>+'Water '!$D12</f>
        <v>250</v>
      </c>
      <c r="H16" s="110">
        <f>+'Water '!$D13</f>
        <v>234</v>
      </c>
      <c r="I16" s="110">
        <f>+'Water '!$D14</f>
        <v>359</v>
      </c>
      <c r="J16" s="110">
        <f>+'Water '!$D15</f>
        <v>378</v>
      </c>
      <c r="K16" s="110">
        <f>+'Water '!$D16</f>
        <v>155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1700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>
        <f>+'Water '!$E11</f>
        <v>69</v>
      </c>
      <c r="G17" s="112">
        <f>+'Water '!$E12</f>
        <v>92</v>
      </c>
      <c r="H17" s="114">
        <f>+'Water '!$E13</f>
        <v>147</v>
      </c>
      <c r="I17" s="113">
        <f>+'Water '!$E14</f>
        <v>90</v>
      </c>
      <c r="J17" s="114">
        <f>+'Water '!$E15</f>
        <v>261</v>
      </c>
      <c r="K17" s="114">
        <f>+'Water '!$E16</f>
        <v>160</v>
      </c>
      <c r="L17" s="114">
        <f>+'Water '!$E17</f>
        <v>3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1309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142</v>
      </c>
      <c r="G18" s="118">
        <f t="shared" si="0"/>
        <v>342</v>
      </c>
      <c r="H18" s="118">
        <f t="shared" si="0"/>
        <v>381</v>
      </c>
      <c r="I18" s="118">
        <f t="shared" si="0"/>
        <v>449</v>
      </c>
      <c r="J18" s="118">
        <f t="shared" si="0"/>
        <v>639</v>
      </c>
      <c r="K18" s="118">
        <f t="shared" si="0"/>
        <v>315</v>
      </c>
      <c r="L18" s="118">
        <f t="shared" si="0"/>
        <v>3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3009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123.36999999999999</v>
      </c>
      <c r="H21" s="119">
        <f t="shared" si="1"/>
        <v>110.23</v>
      </c>
      <c r="I21" s="119">
        <f t="shared" si="1"/>
        <v>151.10999999999999</v>
      </c>
      <c r="J21" s="119">
        <f t="shared" si="1"/>
        <v>115.34</v>
      </c>
      <c r="K21" s="119">
        <f t="shared" si="1"/>
        <v>124.1</v>
      </c>
      <c r="L21" s="119">
        <f t="shared" si="1"/>
        <v>3.65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1046.0900000000001</v>
      </c>
      <c r="AH21" s="225">
        <f>AG24+AG37+AG28</f>
        <v>3301</v>
      </c>
      <c r="AI21" s="271"/>
      <c r="AJ21" s="272">
        <f>(AH21*10)/AG9</f>
        <v>13.69184140459296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186</v>
      </c>
      <c r="G24" s="112">
        <f>'Water '!H12</f>
        <v>203</v>
      </c>
      <c r="H24" s="112">
        <f>'Water '!H13</f>
        <v>219</v>
      </c>
      <c r="I24" s="112">
        <f>'Water '!H14</f>
        <v>218</v>
      </c>
      <c r="J24" s="112">
        <f>'Water '!H15</f>
        <v>206</v>
      </c>
      <c r="K24" s="112">
        <f>'Water '!H16</f>
        <v>57</v>
      </c>
      <c r="L24" s="112">
        <f>'Water '!H17</f>
        <v>43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1663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186</v>
      </c>
      <c r="G25" s="118">
        <f t="shared" si="2"/>
        <v>203</v>
      </c>
      <c r="H25" s="118">
        <f t="shared" si="2"/>
        <v>219</v>
      </c>
      <c r="I25" s="118">
        <f t="shared" si="2"/>
        <v>218</v>
      </c>
      <c r="J25" s="118">
        <f t="shared" si="2"/>
        <v>206</v>
      </c>
      <c r="K25" s="118">
        <f t="shared" si="2"/>
        <v>57</v>
      </c>
      <c r="L25" s="118">
        <f t="shared" si="2"/>
        <v>43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1663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>
        <f t="shared" si="3"/>
        <v>5.6967491776466908</v>
      </c>
      <c r="G26" s="125">
        <f t="shared" si="3"/>
        <v>5.6832179892046852</v>
      </c>
      <c r="H26" s="125">
        <f t="shared" si="3"/>
        <v>5.3884082789571588</v>
      </c>
      <c r="I26" s="125">
        <f t="shared" si="3"/>
        <v>6.0351366764668422</v>
      </c>
      <c r="J26" s="125">
        <f t="shared" si="3"/>
        <v>6.6778179743519912</v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>
        <f>+'Water '!$J11</f>
        <v>182</v>
      </c>
      <c r="G28" s="127">
        <f>+'Water '!$J12</f>
        <v>234</v>
      </c>
      <c r="H28" s="111">
        <f>+'Water '!$J13</f>
        <v>227</v>
      </c>
      <c r="I28" s="127">
        <f>+'Water '!$J14</f>
        <v>187</v>
      </c>
      <c r="J28" s="127">
        <f>+'Water '!$J15</f>
        <v>192</v>
      </c>
      <c r="K28" s="127">
        <f>+'Water '!$J16</f>
        <v>162</v>
      </c>
      <c r="L28" s="128">
        <f>+'Water '!$J17</f>
        <v>18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1485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>
        <f>+'Water '!$N11</f>
        <v>38</v>
      </c>
      <c r="G33" s="131">
        <f>+'Water '!$N12</f>
        <v>39</v>
      </c>
      <c r="H33" s="131">
        <f>+'Water '!$N13</f>
        <v>50</v>
      </c>
      <c r="I33" s="131">
        <f>+'Water '!$N14</f>
        <v>67</v>
      </c>
      <c r="J33" s="131">
        <f>+'Water '!$N15</f>
        <v>41</v>
      </c>
      <c r="K33" s="131">
        <f>+'Water '!$N16</f>
        <v>5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343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>
        <f>+'Water '!$O11</f>
        <v>112</v>
      </c>
      <c r="G34" s="134">
        <f>+'Water '!$O12</f>
        <v>99</v>
      </c>
      <c r="H34" s="134">
        <f>+'Water '!$O13</f>
        <v>91</v>
      </c>
      <c r="I34" s="134">
        <f>+'Water '!$O14</f>
        <v>89</v>
      </c>
      <c r="J34" s="134">
        <f>+'Water '!$O15</f>
        <v>76</v>
      </c>
      <c r="K34" s="134">
        <f>+'Water '!$O16</f>
        <v>5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652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17</v>
      </c>
      <c r="G35" s="119">
        <f>IF('Entries October 2026'!AC12-'Entries October 2026'!AC11&lt;1,0,'Entries October 2026'!AC12-'Entries October 2026'!AC11)</f>
        <v>17</v>
      </c>
      <c r="H35" s="119">
        <f>IF('Entries October 2026'!AC13-'Entries October 2026'!AC12&lt;1,0,'Entries October 2026'!AC13-'Entries October 2026'!AC12)</f>
        <v>17</v>
      </c>
      <c r="I35" s="119">
        <f>IF('Entries October 2026'!AC14-'Entries October 2026'!AC13&lt;1,0,'Entries October 2026'!AC14-'Entries October 2026'!AC13)</f>
        <v>18</v>
      </c>
      <c r="J35" s="119">
        <f>IF('Entries October 2026'!AC15-'Entries October 2026'!AC14&lt;1,0,'Entries October 2026'!AC15-'Entries October 2026'!AC14)</f>
        <v>14</v>
      </c>
      <c r="K35" s="119">
        <f>IF('Entries October 2026'!AC16-'Entries October 2026'!AC15&lt;1,0,'Entries October 2026'!AC16-'Entries October 2026'!AC15)</f>
        <v>1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115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>
        <f>+'Water '!$M11</f>
        <v>1</v>
      </c>
      <c r="G36" s="110">
        <f>+'Water '!$M12</f>
        <v>3</v>
      </c>
      <c r="H36" s="110">
        <f>+'Water '!$M13</f>
        <v>3</v>
      </c>
      <c r="I36" s="110">
        <f>+'Water '!$M14</f>
        <v>4</v>
      </c>
      <c r="J36" s="110">
        <f>+'Water '!$M15</f>
        <v>3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19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>
        <f>+'Water '!$Q11</f>
        <v>20</v>
      </c>
      <c r="G37" s="131">
        <f>+'Water '!$Q12</f>
        <v>16</v>
      </c>
      <c r="H37" s="131">
        <f>+'Water '!$Q13</f>
        <v>16</v>
      </c>
      <c r="I37" s="131">
        <f>+'Water '!$Q14</f>
        <v>17</v>
      </c>
      <c r="J37" s="131">
        <f>+'Water '!$Q15</f>
        <v>24</v>
      </c>
      <c r="K37" s="131">
        <f>+'Water '!$Q16</f>
        <v>11</v>
      </c>
      <c r="L37" s="131">
        <f>+'Water '!$Q17</f>
        <v>9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153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>
        <f>'Water '!J16</f>
        <v>162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162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370</v>
      </c>
      <c r="G42" s="138">
        <f>SUM(G28:G41)</f>
        <v>408</v>
      </c>
      <c r="H42" s="138">
        <f t="shared" si="4"/>
        <v>404</v>
      </c>
      <c r="I42" s="138">
        <f t="shared" si="4"/>
        <v>382</v>
      </c>
      <c r="J42" s="138">
        <f t="shared" si="4"/>
        <v>350</v>
      </c>
      <c r="K42" s="138">
        <f t="shared" si="4"/>
        <v>184</v>
      </c>
      <c r="L42" s="138">
        <f t="shared" si="4"/>
        <v>189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2929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1583.3100000000559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1771.5</v>
      </c>
      <c r="J47" s="178">
        <f>IF('Entries October 2026'!M15-'Entries October 2026'!M14&lt;1,0,'Entries October 2026'!M15-'Entries October 2026'!M14)</f>
        <v>1532</v>
      </c>
      <c r="K47" s="178">
        <f>IF('Entries October 2026'!M16-'Entries October 2026'!M15&lt;1,0,'Entries October 2026'!M16-'Entries October 2026'!M15)</f>
        <v>360.76999999990221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>
        <f>'Daily KPIs'!F76</f>
        <v>178.82000000000698</v>
      </c>
      <c r="G49" s="187">
        <f>'Daily KPIs'!G76</f>
        <v>201.50999999999476</v>
      </c>
      <c r="H49" s="187">
        <f>'Daily KPIs'!H76</f>
        <v>220.41000000000349</v>
      </c>
      <c r="I49" s="187">
        <f>'Daily KPIs'!I76</f>
        <v>223.17999999999302</v>
      </c>
      <c r="J49" s="187">
        <f>'Daily KPIs'!J76</f>
        <v>180.90000000000873</v>
      </c>
      <c r="K49" s="187">
        <f>'Daily KPIs'!K76</f>
        <v>5.0899999999965075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1350.3500000000058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4774</v>
      </c>
      <c r="G52" s="141">
        <f>'Elec.OCTOBER 2026'!$B$12</f>
        <v>7226</v>
      </c>
      <c r="H52" s="141">
        <f>'Elec.OCTOBER 2026'!$B$13</f>
        <v>6606</v>
      </c>
      <c r="I52" s="141">
        <f>'Elec.OCTOBER 2026'!$B$14</f>
        <v>7587</v>
      </c>
      <c r="J52" s="141">
        <f>'Elec.OCTOBER 2026'!$B$15</f>
        <v>6341</v>
      </c>
      <c r="K52" s="141">
        <f>'Elec.OCTOBER 2026'!$B$16</f>
        <v>4500</v>
      </c>
      <c r="L52" s="141">
        <f>'Elec.OCTOBER 2026'!$B$17</f>
        <v>2914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62240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>
        <f t="shared" si="5"/>
        <v>4.3491310926119899</v>
      </c>
      <c r="G59" s="144">
        <f t="shared" si="5"/>
        <v>9.574682523684741</v>
      </c>
      <c r="H59" s="144">
        <f t="shared" si="5"/>
        <v>9.3743541291446455</v>
      </c>
      <c r="I59" s="144">
        <f t="shared" si="5"/>
        <v>12.430166824466111</v>
      </c>
      <c r="J59" s="144">
        <f t="shared" si="5"/>
        <v>20.714202357334575</v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12.480687908639872</v>
      </c>
      <c r="AH59" s="239">
        <f>'Daily KPIs'!AI90</f>
        <v>10.199999999999999</v>
      </c>
      <c r="AI59" s="282">
        <f>+AH59-AG59</f>
        <v>-2.280687908639873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>
        <f t="shared" si="8"/>
        <v>5.5742384426435363</v>
      </c>
      <c r="G62" s="145">
        <f t="shared" si="8"/>
        <v>6.5510985688369283</v>
      </c>
      <c r="H62" s="145">
        <f t="shared" si="8"/>
        <v>5.5852451110651824</v>
      </c>
      <c r="I62" s="145">
        <f t="shared" si="8"/>
        <v>5.1769291674279794</v>
      </c>
      <c r="J62" s="145">
        <f t="shared" si="8"/>
        <v>6.2239856848329245</v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6.1594621283915618</v>
      </c>
      <c r="AH62" s="241">
        <v>2.5</v>
      </c>
      <c r="AI62" s="242">
        <f t="shared" ref="AI62:AI78" si="11">AH62-AG62</f>
        <v>-3.6594621283915618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>
        <f t="shared" si="12"/>
        <v>4.5751633986928102</v>
      </c>
      <c r="G63" s="168">
        <f t="shared" si="12"/>
        <v>5.2442850739578661</v>
      </c>
      <c r="H63" s="168">
        <f t="shared" si="12"/>
        <v>6.5569035239745812</v>
      </c>
      <c r="I63" s="168">
        <f>IF(I$93=0,"",+(I28*10)/I$93)</f>
        <v>5.4124457308248912</v>
      </c>
      <c r="J63" s="168">
        <f t="shared" si="12"/>
        <v>5.5830183192788603</v>
      </c>
      <c r="K63" s="168">
        <f t="shared" si="12"/>
        <v>3.8951671074777594</v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5.508160237388724</v>
      </c>
      <c r="AH63" s="243">
        <v>2.5</v>
      </c>
      <c r="AI63" s="244">
        <f t="shared" si="11"/>
        <v>-3.008160237388724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>
        <f t="shared" si="14"/>
        <v>0</v>
      </c>
      <c r="G64" s="147">
        <f t="shared" si="14"/>
        <v>0</v>
      </c>
      <c r="H64" s="147">
        <f t="shared" si="14"/>
        <v>0</v>
      </c>
      <c r="I64" s="147">
        <f t="shared" si="14"/>
        <v>0</v>
      </c>
      <c r="J64" s="147">
        <f t="shared" si="14"/>
        <v>0</v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>
        <f t="shared" si="16"/>
        <v>0</v>
      </c>
      <c r="G66" s="145">
        <f t="shared" si="16"/>
        <v>0</v>
      </c>
      <c r="H66" s="145">
        <f t="shared" si="16"/>
        <v>0</v>
      </c>
      <c r="I66" s="145">
        <f t="shared" si="16"/>
        <v>0</v>
      </c>
      <c r="J66" s="145">
        <f t="shared" si="16"/>
        <v>0</v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>
        <f t="shared" si="18"/>
        <v>0</v>
      </c>
      <c r="G67" s="150">
        <f t="shared" si="18"/>
        <v>0</v>
      </c>
      <c r="H67" s="150">
        <f t="shared" si="18"/>
        <v>0</v>
      </c>
      <c r="I67" s="150">
        <f t="shared" si="18"/>
        <v>0</v>
      </c>
      <c r="J67" s="150">
        <f t="shared" si="18"/>
        <v>0</v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>
        <f t="shared" si="20"/>
        <v>1.1638519825299691</v>
      </c>
      <c r="G68" s="145">
        <f t="shared" si="20"/>
        <v>1.0918497614728213</v>
      </c>
      <c r="H68" s="145">
        <f t="shared" si="20"/>
        <v>1.2302302006751504</v>
      </c>
      <c r="I68" s="145">
        <f t="shared" si="20"/>
        <v>1.8548355840517359</v>
      </c>
      <c r="J68" s="145">
        <f t="shared" si="20"/>
        <v>1.3290802764486973</v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1.4226905791503743</v>
      </c>
      <c r="AH68" s="241">
        <v>0.7</v>
      </c>
      <c r="AI68" s="242">
        <f t="shared" si="11"/>
        <v>-0.72269057915037438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>
        <f t="shared" si="22"/>
        <v>3.4303005800883302</v>
      </c>
      <c r="G69" s="145">
        <f t="shared" si="22"/>
        <v>2.7716186252771617</v>
      </c>
      <c r="H69" s="145">
        <f t="shared" si="22"/>
        <v>2.2390189652287735</v>
      </c>
      <c r="I69" s="145">
        <f t="shared" si="22"/>
        <v>2.4638860743373807</v>
      </c>
      <c r="J69" s="145">
        <f t="shared" si="22"/>
        <v>2.4636610002463657</v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2.7043564361692245</v>
      </c>
      <c r="AH69" s="241">
        <v>2.6</v>
      </c>
      <c r="AI69" s="242">
        <f t="shared" si="11"/>
        <v>-0.10435643616922441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>
        <f t="shared" si="26"/>
        <v>0.52067062376340723</v>
      </c>
      <c r="G71" s="145">
        <f t="shared" si="26"/>
        <v>0.47593451141122983</v>
      </c>
      <c r="H71" s="145">
        <f t="shared" si="26"/>
        <v>0.41827826822955111</v>
      </c>
      <c r="I71" s="145">
        <f t="shared" si="26"/>
        <v>0.49831403750643655</v>
      </c>
      <c r="J71" s="145">
        <f t="shared" si="26"/>
        <v>0.4538322895190674</v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0.47699538368015465</v>
      </c>
      <c r="AH71" s="241">
        <v>0.7</v>
      </c>
      <c r="AI71" s="242">
        <f>AH71-AG71</f>
        <v>0.22300461631984531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>
        <f t="shared" si="29"/>
        <v>3.0627683750788663E-2</v>
      </c>
      <c r="G72" s="145">
        <f t="shared" si="29"/>
        <v>8.3988443190217019E-2</v>
      </c>
      <c r="H72" s="145">
        <f t="shared" si="29"/>
        <v>7.3813812040509019E-2</v>
      </c>
      <c r="I72" s="145">
        <f t="shared" si="29"/>
        <v>0.11073645277920811</v>
      </c>
      <c r="J72" s="145">
        <f t="shared" si="29"/>
        <v>9.7249776325514445E-2</v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7.8807932955851631E-2</v>
      </c>
      <c r="AH72" s="241">
        <v>0.1</v>
      </c>
      <c r="AI72" s="242">
        <f>AH72-AG72</f>
        <v>2.1192067044148374E-2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>
        <f t="shared" si="31"/>
        <v>0.61255367501577329</v>
      </c>
      <c r="G73" s="145">
        <f t="shared" si="31"/>
        <v>0.44793836368115747</v>
      </c>
      <c r="H73" s="145">
        <f t="shared" si="31"/>
        <v>0.3936736642160481</v>
      </c>
      <c r="I73" s="145">
        <f t="shared" si="31"/>
        <v>0.47062992431163453</v>
      </c>
      <c r="J73" s="145">
        <f t="shared" si="31"/>
        <v>0.77799821060411556</v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0.63461124959185788</v>
      </c>
      <c r="AH73" s="241">
        <v>0.6</v>
      </c>
      <c r="AI73" s="242">
        <f t="shared" si="11"/>
        <v>-3.4611249591857907E-2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>
        <f t="shared" si="33"/>
        <v>0</v>
      </c>
      <c r="G74" s="150">
        <f t="shared" si="33"/>
        <v>0</v>
      </c>
      <c r="H74" s="150">
        <f t="shared" si="33"/>
        <v>0</v>
      </c>
      <c r="I74" s="150">
        <f t="shared" si="33"/>
        <v>0</v>
      </c>
      <c r="J74" s="150">
        <f t="shared" si="33"/>
        <v>0</v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>
        <f t="shared" si="35"/>
        <v>0</v>
      </c>
      <c r="G75" s="145">
        <f t="shared" si="35"/>
        <v>0</v>
      </c>
      <c r="H75" s="145">
        <f t="shared" si="35"/>
        <v>0</v>
      </c>
      <c r="I75" s="145">
        <f t="shared" si="35"/>
        <v>0</v>
      </c>
      <c r="J75" s="145">
        <f t="shared" si="35"/>
        <v>0</v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15.907406386484615</v>
      </c>
      <c r="G78" s="152">
        <f t="shared" si="37"/>
        <v>16.666713347827383</v>
      </c>
      <c r="H78" s="152">
        <f t="shared" si="37"/>
        <v>16.497163545429796</v>
      </c>
      <c r="I78" s="152">
        <f t="shared" si="37"/>
        <v>15.987776971239267</v>
      </c>
      <c r="J78" s="152">
        <f t="shared" si="37"/>
        <v>16.928825557255546</v>
      </c>
      <c r="K78" s="152">
        <f t="shared" si="37"/>
        <v>3.8951671074777594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16.985083947327745</v>
      </c>
      <c r="AH78" s="253">
        <f t="shared" si="37"/>
        <v>15.599999999999998</v>
      </c>
      <c r="AI78" s="253">
        <f t="shared" si="11"/>
        <v>-1.3850839473277468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3.9815988876025261</v>
      </c>
      <c r="G79" s="154">
        <f t="shared" si="38"/>
        <v>3.3315415798786088</v>
      </c>
      <c r="H79" s="154">
        <f t="shared" si="38"/>
        <v>2.7311110454988334</v>
      </c>
      <c r="I79" s="154">
        <f t="shared" si="38"/>
        <v>3.0729365646230251</v>
      </c>
      <c r="J79" s="154">
        <f t="shared" si="38"/>
        <v>3.0147430660909476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3.2601597528052308</v>
      </c>
      <c r="AH79" s="254">
        <f t="shared" si="38"/>
        <v>6</v>
      </c>
      <c r="AI79" s="254">
        <f t="shared" si="38"/>
        <v>2.7398402471947696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>
        <f t="shared" si="39"/>
        <v>4.8493117959462904</v>
      </c>
      <c r="G80" s="155" t="e">
        <f t="shared" si="39"/>
        <v>#REF!</v>
      </c>
      <c r="H80" s="155" t="e">
        <f t="shared" si="39"/>
        <v>#REF!</v>
      </c>
      <c r="I80" s="155">
        <f t="shared" si="39"/>
        <v>4.9042406524591797</v>
      </c>
      <c r="J80" s="155">
        <f t="shared" si="39"/>
        <v>4.9662219110229371</v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>
        <f t="shared" si="41"/>
        <v>0.54768424083162426</v>
      </c>
      <c r="G81" s="157">
        <f t="shared" si="41"/>
        <v>0.56415037290867309</v>
      </c>
      <c r="H81" s="157">
        <f t="shared" si="41"/>
        <v>0.54231007706162837</v>
      </c>
      <c r="I81" s="157">
        <f t="shared" si="41"/>
        <v>0.61785403828157237</v>
      </c>
      <c r="J81" s="157">
        <f t="shared" si="41"/>
        <v>0.58641615124288038</v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0.56009627508913007</v>
      </c>
      <c r="AH81" s="287">
        <f>'Daily KPIs'!AI93</f>
        <v>1.7</v>
      </c>
      <c r="AI81" s="286">
        <f>AH81-AG81</f>
        <v>1.1399037249108699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>
        <f t="shared" si="43"/>
        <v>14.621656222626507</v>
      </c>
      <c r="G82" s="144">
        <f t="shared" si="43"/>
        <v>20.230016349750272</v>
      </c>
      <c r="H82" s="144">
        <f t="shared" si="43"/>
        <v>16.253801411320087</v>
      </c>
      <c r="I82" s="144">
        <f t="shared" si="43"/>
        <v>21.003936680896299</v>
      </c>
      <c r="J82" s="144">
        <f t="shared" si="43"/>
        <v>20.555361056002901</v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25.815819721958977</v>
      </c>
      <c r="AH82" s="239">
        <f>'Daily KPIs'!AI94</f>
        <v>22</v>
      </c>
      <c r="AI82" s="286">
        <f>AH82-AG82</f>
        <v>-3.8158197219589773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>
        <f t="shared" si="46"/>
        <v>0</v>
      </c>
      <c r="G84" s="144">
        <f>IF(G$9=0,"",G54/G$9)</f>
        <v>0</v>
      </c>
      <c r="H84" s="144">
        <f t="shared" si="46"/>
        <v>0</v>
      </c>
      <c r="I84" s="144">
        <f t="shared" si="46"/>
        <v>0</v>
      </c>
      <c r="J84" s="144">
        <f t="shared" si="46"/>
        <v>0</v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0.398187450724303</v>
      </c>
      <c r="AH84" s="256">
        <f>'Daily KPIs'!AI96</f>
        <v>7.2</v>
      </c>
      <c r="AI84" s="286">
        <f>AH84-AG84</f>
        <v>6.8018125492756969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407.7899999999936</v>
      </c>
      <c r="G87" s="159">
        <f>IF('Entries October 2026'!L12-'Entries October 2026'!L11&lt;1,0,'Entries October 2026'!L12-'Entries October 2026'!L11)</f>
        <v>467.24000000000524</v>
      </c>
      <c r="H87" s="159">
        <f>IF('Entries October 2026'!M12-'Entries October 2026'!L12&lt;1,0,'Entries October 2026'!M12-'Entries October 2026'!L12)</f>
        <v>547620.29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439.67999999999302</v>
      </c>
      <c r="K87" s="159">
        <f>IF('Entries October 2026'!L16-'Entries October 2026'!L15&lt;1,0,'Entries October 2026'!L16-'Entries October 2026'!L15)</f>
        <v>327.55000000000291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550302.09000000008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>
        <f t="shared" si="49"/>
        <v>0</v>
      </c>
      <c r="G89" s="160">
        <f t="shared" si="49"/>
        <v>0</v>
      </c>
      <c r="H89" s="160">
        <f t="shared" si="49"/>
        <v>0</v>
      </c>
      <c r="I89" s="160" t="str">
        <f>IF(I87=0,"",I88/I87)</f>
        <v/>
      </c>
      <c r="J89" s="160">
        <f t="shared" si="49"/>
        <v>0</v>
      </c>
      <c r="K89" s="160">
        <f t="shared" si="49"/>
        <v>0</v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397.8</v>
      </c>
      <c r="G93" s="165">
        <f>'Daily KPIs'!G12</f>
        <v>446.2</v>
      </c>
      <c r="H93" s="165">
        <f>'Daily KPIs'!H12</f>
        <v>346.2</v>
      </c>
      <c r="I93" s="165">
        <f>'Daily KPIs'!I12</f>
        <v>345.5</v>
      </c>
      <c r="J93" s="165">
        <f>'Daily KPIs'!J12</f>
        <v>343.9</v>
      </c>
      <c r="K93" s="165">
        <f>'Daily KPIs'!K12</f>
        <v>415.9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2696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 t="str">
        <f>'Daily KPIs'!F13</f>
        <v>CB</v>
      </c>
      <c r="G94" s="166" t="str">
        <f>'Daily KPIs'!G10</f>
        <v>CB</v>
      </c>
      <c r="H94" s="166" t="str">
        <f>'Daily KPIs'!H13</f>
        <v>ST</v>
      </c>
      <c r="I94" s="166" t="str">
        <f>'Daily KPIs'!I13</f>
        <v>ST/CB</v>
      </c>
      <c r="J94" s="166" t="str">
        <f>'Daily KPIs'!J13</f>
        <v>CB</v>
      </c>
      <c r="K94" s="166" t="str">
        <f>'Daily KPIs'!K13</f>
        <v>GU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8</v>
      </c>
      <c r="G95" s="174">
        <f>'Daily KPIs'!G14</f>
        <v>9</v>
      </c>
      <c r="H95" s="174">
        <f>'Daily KPIs'!H14</f>
        <v>7</v>
      </c>
      <c r="I95" s="174">
        <f>'Daily KPIs'!I14</f>
        <v>7</v>
      </c>
      <c r="J95" s="174">
        <f>'Daily KPIs'!J14</f>
        <v>7</v>
      </c>
      <c r="K95" s="174">
        <f>'Daily KPIs'!K14</f>
        <v>8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54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>
        <f>+'Water '!$F12</f>
        <v>169</v>
      </c>
      <c r="H96" s="110">
        <f>+'Water '!$F13</f>
        <v>151</v>
      </c>
      <c r="I96" s="110">
        <f>+'Water '!$F14</f>
        <v>207</v>
      </c>
      <c r="J96" s="110">
        <f>+'Water '!$F15</f>
        <v>158</v>
      </c>
      <c r="K96" s="110">
        <f>+'Water '!$F16</f>
        <v>170</v>
      </c>
      <c r="L96" s="110">
        <f>+'Water '!$F17</f>
        <v>5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1433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4774</v>
      </c>
      <c r="G101" s="159">
        <f>'Daily KPIs CO2'!G52</f>
        <v>7226</v>
      </c>
      <c r="H101" s="159">
        <f>'Daily KPIs CO2'!H52</f>
        <v>6606</v>
      </c>
      <c r="I101" s="159">
        <f>'Daily KPIs CO2'!I52</f>
        <v>7587</v>
      </c>
      <c r="J101" s="159">
        <f>'Daily KPIs CO2'!J52</f>
        <v>6341</v>
      </c>
      <c r="K101" s="159">
        <f>'Daily KPIs CO2'!K52</f>
        <v>4500</v>
      </c>
      <c r="L101" s="159">
        <f>'Daily KPIs CO2'!L52</f>
        <v>2914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62240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topLeftCell="A60" zoomScale="70" zoomScaleNormal="70" zoomScaleSheetLayoutView="50" workbookViewId="0">
      <pane xSplit="1" topLeftCell="F1" activePane="topRight" state="frozen"/>
      <selection pane="topRight" activeCell="AG76" sqref="AG76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customWidth="1"/>
    <col min="7" max="7" width="36.42578125" style="291" customWidth="1"/>
    <col min="8" max="8" width="35.5703125" style="291" customWidth="1"/>
    <col min="9" max="9" width="23.7109375" style="291" customWidth="1"/>
    <col min="10" max="10" width="22.140625" style="469" customWidth="1"/>
    <col min="11" max="11" width="29.7109375" style="469" customWidth="1"/>
    <col min="12" max="12" width="30.5703125" style="469" customWidth="1"/>
    <col min="13" max="13" width="29.7109375" style="470" customWidth="1"/>
    <col min="14" max="32" width="29.7109375" style="469" hidden="1" customWidth="1"/>
    <col min="33" max="33" width="29.7109375" style="469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899"/>
      <c r="L3" s="899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8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8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78"/>
      <c r="E8" s="678"/>
      <c r="F8" s="678">
        <f>4947</f>
        <v>4947</v>
      </c>
      <c r="G8" s="678">
        <v>5412</v>
      </c>
      <c r="H8" s="678">
        <v>6158</v>
      </c>
      <c r="I8" s="678">
        <f>4628+845</f>
        <v>5473</v>
      </c>
      <c r="J8" s="678">
        <v>4674</v>
      </c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86"/>
      <c r="AG8" s="747"/>
      <c r="AH8" s="480">
        <f>SUM(B8:AG8)</f>
        <v>36444</v>
      </c>
      <c r="AI8" s="526">
        <v>123950</v>
      </c>
      <c r="AJ8" s="294">
        <f>AH8-AI8</f>
        <v>-87506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J9" si="0">C8*0.066</f>
        <v>283.536</v>
      </c>
      <c r="D9" s="678">
        <f t="shared" si="0"/>
        <v>0</v>
      </c>
      <c r="E9" s="678">
        <f t="shared" si="0"/>
        <v>0</v>
      </c>
      <c r="F9" s="678">
        <f t="shared" si="0"/>
        <v>326.50200000000001</v>
      </c>
      <c r="G9" s="678">
        <f t="shared" si="0"/>
        <v>357.19200000000001</v>
      </c>
      <c r="H9" s="678">
        <f t="shared" si="0"/>
        <v>406.428</v>
      </c>
      <c r="I9" s="678">
        <f t="shared" si="0"/>
        <v>361.21800000000002</v>
      </c>
      <c r="J9" s="678">
        <f t="shared" si="0"/>
        <v>308.48400000000004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78"/>
      <c r="AG9" s="748"/>
      <c r="AH9" s="484">
        <f>SUM(B9:AG9)</f>
        <v>2410.9247999999998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796"/>
      <c r="F10" s="770" t="s">
        <v>307</v>
      </c>
      <c r="G10" s="770" t="s">
        <v>307</v>
      </c>
      <c r="H10" s="770" t="s">
        <v>307</v>
      </c>
      <c r="I10" s="770" t="s">
        <v>311</v>
      </c>
      <c r="J10" s="894" t="s">
        <v>310</v>
      </c>
      <c r="K10" s="871"/>
      <c r="L10" s="871"/>
      <c r="M10" s="681"/>
      <c r="N10" s="681"/>
      <c r="O10" s="878"/>
      <c r="P10" s="878"/>
      <c r="Q10" s="871"/>
      <c r="R10" s="879"/>
      <c r="S10" s="681"/>
      <c r="T10" s="681"/>
      <c r="U10" s="800"/>
      <c r="V10" s="796"/>
      <c r="W10" s="881"/>
      <c r="X10" s="881"/>
      <c r="Y10" s="871"/>
      <c r="Z10" s="871"/>
      <c r="AA10" s="796"/>
      <c r="AB10" s="801"/>
      <c r="AC10" s="878"/>
      <c r="AD10" s="878"/>
      <c r="AE10" s="871"/>
      <c r="AF10" s="887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>
        <v>397.8</v>
      </c>
      <c r="G12" s="494">
        <v>446.2</v>
      </c>
      <c r="H12" s="494">
        <v>346.2</v>
      </c>
      <c r="I12" s="494">
        <v>345.5</v>
      </c>
      <c r="J12" s="494">
        <v>343.9</v>
      </c>
      <c r="K12" s="494">
        <v>415.9</v>
      </c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2696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0" t="s">
        <v>307</v>
      </c>
      <c r="C13" s="770" t="s">
        <v>307</v>
      </c>
      <c r="D13" s="669"/>
      <c r="E13" s="799"/>
      <c r="F13" s="669" t="s">
        <v>307</v>
      </c>
      <c r="G13" s="669" t="s">
        <v>309</v>
      </c>
      <c r="H13" s="682" t="s">
        <v>310</v>
      </c>
      <c r="I13" s="682" t="s">
        <v>312</v>
      </c>
      <c r="J13" s="669" t="s">
        <v>307</v>
      </c>
      <c r="K13" s="897" t="s">
        <v>313</v>
      </c>
      <c r="L13" s="669"/>
      <c r="M13" s="798"/>
      <c r="N13" s="798"/>
      <c r="O13" s="669"/>
      <c r="P13" s="669"/>
      <c r="Q13" s="669"/>
      <c r="R13" s="681"/>
      <c r="S13" s="796"/>
      <c r="T13" s="800"/>
      <c r="U13" s="669"/>
      <c r="V13" s="800"/>
      <c r="W13" s="669"/>
      <c r="X13" s="669"/>
      <c r="Y13" s="669"/>
      <c r="Z13" s="669"/>
      <c r="AA13" s="669"/>
      <c r="AB13" s="794"/>
      <c r="AC13" s="878"/>
      <c r="AD13" s="885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>
        <v>8</v>
      </c>
      <c r="G14" s="498">
        <f>4+5</f>
        <v>9</v>
      </c>
      <c r="H14" s="498">
        <v>7</v>
      </c>
      <c r="I14" s="498">
        <f>2+5</f>
        <v>7</v>
      </c>
      <c r="J14" s="498">
        <v>7</v>
      </c>
      <c r="K14" s="498">
        <v>8</v>
      </c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54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5.508160237388724</v>
      </c>
      <c r="AI15" s="502"/>
      <c r="AJ15" s="503"/>
      <c r="AK15" s="291"/>
      <c r="AL15" s="291"/>
      <c r="AM15" s="291"/>
      <c r="AN15" s="291"/>
      <c r="AO15" s="795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>
        <f>+'Water '!$D11</f>
        <v>73</v>
      </c>
      <c r="G20" s="508">
        <f>+'Water '!$D12</f>
        <v>250</v>
      </c>
      <c r="H20" s="508">
        <f>+'Water '!$D13</f>
        <v>234</v>
      </c>
      <c r="I20" s="508">
        <f>+'Water '!$D14</f>
        <v>359</v>
      </c>
      <c r="J20" s="509">
        <f>+'Water '!$D15</f>
        <v>378</v>
      </c>
      <c r="K20" s="509">
        <f>+'Water '!$D16</f>
        <v>155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1700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>
        <f>+'Water '!$E11</f>
        <v>69</v>
      </c>
      <c r="G21" s="511">
        <f>+'Water '!$E12</f>
        <v>92</v>
      </c>
      <c r="H21" s="511">
        <f>+'Water '!$E13</f>
        <v>147</v>
      </c>
      <c r="I21" s="511">
        <f>+'Water '!$E14</f>
        <v>90</v>
      </c>
      <c r="J21" s="511">
        <f>+'Water '!$E15</f>
        <v>261</v>
      </c>
      <c r="K21" s="511">
        <f>+'Water '!$E16</f>
        <v>160</v>
      </c>
      <c r="L21" s="511">
        <f>+'Water '!$E17</f>
        <v>3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1309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142</v>
      </c>
      <c r="G22" s="514">
        <f t="shared" si="3"/>
        <v>342</v>
      </c>
      <c r="H22" s="514">
        <f t="shared" si="3"/>
        <v>381</v>
      </c>
      <c r="I22" s="514">
        <f>SUM(I19:I21)</f>
        <v>449</v>
      </c>
      <c r="J22" s="514">
        <f>SUM(J19:J21)</f>
        <v>639</v>
      </c>
      <c r="K22" s="514">
        <f t="shared" si="3"/>
        <v>315</v>
      </c>
      <c r="L22" s="514">
        <f>SUM(L19:L21)</f>
        <v>3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3009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123.36999999999999</v>
      </c>
      <c r="H26" s="485">
        <f t="shared" si="4"/>
        <v>110.23</v>
      </c>
      <c r="I26" s="485">
        <f t="shared" si="4"/>
        <v>151.10999999999999</v>
      </c>
      <c r="J26" s="521">
        <f t="shared" si="4"/>
        <v>115.34</v>
      </c>
      <c r="K26" s="521">
        <f>0.73*(K71+K19)</f>
        <v>124.1</v>
      </c>
      <c r="L26" s="521">
        <f t="shared" si="4"/>
        <v>3.65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1046.0900000000001</v>
      </c>
      <c r="AI26" s="523">
        <f>AH29+AH45+AH36</f>
        <v>3301</v>
      </c>
      <c r="AK26" s="524">
        <f>(AI26*10)/AH9</f>
        <v>13.69184140459296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186</v>
      </c>
      <c r="G29" s="508">
        <f>'Water '!H12</f>
        <v>203</v>
      </c>
      <c r="H29" s="508">
        <f>'Water '!H13</f>
        <v>219</v>
      </c>
      <c r="I29" s="508">
        <f>'Water '!H14</f>
        <v>218</v>
      </c>
      <c r="J29" s="509">
        <f>'Water '!H15</f>
        <v>206</v>
      </c>
      <c r="K29" s="509">
        <f>'Water '!H16</f>
        <v>57</v>
      </c>
      <c r="L29" s="509">
        <f>'Water '!H17</f>
        <v>43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1663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>
        <f t="shared" si="5"/>
        <v>182</v>
      </c>
      <c r="G30" s="508">
        <f t="shared" si="5"/>
        <v>234</v>
      </c>
      <c r="H30" s="508">
        <f>H36</f>
        <v>227</v>
      </c>
      <c r="I30" s="508">
        <f t="shared" si="5"/>
        <v>187</v>
      </c>
      <c r="J30" s="509">
        <f t="shared" si="5"/>
        <v>192</v>
      </c>
      <c r="K30" s="509">
        <f t="shared" si="5"/>
        <v>162</v>
      </c>
      <c r="L30" s="509">
        <f t="shared" si="5"/>
        <v>18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1485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>
        <f t="shared" si="6"/>
        <v>20</v>
      </c>
      <c r="G31" s="508">
        <f t="shared" si="6"/>
        <v>16</v>
      </c>
      <c r="H31" s="508">
        <f t="shared" si="6"/>
        <v>16</v>
      </c>
      <c r="I31" s="508">
        <f t="shared" si="6"/>
        <v>17</v>
      </c>
      <c r="J31" s="509">
        <f>J45</f>
        <v>24</v>
      </c>
      <c r="K31" s="509">
        <f>K45</f>
        <v>11</v>
      </c>
      <c r="L31" s="509">
        <f t="shared" si="6"/>
        <v>9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153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388</v>
      </c>
      <c r="G32" s="526">
        <f t="shared" si="7"/>
        <v>453</v>
      </c>
      <c r="H32" s="526">
        <f t="shared" si="7"/>
        <v>462</v>
      </c>
      <c r="I32" s="526">
        <f t="shared" si="7"/>
        <v>422</v>
      </c>
      <c r="J32" s="527">
        <f t="shared" si="7"/>
        <v>422</v>
      </c>
      <c r="K32" s="527">
        <f>SUM(K28:K31)</f>
        <v>230</v>
      </c>
      <c r="L32" s="527">
        <f t="shared" si="7"/>
        <v>70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3301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>
        <f>+'Water '!$J11</f>
        <v>182</v>
      </c>
      <c r="G36" s="535">
        <f>+'Water '!$J12</f>
        <v>234</v>
      </c>
      <c r="H36" s="508">
        <f>+'Water '!$J13</f>
        <v>227</v>
      </c>
      <c r="I36" s="535">
        <f>+'Water '!$J14</f>
        <v>187</v>
      </c>
      <c r="J36" s="535">
        <f>+'Water '!$J15</f>
        <v>192</v>
      </c>
      <c r="K36" s="535">
        <f>+'Water '!$J16</f>
        <v>162</v>
      </c>
      <c r="L36" s="508">
        <f>+'Water '!$J17</f>
        <v>18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1485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>
        <f>+'Water '!$N11</f>
        <v>38</v>
      </c>
      <c r="G41" s="539">
        <f>+'Water '!$N12</f>
        <v>39</v>
      </c>
      <c r="H41" s="539">
        <f>+'Water '!$N13</f>
        <v>50</v>
      </c>
      <c r="I41" s="539">
        <f>+'Water '!$N14</f>
        <v>67</v>
      </c>
      <c r="J41" s="539">
        <f>+'Water '!$N15</f>
        <v>41</v>
      </c>
      <c r="K41" s="539">
        <f>+'Water '!$N16</f>
        <v>5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343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>
        <f>+'Water '!$O11</f>
        <v>112</v>
      </c>
      <c r="G42" s="508">
        <f>+'Water '!$O12</f>
        <v>99</v>
      </c>
      <c r="H42" s="508">
        <f>+'Water '!$O13</f>
        <v>91</v>
      </c>
      <c r="I42" s="508">
        <f>+'Water '!$O14</f>
        <v>89</v>
      </c>
      <c r="J42" s="508">
        <f>+'Water '!$O15</f>
        <v>76</v>
      </c>
      <c r="K42" s="508">
        <f>+'Water '!$O16</f>
        <v>5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652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>
        <v>17</v>
      </c>
      <c r="G43" s="542">
        <v>17</v>
      </c>
      <c r="H43" s="542">
        <v>17</v>
      </c>
      <c r="I43" s="542">
        <v>18</v>
      </c>
      <c r="J43" s="542">
        <v>14</v>
      </c>
      <c r="K43" s="542">
        <v>1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115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>
        <f>+'Water '!$M11</f>
        <v>1</v>
      </c>
      <c r="G44" s="508">
        <f>+'Water '!$M12</f>
        <v>3</v>
      </c>
      <c r="H44" s="508">
        <f>+'Water '!$M13</f>
        <v>3</v>
      </c>
      <c r="I44" s="508">
        <f>+'Water '!$M14</f>
        <v>4</v>
      </c>
      <c r="J44" s="508">
        <f>+'Water '!$M15</f>
        <v>3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19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>
        <f>+'Water '!$Q11</f>
        <v>20</v>
      </c>
      <c r="G45" s="539">
        <f>+'Water '!$Q12</f>
        <v>16</v>
      </c>
      <c r="H45" s="539">
        <f>+'Water '!$Q13</f>
        <v>16</v>
      </c>
      <c r="I45" s="539">
        <f>+'Water '!$Q14</f>
        <v>17</v>
      </c>
      <c r="J45" s="539">
        <f>+'Water '!$Q15</f>
        <v>24</v>
      </c>
      <c r="K45" s="539">
        <f>+'Water '!$Q16</f>
        <v>11</v>
      </c>
      <c r="L45" s="539">
        <f>+'Water '!$Q17</f>
        <v>9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153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370</v>
      </c>
      <c r="G50" s="484">
        <f>SUM(G36:G48)</f>
        <v>408</v>
      </c>
      <c r="H50" s="484">
        <f t="shared" si="8"/>
        <v>404</v>
      </c>
      <c r="I50" s="484">
        <f t="shared" si="8"/>
        <v>382</v>
      </c>
      <c r="J50" s="484">
        <f t="shared" si="8"/>
        <v>350</v>
      </c>
      <c r="K50" s="484">
        <f t="shared" si="8"/>
        <v>184</v>
      </c>
      <c r="L50" s="484">
        <f t="shared" si="8"/>
        <v>27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2767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>
        <f t="shared" si="9"/>
        <v>5.5742384426435363</v>
      </c>
      <c r="G54" s="545">
        <f>IF(G$9=0,"",+(G36*10)/G$9)</f>
        <v>6.5510985688369283</v>
      </c>
      <c r="H54" s="545">
        <f>IF(H$9=0,"",+(H36*10)/H$9)</f>
        <v>5.5852451110651824</v>
      </c>
      <c r="I54" s="545">
        <f t="shared" ref="I54:AF54" si="10">IF(I$9=0,"",+(I36*10)/I$9)</f>
        <v>5.1769291674279794</v>
      </c>
      <c r="J54" s="545">
        <f t="shared" si="10"/>
        <v>6.2239856848329245</v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6.1594621283915618</v>
      </c>
      <c r="AI54" s="546">
        <v>3.2</v>
      </c>
      <c r="AJ54" s="547">
        <f t="shared" ref="AJ54:AJ67" si="11">AI54-AH54</f>
        <v>-2.9594621283915616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>
        <f t="shared" si="14"/>
        <v>0</v>
      </c>
      <c r="G56" s="545">
        <f t="shared" ref="G56:H63" si="15">IF(G$9=0,"",+(G38*10)/G$9)</f>
        <v>0</v>
      </c>
      <c r="H56" s="545">
        <f t="shared" si="15"/>
        <v>0</v>
      </c>
      <c r="I56" s="545">
        <f t="shared" ref="I56:AF56" si="16">IF(I$9=0,"",+(I38*10)/I$9)</f>
        <v>0</v>
      </c>
      <c r="J56" s="545">
        <f t="shared" si="16"/>
        <v>0</v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>
        <f t="shared" si="14"/>
        <v>0</v>
      </c>
      <c r="G57" s="549">
        <f t="shared" si="15"/>
        <v>0</v>
      </c>
      <c r="H57" s="549">
        <f t="shared" si="15"/>
        <v>0</v>
      </c>
      <c r="I57" s="549">
        <f t="shared" ref="I57:AE57" si="19">IF(I$9=0,"",+(I39*10)/I$9)</f>
        <v>0</v>
      </c>
      <c r="J57" s="549">
        <f t="shared" si="19"/>
        <v>0</v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>
        <f t="shared" si="14"/>
        <v>0</v>
      </c>
      <c r="G58" s="545">
        <f t="shared" si="15"/>
        <v>0</v>
      </c>
      <c r="H58" s="545">
        <f t="shared" si="15"/>
        <v>0</v>
      </c>
      <c r="I58" s="545">
        <f t="shared" ref="I58:AF58" si="20">IF(I$9=0,"",+(I40*10)/I$9)</f>
        <v>0</v>
      </c>
      <c r="J58" s="545">
        <f t="shared" si="20"/>
        <v>0</v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>
        <f t="shared" si="14"/>
        <v>1.1638519825299691</v>
      </c>
      <c r="G59" s="549">
        <f t="shared" si="15"/>
        <v>1.0918497614728213</v>
      </c>
      <c r="H59" s="549">
        <f t="shared" si="15"/>
        <v>1.2302302006751504</v>
      </c>
      <c r="I59" s="549">
        <f t="shared" ref="I59:AF59" si="21">IF(I$9=0,"",+(I41*10)/I$9)</f>
        <v>1.8548355840517359</v>
      </c>
      <c r="J59" s="549">
        <f t="shared" si="21"/>
        <v>1.3290802764486973</v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1.4226905791503743</v>
      </c>
      <c r="AI59" s="550">
        <v>0.7</v>
      </c>
      <c r="AJ59" s="551">
        <f t="shared" si="11"/>
        <v>-0.72269057915037438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>
        <f t="shared" si="14"/>
        <v>3.4303005800883302</v>
      </c>
      <c r="G60" s="545">
        <f t="shared" si="15"/>
        <v>2.7716186252771617</v>
      </c>
      <c r="H60" s="545">
        <f t="shared" si="15"/>
        <v>2.2390189652287735</v>
      </c>
      <c r="I60" s="545">
        <f t="shared" ref="I60:AF60" si="22">IF(I$9=0,"",+(I42*10)/I$9)</f>
        <v>2.4638860743373807</v>
      </c>
      <c r="J60" s="545">
        <f t="shared" si="22"/>
        <v>2.4636610002463657</v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2.7043564361692245</v>
      </c>
      <c r="AI60" s="555">
        <v>2.1</v>
      </c>
      <c r="AJ60" s="547">
        <f t="shared" si="11"/>
        <v>-0.60435643616922441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>
        <f t="shared" si="14"/>
        <v>0.52067062376340723</v>
      </c>
      <c r="G61" s="549">
        <f t="shared" si="15"/>
        <v>0.47593451141122983</v>
      </c>
      <c r="H61" s="549">
        <f t="shared" si="15"/>
        <v>0.41827826822955111</v>
      </c>
      <c r="I61" s="549">
        <f t="shared" ref="I61:AF61" si="23">IF(I$9=0,"",+(I43*10)/I$9)</f>
        <v>0.49831403750643655</v>
      </c>
      <c r="J61" s="549">
        <f t="shared" si="23"/>
        <v>0.4538322895190674</v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0.47699538368015465</v>
      </c>
      <c r="AI61" s="550">
        <v>0.7</v>
      </c>
      <c r="AJ61" s="551">
        <f t="shared" si="11"/>
        <v>0.22300461631984531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>
        <f t="shared" si="14"/>
        <v>3.0627683750788663E-2</v>
      </c>
      <c r="G62" s="545">
        <f t="shared" si="15"/>
        <v>8.3988443190217019E-2</v>
      </c>
      <c r="H62" s="545">
        <f t="shared" si="15"/>
        <v>7.3813812040509019E-2</v>
      </c>
      <c r="I62" s="545">
        <f t="shared" ref="I62:AF62" si="24">IF(I$9=0,"",+(I44*10)/I$9)</f>
        <v>0.11073645277920811</v>
      </c>
      <c r="J62" s="545">
        <f t="shared" si="24"/>
        <v>9.7249776325514445E-2</v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7.8807932955851631E-2</v>
      </c>
      <c r="AI62" s="555">
        <v>0.1</v>
      </c>
      <c r="AJ62" s="547">
        <f t="shared" si="11"/>
        <v>2.1192067044148374E-2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>
        <f t="shared" si="25"/>
        <v>0.61255367501577329</v>
      </c>
      <c r="G63" s="569">
        <f t="shared" si="15"/>
        <v>0.44793836368115747</v>
      </c>
      <c r="H63" s="569">
        <f t="shared" si="15"/>
        <v>0.3936736642160481</v>
      </c>
      <c r="I63" s="569">
        <f t="shared" si="25"/>
        <v>0.47062992431163453</v>
      </c>
      <c r="J63" s="569">
        <f t="shared" si="25"/>
        <v>0.77799821060411556</v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0.63461124959185788</v>
      </c>
      <c r="AI63" s="550">
        <v>0.6</v>
      </c>
      <c r="AJ63" s="551">
        <f t="shared" si="11"/>
        <v>-3.4611249591857907E-2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>
        <f t="shared" si="26"/>
        <v>0</v>
      </c>
      <c r="G65" s="575">
        <f>IF(G$9=0,"",+(G46*10)/G$9)</f>
        <v>0</v>
      </c>
      <c r="H65" s="549">
        <f>IF(H$9=0,"",+(H46*10)/H$9)</f>
        <v>0</v>
      </c>
      <c r="I65" s="549">
        <f t="shared" si="26"/>
        <v>0</v>
      </c>
      <c r="J65" s="549">
        <f>IF(J$9=0,"",+(J46*10)/J$9)</f>
        <v>0</v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11.332242987791805</v>
      </c>
      <c r="G68" s="584">
        <f t="shared" si="27"/>
        <v>11.422428273869516</v>
      </c>
      <c r="H68" s="584">
        <f t="shared" si="27"/>
        <v>9.940260021455213</v>
      </c>
      <c r="I68" s="584">
        <f t="shared" si="27"/>
        <v>10.575331240414375</v>
      </c>
      <c r="J68" s="585">
        <f t="shared" si="27"/>
        <v>11.345807237976683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11.476923709939026</v>
      </c>
      <c r="AI68" s="584">
        <f>SUM(AI54:AI63,AI65)</f>
        <v>9.6</v>
      </c>
      <c r="AJ68" s="547">
        <f t="shared" si="27"/>
        <v>-1.8769237099390239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3.9815988876025261</v>
      </c>
      <c r="G69" s="587">
        <f t="shared" si="28"/>
        <v>3.3315415798786088</v>
      </c>
      <c r="H69" s="587">
        <f t="shared" si="28"/>
        <v>2.7311110454988334</v>
      </c>
      <c r="I69" s="587">
        <f t="shared" si="28"/>
        <v>3.0729365646230251</v>
      </c>
      <c r="J69" s="588">
        <f t="shared" si="28"/>
        <v>3.0147430660909476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3.2601597528052308</v>
      </c>
      <c r="AI69" s="587">
        <f t="shared" si="28"/>
        <v>2.9</v>
      </c>
      <c r="AJ69" s="587">
        <f t="shared" si="28"/>
        <v>-0.36015975280523072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>
        <f>+'Water '!$F12</f>
        <v>169</v>
      </c>
      <c r="H71" s="592">
        <f>+'Water '!$F13</f>
        <v>151</v>
      </c>
      <c r="I71" s="592">
        <f>+'Water '!$F14</f>
        <v>207</v>
      </c>
      <c r="J71" s="593">
        <f>+'Water '!$F15</f>
        <v>158</v>
      </c>
      <c r="K71" s="593">
        <f>+'Water '!$F16</f>
        <v>170</v>
      </c>
      <c r="L71" s="593">
        <f>+'Water '!$F17</f>
        <v>5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1433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79" t="s">
        <v>220</v>
      </c>
      <c r="B74" s="791">
        <v>1600</v>
      </c>
      <c r="C74" s="888">
        <v>1200</v>
      </c>
      <c r="D74" s="895">
        <v>0</v>
      </c>
      <c r="E74" s="895">
        <v>0</v>
      </c>
      <c r="F74" s="895">
        <v>1600</v>
      </c>
      <c r="G74" s="895">
        <v>1500</v>
      </c>
      <c r="H74" s="895">
        <v>1400</v>
      </c>
      <c r="I74" s="896">
        <f>2200+800</f>
        <v>3000</v>
      </c>
      <c r="J74" s="877">
        <v>1700</v>
      </c>
      <c r="K74" s="877">
        <v>800</v>
      </c>
      <c r="L74" s="877">
        <v>0</v>
      </c>
      <c r="M74" s="1027">
        <v>0</v>
      </c>
      <c r="N74" s="877"/>
      <c r="O74" s="877"/>
      <c r="P74" s="877"/>
      <c r="Q74" s="791"/>
      <c r="R74" s="877"/>
      <c r="S74" s="790"/>
      <c r="T74" s="790"/>
      <c r="U74" s="790"/>
      <c r="V74" s="790"/>
      <c r="W74" s="883"/>
      <c r="X74" s="877"/>
      <c r="Y74" s="877"/>
      <c r="Z74" s="877"/>
      <c r="AA74" s="877"/>
      <c r="AB74" s="877"/>
      <c r="AC74" s="877"/>
      <c r="AD74" s="877"/>
      <c r="AE74" s="877"/>
      <c r="AF74" s="877"/>
      <c r="AG74" s="895">
        <v>0</v>
      </c>
      <c r="AH74" s="516">
        <f>SUM(B74:AF74)</f>
        <v>12800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0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>
        <v>1583.3100000000559</v>
      </c>
      <c r="G75" s="601">
        <v>1503.5599999999395</v>
      </c>
      <c r="H75" s="601">
        <v>1416.1900000000605</v>
      </c>
      <c r="I75" s="601">
        <v>1771.5</v>
      </c>
      <c r="J75" s="601">
        <v>1532</v>
      </c>
      <c r="K75" s="601">
        <v>360.76999999990221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1" t="str">
        <v>0</v>
      </c>
      <c r="AG75" s="599"/>
      <c r="AH75" s="516">
        <f>SUM(B75:AF75)</f>
        <v>10888.429999999935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2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>
        <v>178.82000000000698</v>
      </c>
      <c r="G76" s="604">
        <v>201.50999999999476</v>
      </c>
      <c r="H76" s="604">
        <v>220.41000000000349</v>
      </c>
      <c r="I76" s="604">
        <v>223.17999999999302</v>
      </c>
      <c r="J76" s="604">
        <v>180.90000000000873</v>
      </c>
      <c r="K76" s="604">
        <v>5.0899999999965075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3" t="str">
        <v>0</v>
      </c>
      <c r="AG76" s="604"/>
      <c r="AH76" s="604">
        <f>SUM($B76:AF76)</f>
        <v>1350.3500000000058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4" t="s">
        <v>292</v>
      </c>
      <c r="B77" s="785" cm="1">
        <f t="array" ref="B77:AF77">TRANSPOSE('CO2'!C7:C37)</f>
        <v>564.13000000000466</v>
      </c>
      <c r="C77" s="785">
        <v>475.41000000000349</v>
      </c>
      <c r="D77" s="785" t="str">
        <v>0</v>
      </c>
      <c r="E77" s="785" t="str">
        <v>0</v>
      </c>
      <c r="F77" s="785">
        <v>407.7899999999936</v>
      </c>
      <c r="G77" s="785">
        <v>467.24000000000524</v>
      </c>
      <c r="H77" s="785">
        <v>304.72000000000116</v>
      </c>
      <c r="I77" s="785">
        <v>777.58000000000175</v>
      </c>
      <c r="J77" s="607">
        <v>439.67999999999302</v>
      </c>
      <c r="K77" s="607">
        <v>327.55000000000291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86" t="str">
        <v>0</v>
      </c>
      <c r="AG77" s="607"/>
      <c r="AH77" s="604">
        <f>SUM($B77:AF77)</f>
        <v>3764.1000000000058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87" t="s">
        <v>293</v>
      </c>
      <c r="B78" s="788">
        <f>B75-B76-B77</f>
        <v>821.00999999996566</v>
      </c>
      <c r="C78" s="788">
        <f t="shared" ref="C78:T78" si="29">C75-C76-C77</f>
        <v>520.11000000000058</v>
      </c>
      <c r="D78" s="788">
        <f t="shared" si="29"/>
        <v>0</v>
      </c>
      <c r="E78" s="788">
        <f t="shared" si="29"/>
        <v>0</v>
      </c>
      <c r="F78" s="788">
        <f t="shared" si="29"/>
        <v>996.7000000000553</v>
      </c>
      <c r="G78" s="788">
        <f t="shared" si="29"/>
        <v>834.80999999993946</v>
      </c>
      <c r="H78" s="788">
        <f t="shared" si="29"/>
        <v>891.06000000005588</v>
      </c>
      <c r="I78" s="788">
        <f t="shared" si="29"/>
        <v>770.74000000000524</v>
      </c>
      <c r="J78" s="788">
        <f t="shared" si="29"/>
        <v>911.41999999999825</v>
      </c>
      <c r="K78" s="788">
        <f t="shared" si="29"/>
        <v>28.129999999902793</v>
      </c>
      <c r="L78" s="788">
        <f t="shared" si="29"/>
        <v>0</v>
      </c>
      <c r="M78" s="788">
        <f t="shared" si="29"/>
        <v>0</v>
      </c>
      <c r="N78" s="788">
        <f t="shared" si="29"/>
        <v>0</v>
      </c>
      <c r="O78" s="788">
        <f t="shared" si="29"/>
        <v>0</v>
      </c>
      <c r="P78" s="788">
        <f t="shared" si="29"/>
        <v>0</v>
      </c>
      <c r="Q78" s="788">
        <f t="shared" si="29"/>
        <v>0</v>
      </c>
      <c r="R78" s="788">
        <f t="shared" si="29"/>
        <v>0</v>
      </c>
      <c r="S78" s="788">
        <f t="shared" si="29"/>
        <v>0</v>
      </c>
      <c r="T78" s="788">
        <f t="shared" si="29"/>
        <v>0</v>
      </c>
      <c r="U78" s="788">
        <f>U75-U76-U77</f>
        <v>0</v>
      </c>
      <c r="V78" s="788">
        <f>V75-V76-V77</f>
        <v>0</v>
      </c>
      <c r="W78" s="882">
        <f t="shared" ref="W78:AB78" si="30">W75-W76-W77</f>
        <v>0</v>
      </c>
      <c r="X78" s="788">
        <f t="shared" si="30"/>
        <v>0</v>
      </c>
      <c r="Y78" s="788">
        <f t="shared" si="30"/>
        <v>0</v>
      </c>
      <c r="Z78" s="788">
        <f t="shared" si="30"/>
        <v>0</v>
      </c>
      <c r="AA78" s="788">
        <f t="shared" si="30"/>
        <v>0</v>
      </c>
      <c r="AB78" s="788">
        <f t="shared" si="30"/>
        <v>0</v>
      </c>
      <c r="AC78" s="788">
        <f>AC75-AC76-AC77</f>
        <v>0</v>
      </c>
      <c r="AD78" s="788">
        <f t="shared" ref="AD78:AE78" si="31">AD75-AD76-AD77</f>
        <v>0</v>
      </c>
      <c r="AE78" s="788">
        <f t="shared" si="31"/>
        <v>0</v>
      </c>
      <c r="AF78" s="789">
        <f>AF75-AF76-AF77</f>
        <v>0</v>
      </c>
      <c r="AG78" s="485">
        <f t="shared" ref="AG78" si="32">AG75-AG76-AG77</f>
        <v>0</v>
      </c>
      <c r="AH78" s="484">
        <f>AH75-AH76-AH77</f>
        <v>5773.9799999999232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1583.3100000000559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1771.5</v>
      </c>
      <c r="J79" s="610">
        <f>'Daily KPIs CO2'!J47</f>
        <v>1532</v>
      </c>
      <c r="K79" s="610">
        <f>'Daily KPIs CO2'!K47</f>
        <v>360.76999999990221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4774</v>
      </c>
      <c r="G80" s="612">
        <v>7226</v>
      </c>
      <c r="H80" s="612">
        <v>6606</v>
      </c>
      <c r="I80" s="612">
        <v>7587</v>
      </c>
      <c r="J80" s="612">
        <v>6341</v>
      </c>
      <c r="K80" s="613">
        <v>4500</v>
      </c>
      <c r="L80" s="613">
        <v>2914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62240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6195</v>
      </c>
      <c r="E82" s="614">
        <v>8427.9</v>
      </c>
      <c r="F82" s="614">
        <v>7952.2</v>
      </c>
      <c r="G82" s="614">
        <v>8945.1</v>
      </c>
      <c r="H82" s="614">
        <v>7714.4</v>
      </c>
      <c r="I82" s="614">
        <v>6067.4</v>
      </c>
      <c r="J82" s="617">
        <v>4033.5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75752.199999999983</v>
      </c>
      <c r="AF82" s="617">
        <v>0</v>
      </c>
      <c r="AG82" s="617"/>
      <c r="AH82" s="594">
        <f>SUM(B82:AF82)</f>
        <v>134417.59999999998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2" customFormat="1" x14ac:dyDescent="0.4">
      <c r="A83" s="793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1421</v>
      </c>
      <c r="G83" s="594">
        <v>1201.9000000000001</v>
      </c>
      <c r="H83" s="594">
        <v>1346.2</v>
      </c>
      <c r="I83" s="594">
        <v>1358.1</v>
      </c>
      <c r="J83" s="621">
        <v>1373.4</v>
      </c>
      <c r="K83" s="621">
        <v>1567.4</v>
      </c>
      <c r="L83" s="621">
        <v>1119.5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13512.199999999999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 cm="1">
        <f t="array" ref="B84:AF84">TRANSPOSE('Fuel '!D7:D37)</f>
        <v>3317.1999999999534</v>
      </c>
      <c r="C84" s="619">
        <v>2235.1000000000931</v>
      </c>
      <c r="D84" s="619">
        <v>238.30000000004657</v>
      </c>
      <c r="E84" s="619">
        <v>334.89999999990687</v>
      </c>
      <c r="F84" s="619">
        <v>3351.6000000000931</v>
      </c>
      <c r="G84" s="619">
        <v>2654.6999999999534</v>
      </c>
      <c r="H84" s="619">
        <v>2750.5999999998603</v>
      </c>
      <c r="I84" s="619">
        <v>2970.8000000000466</v>
      </c>
      <c r="J84" s="620">
        <v>2906.1999999999534</v>
      </c>
      <c r="K84" s="620">
        <v>1549.5</v>
      </c>
      <c r="L84" s="620">
        <v>542.10000000009313</v>
      </c>
      <c r="M84" s="620" t="str">
        <v>0</v>
      </c>
      <c r="N84" s="620" t="str">
        <v>0</v>
      </c>
      <c r="O84" s="620" t="str">
        <v>0</v>
      </c>
      <c r="P84" s="620" t="str">
        <v>0</v>
      </c>
      <c r="Q84" s="620" t="str">
        <v>0</v>
      </c>
      <c r="R84" s="620" t="str">
        <v>0</v>
      </c>
      <c r="S84" s="620" t="str">
        <v>0</v>
      </c>
      <c r="T84" s="620" t="str">
        <v>0</v>
      </c>
      <c r="U84" s="620" t="str">
        <v>0</v>
      </c>
      <c r="V84" s="620" t="str">
        <v>0</v>
      </c>
      <c r="W84" s="620" t="str">
        <v>0</v>
      </c>
      <c r="X84" s="620" t="str">
        <v>0</v>
      </c>
      <c r="Y84" s="620" t="str">
        <v>0</v>
      </c>
      <c r="Z84" s="620" t="str">
        <v>0</v>
      </c>
      <c r="AA84" s="620" t="str">
        <v>0</v>
      </c>
      <c r="AB84" s="620" t="str">
        <v>0</v>
      </c>
      <c r="AC84" s="620" t="str">
        <v>0</v>
      </c>
      <c r="AD84" s="620" t="str">
        <v>0</v>
      </c>
      <c r="AE84" s="620" t="str">
        <v>0</v>
      </c>
      <c r="AF84" s="620" t="str">
        <v>0</v>
      </c>
      <c r="AG84" s="620"/>
      <c r="AH84" s="621">
        <f>SUM($B84:AF84)</f>
        <v>22851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>
        <f>'Steam Mass Flow '!B10</f>
        <v>116.67799999937415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116.67799999937415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>
        <f t="shared" si="33"/>
        <v>4.3491310926119899</v>
      </c>
      <c r="G90" s="653">
        <f>IF(G$9=0,"",+(G22*10)/G$9)</f>
        <v>9.574682523684741</v>
      </c>
      <c r="H90" s="653">
        <f>IF(H$9=0,"",+(H22*10)/H$9)</f>
        <v>9.3743541291446455</v>
      </c>
      <c r="I90" s="653">
        <f t="shared" si="33"/>
        <v>12.430166824466111</v>
      </c>
      <c r="J90" s="653">
        <f t="shared" si="33"/>
        <v>20.714202357334575</v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12.480687908639872</v>
      </c>
      <c r="AI90" s="662">
        <v>10.199999999999999</v>
      </c>
      <c r="AJ90" s="665">
        <f>+AI90-AH90</f>
        <v>-2.280687908639873</v>
      </c>
      <c r="AK90" s="667">
        <f>AH90/AI90*100</f>
        <v>122.35968537882229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4.232266802099204</v>
      </c>
      <c r="D92" s="653" t="str">
        <f t="shared" si="35"/>
        <v/>
      </c>
      <c r="E92" s="653" t="str">
        <f t="shared" si="35"/>
        <v/>
      </c>
      <c r="F92" s="653">
        <f t="shared" si="35"/>
        <v>4.9004294001261863</v>
      </c>
      <c r="G92" s="653">
        <f>IF(G$9=0,"",+G74/G$9)</f>
        <v>4.199422159510851</v>
      </c>
      <c r="H92" s="653">
        <f>IF(H$9=0,"",+H74/H$9)</f>
        <v>3.4446445618904211</v>
      </c>
      <c r="I92" s="653">
        <f t="shared" si="35"/>
        <v>8.3052339584406081</v>
      </c>
      <c r="J92" s="653">
        <f t="shared" si="35"/>
        <v>5.5108206584458186</v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5.3091660096573738</v>
      </c>
      <c r="AI92" s="674">
        <v>5</v>
      </c>
      <c r="AJ92" s="675">
        <f>AI92-AH92</f>
        <v>-0.30916600965737384</v>
      </c>
      <c r="AK92" s="673">
        <f t="shared" si="34"/>
        <v>106.18332019314747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>
        <f t="shared" si="36"/>
        <v>0.54768424083162426</v>
      </c>
      <c r="G93" s="653">
        <f>IF(G$9=0,"",+G76/G$9)</f>
        <v>0.56415037290867309</v>
      </c>
      <c r="H93" s="653">
        <f>IF(H$9=0,"",+H76/H$9)</f>
        <v>0.54231007706162837</v>
      </c>
      <c r="I93" s="653">
        <f t="shared" si="36"/>
        <v>0.61785403828157237</v>
      </c>
      <c r="J93" s="653">
        <f t="shared" si="36"/>
        <v>0.58641615124288038</v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0.56009627508913007</v>
      </c>
      <c r="AI93" s="674">
        <v>1.7</v>
      </c>
      <c r="AJ93" s="676">
        <f>AI93-AH93</f>
        <v>1.1399037249108699</v>
      </c>
      <c r="AK93" s="673">
        <f t="shared" si="34"/>
        <v>32.9468397111253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>
        <f t="shared" si="37"/>
        <v>18.973850083613577</v>
      </c>
      <c r="G94" s="653">
        <f>IF(G$9=0,"",(G80+G83)/G$9)</f>
        <v>23.594873345427668</v>
      </c>
      <c r="H94" s="653">
        <f>IF(H$9=0,"",(H80+H83)/H$9)</f>
        <v>19.566073203617862</v>
      </c>
      <c r="I94" s="653">
        <f t="shared" si="37"/>
        <v>24.763716093882365</v>
      </c>
      <c r="J94" s="653">
        <f t="shared" si="37"/>
        <v>25.007455816184951</v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31.420391046622441</v>
      </c>
      <c r="AI94" s="674">
        <v>22</v>
      </c>
      <c r="AJ94" s="675">
        <f>AI94-AH94</f>
        <v>-9.4203910466224414</v>
      </c>
      <c r="AK94" s="673">
        <f>AH94/AI94*100</f>
        <v>142.81995930282926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23.949233090969589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9.0248032455772513</v>
      </c>
      <c r="C96" s="653">
        <f t="shared" si="38"/>
        <v>7.8829496078102714</v>
      </c>
      <c r="D96" s="654" t="str">
        <f t="shared" si="38"/>
        <v/>
      </c>
      <c r="E96" s="653" t="str">
        <f t="shared" si="38"/>
        <v/>
      </c>
      <c r="F96" s="653">
        <f t="shared" si="38"/>
        <v>10.265174485914613</v>
      </c>
      <c r="G96" s="653">
        <f>IF(G$9=0,"",G84/G$9)</f>
        <v>7.4321373379021738</v>
      </c>
      <c r="H96" s="654">
        <f>IF(H$9=0,"",H84/H$9)</f>
        <v>6.767742379953793</v>
      </c>
      <c r="I96" s="654">
        <f t="shared" si="38"/>
        <v>8.2243963479119166</v>
      </c>
      <c r="J96" s="654">
        <f t="shared" ref="J96:AE96" si="39">IF(J$9=0,"",J84/J$9)</f>
        <v>9.4209099985735172</v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9.4781056630219247</v>
      </c>
      <c r="AI96" s="663">
        <v>7.2</v>
      </c>
      <c r="AJ96" s="677">
        <f>AI96-AH96</f>
        <v>-2.2781056630219245</v>
      </c>
      <c r="AK96" s="668">
        <f t="shared" si="34"/>
        <v>131.64035643086007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407.7899999999936</v>
      </c>
      <c r="G103" s="649">
        <f>IF('Entries October 2026'!L12-'Entries October 2026'!L11&lt;1,0,'Entries October 2026'!L12-'Entries October 2026'!L11)</f>
        <v>467.24000000000524</v>
      </c>
      <c r="H103" s="649">
        <f>IF('Entries October 2026'!M12-'Entries October 2026'!L12&lt;1,0,'Entries October 2026'!M12-'Entries October 2026'!L12)</f>
        <v>547620.29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439.67999999999302</v>
      </c>
      <c r="K103" s="650">
        <f>IF('Entries October 2026'!L16-'Entries October 2026'!L15&lt;1,0,'Entries October 2026'!L16-'Entries October 2026'!L15)</f>
        <v>327.55000000000291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>
        <f t="shared" si="41"/>
        <v>0</v>
      </c>
      <c r="G105" s="651" t="s">
        <v>55</v>
      </c>
      <c r="H105" s="651">
        <f t="shared" si="41"/>
        <v>0</v>
      </c>
      <c r="I105" s="651" t="str">
        <f>IF(I103=0,"",I104/I103)</f>
        <v/>
      </c>
      <c r="J105" s="652">
        <f t="shared" si="41"/>
        <v>0</v>
      </c>
      <c r="K105" s="652">
        <f t="shared" si="41"/>
        <v>0</v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4774</v>
      </c>
      <c r="G116" s="649">
        <f>'Daily KPIs'!G80</f>
        <v>7226</v>
      </c>
      <c r="H116" s="649">
        <f>'Daily KPIs'!H80</f>
        <v>6606</v>
      </c>
      <c r="I116" s="649">
        <f>'Daily KPIs'!I80</f>
        <v>7587</v>
      </c>
      <c r="J116" s="650">
        <f>'Daily KPIs'!J80</f>
        <v>6341</v>
      </c>
      <c r="K116" s="650">
        <f>'Daily KPIs'!K80</f>
        <v>4500</v>
      </c>
      <c r="L116" s="650">
        <f>'Daily KPIs'!L80</f>
        <v>2914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62240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0">
        <f>AH83/(AH83+AH80)</f>
        <v>0.17837369739756731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73</v>
      </c>
      <c r="D11" s="55">
        <f t="shared" si="2"/>
        <v>73</v>
      </c>
      <c r="E11" s="56">
        <f>'Entries October 2026'!W10</f>
        <v>0</v>
      </c>
      <c r="F11" s="57">
        <f>'Entries October 2026'!V10</f>
        <v>1366609</v>
      </c>
      <c r="G11" s="57">
        <f t="shared" si="7"/>
        <v>0</v>
      </c>
      <c r="H11" s="57">
        <f>'Entries October 2026'!AA10</f>
        <v>97122</v>
      </c>
      <c r="I11" s="58">
        <f t="shared" si="3"/>
        <v>0</v>
      </c>
      <c r="J11" s="57">
        <f>'Entries October 2026'!T10</f>
        <v>0</v>
      </c>
      <c r="K11" s="58">
        <f t="shared" si="4"/>
        <v>0</v>
      </c>
      <c r="L11" s="58">
        <f t="shared" si="6"/>
        <v>0</v>
      </c>
      <c r="M11" s="57">
        <f>'Entries October 2026'!R10</f>
        <v>0</v>
      </c>
      <c r="N11" s="57">
        <f>'Entries October 2026'!AC11-'Entries October 2026'!AC10</f>
        <v>17</v>
      </c>
      <c r="O11" s="57">
        <f t="shared" si="5"/>
        <v>146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253318</v>
      </c>
      <c r="C12" s="55">
        <f t="shared" si="1"/>
        <v>250</v>
      </c>
      <c r="D12" s="55">
        <f t="shared" si="2"/>
        <v>81</v>
      </c>
      <c r="E12" s="56">
        <f>'Entries October 2026'!W11</f>
        <v>0</v>
      </c>
      <c r="F12" s="57">
        <f>'Entries October 2026'!V11</f>
        <v>1366609</v>
      </c>
      <c r="G12" s="57">
        <f t="shared" si="7"/>
        <v>169</v>
      </c>
      <c r="H12" s="57">
        <f>'Entries October 2026'!AA11</f>
        <v>97122</v>
      </c>
      <c r="I12" s="58">
        <f t="shared" si="3"/>
        <v>0</v>
      </c>
      <c r="J12" s="57">
        <f>'Entries October 2026'!T11</f>
        <v>0</v>
      </c>
      <c r="K12" s="58">
        <f t="shared" si="4"/>
        <v>547</v>
      </c>
      <c r="L12" s="58">
        <f t="shared" si="6"/>
        <v>547</v>
      </c>
      <c r="M12" s="57">
        <f>'Entries October 2026'!R11</f>
        <v>0</v>
      </c>
      <c r="N12" s="57">
        <f>'Entries October 2026'!AC12-'Entries October 2026'!AC11</f>
        <v>17</v>
      </c>
      <c r="O12" s="57">
        <f t="shared" si="5"/>
        <v>500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253568</v>
      </c>
      <c r="C13" s="55">
        <f t="shared" si="1"/>
        <v>234</v>
      </c>
      <c r="D13" s="55">
        <f t="shared" si="2"/>
        <v>83</v>
      </c>
      <c r="E13" s="56">
        <f>'Entries October 2026'!W12</f>
        <v>0</v>
      </c>
      <c r="F13" s="57">
        <f>'Entries October 2026'!V12</f>
        <v>1366778</v>
      </c>
      <c r="G13" s="57">
        <f t="shared" si="7"/>
        <v>151</v>
      </c>
      <c r="H13" s="57">
        <f>'Entries October 2026'!AA12</f>
        <v>97122</v>
      </c>
      <c r="I13" s="58">
        <f t="shared" si="3"/>
        <v>0</v>
      </c>
      <c r="J13" s="57">
        <f>'Entries October 2026'!U12</f>
        <v>547</v>
      </c>
      <c r="K13" s="58">
        <f t="shared" si="4"/>
        <v>-547</v>
      </c>
      <c r="L13" s="58">
        <f t="shared" si="6"/>
        <v>-547</v>
      </c>
      <c r="M13" s="57">
        <f>'Entries October 2026'!R12</f>
        <v>0</v>
      </c>
      <c r="N13" s="57">
        <f>'Entries October 2026'!AC13-'Entries October 2026'!AC12</f>
        <v>17</v>
      </c>
      <c r="O13" s="57">
        <f t="shared" si="5"/>
        <v>468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253802</v>
      </c>
      <c r="C14" s="55">
        <f t="shared" si="1"/>
        <v>359</v>
      </c>
      <c r="D14" s="55">
        <f t="shared" si="2"/>
        <v>152</v>
      </c>
      <c r="E14" s="56">
        <f>'Entries October 2026'!W13</f>
        <v>0</v>
      </c>
      <c r="F14" s="57">
        <f>'Entries October 2026'!V13</f>
        <v>1366929</v>
      </c>
      <c r="G14" s="57">
        <f>F15-F14</f>
        <v>207</v>
      </c>
      <c r="H14" s="57">
        <f>'Entries October 2026'!AA13</f>
        <v>97122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18</v>
      </c>
      <c r="O14" s="57">
        <f t="shared" si="5"/>
        <v>718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254161</v>
      </c>
      <c r="C15" s="55">
        <f t="shared" si="1"/>
        <v>378</v>
      </c>
      <c r="D15" s="55">
        <f t="shared" si="2"/>
        <v>220</v>
      </c>
      <c r="E15" s="56">
        <f>'Entries October 2026'!W14</f>
        <v>0</v>
      </c>
      <c r="F15" s="57">
        <f>'Entries October 2026'!V14</f>
        <v>1367136</v>
      </c>
      <c r="G15" s="57">
        <f t="shared" si="7"/>
        <v>158</v>
      </c>
      <c r="H15" s="57">
        <f>'Entries October 2026'!AA14</f>
        <v>97122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14</v>
      </c>
      <c r="O15" s="57">
        <f t="shared" si="5"/>
        <v>756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254539</v>
      </c>
      <c r="C16" s="55">
        <f t="shared" si="1"/>
        <v>155</v>
      </c>
      <c r="D16" s="55">
        <f t="shared" si="2"/>
        <v>-15</v>
      </c>
      <c r="E16" s="56">
        <f>'Entries October 2026'!W15</f>
        <v>0</v>
      </c>
      <c r="F16" s="57">
        <f>'Entries October 2026'!V15</f>
        <v>1367294</v>
      </c>
      <c r="G16" s="57">
        <f t="shared" si="7"/>
        <v>170</v>
      </c>
      <c r="H16" s="57">
        <f>'Entries October 2026'!AA15</f>
        <v>97122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1</v>
      </c>
      <c r="O16" s="57">
        <f t="shared" si="5"/>
        <v>310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254694</v>
      </c>
      <c r="C17" s="55">
        <f t="shared" si="1"/>
        <v>0</v>
      </c>
      <c r="D17" s="55">
        <f t="shared" si="2"/>
        <v>-5</v>
      </c>
      <c r="E17" s="56">
        <f>'Entries October 2026'!W16</f>
        <v>0</v>
      </c>
      <c r="F17" s="57">
        <f>'Entries October 2026'!V16</f>
        <v>1367464</v>
      </c>
      <c r="G17" s="57">
        <f t="shared" si="7"/>
        <v>5</v>
      </c>
      <c r="H17" s="57">
        <f>'Entries October 2026'!AA16</f>
        <v>97122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254694</v>
      </c>
      <c r="C18" s="55">
        <f t="shared" si="1"/>
        <v>-254694</v>
      </c>
      <c r="D18" s="55">
        <f t="shared" si="2"/>
        <v>1112775</v>
      </c>
      <c r="E18" s="56">
        <f>'Entries October 2026'!W17</f>
        <v>0</v>
      </c>
      <c r="F18" s="57">
        <f>'Entries October 2026'!V17</f>
        <v>1367469</v>
      </c>
      <c r="G18" s="57">
        <f t="shared" si="7"/>
        <v>-1367469</v>
      </c>
      <c r="H18" s="57">
        <f>'Entries October 2026'!AA17</f>
        <v>97122</v>
      </c>
      <c r="I18" s="58">
        <f t="shared" si="3"/>
        <v>-97122</v>
      </c>
      <c r="J18" s="57">
        <f>'Entries October 2026'!T17</f>
        <v>0</v>
      </c>
      <c r="K18" s="58">
        <f t="shared" si="4"/>
        <v>0</v>
      </c>
      <c r="L18" s="58">
        <f t="shared" si="6"/>
        <v>-97122</v>
      </c>
      <c r="M18" s="57">
        <f>'Entries October 2026'!R17</f>
        <v>0</v>
      </c>
      <c r="N18" s="57">
        <f>'Entries October 2026'!AC18-'Entries October 2026'!AC17</f>
        <v>-6865</v>
      </c>
      <c r="O18" s="57">
        <f t="shared" si="5"/>
        <v>-509388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1366583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Delano Pasea</cp:lastModifiedBy>
  <cp:lastPrinted>2026-05-01T14:23:39Z</cp:lastPrinted>
  <dcterms:created xsi:type="dcterms:W3CDTF">2003-05-05T15:42:25Z</dcterms:created>
  <dcterms:modified xsi:type="dcterms:W3CDTF">2026-10-13T13:20:46Z</dcterms:modified>
</cp:coreProperties>
</file>