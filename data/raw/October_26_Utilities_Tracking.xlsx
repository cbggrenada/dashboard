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671EA45D-C2FA-4FB6-9626-7CD8F00332BF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" i="110" l="1"/>
  <c r="X8" i="110"/>
  <c r="X14" i="110"/>
  <c r="W14" i="110"/>
  <c r="W8" i="110"/>
  <c r="W9" i="110" s="1"/>
  <c r="V14" i="110"/>
  <c r="V8" i="110"/>
  <c r="V9" i="110" s="1"/>
  <c r="U8" i="110"/>
  <c r="U9" i="110" s="1"/>
  <c r="T9" i="110"/>
  <c r="Q8" i="110"/>
  <c r="Q9" i="110" s="1"/>
  <c r="P74" i="110"/>
  <c r="P8" i="110"/>
  <c r="O14" i="110"/>
  <c r="N8" i="110"/>
  <c r="M8" i="110"/>
  <c r="I74" i="110"/>
  <c r="J9" i="110"/>
  <c r="I14" i="110"/>
  <c r="I8" i="110"/>
  <c r="I9" i="110" s="1"/>
  <c r="H9" i="110"/>
  <c r="G14" i="110"/>
  <c r="G9" i="110" l="1"/>
  <c r="F8" i="110"/>
  <c r="F9" i="110" s="1"/>
  <c r="C8" i="110"/>
  <c r="B9" i="110"/>
  <c r="B8" i="110"/>
  <c r="E7" i="28" a="1"/>
  <c r="R8" i="28"/>
  <c r="S8" i="28" a="1"/>
  <c r="W8" i="28" s="1"/>
  <c r="X7" i="28" s="1"/>
  <c r="T8" i="28"/>
  <c r="U8" i="28"/>
  <c r="V8" i="28"/>
  <c r="R9" i="28"/>
  <c r="S9" i="28" a="1"/>
  <c r="T9" i="28"/>
  <c r="U9" i="28"/>
  <c r="V9" i="28"/>
  <c r="W9" i="28"/>
  <c r="R10" i="28"/>
  <c r="S10" i="28" a="1"/>
  <c r="W10" i="28" s="1"/>
  <c r="T10" i="28"/>
  <c r="U10" i="28"/>
  <c r="V10" i="28"/>
  <c r="R11" i="28"/>
  <c r="S11" i="28" s="1" a="1"/>
  <c r="W11" i="28" s="1"/>
  <c r="T11" i="28"/>
  <c r="U11" i="28"/>
  <c r="V11" i="28"/>
  <c r="R12" i="28"/>
  <c r="S12" i="28" a="1"/>
  <c r="T12" i="28"/>
  <c r="U12" i="28"/>
  <c r="V12" i="28"/>
  <c r="W12" i="28"/>
  <c r="R13" i="28"/>
  <c r="S13" i="28" a="1"/>
  <c r="W13" i="28" s="1"/>
  <c r="T13" i="28"/>
  <c r="U13" i="28"/>
  <c r="V13" i="28"/>
  <c r="R14" i="28"/>
  <c r="S14" i="28" a="1"/>
  <c r="T14" i="28"/>
  <c r="U14" i="28"/>
  <c r="V14" i="28"/>
  <c r="W14" i="28"/>
  <c r="R15" i="28"/>
  <c r="S15" i="28" a="1"/>
  <c r="T15" i="28"/>
  <c r="U15" i="28"/>
  <c r="V15" i="28"/>
  <c r="W15" i="28"/>
  <c r="R16" i="28"/>
  <c r="S16" i="28" a="1"/>
  <c r="W16" i="28" s="1"/>
  <c r="T16" i="28"/>
  <c r="U16" i="28"/>
  <c r="V16" i="28"/>
  <c r="R17" i="28"/>
  <c r="S17" i="28" a="1"/>
  <c r="T17" i="28"/>
  <c r="U17" i="28"/>
  <c r="V17" i="28"/>
  <c r="W17" i="28"/>
  <c r="R18" i="28"/>
  <c r="S18" i="28" a="1"/>
  <c r="T18" i="28"/>
  <c r="U18" i="28"/>
  <c r="V18" i="28"/>
  <c r="W18" i="28"/>
  <c r="R19" i="28"/>
  <c r="S19" i="28" s="1" a="1"/>
  <c r="W19" i="28" s="1"/>
  <c r="T19" i="28"/>
  <c r="U19" i="28"/>
  <c r="V19" i="28"/>
  <c r="R20" i="28"/>
  <c r="S20" i="28" a="1"/>
  <c r="T20" i="28"/>
  <c r="U20" i="28"/>
  <c r="V20" i="28"/>
  <c r="W20" i="28"/>
  <c r="R21" i="28"/>
  <c r="S21" i="28" a="1"/>
  <c r="T21" i="28"/>
  <c r="U21" i="28"/>
  <c r="V21" i="28"/>
  <c r="W21" i="28"/>
  <c r="R22" i="28"/>
  <c r="S22" i="28" a="1"/>
  <c r="W22" i="28" s="1"/>
  <c r="T22" i="28"/>
  <c r="U22" i="28"/>
  <c r="V22" i="28"/>
  <c r="R23" i="28"/>
  <c r="S23" i="28" a="1"/>
  <c r="T23" i="28"/>
  <c r="U23" i="28"/>
  <c r="V23" i="28"/>
  <c r="W23" i="28"/>
  <c r="R24" i="28"/>
  <c r="S24" i="28" a="1"/>
  <c r="T24" i="28"/>
  <c r="U24" i="28"/>
  <c r="V24" i="28"/>
  <c r="W24" i="28"/>
  <c r="R25" i="28"/>
  <c r="S25" i="28" s="1" a="1"/>
  <c r="W25" i="28" s="1"/>
  <c r="T25" i="28"/>
  <c r="U25" i="28"/>
  <c r="V25" i="28"/>
  <c r="R26" i="28"/>
  <c r="S26" i="28" a="1"/>
  <c r="T26" i="28"/>
  <c r="U26" i="28"/>
  <c r="V26" i="28"/>
  <c r="W26" i="28"/>
  <c r="R27" i="28"/>
  <c r="S27" i="28" a="1"/>
  <c r="T27" i="28"/>
  <c r="U27" i="28"/>
  <c r="V27" i="28"/>
  <c r="W27" i="28"/>
  <c r="R28" i="28"/>
  <c r="S28" i="28" a="1"/>
  <c r="W28" i="28" s="1"/>
  <c r="T28" i="28"/>
  <c r="U28" i="28"/>
  <c r="V28" i="28"/>
  <c r="R29" i="28"/>
  <c r="S29" i="28" a="1"/>
  <c r="W29" i="28" s="1"/>
  <c r="T29" i="28"/>
  <c r="U29" i="28"/>
  <c r="V29" i="28"/>
  <c r="R30" i="28"/>
  <c r="S30" i="28" a="1"/>
  <c r="W30" i="28" s="1"/>
  <c r="T30" i="28"/>
  <c r="U30" i="28"/>
  <c r="V30" i="28"/>
  <c r="R31" i="28"/>
  <c r="S31" i="28" s="1" a="1"/>
  <c r="W31" i="28" s="1"/>
  <c r="T31" i="28"/>
  <c r="U31" i="28"/>
  <c r="V31" i="28"/>
  <c r="R32" i="28"/>
  <c r="S32" i="28" a="1"/>
  <c r="T32" i="28"/>
  <c r="U32" i="28"/>
  <c r="V32" i="28"/>
  <c r="W32" i="28"/>
  <c r="R33" i="28"/>
  <c r="S33" i="28" a="1"/>
  <c r="W33" i="28" s="1"/>
  <c r="T33" i="28"/>
  <c r="U33" i="28"/>
  <c r="V33" i="28"/>
  <c r="R34" i="28"/>
  <c r="S34" i="28" a="1"/>
  <c r="T34" i="28"/>
  <c r="U34" i="28"/>
  <c r="V34" i="28"/>
  <c r="W34" i="28"/>
  <c r="R35" i="28"/>
  <c r="S35" i="28" a="1"/>
  <c r="T35" i="28"/>
  <c r="U35" i="28"/>
  <c r="V35" i="28"/>
  <c r="W35" i="28"/>
  <c r="R36" i="28"/>
  <c r="S36" i="28" a="1"/>
  <c r="W36" i="28" s="1"/>
  <c r="T36" i="28"/>
  <c r="U36" i="28"/>
  <c r="V36" i="28"/>
  <c r="R37" i="28"/>
  <c r="S37" i="28" a="1"/>
  <c r="T37" i="28"/>
  <c r="U37" i="28"/>
  <c r="V37" i="28"/>
  <c r="W37" i="28"/>
  <c r="R38" i="28"/>
  <c r="S38" i="28" a="1"/>
  <c r="T38" i="28"/>
  <c r="U38" i="28"/>
  <c r="V38" i="28"/>
  <c r="W38" i="28"/>
  <c r="R39" i="28"/>
  <c r="S39" i="28" a="1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S9" i="110"/>
  <c r="R9" i="110"/>
  <c r="P9" i="110"/>
  <c r="M9" i="110"/>
  <c r="N9" i="110"/>
  <c r="O9" i="110"/>
  <c r="L9" i="110"/>
  <c r="K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B84" i="110" l="1" a="1"/>
  <c r="AH8" i="110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I12" i="29" s="1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I26" i="29" s="1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7" i="23" l="1"/>
  <c r="D29" i="23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AD94" i="110" l="1"/>
  <c r="N94" i="110"/>
  <c r="V94" i="110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32" i="110" l="1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AH83" i="110" s="1"/>
  <c r="AH82" i="110" s="1"/>
  <c r="AH81" i="110" s="1"/>
  <c r="AH77" i="110" s="1"/>
  <c r="AH75" i="110" s="1"/>
  <c r="K10" i="23" l="1"/>
  <c r="K43" i="23" s="1"/>
  <c r="E38" i="28"/>
  <c r="Q10" i="23"/>
  <c r="R10" i="23" s="1"/>
  <c r="S10" i="23" s="1"/>
  <c r="T10" i="23" s="1"/>
  <c r="P43" i="23"/>
  <c r="Q44" i="23" s="1"/>
  <c r="R44" i="23" s="1"/>
  <c r="S44" i="23" s="1"/>
  <c r="N7" i="29"/>
  <c r="M7" i="29"/>
  <c r="L38" i="29"/>
  <c r="F7" i="30"/>
  <c r="H36" i="32"/>
  <c r="AB7" i="31"/>
  <c r="AA38" i="31"/>
  <c r="AB38" i="31" s="1"/>
  <c r="AD38" i="31" s="1"/>
  <c r="F38" i="28"/>
  <c r="G7" i="28"/>
  <c r="B78" i="110"/>
  <c r="B50" i="110"/>
  <c r="AH50" i="110" s="1"/>
  <c r="AH43" i="110"/>
  <c r="AH61" i="110" s="1"/>
  <c r="AH76" i="110"/>
  <c r="AH93" i="110" s="1"/>
  <c r="B49" i="111"/>
  <c r="B116" i="110"/>
  <c r="AH80" i="110"/>
  <c r="B94" i="110"/>
  <c r="B93" i="110" s="1"/>
  <c r="B61" i="110" s="1"/>
  <c r="B96" i="110"/>
  <c r="AH84" i="110"/>
  <c r="AH96" i="110" s="1"/>
  <c r="T44" i="23" l="1"/>
  <c r="G38" i="28"/>
  <c r="G7" i="30"/>
  <c r="F38" i="30"/>
  <c r="G38" i="30" s="1"/>
  <c r="I38" i="30" s="1"/>
  <c r="M38" i="29"/>
  <c r="N38" i="29"/>
  <c r="AK96" i="110"/>
  <c r="AJ96" i="110"/>
  <c r="B81" i="111"/>
  <c r="AG49" i="111"/>
  <c r="AG81" i="111" s="1"/>
  <c r="AI81" i="111" s="1"/>
  <c r="AH68" i="110"/>
  <c r="AJ61" i="110"/>
  <c r="AH69" i="110"/>
  <c r="AH78" i="110"/>
  <c r="AH95" i="110" s="1"/>
  <c r="AK95" i="110" s="1"/>
  <c r="B69" i="110"/>
  <c r="B68" i="110"/>
  <c r="AH94" i="110"/>
  <c r="AH116" i="110"/>
  <c r="AH140" i="110"/>
  <c r="AK93" i="110"/>
  <c r="AJ93" i="110"/>
  <c r="AK94" i="110" l="1"/>
  <c r="AJ94" i="110"/>
  <c r="AJ68" i="110"/>
  <c r="AJ69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B21E4652-3C64-4886-B747-45EC64E26654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  <comment ref="E21" authorId="0" shapeId="0" xr:uid="{70D71AB5-31BF-4066-BE4E-F85202A05576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25 inches, mean 832 liters of diesel consumed.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18900Kgs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7900 Kgs
0 kgs after adjustment for MT mobile weight
</t>
        </r>
      </text>
    </comment>
    <comment ref="D74" authorId="2" shapeId="0" xr:uid="{A9D615D0-28C9-4C13-9020-A7C276975F57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F74" authorId="2" shapeId="0" xr:uid="{B1148AEC-E522-4F72-A286-908A2BFB66B0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G74" authorId="2" shapeId="0" xr:uid="{72907FFC-D535-40B6-B65A-2A5AE920A761}">
      <text>
        <r>
          <rPr>
            <sz val="12"/>
            <color indexed="81"/>
            <rFont val="Tahoma"/>
            <family val="2"/>
          </rPr>
          <t xml:space="preserve">Tank A 0 kgs 
Tank B 5100 kgs calculated
Tank C 25700 Kgs
mobile approx 0 Kgs
0 kgs after adjustment for MT mobile weight
</t>
        </r>
      </text>
    </comment>
    <comment ref="H74" authorId="2" shapeId="0" xr:uid="{A350E13C-FC63-4A46-AEC7-D15BEAB66A89}">
      <text>
        <r>
          <rPr>
            <sz val="12"/>
            <color indexed="81"/>
            <rFont val="Tahoma"/>
            <family val="2"/>
          </rPr>
          <t xml:space="preserve">Tank A 0 kgs 
Tank B 3600 kgs calculated
Tank C 25700 Kgs
mobile approx 0 Kgs
0 kgs after adjustment for MT mobile weight
</t>
        </r>
      </text>
    </comment>
    <comment ref="I74" authorId="2" shapeId="0" xr:uid="{70143B87-12C5-483A-9CF2-B1AD2D0FFF73}">
      <text>
        <r>
          <rPr>
            <sz val="12"/>
            <color indexed="81"/>
            <rFont val="Tahoma"/>
            <family val="2"/>
          </rPr>
          <t xml:space="preserve">Tank A 0 kgs 
Tank B 2200 kgs calculated
Tank C 25700 Kgs
mobile approx 0 Kgs
0 kgs after adjustment for MT mobile weight
</t>
        </r>
      </text>
    </comment>
    <comment ref="J74" authorId="2" shapeId="0" xr:uid="{F10121C0-B811-45B6-8088-211B562FC585}">
      <text>
        <r>
          <rPr>
            <sz val="12"/>
            <color indexed="81"/>
            <rFont val="Tahoma"/>
            <family val="2"/>
          </rPr>
          <t xml:space="preserve">Tank A 0 kgs 
Tank B 0 kgs calculated
Tank C 24900 Kgs
mobile approx 0 Kgs
0 kgs after adjustment for MT mobile weight
</t>
        </r>
      </text>
    </comment>
    <comment ref="K74" authorId="2" shapeId="0" xr:uid="{7E734BED-4455-464B-B3BC-84E273292C6E}">
      <text>
        <r>
          <rPr>
            <sz val="12"/>
            <color indexed="81"/>
            <rFont val="Tahoma"/>
            <family val="2"/>
          </rPr>
          <t xml:space="preserve">Tank A 0 kgs 
Tank B 0 kgs 
Tank C 23200 Kgs
mobile approx 0 Kgs
0 kgs after adjustment for MT mobile weight
</t>
        </r>
      </text>
    </comment>
    <comment ref="L74" authorId="2" shapeId="0" xr:uid="{EDC26567-6215-4B13-89B4-8CB9A2D8B046}">
      <text>
        <r>
          <rPr>
            <sz val="12"/>
            <color indexed="81"/>
            <rFont val="Tahoma"/>
            <family val="2"/>
          </rPr>
          <t xml:space="preserve">Tank A 0 kgs 
Tank B 0 kgs
Tank C 22400 Kgs
mobile approx 0 Kgs
0 kgs after adjustment for MT mobile weight
</t>
        </r>
      </text>
    </comment>
    <comment ref="M74" authorId="2" shapeId="0" xr:uid="{88951BC3-57B8-4D8F-9300-706887E45023}">
      <text>
        <r>
          <rPr>
            <sz val="12"/>
            <color indexed="81"/>
            <rFont val="Tahoma"/>
            <family val="2"/>
          </rPr>
          <t xml:space="preserve">Tank A 0 kgs 
Tank B 0 kgs
Tank C 22400 Kgs
mobile approx 19800 Kgs
</t>
        </r>
      </text>
    </comment>
    <comment ref="N74" authorId="2" shapeId="0" xr:uid="{CA10FF27-BDE7-4421-B4C9-FE176C49B2B6}">
      <text>
        <r>
          <rPr>
            <sz val="12"/>
            <color indexed="81"/>
            <rFont val="Tahoma"/>
            <family val="2"/>
          </rPr>
          <t xml:space="preserve">Tank A 11500 kgs 
Tank B 6800 kgs full theoretical
Tank C 22400 Kgs
mobile approx0 Kgs
</t>
        </r>
      </text>
    </comment>
    <comment ref="O74" authorId="2" shapeId="0" xr:uid="{D76ADC42-B6B4-4B28-9ECD-1ECA3E8D4897}">
      <text>
        <r>
          <rPr>
            <sz val="12"/>
            <color indexed="81"/>
            <rFont val="Tahoma"/>
            <family val="2"/>
          </rPr>
          <t xml:space="preserve">Tank A 11500 kgs 
Tank B 4700 kgs calculated
Tank C 22400 Kgs
mobile approx 0Kgs
</t>
        </r>
      </text>
    </comment>
    <comment ref="P74" authorId="2" shapeId="0" xr:uid="{35CDF5CD-14B6-43A2-9596-C7416E5BC854}">
      <text>
        <r>
          <rPr>
            <sz val="12"/>
            <color indexed="81"/>
            <rFont val="Tahoma"/>
            <family val="2"/>
          </rPr>
          <t xml:space="preserve">Tank A 11500 kgs 
Tank B 2500 kgs calculated
Tank C 22400 Kgs
mobile approx 0Kgs
</t>
        </r>
      </text>
    </comment>
    <comment ref="Q74" authorId="2" shapeId="0" xr:uid="{EFE55A0F-D162-43BE-8601-F86C41140CB3}">
      <text>
        <r>
          <rPr>
            <sz val="12"/>
            <color indexed="81"/>
            <rFont val="Tahoma"/>
            <family val="2"/>
          </rPr>
          <t xml:space="preserve">Tank A 10400 kgs 
Tank B 0 kgs calculated
Tank C 22400 Kgs
mobile approx 0Kgs
</t>
        </r>
      </text>
    </comment>
    <comment ref="R74" authorId="2" shapeId="0" xr:uid="{096F32A5-8C17-44BF-8568-AD865078D10D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S74" authorId="2" shapeId="0" xr:uid="{7FA760B9-B308-4700-9ED3-83585EBA6D09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T74" authorId="2" shapeId="0" xr:uid="{E3709BAE-60E3-45BE-A953-972313F1DDD3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U74" authorId="2" shapeId="0" xr:uid="{0E0CD675-D2C7-4F2A-AA86-5C1A3CED1BE8}">
      <text>
        <r>
          <rPr>
            <sz val="12"/>
            <color indexed="81"/>
            <rFont val="Tahoma"/>
            <family val="2"/>
          </rPr>
          <t xml:space="preserve">Tank A 8500 kgs 
Tank B 0 kgs calculated
Tank C 22400 Kgs
mobile approx 0Kgs
</t>
        </r>
      </text>
    </comment>
    <comment ref="V74" authorId="2" shapeId="0" xr:uid="{8F2354C5-E2D1-4A26-9DB1-ACF6ADBCC68C}">
      <text>
        <r>
          <rPr>
            <sz val="12"/>
            <color indexed="81"/>
            <rFont val="Tahoma"/>
            <family val="2"/>
          </rPr>
          <t xml:space="preserve">Tank A 6200 kgs 
Tank B 0 kgs calculated
Tank C 22400 Kgs
mobile approx 0Kgs
</t>
        </r>
      </text>
    </comment>
    <comment ref="W74" authorId="2" shapeId="0" xr:uid="{2AD1B525-2FC1-4328-828C-CF9B35F2BA6D}">
      <text>
        <r>
          <rPr>
            <sz val="12"/>
            <color indexed="81"/>
            <rFont val="Tahoma"/>
            <family val="2"/>
          </rPr>
          <t xml:space="preserve">Tank A 4000 kgs 
Tank B 0 kgs calculated
Tank C 22400 Kgs
mobile approx 0Kgs
</t>
        </r>
      </text>
    </comment>
    <comment ref="X74" authorId="2" shapeId="0" xr:uid="{C3D8D712-E652-4B86-9B1F-E3CE87269744}">
      <text>
        <r>
          <rPr>
            <sz val="12"/>
            <color indexed="81"/>
            <rFont val="Tahoma"/>
            <family val="2"/>
          </rPr>
          <t xml:space="preserve">Tank A 3000 kgs 
Tank B 0 kgs calculated
Tank C 22400 Kgs
mobile approx 0Kgs
</t>
        </r>
      </text>
    </comment>
    <comment ref="Y74" authorId="2" shapeId="0" xr:uid="{F7509078-3BDC-4C3C-AC44-65C038734AFC}">
      <text>
        <r>
          <rPr>
            <sz val="12"/>
            <color indexed="81"/>
            <rFont val="Tahoma"/>
            <family val="2"/>
          </rPr>
          <t xml:space="preserve">Tank A 1000 kgs 
Tank B 0 kgs calculated
Tank C 22400 Kgs
mobile approx 0Kgs
</t>
        </r>
      </text>
    </comment>
    <comment ref="Z74" authorId="2" shapeId="0" xr:uid="{41656B7B-610D-407E-91D2-0F20C0A45BBB}">
      <text>
        <r>
          <rPr>
            <sz val="12"/>
            <color indexed="81"/>
            <rFont val="Tahoma"/>
            <family val="2"/>
          </rPr>
          <t xml:space="preserve">Tank A 1000 kgs 
Tank B 0 kgs calculated
Tank C 22400 Kgs
mobile approx 0Kgs
</t>
        </r>
      </text>
    </comment>
    <comment ref="AA74" authorId="2" shapeId="0" xr:uid="{73C85986-F487-4094-854C-3094E6F808BF}">
      <text>
        <r>
          <rPr>
            <sz val="12"/>
            <color indexed="81"/>
            <rFont val="Tahoma"/>
            <family val="2"/>
          </rPr>
          <t xml:space="preserve">Tank A 1000 kgs 
Tank B 0 kgs calculated
Tank C 22400 Kgs
mobile approx 0Kgs
</t>
        </r>
      </text>
    </comment>
    <comment ref="AB74" authorId="2" shapeId="0" xr:uid="{ECB9A05E-F0CF-4D08-8A6D-99E9CC06FEC3}">
      <text>
        <r>
          <rPr>
            <sz val="12"/>
            <color indexed="81"/>
            <rFont val="Tahoma"/>
            <family val="2"/>
          </rPr>
          <t xml:space="preserve">Tank A 1000 kgs 
Tank B 0 kgs calculated
Tank C 22400 Kgs
mobile approx 0Kgs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<sst xmlns="http://schemas.openxmlformats.org/spreadsheetml/2006/main" count="637" uniqueCount="324">
  <si>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</si>
  <si>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</si>
  <si>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</si>
  <si>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</si>
  <si>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</si>
  <si>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</si>
  <si>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</si>
  <si>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</si>
  <si>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</si>
  <si>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</si>
  <si>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</si>
  <si>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</si>
  <si>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</si>
  <si>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</si>
  <si>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</si>
  <si>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</si>
  <si>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</si>
  <si>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</si>
  <si>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</si>
  <si>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</si>
  <si>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</si>
  <si>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</si>
  <si>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</si>
  <si>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</si>
  <si>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</si>
  <si>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</si>
  <si>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</si>
  <si>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</si>
  <si>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</si>
  <si>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</si>
  <si>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</si>
  <si>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</si>
  <si>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</si>
  <si>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</si>
  <si>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</si>
  <si>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</si>
  <si>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</si>
  <si>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</si>
  <si>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</si>
  <si>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</si>
  <si>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</si>
  <si>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</si>
  <si>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</si>
  <si>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</si>
  <si>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</si>
  <si>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</si>
  <si>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</si>
  <si>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</si>
  <si>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</si>
  <si>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</si>
  <si>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</si>
  <si>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</si>
  <si>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</si>
  <si>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</si>
  <si>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</si>
  <si>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</si>
  <si>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</si>
  <si>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</si>
  <si>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</si>
  <si>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</si>
  <si>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</si>
  <si>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</si>
  <si>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</si>
  <si>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</si>
  <si>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</si>
  <si>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</si>
  <si>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</si>
  <si>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</si>
  <si>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</si>
  <si>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</si>
  <si>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</si>
  <si>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</si>
  <si>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</si>
  <si>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</si>
  <si>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</si>
  <si>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</si>
  <si>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</si>
  <si>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</si>
  <si>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</si>
  <si>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</si>
  <si>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</si>
  <si>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</si>
  <si>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</si>
  <si>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</si>
  <si>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</si>
  <si>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</si>
  <si>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</si>
  <si>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</si>
  <si>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</si>
  <si>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</si>
  <si>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</si>
  <si>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</si>
  <si>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</si>
  <si>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</si>
  <si>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</si>
  <si>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</si>
  <si>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</si>
  <si>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</si>
  <si>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</si>
  <si>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</si>
  <si>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</si>
  <si>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</si>
  <si>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</si>
  <si>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</si>
  <si>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</si>
  <si>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</si>
  <si>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</si>
  <si>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</si>
  <si>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</si>
  <si>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</si>
  <si>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</si>
  <si>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</si>
  <si>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</si>
  <si>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</si>
  <si>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</si>
  <si>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</si>
  <si>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</si>
  <si>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</si>
  <si>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</si>
  <si>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</si>
  <si>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</si>
  <si>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</si>
  <si>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</si>
  <si>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</si>
  <si>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</si>
  <si>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</si>
  <si>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</si>
  <si>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</si>
  <si>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</si>
  <si>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</si>
  <si>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</si>
  <si>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</si>
  <si>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</si>
  <si>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</si>
  <si>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</si>
  <si>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</si>
  <si>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</si>
  <si>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</si>
  <si>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</si>
  <si>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</si>
  <si>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</si>
  <si>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</si>
  <si>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</si>
  <si>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</si>
  <si>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</si>
  <si>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</si>
  <si>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</si>
  <si>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</si>
  <si>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</si>
  <si>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</si>
  <si>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</si>
  <si>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</si>
  <si>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</si>
  <si>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</si>
  <si>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</si>
  <si>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</si>
  <si>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</si>
  <si>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</si>
  <si>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</si>
  <si>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</si>
  <si>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</si>
  <si>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</si>
  <si>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</si>
  <si>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</si>
  <si>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</si>
  <si>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</si>
  <si>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</si>
  <si>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</si>
  <si>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</si>
  <si>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</si>
  <si>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</si>
  <si>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</si>
  <si>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</si>
  <si>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</si>
  <si>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</si>
  <si>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</si>
  <si>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</si>
  <si>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</si>
  <si>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</si>
  <si>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</si>
  <si>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</si>
  <si>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</si>
  <si>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</si>
  <si>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</si>
  <si>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</si>
  <si>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</si>
  <si>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</si>
  <si>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</si>
  <si>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</si>
  <si>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</si>
  <si>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</si>
  <si>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</si>
  <si>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</si>
  <si>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</si>
  <si>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</si>
  <si>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</si>
  <si>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</si>
  <si>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</si>
  <si>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</si>
  <si>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</si>
  <si>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</si>
  <si>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</si>
  <si>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</si>
  <si>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</si>
  <si>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</si>
  <si>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</si>
  <si>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</si>
  <si>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</si>
  <si>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</si>
  <si>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</si>
  <si>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</si>
  <si>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</si>
  <si>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</si>
  <si>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</si>
  <si>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</si>
  <si>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</si>
  <si>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</si>
  <si>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</si>
  <si>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</si>
  <si>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</si>
  <si>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</si>
  <si>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</si>
  <si>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</si>
  <si>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</si>
  <si>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</si>
  <si>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</si>
  <si>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</si>
  <si>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</si>
  <si>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</si>
  <si>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</si>
  <si>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</si>
  <si>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</si>
  <si>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</si>
  <si>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</si>
  <si>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</si>
  <si>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</si>
  <si>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</si>
  <si>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</si>
  <si>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</si>
  <si>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</si>
  <si>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</si>
  <si>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</si>
  <si>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</si>
  <si>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</si>
  <si>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</si>
  <si>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</si>
  <si>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</si>
  <si>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</si>
  <si>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</si>
  <si>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</si>
  <si>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</si>
  <si>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</si>
  <si>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</si>
  <si>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</si>
  <si>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</si>
  <si>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</si>
  <si>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</si>
  <si>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</si>
  <si>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</si>
  <si>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</si>
  <si>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</si>
  <si>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</si>
  <si>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</si>
  <si>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</si>
  <si>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</si>
  <si>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</si>
  <si>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</si>
  <si>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</si>
  <si>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</si>
  <si>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</si>
  <si>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</si>
  <si>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</si>
  <si>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</si>
  <si>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</si>
  <si>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</si>
  <si>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</si>
  <si>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</si>
  <si>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</si>
  <si>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</si>
  <si>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</si>
  <si>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</si>
  <si>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</si>
  <si>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</si>
  <si>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</si>
  <si>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</si>
  <si>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</si>
  <si>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</si>
  <si>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</si>
  <si>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</si>
  <si>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</si>
  <si>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</si>
  <si>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</si>
  <si>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</si>
  <si>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</si>
  <si>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</si>
  <si>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</si>
  <si>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</si>
  <si>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</si>
  <si>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</si>
  <si>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</si>
  <si>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</si>
  <si>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</si>
  <si>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</si>
  <si>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</si>
  <si>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</si>
  <si>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</si>
  <si>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</si>
  <si>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</si>
  <si>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</si>
  <si>
    <t>ST</t>
  </si>
  <si>
    <r>
      <t>CB/</t>
    </r>
    <r>
      <rPr>
        <b/>
        <sz val="20"/>
        <color rgb="FF00A44A"/>
        <rFont val="Arial"/>
        <family val="2"/>
      </rPr>
      <t>ST</t>
    </r>
  </si>
  <si>
    <t>GU</t>
  </si>
  <si>
    <r>
      <rPr>
        <b/>
        <sz val="20"/>
        <color rgb="FFFF00FF"/>
        <rFont val="Arial"/>
        <family val="2"/>
      </rPr>
      <t>Rose</t>
    </r>
    <r>
      <rPr>
        <b/>
        <sz val="20"/>
        <color rgb="FF0000FF"/>
        <rFont val="Arial"/>
        <family val="2"/>
      </rPr>
      <t>/CBfl</t>
    </r>
  </si>
  <si>
    <t>SM</t>
  </si>
  <si>
    <r>
      <rPr>
        <b/>
        <sz val="20"/>
        <color rgb="FF00A44A"/>
        <rFont val="Arial"/>
        <family val="2"/>
      </rPr>
      <t>ST</t>
    </r>
    <r>
      <rPr>
        <b/>
        <sz val="20"/>
        <color rgb="FF0000FF"/>
        <rFont val="Arial"/>
        <family val="2"/>
      </rPr>
      <t>/CB</t>
    </r>
  </si>
  <si>
    <r>
      <rPr>
        <b/>
        <sz val="20"/>
        <color theme="9" tint="-0.499984740745262"/>
        <rFont val="Arial"/>
        <family val="2"/>
      </rPr>
      <t>SM</t>
    </r>
    <r>
      <rPr>
        <b/>
        <sz val="20"/>
        <color rgb="FF0000FF"/>
        <rFont val="Arial"/>
        <family val="2"/>
      </rPr>
      <t>/</t>
    </r>
    <r>
      <rPr>
        <b/>
        <sz val="20"/>
        <color rgb="FF00A44A"/>
        <rFont val="Arial"/>
        <family val="2"/>
      </rPr>
      <t>ST</t>
    </r>
  </si>
  <si>
    <r>
      <t>CB/</t>
    </r>
    <r>
      <rPr>
        <b/>
        <sz val="20"/>
        <color rgb="FF00A44A"/>
        <rFont val="Arial"/>
        <family val="2"/>
      </rPr>
      <t>Ting</t>
    </r>
  </si>
  <si>
    <r>
      <t>Ting/</t>
    </r>
    <r>
      <rPr>
        <b/>
        <sz val="20"/>
        <color theme="9" tint="-0.499984740745262"/>
        <rFont val="Arial"/>
        <family val="2"/>
      </rPr>
      <t>SM</t>
    </r>
  </si>
  <si>
    <r>
      <rPr>
        <b/>
        <sz val="20"/>
        <color theme="9" tint="-0.499984740745262"/>
        <rFont val="Arial"/>
        <family val="2"/>
      </rPr>
      <t>SM</t>
    </r>
    <r>
      <rPr>
        <b/>
        <sz val="20"/>
        <color rgb="FF0000FF"/>
        <rFont val="Arial"/>
        <family val="2"/>
      </rPr>
      <t>/CB</t>
    </r>
  </si>
  <si>
    <r>
      <rPr>
        <b/>
        <sz val="20"/>
        <color rgb="FF170EC2"/>
        <rFont val="Arial"/>
        <family val="2"/>
      </rPr>
      <t>CB</t>
    </r>
    <r>
      <rPr>
        <b/>
        <sz val="20"/>
        <color rgb="FF00A44A"/>
        <rFont val="Arial"/>
        <family val="2"/>
      </rPr>
      <t>/ST</t>
    </r>
  </si>
  <si>
    <t>GN</t>
  </si>
  <si>
    <r>
      <t>CB/</t>
    </r>
    <r>
      <rPr>
        <b/>
        <sz val="20"/>
        <color rgb="FFFF0000"/>
        <rFont val="Arial"/>
        <family val="2"/>
      </rPr>
      <t>VM</t>
    </r>
  </si>
  <si>
    <r>
      <t>VM/</t>
    </r>
    <r>
      <rPr>
        <b/>
        <sz val="20"/>
        <color rgb="FF0000FF"/>
        <rFont val="Arial"/>
        <family val="2"/>
      </rPr>
      <t>CB</t>
    </r>
  </si>
  <si>
    <r>
      <t>GN/VM/</t>
    </r>
    <r>
      <rPr>
        <b/>
        <sz val="20"/>
        <color rgb="FF92D050"/>
        <rFont val="Arial"/>
        <family val="2"/>
      </rPr>
      <t>VMG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</si>
</sst>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  <font>
      <b/>
      <sz val="20"/>
      <color rgb="FFFF00FF"/>
      <name val="Arial"/>
      <family val="2"/>
    </font>
    <font>
      <b/>
      <sz val="20"/>
      <color rgb="FF170EC2"/>
      <name val="Arial"/>
      <family val="2"/>
    </font>
    <font>
      <b/>
      <sz val="20"/>
      <color rgb="FF92D05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9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3" fontId="7" fillId="18" borderId="115" xfId="0" applyNumberFormat="1" applyFont="1" applyFill="1" applyBorder="1" applyAlignment="1">
      <alignment horizontal="center"/>
    </xf>
    <xf numFmtId="3" fontId="7" fillId="18" borderId="61" xfId="0" applyNumberFormat="1" applyFont="1" applyFill="1" applyBorder="1" applyAlignment="1">
      <alignment horizontal="center"/>
    </xf>
    <xf numFmtId="3" fontId="7" fillId="18" borderId="62" xfId="0" applyNumberFormat="1" applyFont="1" applyFill="1" applyBorder="1" applyAlignment="1">
      <alignment horizontal="center"/>
    </xf>
    <xf numFmtId="1" fontId="7" fillId="18" borderId="63" xfId="0" applyNumberFormat="1" applyFont="1" applyFill="1" applyBorder="1" applyAlignment="1">
      <alignment horizontal="center"/>
    </xf>
    <xf numFmtId="0" fontId="104" fillId="0" borderId="0" xfId="0" applyFont="1" applyAlignment="1">
      <alignment horizontal="center" vertical="center"/>
    </xf>
    <xf numFmtId="3" fontId="75" fillId="19" borderId="0" xfId="0" applyNumberFormat="1" applyFont="1" applyFill="1" applyAlignment="1">
      <alignment horizontal="center"/>
    </xf>
    <xf numFmtId="3" fontId="75" fillId="22" borderId="0" xfId="0" applyNumberFormat="1" applyFont="1" applyFill="1" applyAlignment="1">
      <alignment horizontal="center"/>
    </xf>
    <xf numFmtId="167" fontId="95" fillId="31" borderId="0" xfId="1" applyNumberFormat="1" applyFont="1" applyFill="1" applyAlignment="1">
      <alignment horizontal="center" vertical="center"/>
    </xf>
    <xf numFmtId="0" fontId="78" fillId="16" borderId="0" xfId="0" applyFont="1" applyFill="1" applyAlignment="1">
      <alignment horizontal="center" vertical="center"/>
    </xf>
    <xf numFmtId="3" fontId="95" fillId="14" borderId="0" xfId="0" applyNumberFormat="1" applyFont="1" applyFill="1" applyAlignment="1">
      <alignment horizontal="center"/>
    </xf>
    <xf numFmtId="167" fontId="131" fillId="31" borderId="0" xfId="1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19" fillId="4" borderId="0" xfId="3" applyFont="1" applyFill="1" applyAlignment="1">
      <alignment horizontal="center" vertical="center" wrapText="1"/>
    </xf>
    <xf numFmtId="0" fontId="19" fillId="4" borderId="41" xfId="3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167" fontId="69" fillId="0" borderId="0" xfId="1" applyNumberFormat="1" applyFont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18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FF00FF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7226</c:v>
                </c:pt>
                <c:pt idx="6">
                  <c:v>6606</c:v>
                </c:pt>
                <c:pt idx="7">
                  <c:v>7587</c:v>
                </c:pt>
                <c:pt idx="8">
                  <c:v>6341</c:v>
                </c:pt>
                <c:pt idx="9">
                  <c:v>4500</c:v>
                </c:pt>
                <c:pt idx="10">
                  <c:v>2914</c:v>
                </c:pt>
                <c:pt idx="11">
                  <c:v>8829</c:v>
                </c:pt>
                <c:pt idx="12">
                  <c:v>5822</c:v>
                </c:pt>
                <c:pt idx="13">
                  <c:v>6651</c:v>
                </c:pt>
                <c:pt idx="14">
                  <c:v>8256</c:v>
                </c:pt>
                <c:pt idx="15">
                  <c:v>7352</c:v>
                </c:pt>
                <c:pt idx="16">
                  <c:v>3261</c:v>
                </c:pt>
                <c:pt idx="17">
                  <c:v>2453</c:v>
                </c:pt>
                <c:pt idx="18">
                  <c:v>3097</c:v>
                </c:pt>
                <c:pt idx="19">
                  <c:v>7790</c:v>
                </c:pt>
                <c:pt idx="20">
                  <c:v>7481</c:v>
                </c:pt>
                <c:pt idx="21">
                  <c:v>7284</c:v>
                </c:pt>
                <c:pt idx="22">
                  <c:v>7265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  <c:pt idx="5">
                  <c:v>1201.9000000000001</c:v>
                </c:pt>
                <c:pt idx="6">
                  <c:v>1346.2</c:v>
                </c:pt>
                <c:pt idx="7">
                  <c:v>1358.1</c:v>
                </c:pt>
                <c:pt idx="8">
                  <c:v>1373.4</c:v>
                </c:pt>
                <c:pt idx="9">
                  <c:v>1567.4</c:v>
                </c:pt>
                <c:pt idx="10">
                  <c:v>1119.5</c:v>
                </c:pt>
                <c:pt idx="11">
                  <c:v>1281.3</c:v>
                </c:pt>
                <c:pt idx="12">
                  <c:v>1345.4</c:v>
                </c:pt>
                <c:pt idx="13">
                  <c:v>1035.0999999999999</c:v>
                </c:pt>
                <c:pt idx="14">
                  <c:v>1537.6</c:v>
                </c:pt>
                <c:pt idx="15">
                  <c:v>1297.5</c:v>
                </c:pt>
                <c:pt idx="16">
                  <c:v>1494.7</c:v>
                </c:pt>
                <c:pt idx="17">
                  <c:v>1350.7</c:v>
                </c:pt>
                <c:pt idx="18">
                  <c:v>1348.2</c:v>
                </c:pt>
                <c:pt idx="19">
                  <c:v>1486.3</c:v>
                </c:pt>
                <c:pt idx="20">
                  <c:v>1494.6</c:v>
                </c:pt>
                <c:pt idx="21">
                  <c:v>1414.7</c:v>
                </c:pt>
                <c:pt idx="22">
                  <c:v>1429.6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0.14260966551572754</c:v>
                </c:pt>
                <c:pt idx="6">
                  <c:v>0.16928648675838134</c:v>
                </c:pt>
                <c:pt idx="7">
                  <c:v>0.15182613945064893</c:v>
                </c:pt>
                <c:pt idx="8">
                  <c:v>0.1780306958415431</c:v>
                </c:pt>
                <c:pt idx="9">
                  <c:v>0.25833141048884206</c:v>
                </c:pt>
                <c:pt idx="10">
                  <c:v>0.27755051444155199</c:v>
                </c:pt>
                <c:pt idx="11">
                  <c:v>0.12673214444675232</c:v>
                </c:pt>
                <c:pt idx="12">
                  <c:v>0.18771102491838046</c:v>
                </c:pt>
                <c:pt idx="13">
                  <c:v>0.13467168004579694</c:v>
                </c:pt>
                <c:pt idx="14">
                  <c:v>0.1570004901159941</c:v>
                </c:pt>
                <c:pt idx="15">
                  <c:v>0.15000867102144633</c:v>
                </c:pt>
                <c:pt idx="16">
                  <c:v>0.31429652837647459</c:v>
                </c:pt>
                <c:pt idx="17">
                  <c:v>0.35510161158871628</c:v>
                </c:pt>
                <c:pt idx="18">
                  <c:v>0.30329344011518045</c:v>
                </c:pt>
                <c:pt idx="19">
                  <c:v>0.16022552095124135</c:v>
                </c:pt>
                <c:pt idx="20">
                  <c:v>0.16651811578056061</c:v>
                </c:pt>
                <c:pt idx="21">
                  <c:v>0.16263349695931575</c:v>
                </c:pt>
                <c:pt idx="22">
                  <c:v>0.16442389529133022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topLeftCell="A14" colorId="22" zoomScale="115" zoomScaleNormal="115" zoomScaleSheetLayoutView="80" workbookViewId="0">
      <selection activeCell="E26" sqref="E26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4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18" t="s">
        <v>209</v>
      </c>
      <c r="C1" s="918"/>
      <c r="D1" s="918"/>
      <c r="E1" s="918"/>
      <c r="F1" s="918"/>
      <c r="G1" s="918"/>
      <c r="H1" s="918"/>
      <c r="I1" s="918"/>
      <c r="J1" s="918"/>
      <c r="K1" s="918"/>
      <c r="L1" s="918"/>
      <c r="M1" s="918"/>
      <c r="N1" s="363"/>
      <c r="O1" s="919" t="str">
        <f>B1</f>
        <v>ENTRIES FOR DAILY CONS. MONITOR</v>
      </c>
      <c r="P1" s="919"/>
      <c r="Q1" s="919"/>
      <c r="R1" s="919"/>
      <c r="S1" s="919"/>
      <c r="T1" s="919"/>
      <c r="U1" s="919"/>
      <c r="V1" s="919"/>
      <c r="W1" s="919"/>
      <c r="X1" s="919"/>
      <c r="Y1" s="919"/>
      <c r="Z1" s="919"/>
      <c r="AA1" s="919"/>
      <c r="AB1" s="919"/>
    </row>
    <row r="2" spans="1:44" ht="16.5" thickBot="1" x14ac:dyDescent="0.25">
      <c r="C2" s="810"/>
      <c r="F2" s="364"/>
      <c r="G2" s="365"/>
      <c r="O2" s="926" t="s">
        <v>231</v>
      </c>
      <c r="P2" s="926"/>
      <c r="Q2" s="926"/>
      <c r="R2" s="926"/>
      <c r="S2" s="926"/>
      <c r="T2" s="926"/>
      <c r="U2" s="926"/>
      <c r="V2" s="926"/>
    </row>
    <row r="3" spans="1:44" ht="20.100000000000001" customHeight="1" x14ac:dyDescent="0.2">
      <c r="A3" s="366"/>
      <c r="B3" s="367"/>
      <c r="C3" s="811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09" t="s">
        <v>53</v>
      </c>
      <c r="M3" s="910"/>
      <c r="N3" s="911"/>
      <c r="O3" s="920" t="s">
        <v>3</v>
      </c>
      <c r="P3" s="920"/>
      <c r="Q3" s="920"/>
      <c r="R3" s="920"/>
      <c r="S3" s="920"/>
      <c r="T3" s="920"/>
      <c r="U3" s="920"/>
      <c r="V3" s="920"/>
      <c r="W3" s="920"/>
      <c r="X3" s="920"/>
      <c r="Y3" s="920"/>
      <c r="Z3" s="920"/>
      <c r="AA3" s="920"/>
      <c r="AB3" s="920"/>
      <c r="AC3" s="920"/>
      <c r="AD3" s="372"/>
      <c r="AE3" s="373"/>
      <c r="AF3" s="372"/>
      <c r="AG3" s="904" t="s">
        <v>206</v>
      </c>
      <c r="AH3" s="902" t="s">
        <v>204</v>
      </c>
      <c r="AI3" s="902" t="s">
        <v>205</v>
      </c>
      <c r="AJ3" s="905" t="s">
        <v>233</v>
      </c>
      <c r="AK3" s="416"/>
      <c r="AL3" s="906" t="s">
        <v>178</v>
      </c>
      <c r="AM3" s="906"/>
      <c r="AN3" s="906"/>
      <c r="AO3" s="906"/>
    </row>
    <row r="4" spans="1:44" ht="32.25" customHeight="1" x14ac:dyDescent="0.2">
      <c r="A4" s="374"/>
      <c r="B4" s="371" t="s">
        <v>23</v>
      </c>
      <c r="C4" s="812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27" t="s">
        <v>289</v>
      </c>
      <c r="M4" s="376" t="s">
        <v>260</v>
      </c>
      <c r="N4" s="912" t="s">
        <v>167</v>
      </c>
      <c r="O4" s="914" t="s">
        <v>100</v>
      </c>
      <c r="P4" s="914" t="s">
        <v>101</v>
      </c>
      <c r="Q4" s="914" t="s">
        <v>160</v>
      </c>
      <c r="R4" s="914" t="s">
        <v>171</v>
      </c>
      <c r="S4" s="914" t="s">
        <v>102</v>
      </c>
      <c r="T4" s="914" t="s">
        <v>172</v>
      </c>
      <c r="U4" s="914" t="s">
        <v>103</v>
      </c>
      <c r="V4" s="924" t="s">
        <v>236</v>
      </c>
      <c r="W4" s="914" t="s">
        <v>177</v>
      </c>
      <c r="X4" s="372" t="s">
        <v>96</v>
      </c>
      <c r="Y4" s="372" t="s">
        <v>97</v>
      </c>
      <c r="Z4" s="372" t="s">
        <v>98</v>
      </c>
      <c r="AA4" s="920" t="s">
        <v>68</v>
      </c>
      <c r="AB4" s="922" t="s">
        <v>69</v>
      </c>
      <c r="AC4" s="925" t="s">
        <v>151</v>
      </c>
      <c r="AD4" s="914" t="s">
        <v>154</v>
      </c>
      <c r="AE4" s="914" t="s">
        <v>155</v>
      </c>
      <c r="AF4" s="914" t="s">
        <v>159</v>
      </c>
      <c r="AG4" s="904"/>
      <c r="AH4" s="903"/>
      <c r="AI4" s="903"/>
      <c r="AJ4" s="905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3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28"/>
      <c r="M5" s="466" t="s">
        <v>261</v>
      </c>
      <c r="N5" s="913"/>
      <c r="O5" s="915"/>
      <c r="P5" s="914"/>
      <c r="Q5" s="914"/>
      <c r="R5" s="914"/>
      <c r="S5" s="915"/>
      <c r="T5" s="915"/>
      <c r="U5" s="915"/>
      <c r="V5" s="924"/>
      <c r="W5" s="916"/>
      <c r="X5" s="372" t="s">
        <v>104</v>
      </c>
      <c r="Y5" s="372" t="s">
        <v>104</v>
      </c>
      <c r="Z5" s="372" t="s">
        <v>104</v>
      </c>
      <c r="AA5" s="921"/>
      <c r="AB5" s="923"/>
      <c r="AC5" s="925"/>
      <c r="AD5" s="914"/>
      <c r="AE5" s="914"/>
      <c r="AF5" s="917"/>
      <c r="AG5" s="904"/>
      <c r="AH5" s="903"/>
      <c r="AI5" s="903"/>
      <c r="AJ5" s="905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5">
        <v>8521060</v>
      </c>
      <c r="C6" s="816">
        <v>1664248</v>
      </c>
      <c r="D6" s="817"/>
      <c r="E6" s="817">
        <v>64</v>
      </c>
      <c r="F6" s="817">
        <v>11257.8</v>
      </c>
      <c r="G6" s="817">
        <v>68225</v>
      </c>
      <c r="H6" s="818"/>
      <c r="I6" s="819">
        <v>1879366</v>
      </c>
      <c r="J6" s="876"/>
      <c r="K6" s="818">
        <v>468000</v>
      </c>
      <c r="L6" s="817">
        <v>86618.26</v>
      </c>
      <c r="M6" s="821">
        <v>630345.15</v>
      </c>
      <c r="N6" s="819">
        <v>84635.48</v>
      </c>
      <c r="O6" s="822">
        <v>252994</v>
      </c>
      <c r="P6" s="823">
        <v>85776</v>
      </c>
      <c r="Q6" s="817">
        <v>989503</v>
      </c>
      <c r="R6" s="817"/>
      <c r="S6" s="817">
        <v>97233</v>
      </c>
      <c r="T6" s="817"/>
      <c r="U6" s="817">
        <v>538</v>
      </c>
      <c r="V6" s="824">
        <v>1366036</v>
      </c>
      <c r="W6" s="817"/>
      <c r="X6" s="825">
        <v>49130</v>
      </c>
      <c r="Y6" s="817">
        <v>70773</v>
      </c>
      <c r="Z6" s="817">
        <v>15697</v>
      </c>
      <c r="AA6" s="817">
        <v>97122</v>
      </c>
      <c r="AB6" s="817"/>
      <c r="AC6" s="817">
        <v>6750</v>
      </c>
      <c r="AD6" s="817">
        <v>263787</v>
      </c>
      <c r="AE6" s="817"/>
      <c r="AF6" s="819"/>
      <c r="AG6" s="817"/>
      <c r="AH6" s="817"/>
      <c r="AI6" s="826"/>
      <c r="AJ6" s="880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5">
        <v>8522020</v>
      </c>
      <c r="C7" s="887">
        <v>1667565.2</v>
      </c>
      <c r="D7" s="817"/>
      <c r="E7" s="817">
        <v>64</v>
      </c>
      <c r="F7" s="817">
        <v>11278.3</v>
      </c>
      <c r="G7" s="817">
        <v>68225</v>
      </c>
      <c r="H7" s="818"/>
      <c r="I7" s="819">
        <v>1886735</v>
      </c>
      <c r="J7" s="820"/>
      <c r="K7" s="818">
        <v>468000</v>
      </c>
      <c r="L7" s="817">
        <v>87182.39</v>
      </c>
      <c r="M7" s="821">
        <v>631924.63</v>
      </c>
      <c r="N7" s="819">
        <v>84829.82</v>
      </c>
      <c r="O7" s="822">
        <v>253049</v>
      </c>
      <c r="P7" s="823">
        <v>85956</v>
      </c>
      <c r="Q7" s="817">
        <v>989752</v>
      </c>
      <c r="R7" s="817"/>
      <c r="S7" s="827">
        <v>97390</v>
      </c>
      <c r="T7" s="817"/>
      <c r="U7" s="817">
        <v>540</v>
      </c>
      <c r="V7" s="824">
        <v>1366284</v>
      </c>
      <c r="W7" s="817"/>
      <c r="X7" s="825">
        <v>49189</v>
      </c>
      <c r="Y7" s="817">
        <v>70872</v>
      </c>
      <c r="Z7" s="817">
        <v>15716</v>
      </c>
      <c r="AA7" s="817">
        <v>97122</v>
      </c>
      <c r="AB7" s="817"/>
      <c r="AC7" s="817">
        <v>6766</v>
      </c>
      <c r="AD7" s="817">
        <v>263787</v>
      </c>
      <c r="AE7" s="817"/>
      <c r="AF7" s="819"/>
      <c r="AG7" s="817"/>
      <c r="AH7" s="817"/>
      <c r="AI7" s="826"/>
      <c r="AJ7" s="880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5">
        <v>8522020</v>
      </c>
      <c r="C8" s="816">
        <v>1669800.3</v>
      </c>
      <c r="D8" s="817"/>
      <c r="E8" s="817">
        <v>64</v>
      </c>
      <c r="F8" s="817">
        <v>11294.9</v>
      </c>
      <c r="G8" s="817">
        <v>68225</v>
      </c>
      <c r="H8" s="818"/>
      <c r="I8" s="819">
        <v>1893824</v>
      </c>
      <c r="J8" s="820"/>
      <c r="K8" s="818">
        <v>468000</v>
      </c>
      <c r="L8" s="817">
        <v>87657.8</v>
      </c>
      <c r="M8" s="821">
        <v>633066.25</v>
      </c>
      <c r="N8" s="819">
        <v>84975.92</v>
      </c>
      <c r="O8" s="822">
        <v>253181</v>
      </c>
      <c r="P8" s="823">
        <v>86136</v>
      </c>
      <c r="Q8" s="817">
        <v>989942</v>
      </c>
      <c r="R8" s="817"/>
      <c r="S8" s="817">
        <v>97516</v>
      </c>
      <c r="T8" s="817"/>
      <c r="U8" s="817">
        <v>543</v>
      </c>
      <c r="V8" s="824">
        <v>1366475</v>
      </c>
      <c r="W8" s="817"/>
      <c r="X8" s="825">
        <v>49233</v>
      </c>
      <c r="Y8" s="817">
        <v>70953</v>
      </c>
      <c r="Z8" s="817">
        <v>15732</v>
      </c>
      <c r="AA8" s="817">
        <v>97122</v>
      </c>
      <c r="AB8" s="817"/>
      <c r="AC8" s="817">
        <v>6781</v>
      </c>
      <c r="AD8" s="817">
        <v>263787</v>
      </c>
      <c r="AE8" s="817"/>
      <c r="AF8" s="819"/>
      <c r="AG8" s="817"/>
      <c r="AH8" s="817"/>
      <c r="AI8" s="826"/>
      <c r="AJ8" s="880">
        <v>7383497.2000000002</v>
      </c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5">
        <v>8522020</v>
      </c>
      <c r="C9" s="816">
        <v>1670038.6</v>
      </c>
      <c r="D9" s="817"/>
      <c r="E9" s="817">
        <v>64</v>
      </c>
      <c r="F9" s="817">
        <v>11296.5</v>
      </c>
      <c r="G9" s="817">
        <v>68225</v>
      </c>
      <c r="H9" s="818"/>
      <c r="I9" s="819">
        <v>1897596</v>
      </c>
      <c r="J9" s="820"/>
      <c r="K9" s="818">
        <v>468000</v>
      </c>
      <c r="L9" s="817">
        <v>87657.8</v>
      </c>
      <c r="M9" s="821">
        <v>633066.25</v>
      </c>
      <c r="N9" s="819">
        <v>84975.92</v>
      </c>
      <c r="O9" s="822">
        <v>253181</v>
      </c>
      <c r="P9" s="823">
        <v>86263</v>
      </c>
      <c r="Q9" s="817">
        <v>989987</v>
      </c>
      <c r="R9" s="817"/>
      <c r="S9" s="817">
        <v>97516</v>
      </c>
      <c r="T9" s="817"/>
      <c r="U9" s="817">
        <v>543</v>
      </c>
      <c r="V9" s="824">
        <v>1366609</v>
      </c>
      <c r="W9" s="817"/>
      <c r="X9" s="825">
        <v>49233</v>
      </c>
      <c r="Y9" s="817">
        <v>70953</v>
      </c>
      <c r="Z9" s="817">
        <v>15735</v>
      </c>
      <c r="AA9" s="817">
        <v>97122</v>
      </c>
      <c r="AB9" s="817"/>
      <c r="AC9" s="817">
        <v>6781</v>
      </c>
      <c r="AD9" s="817">
        <v>263787</v>
      </c>
      <c r="AE9" s="817"/>
      <c r="AF9" s="819"/>
      <c r="AG9" s="817"/>
      <c r="AH9" s="817"/>
      <c r="AI9" s="817"/>
      <c r="AJ9" s="880">
        <v>7383497.2000000002</v>
      </c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5">
        <v>8522020</v>
      </c>
      <c r="C10" s="816">
        <v>1670373.5</v>
      </c>
      <c r="D10" s="817"/>
      <c r="E10" s="817">
        <v>64</v>
      </c>
      <c r="F10" s="817">
        <v>11298.4</v>
      </c>
      <c r="G10" s="817">
        <v>68225</v>
      </c>
      <c r="H10" s="818"/>
      <c r="I10" s="819">
        <v>1901658</v>
      </c>
      <c r="J10" s="820"/>
      <c r="K10" s="818">
        <v>468000</v>
      </c>
      <c r="L10" s="817">
        <v>87657.8</v>
      </c>
      <c r="M10" s="821">
        <v>633066.25</v>
      </c>
      <c r="N10" s="819">
        <v>84975.92</v>
      </c>
      <c r="O10" s="822">
        <v>253245</v>
      </c>
      <c r="P10" s="823">
        <v>86263</v>
      </c>
      <c r="Q10" s="817">
        <v>990034</v>
      </c>
      <c r="R10" s="817"/>
      <c r="S10" s="817">
        <v>97516</v>
      </c>
      <c r="T10" s="817"/>
      <c r="U10" s="817">
        <v>543</v>
      </c>
      <c r="V10" s="824">
        <v>1366609</v>
      </c>
      <c r="W10" s="817"/>
      <c r="X10" s="825">
        <v>49233</v>
      </c>
      <c r="Y10" s="817">
        <v>70953</v>
      </c>
      <c r="Z10" s="817">
        <v>15737</v>
      </c>
      <c r="AA10" s="817">
        <v>97122</v>
      </c>
      <c r="AB10" s="817"/>
      <c r="AC10" s="817">
        <v>6781</v>
      </c>
      <c r="AD10" s="817">
        <v>263787</v>
      </c>
      <c r="AE10" s="817"/>
      <c r="AF10" s="819"/>
      <c r="AG10" s="817"/>
      <c r="AH10" s="817"/>
      <c r="AI10" s="817"/>
      <c r="AJ10" s="880">
        <v>7383497.2000000002</v>
      </c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5">
        <v>8522020</v>
      </c>
      <c r="C11" s="816">
        <v>1673725.1</v>
      </c>
      <c r="D11" s="817"/>
      <c r="E11" s="817">
        <v>64</v>
      </c>
      <c r="F11" s="817">
        <v>11318.3</v>
      </c>
      <c r="G11" s="817">
        <v>68225</v>
      </c>
      <c r="H11" s="818"/>
      <c r="I11" s="819">
        <v>1906432</v>
      </c>
      <c r="J11" s="820"/>
      <c r="K11" s="818">
        <v>468000</v>
      </c>
      <c r="L11" s="817">
        <v>88065.59</v>
      </c>
      <c r="M11" s="821">
        <v>634649.56000000006</v>
      </c>
      <c r="N11" s="819">
        <v>85154.74</v>
      </c>
      <c r="O11" s="822">
        <v>253318</v>
      </c>
      <c r="P11" s="823">
        <v>86332</v>
      </c>
      <c r="Q11" s="817">
        <v>990220</v>
      </c>
      <c r="R11" s="817"/>
      <c r="S11" s="817">
        <v>97698</v>
      </c>
      <c r="T11" s="817"/>
      <c r="U11" s="817">
        <v>544</v>
      </c>
      <c r="V11" s="824">
        <v>1366609</v>
      </c>
      <c r="W11" s="817"/>
      <c r="X11" s="825">
        <v>49271</v>
      </c>
      <c r="Y11" s="817">
        <v>71065</v>
      </c>
      <c r="Z11" s="817">
        <v>15757</v>
      </c>
      <c r="AA11" s="817">
        <v>97122</v>
      </c>
      <c r="AB11" s="817"/>
      <c r="AC11" s="817">
        <v>6798</v>
      </c>
      <c r="AD11" s="872">
        <v>263787</v>
      </c>
      <c r="AE11" s="817"/>
      <c r="AF11" s="819"/>
      <c r="AG11" s="817"/>
      <c r="AH11" s="817"/>
      <c r="AI11" s="817"/>
      <c r="AJ11" s="880">
        <v>7383497.2000000002</v>
      </c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5">
        <v>8522020</v>
      </c>
      <c r="C12" s="816">
        <v>1676379.8</v>
      </c>
      <c r="D12" s="817"/>
      <c r="E12" s="817">
        <v>64</v>
      </c>
      <c r="F12" s="817">
        <v>11338.7</v>
      </c>
      <c r="G12" s="817">
        <v>68225</v>
      </c>
      <c r="H12" s="818"/>
      <c r="I12" s="819">
        <v>1913658</v>
      </c>
      <c r="J12" s="820"/>
      <c r="K12" s="818">
        <v>468000</v>
      </c>
      <c r="L12" s="817">
        <v>88532.83</v>
      </c>
      <c r="M12" s="821">
        <v>636153.12</v>
      </c>
      <c r="N12" s="819">
        <v>85356.25</v>
      </c>
      <c r="O12" s="822">
        <v>253568</v>
      </c>
      <c r="P12" s="823">
        <v>86424</v>
      </c>
      <c r="Q12" s="817">
        <v>990423</v>
      </c>
      <c r="R12" s="817"/>
      <c r="S12" s="817">
        <v>97932</v>
      </c>
      <c r="T12" s="817"/>
      <c r="U12" s="817">
        <v>547</v>
      </c>
      <c r="V12" s="824">
        <v>1366778</v>
      </c>
      <c r="W12" s="817"/>
      <c r="X12" s="825">
        <v>49310</v>
      </c>
      <c r="Y12" s="817">
        <v>71164</v>
      </c>
      <c r="Z12" s="817">
        <v>15773</v>
      </c>
      <c r="AA12" s="817">
        <v>97122</v>
      </c>
      <c r="AB12" s="817"/>
      <c r="AC12" s="817">
        <v>6815</v>
      </c>
      <c r="AD12" s="872">
        <v>263787</v>
      </c>
      <c r="AE12" s="817"/>
      <c r="AF12" s="819"/>
      <c r="AG12" s="817"/>
      <c r="AH12" s="817"/>
      <c r="AI12" s="817"/>
      <c r="AJ12" s="880">
        <v>7383613.8779999996</v>
      </c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5">
        <v>8522020</v>
      </c>
      <c r="C13" s="816">
        <v>1679130.4</v>
      </c>
      <c r="D13" s="817"/>
      <c r="E13" s="817">
        <v>64</v>
      </c>
      <c r="F13" s="817">
        <v>11357.9</v>
      </c>
      <c r="G13" s="817">
        <v>68225</v>
      </c>
      <c r="H13" s="818"/>
      <c r="I13" s="819">
        <v>1920264</v>
      </c>
      <c r="J13" s="820"/>
      <c r="K13" s="818">
        <v>468000</v>
      </c>
      <c r="L13" s="817">
        <v>88837.55</v>
      </c>
      <c r="M13" s="821">
        <v>637569.31000000006</v>
      </c>
      <c r="N13" s="819">
        <v>85576.66</v>
      </c>
      <c r="O13" s="822">
        <v>253802</v>
      </c>
      <c r="P13" s="823">
        <v>86571</v>
      </c>
      <c r="Q13" s="817">
        <v>990642</v>
      </c>
      <c r="R13" s="817"/>
      <c r="S13" s="817">
        <v>98159</v>
      </c>
      <c r="T13" s="817"/>
      <c r="U13" s="817">
        <v>550</v>
      </c>
      <c r="V13" s="824">
        <v>1366929</v>
      </c>
      <c r="W13" s="817"/>
      <c r="X13" s="825">
        <v>49360</v>
      </c>
      <c r="Y13" s="817">
        <v>71255</v>
      </c>
      <c r="Z13" s="817">
        <v>15789</v>
      </c>
      <c r="AA13" s="817">
        <v>97122</v>
      </c>
      <c r="AB13" s="817"/>
      <c r="AC13" s="817">
        <v>6832</v>
      </c>
      <c r="AD13" s="817">
        <v>263787</v>
      </c>
      <c r="AE13" s="817"/>
      <c r="AF13" s="819"/>
      <c r="AG13" s="817" t="s">
        <v>55</v>
      </c>
      <c r="AH13" s="817"/>
      <c r="AI13" s="817"/>
      <c r="AJ13" s="880">
        <v>7383613.8779999996</v>
      </c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5">
        <v>8522020</v>
      </c>
      <c r="C14" s="816">
        <v>1682101.2</v>
      </c>
      <c r="D14" s="817"/>
      <c r="E14" s="817">
        <v>64</v>
      </c>
      <c r="F14" s="817">
        <v>11378.1</v>
      </c>
      <c r="G14" s="817">
        <v>68225</v>
      </c>
      <c r="H14" s="818"/>
      <c r="I14" s="819">
        <v>1927851</v>
      </c>
      <c r="J14" s="820"/>
      <c r="K14" s="818">
        <v>468000</v>
      </c>
      <c r="L14" s="817">
        <v>89615.13</v>
      </c>
      <c r="M14" s="821">
        <v>639340.81000000006</v>
      </c>
      <c r="N14" s="819">
        <v>85799.84</v>
      </c>
      <c r="O14" s="822">
        <v>254161</v>
      </c>
      <c r="P14" s="823">
        <v>86661</v>
      </c>
      <c r="Q14" s="817">
        <v>990860</v>
      </c>
      <c r="R14" s="817"/>
      <c r="S14" s="817">
        <v>98346</v>
      </c>
      <c r="T14" s="817"/>
      <c r="U14" s="817">
        <v>554</v>
      </c>
      <c r="V14" s="824">
        <v>1367136</v>
      </c>
      <c r="W14" s="817"/>
      <c r="X14" s="825">
        <v>49427</v>
      </c>
      <c r="Y14" s="817">
        <v>71344</v>
      </c>
      <c r="Z14" s="817">
        <v>15806</v>
      </c>
      <c r="AA14" s="817">
        <v>97122</v>
      </c>
      <c r="AB14" s="817"/>
      <c r="AC14" s="817">
        <v>6850</v>
      </c>
      <c r="AD14" s="817">
        <v>263787</v>
      </c>
      <c r="AE14" s="817"/>
      <c r="AF14" s="819"/>
      <c r="AG14" s="817"/>
      <c r="AH14" s="817"/>
      <c r="AI14" s="817"/>
      <c r="AJ14" s="880">
        <v>7383613.8779999996</v>
      </c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5">
        <v>8522020</v>
      </c>
      <c r="C15" s="816">
        <v>1685007.4</v>
      </c>
      <c r="D15" s="817"/>
      <c r="E15" s="817">
        <v>64</v>
      </c>
      <c r="F15" s="817">
        <v>11396.3</v>
      </c>
      <c r="G15" s="817">
        <v>68225</v>
      </c>
      <c r="H15" s="818"/>
      <c r="I15" s="875">
        <v>1934192</v>
      </c>
      <c r="J15" s="876"/>
      <c r="K15" s="818">
        <v>468000</v>
      </c>
      <c r="L15" s="817">
        <v>90054.81</v>
      </c>
      <c r="M15" s="821">
        <v>640872.81000000006</v>
      </c>
      <c r="N15" s="819">
        <v>85980.74</v>
      </c>
      <c r="O15" s="822">
        <v>254539</v>
      </c>
      <c r="P15" s="823">
        <v>86922</v>
      </c>
      <c r="Q15" s="817">
        <v>991066</v>
      </c>
      <c r="R15" s="817"/>
      <c r="S15" s="817">
        <v>98538</v>
      </c>
      <c r="T15" s="817"/>
      <c r="U15" s="817">
        <v>557</v>
      </c>
      <c r="V15" s="824">
        <v>1367294</v>
      </c>
      <c r="W15" s="817"/>
      <c r="X15" s="825">
        <v>49468</v>
      </c>
      <c r="Y15" s="817">
        <v>71420</v>
      </c>
      <c r="Z15" s="817">
        <v>15830</v>
      </c>
      <c r="AA15" s="817">
        <v>97122</v>
      </c>
      <c r="AB15" s="817"/>
      <c r="AC15" s="817">
        <v>6864</v>
      </c>
      <c r="AD15" s="817">
        <v>263787</v>
      </c>
      <c r="AE15" s="817"/>
      <c r="AF15" s="819"/>
      <c r="AG15" s="817"/>
      <c r="AH15" s="817"/>
      <c r="AI15" s="817"/>
      <c r="AJ15" s="880">
        <v>7383613.8779999996</v>
      </c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5">
        <v>8522020</v>
      </c>
      <c r="C16" s="816">
        <v>1686556.9</v>
      </c>
      <c r="D16" s="817"/>
      <c r="E16" s="817">
        <v>64</v>
      </c>
      <c r="F16" s="817">
        <v>11412.8</v>
      </c>
      <c r="G16" s="817">
        <v>68225</v>
      </c>
      <c r="H16" s="818"/>
      <c r="I16" s="819">
        <v>1938692</v>
      </c>
      <c r="J16" s="876"/>
      <c r="K16" s="818">
        <v>468000</v>
      </c>
      <c r="L16" s="817">
        <v>90382.36</v>
      </c>
      <c r="M16" s="821">
        <v>641233.57999999996</v>
      </c>
      <c r="N16" s="819">
        <v>85985.83</v>
      </c>
      <c r="O16" s="822">
        <v>254694</v>
      </c>
      <c r="P16" s="823">
        <v>87082</v>
      </c>
      <c r="Q16" s="817">
        <v>991123</v>
      </c>
      <c r="R16" s="817"/>
      <c r="S16" s="817">
        <v>98700</v>
      </c>
      <c r="T16" s="817"/>
      <c r="U16" s="817">
        <v>557</v>
      </c>
      <c r="V16" s="824">
        <v>1367464</v>
      </c>
      <c r="W16" s="817"/>
      <c r="X16" s="825">
        <v>49473</v>
      </c>
      <c r="Y16" s="817">
        <v>71425</v>
      </c>
      <c r="Z16" s="817">
        <v>15841</v>
      </c>
      <c r="AA16" s="817">
        <v>97122</v>
      </c>
      <c r="AB16" s="817"/>
      <c r="AC16" s="817">
        <v>6865</v>
      </c>
      <c r="AD16" s="817">
        <v>263787</v>
      </c>
      <c r="AE16" s="817"/>
      <c r="AF16" s="819"/>
      <c r="AG16" s="817"/>
      <c r="AH16" s="817"/>
      <c r="AI16" s="817"/>
      <c r="AJ16" s="880">
        <v>7383613.8779999996</v>
      </c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5">
        <v>8522020</v>
      </c>
      <c r="C17" s="816">
        <v>1687099</v>
      </c>
      <c r="D17" s="817"/>
      <c r="E17" s="817">
        <v>64</v>
      </c>
      <c r="F17" s="817">
        <v>11415.6</v>
      </c>
      <c r="G17" s="817">
        <v>68225</v>
      </c>
      <c r="H17" s="818"/>
      <c r="I17" s="819">
        <v>1941606</v>
      </c>
      <c r="J17" s="876"/>
      <c r="K17" s="818">
        <v>468000</v>
      </c>
      <c r="L17" s="817">
        <v>90382.36</v>
      </c>
      <c r="M17" s="821">
        <v>641233.57999999996</v>
      </c>
      <c r="N17" s="819">
        <v>85985.83</v>
      </c>
      <c r="O17" s="822">
        <v>254694</v>
      </c>
      <c r="P17" s="823">
        <v>87085</v>
      </c>
      <c r="Q17" s="817">
        <v>991166</v>
      </c>
      <c r="R17" s="817"/>
      <c r="S17" s="817">
        <v>98718</v>
      </c>
      <c r="T17" s="817"/>
      <c r="U17" s="817">
        <v>557</v>
      </c>
      <c r="V17" s="824">
        <v>1367469</v>
      </c>
      <c r="W17" s="817"/>
      <c r="X17" s="825">
        <v>49473</v>
      </c>
      <c r="Y17" s="817">
        <v>71425</v>
      </c>
      <c r="Z17" s="817">
        <v>15850</v>
      </c>
      <c r="AA17" s="817">
        <v>97122</v>
      </c>
      <c r="AB17" s="817"/>
      <c r="AC17" s="817">
        <v>6865</v>
      </c>
      <c r="AD17" s="817">
        <v>263787</v>
      </c>
      <c r="AE17" s="817"/>
      <c r="AF17" s="819"/>
      <c r="AG17" s="817"/>
      <c r="AH17" s="817"/>
      <c r="AI17" s="817"/>
      <c r="AJ17" s="880">
        <v>7383613.8779999996</v>
      </c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5">
        <v>8522020</v>
      </c>
      <c r="C18" s="816">
        <v>1690549.3</v>
      </c>
      <c r="D18" s="817"/>
      <c r="E18" s="817">
        <v>64</v>
      </c>
      <c r="F18" s="817">
        <v>11433.7</v>
      </c>
      <c r="G18" s="817">
        <v>68225</v>
      </c>
      <c r="H18" s="818"/>
      <c r="I18" s="819">
        <v>1950435</v>
      </c>
      <c r="J18" s="876"/>
      <c r="K18" s="818">
        <v>468000</v>
      </c>
      <c r="L18" s="817">
        <v>90973.84</v>
      </c>
      <c r="M18" s="821">
        <v>642489.75</v>
      </c>
      <c r="N18" s="819">
        <v>86230.37</v>
      </c>
      <c r="O18" s="822">
        <v>254838</v>
      </c>
      <c r="P18" s="823">
        <v>87322</v>
      </c>
      <c r="Q18" s="817">
        <v>991335</v>
      </c>
      <c r="R18" s="817"/>
      <c r="S18" s="817">
        <v>98790</v>
      </c>
      <c r="T18" s="817"/>
      <c r="U18" s="817">
        <v>562</v>
      </c>
      <c r="V18" s="824">
        <v>1367716</v>
      </c>
      <c r="W18" s="817"/>
      <c r="X18" s="825">
        <v>49502</v>
      </c>
      <c r="Y18" s="817">
        <v>71544</v>
      </c>
      <c r="Z18" s="817">
        <v>15921</v>
      </c>
      <c r="AA18" s="817">
        <v>97122</v>
      </c>
      <c r="AB18" s="817"/>
      <c r="AC18" s="817">
        <v>6888</v>
      </c>
      <c r="AD18" s="817">
        <v>263787</v>
      </c>
      <c r="AE18" s="817"/>
      <c r="AF18" s="819"/>
      <c r="AG18" s="817"/>
      <c r="AH18" s="817"/>
      <c r="AI18" s="817"/>
      <c r="AJ18" s="880">
        <v>7383613.8779999996</v>
      </c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5">
        <v>8522020</v>
      </c>
      <c r="C19" s="816">
        <v>1692682.9</v>
      </c>
      <c r="D19" s="817"/>
      <c r="E19" s="817">
        <v>64</v>
      </c>
      <c r="F19" s="817">
        <v>11454</v>
      </c>
      <c r="G19" s="817">
        <v>68225</v>
      </c>
      <c r="H19" s="818"/>
      <c r="I19" s="819">
        <v>1956257</v>
      </c>
      <c r="J19" s="876"/>
      <c r="K19" s="818">
        <v>468000</v>
      </c>
      <c r="L19" s="817">
        <v>91256</v>
      </c>
      <c r="M19" s="821">
        <v>644517</v>
      </c>
      <c r="N19" s="819">
        <v>86516</v>
      </c>
      <c r="O19" s="822">
        <v>255073</v>
      </c>
      <c r="P19" s="823">
        <v>87434</v>
      </c>
      <c r="Q19" s="817">
        <v>991574</v>
      </c>
      <c r="R19" s="817"/>
      <c r="S19" s="817">
        <v>98876</v>
      </c>
      <c r="T19" s="817"/>
      <c r="U19" s="817">
        <v>565</v>
      </c>
      <c r="V19" s="824">
        <v>1367830</v>
      </c>
      <c r="W19" s="817"/>
      <c r="X19" s="825">
        <v>49529</v>
      </c>
      <c r="Y19" s="817">
        <v>71643</v>
      </c>
      <c r="Z19" s="817">
        <v>15936</v>
      </c>
      <c r="AA19" s="817">
        <v>97122</v>
      </c>
      <c r="AB19" s="817"/>
      <c r="AC19" s="817">
        <v>6914</v>
      </c>
      <c r="AD19" s="817">
        <v>263787</v>
      </c>
      <c r="AE19" s="817"/>
      <c r="AF19" s="819"/>
      <c r="AG19" s="817"/>
      <c r="AH19" s="817"/>
      <c r="AI19" s="817"/>
      <c r="AJ19" s="880">
        <v>7383613.8779999996</v>
      </c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5">
        <v>8522020</v>
      </c>
      <c r="C20" s="816">
        <v>1695679.2</v>
      </c>
      <c r="D20" s="817"/>
      <c r="E20" s="817">
        <v>64</v>
      </c>
      <c r="F20" s="817">
        <v>11474.2</v>
      </c>
      <c r="G20" s="817">
        <v>68225</v>
      </c>
      <c r="H20" s="818"/>
      <c r="I20" s="819">
        <v>1962908</v>
      </c>
      <c r="J20" s="876"/>
      <c r="K20" s="818">
        <v>468000</v>
      </c>
      <c r="L20" s="817">
        <v>91872.4</v>
      </c>
      <c r="M20" s="821">
        <v>646556</v>
      </c>
      <c r="N20" s="819">
        <v>86798</v>
      </c>
      <c r="O20" s="822">
        <v>255255</v>
      </c>
      <c r="P20" s="823">
        <v>87600</v>
      </c>
      <c r="Q20" s="817">
        <v>991795</v>
      </c>
      <c r="R20" s="817"/>
      <c r="S20" s="817">
        <v>99092</v>
      </c>
      <c r="T20" s="817"/>
      <c r="U20" s="817">
        <v>571</v>
      </c>
      <c r="V20" s="824">
        <v>1368005</v>
      </c>
      <c r="W20" s="817"/>
      <c r="X20" s="825">
        <v>49540</v>
      </c>
      <c r="Y20" s="817">
        <v>71757</v>
      </c>
      <c r="Z20" s="817">
        <v>15957</v>
      </c>
      <c r="AA20" s="817">
        <v>97122</v>
      </c>
      <c r="AB20" s="817"/>
      <c r="AC20" s="817">
        <v>6943</v>
      </c>
      <c r="AD20" s="817">
        <v>263787</v>
      </c>
      <c r="AE20" s="817"/>
      <c r="AF20" s="819"/>
      <c r="AG20" s="817"/>
      <c r="AH20" s="817"/>
      <c r="AI20" s="817"/>
      <c r="AJ20" s="880">
        <v>7383613.8779999996</v>
      </c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5">
        <v>8522020</v>
      </c>
      <c r="C21" s="816">
        <v>1698761.2</v>
      </c>
      <c r="D21" s="817"/>
      <c r="E21" s="817">
        <v>39</v>
      </c>
      <c r="F21" s="817">
        <v>11496.8</v>
      </c>
      <c r="G21" s="817">
        <v>68225</v>
      </c>
      <c r="H21" s="818"/>
      <c r="I21" s="819">
        <v>1971164</v>
      </c>
      <c r="J21" s="876"/>
      <c r="K21" s="818">
        <v>468000</v>
      </c>
      <c r="L21" s="817">
        <v>92879.47</v>
      </c>
      <c r="M21" s="821">
        <v>649499.23</v>
      </c>
      <c r="N21" s="819">
        <v>87105.57</v>
      </c>
      <c r="O21" s="822">
        <v>255504</v>
      </c>
      <c r="P21" s="823">
        <v>87810</v>
      </c>
      <c r="Q21" s="817">
        <v>992020</v>
      </c>
      <c r="R21" s="817"/>
      <c r="S21" s="817">
        <v>99312</v>
      </c>
      <c r="T21" s="817"/>
      <c r="U21" s="817">
        <v>578</v>
      </c>
      <c r="V21" s="824">
        <v>1368225</v>
      </c>
      <c r="W21" s="817"/>
      <c r="X21" s="825">
        <v>49560</v>
      </c>
      <c r="Y21" s="817">
        <v>71874</v>
      </c>
      <c r="Z21" s="817">
        <v>15984</v>
      </c>
      <c r="AA21" s="817">
        <v>97122</v>
      </c>
      <c r="AB21" s="817"/>
      <c r="AC21" s="817">
        <v>6974</v>
      </c>
      <c r="AD21" s="817">
        <v>263787</v>
      </c>
      <c r="AE21" s="817"/>
      <c r="AF21" s="819"/>
      <c r="AG21" s="817"/>
      <c r="AH21" s="817"/>
      <c r="AI21" s="817"/>
      <c r="AJ21" s="880">
        <v>7383613.8779999996</v>
      </c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5">
        <v>8522020</v>
      </c>
      <c r="C22" s="816">
        <v>1701696.6</v>
      </c>
      <c r="D22" s="817"/>
      <c r="E22" s="817">
        <v>39</v>
      </c>
      <c r="F22" s="817">
        <v>11518</v>
      </c>
      <c r="G22" s="817">
        <v>68225</v>
      </c>
      <c r="H22" s="818"/>
      <c r="I22" s="819">
        <v>1978516</v>
      </c>
      <c r="J22" s="876"/>
      <c r="K22" s="818">
        <v>468000</v>
      </c>
      <c r="L22" s="817">
        <v>93125.3</v>
      </c>
      <c r="M22" s="821">
        <v>650600.88</v>
      </c>
      <c r="N22" s="819">
        <v>87236.05</v>
      </c>
      <c r="O22" s="822">
        <v>255764</v>
      </c>
      <c r="P22" s="823">
        <v>88099</v>
      </c>
      <c r="Q22" s="817">
        <v>992221</v>
      </c>
      <c r="R22" s="817"/>
      <c r="S22" s="817">
        <v>99499</v>
      </c>
      <c r="T22" s="817"/>
      <c r="U22" s="817">
        <v>585</v>
      </c>
      <c r="V22" s="824">
        <v>1368525</v>
      </c>
      <c r="W22" s="817"/>
      <c r="X22" s="825">
        <v>49608</v>
      </c>
      <c r="Y22" s="817">
        <v>71938</v>
      </c>
      <c r="Z22" s="817">
        <v>16004</v>
      </c>
      <c r="AA22" s="817">
        <v>97122</v>
      </c>
      <c r="AB22" s="817"/>
      <c r="AC22" s="817">
        <v>6992</v>
      </c>
      <c r="AD22" s="817">
        <v>263787</v>
      </c>
      <c r="AE22" s="817"/>
      <c r="AF22" s="819"/>
      <c r="AG22" s="817"/>
      <c r="AH22" s="817"/>
      <c r="AI22" s="817"/>
      <c r="AJ22" s="880">
        <v>7383613.8779999996</v>
      </c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5">
        <v>8522020</v>
      </c>
      <c r="C23" s="816">
        <v>1701874</v>
      </c>
      <c r="D23" s="817"/>
      <c r="E23" s="817">
        <v>44</v>
      </c>
      <c r="F23" s="817">
        <v>11519.3</v>
      </c>
      <c r="G23" s="817">
        <v>68225</v>
      </c>
      <c r="H23" s="818"/>
      <c r="I23" s="819">
        <v>1981777</v>
      </c>
      <c r="J23" s="876"/>
      <c r="K23" s="818">
        <v>468000</v>
      </c>
      <c r="L23" s="817">
        <v>93125.3</v>
      </c>
      <c r="M23" s="821">
        <v>650600.88</v>
      </c>
      <c r="N23" s="819">
        <v>87236.05</v>
      </c>
      <c r="O23" s="822">
        <v>255764</v>
      </c>
      <c r="P23" s="823">
        <v>88099</v>
      </c>
      <c r="Q23" s="817">
        <v>992256</v>
      </c>
      <c r="R23" s="817"/>
      <c r="S23" s="817">
        <v>99521</v>
      </c>
      <c r="T23" s="817"/>
      <c r="U23" s="817">
        <v>585</v>
      </c>
      <c r="V23" s="824">
        <v>1368525</v>
      </c>
      <c r="W23" s="817"/>
      <c r="X23" s="825">
        <v>49613</v>
      </c>
      <c r="Y23" s="817">
        <v>71943</v>
      </c>
      <c r="Z23" s="817">
        <v>16008</v>
      </c>
      <c r="AA23" s="817">
        <v>97122</v>
      </c>
      <c r="AB23" s="817"/>
      <c r="AC23" s="817">
        <v>6992</v>
      </c>
      <c r="AD23" s="817">
        <v>263787</v>
      </c>
      <c r="AE23" s="817"/>
      <c r="AF23" s="819"/>
      <c r="AG23" s="817"/>
      <c r="AH23" s="817"/>
      <c r="AI23" s="817"/>
      <c r="AJ23" s="880">
        <v>7383613.8779999996</v>
      </c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5">
        <v>8522020</v>
      </c>
      <c r="C24" s="816">
        <v>1701874</v>
      </c>
      <c r="D24" s="817"/>
      <c r="E24" s="817">
        <v>44</v>
      </c>
      <c r="F24" s="817">
        <v>11519.3</v>
      </c>
      <c r="G24" s="817">
        <v>68225</v>
      </c>
      <c r="H24" s="818"/>
      <c r="I24" s="819">
        <v>1984230</v>
      </c>
      <c r="J24" s="876"/>
      <c r="K24" s="818">
        <v>468000</v>
      </c>
      <c r="L24" s="817">
        <v>93125.3</v>
      </c>
      <c r="M24" s="821">
        <v>650600.88</v>
      </c>
      <c r="N24" s="819">
        <v>87236.05</v>
      </c>
      <c r="O24" s="822">
        <v>255764</v>
      </c>
      <c r="P24" s="823">
        <v>88099</v>
      </c>
      <c r="Q24" s="817">
        <v>992323</v>
      </c>
      <c r="R24" s="817"/>
      <c r="S24" s="817">
        <v>99521</v>
      </c>
      <c r="T24" s="817"/>
      <c r="U24" s="817">
        <v>585</v>
      </c>
      <c r="V24" s="824">
        <v>1368525</v>
      </c>
      <c r="W24" s="817"/>
      <c r="X24" s="825">
        <v>49613</v>
      </c>
      <c r="Y24" s="817">
        <v>71978</v>
      </c>
      <c r="Z24" s="817">
        <v>16008</v>
      </c>
      <c r="AA24" s="817">
        <v>97122</v>
      </c>
      <c r="AB24" s="817"/>
      <c r="AC24" s="817">
        <v>6992</v>
      </c>
      <c r="AD24" s="817">
        <v>263787</v>
      </c>
      <c r="AE24" s="817"/>
      <c r="AF24" s="819"/>
      <c r="AG24" s="817"/>
      <c r="AH24" s="817"/>
      <c r="AI24" s="817"/>
      <c r="AJ24" s="880">
        <v>7383613.8779999996</v>
      </c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5">
        <v>8522020</v>
      </c>
      <c r="C25" s="816">
        <v>1703151.2</v>
      </c>
      <c r="D25" s="817"/>
      <c r="E25" s="817">
        <v>44</v>
      </c>
      <c r="F25" s="817">
        <v>11525.3</v>
      </c>
      <c r="G25" s="817">
        <v>68225</v>
      </c>
      <c r="H25" s="818"/>
      <c r="I25" s="819">
        <v>1987327</v>
      </c>
      <c r="J25" s="876"/>
      <c r="K25" s="818">
        <v>468000</v>
      </c>
      <c r="L25" s="817">
        <v>93125.3</v>
      </c>
      <c r="M25" s="821">
        <v>650600.88</v>
      </c>
      <c r="N25" s="819">
        <v>87236.05</v>
      </c>
      <c r="O25" s="822">
        <v>255799</v>
      </c>
      <c r="P25" s="823">
        <v>88182</v>
      </c>
      <c r="Q25" s="872">
        <v>992521</v>
      </c>
      <c r="R25" s="817"/>
      <c r="S25" s="817">
        <v>99521</v>
      </c>
      <c r="T25" s="817"/>
      <c r="U25" s="817">
        <v>585</v>
      </c>
      <c r="V25" s="824">
        <v>1368613</v>
      </c>
      <c r="W25" s="817"/>
      <c r="X25" s="825">
        <v>49613</v>
      </c>
      <c r="Y25" s="817">
        <v>71978</v>
      </c>
      <c r="Z25" s="817">
        <v>16012</v>
      </c>
      <c r="AA25" s="817">
        <v>97122</v>
      </c>
      <c r="AB25" s="817"/>
      <c r="AC25" s="817">
        <v>6996</v>
      </c>
      <c r="AD25" s="817">
        <v>263787</v>
      </c>
      <c r="AE25" s="817"/>
      <c r="AF25" s="819"/>
      <c r="AG25" s="817"/>
      <c r="AH25" s="817"/>
      <c r="AI25" s="817"/>
      <c r="AJ25" s="880">
        <v>7383613.8779999996</v>
      </c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5">
        <v>8522020</v>
      </c>
      <c r="C26" s="816">
        <v>1706962.6</v>
      </c>
      <c r="D26" s="817"/>
      <c r="E26" s="817">
        <v>44</v>
      </c>
      <c r="F26" s="817">
        <v>11548.7</v>
      </c>
      <c r="G26" s="817">
        <v>68225</v>
      </c>
      <c r="H26" s="818"/>
      <c r="I26" s="819">
        <v>1995117</v>
      </c>
      <c r="J26" s="876"/>
      <c r="K26" s="818">
        <v>468000</v>
      </c>
      <c r="L26" s="817">
        <v>94102.58</v>
      </c>
      <c r="M26" s="821">
        <v>652825.18999999994</v>
      </c>
      <c r="N26" s="819">
        <v>87541.21</v>
      </c>
      <c r="O26" s="822">
        <v>256065</v>
      </c>
      <c r="P26" s="823">
        <v>88312</v>
      </c>
      <c r="Q26" s="872">
        <v>992599</v>
      </c>
      <c r="R26" s="817"/>
      <c r="S26" s="817">
        <v>99661</v>
      </c>
      <c r="T26" s="817"/>
      <c r="U26" s="817">
        <v>591</v>
      </c>
      <c r="V26" s="824">
        <v>1368747</v>
      </c>
      <c r="W26" s="817"/>
      <c r="X26" s="825">
        <v>49654</v>
      </c>
      <c r="Y26" s="817">
        <v>72113</v>
      </c>
      <c r="Z26" s="817">
        <v>16059</v>
      </c>
      <c r="AA26" s="817">
        <v>97122</v>
      </c>
      <c r="AB26" s="817"/>
      <c r="AC26" s="817">
        <v>7025</v>
      </c>
      <c r="AD26" s="817">
        <v>263787</v>
      </c>
      <c r="AE26" s="817"/>
      <c r="AF26" s="819"/>
      <c r="AG26" s="817"/>
      <c r="AH26" s="817"/>
      <c r="AI26" s="817"/>
      <c r="AJ26" s="880">
        <v>7383613.8779999996</v>
      </c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5">
        <v>8522020</v>
      </c>
      <c r="C27" s="816">
        <v>1710623.6</v>
      </c>
      <c r="D27" s="817"/>
      <c r="E27" s="817">
        <v>44</v>
      </c>
      <c r="F27" s="817">
        <v>11569.9</v>
      </c>
      <c r="G27" s="817">
        <v>68225</v>
      </c>
      <c r="H27" s="818"/>
      <c r="I27" s="819">
        <v>2002598</v>
      </c>
      <c r="J27" s="876"/>
      <c r="K27" s="818">
        <v>468000</v>
      </c>
      <c r="L27" s="817">
        <v>94511.2</v>
      </c>
      <c r="M27" s="821">
        <v>655288.88</v>
      </c>
      <c r="N27" s="819">
        <v>87895.8</v>
      </c>
      <c r="O27" s="822">
        <v>256505</v>
      </c>
      <c r="P27" s="823">
        <v>88446</v>
      </c>
      <c r="Q27" s="817">
        <v>992891</v>
      </c>
      <c r="R27" s="817"/>
      <c r="S27" s="817">
        <v>99871</v>
      </c>
      <c r="T27" s="817"/>
      <c r="U27" s="817">
        <v>591</v>
      </c>
      <c r="V27" s="824">
        <v>1368887</v>
      </c>
      <c r="W27" s="817"/>
      <c r="X27" s="825">
        <v>49673</v>
      </c>
      <c r="Y27" s="817">
        <v>72271</v>
      </c>
      <c r="Z27" s="817">
        <v>16089</v>
      </c>
      <c r="AA27" s="817">
        <v>97122</v>
      </c>
      <c r="AB27" s="817"/>
      <c r="AC27" s="817">
        <v>7056</v>
      </c>
      <c r="AD27" s="817">
        <v>263787</v>
      </c>
      <c r="AE27" s="817"/>
      <c r="AF27" s="819"/>
      <c r="AG27" s="817"/>
      <c r="AH27" s="817"/>
      <c r="AI27" s="817"/>
      <c r="AJ27" s="880">
        <v>7383613.8779999996</v>
      </c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5">
        <v>8522020</v>
      </c>
      <c r="C28" s="816">
        <v>1713571.8</v>
      </c>
      <c r="D28" s="817"/>
      <c r="E28" s="817">
        <v>44</v>
      </c>
      <c r="F28" s="817">
        <v>11591.8</v>
      </c>
      <c r="G28" s="817">
        <v>68225</v>
      </c>
      <c r="H28" s="818"/>
      <c r="I28" s="819">
        <v>2009882</v>
      </c>
      <c r="J28" s="876"/>
      <c r="K28" s="818">
        <v>468000</v>
      </c>
      <c r="L28" s="817">
        <v>94863.41</v>
      </c>
      <c r="M28" s="821">
        <v>656484.12</v>
      </c>
      <c r="N28" s="819">
        <v>88068.75</v>
      </c>
      <c r="O28" s="822">
        <v>256702</v>
      </c>
      <c r="P28" s="823">
        <v>88654</v>
      </c>
      <c r="Q28" s="817">
        <v>993087</v>
      </c>
      <c r="R28" s="817"/>
      <c r="S28" s="817">
        <v>100087</v>
      </c>
      <c r="T28" s="817"/>
      <c r="U28" s="817">
        <v>594</v>
      </c>
      <c r="V28" s="824">
        <v>1369103</v>
      </c>
      <c r="W28" s="817"/>
      <c r="X28" s="825">
        <v>49699</v>
      </c>
      <c r="Y28" s="817">
        <v>72365</v>
      </c>
      <c r="Z28" s="817">
        <v>16118</v>
      </c>
      <c r="AA28" s="817">
        <v>97122</v>
      </c>
      <c r="AB28" s="817"/>
      <c r="AC28" s="817">
        <v>7079</v>
      </c>
      <c r="AD28" s="817">
        <v>263787</v>
      </c>
      <c r="AE28" s="817"/>
      <c r="AF28" s="819"/>
      <c r="AG28" s="817"/>
      <c r="AH28" s="817"/>
      <c r="AI28" s="817"/>
      <c r="AJ28" s="880">
        <v>7383613.8779999996</v>
      </c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5">
        <v>8522020</v>
      </c>
      <c r="C29" s="816">
        <v>1716643.4</v>
      </c>
      <c r="D29" s="817"/>
      <c r="E29" s="817">
        <v>44</v>
      </c>
      <c r="F29" s="817">
        <v>11613.2</v>
      </c>
      <c r="G29" s="817">
        <v>68225</v>
      </c>
      <c r="H29" s="818"/>
      <c r="I29" s="819">
        <v>2017147</v>
      </c>
      <c r="J29" s="876"/>
      <c r="K29" s="818">
        <v>468000</v>
      </c>
      <c r="L29" s="817">
        <v>95511.79</v>
      </c>
      <c r="M29" s="821">
        <v>658415.18999999994</v>
      </c>
      <c r="N29" s="819">
        <v>88314.54</v>
      </c>
      <c r="O29" s="822">
        <v>256912</v>
      </c>
      <c r="P29" s="823">
        <v>88847</v>
      </c>
      <c r="Q29" s="817">
        <v>993332</v>
      </c>
      <c r="R29" s="817"/>
      <c r="S29" s="817">
        <v>100266</v>
      </c>
      <c r="T29" s="817"/>
      <c r="U29" s="817">
        <v>598</v>
      </c>
      <c r="V29" s="824">
        <v>1369305</v>
      </c>
      <c r="W29" s="817"/>
      <c r="X29" s="825">
        <v>49740</v>
      </c>
      <c r="Y29" s="817">
        <v>72477</v>
      </c>
      <c r="Z29" s="817">
        <v>16144</v>
      </c>
      <c r="AA29" s="817">
        <v>97122</v>
      </c>
      <c r="AB29" s="817"/>
      <c r="AC29" s="817">
        <v>7099</v>
      </c>
      <c r="AD29" s="817">
        <v>263787</v>
      </c>
      <c r="AE29" s="817"/>
      <c r="AF29" s="819"/>
      <c r="AG29" s="817"/>
      <c r="AH29" s="817"/>
      <c r="AI29" s="817"/>
      <c r="AJ29" s="880">
        <v>7383617.4119999995</v>
      </c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5"/>
      <c r="C30" s="816"/>
      <c r="D30" s="817"/>
      <c r="E30" s="817"/>
      <c r="F30" s="817"/>
      <c r="G30" s="817"/>
      <c r="H30" s="818"/>
      <c r="I30" s="819"/>
      <c r="J30" s="876"/>
      <c r="K30" s="818"/>
      <c r="L30" s="817"/>
      <c r="M30" s="821"/>
      <c r="N30" s="819"/>
      <c r="O30" s="822"/>
      <c r="P30" s="823"/>
      <c r="Q30" s="817"/>
      <c r="R30" s="817"/>
      <c r="S30" s="817"/>
      <c r="T30" s="817"/>
      <c r="U30" s="817"/>
      <c r="V30" s="824"/>
      <c r="W30" s="817"/>
      <c r="X30" s="825"/>
      <c r="Y30" s="817"/>
      <c r="Z30" s="817"/>
      <c r="AA30" s="817"/>
      <c r="AB30" s="817"/>
      <c r="AC30" s="817"/>
      <c r="AD30" s="817"/>
      <c r="AE30" s="817"/>
      <c r="AF30" s="819"/>
      <c r="AG30" s="817"/>
      <c r="AH30" s="817"/>
      <c r="AI30" s="817"/>
      <c r="AJ30" s="880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5"/>
      <c r="C31" s="816"/>
      <c r="D31" s="817"/>
      <c r="E31" s="817"/>
      <c r="F31" s="817"/>
      <c r="G31" s="817"/>
      <c r="H31" s="818"/>
      <c r="I31" s="819"/>
      <c r="J31" s="876"/>
      <c r="K31" s="818"/>
      <c r="L31" s="817"/>
      <c r="M31" s="821"/>
      <c r="N31" s="819"/>
      <c r="O31" s="822"/>
      <c r="P31" s="823"/>
      <c r="Q31" s="817"/>
      <c r="R31" s="817"/>
      <c r="S31" s="817"/>
      <c r="T31" s="817"/>
      <c r="U31" s="817"/>
      <c r="V31" s="824"/>
      <c r="W31" s="817"/>
      <c r="X31" s="825"/>
      <c r="Y31" s="817"/>
      <c r="Z31" s="817"/>
      <c r="AA31" s="817"/>
      <c r="AB31" s="817"/>
      <c r="AC31" s="817"/>
      <c r="AD31" s="817"/>
      <c r="AE31" s="817"/>
      <c r="AF31" s="819"/>
      <c r="AG31" s="817"/>
      <c r="AH31" s="817"/>
      <c r="AI31" s="817"/>
      <c r="AJ31" s="880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5"/>
      <c r="C32" s="816"/>
      <c r="D32" s="817"/>
      <c r="E32" s="817"/>
      <c r="F32" s="817"/>
      <c r="G32" s="817"/>
      <c r="H32" s="818"/>
      <c r="I32" s="819"/>
      <c r="J32" s="876"/>
      <c r="K32" s="818"/>
      <c r="L32" s="817"/>
      <c r="M32" s="821"/>
      <c r="N32" s="819"/>
      <c r="O32" s="822"/>
      <c r="P32" s="823"/>
      <c r="Q32" s="817"/>
      <c r="R32" s="817"/>
      <c r="S32" s="882"/>
      <c r="T32" s="817"/>
      <c r="U32" s="817"/>
      <c r="V32" s="824"/>
      <c r="W32" s="817"/>
      <c r="X32" s="825"/>
      <c r="Y32" s="817"/>
      <c r="Z32" s="817"/>
      <c r="AA32" s="817"/>
      <c r="AB32" s="817"/>
      <c r="AC32" s="817"/>
      <c r="AD32" s="817"/>
      <c r="AE32" s="817"/>
      <c r="AF32" s="819"/>
      <c r="AG32" s="817"/>
      <c r="AH32" s="817"/>
      <c r="AI32" s="817"/>
      <c r="AJ32" s="880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5"/>
      <c r="C33" s="816"/>
      <c r="D33" s="817"/>
      <c r="E33" s="817"/>
      <c r="F33" s="817"/>
      <c r="G33" s="817"/>
      <c r="H33" s="818"/>
      <c r="I33" s="819"/>
      <c r="J33" s="876"/>
      <c r="K33" s="818"/>
      <c r="L33" s="817"/>
      <c r="M33" s="821"/>
      <c r="N33" s="819"/>
      <c r="O33" s="822"/>
      <c r="P33" s="823"/>
      <c r="Q33" s="817"/>
      <c r="R33" s="817"/>
      <c r="S33" s="882"/>
      <c r="T33" s="817"/>
      <c r="U33" s="817"/>
      <c r="V33" s="824"/>
      <c r="W33" s="817"/>
      <c r="X33" s="825"/>
      <c r="Y33" s="817"/>
      <c r="Z33" s="817"/>
      <c r="AA33" s="817"/>
      <c r="AB33" s="817"/>
      <c r="AC33" s="817"/>
      <c r="AD33" s="817"/>
      <c r="AE33" s="817"/>
      <c r="AF33" s="819"/>
      <c r="AG33" s="817"/>
      <c r="AH33" s="817"/>
      <c r="AI33" s="817"/>
      <c r="AJ33" s="880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5"/>
      <c r="C34" s="816"/>
      <c r="D34" s="817"/>
      <c r="E34" s="817"/>
      <c r="F34" s="817"/>
      <c r="G34" s="817"/>
      <c r="H34" s="818"/>
      <c r="I34" s="819"/>
      <c r="J34" s="876"/>
      <c r="K34" s="818"/>
      <c r="L34" s="817"/>
      <c r="M34" s="821"/>
      <c r="N34" s="819"/>
      <c r="O34" s="822"/>
      <c r="P34" s="823"/>
      <c r="Q34" s="817"/>
      <c r="R34" s="817"/>
      <c r="S34" s="817"/>
      <c r="T34" s="817"/>
      <c r="U34" s="817"/>
      <c r="V34" s="824"/>
      <c r="W34" s="817"/>
      <c r="X34" s="825"/>
      <c r="Y34" s="817"/>
      <c r="Z34" s="817"/>
      <c r="AA34" s="817"/>
      <c r="AB34" s="817"/>
      <c r="AC34" s="817"/>
      <c r="AD34" s="817"/>
      <c r="AE34" s="817"/>
      <c r="AF34" s="819"/>
      <c r="AG34" s="817"/>
      <c r="AH34" s="817"/>
      <c r="AI34" s="817"/>
      <c r="AJ34" s="880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5"/>
      <c r="C35" s="816"/>
      <c r="D35" s="192"/>
      <c r="E35" s="817"/>
      <c r="F35" s="817"/>
      <c r="G35" s="817"/>
      <c r="H35" s="193"/>
      <c r="I35" s="194"/>
      <c r="J35" s="711"/>
      <c r="K35" s="818"/>
      <c r="L35" s="817"/>
      <c r="M35" s="821"/>
      <c r="N35" s="819"/>
      <c r="O35" s="822"/>
      <c r="P35" s="823"/>
      <c r="Q35" s="817"/>
      <c r="R35" s="192"/>
      <c r="S35" s="817"/>
      <c r="T35" s="192"/>
      <c r="U35" s="817"/>
      <c r="V35" s="824"/>
      <c r="W35" s="192"/>
      <c r="X35" s="825"/>
      <c r="Y35" s="817"/>
      <c r="Z35" s="817"/>
      <c r="AA35" s="817"/>
      <c r="AB35" s="192"/>
      <c r="AC35" s="817"/>
      <c r="AD35" s="817"/>
      <c r="AE35" s="192"/>
      <c r="AF35" s="194"/>
      <c r="AG35" s="192"/>
      <c r="AH35" s="192"/>
      <c r="AI35" s="199"/>
      <c r="AJ35" s="880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4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4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07"/>
      <c r="J38" s="907"/>
      <c r="R38" s="190"/>
      <c r="S38" s="190"/>
      <c r="T38" s="190"/>
      <c r="U38" s="190"/>
      <c r="V38" s="190"/>
      <c r="W38" s="190"/>
      <c r="Z38" s="190"/>
      <c r="AA38" s="908"/>
      <c r="AB38" s="908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4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4"/>
    </row>
    <row r="178" spans="3:3" s="189" customFormat="1" x14ac:dyDescent="0.2">
      <c r="C178" s="814"/>
    </row>
    <row r="179" spans="3:3" s="189" customFormat="1" x14ac:dyDescent="0.2">
      <c r="C179" s="814"/>
    </row>
    <row r="180" spans="3:3" s="189" customFormat="1" x14ac:dyDescent="0.2">
      <c r="C180" s="814"/>
    </row>
    <row r="181" spans="3:3" s="189" customFormat="1" x14ac:dyDescent="0.2">
      <c r="C181" s="814"/>
    </row>
    <row r="182" spans="3:3" s="189" customFormat="1" x14ac:dyDescent="0.2">
      <c r="C182" s="814"/>
    </row>
    <row r="183" spans="3:3" s="189" customFormat="1" x14ac:dyDescent="0.2">
      <c r="C183" s="814"/>
    </row>
    <row r="184" spans="3:3" s="189" customFormat="1" x14ac:dyDescent="0.2">
      <c r="C184" s="814"/>
    </row>
    <row r="185" spans="3:3" s="189" customFormat="1" x14ac:dyDescent="0.2">
      <c r="C185" s="814"/>
    </row>
    <row r="186" spans="3:3" s="189" customFormat="1" x14ac:dyDescent="0.2">
      <c r="C186" s="814"/>
    </row>
    <row r="187" spans="3:3" s="189" customFormat="1" x14ac:dyDescent="0.2">
      <c r="C187" s="814"/>
    </row>
    <row r="188" spans="3:3" s="189" customFormat="1" x14ac:dyDescent="0.2">
      <c r="C188" s="814"/>
    </row>
    <row r="189" spans="3:3" s="189" customFormat="1" x14ac:dyDescent="0.2">
      <c r="C189" s="814"/>
    </row>
    <row r="190" spans="3:3" s="189" customFormat="1" x14ac:dyDescent="0.2">
      <c r="C190" s="814"/>
    </row>
    <row r="191" spans="3:3" s="189" customFormat="1" x14ac:dyDescent="0.2">
      <c r="C191" s="814"/>
    </row>
    <row r="192" spans="3:3" s="189" customFormat="1" x14ac:dyDescent="0.2">
      <c r="C192" s="814"/>
    </row>
    <row r="193" spans="3:3" s="189" customFormat="1" x14ac:dyDescent="0.2">
      <c r="C193" s="814"/>
    </row>
    <row r="194" spans="3:3" s="189" customFormat="1" x14ac:dyDescent="0.2">
      <c r="C194" s="814"/>
    </row>
    <row r="195" spans="3:3" s="189" customFormat="1" x14ac:dyDescent="0.2">
      <c r="C195" s="814"/>
    </row>
    <row r="196" spans="3:3" s="189" customFormat="1" x14ac:dyDescent="0.2">
      <c r="C196" s="814"/>
    </row>
    <row r="197" spans="3:3" s="189" customFormat="1" x14ac:dyDescent="0.2">
      <c r="C197" s="814"/>
    </row>
    <row r="198" spans="3:3" s="189" customFormat="1" x14ac:dyDescent="0.2">
      <c r="C198" s="814"/>
    </row>
    <row r="199" spans="3:3" s="189" customFormat="1" x14ac:dyDescent="0.2">
      <c r="C199" s="814"/>
    </row>
    <row r="200" spans="3:3" s="189" customFormat="1" x14ac:dyDescent="0.2">
      <c r="C200" s="814"/>
    </row>
    <row r="201" spans="3:3" s="189" customFormat="1" x14ac:dyDescent="0.2">
      <c r="C201" s="814"/>
    </row>
    <row r="202" spans="3:3" s="189" customFormat="1" x14ac:dyDescent="0.2">
      <c r="C202" s="814"/>
    </row>
    <row r="203" spans="3:3" s="189" customFormat="1" x14ac:dyDescent="0.2">
      <c r="C203" s="814"/>
    </row>
    <row r="204" spans="3:3" s="189" customFormat="1" x14ac:dyDescent="0.2">
      <c r="C204" s="814"/>
    </row>
    <row r="205" spans="3:3" s="189" customFormat="1" x14ac:dyDescent="0.2">
      <c r="C205" s="814"/>
    </row>
    <row r="206" spans="3:3" s="189" customFormat="1" x14ac:dyDescent="0.2">
      <c r="C206" s="814"/>
    </row>
    <row r="207" spans="3:3" s="189" customFormat="1" x14ac:dyDescent="0.2">
      <c r="C207" s="814"/>
    </row>
    <row r="208" spans="3:3" s="189" customFormat="1" x14ac:dyDescent="0.2">
      <c r="C208" s="814"/>
    </row>
    <row r="209" spans="3:3" s="189" customFormat="1" x14ac:dyDescent="0.2">
      <c r="C209" s="814"/>
    </row>
    <row r="210" spans="3:3" s="189" customFormat="1" x14ac:dyDescent="0.2">
      <c r="C210" s="814"/>
    </row>
    <row r="211" spans="3:3" s="189" customFormat="1" x14ac:dyDescent="0.2">
      <c r="C211" s="814"/>
    </row>
    <row r="212" spans="3:3" s="189" customFormat="1" x14ac:dyDescent="0.2">
      <c r="C212" s="814"/>
    </row>
    <row r="213" spans="3:3" s="189" customFormat="1" x14ac:dyDescent="0.2">
      <c r="C213" s="814"/>
    </row>
    <row r="214" spans="3:3" s="189" customFormat="1" x14ac:dyDescent="0.2">
      <c r="C214" s="814"/>
    </row>
    <row r="215" spans="3:3" s="189" customFormat="1" x14ac:dyDescent="0.2">
      <c r="C215" s="814"/>
    </row>
    <row r="216" spans="3:3" s="189" customFormat="1" x14ac:dyDescent="0.2">
      <c r="C216" s="814"/>
    </row>
    <row r="217" spans="3:3" s="189" customFormat="1" x14ac:dyDescent="0.2">
      <c r="C217" s="814"/>
    </row>
    <row r="218" spans="3:3" s="189" customFormat="1" x14ac:dyDescent="0.2">
      <c r="C218" s="814"/>
    </row>
    <row r="219" spans="3:3" s="189" customFormat="1" x14ac:dyDescent="0.2">
      <c r="C219" s="814"/>
    </row>
    <row r="220" spans="3:3" s="189" customFormat="1" x14ac:dyDescent="0.2">
      <c r="C220" s="814"/>
    </row>
    <row r="221" spans="3:3" s="189" customFormat="1" x14ac:dyDescent="0.2">
      <c r="C221" s="814"/>
    </row>
    <row r="222" spans="3:3" s="189" customFormat="1" x14ac:dyDescent="0.2">
      <c r="C222" s="814"/>
    </row>
    <row r="223" spans="3:3" s="189" customFormat="1" x14ac:dyDescent="0.2">
      <c r="C223" s="814"/>
    </row>
    <row r="224" spans="3:3" s="189" customFormat="1" x14ac:dyDescent="0.2">
      <c r="C224" s="814"/>
    </row>
    <row r="225" spans="3:3" s="189" customFormat="1" x14ac:dyDescent="0.2">
      <c r="C225" s="814"/>
    </row>
    <row r="226" spans="3:3" s="189" customFormat="1" x14ac:dyDescent="0.2">
      <c r="C226" s="814"/>
    </row>
    <row r="227" spans="3:3" s="189" customFormat="1" x14ac:dyDescent="0.2">
      <c r="C227" s="814"/>
    </row>
    <row r="228" spans="3:3" s="189" customFormat="1" x14ac:dyDescent="0.2">
      <c r="C228" s="814"/>
    </row>
    <row r="229" spans="3:3" s="189" customFormat="1" x14ac:dyDescent="0.2">
      <c r="C229" s="814"/>
    </row>
    <row r="230" spans="3:3" s="189" customFormat="1" x14ac:dyDescent="0.2">
      <c r="C230" s="814"/>
    </row>
    <row r="231" spans="3:3" s="189" customFormat="1" x14ac:dyDescent="0.2">
      <c r="C231" s="814"/>
    </row>
    <row r="232" spans="3:3" s="189" customFormat="1" x14ac:dyDescent="0.2">
      <c r="C232" s="814"/>
    </row>
    <row r="233" spans="3:3" s="189" customFormat="1" x14ac:dyDescent="0.2">
      <c r="C233" s="814"/>
    </row>
    <row r="234" spans="3:3" s="189" customFormat="1" x14ac:dyDescent="0.2">
      <c r="C234" s="814"/>
    </row>
    <row r="235" spans="3:3" s="189" customFormat="1" x14ac:dyDescent="0.2">
      <c r="C235" s="814"/>
    </row>
    <row r="236" spans="3:3" s="189" customFormat="1" x14ac:dyDescent="0.2">
      <c r="C236" s="814"/>
    </row>
    <row r="237" spans="3:3" s="189" customFormat="1" x14ac:dyDescent="0.2">
      <c r="C237" s="814"/>
    </row>
    <row r="238" spans="3:3" s="189" customFormat="1" x14ac:dyDescent="0.2">
      <c r="C238" s="814"/>
    </row>
    <row r="239" spans="3:3" s="189" customFormat="1" x14ac:dyDescent="0.2">
      <c r="C239" s="814"/>
    </row>
    <row r="240" spans="3:3" s="189" customFormat="1" x14ac:dyDescent="0.2">
      <c r="C240" s="814"/>
    </row>
    <row r="241" spans="3:3" s="189" customFormat="1" x14ac:dyDescent="0.2">
      <c r="C241" s="814"/>
    </row>
    <row r="242" spans="3:3" s="189" customFormat="1" x14ac:dyDescent="0.2">
      <c r="C242" s="814"/>
    </row>
    <row r="243" spans="3:3" s="189" customFormat="1" x14ac:dyDescent="0.2">
      <c r="C243" s="814"/>
    </row>
    <row r="244" spans="3:3" s="189" customFormat="1" x14ac:dyDescent="0.2">
      <c r="C244" s="814"/>
    </row>
    <row r="245" spans="3:3" s="189" customFormat="1" x14ac:dyDescent="0.2">
      <c r="C245" s="814"/>
    </row>
    <row r="246" spans="3:3" s="189" customFormat="1" x14ac:dyDescent="0.2">
      <c r="C246" s="814"/>
    </row>
    <row r="247" spans="3:3" s="189" customFormat="1" x14ac:dyDescent="0.2">
      <c r="C247" s="814"/>
    </row>
    <row r="248" spans="3:3" s="189" customFormat="1" x14ac:dyDescent="0.2">
      <c r="C248" s="814"/>
    </row>
    <row r="249" spans="3:3" s="189" customFormat="1" x14ac:dyDescent="0.2">
      <c r="C249" s="814"/>
    </row>
    <row r="250" spans="3:3" s="189" customFormat="1" x14ac:dyDescent="0.2">
      <c r="C250" s="814"/>
    </row>
    <row r="251" spans="3:3" s="189" customFormat="1" x14ac:dyDescent="0.2">
      <c r="C251" s="814"/>
    </row>
    <row r="252" spans="3:3" s="189" customFormat="1" x14ac:dyDescent="0.2">
      <c r="C252" s="814"/>
    </row>
    <row r="253" spans="3:3" s="189" customFormat="1" x14ac:dyDescent="0.2">
      <c r="C253" s="814"/>
    </row>
    <row r="254" spans="3:3" s="189" customFormat="1" x14ac:dyDescent="0.2">
      <c r="C254" s="814"/>
    </row>
    <row r="255" spans="3:3" s="189" customFormat="1" x14ac:dyDescent="0.2">
      <c r="C255" s="814"/>
    </row>
    <row r="256" spans="3:3" s="189" customFormat="1" x14ac:dyDescent="0.2">
      <c r="C256" s="814"/>
    </row>
    <row r="257" spans="3:3" s="189" customFormat="1" x14ac:dyDescent="0.2">
      <c r="C257" s="814"/>
    </row>
    <row r="258" spans="3:3" s="189" customFormat="1" x14ac:dyDescent="0.2">
      <c r="C258" s="814"/>
    </row>
    <row r="259" spans="3:3" s="189" customFormat="1" x14ac:dyDescent="0.2">
      <c r="C259" s="814"/>
    </row>
    <row r="260" spans="3:3" s="189" customFormat="1" x14ac:dyDescent="0.2">
      <c r="C260" s="814"/>
    </row>
    <row r="261" spans="3:3" s="189" customFormat="1" x14ac:dyDescent="0.2">
      <c r="C261" s="814"/>
    </row>
    <row r="262" spans="3:3" s="189" customFormat="1" x14ac:dyDescent="0.2">
      <c r="C262" s="814"/>
    </row>
    <row r="263" spans="3:3" s="189" customFormat="1" x14ac:dyDescent="0.2">
      <c r="C263" s="814"/>
    </row>
    <row r="264" spans="3:3" s="189" customFormat="1" x14ac:dyDescent="0.2">
      <c r="C264" s="814"/>
    </row>
    <row r="265" spans="3:3" s="189" customFormat="1" x14ac:dyDescent="0.2">
      <c r="C265" s="814"/>
    </row>
    <row r="266" spans="3:3" s="189" customFormat="1" x14ac:dyDescent="0.2">
      <c r="C266" s="814"/>
    </row>
    <row r="267" spans="3:3" s="189" customFormat="1" x14ac:dyDescent="0.2">
      <c r="C267" s="814"/>
    </row>
    <row r="268" spans="3:3" s="189" customFormat="1" x14ac:dyDescent="0.2">
      <c r="C268" s="814"/>
    </row>
    <row r="269" spans="3:3" s="189" customFormat="1" x14ac:dyDescent="0.2">
      <c r="C269" s="814"/>
    </row>
    <row r="270" spans="3:3" s="189" customFormat="1" x14ac:dyDescent="0.2">
      <c r="C270" s="814"/>
    </row>
    <row r="271" spans="3:3" s="189" customFormat="1" x14ac:dyDescent="0.2">
      <c r="C271" s="814"/>
    </row>
    <row r="272" spans="3:3" s="189" customFormat="1" x14ac:dyDescent="0.2">
      <c r="C272" s="814"/>
    </row>
    <row r="273" spans="3:3" s="189" customFormat="1" x14ac:dyDescent="0.2">
      <c r="C273" s="814"/>
    </row>
    <row r="274" spans="3:3" s="189" customFormat="1" x14ac:dyDescent="0.2">
      <c r="C274" s="814"/>
    </row>
    <row r="275" spans="3:3" s="189" customFormat="1" x14ac:dyDescent="0.2">
      <c r="C275" s="814"/>
    </row>
    <row r="276" spans="3:3" s="189" customFormat="1" x14ac:dyDescent="0.2">
      <c r="C276" s="814"/>
    </row>
    <row r="277" spans="3:3" s="189" customFormat="1" x14ac:dyDescent="0.2">
      <c r="C277" s="814"/>
    </row>
    <row r="278" spans="3:3" s="189" customFormat="1" x14ac:dyDescent="0.2">
      <c r="C278" s="814"/>
    </row>
    <row r="279" spans="3:3" s="189" customFormat="1" x14ac:dyDescent="0.2">
      <c r="C279" s="814"/>
    </row>
    <row r="280" spans="3:3" s="189" customFormat="1" x14ac:dyDescent="0.2">
      <c r="C280" s="814"/>
    </row>
    <row r="281" spans="3:3" s="189" customFormat="1" x14ac:dyDescent="0.2">
      <c r="C281" s="814"/>
    </row>
    <row r="282" spans="3:3" s="189" customFormat="1" x14ac:dyDescent="0.2">
      <c r="C282" s="814"/>
    </row>
    <row r="283" spans="3:3" s="189" customFormat="1" x14ac:dyDescent="0.2">
      <c r="C283" s="814"/>
    </row>
    <row r="284" spans="3:3" s="189" customFormat="1" x14ac:dyDescent="0.2">
      <c r="C284" s="814"/>
    </row>
    <row r="285" spans="3:3" s="189" customFormat="1" x14ac:dyDescent="0.2">
      <c r="C285" s="814"/>
    </row>
    <row r="286" spans="3:3" s="189" customFormat="1" x14ac:dyDescent="0.2">
      <c r="C286" s="814"/>
    </row>
    <row r="287" spans="3:3" s="189" customFormat="1" x14ac:dyDescent="0.2">
      <c r="C287" s="814"/>
    </row>
    <row r="288" spans="3:3" s="189" customFormat="1" x14ac:dyDescent="0.2">
      <c r="C288" s="814"/>
    </row>
    <row r="289" spans="3:3" s="189" customFormat="1" x14ac:dyDescent="0.2">
      <c r="C289" s="814"/>
    </row>
    <row r="290" spans="3:3" s="189" customFormat="1" x14ac:dyDescent="0.2">
      <c r="C290" s="814"/>
    </row>
    <row r="291" spans="3:3" s="189" customFormat="1" x14ac:dyDescent="0.2">
      <c r="C291" s="814"/>
    </row>
    <row r="292" spans="3:3" s="189" customFormat="1" x14ac:dyDescent="0.2">
      <c r="C292" s="814"/>
    </row>
    <row r="293" spans="3:3" s="189" customFormat="1" x14ac:dyDescent="0.2">
      <c r="C293" s="814"/>
    </row>
    <row r="294" spans="3:3" s="189" customFormat="1" x14ac:dyDescent="0.2">
      <c r="C294" s="814"/>
    </row>
    <row r="295" spans="3:3" s="189" customFormat="1" x14ac:dyDescent="0.2">
      <c r="C295" s="814"/>
    </row>
    <row r="296" spans="3:3" s="189" customFormat="1" x14ac:dyDescent="0.2">
      <c r="C296" s="814"/>
    </row>
    <row r="297" spans="3:3" s="189" customFormat="1" x14ac:dyDescent="0.2">
      <c r="C297" s="814"/>
    </row>
    <row r="298" spans="3:3" s="189" customFormat="1" x14ac:dyDescent="0.2">
      <c r="C298" s="814"/>
    </row>
    <row r="299" spans="3:3" s="189" customFormat="1" x14ac:dyDescent="0.2">
      <c r="C299" s="814"/>
    </row>
    <row r="300" spans="3:3" s="189" customFormat="1" x14ac:dyDescent="0.2">
      <c r="C300" s="814"/>
    </row>
    <row r="301" spans="3:3" s="189" customFormat="1" x14ac:dyDescent="0.2">
      <c r="C301" s="814"/>
    </row>
    <row r="302" spans="3:3" s="189" customFormat="1" x14ac:dyDescent="0.2">
      <c r="C302" s="814"/>
    </row>
    <row r="303" spans="3:3" s="189" customFormat="1" x14ac:dyDescent="0.2">
      <c r="C303" s="814"/>
    </row>
    <row r="304" spans="3:3" s="189" customFormat="1" x14ac:dyDescent="0.2">
      <c r="C304" s="814"/>
    </row>
    <row r="305" spans="3:3" s="189" customFormat="1" x14ac:dyDescent="0.2">
      <c r="C305" s="814"/>
    </row>
    <row r="306" spans="3:3" s="189" customFormat="1" x14ac:dyDescent="0.2">
      <c r="C306" s="814"/>
    </row>
    <row r="307" spans="3:3" s="189" customFormat="1" x14ac:dyDescent="0.2">
      <c r="C307" s="814"/>
    </row>
    <row r="308" spans="3:3" s="189" customFormat="1" x14ac:dyDescent="0.2">
      <c r="C308" s="814"/>
    </row>
    <row r="309" spans="3:3" s="189" customFormat="1" x14ac:dyDescent="0.2">
      <c r="C309" s="814"/>
    </row>
    <row r="310" spans="3:3" s="189" customFormat="1" x14ac:dyDescent="0.2">
      <c r="C310" s="814"/>
    </row>
    <row r="311" spans="3:3" s="189" customFormat="1" x14ac:dyDescent="0.2">
      <c r="C311" s="814"/>
    </row>
    <row r="312" spans="3:3" s="189" customFormat="1" x14ac:dyDescent="0.2">
      <c r="C312" s="814"/>
    </row>
    <row r="313" spans="3:3" s="189" customFormat="1" x14ac:dyDescent="0.2">
      <c r="C313" s="814"/>
    </row>
    <row r="314" spans="3:3" s="189" customFormat="1" x14ac:dyDescent="0.2">
      <c r="C314" s="814"/>
    </row>
    <row r="315" spans="3:3" s="189" customFormat="1" x14ac:dyDescent="0.2">
      <c r="C315" s="814"/>
    </row>
    <row r="316" spans="3:3" s="189" customFormat="1" x14ac:dyDescent="0.2">
      <c r="C316" s="814"/>
    </row>
    <row r="317" spans="3:3" s="189" customFormat="1" x14ac:dyDescent="0.2">
      <c r="C317" s="814"/>
    </row>
    <row r="318" spans="3:3" s="189" customFormat="1" x14ac:dyDescent="0.2">
      <c r="C318" s="814"/>
    </row>
    <row r="319" spans="3:3" s="189" customFormat="1" x14ac:dyDescent="0.2">
      <c r="C319" s="814"/>
    </row>
    <row r="320" spans="3:3" s="189" customFormat="1" x14ac:dyDescent="0.2">
      <c r="C320" s="814"/>
    </row>
    <row r="321" spans="3:3" s="189" customFormat="1" x14ac:dyDescent="0.2">
      <c r="C321" s="814"/>
    </row>
    <row r="322" spans="3:3" s="189" customFormat="1" x14ac:dyDescent="0.2">
      <c r="C322" s="814"/>
    </row>
    <row r="323" spans="3:3" s="189" customFormat="1" x14ac:dyDescent="0.2">
      <c r="C323" s="814"/>
    </row>
    <row r="324" spans="3:3" s="189" customFormat="1" x14ac:dyDescent="0.2">
      <c r="C324" s="814"/>
    </row>
    <row r="325" spans="3:3" s="189" customFormat="1" x14ac:dyDescent="0.2">
      <c r="C325" s="814"/>
    </row>
    <row r="326" spans="3:3" s="189" customFormat="1" x14ac:dyDescent="0.2">
      <c r="C326" s="814"/>
    </row>
    <row r="327" spans="3:3" s="189" customFormat="1" x14ac:dyDescent="0.2">
      <c r="C327" s="814"/>
    </row>
    <row r="328" spans="3:3" s="189" customFormat="1" x14ac:dyDescent="0.2">
      <c r="C328" s="814"/>
    </row>
    <row r="329" spans="3:3" s="189" customFormat="1" x14ac:dyDescent="0.2">
      <c r="C329" s="814"/>
    </row>
    <row r="330" spans="3:3" s="189" customFormat="1" x14ac:dyDescent="0.2">
      <c r="C330" s="814"/>
    </row>
    <row r="331" spans="3:3" s="189" customFormat="1" x14ac:dyDescent="0.2">
      <c r="C331" s="814"/>
    </row>
    <row r="332" spans="3:3" s="189" customFormat="1" x14ac:dyDescent="0.2">
      <c r="C332" s="814"/>
    </row>
    <row r="333" spans="3:3" s="189" customFormat="1" x14ac:dyDescent="0.2">
      <c r="C333" s="814"/>
    </row>
    <row r="334" spans="3:3" s="189" customFormat="1" x14ac:dyDescent="0.2">
      <c r="C334" s="814"/>
    </row>
    <row r="335" spans="3:3" s="189" customFormat="1" x14ac:dyDescent="0.2">
      <c r="C335" s="814"/>
    </row>
    <row r="336" spans="3:3" s="189" customFormat="1" x14ac:dyDescent="0.2">
      <c r="C336" s="814"/>
    </row>
    <row r="337" spans="3:3" s="189" customFormat="1" x14ac:dyDescent="0.2">
      <c r="C337" s="814"/>
    </row>
    <row r="338" spans="3:3" s="189" customFormat="1" x14ac:dyDescent="0.2">
      <c r="C338" s="814"/>
    </row>
    <row r="339" spans="3:3" s="189" customFormat="1" x14ac:dyDescent="0.2">
      <c r="C339" s="814"/>
    </row>
    <row r="340" spans="3:3" s="189" customFormat="1" x14ac:dyDescent="0.2">
      <c r="C340" s="814"/>
    </row>
    <row r="341" spans="3:3" s="189" customFormat="1" x14ac:dyDescent="0.2">
      <c r="C341" s="814"/>
    </row>
    <row r="342" spans="3:3" s="189" customFormat="1" x14ac:dyDescent="0.2">
      <c r="C342" s="814"/>
    </row>
    <row r="343" spans="3:3" s="189" customFormat="1" x14ac:dyDescent="0.2">
      <c r="C343" s="814"/>
    </row>
    <row r="344" spans="3:3" s="189" customFormat="1" x14ac:dyDescent="0.2">
      <c r="C344" s="814"/>
    </row>
    <row r="345" spans="3:3" s="189" customFormat="1" x14ac:dyDescent="0.2">
      <c r="C345" s="814"/>
    </row>
    <row r="346" spans="3:3" s="189" customFormat="1" x14ac:dyDescent="0.2">
      <c r="C346" s="814"/>
    </row>
    <row r="347" spans="3:3" s="189" customFormat="1" x14ac:dyDescent="0.2">
      <c r="C347" s="814"/>
    </row>
    <row r="348" spans="3:3" s="189" customFormat="1" x14ac:dyDescent="0.2">
      <c r="C348" s="814"/>
    </row>
    <row r="349" spans="3:3" s="189" customFormat="1" x14ac:dyDescent="0.2">
      <c r="C349" s="814"/>
    </row>
    <row r="350" spans="3:3" s="189" customFormat="1" x14ac:dyDescent="0.2">
      <c r="C350" s="814"/>
    </row>
    <row r="351" spans="3:3" s="189" customFormat="1" x14ac:dyDescent="0.2">
      <c r="C351" s="814"/>
    </row>
    <row r="352" spans="3:3" s="189" customFormat="1" x14ac:dyDescent="0.2">
      <c r="C352" s="814"/>
    </row>
    <row r="353" spans="3:3" s="189" customFormat="1" x14ac:dyDescent="0.2">
      <c r="C353" s="814"/>
    </row>
    <row r="354" spans="3:3" s="189" customFormat="1" x14ac:dyDescent="0.2">
      <c r="C354" s="814"/>
    </row>
    <row r="355" spans="3:3" s="189" customFormat="1" x14ac:dyDescent="0.2">
      <c r="C355" s="814"/>
    </row>
    <row r="356" spans="3:3" s="189" customFormat="1" x14ac:dyDescent="0.2">
      <c r="C356" s="814"/>
    </row>
    <row r="357" spans="3:3" s="189" customFormat="1" x14ac:dyDescent="0.2">
      <c r="C357" s="814"/>
    </row>
    <row r="358" spans="3:3" s="189" customFormat="1" x14ac:dyDescent="0.2">
      <c r="C358" s="814"/>
    </row>
    <row r="359" spans="3:3" s="189" customFormat="1" x14ac:dyDescent="0.2">
      <c r="C359" s="814"/>
    </row>
    <row r="360" spans="3:3" s="189" customFormat="1" x14ac:dyDescent="0.2">
      <c r="C360" s="814"/>
    </row>
    <row r="361" spans="3:3" s="189" customFormat="1" x14ac:dyDescent="0.2">
      <c r="C361" s="814"/>
    </row>
    <row r="362" spans="3:3" s="189" customFormat="1" x14ac:dyDescent="0.2">
      <c r="C362" s="814"/>
    </row>
    <row r="363" spans="3:3" s="189" customFormat="1" x14ac:dyDescent="0.2">
      <c r="C363" s="814"/>
    </row>
    <row r="364" spans="3:3" s="189" customFormat="1" x14ac:dyDescent="0.2">
      <c r="C364" s="814"/>
    </row>
    <row r="365" spans="3:3" s="189" customFormat="1" x14ac:dyDescent="0.2">
      <c r="C365" s="814"/>
    </row>
    <row r="366" spans="3:3" s="189" customFormat="1" x14ac:dyDescent="0.2">
      <c r="C366" s="814"/>
    </row>
    <row r="367" spans="3:3" s="189" customFormat="1" x14ac:dyDescent="0.2">
      <c r="C367" s="814"/>
    </row>
    <row r="368" spans="3:3" s="189" customFormat="1" x14ac:dyDescent="0.2">
      <c r="C368" s="814"/>
    </row>
    <row r="369" spans="3:3" s="189" customFormat="1" x14ac:dyDescent="0.2">
      <c r="C369" s="814"/>
    </row>
    <row r="370" spans="3:3" s="189" customFormat="1" x14ac:dyDescent="0.2">
      <c r="C370" s="814"/>
    </row>
    <row r="371" spans="3:3" s="189" customFormat="1" x14ac:dyDescent="0.2">
      <c r="C371" s="814"/>
    </row>
    <row r="372" spans="3:3" s="189" customFormat="1" x14ac:dyDescent="0.2">
      <c r="C372" s="814"/>
    </row>
    <row r="373" spans="3:3" s="189" customFormat="1" x14ac:dyDescent="0.2">
      <c r="C373" s="814"/>
    </row>
    <row r="374" spans="3:3" s="189" customFormat="1" x14ac:dyDescent="0.2">
      <c r="C374" s="814"/>
    </row>
    <row r="375" spans="3:3" s="189" customFormat="1" x14ac:dyDescent="0.2">
      <c r="C375" s="814"/>
    </row>
    <row r="376" spans="3:3" s="189" customFormat="1" x14ac:dyDescent="0.2">
      <c r="C376" s="814"/>
    </row>
    <row r="377" spans="3:3" s="189" customFormat="1" x14ac:dyDescent="0.2">
      <c r="C377" s="814"/>
    </row>
    <row r="378" spans="3:3" s="189" customFormat="1" x14ac:dyDescent="0.2">
      <c r="C378" s="814"/>
    </row>
    <row r="379" spans="3:3" s="189" customFormat="1" x14ac:dyDescent="0.2">
      <c r="C379" s="814"/>
    </row>
    <row r="380" spans="3:3" s="189" customFormat="1" x14ac:dyDescent="0.2">
      <c r="C380" s="814"/>
    </row>
    <row r="381" spans="3:3" s="189" customFormat="1" x14ac:dyDescent="0.2">
      <c r="C381" s="814"/>
    </row>
    <row r="382" spans="3:3" s="189" customFormat="1" x14ac:dyDescent="0.2">
      <c r="C382" s="814"/>
    </row>
    <row r="383" spans="3:3" s="189" customFormat="1" x14ac:dyDescent="0.2">
      <c r="C383" s="814"/>
    </row>
    <row r="384" spans="3:3" s="189" customFormat="1" x14ac:dyDescent="0.2">
      <c r="C384" s="814"/>
    </row>
    <row r="385" spans="3:3" s="189" customFormat="1" x14ac:dyDescent="0.2">
      <c r="C385" s="814"/>
    </row>
    <row r="386" spans="3:3" s="189" customFormat="1" x14ac:dyDescent="0.2">
      <c r="C386" s="814"/>
    </row>
    <row r="387" spans="3:3" s="189" customFormat="1" x14ac:dyDescent="0.2">
      <c r="C387" s="814"/>
    </row>
    <row r="388" spans="3:3" s="189" customFormat="1" x14ac:dyDescent="0.2">
      <c r="C388" s="814"/>
    </row>
    <row r="389" spans="3:3" s="189" customFormat="1" x14ac:dyDescent="0.2">
      <c r="C389" s="814"/>
    </row>
    <row r="390" spans="3:3" s="189" customFormat="1" x14ac:dyDescent="0.2">
      <c r="C390" s="814"/>
    </row>
    <row r="391" spans="3:3" s="189" customFormat="1" x14ac:dyDescent="0.2">
      <c r="C391" s="814"/>
    </row>
    <row r="392" spans="3:3" s="189" customFormat="1" x14ac:dyDescent="0.2">
      <c r="C392" s="814"/>
    </row>
    <row r="393" spans="3:3" s="189" customFormat="1" x14ac:dyDescent="0.2">
      <c r="C393" s="814"/>
    </row>
    <row r="394" spans="3:3" s="189" customFormat="1" x14ac:dyDescent="0.2">
      <c r="C394" s="814"/>
    </row>
    <row r="395" spans="3:3" s="189" customFormat="1" x14ac:dyDescent="0.2">
      <c r="C395" s="814"/>
    </row>
    <row r="396" spans="3:3" s="189" customFormat="1" x14ac:dyDescent="0.2">
      <c r="C396" s="814"/>
    </row>
    <row r="397" spans="3:3" s="189" customFormat="1" x14ac:dyDescent="0.2">
      <c r="C397" s="814"/>
    </row>
    <row r="398" spans="3:3" s="189" customFormat="1" x14ac:dyDescent="0.2">
      <c r="C398" s="814"/>
    </row>
    <row r="399" spans="3:3" s="189" customFormat="1" x14ac:dyDescent="0.2">
      <c r="C399" s="814"/>
    </row>
    <row r="400" spans="3:3" s="189" customFormat="1" x14ac:dyDescent="0.2">
      <c r="C400" s="814"/>
    </row>
    <row r="401" spans="3:3" s="189" customFormat="1" x14ac:dyDescent="0.2">
      <c r="C401" s="814"/>
    </row>
    <row r="402" spans="3:3" s="189" customFormat="1" x14ac:dyDescent="0.2">
      <c r="C402" s="814"/>
    </row>
    <row r="403" spans="3:3" s="189" customFormat="1" x14ac:dyDescent="0.2">
      <c r="C403" s="814"/>
    </row>
    <row r="404" spans="3:3" s="189" customFormat="1" x14ac:dyDescent="0.2">
      <c r="C404" s="814"/>
    </row>
    <row r="405" spans="3:3" s="189" customFormat="1" x14ac:dyDescent="0.2">
      <c r="C405" s="814"/>
    </row>
    <row r="406" spans="3:3" s="189" customFormat="1" x14ac:dyDescent="0.2">
      <c r="C406" s="814"/>
    </row>
    <row r="407" spans="3:3" s="189" customFormat="1" x14ac:dyDescent="0.2">
      <c r="C407" s="814"/>
    </row>
    <row r="408" spans="3:3" s="189" customFormat="1" x14ac:dyDescent="0.2">
      <c r="C408" s="814"/>
    </row>
    <row r="409" spans="3:3" s="189" customFormat="1" x14ac:dyDescent="0.2">
      <c r="C409" s="814"/>
    </row>
    <row r="410" spans="3:3" s="189" customFormat="1" x14ac:dyDescent="0.2">
      <c r="C410" s="814"/>
    </row>
    <row r="411" spans="3:3" s="189" customFormat="1" x14ac:dyDescent="0.2">
      <c r="C411" s="814"/>
    </row>
    <row r="412" spans="3:3" s="189" customFormat="1" x14ac:dyDescent="0.2">
      <c r="C412" s="814"/>
    </row>
    <row r="413" spans="3:3" s="189" customFormat="1" x14ac:dyDescent="0.2">
      <c r="C413" s="814"/>
    </row>
    <row r="414" spans="3:3" s="189" customFormat="1" x14ac:dyDescent="0.2">
      <c r="C414" s="814"/>
    </row>
  </sheetData>
  <mergeCells count="29"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  <mergeCell ref="I38:J38"/>
    <mergeCell ref="AA38:AB38"/>
    <mergeCell ref="L3:N3"/>
    <mergeCell ref="N4:N5"/>
    <mergeCell ref="S4:S5"/>
    <mergeCell ref="U4:U5"/>
    <mergeCell ref="P4:P5"/>
    <mergeCell ref="W4:W5"/>
    <mergeCell ref="AH3:AH5"/>
    <mergeCell ref="AG3:AG5"/>
    <mergeCell ref="AI3:AI5"/>
    <mergeCell ref="AJ3:AJ5"/>
    <mergeCell ref="AL3:AO3"/>
  </mergeCells>
  <phoneticPr fontId="0" type="noConversion"/>
  <conditionalFormatting sqref="B6">
    <cfRule type="expression" dxfId="117" priority="13">
      <formula>B6&lt;#REF!</formula>
    </cfRule>
  </conditionalFormatting>
  <conditionalFormatting sqref="B7:B35">
    <cfRule type="expression" dxfId="116" priority="20">
      <formula>B7&lt;B6</formula>
    </cfRule>
  </conditionalFormatting>
  <conditionalFormatting sqref="B11:B29">
    <cfRule type="expression" dxfId="115" priority="34">
      <formula>B11&lt;#REF!</formula>
    </cfRule>
  </conditionalFormatting>
  <conditionalFormatting sqref="C35 E35:E37">
    <cfRule type="expression" dxfId="114" priority="671">
      <formula>C35&lt;C34</formula>
    </cfRule>
  </conditionalFormatting>
  <conditionalFormatting sqref="C6:D6">
    <cfRule type="expression" dxfId="113" priority="15">
      <formula>C6&lt;C5</formula>
    </cfRule>
  </conditionalFormatting>
  <conditionalFormatting sqref="C7:D7 H7:J7 R7 T7 W7 AB7">
    <cfRule type="expression" dxfId="112" priority="22">
      <formula>C7&lt;#REF!</formula>
    </cfRule>
  </conditionalFormatting>
  <conditionalFormatting sqref="C8:D14">
    <cfRule type="expression" dxfId="111" priority="25">
      <formula>C8&lt;C7</formula>
    </cfRule>
  </conditionalFormatting>
  <conditionalFormatting sqref="C36:D37">
    <cfRule type="expression" dxfId="110" priority="1724">
      <formula>C36&lt;C35</formula>
    </cfRule>
  </conditionalFormatting>
  <conditionalFormatting sqref="D35 B36:B37">
    <cfRule type="expression" dxfId="109" priority="1711">
      <formula>B35&lt;#REF!</formula>
    </cfRule>
  </conditionalFormatting>
  <conditionalFormatting sqref="E6:E14">
    <cfRule type="expression" dxfId="108" priority="5">
      <formula>E6&lt;E5</formula>
    </cfRule>
  </conditionalFormatting>
  <conditionalFormatting sqref="F6:F37">
    <cfRule type="expression" dxfId="107" priority="4">
      <formula>F6&lt;#REF!</formula>
    </cfRule>
  </conditionalFormatting>
  <conditionalFormatting sqref="G6:G37">
    <cfRule type="expression" dxfId="106" priority="2">
      <formula>G6&lt;G5</formula>
    </cfRule>
  </conditionalFormatting>
  <conditionalFormatting sqref="G36:J37 L36:O37">
    <cfRule type="expression" dxfId="105" priority="1558">
      <formula>G36&lt;G35</formula>
    </cfRule>
  </conditionalFormatting>
  <conditionalFormatting sqref="G6:O6">
    <cfRule type="expression" dxfId="104" priority="6">
      <formula>G6&lt;G5</formula>
    </cfRule>
  </conditionalFormatting>
  <conditionalFormatting sqref="H35:I35 R35 T35 W35 AB35 AE35:AI35 P36:P37 S36:S37 X36:Y37">
    <cfRule type="expression" dxfId="103" priority="1710">
      <formula>H35&lt;#REF!</formula>
    </cfRule>
  </conditionalFormatting>
  <conditionalFormatting sqref="H8:J18 H19:I34">
    <cfRule type="expression" dxfId="102" priority="26">
      <formula>H8&lt;H7</formula>
    </cfRule>
  </conditionalFormatting>
  <conditionalFormatting sqref="J19:J35">
    <cfRule type="expression" dxfId="101" priority="37">
      <formula>J19&lt;J18</formula>
    </cfRule>
  </conditionalFormatting>
  <conditionalFormatting sqref="K11:L21 K22:K37">
    <cfRule type="expression" dxfId="100" priority="29">
      <formula>K11&lt;K10</formula>
    </cfRule>
  </conditionalFormatting>
  <conditionalFormatting sqref="K7:O10">
    <cfRule type="expression" dxfId="99" priority="16">
      <formula>K7&lt;K6</formula>
    </cfRule>
  </conditionalFormatting>
  <conditionalFormatting sqref="L22:M25">
    <cfRule type="expression" dxfId="98" priority="38">
      <formula>L22&lt;L21</formula>
    </cfRule>
  </conditionalFormatting>
  <conditionalFormatting sqref="L30:T34 U30:U37 L35:Q35 S35">
    <cfRule type="expression" dxfId="97" priority="680">
      <formula>L30&lt;L29</formula>
    </cfRule>
  </conditionalFormatting>
  <conditionalFormatting sqref="L26:Z27 L28:AC29">
    <cfRule type="expression" dxfId="96" priority="40">
      <formula>L26&lt;L25</formula>
    </cfRule>
  </conditionalFormatting>
  <conditionalFormatting sqref="M11:M17">
    <cfRule type="expression" dxfId="95" priority="31">
      <formula>M11&lt;#REF!</formula>
    </cfRule>
  </conditionalFormatting>
  <conditionalFormatting sqref="N11:O12">
    <cfRule type="expression" dxfId="94" priority="30">
      <formula>N11&lt;N10</formula>
    </cfRule>
  </conditionalFormatting>
  <conditionalFormatting sqref="N13:T24 N25:Z25">
    <cfRule type="expression" dxfId="93" priority="33">
      <formula>N13&lt;N12</formula>
    </cfRule>
  </conditionalFormatting>
  <conditionalFormatting sqref="P8:P12 V8:V12">
    <cfRule type="expression" dxfId="92" priority="28">
      <formula>P8&lt;#REF!</formula>
    </cfRule>
  </conditionalFormatting>
  <conditionalFormatting sqref="P6:Q6 X6:Y6 S6:S10">
    <cfRule type="expression" dxfId="91" priority="12">
      <formula>P6&lt;#REF!</formula>
    </cfRule>
  </conditionalFormatting>
  <conditionalFormatting sqref="P7:Q7">
    <cfRule type="expression" dxfId="90" priority="21">
      <formula>P7&lt;P6</formula>
    </cfRule>
  </conditionalFormatting>
  <conditionalFormatting sqref="Q36">
    <cfRule type="expression" dxfId="89" priority="1727">
      <formula>Q36&lt;#REF!</formula>
    </cfRule>
  </conditionalFormatting>
  <conditionalFormatting sqref="Q8:R10">
    <cfRule type="expression" dxfId="88" priority="27">
      <formula>Q8&lt;Q7</formula>
    </cfRule>
  </conditionalFormatting>
  <conditionalFormatting sqref="Q11:T12">
    <cfRule type="expression" dxfId="87" priority="32">
      <formula>Q11&lt;Q10</formula>
    </cfRule>
  </conditionalFormatting>
  <conditionalFormatting sqref="R6">
    <cfRule type="expression" dxfId="86" priority="14">
      <formula>R6&lt;R5</formula>
    </cfRule>
  </conditionalFormatting>
  <conditionalFormatting sqref="R36">
    <cfRule type="expression" dxfId="85" priority="1723">
      <formula>R36&lt;R35</formula>
    </cfRule>
  </conditionalFormatting>
  <conditionalFormatting sqref="T8:T10 AB8:AC10 AE8:AI10 AB11:AI27">
    <cfRule type="expression" dxfId="84" priority="23">
      <formula>T8&lt;T7</formula>
    </cfRule>
  </conditionalFormatting>
  <conditionalFormatting sqref="T6:W6 Z6 AB6">
    <cfRule type="expression" dxfId="83" priority="11">
      <formula>T6&lt;T5</formula>
    </cfRule>
  </conditionalFormatting>
  <conditionalFormatting sqref="U6:U24">
    <cfRule type="expression" dxfId="82" priority="9">
      <formula>U6&lt;U5</formula>
    </cfRule>
  </conditionalFormatting>
  <conditionalFormatting sqref="V7">
    <cfRule type="expression" dxfId="81" priority="17">
      <formula>V7&lt;V6</formula>
    </cfRule>
  </conditionalFormatting>
  <conditionalFormatting sqref="V13:X14 C15:E34">
    <cfRule type="expression" dxfId="80" priority="36">
      <formula>C13&lt;C12</formula>
    </cfRule>
  </conditionalFormatting>
  <conditionalFormatting sqref="V15:Z24 M18:M21">
    <cfRule type="expression" dxfId="79" priority="35">
      <formula>M15&lt;M14</formula>
    </cfRule>
  </conditionalFormatting>
  <conditionalFormatting sqref="W8:W12">
    <cfRule type="expression" dxfId="78" priority="24">
      <formula>W8&lt;W7</formula>
    </cfRule>
  </conditionalFormatting>
  <conditionalFormatting sqref="Y7:Z14">
    <cfRule type="expression" dxfId="77" priority="18">
      <formula>Y7&lt;Y6</formula>
    </cfRule>
  </conditionalFormatting>
  <conditionalFormatting sqref="AA6:AA12">
    <cfRule type="expression" dxfId="76" priority="8">
      <formula>AA6&lt;#REF!</formula>
    </cfRule>
  </conditionalFormatting>
  <conditionalFormatting sqref="AA6:AA37">
    <cfRule type="expression" dxfId="75" priority="1">
      <formula>AA6&lt;AA5</formula>
    </cfRule>
  </conditionalFormatting>
  <conditionalFormatting sqref="AA28:AA37">
    <cfRule type="expression" dxfId="74" priority="41">
      <formula>AA28&lt;#REF!</formula>
    </cfRule>
  </conditionalFormatting>
  <conditionalFormatting sqref="AA30:AC30 Z30:Z31 V30:Y34 AA31:AB31 AC31:AC37 Z32:AB34 V35 X35:AA35">
    <cfRule type="expression" dxfId="73" priority="681">
      <formula>V30&lt;V29</formula>
    </cfRule>
  </conditionalFormatting>
  <conditionalFormatting sqref="AC6:AC7">
    <cfRule type="expression" dxfId="72" priority="10">
      <formula>AC6&lt;AC5</formula>
    </cfRule>
  </conditionalFormatting>
  <conditionalFormatting sqref="AD28:AD37">
    <cfRule type="expression" dxfId="71" priority="39">
      <formula>AD28&lt;AD27</formula>
    </cfRule>
  </conditionalFormatting>
  <conditionalFormatting sqref="AD6:AI6">
    <cfRule type="expression" dxfId="70" priority="7">
      <formula>AD6&lt;AD5</formula>
    </cfRule>
  </conditionalFormatting>
  <conditionalFormatting sqref="AD7:AI7 X7:X12 AD8:AD10">
    <cfRule type="expression" dxfId="69" priority="19">
      <formula>X7&lt;#REF!</formula>
    </cfRule>
  </conditionalFormatting>
  <conditionalFormatting sqref="AE28:AI34">
    <cfRule type="expression" dxfId="68" priority="42">
      <formula>AE28&lt;AE27</formula>
    </cfRule>
  </conditionalFormatting>
  <conditionalFormatting sqref="AJ6:AJ37">
    <cfRule type="expression" dxfId="67" priority="3">
      <formula>AJ6&lt;AJ5</formula>
    </cfRule>
  </conditionalFormatting>
  <conditionalFormatting sqref="AK6:AK12">
    <cfRule type="expression" dxfId="66" priority="1600">
      <formula>AK6&lt;AK5</formula>
    </cfRule>
  </conditionalFormatting>
  <conditionalFormatting sqref="AK13:AL15">
    <cfRule type="expression" dxfId="65" priority="1680">
      <formula>AK13&lt;#REF!</formula>
    </cfRule>
  </conditionalFormatting>
  <conditionalFormatting sqref="AL9:AL14 AL15:AN34 AK16:AK37 AK20:AN21 T36:W37 Z36:Z37 AB36:AB37 AE36:AI37 Q37:R37">
    <cfRule type="expression" dxfId="64" priority="1617">
      <formula>Q9&lt;Q8</formula>
    </cfRule>
  </conditionalFormatting>
  <conditionalFormatting sqref="AO9:AO34">
    <cfRule type="expression" dxfId="63" priority="1625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32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9" t="s">
        <v>7</v>
      </c>
      <c r="B7" s="383"/>
      <c r="C7" s="383"/>
      <c r="D7" s="942" t="s">
        <v>254</v>
      </c>
      <c r="E7" s="945" t="s">
        <v>286</v>
      </c>
      <c r="F7" s="939" t="s">
        <v>287</v>
      </c>
      <c r="G7" s="935" t="s">
        <v>255</v>
      </c>
      <c r="H7" s="935" t="s">
        <v>256</v>
      </c>
      <c r="I7" s="383" t="s">
        <v>3</v>
      </c>
      <c r="J7" s="383" t="s">
        <v>4</v>
      </c>
      <c r="K7" s="390" t="s">
        <v>53</v>
      </c>
      <c r="L7" s="936" t="s">
        <v>17</v>
      </c>
      <c r="M7" s="937"/>
      <c r="N7" s="937"/>
      <c r="O7" s="937"/>
      <c r="P7" s="938"/>
      <c r="Q7" s="933" t="s">
        <v>11</v>
      </c>
      <c r="R7" s="934"/>
      <c r="S7" s="934"/>
      <c r="T7" s="934"/>
    </row>
    <row r="8" spans="1:20" x14ac:dyDescent="0.2">
      <c r="A8" s="930"/>
      <c r="B8" s="384" t="s">
        <v>257</v>
      </c>
      <c r="C8" s="384" t="s">
        <v>258</v>
      </c>
      <c r="D8" s="943"/>
      <c r="E8" s="946"/>
      <c r="F8" s="940"/>
      <c r="G8" s="935"/>
      <c r="H8" s="935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31"/>
      <c r="B9" s="385"/>
      <c r="C9" s="385"/>
      <c r="D9" s="944"/>
      <c r="E9" s="947"/>
      <c r="F9" s="941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3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3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1200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71">
        <v>3</v>
      </c>
      <c r="B12" s="771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71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72">
        <f t="shared" si="0"/>
        <v>3772</v>
      </c>
      <c r="E12" s="874">
        <v>801.3</v>
      </c>
      <c r="F12" s="773">
        <f t="shared" si="1"/>
        <v>0.17521264732250233</v>
      </c>
      <c r="G12" s="774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72">
        <f t="shared" si="2"/>
        <v>4573.3</v>
      </c>
      <c r="I12" s="774">
        <f>'Water '!Z9*10</f>
        <v>1270</v>
      </c>
      <c r="J12" s="772" t="str">
        <f>IF('Entries October 2026'!B9-'Entries October 2026'!B8&lt;1,"0",'Entries October 2026'!B9-'Entries October 2026'!B8)</f>
        <v>0</v>
      </c>
      <c r="K12" s="775">
        <f>'CO2'!E9</f>
        <v>0</v>
      </c>
      <c r="L12" s="776">
        <f>+'PROD.FIG. '!F7</f>
        <v>0</v>
      </c>
      <c r="M12" s="772">
        <f>+'PROD.FIG. '!C7</f>
        <v>0</v>
      </c>
      <c r="N12" s="772">
        <f>+'PROD.FIG. '!D7</f>
        <v>0</v>
      </c>
      <c r="O12" s="772">
        <f>+'PROD.FIG. '!E7</f>
        <v>0</v>
      </c>
      <c r="P12" s="777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71">
        <v>4</v>
      </c>
      <c r="B13" s="771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71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72">
        <f t="shared" si="0"/>
        <v>4062</v>
      </c>
      <c r="E13" s="874">
        <v>694.6</v>
      </c>
      <c r="F13" s="773">
        <f t="shared" si="1"/>
        <v>0.14602867594500274</v>
      </c>
      <c r="G13" s="774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72">
        <f t="shared" si="2"/>
        <v>4756.6000000000004</v>
      </c>
      <c r="I13" s="774">
        <f>'Water '!Z10*10</f>
        <v>640</v>
      </c>
      <c r="J13" s="772" t="str">
        <f>IF('Entries October 2026'!B10-'Entries October 2026'!B9&lt;1,"0",'Entries October 2026'!B10-'Entries October 2026'!B9)</f>
        <v>0</v>
      </c>
      <c r="K13" s="775">
        <f>'CO2'!E10</f>
        <v>0</v>
      </c>
      <c r="L13" s="776">
        <f>+'PROD.FIG. '!F8</f>
        <v>0</v>
      </c>
      <c r="M13" s="772">
        <f>+'PROD.FIG. '!C8</f>
        <v>0</v>
      </c>
      <c r="N13" s="772">
        <f>+'PROD.FIG. '!D8</f>
        <v>0</v>
      </c>
      <c r="O13" s="772">
        <f>+'PROD.FIG. '!E8</f>
        <v>0</v>
      </c>
      <c r="P13" s="777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19">
        <v>5</v>
      </c>
      <c r="B14" s="719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19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20">
        <f t="shared" si="0"/>
        <v>4774</v>
      </c>
      <c r="E14" s="873">
        <v>1421</v>
      </c>
      <c r="F14" s="721">
        <f t="shared" si="1"/>
        <v>0.22937853107344633</v>
      </c>
      <c r="G14" s="737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20">
        <f t="shared" si="2"/>
        <v>6195</v>
      </c>
      <c r="I14" s="737">
        <f>'Water '!Z11*10</f>
        <v>1420</v>
      </c>
      <c r="J14" s="720" t="str">
        <f>IF('Entries October 2026'!B11-'Entries October 2026'!B10&lt;1,"0",'Entries October 2026'!B11-'Entries October 2026'!B10)</f>
        <v>0</v>
      </c>
      <c r="K14" s="722">
        <f>'CO2'!E11</f>
        <v>1600</v>
      </c>
      <c r="L14" s="723">
        <f>+'PROD.FIG. '!F9</f>
        <v>0</v>
      </c>
      <c r="M14" s="720">
        <f>+'PROD.FIG. '!C9</f>
        <v>0</v>
      </c>
      <c r="N14" s="720">
        <f>+'PROD.FIG. '!D9</f>
        <v>0</v>
      </c>
      <c r="O14" s="720">
        <f>+'PROD.FIG. '!E9</f>
        <v>0</v>
      </c>
      <c r="P14" s="724">
        <v>326.50200000000001</v>
      </c>
      <c r="Q14" s="393">
        <f t="shared" si="3"/>
        <v>18.973850083613577</v>
      </c>
      <c r="R14" s="393">
        <f t="shared" si="4"/>
        <v>4.3491310926119899</v>
      </c>
      <c r="S14" s="393">
        <f t="shared" si="5"/>
        <v>0</v>
      </c>
      <c r="T14" s="393">
        <f t="shared" si="6"/>
        <v>0</v>
      </c>
    </row>
    <row r="15" spans="1:20" ht="15" x14ac:dyDescent="0.2">
      <c r="A15" s="719">
        <v>6</v>
      </c>
      <c r="B15" s="719">
        <f>IF('Entries October 2026'!I12&lt;'Entries October 2026'!I11,"0",(IF('Entries October 2026'!I12&gt;='Entries October 2026'!I11,'Entries October 2026'!I12-'Entries October 2026'!I11,(999999-'Entries October 2026'!I11)+'Entries October 2026'!I12+1)))</f>
        <v>7226</v>
      </c>
      <c r="C15" s="719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20">
        <f t="shared" si="0"/>
        <v>7226</v>
      </c>
      <c r="E15" s="873">
        <v>1201.9000000000001</v>
      </c>
      <c r="F15" s="721">
        <f t="shared" si="1"/>
        <v>0.14260966551572754</v>
      </c>
      <c r="G15" s="737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20">
        <f t="shared" si="2"/>
        <v>8427.9</v>
      </c>
      <c r="I15" s="737">
        <f>'Water '!Z12*10</f>
        <v>3420</v>
      </c>
      <c r="J15" s="720" t="str">
        <f>IF('Entries October 2026'!B12-'Entries October 2026'!B11&lt;1,"0",'Entries October 2026'!B12-'Entries October 2026'!B11)</f>
        <v>0</v>
      </c>
      <c r="K15" s="722">
        <f>'CO2'!E12</f>
        <v>1500</v>
      </c>
      <c r="L15" s="723">
        <f>+'PROD.FIG. '!F10</f>
        <v>0</v>
      </c>
      <c r="M15" s="720">
        <f>+'PROD.FIG. '!C10</f>
        <v>0</v>
      </c>
      <c r="N15" s="720">
        <f>+'PROD.FIG. '!D10</f>
        <v>0</v>
      </c>
      <c r="O15" s="720">
        <f>+'PROD.FIG. '!E10</f>
        <v>0</v>
      </c>
      <c r="P15" s="724">
        <v>357.19200000000001</v>
      </c>
      <c r="Q15" s="393">
        <f t="shared" si="3"/>
        <v>23.594873345427668</v>
      </c>
      <c r="R15" s="393">
        <f t="shared" si="4"/>
        <v>9.574682523684741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6606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6606</v>
      </c>
      <c r="E16" s="873">
        <v>1346.2</v>
      </c>
      <c r="F16" s="721">
        <f t="shared" si="1"/>
        <v>0.16928648675838134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7952.2</v>
      </c>
      <c r="I16" s="737">
        <f>'Water '!Z13*10</f>
        <v>3810</v>
      </c>
      <c r="J16" s="720" t="str">
        <f>IF('Entries October 2026'!B13-'Entries October 2026'!B12&lt;1,"0",'Entries October 2026'!B13-'Entries October 2026'!B12)</f>
        <v>0</v>
      </c>
      <c r="K16" s="722">
        <f>'CO2'!E13</f>
        <v>1400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406.428</v>
      </c>
      <c r="Q16" s="393">
        <f t="shared" si="3"/>
        <v>19.566073203617862</v>
      </c>
      <c r="R16" s="393">
        <f t="shared" si="4"/>
        <v>9.3743541291446455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7587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7587</v>
      </c>
      <c r="E17" s="873">
        <v>1358.1</v>
      </c>
      <c r="F17" s="721">
        <f t="shared" si="1"/>
        <v>0.15182613945064893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8945.1</v>
      </c>
      <c r="I17" s="737">
        <f>'Water '!Z14*10</f>
        <v>4490</v>
      </c>
      <c r="J17" s="720" t="str">
        <f>IF('Entries October 2026'!B14-'Entries October 2026'!B13&lt;1,"0",'Entries October 2026'!B14-'Entries October 2026'!B13)</f>
        <v>0</v>
      </c>
      <c r="K17" s="722">
        <f>'CO2'!E14</f>
        <v>3000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361.21800000000002</v>
      </c>
      <c r="Q17" s="393">
        <f t="shared" si="3"/>
        <v>24.763716093882365</v>
      </c>
      <c r="R17" s="393">
        <f>IF(Q17=0,0,I17/P17)</f>
        <v>12.430166824466111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6341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6341</v>
      </c>
      <c r="E18" s="873">
        <v>1373.4</v>
      </c>
      <c r="F18" s="721">
        <f t="shared" si="1"/>
        <v>0.1780306958415431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7714.4</v>
      </c>
      <c r="I18" s="737">
        <f>'Water '!Z15*10</f>
        <v>6390</v>
      </c>
      <c r="J18" s="720" t="str">
        <f>IF('Entries October 2026'!B15-'Entries October 2026'!B14&lt;1,"0",'Entries October 2026'!B15-'Entries October 2026'!B14)</f>
        <v>0</v>
      </c>
      <c r="K18" s="722">
        <f>'CO2'!E15</f>
        <v>1700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308.48400000000004</v>
      </c>
      <c r="Q18" s="393">
        <f t="shared" si="3"/>
        <v>25.007455816184951</v>
      </c>
      <c r="R18" s="393">
        <f t="shared" si="4"/>
        <v>20.714202357334575</v>
      </c>
      <c r="S18" s="393">
        <f t="shared" si="5"/>
        <v>0</v>
      </c>
      <c r="T18" s="393">
        <f t="shared" si="6"/>
        <v>0</v>
      </c>
    </row>
    <row r="19" spans="1:26" ht="15" x14ac:dyDescent="0.2">
      <c r="A19" s="771">
        <v>10</v>
      </c>
      <c r="B19" s="771">
        <f>IF('Entries October 2026'!I16&lt;'Entries October 2026'!I15,"0",(IF('Entries October 2026'!I16&gt;='Entries October 2026'!I15,'Entries October 2026'!I16-'Entries October 2026'!I15,(999999-'Entries October 2026'!I15)+'Entries October 2026'!I16+1)))</f>
        <v>4500</v>
      </c>
      <c r="C19" s="771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72">
        <f t="shared" si="0"/>
        <v>4500</v>
      </c>
      <c r="E19" s="874">
        <v>1567.4</v>
      </c>
      <c r="F19" s="773">
        <f t="shared" si="1"/>
        <v>0.25833141048884206</v>
      </c>
      <c r="G19" s="774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72">
        <f t="shared" si="2"/>
        <v>6067.4</v>
      </c>
      <c r="I19" s="774">
        <f>'Water '!Z16*10</f>
        <v>3150</v>
      </c>
      <c r="J19" s="772" t="str">
        <f>IF('Entries October 2026'!B16-'Entries October 2026'!B15&lt;1,"0",'Entries October 2026'!B16-'Entries October 2026'!B15)</f>
        <v>0</v>
      </c>
      <c r="K19" s="775">
        <f>'CO2'!E16</f>
        <v>800</v>
      </c>
      <c r="L19" s="776">
        <f>+'PROD.FIG. '!F14</f>
        <v>0</v>
      </c>
      <c r="M19" s="772">
        <f>+'PROD.FIG. '!C14</f>
        <v>0</v>
      </c>
      <c r="N19" s="772">
        <f>+'PROD.FIG. '!D14</f>
        <v>0</v>
      </c>
      <c r="O19" s="772">
        <f>+'PROD.FIG. '!E14</f>
        <v>0</v>
      </c>
      <c r="P19" s="777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71">
        <v>11</v>
      </c>
      <c r="B20" s="771">
        <f>IF('Entries October 2026'!I17&lt;'Entries October 2026'!I16,"0",(IF('Entries October 2026'!I17&gt;='Entries October 2026'!I16,'Entries October 2026'!I17-'Entries October 2026'!I16,(999999-'Entries October 2026'!I16)+'Entries October 2026'!I17+1)))</f>
        <v>2914</v>
      </c>
      <c r="C20" s="771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72">
        <f t="shared" si="0"/>
        <v>2914</v>
      </c>
      <c r="E20" s="874">
        <v>1119.5</v>
      </c>
      <c r="F20" s="773">
        <f t="shared" si="1"/>
        <v>0.27755051444155199</v>
      </c>
      <c r="G20" s="774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72">
        <f t="shared" si="2"/>
        <v>4033.5</v>
      </c>
      <c r="I20" s="774">
        <f>'Water '!Z17*10</f>
        <v>30</v>
      </c>
      <c r="J20" s="772" t="str">
        <f>IF('Entries October 2026'!B17-'Entries October 2026'!B16&lt;1,"0",'Entries October 2026'!B17-'Entries October 2026'!B16)</f>
        <v>0</v>
      </c>
      <c r="K20" s="775">
        <f>'CO2'!E17</f>
        <v>0</v>
      </c>
      <c r="L20" s="776">
        <f>+'PROD.FIG. '!F15</f>
        <v>0</v>
      </c>
      <c r="M20" s="772">
        <f>+'PROD.FIG. '!C15</f>
        <v>0</v>
      </c>
      <c r="N20" s="772">
        <f>+'PROD.FIG. '!D15</f>
        <v>0</v>
      </c>
      <c r="O20" s="772">
        <f>+'PROD.FIG. '!E15</f>
        <v>0</v>
      </c>
      <c r="P20" s="777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19">
        <v>12</v>
      </c>
      <c r="B21" s="719">
        <f>IF('Entries October 2026'!I18&lt;'Entries October 2026'!I17,"0",(IF('Entries October 2026'!I18&gt;='Entries October 2026'!I17,'Entries October 2026'!I18-'Entries October 2026'!I17,(999999-'Entries October 2026'!I17)+'Entries October 2026'!I18+1)))</f>
        <v>8829</v>
      </c>
      <c r="C21" s="719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20">
        <f t="shared" si="0"/>
        <v>8829</v>
      </c>
      <c r="E21" s="873">
        <v>1281.3</v>
      </c>
      <c r="F21" s="721">
        <f t="shared" si="1"/>
        <v>0.12673214444675232</v>
      </c>
      <c r="G21" s="737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20">
        <f t="shared" si="2"/>
        <v>10110.299999999999</v>
      </c>
      <c r="I21" s="737">
        <f>'Water '!Z18*10</f>
        <v>3810</v>
      </c>
      <c r="J21" s="720" t="str">
        <f>IF('Entries October 2026'!B18-'Entries October 2026'!B17&lt;1,"0",'Entries October 2026'!B18-'Entries October 2026'!B17)</f>
        <v>0</v>
      </c>
      <c r="K21" s="722">
        <f>'CO2'!E18</f>
        <v>1500</v>
      </c>
      <c r="L21" s="723">
        <f>+'PROD.FIG. '!F16</f>
        <v>0</v>
      </c>
      <c r="M21" s="720">
        <f>+'PROD.FIG. '!C16</f>
        <v>0</v>
      </c>
      <c r="N21" s="720">
        <f>+'PROD.FIG. '!D16</f>
        <v>0</v>
      </c>
      <c r="O21" s="720">
        <f>+'PROD.FIG. '!E16</f>
        <v>0</v>
      </c>
      <c r="P21" s="724">
        <v>237.13800000000001</v>
      </c>
      <c r="Q21" s="393">
        <f t="shared" si="3"/>
        <v>42.634668420919461</v>
      </c>
      <c r="R21" s="393">
        <f t="shared" si="4"/>
        <v>16.066594135060598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19">
        <v>13</v>
      </c>
      <c r="B22" s="719">
        <f>IF('Entries October 2026'!I19&lt;'Entries October 2026'!I18,"0",(IF('Entries October 2026'!I19&gt;='Entries October 2026'!I18,'Entries October 2026'!I19-'Entries October 2026'!I18,(999999-'Entries October 2026'!I18)+'Entries October 2026'!I19+1)))</f>
        <v>5822</v>
      </c>
      <c r="C22" s="719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20">
        <f t="shared" si="0"/>
        <v>5822</v>
      </c>
      <c r="E22" s="873">
        <v>1345.4</v>
      </c>
      <c r="F22" s="721">
        <f t="shared" si="1"/>
        <v>0.18771102491838046</v>
      </c>
      <c r="G22" s="737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20">
        <f t="shared" si="2"/>
        <v>7167.4</v>
      </c>
      <c r="I22" s="737">
        <f>'Water '!Z19*10</f>
        <v>3470</v>
      </c>
      <c r="J22" s="720" t="str">
        <f>IF('Entries October 2026'!B19-'Entries October 2026'!B18&lt;1,"0",'Entries October 2026'!B19-'Entries October 2026'!B18)</f>
        <v>0</v>
      </c>
      <c r="K22" s="722">
        <f>'CO2'!E19</f>
        <v>2100</v>
      </c>
      <c r="L22" s="723">
        <f>+'PROD.FIG. '!F17</f>
        <v>0</v>
      </c>
      <c r="M22" s="720">
        <f>+'PROD.FIG. '!C17</f>
        <v>0</v>
      </c>
      <c r="N22" s="720">
        <f>+'PROD.FIG. '!D17</f>
        <v>0</v>
      </c>
      <c r="O22" s="720">
        <f>+'PROD.FIG. '!E17</f>
        <v>0</v>
      </c>
      <c r="P22" s="724">
        <v>568.85400000000004</v>
      </c>
      <c r="Q22" s="393">
        <f>IF(P22=0,0,H22/P22)</f>
        <v>12.599718029582281</v>
      </c>
      <c r="R22" s="393">
        <f>IF(Q22=0,0,I22/P22)</f>
        <v>6.0999834755490863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6651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6651</v>
      </c>
      <c r="E23" s="873">
        <v>1035.0999999999999</v>
      </c>
      <c r="F23" s="721">
        <f t="shared" si="1"/>
        <v>0.13467168004579694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7686.1</v>
      </c>
      <c r="I23" s="737">
        <f>'Water '!Z20*10</f>
        <v>3480</v>
      </c>
      <c r="J23" s="720" t="str">
        <f>IF('Entries October 2026'!B20-'Entries October 2026'!B19&lt;1,"0",'Entries October 2026'!B20-'Entries October 2026'!B19)</f>
        <v>0</v>
      </c>
      <c r="K23" s="722">
        <f>'CO2'!E20</f>
        <v>2100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509.38800000000003</v>
      </c>
      <c r="Q23" s="393">
        <f t="shared" si="3"/>
        <v>15.088890982904976</v>
      </c>
      <c r="R23" s="393">
        <f t="shared" si="4"/>
        <v>6.8317274847464011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8256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8256</v>
      </c>
      <c r="E24" s="873">
        <v>1537.6</v>
      </c>
      <c r="F24" s="721">
        <f>IF((E24+D24)=0,"0",E24/(D24+E24))</f>
        <v>0.1570004901159941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9793.6</v>
      </c>
      <c r="I24" s="737">
        <f>'Water '!Z21*10</f>
        <v>4590</v>
      </c>
      <c r="J24" s="720" t="str">
        <f>IF('Entries October 2026'!B21-'Entries October 2026'!B20&lt;1,"0",'Entries October 2026'!B21-'Entries October 2026'!B20)</f>
        <v>0</v>
      </c>
      <c r="K24" s="722">
        <f>'CO2'!E21</f>
        <v>3600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478.17</v>
      </c>
      <c r="Q24" s="393">
        <f t="shared" si="3"/>
        <v>20.481418742288309</v>
      </c>
      <c r="R24" s="393">
        <f t="shared" si="4"/>
        <v>9.5990965556182939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7352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7352</v>
      </c>
      <c r="E25" s="873">
        <v>1297.5</v>
      </c>
      <c r="F25" s="721">
        <f t="shared" si="1"/>
        <v>0.15000867102144633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8649.5</v>
      </c>
      <c r="I25" s="737">
        <f>'Water '!Z22*10</f>
        <v>5490</v>
      </c>
      <c r="J25" s="720" t="str">
        <f>IF('Entries October 2026'!B22-'Entries October 2026'!B21&lt;1,"0",'Entries October 2026'!B22-'Entries October 2026'!B21)</f>
        <v>0</v>
      </c>
      <c r="K25" s="722">
        <f>'CO2'!E22</f>
        <v>1900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234.102</v>
      </c>
      <c r="Q25" s="393">
        <f t="shared" si="3"/>
        <v>36.947569862709415</v>
      </c>
      <c r="R25" s="393">
        <f t="shared" si="4"/>
        <v>23.45131609298511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71">
        <v>17</v>
      </c>
      <c r="B26" s="771">
        <f>IF('Entries October 2026'!I23&lt;'Entries October 2026'!I22,"0",(IF('Entries October 2026'!I23&gt;='Entries October 2026'!I22,'Entries October 2026'!I23-'Entries October 2026'!I22,(999999-'Entries October 2026'!I22)+'Entries October 2026'!I23+1)))</f>
        <v>3261</v>
      </c>
      <c r="C26" s="771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72">
        <f t="shared" si="0"/>
        <v>3261</v>
      </c>
      <c r="E26" s="874">
        <v>1494.7</v>
      </c>
      <c r="F26" s="773">
        <f t="shared" si="1"/>
        <v>0.31429652837647459</v>
      </c>
      <c r="G26" s="774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72">
        <f t="shared" si="2"/>
        <v>4755.7</v>
      </c>
      <c r="I26" s="774">
        <f>'Water '!Z23*10</f>
        <v>0</v>
      </c>
      <c r="J26" s="772" t="str">
        <f>IF('Entries October 2026'!B23-'Entries October 2026'!B22&lt;1,"0",'Entries October 2026'!B23-'Entries October 2026'!B22)</f>
        <v>0</v>
      </c>
      <c r="K26" s="775">
        <f>'CO2'!E23</f>
        <v>0</v>
      </c>
      <c r="L26" s="776">
        <f>+'PROD.FIG. '!F21</f>
        <v>0</v>
      </c>
      <c r="M26" s="772">
        <f>+'PROD.FIG. '!C21</f>
        <v>0</v>
      </c>
      <c r="N26" s="772">
        <f>+'PROD.FIG. '!D21</f>
        <v>0</v>
      </c>
      <c r="O26" s="772">
        <f>+'PROD.FIG. '!E21</f>
        <v>0</v>
      </c>
      <c r="P26" s="777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71">
        <v>18</v>
      </c>
      <c r="B27" s="771">
        <f>IF('Entries October 2026'!I24&lt;'Entries October 2026'!I23,"0",(IF('Entries October 2026'!I24&gt;='Entries October 2026'!I23,'Entries October 2026'!I24-'Entries October 2026'!I23,(999999-'Entries October 2026'!I23)+'Entries October 2026'!I24+1)))</f>
        <v>2453</v>
      </c>
      <c r="C27" s="771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72">
        <f t="shared" si="0"/>
        <v>2453</v>
      </c>
      <c r="E27" s="874">
        <v>1350.7</v>
      </c>
      <c r="F27" s="773">
        <f t="shared" si="1"/>
        <v>0.35510161158871628</v>
      </c>
      <c r="G27" s="774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72">
        <f t="shared" si="2"/>
        <v>3803.7</v>
      </c>
      <c r="I27" s="774">
        <f>'Water '!Z24*10</f>
        <v>0</v>
      </c>
      <c r="J27" s="772" t="str">
        <f>IF('Entries October 2026'!B24-'Entries October 2026'!B23&lt;1,"0",'Entries October 2026'!B24-'Entries October 2026'!B23)</f>
        <v>0</v>
      </c>
      <c r="K27" s="775">
        <f>'CO2'!E24</f>
        <v>0</v>
      </c>
      <c r="L27" s="776">
        <f>+'PROD.FIG. '!F22</f>
        <v>0</v>
      </c>
      <c r="M27" s="772">
        <f>+'PROD.FIG. '!C22</f>
        <v>0</v>
      </c>
      <c r="N27" s="772">
        <f>+'PROD.FIG. '!D22</f>
        <v>0</v>
      </c>
      <c r="O27" s="772">
        <f>+'PROD.FIG. '!E22</f>
        <v>0</v>
      </c>
      <c r="P27" s="777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19">
        <v>19</v>
      </c>
      <c r="B28" s="719">
        <f>IF('Entries October 2026'!I25&lt;'Entries October 2026'!I24,"0",(IF('Entries October 2026'!I25&gt;='Entries October 2026'!I24,'Entries October 2026'!I25-'Entries October 2026'!I24,(999999-'Entries October 2026'!I24)+'Entries October 2026'!I25+1)))</f>
        <v>3097</v>
      </c>
      <c r="C28" s="719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20">
        <f t="shared" si="0"/>
        <v>3097</v>
      </c>
      <c r="E28" s="873">
        <v>1348.2</v>
      </c>
      <c r="F28" s="721">
        <f t="shared" si="1"/>
        <v>0.30329344011518045</v>
      </c>
      <c r="G28" s="737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20">
        <f t="shared" si="2"/>
        <v>4445.2</v>
      </c>
      <c r="I28" s="737">
        <f>'Water '!Z25*10</f>
        <v>1180</v>
      </c>
      <c r="J28" s="720" t="str">
        <f>IF('Entries October 2026'!B25-'Entries October 2026'!B24&lt;1,"0",'Entries October 2026'!B25-'Entries October 2026'!B24)</f>
        <v>0</v>
      </c>
      <c r="K28" s="722">
        <f>'CO2'!E25</f>
        <v>0</v>
      </c>
      <c r="L28" s="723">
        <f>+'PROD.FIG. '!F23</f>
        <v>0</v>
      </c>
      <c r="M28" s="720">
        <f>+'PROD.FIG. '!C23</f>
        <v>0</v>
      </c>
      <c r="N28" s="720">
        <f>+'PROD.FIG. '!D23</f>
        <v>0</v>
      </c>
      <c r="O28" s="720">
        <f>+'PROD.FIG. '!E23</f>
        <v>0</v>
      </c>
      <c r="P28" s="724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19">
        <v>20</v>
      </c>
      <c r="B29" s="719">
        <f>IF('Entries October 2026'!I26&lt;'Entries October 2026'!I25,"0",(IF('Entries October 2026'!I26&gt;='Entries October 2026'!I25,'Entries October 2026'!I26-'Entries October 2026'!I25,(999999-'Entries October 2026'!I25)+'Entries October 2026'!I26+1)))</f>
        <v>7790</v>
      </c>
      <c r="C29" s="719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20">
        <f t="shared" si="0"/>
        <v>7790</v>
      </c>
      <c r="E29" s="873">
        <v>1486.3</v>
      </c>
      <c r="F29" s="721">
        <f t="shared" si="1"/>
        <v>0.16022552095124135</v>
      </c>
      <c r="G29" s="737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20">
        <f t="shared" si="2"/>
        <v>9276.2999999999993</v>
      </c>
      <c r="I29" s="737">
        <f>'Water '!Z26*10</f>
        <v>3960</v>
      </c>
      <c r="J29" s="720" t="str">
        <f>IF('Entries October 2026'!B26-'Entries October 2026'!B25&lt;1,"0",'Entries October 2026'!B26-'Entries October 2026'!B25)</f>
        <v>0</v>
      </c>
      <c r="K29" s="722">
        <f>'CO2'!E26</f>
        <v>2300</v>
      </c>
      <c r="L29" s="723">
        <f>+'PROD.FIG. '!F24</f>
        <v>0</v>
      </c>
      <c r="M29" s="720">
        <f>+'PROD.FIG. '!C24</f>
        <v>0</v>
      </c>
      <c r="N29" s="720">
        <f>+'PROD.FIG. '!D24</f>
        <v>0</v>
      </c>
      <c r="O29" s="720">
        <f>+'PROD.FIG. '!E24</f>
        <v>0</v>
      </c>
      <c r="P29" s="724">
        <v>465.82800000000003</v>
      </c>
      <c r="Q29" s="393">
        <f t="shared" si="3"/>
        <v>19.913573250212522</v>
      </c>
      <c r="R29" s="393">
        <f t="shared" si="4"/>
        <v>8.5009917823746104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7481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7481</v>
      </c>
      <c r="E30" s="873">
        <v>1494.6</v>
      </c>
      <c r="F30" s="721">
        <f t="shared" si="1"/>
        <v>0.16651811578056061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8975.6</v>
      </c>
      <c r="I30" s="737">
        <f>'Water '!Z27*10</f>
        <v>5740</v>
      </c>
      <c r="J30" s="720" t="str">
        <f>IF('Entries October 2026'!B27-'Entries October 2026'!B26&lt;1,"0",'Entries October 2026'!B27-'Entries October 2026'!B26)</f>
        <v>0</v>
      </c>
      <c r="K30" s="722">
        <f>'CO2'!E27</f>
        <v>2200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651.22199999999998</v>
      </c>
      <c r="Q30" s="393">
        <f t="shared" si="3"/>
        <v>13.782703901280977</v>
      </c>
      <c r="R30" s="393">
        <f t="shared" si="4"/>
        <v>8.8141985375186955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7284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7284</v>
      </c>
      <c r="E31" s="873">
        <v>1414.7</v>
      </c>
      <c r="F31" s="721">
        <f t="shared" si="1"/>
        <v>0.16263349695931575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8698.7000000000007</v>
      </c>
      <c r="I31" s="737">
        <f>'Water '!Z28*10</f>
        <v>4050</v>
      </c>
      <c r="J31" s="720" t="str">
        <f>IF('Entries October 2026'!B28-'Entries October 2026'!B27&lt;1,"0",'Entries October 2026'!B28-'Entries October 2026'!B27)</f>
        <v>0</v>
      </c>
      <c r="K31" s="722">
        <f>'CO2'!E28</f>
        <v>1000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261.03000000000003</v>
      </c>
      <c r="Q31" s="393">
        <f>IF(P31=0,0,H31/P31)</f>
        <v>33.324522085584029</v>
      </c>
      <c r="R31" s="393">
        <f>IF(Q31=0,0,I31/P31)</f>
        <v>15.515457993334097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7265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7265</v>
      </c>
      <c r="E32" s="873">
        <v>1429.6</v>
      </c>
      <c r="F32" s="721">
        <f t="shared" si="1"/>
        <v>0.16442389529133022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8694.6</v>
      </c>
      <c r="I32" s="737">
        <f>'Water '!Z29*10</f>
        <v>4030</v>
      </c>
      <c r="J32" s="720" t="str">
        <f>IF('Entries October 2026'!B29-'Entries October 2026'!B28&lt;1,"0",'Entries October 2026'!B29-'Entries October 2026'!B28)</f>
        <v>0</v>
      </c>
      <c r="K32" s="722">
        <f>'CO2'!E29</f>
        <v>2000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416.87400000000002</v>
      </c>
      <c r="Q32" s="393">
        <f t="shared" si="3"/>
        <v>20.856661725125576</v>
      </c>
      <c r="R32" s="393">
        <f t="shared" si="4"/>
        <v>9.6671896064518297</v>
      </c>
      <c r="S32" s="393">
        <f t="shared" si="5"/>
        <v>0</v>
      </c>
      <c r="T32" s="393">
        <f t="shared" si="6"/>
        <v>0</v>
      </c>
    </row>
    <row r="33" spans="1:32" ht="15" x14ac:dyDescent="0.2">
      <c r="A33" s="771">
        <v>24</v>
      </c>
      <c r="B33" s="771" t="str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71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72">
        <f t="shared" si="0"/>
        <v>0</v>
      </c>
      <c r="E33" s="874"/>
      <c r="F33" s="773" t="str">
        <f t="shared" si="1"/>
        <v>0</v>
      </c>
      <c r="G33" s="774" t="str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72">
        <f t="shared" si="2"/>
        <v>0</v>
      </c>
      <c r="I33" s="774">
        <f>'Water '!Z30*10</f>
        <v>0</v>
      </c>
      <c r="J33" s="772" t="str">
        <f>IF('Entries October 2026'!B30-'Entries October 2026'!B29&lt;1,"0",'Entries October 2026'!B30-'Entries October 2026'!B29)</f>
        <v>0</v>
      </c>
      <c r="K33" s="775">
        <f>'CO2'!E30</f>
        <v>0</v>
      </c>
      <c r="L33" s="776">
        <f>+'PROD.FIG. '!F28</f>
        <v>0</v>
      </c>
      <c r="M33" s="772">
        <f>+'PROD.FIG. '!C28</f>
        <v>0</v>
      </c>
      <c r="N33" s="772">
        <f>+'PROD.FIG. '!D28</f>
        <v>0</v>
      </c>
      <c r="O33" s="772">
        <f>+'PROD.FIG. '!E28</f>
        <v>0</v>
      </c>
      <c r="P33" s="777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71">
        <v>25</v>
      </c>
      <c r="B34" s="771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71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72">
        <f t="shared" si="0"/>
        <v>0</v>
      </c>
      <c r="E34" s="874"/>
      <c r="F34" s="773" t="str">
        <f t="shared" si="1"/>
        <v>0</v>
      </c>
      <c r="G34" s="774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72">
        <f t="shared" si="2"/>
        <v>0</v>
      </c>
      <c r="I34" s="774">
        <f>'Water '!Z31*10</f>
        <v>0</v>
      </c>
      <c r="J34" s="772" t="str">
        <f>IF('Entries October 2026'!B31-'Entries October 2026'!B30&lt;1,"0",'Entries October 2026'!B31-'Entries October 2026'!B30)</f>
        <v>0</v>
      </c>
      <c r="K34" s="775">
        <f>'CO2'!E31</f>
        <v>0</v>
      </c>
      <c r="L34" s="776">
        <f>+'PROD.FIG. '!F29</f>
        <v>0</v>
      </c>
      <c r="M34" s="772">
        <f>+'PROD.FIG. '!C29</f>
        <v>0</v>
      </c>
      <c r="N34" s="772">
        <f>+'PROD.FIG. '!D29</f>
        <v>0</v>
      </c>
      <c r="O34" s="772">
        <f>+'PROD.FIG. '!E29</f>
        <v>0</v>
      </c>
      <c r="P34" s="777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19">
        <v>26</v>
      </c>
      <c r="B35" s="719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19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20">
        <f t="shared" si="0"/>
        <v>0</v>
      </c>
      <c r="E35" s="873"/>
      <c r="F35" s="721" t="str">
        <f t="shared" si="1"/>
        <v>0</v>
      </c>
      <c r="G35" s="737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20">
        <f t="shared" si="2"/>
        <v>0</v>
      </c>
      <c r="I35" s="737">
        <f>'Water '!Z32*10</f>
        <v>0</v>
      </c>
      <c r="J35" s="720" t="str">
        <f>IF('Entries October 2026'!B32-'Entries October 2026'!B31&lt;1,"0",'Entries October 2026'!B32-'Entries October 2026'!B31)</f>
        <v>0</v>
      </c>
      <c r="K35" s="722">
        <f>'CO2'!E32</f>
        <v>0</v>
      </c>
      <c r="L35" s="723">
        <f>+'PROD.FIG. '!F30</f>
        <v>0</v>
      </c>
      <c r="M35" s="720">
        <f>+'PROD.FIG. '!C30</f>
        <v>0</v>
      </c>
      <c r="N35" s="720">
        <f>+'PROD.FIG. '!D30</f>
        <v>0</v>
      </c>
      <c r="O35" s="720">
        <f>+'PROD.FIG. '!E30</f>
        <v>0</v>
      </c>
      <c r="P35" s="724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19">
        <v>27</v>
      </c>
      <c r="B36" s="719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19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20">
        <f t="shared" si="0"/>
        <v>0</v>
      </c>
      <c r="E36" s="873"/>
      <c r="F36" s="721" t="str">
        <f t="shared" si="1"/>
        <v>0</v>
      </c>
      <c r="G36" s="737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20">
        <f t="shared" si="2"/>
        <v>0</v>
      </c>
      <c r="I36" s="737">
        <f>'Water '!Z33*10</f>
        <v>0</v>
      </c>
      <c r="J36" s="720" t="str">
        <f>IF('Entries October 2026'!B33-'Entries October 2026'!B32&lt;1,"0",'Entries October 2026'!B33-'Entries October 2026'!B32)</f>
        <v>0</v>
      </c>
      <c r="K36" s="722">
        <f>'CO2'!E33</f>
        <v>0</v>
      </c>
      <c r="L36" s="723">
        <f>+'PROD.FIG. '!F31</f>
        <v>0</v>
      </c>
      <c r="M36" s="720">
        <f>+'PROD.FIG. '!C31</f>
        <v>0</v>
      </c>
      <c r="N36" s="720">
        <f>+'PROD.FIG. '!D31</f>
        <v>0</v>
      </c>
      <c r="O36" s="720">
        <f>+'PROD.FIG. '!E31</f>
        <v>0</v>
      </c>
      <c r="P36" s="724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3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3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71">
        <v>31</v>
      </c>
      <c r="B40" s="771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71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72">
        <f t="shared" si="0"/>
        <v>0</v>
      </c>
      <c r="E40" s="888"/>
      <c r="F40" s="773" t="str">
        <f t="shared" si="1"/>
        <v>0</v>
      </c>
      <c r="G40" s="774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72">
        <f t="shared" si="2"/>
        <v>0</v>
      </c>
      <c r="I40" s="774">
        <f>'Water '!Z37*10</f>
        <v>0</v>
      </c>
      <c r="J40" s="772" t="str">
        <f>IF('Entries October 2026'!B37-'Entries October 2026'!B36&lt;1,"0",'Entries October 2026'!B37-'Entries October 2026'!B36)</f>
        <v>0</v>
      </c>
      <c r="K40" s="775">
        <f>'CO2'!E37</f>
        <v>0</v>
      </c>
      <c r="L40" s="889"/>
      <c r="M40" s="890"/>
      <c r="N40" s="890"/>
      <c r="O40" s="890"/>
      <c r="P40" s="891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137781</v>
      </c>
      <c r="E43" s="741">
        <f>SUM(E10:E40)</f>
        <v>30027.899999999994</v>
      </c>
      <c r="F43" s="754">
        <f>IF((E43+D43)=0,"0",E43/(D43+E43))</f>
        <v>0.17894104543918704</v>
      </c>
      <c r="G43" s="20">
        <f t="shared" ref="G43:P43" si="7">SUM(G10:G40)</f>
        <v>0</v>
      </c>
      <c r="H43" s="20">
        <f t="shared" si="7"/>
        <v>167808.9</v>
      </c>
      <c r="I43" s="20">
        <f t="shared" si="7"/>
        <v>69890</v>
      </c>
      <c r="J43" s="20">
        <f t="shared" si="7"/>
        <v>960</v>
      </c>
      <c r="K43" s="20">
        <f t="shared" si="7"/>
        <v>31500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6233.5307999999995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167808.9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26.920361089737458</v>
      </c>
      <c r="R44" s="398">
        <f>IF(Q44=0,0,I43/P43)</f>
        <v>11.211944280438946</v>
      </c>
      <c r="S44" s="398">
        <f>IF(R44=0,0,J43/P43)</f>
        <v>0.15400581641467145</v>
      </c>
      <c r="T44" s="399">
        <f>IF(S44=0,0,K43/P43)</f>
        <v>5.0533158511064071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32"/>
      <c r="E47" s="932"/>
      <c r="F47" s="932"/>
      <c r="G47" s="932"/>
      <c r="H47" s="932"/>
      <c r="I47" s="932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8" t="s">
        <v>7</v>
      </c>
      <c r="B3" s="950" t="s">
        <v>235</v>
      </c>
    </row>
    <row r="4" spans="1:4" ht="15" customHeight="1" x14ac:dyDescent="0.2">
      <c r="A4" s="949"/>
      <c r="B4" s="951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>
        <f>IF('Entries October 2026'!AJ12-'Entries October 2026'!AJ11&lt;1,"0",'Entries October 2026'!AJ12-'Entries October 2026'!AJ11)</f>
        <v>116.67799999937415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>
        <f>IF('Entries October 2026'!AJ29-'Entries October 2026'!AJ28&lt;1,"0",'Entries October 2026'!AJ29-'Entries October 2026'!AJ28)</f>
        <v>3.5339999999850988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120.21199999935925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3" colorId="22" zoomScaleNormal="100" workbookViewId="0">
      <selection activeCell="D19" sqref="D19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60" t="s">
        <v>304</v>
      </c>
      <c r="B1" s="961"/>
      <c r="C1" s="961"/>
      <c r="D1" s="961"/>
      <c r="E1" s="961"/>
      <c r="F1" s="961"/>
      <c r="G1" s="961"/>
      <c r="H1" s="961"/>
      <c r="I1" s="961"/>
      <c r="J1" s="961"/>
      <c r="K1" s="961"/>
      <c r="L1" s="961"/>
      <c r="M1" s="961"/>
    </row>
    <row r="2" spans="1:17" ht="15" customHeight="1" x14ac:dyDescent="0.2">
      <c r="B2" s="8"/>
      <c r="D2" s="8"/>
      <c r="E2" s="8"/>
      <c r="F2" s="9"/>
      <c r="M2" s="952" t="s">
        <v>296</v>
      </c>
      <c r="N2" s="952" t="s">
        <v>297</v>
      </c>
    </row>
    <row r="3" spans="1:17" ht="15.75" thickBot="1" x14ac:dyDescent="0.25">
      <c r="B3" s="8"/>
      <c r="D3" s="8"/>
      <c r="E3" s="8"/>
      <c r="F3" s="9"/>
      <c r="M3" s="953"/>
      <c r="N3" s="953"/>
    </row>
    <row r="4" spans="1:17" s="339" customFormat="1" ht="32.25" customHeight="1" x14ac:dyDescent="0.2">
      <c r="A4" s="966" t="s">
        <v>7</v>
      </c>
      <c r="B4" s="847" t="s">
        <v>27</v>
      </c>
      <c r="C4" s="848" t="s">
        <v>27</v>
      </c>
      <c r="D4" s="849" t="s">
        <v>295</v>
      </c>
      <c r="E4" s="863" t="s">
        <v>24</v>
      </c>
      <c r="F4" s="863" t="s">
        <v>24</v>
      </c>
      <c r="G4" s="851" t="s">
        <v>38</v>
      </c>
      <c r="H4" s="848" t="s">
        <v>39</v>
      </c>
      <c r="I4" s="848" t="s">
        <v>299</v>
      </c>
      <c r="J4" s="848" t="s">
        <v>38</v>
      </c>
      <c r="K4" s="848" t="s">
        <v>40</v>
      </c>
      <c r="L4" s="962" t="s">
        <v>243</v>
      </c>
      <c r="M4" s="964" t="s">
        <v>246</v>
      </c>
      <c r="N4" s="954" t="s">
        <v>246</v>
      </c>
      <c r="O4" s="957" t="s">
        <v>298</v>
      </c>
      <c r="P4" s="350"/>
    </row>
    <row r="5" spans="1:17" s="339" customFormat="1" ht="16.5" thickBot="1" x14ac:dyDescent="0.25">
      <c r="A5" s="967"/>
      <c r="B5" s="864" t="s">
        <v>41</v>
      </c>
      <c r="C5" s="865" t="s">
        <v>34</v>
      </c>
      <c r="D5" s="852" t="s">
        <v>41</v>
      </c>
      <c r="E5" s="850" t="s">
        <v>41</v>
      </c>
      <c r="F5" s="850" t="s">
        <v>34</v>
      </c>
      <c r="G5" s="853" t="s">
        <v>41</v>
      </c>
      <c r="H5" s="865" t="s">
        <v>34</v>
      </c>
      <c r="I5" s="865" t="s">
        <v>42</v>
      </c>
      <c r="J5" s="865" t="s">
        <v>43</v>
      </c>
      <c r="K5" s="865" t="s">
        <v>44</v>
      </c>
      <c r="L5" s="963"/>
      <c r="M5" s="965"/>
      <c r="N5" s="955"/>
      <c r="O5" s="958"/>
      <c r="P5" s="350"/>
    </row>
    <row r="6" spans="1:17" s="73" customFormat="1" ht="16.5" thickBot="1" x14ac:dyDescent="0.3">
      <c r="A6" s="866"/>
      <c r="B6" s="867"/>
      <c r="C6" s="836"/>
      <c r="D6" s="838"/>
      <c r="E6" s="868"/>
      <c r="F6" s="868"/>
      <c r="G6" s="841"/>
      <c r="H6" s="836"/>
      <c r="I6" s="836"/>
      <c r="J6" s="836"/>
      <c r="K6" s="836"/>
      <c r="L6" s="869"/>
      <c r="M6" s="833"/>
      <c r="N6" s="956"/>
      <c r="O6" s="959"/>
      <c r="P6" s="350"/>
    </row>
    <row r="7" spans="1:17" x14ac:dyDescent="0.2">
      <c r="A7" s="854">
        <v>1</v>
      </c>
      <c r="B7" s="855">
        <f>IF('Entries October 2026'!B7-'Entries October 2026'!B6&lt;1,"0",'Entries October 2026'!B7-'Entries October 2026'!B6)</f>
        <v>960</v>
      </c>
      <c r="C7" s="856">
        <f>IF('Entries October 2026'!F7-'Entries October 2026'!F6&lt;1,"0",'Entries October 2026'!F7-'Entries October 2026'!F6)</f>
        <v>20.5</v>
      </c>
      <c r="D7" s="857">
        <f>IF('Entries October 2026'!C7-'Entries October 2026'!C6&lt;1,"0",'Entries October 2026'!C7-'Entries October 2026'!C6)</f>
        <v>3317.1999999999534</v>
      </c>
      <c r="E7" s="858" t="str">
        <f t="shared" ref="E7:E37" si="0">IF(F7=0,"0", D7/F7)</f>
        <v>0</v>
      </c>
      <c r="F7" s="859" t="str">
        <f>IF('Entries October 2026'!G7-'Entries October 2026'!G6&lt;1,"0",'Entries October 2026'!G7-'Entries October 2026'!G6)</f>
        <v>0</v>
      </c>
      <c r="G7" s="860"/>
      <c r="H7" s="856"/>
      <c r="I7" s="861">
        <f>IF(C7=0,"0", B7/(C7))</f>
        <v>46.829268292682926</v>
      </c>
      <c r="J7" s="861" t="str">
        <f t="shared" ref="J7:J37" si="1">IF(H7=0,"0", G7/H7)</f>
        <v>0</v>
      </c>
      <c r="K7" s="856">
        <f>B7+E7+G7</f>
        <v>960</v>
      </c>
      <c r="L7" s="746" cm="1">
        <f t="array" ref="L7:L37">IF(TRANSPOSE('Daily KPIs'!B9:AF9)=0,"0",TRANSPOSE('Daily KPIs'!B9:AF9))</f>
        <v>367.56479999999999</v>
      </c>
      <c r="M7" s="832">
        <f>IF(L7=0,"0",(K7/L7))</f>
        <v>2.6117843710823236</v>
      </c>
      <c r="N7" s="832">
        <f t="shared" ref="N7:N37" si="2">IF(L7=0,"0",(D7/L7))</f>
        <v>9.0248032455772513</v>
      </c>
      <c r="O7" s="862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39">
        <f>IF('Entries October 2026'!C8-'Entries October 2026'!C7&lt;1,"0",'Entries October 2026'!C8-'Entries October 2026'!C7)</f>
        <v>2235.1000000000931</v>
      </c>
      <c r="E8" s="843" t="str">
        <f t="shared" si="0"/>
        <v>0</v>
      </c>
      <c r="F8" s="844" t="str">
        <f>IF('Entries October 2026'!G8-'Entries October 2026'!G7&lt;1,"0",'Entries October 2026'!G8-'Entries October 2026'!G7)</f>
        <v>0</v>
      </c>
      <c r="G8" s="837"/>
      <c r="H8" s="739"/>
      <c r="I8" s="740">
        <f t="shared" ref="I8:I37" si="3">IF(C8=0,"0", B8/(C8))</f>
        <v>0</v>
      </c>
      <c r="J8" s="740" t="str">
        <f t="shared" si="1"/>
        <v>0</v>
      </c>
      <c r="K8" s="739">
        <f t="shared" ref="K8:K37" si="4">B8+E8+G8</f>
        <v>0</v>
      </c>
      <c r="L8" s="831">
        <v>283.536</v>
      </c>
      <c r="M8" s="829">
        <f t="shared" ref="M8:M37" si="5">IF(L8=0,"0",(K8/L8))</f>
        <v>0</v>
      </c>
      <c r="N8" s="829">
        <f t="shared" si="2"/>
        <v>7.8829496078102714</v>
      </c>
      <c r="O8" s="830">
        <f t="shared" ref="O8:O37" si="6">B8-D8</f>
        <v>-2235.1000000000931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39">
        <f>IF('Entries October 2026'!C9-'Entries October 2026'!C8&lt;1,"0",'Entries October 2026'!C9-'Entries October 2026'!C8)</f>
        <v>238.30000000004657</v>
      </c>
      <c r="E9" s="843" t="str">
        <f t="shared" si="0"/>
        <v>0</v>
      </c>
      <c r="F9" s="844" t="str">
        <f>IF('Entries October 2026'!G9-'Entries October 2026'!G8&lt;1,"0",'Entries October 2026'!G9-'Entries October 2026'!G8)</f>
        <v>0</v>
      </c>
      <c r="G9" s="837"/>
      <c r="H9" s="739"/>
      <c r="I9" s="740">
        <f t="shared" si="3"/>
        <v>0</v>
      </c>
      <c r="J9" s="740" t="str">
        <f t="shared" si="1"/>
        <v>0</v>
      </c>
      <c r="K9" s="739">
        <f t="shared" si="4"/>
        <v>0</v>
      </c>
      <c r="L9" s="831" t="str">
        <v>0</v>
      </c>
      <c r="M9" s="829" t="str">
        <f t="shared" si="5"/>
        <v>0</v>
      </c>
      <c r="N9" s="829" t="str">
        <f t="shared" si="2"/>
        <v>0</v>
      </c>
      <c r="O9" s="830">
        <f t="shared" si="6"/>
        <v>-238.30000000004657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39">
        <f>IF('Entries October 2026'!C10-'Entries October 2026'!C9&lt;1,"0",'Entries October 2026'!C10-'Entries October 2026'!C9)</f>
        <v>334.89999999990687</v>
      </c>
      <c r="E10" s="843" t="str">
        <f t="shared" si="0"/>
        <v>0</v>
      </c>
      <c r="F10" s="844" t="str">
        <f>IF('Entries October 2026'!G10-'Entries October 2026'!G9&lt;1,"0",'Entries October 2026'!G10-'Entries October 2026'!G9)</f>
        <v>0</v>
      </c>
      <c r="G10" s="837"/>
      <c r="H10" s="739"/>
      <c r="I10" s="740">
        <f t="shared" si="3"/>
        <v>0</v>
      </c>
      <c r="J10" s="740" t="str">
        <f t="shared" si="1"/>
        <v>0</v>
      </c>
      <c r="K10" s="739">
        <f t="shared" si="4"/>
        <v>0</v>
      </c>
      <c r="L10" s="831" t="str">
        <v>0</v>
      </c>
      <c r="M10" s="829" t="str">
        <f t="shared" si="5"/>
        <v>0</v>
      </c>
      <c r="N10" s="829" t="str">
        <f t="shared" si="2"/>
        <v>0</v>
      </c>
      <c r="O10" s="830">
        <f t="shared" si="6"/>
        <v>-334.89999999990687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>
        <f>IF('Entries October 2026'!F11-'Entries October 2026'!F10&lt;1,"0",'Entries October 2026'!F11-'Entries October 2026'!F10)</f>
        <v>19.899999999999636</v>
      </c>
      <c r="D11" s="839">
        <f>IF('Entries October 2026'!C11-'Entries October 2026'!C10&lt;1,"0",'Entries October 2026'!C11-'Entries October 2026'!C10)</f>
        <v>3351.6000000000931</v>
      </c>
      <c r="E11" s="843" t="str">
        <f t="shared" si="0"/>
        <v>0</v>
      </c>
      <c r="F11" s="844" t="str">
        <f>IF('Entries October 2026'!G11-'Entries October 2026'!G10&lt;1,"0",'Entries October 2026'!G11-'Entries October 2026'!G10)</f>
        <v>0</v>
      </c>
      <c r="G11" s="837"/>
      <c r="H11" s="739"/>
      <c r="I11" s="740">
        <f t="shared" si="3"/>
        <v>0</v>
      </c>
      <c r="J11" s="740" t="str">
        <f t="shared" si="1"/>
        <v>0</v>
      </c>
      <c r="K11" s="739">
        <f t="shared" si="4"/>
        <v>0</v>
      </c>
      <c r="L11" s="831">
        <v>326.50200000000001</v>
      </c>
      <c r="M11" s="829">
        <f t="shared" si="5"/>
        <v>0</v>
      </c>
      <c r="N11" s="829">
        <f t="shared" si="2"/>
        <v>10.265174485914613</v>
      </c>
      <c r="O11" s="830">
        <f t="shared" si="6"/>
        <v>-3351.6000000000931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>
        <f>IF('Entries October 2026'!F12-'Entries October 2026'!F11&lt;1,"0",'Entries October 2026'!F12-'Entries October 2026'!F11)</f>
        <v>20.400000000001455</v>
      </c>
      <c r="D12" s="839">
        <f>IF('Entries October 2026'!C12-'Entries October 2026'!C11&lt;1,"0",'Entries October 2026'!C12-'Entries October 2026'!C11)</f>
        <v>2654.6999999999534</v>
      </c>
      <c r="E12" s="843" t="str">
        <f t="shared" si="0"/>
        <v>0</v>
      </c>
      <c r="F12" s="844" t="str">
        <f>IF('Entries October 2026'!G12-'Entries October 2026'!G11&lt;1,"0",'Entries October 2026'!G12-'Entries October 2026'!G11)</f>
        <v>0</v>
      </c>
      <c r="G12" s="837"/>
      <c r="H12" s="739"/>
      <c r="I12" s="740">
        <f t="shared" si="3"/>
        <v>0</v>
      </c>
      <c r="J12" s="740" t="str">
        <f t="shared" si="1"/>
        <v>0</v>
      </c>
      <c r="K12" s="739">
        <f t="shared" si="4"/>
        <v>0</v>
      </c>
      <c r="L12" s="831">
        <v>357.19200000000001</v>
      </c>
      <c r="M12" s="829">
        <f t="shared" si="5"/>
        <v>0</v>
      </c>
      <c r="N12" s="829">
        <f t="shared" si="2"/>
        <v>7.4321373379021738</v>
      </c>
      <c r="O12" s="830">
        <f t="shared" si="6"/>
        <v>-2654.6999999999534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>
        <f>IF('Entries October 2026'!F13-'Entries October 2026'!F12&lt;1,"0",'Entries October 2026'!F13-'Entries October 2026'!F12)</f>
        <v>19.199999999998909</v>
      </c>
      <c r="D13" s="839">
        <f>IF('Entries October 2026'!C13-'Entries October 2026'!C12&lt;1,"0",'Entries October 2026'!C13-'Entries October 2026'!C12)</f>
        <v>2750.5999999998603</v>
      </c>
      <c r="E13" s="843" t="str">
        <f t="shared" si="0"/>
        <v>0</v>
      </c>
      <c r="F13" s="844" t="str">
        <f>IF('Entries October 2026'!G13-'Entries October 2026'!G12&lt;1,"0",'Entries October 2026'!G13-'Entries October 2026'!G12)</f>
        <v>0</v>
      </c>
      <c r="G13" s="837"/>
      <c r="H13" s="739"/>
      <c r="I13" s="740">
        <f t="shared" si="3"/>
        <v>0</v>
      </c>
      <c r="J13" s="740" t="str">
        <f t="shared" si="1"/>
        <v>0</v>
      </c>
      <c r="K13" s="739">
        <f t="shared" si="4"/>
        <v>0</v>
      </c>
      <c r="L13" s="831">
        <v>406.428</v>
      </c>
      <c r="M13" s="829">
        <f t="shared" si="5"/>
        <v>0</v>
      </c>
      <c r="N13" s="829">
        <f t="shared" si="2"/>
        <v>6.767742379953793</v>
      </c>
      <c r="O13" s="830">
        <f t="shared" si="6"/>
        <v>-2750.5999999998603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>
        <f>IF('Entries October 2026'!F14-'Entries October 2026'!F13&lt;1,"0",'Entries October 2026'!F14-'Entries October 2026'!F13)</f>
        <v>20.200000000000728</v>
      </c>
      <c r="D14" s="839">
        <f>IF('Entries October 2026'!C14-'Entries October 2026'!C13&lt;1,"0",'Entries October 2026'!C14-'Entries October 2026'!C13)</f>
        <v>2970.8000000000466</v>
      </c>
      <c r="E14" s="843" t="str">
        <f t="shared" si="0"/>
        <v>0</v>
      </c>
      <c r="F14" s="844" t="str">
        <f>IF('Entries October 2026'!G14-'Entries October 2026'!G13&lt;1,"0",'Entries October 2026'!G14-'Entries October 2026'!G13)</f>
        <v>0</v>
      </c>
      <c r="G14" s="837"/>
      <c r="H14" s="739"/>
      <c r="I14" s="740">
        <f t="shared" si="3"/>
        <v>0</v>
      </c>
      <c r="J14" s="740" t="str">
        <f t="shared" si="1"/>
        <v>0</v>
      </c>
      <c r="K14" s="739">
        <f t="shared" si="4"/>
        <v>0</v>
      </c>
      <c r="L14" s="831">
        <v>361.21800000000002</v>
      </c>
      <c r="M14" s="829">
        <f t="shared" si="5"/>
        <v>0</v>
      </c>
      <c r="N14" s="829">
        <f t="shared" si="2"/>
        <v>8.2243963479119166</v>
      </c>
      <c r="O14" s="830">
        <f t="shared" si="6"/>
        <v>-2970.8000000000466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>
        <f>IF('Entries October 2026'!F15-'Entries October 2026'!F14&lt;1,"0",'Entries October 2026'!F15-'Entries October 2026'!F14)</f>
        <v>18.199999999998909</v>
      </c>
      <c r="D15" s="839">
        <f>IF('Entries October 2026'!C15-'Entries October 2026'!C14&lt;1,"0",'Entries October 2026'!C15-'Entries October 2026'!C14)</f>
        <v>2906.1999999999534</v>
      </c>
      <c r="E15" s="843" t="str">
        <f t="shared" si="0"/>
        <v>0</v>
      </c>
      <c r="F15" s="844" t="str">
        <f>IF('Entries October 2026'!G15-'Entries October 2026'!G14&lt;1,"0",'Entries October 2026'!G15-'Entries October 2026'!G14)</f>
        <v>0</v>
      </c>
      <c r="G15" s="837"/>
      <c r="H15" s="739"/>
      <c r="I15" s="740">
        <f t="shared" si="3"/>
        <v>0</v>
      </c>
      <c r="J15" s="740" t="str">
        <f t="shared" si="1"/>
        <v>0</v>
      </c>
      <c r="K15" s="739">
        <f t="shared" si="4"/>
        <v>0</v>
      </c>
      <c r="L15" s="831">
        <v>308.48400000000004</v>
      </c>
      <c r="M15" s="829">
        <f t="shared" si="5"/>
        <v>0</v>
      </c>
      <c r="N15" s="829">
        <f t="shared" si="2"/>
        <v>9.4209099985735172</v>
      </c>
      <c r="O15" s="830">
        <f t="shared" si="6"/>
        <v>-2906.1999999999534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>
        <f>IF('Entries October 2026'!F16-'Entries October 2026'!F15&lt;1,"0",'Entries October 2026'!F16-'Entries October 2026'!F15)</f>
        <v>16.5</v>
      </c>
      <c r="D16" s="839">
        <f>IF('Entries October 2026'!C16-'Entries October 2026'!C15&lt;1,"0",'Entries October 2026'!C16-'Entries October 2026'!C15)</f>
        <v>1549.5</v>
      </c>
      <c r="E16" s="843" t="str">
        <f t="shared" si="0"/>
        <v>0</v>
      </c>
      <c r="F16" s="844" t="str">
        <f>IF('Entries October 2026'!G16-'Entries October 2026'!G15&lt;1,"0",'Entries October 2026'!G16-'Entries October 2026'!G15)</f>
        <v>0</v>
      </c>
      <c r="G16" s="837"/>
      <c r="H16" s="739"/>
      <c r="I16" s="740">
        <f t="shared" si="3"/>
        <v>0</v>
      </c>
      <c r="J16" s="740" t="str">
        <f t="shared" si="1"/>
        <v>0</v>
      </c>
      <c r="K16" s="739">
        <f t="shared" si="4"/>
        <v>0</v>
      </c>
      <c r="L16" s="831" t="str">
        <v>0</v>
      </c>
      <c r="M16" s="829" t="str">
        <f t="shared" si="5"/>
        <v>0</v>
      </c>
      <c r="N16" s="829" t="str">
        <f t="shared" si="2"/>
        <v>0</v>
      </c>
      <c r="O16" s="830">
        <f t="shared" si="6"/>
        <v>-1549.5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>
        <f>IF('Entries October 2026'!F17-'Entries October 2026'!F16&lt;1,"0",'Entries October 2026'!F17-'Entries October 2026'!F16)</f>
        <v>2.8000000000010914</v>
      </c>
      <c r="D17" s="839">
        <f>IF('Entries October 2026'!C17-'Entries October 2026'!C16&lt;1,"0",'Entries October 2026'!C17-'Entries October 2026'!C16)</f>
        <v>542.10000000009313</v>
      </c>
      <c r="E17" s="843" t="str">
        <f t="shared" si="0"/>
        <v>0</v>
      </c>
      <c r="F17" s="844" t="str">
        <f>IF('Entries October 2026'!G17-'Entries October 2026'!G16&lt;1,"0",'Entries October 2026'!G17-'Entries October 2026'!G16)</f>
        <v>0</v>
      </c>
      <c r="G17" s="837"/>
      <c r="H17" s="739"/>
      <c r="I17" s="740">
        <f t="shared" si="3"/>
        <v>0</v>
      </c>
      <c r="J17" s="740" t="str">
        <f t="shared" si="1"/>
        <v>0</v>
      </c>
      <c r="K17" s="739">
        <f t="shared" si="4"/>
        <v>0</v>
      </c>
      <c r="L17" s="831" t="str">
        <v>0</v>
      </c>
      <c r="M17" s="829" t="str">
        <f t="shared" si="5"/>
        <v>0</v>
      </c>
      <c r="N17" s="829" t="str">
        <f t="shared" si="2"/>
        <v>0</v>
      </c>
      <c r="O17" s="830">
        <f t="shared" si="6"/>
        <v>-542.10000000009313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>
        <f>IF('Entries October 2026'!F18-'Entries October 2026'!F17&lt;1,"0",'Entries October 2026'!F18-'Entries October 2026'!F17)</f>
        <v>18.100000000000364</v>
      </c>
      <c r="D18" s="839">
        <f>IF('Entries October 2026'!C18-'Entries October 2026'!C17&lt;1,"0",'Entries October 2026'!C18-'Entries October 2026'!C17)</f>
        <v>3450.3000000000466</v>
      </c>
      <c r="E18" s="843" t="str">
        <f t="shared" si="0"/>
        <v>0</v>
      </c>
      <c r="F18" s="844" t="str">
        <f>IF('Entries October 2026'!G18-'Entries October 2026'!G17&lt;1,"0",'Entries October 2026'!G18-'Entries October 2026'!G17)</f>
        <v>0</v>
      </c>
      <c r="G18" s="837"/>
      <c r="H18" s="739"/>
      <c r="I18" s="740">
        <f t="shared" si="3"/>
        <v>0</v>
      </c>
      <c r="J18" s="740" t="str">
        <f t="shared" si="1"/>
        <v>0</v>
      </c>
      <c r="K18" s="739">
        <f t="shared" si="4"/>
        <v>0</v>
      </c>
      <c r="L18" s="831">
        <v>237.13800000000001</v>
      </c>
      <c r="M18" s="829">
        <f t="shared" si="5"/>
        <v>0</v>
      </c>
      <c r="N18" s="829">
        <f t="shared" si="2"/>
        <v>14.549755838372789</v>
      </c>
      <c r="O18" s="830">
        <f t="shared" si="6"/>
        <v>-3450.3000000000466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>
        <f>IF('Entries October 2026'!F19-'Entries October 2026'!F18&lt;1,"0",'Entries October 2026'!F19-'Entries October 2026'!F18)</f>
        <v>20.299999999999272</v>
      </c>
      <c r="D19" s="839">
        <f>IF('Entries October 2026'!C19-'Entries October 2026'!C18&lt;1,"0",'Entries October 2026'!C19-'Entries October 2026'!C18)</f>
        <v>2133.5999999998603</v>
      </c>
      <c r="E19" s="843" t="str">
        <f t="shared" si="0"/>
        <v>0</v>
      </c>
      <c r="F19" s="844" t="str">
        <f>IF('Entries October 2026'!G19-'Entries October 2026'!G18&lt;1,"0",'Entries October 2026'!G19-'Entries October 2026'!G18)</f>
        <v>0</v>
      </c>
      <c r="G19" s="837"/>
      <c r="H19" s="739"/>
      <c r="I19" s="740">
        <f t="shared" si="3"/>
        <v>0</v>
      </c>
      <c r="J19" s="740" t="str">
        <f t="shared" si="1"/>
        <v>0</v>
      </c>
      <c r="K19" s="739">
        <f t="shared" si="4"/>
        <v>0</v>
      </c>
      <c r="L19" s="831">
        <v>568.85400000000004</v>
      </c>
      <c r="M19" s="829">
        <f t="shared" si="5"/>
        <v>0</v>
      </c>
      <c r="N19" s="829">
        <f t="shared" si="2"/>
        <v>3.750698773322962</v>
      </c>
      <c r="O19" s="830">
        <f t="shared" si="6"/>
        <v>-2133.5999999998603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>
        <f>IF('Entries October 2026'!F20-'Entries October 2026'!F19&lt;1,"0",'Entries October 2026'!F20-'Entries October 2026'!F19)</f>
        <v>20.200000000000728</v>
      </c>
      <c r="D20" s="839">
        <f>IF('Entries October 2026'!C20-'Entries October 2026'!C19&lt;1,"0",'Entries October 2026'!C20-'Entries October 2026'!C19)</f>
        <v>2996.3000000000466</v>
      </c>
      <c r="E20" s="843" t="str">
        <f t="shared" si="0"/>
        <v>0</v>
      </c>
      <c r="F20" s="844" t="str">
        <f>IF('Entries October 2026'!G20-'Entries October 2026'!G19&lt;1,"0",'Entries October 2026'!G20-'Entries October 2026'!G19)</f>
        <v>0</v>
      </c>
      <c r="G20" s="837"/>
      <c r="H20" s="739"/>
      <c r="I20" s="740">
        <f t="shared" si="3"/>
        <v>0</v>
      </c>
      <c r="J20" s="740" t="str">
        <f t="shared" si="1"/>
        <v>0</v>
      </c>
      <c r="K20" s="739">
        <f t="shared" si="4"/>
        <v>0</v>
      </c>
      <c r="L20" s="831">
        <v>509.38800000000003</v>
      </c>
      <c r="M20" s="829">
        <f t="shared" si="5"/>
        <v>0</v>
      </c>
      <c r="N20" s="829">
        <f t="shared" si="2"/>
        <v>5.8821566271683796</v>
      </c>
      <c r="O20" s="830">
        <f t="shared" si="6"/>
        <v>-2996.3000000000466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>
        <f>IF('Entries October 2026'!F21-'Entries October 2026'!F20&lt;1,"0",'Entries October 2026'!F21-'Entries October 2026'!F20)</f>
        <v>22.599999999998545</v>
      </c>
      <c r="D21" s="839">
        <f>IF('Entries October 2026'!C21-'Entries October 2026'!C20&lt;1,"0",'Entries October 2026'!C21-'Entries October 2026'!C20)</f>
        <v>3082</v>
      </c>
      <c r="E21" s="843" t="str">
        <f t="shared" si="0"/>
        <v>0</v>
      </c>
      <c r="F21" s="844" t="str">
        <f>IF('Entries October 2026'!G21-'Entries October 2026'!G20&lt;1,"0",'Entries October 2026'!G21-'Entries October 2026'!G20)</f>
        <v>0</v>
      </c>
      <c r="G21" s="837"/>
      <c r="H21" s="739"/>
      <c r="I21" s="740">
        <f t="shared" si="3"/>
        <v>0</v>
      </c>
      <c r="J21" s="740" t="str">
        <f t="shared" si="1"/>
        <v>0</v>
      </c>
      <c r="K21" s="739">
        <f t="shared" si="4"/>
        <v>0</v>
      </c>
      <c r="L21" s="831">
        <v>478.17</v>
      </c>
      <c r="M21" s="829">
        <f t="shared" si="5"/>
        <v>0</v>
      </c>
      <c r="N21" s="829">
        <f t="shared" si="2"/>
        <v>6.4454064454064453</v>
      </c>
      <c r="O21" s="830">
        <f t="shared" si="6"/>
        <v>-3082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>
        <f>IF('Entries October 2026'!F22-'Entries October 2026'!F21&lt;1,"0",'Entries October 2026'!F22-'Entries October 2026'!F21)</f>
        <v>21.200000000000728</v>
      </c>
      <c r="D22" s="839">
        <f>IF('Entries October 2026'!C22-'Entries October 2026'!C21&lt;1,"0",'Entries October 2026'!C22-'Entries October 2026'!C21)</f>
        <v>2935.4000000001397</v>
      </c>
      <c r="E22" s="843" t="str">
        <f t="shared" si="0"/>
        <v>0</v>
      </c>
      <c r="F22" s="844" t="str">
        <f>IF('Entries October 2026'!G22-'Entries October 2026'!G21&lt;1,"0",'Entries October 2026'!G22-'Entries October 2026'!G21)</f>
        <v>0</v>
      </c>
      <c r="G22" s="837"/>
      <c r="H22" s="739"/>
      <c r="I22" s="740">
        <f t="shared" si="3"/>
        <v>0</v>
      </c>
      <c r="J22" s="740" t="str">
        <f t="shared" si="1"/>
        <v>0</v>
      </c>
      <c r="K22" s="739">
        <f t="shared" si="4"/>
        <v>0</v>
      </c>
      <c r="L22" s="831">
        <v>234.102</v>
      </c>
      <c r="M22" s="829">
        <f t="shared" si="5"/>
        <v>0</v>
      </c>
      <c r="N22" s="829">
        <f t="shared" si="2"/>
        <v>12.538978735765349</v>
      </c>
      <c r="O22" s="830">
        <f t="shared" si="6"/>
        <v>-2935.4000000001397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>
        <f>IF('Entries October 2026'!F23-'Entries October 2026'!F22&lt;1,"0",'Entries October 2026'!F23-'Entries October 2026'!F22)</f>
        <v>1.2999999999992724</v>
      </c>
      <c r="D23" s="839">
        <f>IF('Entries October 2026'!C23-'Entries October 2026'!C22&lt;1,"0",'Entries October 2026'!C23-'Entries October 2026'!C22)</f>
        <v>177.39999999990687</v>
      </c>
      <c r="E23" s="843" t="str">
        <f t="shared" si="0"/>
        <v>0</v>
      </c>
      <c r="F23" s="844" t="str">
        <f>IF('Entries October 2026'!G23-'Entries October 2026'!G22&lt;1,"0",'Entries October 2026'!G23-'Entries October 2026'!G22)</f>
        <v>0</v>
      </c>
      <c r="G23" s="837"/>
      <c r="H23" s="739"/>
      <c r="I23" s="740">
        <f t="shared" si="3"/>
        <v>0</v>
      </c>
      <c r="J23" s="740" t="str">
        <f t="shared" si="1"/>
        <v>0</v>
      </c>
      <c r="K23" s="739">
        <f t="shared" si="4"/>
        <v>0</v>
      </c>
      <c r="L23" s="831" t="str">
        <v>0</v>
      </c>
      <c r="M23" s="829" t="str">
        <f t="shared" si="5"/>
        <v>0</v>
      </c>
      <c r="N23" s="829" t="str">
        <f t="shared" si="2"/>
        <v>0</v>
      </c>
      <c r="O23" s="830">
        <f t="shared" si="6"/>
        <v>-177.39999999990687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39" t="str">
        <f>IF('Entries October 2026'!C24-'Entries October 2026'!C23&lt;1,"0",'Entries October 2026'!C24-'Entries October 2026'!C23)</f>
        <v>0</v>
      </c>
      <c r="E24" s="843" t="str">
        <f t="shared" si="0"/>
        <v>0</v>
      </c>
      <c r="F24" s="844" t="str">
        <f>IF('Entries October 2026'!G24-'Entries October 2026'!G23&lt;1,"0",'Entries October 2026'!G24-'Entries October 2026'!G23)</f>
        <v>0</v>
      </c>
      <c r="G24" s="837"/>
      <c r="H24" s="739"/>
      <c r="I24" s="740" t="str">
        <f t="shared" si="3"/>
        <v>0</v>
      </c>
      <c r="J24" s="740" t="str">
        <f t="shared" si="1"/>
        <v>0</v>
      </c>
      <c r="K24" s="739">
        <f t="shared" si="4"/>
        <v>0</v>
      </c>
      <c r="L24" s="831" t="str">
        <v>0</v>
      </c>
      <c r="M24" s="829" t="str">
        <f t="shared" si="5"/>
        <v>0</v>
      </c>
      <c r="N24" s="829" t="str">
        <f t="shared" si="2"/>
        <v>0</v>
      </c>
      <c r="O24" s="830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>
        <f>IF('Entries October 2026'!F25-'Entries October 2026'!F24&lt;1,"0",'Entries October 2026'!F25-'Entries October 2026'!F24)</f>
        <v>6</v>
      </c>
      <c r="D25" s="839">
        <f>IF('Entries October 2026'!C25-'Entries October 2026'!C24&lt;1,"0",'Entries October 2026'!C25-'Entries October 2026'!C24)</f>
        <v>1277.1999999999534</v>
      </c>
      <c r="E25" s="843" t="str">
        <f t="shared" si="0"/>
        <v>0</v>
      </c>
      <c r="F25" s="844" t="str">
        <f>IF('Entries October 2026'!G25-'Entries October 2026'!G24&lt;1,"0",'Entries October 2026'!G25-'Entries October 2026'!G24)</f>
        <v>0</v>
      </c>
      <c r="G25" s="837"/>
      <c r="H25" s="739"/>
      <c r="I25" s="740">
        <f t="shared" si="3"/>
        <v>0</v>
      </c>
      <c r="J25" s="740" t="str">
        <f t="shared" si="1"/>
        <v>0</v>
      </c>
      <c r="K25" s="739">
        <f t="shared" si="4"/>
        <v>0</v>
      </c>
      <c r="L25" s="831" t="str">
        <v>0</v>
      </c>
      <c r="M25" s="829" t="str">
        <f t="shared" si="5"/>
        <v>0</v>
      </c>
      <c r="N25" s="829" t="str">
        <f t="shared" si="2"/>
        <v>0</v>
      </c>
      <c r="O25" s="830">
        <f t="shared" si="6"/>
        <v>-1277.1999999999534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>
        <f>IF('Entries October 2026'!F26-'Entries October 2026'!F25&lt;1,"0",'Entries October 2026'!F26-'Entries October 2026'!F25)</f>
        <v>23.400000000001455</v>
      </c>
      <c r="D26" s="839">
        <f>IF('Entries October 2026'!C26-'Entries October 2026'!C25&lt;1,"0",'Entries October 2026'!C26-'Entries October 2026'!C25)</f>
        <v>3811.4000000001397</v>
      </c>
      <c r="E26" s="843" t="str">
        <f t="shared" si="0"/>
        <v>0</v>
      </c>
      <c r="F26" s="844" t="str">
        <f>IF('Entries October 2026'!G26-'Entries October 2026'!G25&lt;1,"0",'Entries October 2026'!G26-'Entries October 2026'!G25)</f>
        <v>0</v>
      </c>
      <c r="G26" s="837"/>
      <c r="H26" s="739"/>
      <c r="I26" s="740">
        <f t="shared" si="3"/>
        <v>0</v>
      </c>
      <c r="J26" s="740" t="str">
        <f t="shared" si="1"/>
        <v>0</v>
      </c>
      <c r="K26" s="739">
        <f t="shared" si="4"/>
        <v>0</v>
      </c>
      <c r="L26" s="831">
        <v>465.82800000000003</v>
      </c>
      <c r="M26" s="829">
        <f t="shared" si="5"/>
        <v>0</v>
      </c>
      <c r="N26" s="829">
        <f t="shared" si="2"/>
        <v>8.181989919026206</v>
      </c>
      <c r="O26" s="830">
        <f t="shared" si="6"/>
        <v>-3811.4000000001397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>
        <f>IF('Entries October 2026'!F27-'Entries October 2026'!F26&lt;1,"0",'Entries October 2026'!F27-'Entries October 2026'!F26)</f>
        <v>21.199999999998909</v>
      </c>
      <c r="D27" s="839">
        <f>IF('Entries October 2026'!C27-'Entries October 2026'!C26&lt;1,"0",'Entries October 2026'!C27-'Entries October 2026'!C26)</f>
        <v>3661</v>
      </c>
      <c r="E27" s="843" t="str">
        <f t="shared" si="0"/>
        <v>0</v>
      </c>
      <c r="F27" s="844" t="str">
        <f>IF('Entries October 2026'!G27-'Entries October 2026'!G26&lt;1,"0",'Entries October 2026'!G27-'Entries October 2026'!G26)</f>
        <v>0</v>
      </c>
      <c r="G27" s="837"/>
      <c r="H27" s="739"/>
      <c r="I27" s="740">
        <f t="shared" si="3"/>
        <v>0</v>
      </c>
      <c r="J27" s="740" t="str">
        <f t="shared" si="1"/>
        <v>0</v>
      </c>
      <c r="K27" s="739">
        <f t="shared" si="4"/>
        <v>0</v>
      </c>
      <c r="L27" s="831">
        <v>651.22199999999998</v>
      </c>
      <c r="M27" s="829">
        <f t="shared" si="5"/>
        <v>0</v>
      </c>
      <c r="N27" s="829">
        <f t="shared" si="2"/>
        <v>5.6217388233198511</v>
      </c>
      <c r="O27" s="830">
        <f t="shared" si="6"/>
        <v>-3661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>
        <f>IF('Entries October 2026'!F28-'Entries October 2026'!F27&lt;1,"0",'Entries October 2026'!F28-'Entries October 2026'!F27)</f>
        <v>21.899999999999636</v>
      </c>
      <c r="D28" s="839">
        <f>IF('Entries October 2026'!C28-'Entries October 2026'!C27&lt;1,"0",'Entries October 2026'!C28-'Entries October 2026'!C27)</f>
        <v>2948.1999999999534</v>
      </c>
      <c r="E28" s="843" t="str">
        <f t="shared" si="0"/>
        <v>0</v>
      </c>
      <c r="F28" s="844" t="str">
        <f>IF('Entries October 2026'!G28-'Entries October 2026'!G27&lt;1,"0",'Entries October 2026'!G28-'Entries October 2026'!G27)</f>
        <v>0</v>
      </c>
      <c r="G28" s="837"/>
      <c r="H28" s="739"/>
      <c r="I28" s="740">
        <f t="shared" si="3"/>
        <v>0</v>
      </c>
      <c r="J28" s="740" t="str">
        <f t="shared" si="1"/>
        <v>0</v>
      </c>
      <c r="K28" s="739">
        <f t="shared" si="4"/>
        <v>0</v>
      </c>
      <c r="L28" s="831">
        <v>261.03000000000003</v>
      </c>
      <c r="M28" s="829">
        <f t="shared" si="5"/>
        <v>0</v>
      </c>
      <c r="N28" s="829">
        <f t="shared" si="2"/>
        <v>11.294487223690584</v>
      </c>
      <c r="O28" s="830">
        <f t="shared" si="6"/>
        <v>-2948.1999999999534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>
        <f>IF('Entries October 2026'!F29-'Entries October 2026'!F28&lt;1,"0",'Entries October 2026'!F29-'Entries October 2026'!F28)</f>
        <v>21.400000000001455</v>
      </c>
      <c r="D29" s="839">
        <f>IF('Entries October 2026'!C29-'Entries October 2026'!C28&lt;1,"0",'Entries October 2026'!C29-'Entries October 2026'!C28)</f>
        <v>3071.5999999998603</v>
      </c>
      <c r="E29" s="843" t="str">
        <f t="shared" si="0"/>
        <v>0</v>
      </c>
      <c r="F29" s="844" t="str">
        <f>IF('Entries October 2026'!G29-'Entries October 2026'!G28&lt;1,"0",'Entries October 2026'!G29-'Entries October 2026'!G28)</f>
        <v>0</v>
      </c>
      <c r="G29" s="837"/>
      <c r="H29" s="739"/>
      <c r="I29" s="740">
        <f t="shared" si="3"/>
        <v>0</v>
      </c>
      <c r="J29" s="740" t="str">
        <f t="shared" si="1"/>
        <v>0</v>
      </c>
      <c r="K29" s="739">
        <f t="shared" si="4"/>
        <v>0</v>
      </c>
      <c r="L29" s="831">
        <v>416.87400000000002</v>
      </c>
      <c r="M29" s="829">
        <f t="shared" si="5"/>
        <v>0</v>
      </c>
      <c r="N29" s="829">
        <f t="shared" si="2"/>
        <v>7.3681735968178881</v>
      </c>
      <c r="O29" s="830">
        <f t="shared" si="6"/>
        <v>-3071.5999999998603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39" t="str">
        <f>IF('Entries October 2026'!C30-'Entries October 2026'!C29&lt;1,"0",'Entries October 2026'!C30-'Entries October 2026'!C29)</f>
        <v>0</v>
      </c>
      <c r="E30" s="843" t="str">
        <f t="shared" si="0"/>
        <v>0</v>
      </c>
      <c r="F30" s="844" t="str">
        <f>IF('Entries October 2026'!G30-'Entries October 2026'!G29&lt;1,"0",'Entries October 2026'!G30-'Entries October 2026'!G29)</f>
        <v>0</v>
      </c>
      <c r="G30" s="837"/>
      <c r="H30" s="739"/>
      <c r="I30" s="740" t="str">
        <f t="shared" si="3"/>
        <v>0</v>
      </c>
      <c r="J30" s="740" t="str">
        <f t="shared" si="1"/>
        <v>0</v>
      </c>
      <c r="K30" s="739">
        <f t="shared" si="4"/>
        <v>0</v>
      </c>
      <c r="L30" s="831" t="str">
        <v>0</v>
      </c>
      <c r="M30" s="829" t="str">
        <f t="shared" si="5"/>
        <v>0</v>
      </c>
      <c r="N30" s="829" t="str">
        <f t="shared" si="2"/>
        <v>0</v>
      </c>
      <c r="O30" s="830">
        <f t="shared" si="6"/>
        <v>0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39" t="str">
        <f>IF('Entries October 2026'!C31-'Entries October 2026'!C30&lt;1,"0",'Entries October 2026'!C31-'Entries October 2026'!C30)</f>
        <v>0</v>
      </c>
      <c r="E31" s="843" t="str">
        <f t="shared" si="0"/>
        <v>0</v>
      </c>
      <c r="F31" s="844" t="str">
        <f>IF('Entries October 2026'!G31-'Entries October 2026'!G30&lt;1,"0",'Entries October 2026'!G31-'Entries October 2026'!G30)</f>
        <v>0</v>
      </c>
      <c r="G31" s="837"/>
      <c r="H31" s="739"/>
      <c r="I31" s="740" t="str">
        <f t="shared" si="3"/>
        <v>0</v>
      </c>
      <c r="J31" s="740" t="str">
        <f t="shared" si="1"/>
        <v>0</v>
      </c>
      <c r="K31" s="739">
        <f t="shared" si="4"/>
        <v>0</v>
      </c>
      <c r="L31" s="831" t="str">
        <v>0</v>
      </c>
      <c r="M31" s="829" t="str">
        <f t="shared" si="5"/>
        <v>0</v>
      </c>
      <c r="N31" s="829" t="str">
        <f t="shared" si="2"/>
        <v>0</v>
      </c>
      <c r="O31" s="830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39" t="str">
        <f>IF('Entries October 2026'!C32-'Entries October 2026'!C31&lt;1,"0",'Entries October 2026'!C32-'Entries October 2026'!C31)</f>
        <v>0</v>
      </c>
      <c r="E32" s="843" t="str">
        <f t="shared" si="0"/>
        <v>0</v>
      </c>
      <c r="F32" s="844" t="str">
        <f>IF('Entries October 2026'!G32-'Entries October 2026'!G31&lt;1,"0",'Entries October 2026'!G32-'Entries October 2026'!G31)</f>
        <v>0</v>
      </c>
      <c r="G32" s="837"/>
      <c r="H32" s="739"/>
      <c r="I32" s="740" t="str">
        <f t="shared" si="3"/>
        <v>0</v>
      </c>
      <c r="J32" s="740" t="str">
        <f t="shared" si="1"/>
        <v>0</v>
      </c>
      <c r="K32" s="739">
        <f t="shared" si="4"/>
        <v>0</v>
      </c>
      <c r="L32" s="831" t="str">
        <v>0</v>
      </c>
      <c r="M32" s="829" t="str">
        <f t="shared" si="5"/>
        <v>0</v>
      </c>
      <c r="N32" s="829" t="str">
        <f t="shared" si="2"/>
        <v>0</v>
      </c>
      <c r="O32" s="830">
        <f t="shared" si="6"/>
        <v>0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39" t="str">
        <f>IF('Entries October 2026'!C33-'Entries October 2026'!C32&lt;1,"0",'Entries October 2026'!C33-'Entries October 2026'!C32)</f>
        <v>0</v>
      </c>
      <c r="E33" s="843" t="str">
        <f t="shared" si="0"/>
        <v>0</v>
      </c>
      <c r="F33" s="844" t="str">
        <f>IF('Entries October 2026'!G33-'Entries October 2026'!G32&lt;1,"0",'Entries October 2026'!G33-'Entries October 2026'!G32)</f>
        <v>0</v>
      </c>
      <c r="G33" s="837"/>
      <c r="H33" s="739"/>
      <c r="I33" s="740" t="str">
        <f t="shared" si="3"/>
        <v>0</v>
      </c>
      <c r="J33" s="740" t="str">
        <f t="shared" si="1"/>
        <v>0</v>
      </c>
      <c r="K33" s="739">
        <f t="shared" si="4"/>
        <v>0</v>
      </c>
      <c r="L33" s="831" t="str">
        <v>0</v>
      </c>
      <c r="M33" s="829" t="str">
        <f t="shared" si="5"/>
        <v>0</v>
      </c>
      <c r="N33" s="829" t="str">
        <f t="shared" si="2"/>
        <v>0</v>
      </c>
      <c r="O33" s="830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39" t="str">
        <f>IF('Entries October 2026'!C34-'Entries October 2026'!C33&lt;1,"0",'Entries October 2026'!C34-'Entries October 2026'!C33)</f>
        <v>0</v>
      </c>
      <c r="E34" s="843" t="str">
        <f t="shared" si="0"/>
        <v>0</v>
      </c>
      <c r="F34" s="844" t="str">
        <f>IF('Entries October 2026'!G34-'Entries October 2026'!G33&lt;1,"0",'Entries October 2026'!G34-'Entries October 2026'!G33)</f>
        <v>0</v>
      </c>
      <c r="G34" s="837"/>
      <c r="H34" s="739"/>
      <c r="I34" s="740" t="str">
        <f t="shared" si="3"/>
        <v>0</v>
      </c>
      <c r="J34" s="740" t="str">
        <f t="shared" si="1"/>
        <v>0</v>
      </c>
      <c r="K34" s="739">
        <f t="shared" si="4"/>
        <v>0</v>
      </c>
      <c r="L34" s="831" t="str">
        <v>0</v>
      </c>
      <c r="M34" s="829" t="str">
        <f t="shared" si="5"/>
        <v>0</v>
      </c>
      <c r="N34" s="829" t="str">
        <f t="shared" si="2"/>
        <v>0</v>
      </c>
      <c r="O34" s="830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39" t="str">
        <f>IF('Entries October 2026'!C35-'Entries October 2026'!C34&lt;1,"0",'Entries October 2026'!C35-'Entries October 2026'!C34)</f>
        <v>0</v>
      </c>
      <c r="E35" s="843" t="str">
        <f t="shared" si="0"/>
        <v>0</v>
      </c>
      <c r="F35" s="844" t="str">
        <f>IF('Entries October 2026'!G35-'Entries October 2026'!G34&lt;1,"0",'Entries October 2026'!G35-'Entries October 2026'!G34)</f>
        <v>0</v>
      </c>
      <c r="G35" s="837"/>
      <c r="H35" s="739"/>
      <c r="I35" s="740" t="str">
        <f t="shared" si="3"/>
        <v>0</v>
      </c>
      <c r="J35" s="740" t="str">
        <f t="shared" si="1"/>
        <v>0</v>
      </c>
      <c r="K35" s="739">
        <f t="shared" si="4"/>
        <v>0</v>
      </c>
      <c r="L35" s="831" t="str">
        <v>0</v>
      </c>
      <c r="M35" s="829" t="str">
        <f t="shared" si="5"/>
        <v>0</v>
      </c>
      <c r="N35" s="829" t="str">
        <f t="shared" si="2"/>
        <v>0</v>
      </c>
      <c r="O35" s="830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39" t="str">
        <f>IF('Entries October 2026'!C36-'Entries October 2026'!C35&lt;1,"0",'Entries October 2026'!C36-'Entries October 2026'!C35)</f>
        <v>0</v>
      </c>
      <c r="E36" s="843" t="str">
        <f t="shared" si="0"/>
        <v>0</v>
      </c>
      <c r="F36" s="844" t="str">
        <f>IF('Entries October 2026'!G36-'Entries October 2026'!G35&lt;1,"0",'Entries October 2026'!G36-'Entries October 2026'!G35)</f>
        <v>0</v>
      </c>
      <c r="G36" s="837"/>
      <c r="H36" s="739"/>
      <c r="I36" s="740" t="str">
        <f t="shared" si="3"/>
        <v>0</v>
      </c>
      <c r="J36" s="740" t="str">
        <f t="shared" si="1"/>
        <v>0</v>
      </c>
      <c r="K36" s="739">
        <f t="shared" si="4"/>
        <v>0</v>
      </c>
      <c r="L36" s="831" t="str">
        <v>0</v>
      </c>
      <c r="M36" s="829" t="str">
        <f t="shared" si="5"/>
        <v>0</v>
      </c>
      <c r="N36" s="829" t="str">
        <f t="shared" si="2"/>
        <v>0</v>
      </c>
      <c r="O36" s="830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39" t="str">
        <f>IF('Entries October 2026'!C37-'Entries October 2026'!C36&lt;1,"0",'Entries October 2026'!C37-'Entries October 2026'!C36)</f>
        <v>0</v>
      </c>
      <c r="E37" s="843" t="str">
        <f t="shared" si="0"/>
        <v>0</v>
      </c>
      <c r="F37" s="844" t="str">
        <f>IF('Entries October 2026'!G37-'Entries October 2026'!G36&lt;1,"0",'Entries October 2026'!G37-'Entries October 2026'!G36)</f>
        <v>0</v>
      </c>
      <c r="G37" s="837"/>
      <c r="H37" s="739"/>
      <c r="I37" s="740" t="str">
        <f t="shared" si="3"/>
        <v>0</v>
      </c>
      <c r="J37" s="740" t="str">
        <f t="shared" si="1"/>
        <v>0</v>
      </c>
      <c r="K37" s="739">
        <f t="shared" si="4"/>
        <v>0</v>
      </c>
      <c r="L37" s="831" t="str">
        <v>0</v>
      </c>
      <c r="M37" s="829" t="str">
        <f t="shared" si="5"/>
        <v>0</v>
      </c>
      <c r="N37" s="829" t="str">
        <f t="shared" si="2"/>
        <v>0</v>
      </c>
      <c r="O37" s="830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355.40000000000146</v>
      </c>
      <c r="D38" s="840">
        <f t="shared" si="7"/>
        <v>52395.399999999907</v>
      </c>
      <c r="E38" s="845"/>
      <c r="F38" s="846">
        <f t="shared" si="7"/>
        <v>0</v>
      </c>
      <c r="G38" s="842">
        <f t="shared" si="7"/>
        <v>0</v>
      </c>
      <c r="H38" s="388">
        <f t="shared" si="7"/>
        <v>0</v>
      </c>
      <c r="I38" s="797">
        <f>B38/C38</f>
        <v>2.7011817670230616</v>
      </c>
      <c r="J38" s="355"/>
      <c r="K38" s="356">
        <f>SUM(K7:K37)</f>
        <v>960</v>
      </c>
      <c r="L38" s="828">
        <f>SUM(L7:L37)</f>
        <v>6233.5307999999995</v>
      </c>
      <c r="M38" s="834">
        <f>IF(L38=0,"0",(K38/L38))</f>
        <v>0.15400581641467145</v>
      </c>
      <c r="N38" s="834">
        <f>IF(L38=0,"0",(D38/L38))</f>
        <v>8.405412868097148</v>
      </c>
      <c r="O38" s="835"/>
    </row>
    <row r="39" spans="1:16" ht="16.5" thickBot="1" x14ac:dyDescent="0.3">
      <c r="A39" s="8" t="s">
        <v>259</v>
      </c>
      <c r="B39" s="389">
        <f>AVERAGE(B7:B37)</f>
        <v>960</v>
      </c>
      <c r="C39" s="802">
        <f>AVERAGE(C7:C37)</f>
        <v>16.15454545454552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60"/>
      <c r="B1" s="961"/>
      <c r="C1" s="961"/>
      <c r="D1" s="961"/>
      <c r="E1" s="961"/>
      <c r="F1" s="961"/>
      <c r="G1" s="961"/>
      <c r="H1" s="961"/>
      <c r="I1" s="961"/>
      <c r="J1" s="961"/>
      <c r="K1" s="961"/>
      <c r="L1" s="961"/>
      <c r="M1" s="961"/>
      <c r="N1" s="961"/>
      <c r="O1" s="961"/>
      <c r="P1" s="961"/>
      <c r="Q1" s="961"/>
      <c r="R1" s="961"/>
      <c r="S1" s="961"/>
      <c r="T1" s="961"/>
      <c r="U1" s="961"/>
      <c r="V1" s="961"/>
      <c r="W1" s="961"/>
      <c r="X1" s="961"/>
      <c r="Y1" s="961"/>
      <c r="Z1" s="961"/>
      <c r="AA1" s="961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80" t="s">
        <v>7</v>
      </c>
      <c r="C4" s="972" t="s">
        <v>105</v>
      </c>
      <c r="D4" s="977" t="s">
        <v>106</v>
      </c>
      <c r="E4" s="972" t="s">
        <v>107</v>
      </c>
      <c r="F4" s="977" t="s">
        <v>239</v>
      </c>
      <c r="G4" s="977" t="s">
        <v>108</v>
      </c>
      <c r="H4" s="977" t="s">
        <v>161</v>
      </c>
      <c r="I4" s="972" t="s">
        <v>207</v>
      </c>
      <c r="J4" s="972" t="s">
        <v>109</v>
      </c>
      <c r="K4" s="972" t="s">
        <v>174</v>
      </c>
      <c r="L4" s="972" t="s">
        <v>173</v>
      </c>
      <c r="M4" s="972" t="s">
        <v>103</v>
      </c>
      <c r="N4" s="48"/>
      <c r="O4" s="48"/>
      <c r="P4" s="48"/>
      <c r="Q4" s="48"/>
      <c r="R4" s="977" t="s">
        <v>110</v>
      </c>
      <c r="S4" s="977" t="s">
        <v>240</v>
      </c>
      <c r="T4" s="48"/>
      <c r="U4" s="972" t="s">
        <v>153</v>
      </c>
      <c r="V4" s="48"/>
      <c r="W4" s="48"/>
      <c r="X4" s="972" t="s">
        <v>175</v>
      </c>
      <c r="Y4" s="972" t="s">
        <v>176</v>
      </c>
      <c r="Z4" s="970" t="s">
        <v>247</v>
      </c>
      <c r="AA4" s="974" t="s">
        <v>243</v>
      </c>
      <c r="AB4" s="968" t="s">
        <v>76</v>
      </c>
    </row>
    <row r="5" spans="1:31" s="300" customFormat="1" ht="47.25" customHeight="1" x14ac:dyDescent="0.2">
      <c r="B5" s="981"/>
      <c r="C5" s="979"/>
      <c r="D5" s="978"/>
      <c r="E5" s="973"/>
      <c r="F5" s="978"/>
      <c r="G5" s="978"/>
      <c r="H5" s="978"/>
      <c r="I5" s="973"/>
      <c r="J5" s="973"/>
      <c r="K5" s="973"/>
      <c r="L5" s="973"/>
      <c r="M5" s="973"/>
      <c r="N5" s="50" t="s">
        <v>111</v>
      </c>
      <c r="O5" s="50" t="s">
        <v>112</v>
      </c>
      <c r="P5" s="50" t="s">
        <v>242</v>
      </c>
      <c r="Q5" s="50" t="s">
        <v>113</v>
      </c>
      <c r="R5" s="978"/>
      <c r="S5" s="978"/>
      <c r="T5" s="49" t="s">
        <v>99</v>
      </c>
      <c r="U5" s="976"/>
      <c r="V5" s="80" t="s">
        <v>156</v>
      </c>
      <c r="W5" s="80" t="s">
        <v>157</v>
      </c>
      <c r="X5" s="973"/>
      <c r="Y5" s="973"/>
      <c r="Z5" s="971"/>
      <c r="AA5" s="975"/>
      <c r="AB5" s="969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>
        <f>IF('Entries October 2026'!O11-'Entries October 2026'!O10&lt;1,"0",'Entries October 2026'!O11-'Entries October 2026'!O10)</f>
        <v>73</v>
      </c>
      <c r="E11" s="693">
        <f>IF('Entries October 2026'!P11-'Entries October 2026'!P10&lt;1,"0",'Entries October 2026'!P11-'Entries October 2026'!P10)</f>
        <v>69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142</v>
      </c>
      <c r="H11" s="693">
        <f>IF('Entries October 2026'!Q11-'Entries October 2026'!Q10&lt;1,0,'Entries October 2026'!Q11-'Entries October 2026'!Q10)</f>
        <v>186</v>
      </c>
      <c r="I11" s="693">
        <f>IF('Entries October 2026'!AG11-'Entries October 2026'!AG10&lt;1,0,'Entries October 2026'!AG11-'Entries October 2026'!AG10)</f>
        <v>0</v>
      </c>
      <c r="J11" s="693">
        <f>IF('Entries October 2026'!S11-'Entries October 2026'!S10&lt;1,"0",'Entries October 2026'!S11-'Entries October 2026'!S10)</f>
        <v>182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>
        <f>IF('Entries October 2026'!U11-'Entries October 2026'!U10&lt;1,"0",'Entries October 2026'!U11-'Entries October 2026'!U10)</f>
        <v>1</v>
      </c>
      <c r="N11" s="693">
        <f>IF('Entries October 2026'!X11-'Entries October 2026'!X10&lt;1,"0",'Entries October 2026'!X11-'Entries October 2026'!X10)</f>
        <v>38</v>
      </c>
      <c r="O11" s="693">
        <f>IF('Entries October 2026'!Y11-'Entries October 2026'!Y10&lt;1,"0",'Entries October 2026'!Y11-'Entries October 2026'!Y10)</f>
        <v>112</v>
      </c>
      <c r="P11" s="693">
        <f>IF('Entries October 2026'!AC11-'Entries October 2026'!AC10&lt;1,"0",'Entries October 2026'!AC11-'Entries October 2026'!AC10)</f>
        <v>17</v>
      </c>
      <c r="Q11" s="693">
        <f>IF('Entries October 2026'!Z11-'Entries October 2026'!Z10&lt;1,"0",'Entries October 2026'!Z11-'Entries October 2026'!Z10)</f>
        <v>20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1420</v>
      </c>
      <c r="T11" s="692">
        <f t="shared" si="1"/>
        <v>151</v>
      </c>
      <c r="U11" s="693">
        <f>IF('Entries October 2026'!AC11-'Entries October 2026'!AC10&lt;1,"0",'Entries October 2026'!AC11-'Entries October 2026'!AC10)</f>
        <v>17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>
        <f>IF('Entries October 2026'!O12-'Entries October 2026'!O11&lt;1,"0",'Entries October 2026'!O12-'Entries October 2026'!O11)</f>
        <v>250</v>
      </c>
      <c r="E12" s="693">
        <f>IF('Entries October 2026'!P12-'Entries October 2026'!P11&lt;1,"0",'Entries October 2026'!P12-'Entries October 2026'!P11)</f>
        <v>92</v>
      </c>
      <c r="F12" s="693">
        <f>IF('Entries October 2026'!V12-'Entries October 2026'!V11&lt;1,"0",'Entries October 2026'!V12-'Entries October 2026'!V11)</f>
        <v>169</v>
      </c>
      <c r="G12" s="693">
        <f t="shared" si="0"/>
        <v>173</v>
      </c>
      <c r="H12" s="693">
        <f>IF('Entries October 2026'!Q12-'Entries October 2026'!Q11&lt;1,0,'Entries October 2026'!Q12-'Entries October 2026'!Q11)</f>
        <v>203</v>
      </c>
      <c r="I12" s="693">
        <f>IF('Entries October 2026'!AG12-'Entries October 2026'!AG11&lt;1,0,'Entries October 2026'!AG12-'Entries October 2026'!AG11)</f>
        <v>0</v>
      </c>
      <c r="J12" s="693">
        <f>IF('Entries October 2026'!S12-'Entries October 2026'!S11&lt;1,"0",'Entries October 2026'!S12-'Entries October 2026'!S11)</f>
        <v>234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>
        <f>IF('Entries October 2026'!U12-'Entries October 2026'!U11&lt;1,"0",'Entries October 2026'!U12-'Entries October 2026'!U11)</f>
        <v>3</v>
      </c>
      <c r="N12" s="693">
        <f>IF('Entries October 2026'!X12-'Entries October 2026'!X11&lt;1,"0",'Entries October 2026'!X12-'Entries October 2026'!X11)</f>
        <v>39</v>
      </c>
      <c r="O12" s="693">
        <f>IF('Entries October 2026'!Y12-'Entries October 2026'!Y11&lt;1,"0",'Entries October 2026'!Y12-'Entries October 2026'!Y11)</f>
        <v>99</v>
      </c>
      <c r="P12" s="693">
        <f>IF('Entries October 2026'!AC12-'Entries October 2026'!AC11&lt;1,"0",'Entries October 2026'!AC12-'Entries October 2026'!AC11)</f>
        <v>17</v>
      </c>
      <c r="Q12" s="693">
        <f>IF('Entries October 2026'!Z12-'Entries October 2026'!Z11&lt;1,"0",'Entries October 2026'!Z12-'Entries October 2026'!Z11)</f>
        <v>16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1730</v>
      </c>
      <c r="T12" s="692">
        <f t="shared" si="1"/>
        <v>141</v>
      </c>
      <c r="U12" s="693">
        <f>IF('Entries October 2026'!AC12-'Entries October 2026'!AC11&lt;1,"0",'Entries October 2026'!AC12-'Entries October 2026'!AC11)</f>
        <v>17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342</v>
      </c>
      <c r="AA12" s="330">
        <v>357.19200000000001</v>
      </c>
      <c r="AB12" s="331">
        <f t="shared" si="3"/>
        <v>9.574682523684741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>
        <f>IF('Entries October 2026'!O13-'Entries October 2026'!O12&lt;1,"0",'Entries October 2026'!O13-'Entries October 2026'!O12)</f>
        <v>234</v>
      </c>
      <c r="E13" s="693">
        <f>IF('Entries October 2026'!P13-'Entries October 2026'!P12&lt;1,"0",'Entries October 2026'!P13-'Entries October 2026'!P12)</f>
        <v>147</v>
      </c>
      <c r="F13" s="693">
        <f>IF('Entries October 2026'!V13-'Entries October 2026'!V12&lt;1,"0",'Entries October 2026'!V13-'Entries October 2026'!V12)</f>
        <v>151</v>
      </c>
      <c r="G13" s="693">
        <f t="shared" si="0"/>
        <v>230</v>
      </c>
      <c r="H13" s="693">
        <f>IF('Entries October 2026'!Q13-'Entries October 2026'!Q12&lt;1,0,'Entries October 2026'!Q13-'Entries October 2026'!Q12)</f>
        <v>219</v>
      </c>
      <c r="I13" s="693">
        <f>IF('Entries October 2026'!AG13-'Entries October 2026'!AG12&lt;1,0,'Entries October 2026'!AG13-'Entries October 2026'!AG12)</f>
        <v>0</v>
      </c>
      <c r="J13" s="693">
        <f>IF('Entries October 2026'!S13-'Entries October 2026'!S12&lt;1,"0",'Entries October 2026'!S13-'Entries October 2026'!S12)</f>
        <v>227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>
        <f>IF('Entries October 2026'!U13-'Entries October 2026'!U12&lt;1,"0",'Entries October 2026'!U13-'Entries October 2026'!U12)</f>
        <v>3</v>
      </c>
      <c r="N13" s="693">
        <f>IF('Entries October 2026'!X13-'Entries October 2026'!X12&lt;1,"0",'Entries October 2026'!X13-'Entries October 2026'!X12)</f>
        <v>50</v>
      </c>
      <c r="O13" s="693">
        <f>IF('Entries October 2026'!Y13-'Entries October 2026'!Y12&lt;1,"0",'Entries October 2026'!Y13-'Entries October 2026'!Y12)</f>
        <v>91</v>
      </c>
      <c r="P13" s="693">
        <f>IF('Entries October 2026'!AC13-'Entries October 2026'!AC12&lt;1,"0",'Entries October 2026'!AC13-'Entries October 2026'!AC12)</f>
        <v>17</v>
      </c>
      <c r="Q13" s="693">
        <f>IF('Entries October 2026'!Z13-'Entries October 2026'!Z12&lt;1,"0",'Entries October 2026'!Z13-'Entries October 2026'!Z12)</f>
        <v>16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2300</v>
      </c>
      <c r="T13" s="692">
        <f t="shared" si="1"/>
        <v>144</v>
      </c>
      <c r="U13" s="693">
        <f>IF('Entries October 2026'!AC13-'Entries October 2026'!AC12&lt;1,"0",'Entries October 2026'!AC13-'Entries October 2026'!AC12)</f>
        <v>17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381</v>
      </c>
      <c r="AA13" s="330">
        <v>406.428</v>
      </c>
      <c r="AB13" s="331">
        <f t="shared" si="3"/>
        <v>9.3743541291446455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>
        <f>IF('Entries October 2026'!O14-'Entries October 2026'!O13&lt;1,"0",'Entries October 2026'!O14-'Entries October 2026'!O13)</f>
        <v>359</v>
      </c>
      <c r="E14" s="693">
        <f>IF('Entries October 2026'!P14-'Entries October 2026'!P13&lt;1,"0",'Entries October 2026'!P14-'Entries October 2026'!P13)</f>
        <v>90</v>
      </c>
      <c r="F14" s="693">
        <f>IF('Entries October 2026'!V14-'Entries October 2026'!V13&lt;1,"0",'Entries October 2026'!V14-'Entries October 2026'!V13)</f>
        <v>207</v>
      </c>
      <c r="G14" s="693">
        <f t="shared" si="0"/>
        <v>242</v>
      </c>
      <c r="H14" s="693">
        <f>IF('Entries October 2026'!Q14-'Entries October 2026'!Q13&lt;1,0,'Entries October 2026'!Q14-'Entries October 2026'!Q13)</f>
        <v>218</v>
      </c>
      <c r="I14" s="693">
        <f>IF('Entries October 2026'!AG14-'Entries October 2026'!AG13&lt;1,0,'Entries October 2026'!AG14-'Entries October 2026'!AG13)</f>
        <v>0</v>
      </c>
      <c r="J14" s="693">
        <f>IF('Entries October 2026'!S14-'Entries October 2026'!S13&lt;1,"0",'Entries October 2026'!S14-'Entries October 2026'!S13)</f>
        <v>187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>
        <f>IF('Entries October 2026'!U14-'Entries October 2026'!U13&lt;1,"0",'Entries October 2026'!U14-'Entries October 2026'!U13)</f>
        <v>4</v>
      </c>
      <c r="N14" s="693">
        <f>IF('Entries October 2026'!X14-'Entries October 2026'!X13&lt;1,"0",'Entries October 2026'!X14-'Entries October 2026'!X13)</f>
        <v>67</v>
      </c>
      <c r="O14" s="693">
        <f>IF('Entries October 2026'!Y14-'Entries October 2026'!Y13&lt;1,"0",'Entries October 2026'!Y14-'Entries October 2026'!Y13)</f>
        <v>89</v>
      </c>
      <c r="P14" s="693">
        <f>IF('Entries October 2026'!AC14-'Entries October 2026'!AC13&lt;1,"0",'Entries October 2026'!AC14-'Entries October 2026'!AC13)</f>
        <v>18</v>
      </c>
      <c r="Q14" s="693">
        <f>IF('Entries October 2026'!Z14-'Entries October 2026'!Z13&lt;1,"0",'Entries October 2026'!Z14-'Entries October 2026'!Z13)</f>
        <v>17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2420</v>
      </c>
      <c r="T14" s="692">
        <f t="shared" si="1"/>
        <v>160</v>
      </c>
      <c r="U14" s="693">
        <f>IF('Entries October 2026'!AC14-'Entries October 2026'!AC13&lt;1,"0",'Entries October 2026'!AC14-'Entries October 2026'!AC13)</f>
        <v>18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449</v>
      </c>
      <c r="AA14" s="330">
        <v>361.21800000000002</v>
      </c>
      <c r="AB14" s="331">
        <f t="shared" si="3"/>
        <v>12.430166824466111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>
        <f>IF('Entries October 2026'!O15-'Entries October 2026'!O14&lt;1,"0",'Entries October 2026'!O15-'Entries October 2026'!O14)</f>
        <v>378</v>
      </c>
      <c r="E15" s="693">
        <f>IF('Entries October 2026'!P15-'Entries October 2026'!P14&lt;1,"0",'Entries October 2026'!P15-'Entries October 2026'!P14)</f>
        <v>261</v>
      </c>
      <c r="F15" s="693">
        <f>IF('Entries October 2026'!V15-'Entries October 2026'!V14&lt;1,"0",'Entries October 2026'!V15-'Entries October 2026'!V14)</f>
        <v>158</v>
      </c>
      <c r="G15" s="693">
        <f t="shared" si="0"/>
        <v>481</v>
      </c>
      <c r="H15" s="693">
        <f>IF('Entries October 2026'!Q15-'Entries October 2026'!Q14&lt;1,0,'Entries October 2026'!Q15-'Entries October 2026'!Q14)</f>
        <v>206</v>
      </c>
      <c r="I15" s="693">
        <f>IF('Entries October 2026'!AG15-'Entries October 2026'!AG14&lt;1,0,'Entries October 2026'!AG15-'Entries October 2026'!AG14)</f>
        <v>0</v>
      </c>
      <c r="J15" s="693">
        <f>IF('Entries October 2026'!S15-'Entries October 2026'!S14&lt;1,"0",'Entries October 2026'!S15-'Entries October 2026'!S14)</f>
        <v>192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>
        <f>IF('Entries October 2026'!U15-'Entries October 2026'!U14&lt;1,"0",'Entries October 2026'!U15-'Entries October 2026'!U14)</f>
        <v>3</v>
      </c>
      <c r="N15" s="693">
        <f>IF('Entries October 2026'!X15-'Entries October 2026'!X14&lt;1,"0",'Entries October 2026'!X15-'Entries October 2026'!X14)</f>
        <v>41</v>
      </c>
      <c r="O15" s="693">
        <f>IF('Entries October 2026'!Y15-'Entries October 2026'!Y14&lt;1,"0",'Entries October 2026'!Y15-'Entries October 2026'!Y14)</f>
        <v>76</v>
      </c>
      <c r="P15" s="693">
        <f>IF('Entries October 2026'!AC15-'Entries October 2026'!AC14&lt;1,"0",'Entries October 2026'!AC15-'Entries October 2026'!AC14)</f>
        <v>14</v>
      </c>
      <c r="Q15" s="693">
        <f>IF('Entries October 2026'!Z15-'Entries October 2026'!Z14&lt;1,"0",'Entries October 2026'!Z15-'Entries October 2026'!Z14)</f>
        <v>24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4810</v>
      </c>
      <c r="T15" s="692">
        <f t="shared" si="1"/>
        <v>120</v>
      </c>
      <c r="U15" s="693">
        <f>IF('Entries October 2026'!AC15-'Entries October 2026'!AC14&lt;1,"0",'Entries October 2026'!AC15-'Entries October 2026'!AC14)</f>
        <v>14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639</v>
      </c>
      <c r="AA15" s="330">
        <v>308.48400000000004</v>
      </c>
      <c r="AB15" s="331">
        <f t="shared" si="3"/>
        <v>20.714202357334575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>
        <f>IF('Entries October 2026'!O16-'Entries October 2026'!O15&lt;1,"0",'Entries October 2026'!O16-'Entries October 2026'!O15)</f>
        <v>155</v>
      </c>
      <c r="E16" s="693">
        <f>IF('Entries October 2026'!P16-'Entries October 2026'!P15&lt;1,"0",'Entries October 2026'!P16-'Entries October 2026'!P15)</f>
        <v>160</v>
      </c>
      <c r="F16" s="693">
        <f>IF('Entries October 2026'!V16-'Entries October 2026'!V15&lt;1,"0",'Entries October 2026'!V16-'Entries October 2026'!V15)</f>
        <v>170</v>
      </c>
      <c r="G16" s="693">
        <f t="shared" si="0"/>
        <v>145</v>
      </c>
      <c r="H16" s="693">
        <f>IF('Entries October 2026'!Q16-'Entries October 2026'!Q15&lt;1,0,'Entries October 2026'!Q16-'Entries October 2026'!Q15)</f>
        <v>57</v>
      </c>
      <c r="I16" s="693">
        <f>IF('Entries October 2026'!AG16-'Entries October 2026'!AG15&lt;1,0,'Entries October 2026'!AG16-'Entries October 2026'!AG15)</f>
        <v>0</v>
      </c>
      <c r="J16" s="693">
        <f>IF('Entries October 2026'!S16-'Entries October 2026'!S15&lt;1,"0",'Entries October 2026'!S16-'Entries October 2026'!S15)</f>
        <v>162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>
        <f>IF('Entries October 2026'!X16-'Entries October 2026'!X15&lt;1,"0",'Entries October 2026'!X16-'Entries October 2026'!X15)</f>
        <v>5</v>
      </c>
      <c r="O16" s="693">
        <f>IF('Entries October 2026'!Y16-'Entries October 2026'!Y15&lt;1,"0",'Entries October 2026'!Y16-'Entries October 2026'!Y15)</f>
        <v>5</v>
      </c>
      <c r="P16" s="693">
        <f>IF('Entries October 2026'!AC16-'Entries October 2026'!AC15&lt;1,"0",'Entries October 2026'!AC16-'Entries October 2026'!AC15)</f>
        <v>1</v>
      </c>
      <c r="Q16" s="693">
        <f>IF('Entries October 2026'!Z16-'Entries October 2026'!Z15&lt;1,"0",'Entries October 2026'!Z16-'Entries October 2026'!Z15)</f>
        <v>11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1450</v>
      </c>
      <c r="T16" s="692">
        <f t="shared" si="1"/>
        <v>10</v>
      </c>
      <c r="U16" s="693">
        <f>IF('Entries October 2026'!AC16-'Entries October 2026'!AC15&lt;1,"0",'Entries October 2026'!AC16-'Entries October 2026'!AC15)</f>
        <v>1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315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>
        <f>IF('Entries October 2026'!P17-'Entries October 2026'!P16&lt;1,"0",'Entries October 2026'!P17-'Entries October 2026'!P16)</f>
        <v>3</v>
      </c>
      <c r="F17" s="693">
        <f>IF('Entries October 2026'!V17-'Entries October 2026'!V16&lt;1,"0",'Entries October 2026'!V17-'Entries October 2026'!V16)</f>
        <v>5</v>
      </c>
      <c r="G17" s="693">
        <f t="shared" si="0"/>
        <v>-2</v>
      </c>
      <c r="H17" s="693">
        <f>IF('Entries October 2026'!Q17-'Entries October 2026'!Q16&lt;1,0,'Entries October 2026'!Q17-'Entries October 2026'!Q16)</f>
        <v>43</v>
      </c>
      <c r="I17" s="693">
        <f>IF('Entries October 2026'!AG17-'Entries October 2026'!AG16&lt;1,0,'Entries October 2026'!AG17-'Entries October 2026'!AG16)</f>
        <v>0</v>
      </c>
      <c r="J17" s="693">
        <f>IF('Entries October 2026'!S17-'Entries October 2026'!S16&lt;1,"0",'Entries October 2026'!S17-'Entries October 2026'!S16)</f>
        <v>18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>
        <f>IF('Entries October 2026'!Z17-'Entries October 2026'!Z16&lt;1,"0",'Entries October 2026'!Z17-'Entries October 2026'!Z16)</f>
        <v>9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-20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3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>
        <f>IF('Entries October 2026'!O18-'Entries October 2026'!O17&lt;1,"0",'Entries October 2026'!O18-'Entries October 2026'!O17)</f>
        <v>144</v>
      </c>
      <c r="E18" s="693">
        <f>IF('Entries October 2026'!P18-'Entries October 2026'!P17&lt;1,"0",'Entries October 2026'!P18-'Entries October 2026'!P17)</f>
        <v>237</v>
      </c>
      <c r="F18" s="693">
        <f>IF('Entries October 2026'!V18-'Entries October 2026'!V17&lt;1,"0",'Entries October 2026'!V18-'Entries October 2026'!V17)</f>
        <v>247</v>
      </c>
      <c r="G18" s="693">
        <f t="shared" si="0"/>
        <v>134</v>
      </c>
      <c r="H18" s="693">
        <f>IF('Entries October 2026'!Q18-'Entries October 2026'!Q17&lt;1,0,'Entries October 2026'!Q18-'Entries October 2026'!Q17)</f>
        <v>169</v>
      </c>
      <c r="I18" s="693">
        <f>IF('Entries October 2026'!AG18-'Entries October 2026'!AG17&lt;1,0,'Entries October 2026'!AG18-'Entries October 2026'!AG17)</f>
        <v>0</v>
      </c>
      <c r="J18" s="693">
        <f>IF('Entries October 2026'!S18-'Entries October 2026'!S17&lt;1,"0",'Entries October 2026'!S18-'Entries October 2026'!S17)</f>
        <v>72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>
        <f>IF('Entries October 2026'!U18-'Entries October 2026'!U17&lt;1,"0",'Entries October 2026'!U18-'Entries October 2026'!U17)</f>
        <v>5</v>
      </c>
      <c r="N18" s="693">
        <f>IF('Entries October 2026'!X18-'Entries October 2026'!X17&lt;1,"0",'Entries October 2026'!X18-'Entries October 2026'!X17)</f>
        <v>29</v>
      </c>
      <c r="O18" s="693">
        <f>IF('Entries October 2026'!Y18-'Entries October 2026'!Y17&lt;1,"0",'Entries October 2026'!Y18-'Entries October 2026'!Y17)</f>
        <v>119</v>
      </c>
      <c r="P18" s="693">
        <f>IF('Entries October 2026'!AC18-'Entries October 2026'!AC17&lt;1,"0",'Entries October 2026'!AC18-'Entries October 2026'!AC17)</f>
        <v>23</v>
      </c>
      <c r="Q18" s="693">
        <f>IF('Entries October 2026'!Z18-'Entries October 2026'!Z17&lt;1,"0",'Entries October 2026'!Z18-'Entries October 2026'!Z17)</f>
        <v>71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1340</v>
      </c>
      <c r="T18" s="692">
        <f t="shared" si="1"/>
        <v>153</v>
      </c>
      <c r="U18" s="693">
        <f>IF('Entries October 2026'!AC18-'Entries October 2026'!AC17&lt;1,"0",'Entries October 2026'!AC18-'Entries October 2026'!AC17)</f>
        <v>23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381</v>
      </c>
      <c r="AA18" s="330">
        <v>237.13800000000001</v>
      </c>
      <c r="AB18" s="331">
        <f t="shared" si="3"/>
        <v>16.066594135060598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>
        <f>IF('Entries October 2026'!O19-'Entries October 2026'!O18&lt;1,"0",'Entries October 2026'!O19-'Entries October 2026'!O18)</f>
        <v>235</v>
      </c>
      <c r="E19" s="693">
        <f>IF('Entries October 2026'!P19-'Entries October 2026'!P18&lt;1,"0",'Entries October 2026'!P19-'Entries October 2026'!P18)</f>
        <v>112</v>
      </c>
      <c r="F19" s="693">
        <f>IF('Entries October 2026'!V19-'Entries October 2026'!V18&lt;1,"0",'Entries October 2026'!V19-'Entries October 2026'!V18)</f>
        <v>114</v>
      </c>
      <c r="G19" s="693">
        <f t="shared" si="0"/>
        <v>233</v>
      </c>
      <c r="H19" s="693">
        <f>IF('Entries October 2026'!Q19-'Entries October 2026'!Q18&lt;1,0,'Entries October 2026'!Q19-'Entries October 2026'!Q18)</f>
        <v>239</v>
      </c>
      <c r="I19" s="693">
        <f>IF('Entries October 2026'!AG19-'Entries October 2026'!AG18&lt;1,0,'Entries October 2026'!AG19-'Entries October 2026'!AG18)</f>
        <v>0</v>
      </c>
      <c r="J19" s="693">
        <f>IF('Entries October 2026'!S19-'Entries October 2026'!S18&lt;1,"0",'Entries October 2026'!S19-'Entries October 2026'!S18)</f>
        <v>86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>
        <f>IF('Entries October 2026'!U19-'Entries October 2026'!U18&lt;1,"0",'Entries October 2026'!U19-'Entries October 2026'!U18)</f>
        <v>3</v>
      </c>
      <c r="N19" s="693">
        <f>IF('Entries October 2026'!X19-'Entries October 2026'!X18&lt;1,"0",'Entries October 2026'!X19-'Entries October 2026'!X18)</f>
        <v>27</v>
      </c>
      <c r="O19" s="693">
        <f>IF('Entries October 2026'!Y19-'Entries October 2026'!Y18&lt;1,"0",'Entries October 2026'!Y19-'Entries October 2026'!Y18)</f>
        <v>99</v>
      </c>
      <c r="P19" s="693">
        <f>IF('Entries October 2026'!AC19-'Entries October 2026'!AC18&lt;1,"0",'Entries October 2026'!AC19-'Entries October 2026'!AC18)</f>
        <v>26</v>
      </c>
      <c r="Q19" s="693">
        <f>IF('Entries October 2026'!Z19-'Entries October 2026'!Z18&lt;1,"0",'Entries October 2026'!Z19-'Entries October 2026'!Z18)</f>
        <v>15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2330</v>
      </c>
      <c r="T19" s="692">
        <f t="shared" si="1"/>
        <v>129</v>
      </c>
      <c r="U19" s="693">
        <f>IF('Entries October 2026'!AC19-'Entries October 2026'!AC18&lt;1,"0",'Entries October 2026'!AC19-'Entries October 2026'!AC18)</f>
        <v>26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347</v>
      </c>
      <c r="AA19" s="330">
        <v>568.85400000000004</v>
      </c>
      <c r="AB19" s="331">
        <f t="shared" si="3"/>
        <v>6.0999834755490863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>
        <f>IF('Entries October 2026'!O20-'Entries October 2026'!O19&lt;1,"0",'Entries October 2026'!O20-'Entries October 2026'!O19)</f>
        <v>182</v>
      </c>
      <c r="E20" s="693">
        <f>IF('Entries October 2026'!P20-'Entries October 2026'!P19&lt;1,"0",'Entries October 2026'!P20-'Entries October 2026'!P19)</f>
        <v>166</v>
      </c>
      <c r="F20" s="693">
        <f>IF('Entries October 2026'!V20-'Entries October 2026'!V19&lt;1,"0",'Entries October 2026'!V20-'Entries October 2026'!V19)</f>
        <v>175</v>
      </c>
      <c r="G20" s="693">
        <f t="shared" si="0"/>
        <v>173</v>
      </c>
      <c r="H20" s="693">
        <f>IF('Entries October 2026'!Q20-'Entries October 2026'!Q19&lt;1,0,'Entries October 2026'!Q20-'Entries October 2026'!Q19)</f>
        <v>221</v>
      </c>
      <c r="I20" s="693">
        <f>IF('Entries October 2026'!AG20-'Entries October 2026'!AG19&lt;1,0,'Entries October 2026'!AG20-'Entries October 2026'!AG19)</f>
        <v>0</v>
      </c>
      <c r="J20" s="693">
        <f>IF('Entries October 2026'!S20-'Entries October 2026'!S19&lt;1,"0",'Entries October 2026'!S20-'Entries October 2026'!S19)</f>
        <v>216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>
        <f>IF('Entries October 2026'!U20-'Entries October 2026'!U19&lt;1,"0",'Entries October 2026'!U20-'Entries October 2026'!U19)</f>
        <v>6</v>
      </c>
      <c r="N20" s="693">
        <f>IF('Entries October 2026'!X20-'Entries October 2026'!X19&lt;1,"0",'Entries October 2026'!X20-'Entries October 2026'!X19)</f>
        <v>11</v>
      </c>
      <c r="O20" s="693">
        <f>IF('Entries October 2026'!Y20-'Entries October 2026'!Y19&lt;1,"0",'Entries October 2026'!Y20-'Entries October 2026'!Y19)</f>
        <v>114</v>
      </c>
      <c r="P20" s="693">
        <f>IF('Entries October 2026'!AC20-'Entries October 2026'!AC19&lt;1,"0",'Entries October 2026'!AC20-'Entries October 2026'!AC19)</f>
        <v>29</v>
      </c>
      <c r="Q20" s="693">
        <f>IF('Entries October 2026'!Z20-'Entries October 2026'!Z19&lt;1,"0",'Entries October 2026'!Z20-'Entries October 2026'!Z19)</f>
        <v>21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1730</v>
      </c>
      <c r="T20" s="692">
        <f t="shared" si="1"/>
        <v>131</v>
      </c>
      <c r="U20" s="693">
        <f>IF('Entries October 2026'!AC20-'Entries October 2026'!AC19&lt;1,"0",'Entries October 2026'!AC20-'Entries October 2026'!AC19)</f>
        <v>29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348</v>
      </c>
      <c r="AA20" s="330">
        <v>509.38800000000003</v>
      </c>
      <c r="AB20" s="331">
        <f t="shared" si="3"/>
        <v>6.8317274847464011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>
        <f>IF('Entries October 2026'!O21-'Entries October 2026'!O20&lt;1,"0",'Entries October 2026'!O21-'Entries October 2026'!O20)</f>
        <v>249</v>
      </c>
      <c r="E21" s="693">
        <f>IF('Entries October 2026'!P21-'Entries October 2026'!P20&lt;1,"0",'Entries October 2026'!P21-'Entries October 2026'!P20)</f>
        <v>210</v>
      </c>
      <c r="F21" s="693">
        <f>IF('Entries October 2026'!V21-'Entries October 2026'!V20&lt;1,"0",'Entries October 2026'!V21-'Entries October 2026'!V20)</f>
        <v>220</v>
      </c>
      <c r="G21" s="693">
        <f t="shared" si="0"/>
        <v>239</v>
      </c>
      <c r="H21" s="693">
        <f>IF('Entries October 2026'!Q21-'Entries October 2026'!Q20&lt;1,0,'Entries October 2026'!Q21-'Entries October 2026'!Q20)</f>
        <v>225</v>
      </c>
      <c r="I21" s="693">
        <f>IF('Entries October 2026'!AG21-'Entries October 2026'!AG20&lt;1,0,'Entries October 2026'!AG21-'Entries October 2026'!AG20)</f>
        <v>0</v>
      </c>
      <c r="J21" s="693">
        <f>IF('Entries October 2026'!S21-'Entries October 2026'!S20&lt;1,"0",'Entries October 2026'!S21-'Entries October 2026'!S20)</f>
        <v>220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>
        <f>IF('Entries October 2026'!U21-'Entries October 2026'!U20&lt;1,"0",'Entries October 2026'!U21-'Entries October 2026'!U20)</f>
        <v>7</v>
      </c>
      <c r="N21" s="693">
        <f>IF('Entries October 2026'!X21-'Entries October 2026'!X20&lt;1,"0",'Entries October 2026'!X21-'Entries October 2026'!X20)</f>
        <v>20</v>
      </c>
      <c r="O21" s="693">
        <f>IF('Entries October 2026'!Y21-'Entries October 2026'!Y20&lt;1,"0",'Entries October 2026'!Y21-'Entries October 2026'!Y20)</f>
        <v>117</v>
      </c>
      <c r="P21" s="693">
        <f>IF('Entries October 2026'!AC21-'Entries October 2026'!AC20&lt;1,"0",'Entries October 2026'!AC21-'Entries October 2026'!AC20)</f>
        <v>31</v>
      </c>
      <c r="Q21" s="693">
        <f>IF('Entries October 2026'!Z21-'Entries October 2026'!Z20&lt;1,"0",'Entries October 2026'!Z21-'Entries October 2026'!Z20)</f>
        <v>27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2390</v>
      </c>
      <c r="T21" s="692">
        <f t="shared" si="1"/>
        <v>144</v>
      </c>
      <c r="U21" s="693">
        <f>IF('Entries October 2026'!AC21-'Entries October 2026'!AC20&lt;1,"0",'Entries October 2026'!AC21-'Entries October 2026'!AC20)</f>
        <v>31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459</v>
      </c>
      <c r="AA21" s="330">
        <v>478.17</v>
      </c>
      <c r="AB21" s="331">
        <f t="shared" si="3"/>
        <v>9.5990965556182939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>
        <f>IF('Entries October 2026'!O22-'Entries October 2026'!O21&lt;1,"0",'Entries October 2026'!O22-'Entries October 2026'!O21)</f>
        <v>260</v>
      </c>
      <c r="E22" s="693">
        <f>IF('Entries October 2026'!P22-'Entries October 2026'!P21&lt;1,"0",'Entries October 2026'!P22-'Entries October 2026'!P21)</f>
        <v>289</v>
      </c>
      <c r="F22" s="693">
        <f>IF('Entries October 2026'!V22-'Entries October 2026'!V21&lt;1,"0",'Entries October 2026'!V22-'Entries October 2026'!V21)</f>
        <v>300</v>
      </c>
      <c r="G22" s="693">
        <f t="shared" si="0"/>
        <v>249</v>
      </c>
      <c r="H22" s="693">
        <f>IF('Entries October 2026'!Q22-'Entries October 2026'!Q21&lt;1,0,'Entries October 2026'!Q22-'Entries October 2026'!Q21)</f>
        <v>201</v>
      </c>
      <c r="I22" s="693">
        <f>IF('Entries October 2026'!AG22-'Entries October 2026'!AG21&lt;1,0,'Entries October 2026'!AG22-'Entries October 2026'!AG21)</f>
        <v>0</v>
      </c>
      <c r="J22" s="693">
        <f>IF('Entries October 2026'!S22-'Entries October 2026'!S21&lt;1,"0",'Entries October 2026'!S22-'Entries October 2026'!S21)</f>
        <v>187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>
        <f>IF('Entries October 2026'!U22-'Entries October 2026'!U21&lt;1,"0",'Entries October 2026'!U22-'Entries October 2026'!U21)</f>
        <v>7</v>
      </c>
      <c r="N22" s="693">
        <f>IF('Entries October 2026'!X22-'Entries October 2026'!X21&lt;1,"0",'Entries October 2026'!X22-'Entries October 2026'!X21)</f>
        <v>48</v>
      </c>
      <c r="O22" s="693">
        <f>IF('Entries October 2026'!Y22-'Entries October 2026'!Y21&lt;1,"0",'Entries October 2026'!Y22-'Entries October 2026'!Y21)</f>
        <v>64</v>
      </c>
      <c r="P22" s="693">
        <f>IF('Entries October 2026'!AC22-'Entries October 2026'!AC21&lt;1,"0",'Entries October 2026'!AC22-'Entries October 2026'!AC21)</f>
        <v>18</v>
      </c>
      <c r="Q22" s="693">
        <f>IF('Entries October 2026'!Z22-'Entries October 2026'!Z21&lt;1,"0",'Entries October 2026'!Z22-'Entries October 2026'!Z21)</f>
        <v>20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2490</v>
      </c>
      <c r="T22" s="692">
        <f t="shared" si="1"/>
        <v>119</v>
      </c>
      <c r="U22" s="693">
        <f>IF('Entries October 2026'!AC22-'Entries October 2026'!AC21&lt;1,"0",'Entries October 2026'!AC22-'Entries October 2026'!AC21)</f>
        <v>18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549</v>
      </c>
      <c r="AA22" s="330">
        <v>234.102</v>
      </c>
      <c r="AB22" s="331">
        <f t="shared" si="3"/>
        <v>23.45131609298511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35</v>
      </c>
      <c r="I23" s="693">
        <f>IF('Entries October 2026'!AG23-'Entries October 2026'!AG22&lt;1,0,'Entries October 2026'!AG23-'Entries October 2026'!AG22)</f>
        <v>0</v>
      </c>
      <c r="J23" s="693">
        <f>IF('Entries October 2026'!S23-'Entries October 2026'!S22&lt;1,"0",'Entries October 2026'!S23-'Entries October 2026'!S22)</f>
        <v>22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>
        <f>IF('Entries October 2026'!X23-'Entries October 2026'!X22&lt;1,"0",'Entries October 2026'!X23-'Entries October 2026'!X22)</f>
        <v>5</v>
      </c>
      <c r="O23" s="693">
        <f>IF('Entries October 2026'!Y23-'Entries October 2026'!Y22&lt;1,"0",'Entries October 2026'!Y23-'Entries October 2026'!Y22)</f>
        <v>5</v>
      </c>
      <c r="P23" s="693" t="str">
        <f>IF('Entries October 2026'!AC23-'Entries October 2026'!AC22&lt;1,"0",'Entries October 2026'!AC23-'Entries October 2026'!AC22)</f>
        <v>0</v>
      </c>
      <c r="Q23" s="693">
        <f>IF('Entries October 2026'!Z23-'Entries October 2026'!Z22&lt;1,"0",'Entries October 2026'!Z23-'Entries October 2026'!Z22)</f>
        <v>4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10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67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>
        <f>IF('Entries October 2026'!Y24-'Entries October 2026'!Y23&lt;1,"0",'Entries October 2026'!Y24-'Entries October 2026'!Y23)</f>
        <v>35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35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>
        <f>IF('Entries October 2026'!O25-'Entries October 2026'!O24&lt;1,"0",'Entries October 2026'!O25-'Entries October 2026'!O24)</f>
        <v>35</v>
      </c>
      <c r="E25" s="693">
        <f>IF('Entries October 2026'!P25-'Entries October 2026'!P24&lt;1,"0",'Entries October 2026'!P25-'Entries October 2026'!P24)</f>
        <v>83</v>
      </c>
      <c r="F25" s="693">
        <f>IF('Entries October 2026'!V25-'Entries October 2026'!V24&lt;1,"0",'Entries October 2026'!V25-'Entries October 2026'!V24)</f>
        <v>88</v>
      </c>
      <c r="G25" s="693">
        <f t="shared" si="0"/>
        <v>30</v>
      </c>
      <c r="H25" s="693">
        <f>IF('Entries October 2026'!Q25-'Entries October 2026'!Q24&lt;1,0,'Entries October 2026'!Q25-'Entries October 2026'!Q24)</f>
        <v>198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>
        <f>IF('Entries October 2026'!AC25-'Entries October 2026'!AC24&lt;1,"0",'Entries October 2026'!AC25-'Entries October 2026'!AC24)</f>
        <v>4</v>
      </c>
      <c r="Q25" s="693">
        <f>IF('Entries October 2026'!Z25-'Entries October 2026'!Z24&lt;1,"0",'Entries October 2026'!Z25-'Entries October 2026'!Z24)</f>
        <v>4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300</v>
      </c>
      <c r="T25" s="692">
        <f t="shared" si="1"/>
        <v>0</v>
      </c>
      <c r="U25" s="693">
        <f>IF('Entries October 2026'!AC25-'Entries October 2026'!AC24&lt;1,"0",'Entries October 2026'!AC25-'Entries October 2026'!AC24)</f>
        <v>4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118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>
        <f>IF('Entries October 2026'!O26-'Entries October 2026'!O25&lt;1,"0",'Entries October 2026'!O26-'Entries October 2026'!O25)</f>
        <v>266</v>
      </c>
      <c r="E26" s="693">
        <f>IF('Entries October 2026'!P26-'Entries October 2026'!P25&lt;1,"0",'Entries October 2026'!P26-'Entries October 2026'!P25)</f>
        <v>130</v>
      </c>
      <c r="F26" s="693">
        <f>IF('Entries October 2026'!V26-'Entries October 2026'!V25&lt;1,"0",'Entries October 2026'!V26-'Entries October 2026'!V25)</f>
        <v>134</v>
      </c>
      <c r="G26" s="693">
        <f t="shared" si="0"/>
        <v>262</v>
      </c>
      <c r="H26" s="693">
        <f>IF('Entries October 2026'!Q26-'Entries October 2026'!Q25&lt;1,0,'Entries October 2026'!Q26-'Entries October 2026'!Q25)</f>
        <v>78</v>
      </c>
      <c r="I26" s="693">
        <f>IF('Entries October 2026'!AG26-'Entries October 2026'!AG25&lt;1,0,'Entries October 2026'!AG26-'Entries October 2026'!AG25)</f>
        <v>0</v>
      </c>
      <c r="J26" s="693">
        <f>IF('Entries October 2026'!S26-'Entries October 2026'!S25&lt;1,"0",'Entries October 2026'!S26-'Entries October 2026'!S25)</f>
        <v>140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>
        <f>IF('Entries October 2026'!U26-'Entries October 2026'!U25&lt;1,"0",'Entries October 2026'!U26-'Entries October 2026'!U25)</f>
        <v>6</v>
      </c>
      <c r="N26" s="693">
        <f>IF('Entries October 2026'!X26-'Entries October 2026'!X25&lt;1,"0",'Entries October 2026'!X26-'Entries October 2026'!X25)</f>
        <v>41</v>
      </c>
      <c r="O26" s="693">
        <f>IF('Entries October 2026'!Y26-'Entries October 2026'!Y25&lt;1,"0",'Entries October 2026'!Y26-'Entries October 2026'!Y25)</f>
        <v>135</v>
      </c>
      <c r="P26" s="693">
        <f>IF('Entries October 2026'!AC26-'Entries October 2026'!AC25&lt;1,"0",'Entries October 2026'!AC26-'Entries October 2026'!AC25)</f>
        <v>29</v>
      </c>
      <c r="Q26" s="693">
        <f>IF('Entries October 2026'!Z26-'Entries October 2026'!Z25&lt;1,"0",'Entries October 2026'!Z26-'Entries October 2026'!Z25)</f>
        <v>47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2620</v>
      </c>
      <c r="T26" s="692">
        <f t="shared" si="1"/>
        <v>182</v>
      </c>
      <c r="U26" s="693">
        <f>IF('Entries October 2026'!AC26-'Entries October 2026'!AC25&lt;1,"0",'Entries October 2026'!AC26-'Entries October 2026'!AC25)</f>
        <v>29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396</v>
      </c>
      <c r="AA26" s="330">
        <v>465.82800000000003</v>
      </c>
      <c r="AB26" s="331">
        <f t="shared" si="3"/>
        <v>8.5009917823746104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>
        <f>IF('Entries October 2026'!O27-'Entries October 2026'!O26&lt;1,"0",'Entries October 2026'!O27-'Entries October 2026'!O26)</f>
        <v>440</v>
      </c>
      <c r="E27" s="693">
        <f>IF('Entries October 2026'!P27-'Entries October 2026'!P26&lt;1,"0",'Entries October 2026'!P27-'Entries October 2026'!P26)</f>
        <v>134</v>
      </c>
      <c r="F27" s="693">
        <f>IF('Entries October 2026'!V27-'Entries October 2026'!V26&lt;1,"0",'Entries October 2026'!V27-'Entries October 2026'!V26)</f>
        <v>140</v>
      </c>
      <c r="G27" s="693">
        <f t="shared" si="0"/>
        <v>434</v>
      </c>
      <c r="H27" s="693">
        <f>IF('Entries October 2026'!Q27-'Entries October 2026'!Q26&lt;1,0,'Entries October 2026'!Q27-'Entries October 2026'!Q26)</f>
        <v>292</v>
      </c>
      <c r="I27" s="693">
        <f>IF('Entries October 2026'!AG27-'Entries October 2026'!AG26&lt;1,0,'Entries October 2026'!AG27-'Entries October 2026'!AG26)</f>
        <v>0</v>
      </c>
      <c r="J27" s="693">
        <f>IF('Entries October 2026'!S27-'Entries October 2026'!S26&lt;1,"0",'Entries October 2026'!S27-'Entries October 2026'!S26)</f>
        <v>210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>
        <f>IF('Entries October 2026'!X27-'Entries October 2026'!X26&lt;1,"0",'Entries October 2026'!X27-'Entries October 2026'!X26)</f>
        <v>19</v>
      </c>
      <c r="O27" s="693">
        <f>IF('Entries October 2026'!Y27-'Entries October 2026'!Y26&lt;1,"0",'Entries October 2026'!Y27-'Entries October 2026'!Y26)</f>
        <v>158</v>
      </c>
      <c r="P27" s="693">
        <f>IF('Entries October 2026'!AC27-'Entries October 2026'!AC26&lt;1,"0",'Entries October 2026'!AC27-'Entries October 2026'!AC26)</f>
        <v>31</v>
      </c>
      <c r="Q27" s="693">
        <f>IF('Entries October 2026'!Z27-'Entries October 2026'!Z26&lt;1,"0",'Entries October 2026'!Z27-'Entries October 2026'!Z26)</f>
        <v>30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4340</v>
      </c>
      <c r="T27" s="692">
        <f t="shared" si="1"/>
        <v>177</v>
      </c>
      <c r="U27" s="693">
        <f>IF('Entries October 2026'!AC27-'Entries October 2026'!AC26&lt;1,"0",'Entries October 2026'!AC27-'Entries October 2026'!AC26)</f>
        <v>31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574</v>
      </c>
      <c r="AA27" s="330">
        <v>651.22199999999998</v>
      </c>
      <c r="AB27" s="331">
        <f t="shared" si="3"/>
        <v>8.8141985375186955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>
        <f>IF('Entries October 2026'!O28-'Entries October 2026'!O27&lt;1,"0",'Entries October 2026'!O28-'Entries October 2026'!O27)</f>
        <v>197</v>
      </c>
      <c r="E28" s="693">
        <f>IF('Entries October 2026'!P28-'Entries October 2026'!P27&lt;1,"0",'Entries October 2026'!P28-'Entries October 2026'!P27)</f>
        <v>208</v>
      </c>
      <c r="F28" s="693">
        <f>IF('Entries October 2026'!V28-'Entries October 2026'!V27&lt;1,"0",'Entries October 2026'!V28-'Entries October 2026'!V27)</f>
        <v>216</v>
      </c>
      <c r="G28" s="693">
        <f t="shared" si="0"/>
        <v>189</v>
      </c>
      <c r="H28" s="693">
        <f>IF('Entries October 2026'!Q28-'Entries October 2026'!Q27&lt;1,0,'Entries October 2026'!Q28-'Entries October 2026'!Q27)</f>
        <v>196</v>
      </c>
      <c r="I28" s="693">
        <f>IF('Entries October 2026'!AG28-'Entries October 2026'!AG27&lt;1,0,'Entries October 2026'!AG28-'Entries October 2026'!AG27)</f>
        <v>0</v>
      </c>
      <c r="J28" s="693">
        <f>IF('Entries October 2026'!S28-'Entries October 2026'!S27&lt;1,"0",'Entries October 2026'!S28-'Entries October 2026'!S27)</f>
        <v>216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>
        <f>IF('Entries October 2026'!U28-'Entries October 2026'!U27&lt;1,"0",'Entries October 2026'!U28-'Entries October 2026'!U27)</f>
        <v>3</v>
      </c>
      <c r="N28" s="693">
        <f>IF('Entries October 2026'!X28-'Entries October 2026'!X27&lt;1,"0",'Entries October 2026'!X28-'Entries October 2026'!X27)</f>
        <v>26</v>
      </c>
      <c r="O28" s="693">
        <f>IF('Entries October 2026'!Y28-'Entries October 2026'!Y27&lt;1,"0",'Entries October 2026'!Y28-'Entries October 2026'!Y27)</f>
        <v>94</v>
      </c>
      <c r="P28" s="693">
        <f>IF('Entries October 2026'!AC28-'Entries October 2026'!AC27&lt;1,"0",'Entries October 2026'!AC28-'Entries October 2026'!AC27)</f>
        <v>23</v>
      </c>
      <c r="Q28" s="693">
        <f>IF('Entries October 2026'!Z28-'Entries October 2026'!Z27&lt;1,"0",'Entries October 2026'!Z28-'Entries October 2026'!Z27)</f>
        <v>29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1890</v>
      </c>
      <c r="T28" s="692">
        <f t="shared" si="1"/>
        <v>123</v>
      </c>
      <c r="U28" s="693">
        <f>IF('Entries October 2026'!AC28-'Entries October 2026'!AC27&lt;1,"0",'Entries October 2026'!AC28-'Entries October 2026'!AC27)</f>
        <v>23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405</v>
      </c>
      <c r="AA28" s="330">
        <v>261.03000000000003</v>
      </c>
      <c r="AB28" s="331">
        <f t="shared" si="3"/>
        <v>15.515457993334097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>
        <f>IF('Entries October 2026'!O29-'Entries October 2026'!O28&lt;1,"0",'Entries October 2026'!O29-'Entries October 2026'!O28)</f>
        <v>210</v>
      </c>
      <c r="E29" s="693">
        <f>IF('Entries October 2026'!P29-'Entries October 2026'!P28&lt;1,"0",'Entries October 2026'!P29-'Entries October 2026'!P28)</f>
        <v>193</v>
      </c>
      <c r="F29" s="693">
        <f>IF('Entries October 2026'!V29-'Entries October 2026'!V28&lt;1,"0",'Entries October 2026'!V29-'Entries October 2026'!V28)</f>
        <v>202</v>
      </c>
      <c r="G29" s="693">
        <f t="shared" si="0"/>
        <v>201</v>
      </c>
      <c r="H29" s="693">
        <f>IF('Entries October 2026'!Q29-'Entries October 2026'!Q28&lt;1,0,'Entries October 2026'!Q29-'Entries October 2026'!Q28)</f>
        <v>245</v>
      </c>
      <c r="I29" s="693">
        <f>IF('Entries October 2026'!AG29-'Entries October 2026'!AG28&lt;1,0,'Entries October 2026'!AG29-'Entries October 2026'!AG28)</f>
        <v>0</v>
      </c>
      <c r="J29" s="693">
        <f>IF('Entries October 2026'!S29-'Entries October 2026'!S28&lt;1,"0",'Entries October 2026'!S29-'Entries October 2026'!S28)</f>
        <v>179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>
        <f>IF('Entries October 2026'!U29-'Entries October 2026'!U28&lt;1,"0",'Entries October 2026'!U29-'Entries October 2026'!U28)</f>
        <v>4</v>
      </c>
      <c r="N29" s="693">
        <f>IF('Entries October 2026'!X29-'Entries October 2026'!X28&lt;1,"0",'Entries October 2026'!X29-'Entries October 2026'!X28)</f>
        <v>41</v>
      </c>
      <c r="O29" s="693">
        <f>IF('Entries October 2026'!Y29-'Entries October 2026'!Y28&lt;1,"0",'Entries October 2026'!Y29-'Entries October 2026'!Y28)</f>
        <v>112</v>
      </c>
      <c r="P29" s="693">
        <f>IF('Entries October 2026'!AC29-'Entries October 2026'!AC28&lt;1,"0",'Entries October 2026'!AC29-'Entries October 2026'!AC28)</f>
        <v>20</v>
      </c>
      <c r="Q29" s="693">
        <f>IF('Entries October 2026'!Z29-'Entries October 2026'!Z28&lt;1,"0",'Entries October 2026'!Z29-'Entries October 2026'!Z28)</f>
        <v>26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2010</v>
      </c>
      <c r="T29" s="692">
        <f t="shared" si="1"/>
        <v>157</v>
      </c>
      <c r="U29" s="693">
        <f>IF('Entries October 2026'!AC29-'Entries October 2026'!AC28&lt;1,"0",'Entries October 2026'!AC29-'Entries October 2026'!AC28)</f>
        <v>20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403</v>
      </c>
      <c r="AA29" s="330">
        <v>416.87400000000002</v>
      </c>
      <c r="AB29" s="331">
        <f t="shared" si="3"/>
        <v>9.6671896064518297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3918</v>
      </c>
      <c r="E38" s="303">
        <f>SUM(E7:E37)</f>
        <v>3071</v>
      </c>
      <c r="F38" s="303">
        <f>SUM(F7:F37)</f>
        <v>3269</v>
      </c>
      <c r="G38" s="304">
        <f>SUM(G7:G37)</f>
        <v>3720</v>
      </c>
      <c r="H38" s="303">
        <f t="shared" si="5"/>
        <v>3829</v>
      </c>
      <c r="I38" s="303"/>
      <c r="J38" s="303">
        <f t="shared" si="5"/>
        <v>3033</v>
      </c>
      <c r="K38" s="303"/>
      <c r="L38" s="303">
        <f t="shared" si="5"/>
        <v>0</v>
      </c>
      <c r="M38" s="303">
        <f>SUM(M7:M37)</f>
        <v>60</v>
      </c>
      <c r="N38" s="303">
        <f t="shared" si="5"/>
        <v>610</v>
      </c>
      <c r="O38" s="303">
        <f t="shared" si="5"/>
        <v>1704</v>
      </c>
      <c r="P38" s="303">
        <f>SUM(P7:P37)</f>
        <v>349</v>
      </c>
      <c r="Q38" s="303">
        <f>SUM(Q7:Q37)</f>
        <v>447</v>
      </c>
      <c r="R38" s="303">
        <f>SUM(R7:R34)</f>
        <v>0</v>
      </c>
      <c r="S38" s="304">
        <f>SUM(S7:S37)</f>
        <v>37200</v>
      </c>
      <c r="T38" s="304">
        <f>SUM(T7:T37)</f>
        <v>2374</v>
      </c>
      <c r="U38" s="303">
        <f>SUM(U7:U37)</f>
        <v>349</v>
      </c>
      <c r="V38" s="303">
        <f>SUM(V7:V37)</f>
        <v>0</v>
      </c>
      <c r="W38" s="303"/>
      <c r="X38" s="303"/>
      <c r="Y38" s="303"/>
      <c r="Z38" s="332">
        <f>SUM(Z7:Z37)</f>
        <v>6989</v>
      </c>
      <c r="AA38" s="332">
        <f>SUM(AA7:AA37)</f>
        <v>6233.5307999999995</v>
      </c>
      <c r="AB38" s="331">
        <f>IF(AA38=0,"0",(Z38*10/AA38))</f>
        <v>11.211944280438946</v>
      </c>
      <c r="AC38" s="321">
        <v>10.199999999999999</v>
      </c>
      <c r="AD38" s="340">
        <f>AB38/AC38*100</f>
        <v>109.92102235724457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861960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13627.587600000001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13906.5576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9271.0383999999995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23177.595999999998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activeCell="D21" sqref="D21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82" t="s">
        <v>303</v>
      </c>
      <c r="B1" s="983"/>
      <c r="C1" s="983"/>
      <c r="D1" s="984"/>
      <c r="E1" s="983"/>
      <c r="F1" s="983"/>
      <c r="G1" s="985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6" t="s">
        <v>7</v>
      </c>
      <c r="B4" s="39" t="s">
        <v>46</v>
      </c>
      <c r="C4" s="360" t="s">
        <v>47</v>
      </c>
      <c r="D4" s="361" t="s">
        <v>285</v>
      </c>
      <c r="E4" s="986" t="s">
        <v>245</v>
      </c>
      <c r="F4" s="989" t="s">
        <v>243</v>
      </c>
      <c r="G4" s="992" t="s">
        <v>253</v>
      </c>
      <c r="H4" s="995"/>
    </row>
    <row r="5" spans="1:10" ht="15.75" x14ac:dyDescent="0.25">
      <c r="A5" s="997"/>
      <c r="B5" s="34" t="s">
        <v>48</v>
      </c>
      <c r="C5" s="361" t="s">
        <v>49</v>
      </c>
      <c r="D5" s="361" t="s">
        <v>49</v>
      </c>
      <c r="E5" s="987"/>
      <c r="F5" s="990"/>
      <c r="G5" s="993"/>
      <c r="H5" s="995"/>
    </row>
    <row r="6" spans="1:10" ht="16.5" thickBot="1" x14ac:dyDescent="0.3">
      <c r="A6" s="998"/>
      <c r="B6" s="40"/>
      <c r="C6" s="362"/>
      <c r="D6" s="361"/>
      <c r="E6" s="988"/>
      <c r="F6" s="991"/>
      <c r="G6" s="994"/>
      <c r="H6" s="995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1">
        <f>'Utility Analysis October 2026'!D14</f>
        <v>4774</v>
      </c>
      <c r="C11" s="762">
        <f>'Utility Analysis October 2026'!G14</f>
        <v>0</v>
      </c>
      <c r="D11" s="763">
        <f>'Utility Analysis October 2026'!E14</f>
        <v>1421</v>
      </c>
      <c r="E11" s="764">
        <f t="shared" si="0"/>
        <v>6195</v>
      </c>
      <c r="F11" s="765">
        <f>'PROD.FIG. '!H9</f>
        <v>326.50200000000001</v>
      </c>
      <c r="G11" s="456">
        <f t="shared" si="1"/>
        <v>18.973850083613577</v>
      </c>
      <c r="J11" s="30"/>
    </row>
    <row r="12" spans="1:10" x14ac:dyDescent="0.2">
      <c r="A12" s="756">
        <v>6</v>
      </c>
      <c r="B12" s="761">
        <f>'Utility Analysis October 2026'!D15</f>
        <v>7226</v>
      </c>
      <c r="C12" s="762">
        <f>'Utility Analysis October 2026'!G15</f>
        <v>0</v>
      </c>
      <c r="D12" s="763">
        <f>'Utility Analysis October 2026'!E15</f>
        <v>1201.9000000000001</v>
      </c>
      <c r="E12" s="764">
        <f t="shared" si="0"/>
        <v>8427.9</v>
      </c>
      <c r="F12" s="765">
        <f>'PROD.FIG. '!H10</f>
        <v>357.19200000000001</v>
      </c>
      <c r="G12" s="456">
        <f t="shared" si="1"/>
        <v>23.594873345427668</v>
      </c>
      <c r="J12" s="30"/>
    </row>
    <row r="13" spans="1:10" x14ac:dyDescent="0.2">
      <c r="A13" s="686">
        <v>7</v>
      </c>
      <c r="B13" s="742">
        <f>'Utility Analysis October 2026'!D16</f>
        <v>6606</v>
      </c>
      <c r="C13" s="743">
        <f>'Utility Analysis October 2026'!G16</f>
        <v>0</v>
      </c>
      <c r="D13" s="744">
        <f>'Utility Analysis October 2026'!E16</f>
        <v>1346.2</v>
      </c>
      <c r="E13" s="745">
        <f t="shared" si="0"/>
        <v>7952.2</v>
      </c>
      <c r="F13" s="746">
        <f>'PROD.FIG. '!H11</f>
        <v>406.428</v>
      </c>
      <c r="G13" s="336">
        <f t="shared" si="1"/>
        <v>19.566073203617862</v>
      </c>
      <c r="J13" s="30"/>
    </row>
    <row r="14" spans="1:10" x14ac:dyDescent="0.2">
      <c r="A14" s="686">
        <v>8</v>
      </c>
      <c r="B14" s="742">
        <f>'Utility Analysis October 2026'!D17</f>
        <v>7587</v>
      </c>
      <c r="C14" s="743">
        <f>'Utility Analysis October 2026'!G17</f>
        <v>0</v>
      </c>
      <c r="D14" s="744">
        <f>'Utility Analysis October 2026'!E17</f>
        <v>1358.1</v>
      </c>
      <c r="E14" s="745">
        <f t="shared" si="0"/>
        <v>8945.1</v>
      </c>
      <c r="F14" s="746">
        <f>'PROD.FIG. '!H12</f>
        <v>361.21800000000002</v>
      </c>
      <c r="G14" s="336">
        <f t="shared" si="1"/>
        <v>24.763716093882365</v>
      </c>
      <c r="J14" s="30"/>
    </row>
    <row r="15" spans="1:10" x14ac:dyDescent="0.2">
      <c r="A15" s="686">
        <v>9</v>
      </c>
      <c r="B15" s="742">
        <f>'Utility Analysis October 2026'!D18</f>
        <v>6341</v>
      </c>
      <c r="C15" s="743">
        <f>'Utility Analysis October 2026'!G18</f>
        <v>0</v>
      </c>
      <c r="D15" s="744">
        <f>'Utility Analysis October 2026'!E18</f>
        <v>1373.4</v>
      </c>
      <c r="E15" s="745">
        <f t="shared" si="0"/>
        <v>7714.4</v>
      </c>
      <c r="F15" s="746">
        <f>'PROD.FIG. '!H13</f>
        <v>308.48400000000004</v>
      </c>
      <c r="G15" s="336">
        <f t="shared" si="1"/>
        <v>25.007455816184951</v>
      </c>
      <c r="J15" s="30"/>
    </row>
    <row r="16" spans="1:10" x14ac:dyDescent="0.2">
      <c r="A16" s="686">
        <v>10</v>
      </c>
      <c r="B16" s="742">
        <f>'Utility Analysis October 2026'!D19</f>
        <v>4500</v>
      </c>
      <c r="C16" s="743">
        <f>'Utility Analysis October 2026'!G19</f>
        <v>0</v>
      </c>
      <c r="D16" s="744">
        <f>'Utility Analysis October 2026'!E19</f>
        <v>1567.4</v>
      </c>
      <c r="E16" s="745">
        <f t="shared" si="0"/>
        <v>6067.4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2914</v>
      </c>
      <c r="C17" s="743">
        <f>'Utility Analysis October 2026'!G20</f>
        <v>0</v>
      </c>
      <c r="D17" s="744">
        <f>'Utility Analysis October 2026'!E20</f>
        <v>1119.5</v>
      </c>
      <c r="E17" s="745">
        <f t="shared" si="0"/>
        <v>4033.5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1">
        <f>'Utility Analysis October 2026'!D21</f>
        <v>8829</v>
      </c>
      <c r="C18" s="762">
        <f>'Utility Analysis October 2026'!G21</f>
        <v>0</v>
      </c>
      <c r="D18" s="763">
        <v>1281.3</v>
      </c>
      <c r="E18" s="764">
        <f t="shared" si="0"/>
        <v>10110.299999999999</v>
      </c>
      <c r="F18" s="765">
        <f>'PROD.FIG. '!H16</f>
        <v>237.13800000000001</v>
      </c>
      <c r="G18" s="456">
        <f t="shared" si="1"/>
        <v>42.634668420919461</v>
      </c>
      <c r="J18" s="30"/>
    </row>
    <row r="19" spans="1:10" x14ac:dyDescent="0.2">
      <c r="A19" s="756">
        <v>13</v>
      </c>
      <c r="B19" s="761">
        <f>'Utility Analysis October 2026'!D22</f>
        <v>5822</v>
      </c>
      <c r="C19" s="762">
        <f>'Utility Analysis October 2026'!G22</f>
        <v>0</v>
      </c>
      <c r="D19" s="763">
        <v>1345.4</v>
      </c>
      <c r="E19" s="764">
        <f t="shared" si="0"/>
        <v>7167.4</v>
      </c>
      <c r="F19" s="765">
        <f>'PROD.FIG. '!H17</f>
        <v>568.85400000000004</v>
      </c>
      <c r="G19" s="456">
        <f t="shared" si="1"/>
        <v>12.599718029582281</v>
      </c>
      <c r="J19" s="30"/>
    </row>
    <row r="20" spans="1:10" x14ac:dyDescent="0.2">
      <c r="A20" s="686">
        <v>14</v>
      </c>
      <c r="B20" s="742">
        <f>'Utility Analysis October 2026'!D23</f>
        <v>6651</v>
      </c>
      <c r="C20" s="743">
        <f>'Utility Analysis October 2026'!G23</f>
        <v>0</v>
      </c>
      <c r="D20" s="744">
        <v>1035.0999999999999</v>
      </c>
      <c r="E20" s="745">
        <f t="shared" si="0"/>
        <v>7686.1</v>
      </c>
      <c r="F20" s="746">
        <f>'PROD.FIG. '!H18</f>
        <v>509.38800000000003</v>
      </c>
      <c r="G20" s="336">
        <f t="shared" si="1"/>
        <v>15.088890982904976</v>
      </c>
      <c r="J20" s="30"/>
    </row>
    <row r="21" spans="1:10" x14ac:dyDescent="0.2">
      <c r="A21" s="686">
        <v>15</v>
      </c>
      <c r="B21" s="742">
        <f>'Utility Analysis October 2026'!D24</f>
        <v>8256</v>
      </c>
      <c r="C21" s="743">
        <f>'Utility Analysis October 2026'!G24</f>
        <v>0</v>
      </c>
      <c r="D21" s="744">
        <f>'Utility Analysis October 2026'!E24</f>
        <v>1537.6</v>
      </c>
      <c r="E21" s="745">
        <f t="shared" si="0"/>
        <v>9793.6</v>
      </c>
      <c r="F21" s="746">
        <f>'PROD.FIG. '!H19</f>
        <v>478.17</v>
      </c>
      <c r="G21" s="336">
        <f t="shared" si="1"/>
        <v>20.481418742288309</v>
      </c>
      <c r="J21" s="30"/>
    </row>
    <row r="22" spans="1:10" x14ac:dyDescent="0.2">
      <c r="A22" s="686">
        <v>16</v>
      </c>
      <c r="B22" s="742">
        <f>'Utility Analysis October 2026'!D25</f>
        <v>7352</v>
      </c>
      <c r="C22" s="743">
        <f>'Utility Analysis October 2026'!G25</f>
        <v>0</v>
      </c>
      <c r="D22" s="744">
        <f>'Utility Analysis October 2026'!E25</f>
        <v>1297.5</v>
      </c>
      <c r="E22" s="745">
        <f t="shared" si="0"/>
        <v>8649.5</v>
      </c>
      <c r="F22" s="746">
        <f>'PROD.FIG. '!H20</f>
        <v>234.102</v>
      </c>
      <c r="G22" s="336">
        <f t="shared" si="1"/>
        <v>36.947569862709415</v>
      </c>
      <c r="J22" s="30"/>
    </row>
    <row r="23" spans="1:10" x14ac:dyDescent="0.2">
      <c r="A23" s="686">
        <v>17</v>
      </c>
      <c r="B23" s="742">
        <f>'Utility Analysis October 2026'!D26</f>
        <v>3261</v>
      </c>
      <c r="C23" s="743">
        <f>'Utility Analysis October 2026'!G26</f>
        <v>0</v>
      </c>
      <c r="D23" s="744">
        <f>'Utility Analysis October 2026'!E26</f>
        <v>1494.7</v>
      </c>
      <c r="E23" s="745">
        <f t="shared" si="0"/>
        <v>4755.7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2453</v>
      </c>
      <c r="C24" s="743">
        <f>'Utility Analysis October 2026'!G27</f>
        <v>0</v>
      </c>
      <c r="D24" s="744">
        <f>'Utility Analysis October 2026'!E27</f>
        <v>1350.7</v>
      </c>
      <c r="E24" s="745">
        <f t="shared" si="0"/>
        <v>3803.7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1">
        <f>'Utility Analysis October 2026'!D28</f>
        <v>3097</v>
      </c>
      <c r="C25" s="762">
        <f>'Utility Analysis October 2026'!G28</f>
        <v>0</v>
      </c>
      <c r="D25" s="763">
        <f>'Utility Analysis October 2026'!E28</f>
        <v>1348.2</v>
      </c>
      <c r="E25" s="764">
        <f t="shared" si="0"/>
        <v>4445.2</v>
      </c>
      <c r="F25" s="765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1">
        <f>'Utility Analysis October 2026'!D29</f>
        <v>7790</v>
      </c>
      <c r="C26" s="762">
        <f>'Utility Analysis October 2026'!G29</f>
        <v>0</v>
      </c>
      <c r="D26" s="763">
        <f>'Utility Analysis October 2026'!E29</f>
        <v>1486.3</v>
      </c>
      <c r="E26" s="764">
        <f t="shared" si="0"/>
        <v>9276.2999999999993</v>
      </c>
      <c r="F26" s="765">
        <f>'PROD.FIG. '!H24</f>
        <v>465.82800000000003</v>
      </c>
      <c r="G26" s="456">
        <f t="shared" si="1"/>
        <v>19.913573250212522</v>
      </c>
      <c r="J26" s="30"/>
    </row>
    <row r="27" spans="1:10" x14ac:dyDescent="0.2">
      <c r="A27" s="686">
        <v>21</v>
      </c>
      <c r="B27" s="742">
        <f>'Utility Analysis October 2026'!D30</f>
        <v>7481</v>
      </c>
      <c r="C27" s="743">
        <f>'Utility Analysis October 2026'!G30</f>
        <v>0</v>
      </c>
      <c r="D27" s="744">
        <f>'Utility Analysis October 2026'!E30</f>
        <v>1494.6</v>
      </c>
      <c r="E27" s="745">
        <f t="shared" si="0"/>
        <v>8975.6</v>
      </c>
      <c r="F27" s="746">
        <f>'PROD.FIG. '!H25</f>
        <v>651.22199999999998</v>
      </c>
      <c r="G27" s="336">
        <f t="shared" si="1"/>
        <v>13.782703901280977</v>
      </c>
      <c r="J27" s="30"/>
    </row>
    <row r="28" spans="1:10" x14ac:dyDescent="0.2">
      <c r="A28" s="686">
        <v>22</v>
      </c>
      <c r="B28" s="742">
        <f>'Utility Analysis October 2026'!D31</f>
        <v>7284</v>
      </c>
      <c r="C28" s="743">
        <f>'Utility Analysis October 2026'!G31</f>
        <v>0</v>
      </c>
      <c r="D28" s="744">
        <f>'Utility Analysis October 2026'!E31</f>
        <v>1414.7</v>
      </c>
      <c r="E28" s="745">
        <f t="shared" si="0"/>
        <v>8698.7000000000007</v>
      </c>
      <c r="F28" s="746">
        <f>'PROD.FIG. '!H26</f>
        <v>261.03000000000003</v>
      </c>
      <c r="G28" s="336">
        <f t="shared" si="1"/>
        <v>33.324522085584029</v>
      </c>
      <c r="J28" s="30"/>
    </row>
    <row r="29" spans="1:10" x14ac:dyDescent="0.2">
      <c r="A29" s="686">
        <v>23</v>
      </c>
      <c r="B29" s="742">
        <f>'Utility Analysis October 2026'!D32</f>
        <v>7265</v>
      </c>
      <c r="C29" s="743">
        <f>'Utility Analysis October 2026'!G32</f>
        <v>0</v>
      </c>
      <c r="D29" s="744">
        <f>'Utility Analysis October 2026'!E32</f>
        <v>1429.6</v>
      </c>
      <c r="E29" s="745">
        <f t="shared" si="0"/>
        <v>8694.6</v>
      </c>
      <c r="F29" s="746">
        <f>'PROD.FIG. '!H27</f>
        <v>416.87400000000002</v>
      </c>
      <c r="G29" s="336">
        <f t="shared" si="1"/>
        <v>20.856661725125576</v>
      </c>
      <c r="J29" s="30"/>
    </row>
    <row r="30" spans="1:10" x14ac:dyDescent="0.2">
      <c r="A30" s="686">
        <v>24</v>
      </c>
      <c r="B30" s="742">
        <f>'Utility Analysis October 2026'!D33</f>
        <v>0</v>
      </c>
      <c r="C30" s="743" t="str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1">
        <f>'Utility Analysis October 2026'!D35</f>
        <v>0</v>
      </c>
      <c r="C32" s="762">
        <f>'Utility Analysis October 2026'!G35</f>
        <v>0</v>
      </c>
      <c r="D32" s="763">
        <f>'Utility Analysis October 2026'!E35</f>
        <v>0</v>
      </c>
      <c r="E32" s="764">
        <f t="shared" si="0"/>
        <v>0</v>
      </c>
      <c r="F32" s="765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1">
        <f>'Utility Analysis October 2026'!D36</f>
        <v>0</v>
      </c>
      <c r="C33" s="762">
        <f>'Utility Analysis October 2026'!G36</f>
        <v>0</v>
      </c>
      <c r="D33" s="763">
        <f>'Utility Analysis October 2026'!E36</f>
        <v>0</v>
      </c>
      <c r="E33" s="764">
        <f t="shared" si="0"/>
        <v>0</v>
      </c>
      <c r="F33" s="765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137781</v>
      </c>
      <c r="C38" s="308">
        <f>SUM(C7:C37)</f>
        <v>0</v>
      </c>
      <c r="D38" s="308">
        <f>SUM(D7:D37)</f>
        <v>30027.899999999994</v>
      </c>
      <c r="E38" s="337">
        <f>SUM(E7:E37)</f>
        <v>167808.9</v>
      </c>
      <c r="F38" s="358">
        <f>SUM(F7:F37)</f>
        <v>6233.5307999999995</v>
      </c>
      <c r="G38" s="338">
        <f>IF(F38=0,"0",(E38/F38))</f>
        <v>26.920361089737458</v>
      </c>
      <c r="H38" s="335">
        <v>22</v>
      </c>
      <c r="I38" s="340">
        <f>G38/H38*100</f>
        <v>122.36527768062481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9" t="s">
        <v>302</v>
      </c>
      <c r="B1" s="961"/>
      <c r="C1" s="961"/>
      <c r="D1" s="961"/>
      <c r="E1" s="961"/>
      <c r="F1" s="961"/>
      <c r="G1" s="961"/>
      <c r="H1" s="961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66"/>
      <c r="F6" s="688"/>
      <c r="G6" s="686"/>
      <c r="H6" s="689">
        <v>283.536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5" t="s">
        <v>91</v>
      </c>
      <c r="B9" s="756">
        <v>5</v>
      </c>
      <c r="C9" s="806"/>
      <c r="D9" s="807"/>
      <c r="E9" s="756"/>
      <c r="F9" s="756"/>
      <c r="G9" s="756"/>
      <c r="H9" s="808">
        <v>326.50200000000001</v>
      </c>
      <c r="I9" s="298"/>
      <c r="J9" s="299"/>
    </row>
    <row r="10" spans="1:10" x14ac:dyDescent="0.2">
      <c r="A10" s="805" t="s">
        <v>92</v>
      </c>
      <c r="B10" s="756">
        <v>6</v>
      </c>
      <c r="C10" s="806"/>
      <c r="D10" s="807"/>
      <c r="E10" s="756"/>
      <c r="F10" s="756"/>
      <c r="G10" s="756"/>
      <c r="H10" s="808">
        <v>357.19200000000001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>
        <v>406.428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>
        <v>361.21800000000002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>
        <v>308.48400000000004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5" t="s">
        <v>91</v>
      </c>
      <c r="B16" s="756">
        <v>12</v>
      </c>
      <c r="C16" s="806"/>
      <c r="D16" s="807"/>
      <c r="E16" s="809"/>
      <c r="F16" s="756"/>
      <c r="G16" s="756"/>
      <c r="H16" s="808">
        <v>237.13800000000001</v>
      </c>
      <c r="I16" s="298"/>
      <c r="J16" s="299"/>
    </row>
    <row r="17" spans="1:13" x14ac:dyDescent="0.2">
      <c r="A17" s="805" t="s">
        <v>92</v>
      </c>
      <c r="B17" s="756">
        <v>13</v>
      </c>
      <c r="C17" s="806"/>
      <c r="D17" s="807"/>
      <c r="E17" s="756"/>
      <c r="F17" s="756"/>
      <c r="G17" s="756"/>
      <c r="H17" s="808">
        <v>568.85400000000004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>
        <v>509.38800000000003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>
        <v>478.17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>
        <v>234.102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5" t="s">
        <v>91</v>
      </c>
      <c r="B23" s="756">
        <v>19</v>
      </c>
      <c r="C23" s="806"/>
      <c r="D23" s="807"/>
      <c r="E23" s="756"/>
      <c r="F23" s="756"/>
      <c r="G23" s="756"/>
      <c r="H23" s="808" t="str">
        <v>0</v>
      </c>
      <c r="I23" s="298"/>
      <c r="J23" s="299"/>
    </row>
    <row r="24" spans="1:13" x14ac:dyDescent="0.2">
      <c r="A24" s="805" t="s">
        <v>92</v>
      </c>
      <c r="B24" s="756">
        <v>20</v>
      </c>
      <c r="C24" s="806"/>
      <c r="D24" s="807"/>
      <c r="E24" s="756"/>
      <c r="F24" s="756"/>
      <c r="G24" s="756"/>
      <c r="H24" s="808">
        <v>465.82800000000003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>
        <v>651.22199999999998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>
        <v>261.03000000000003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>
        <v>416.87400000000002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5" t="s">
        <v>91</v>
      </c>
      <c r="B30" s="756">
        <v>26</v>
      </c>
      <c r="C30" s="806"/>
      <c r="D30" s="807"/>
      <c r="E30" s="756"/>
      <c r="F30" s="756"/>
      <c r="G30" s="756"/>
      <c r="H30" s="808" t="str">
        <v>0</v>
      </c>
      <c r="I30" s="298"/>
      <c r="J30" s="299"/>
    </row>
    <row r="31" spans="1:13" x14ac:dyDescent="0.2">
      <c r="A31" s="805" t="s">
        <v>92</v>
      </c>
      <c r="B31" s="756">
        <v>27</v>
      </c>
      <c r="C31" s="806"/>
      <c r="D31" s="807"/>
      <c r="E31" s="756"/>
      <c r="F31" s="756"/>
      <c r="G31" s="756"/>
      <c r="H31" s="808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6233.5307999999995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1012" t="s">
        <v>267</v>
      </c>
      <c r="J3" s="1013"/>
      <c r="K3" s="1014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15" t="s">
        <v>262</v>
      </c>
      <c r="J4" s="1016"/>
      <c r="K4" s="1017"/>
      <c r="M4" s="417"/>
      <c r="N4" s="417"/>
      <c r="O4" s="418"/>
      <c r="P4" s="418"/>
      <c r="Q4" s="1027" t="s">
        <v>283</v>
      </c>
      <c r="R4" s="1027"/>
      <c r="S4" s="1027"/>
      <c r="T4" s="1027"/>
      <c r="U4" s="191"/>
      <c r="V4" s="417"/>
      <c r="W4" s="191"/>
      <c r="X4" s="191"/>
    </row>
    <row r="5" spans="1:24" ht="15.75" customHeight="1" thickBot="1" x14ac:dyDescent="0.25">
      <c r="A5" s="948" t="s">
        <v>7</v>
      </c>
      <c r="B5" s="950" t="s">
        <v>251</v>
      </c>
      <c r="C5" s="950" t="s">
        <v>282</v>
      </c>
      <c r="D5" s="1006" t="s">
        <v>279</v>
      </c>
      <c r="E5" s="1006" t="s">
        <v>280</v>
      </c>
      <c r="F5" s="1004" t="s">
        <v>243</v>
      </c>
      <c r="G5" s="1001" t="s">
        <v>249</v>
      </c>
      <c r="I5" s="419" t="s">
        <v>263</v>
      </c>
      <c r="J5" s="420" t="s">
        <v>264</v>
      </c>
      <c r="K5" s="421" t="s">
        <v>265</v>
      </c>
      <c r="M5" s="1018" t="s">
        <v>266</v>
      </c>
      <c r="N5" s="1019"/>
      <c r="O5" s="1020"/>
      <c r="P5" s="422"/>
      <c r="Q5" s="1021" t="s">
        <v>7</v>
      </c>
      <c r="R5" s="1023" t="s">
        <v>267</v>
      </c>
      <c r="S5" s="1024"/>
      <c r="T5" s="452" t="s">
        <v>268</v>
      </c>
      <c r="U5" s="423" t="s">
        <v>269</v>
      </c>
      <c r="V5" s="1025" t="s">
        <v>277</v>
      </c>
      <c r="W5" s="1008" t="s">
        <v>270</v>
      </c>
      <c r="X5" s="1010" t="s">
        <v>271</v>
      </c>
    </row>
    <row r="6" spans="1:24" ht="28.5" customHeight="1" thickBot="1" x14ac:dyDescent="0.25">
      <c r="A6" s="1000"/>
      <c r="B6" s="1003"/>
      <c r="C6" s="1003"/>
      <c r="D6" s="1007"/>
      <c r="E6" s="1007"/>
      <c r="F6" s="1005"/>
      <c r="G6" s="1002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22"/>
      <c r="R6" s="448" t="s">
        <v>274</v>
      </c>
      <c r="S6" s="449" t="s">
        <v>275</v>
      </c>
      <c r="T6" s="453" t="s">
        <v>275</v>
      </c>
      <c r="U6" s="429" t="s">
        <v>275</v>
      </c>
      <c r="V6" s="1026"/>
      <c r="W6" s="1009"/>
      <c r="X6" s="1011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3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1200</v>
      </c>
      <c r="F8" s="717">
        <v>283.536</v>
      </c>
      <c r="G8" s="336">
        <f t="shared" ref="G8:G37" si="1">IF(F8=0,"0",(E8/F8))</f>
        <v>4.232266802099204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67">
        <v>5</v>
      </c>
      <c r="B11" s="768">
        <f>IF('Entries October 2026'!N11-'Entries October 2026'!N10&lt;1,"0",'Entries October 2026'!N11-'Entries October 2026'!N10)</f>
        <v>178.82000000000698</v>
      </c>
      <c r="C11" s="768">
        <f>IF('Entries October 2026'!L11-'Entries October 2026'!L10&lt;1,"0",'Entries October 2026'!L11-'Entries October 2026'!L10)</f>
        <v>407.7899999999936</v>
      </c>
      <c r="D11" s="768">
        <f>IF('Entries October 2026'!M11-'Entries October 2026'!M10&lt;1,"0",'Entries October 2026'!M11-'Entries October 2026'!M10)</f>
        <v>1583.3100000000559</v>
      </c>
      <c r="E11" s="768">
        <v>1600</v>
      </c>
      <c r="F11" s="769">
        <v>326.50200000000001</v>
      </c>
      <c r="G11" s="336">
        <f t="shared" si="1"/>
        <v>4.9004294001261863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67">
        <v>6</v>
      </c>
      <c r="B12" s="768">
        <f>IF('Entries October 2026'!N12-'Entries October 2026'!N11&lt;1,"0",'Entries October 2026'!N12-'Entries October 2026'!N11)</f>
        <v>201.50999999999476</v>
      </c>
      <c r="C12" s="768">
        <f>IF('Entries October 2026'!L12-'Entries October 2026'!L11&lt;1,"0",'Entries October 2026'!L12-'Entries October 2026'!L11)</f>
        <v>467.24000000000524</v>
      </c>
      <c r="D12" s="768">
        <f>IF('Entries October 2026'!M12-'Entries October 2026'!M11&lt;1,"0",'Entries October 2026'!M12-'Entries October 2026'!M11)</f>
        <v>1503.5599999999395</v>
      </c>
      <c r="E12" s="768">
        <v>1500</v>
      </c>
      <c r="F12" s="769">
        <v>357.19200000000001</v>
      </c>
      <c r="G12" s="336">
        <f>IF(F12=0,"0",(E12/F12))</f>
        <v>4.199422159510851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>
        <f>IF('Entries October 2026'!N13-'Entries October 2026'!N12&lt;1,"0",'Entries October 2026'!N13-'Entries October 2026'!N12)</f>
        <v>220.41000000000349</v>
      </c>
      <c r="C13" s="716">
        <f>IF('Entries October 2026'!L13-'Entries October 2026'!L12&lt;1,"0",'Entries October 2026'!L13-'Entries October 2026'!L12)</f>
        <v>304.72000000000116</v>
      </c>
      <c r="D13" s="716">
        <f>IF('Entries October 2026'!M13-'Entries October 2026'!M12&lt;1,"0",'Entries October 2026'!M13-'Entries October 2026'!M12)</f>
        <v>1416.1900000000605</v>
      </c>
      <c r="E13" s="716">
        <v>1400</v>
      </c>
      <c r="F13" s="717">
        <v>406.428</v>
      </c>
      <c r="G13" s="336">
        <f t="shared" si="1"/>
        <v>3.4446445618904211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>
        <f>IF('Entries October 2026'!N14-'Entries October 2026'!N13&lt;1,"0",'Entries October 2026'!N14-'Entries October 2026'!N13)</f>
        <v>223.17999999999302</v>
      </c>
      <c r="C14" s="716">
        <f>IF('Entries October 2026'!L14-'Entries October 2026'!L13&lt;1,"0",'Entries October 2026'!L14-'Entries October 2026'!L13)</f>
        <v>777.58000000000175</v>
      </c>
      <c r="D14" s="716">
        <f>IF('Entries October 2026'!M14-'Entries October 2026'!M13&lt;1,"0",'Entries October 2026'!M14-'Entries October 2026'!M13)</f>
        <v>1771.5</v>
      </c>
      <c r="E14" s="716">
        <v>3000</v>
      </c>
      <c r="F14" s="717">
        <v>361.21800000000002</v>
      </c>
      <c r="G14" s="336">
        <f t="shared" si="1"/>
        <v>8.3052339584406081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>
        <f>IF('Entries October 2026'!N15-'Entries October 2026'!N14&lt;1,"0",'Entries October 2026'!N15-'Entries October 2026'!N14)</f>
        <v>180.90000000000873</v>
      </c>
      <c r="C15" s="716">
        <f>IF('Entries October 2026'!L15-'Entries October 2026'!L14&lt;1,"0",'Entries October 2026'!L15-'Entries October 2026'!L14)</f>
        <v>439.67999999999302</v>
      </c>
      <c r="D15" s="716">
        <f>IF('Entries October 2026'!M15-'Entries October 2026'!M14&lt;1,"0",'Entries October 2026'!M15-'Entries October 2026'!M14)</f>
        <v>1532</v>
      </c>
      <c r="E15" s="716">
        <v>1700</v>
      </c>
      <c r="F15" s="717">
        <v>308.48400000000004</v>
      </c>
      <c r="G15" s="336">
        <f t="shared" si="1"/>
        <v>5.5108206584458186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>
        <f>IF('Entries October 2026'!N16-'Entries October 2026'!N15&lt;1,"0",'Entries October 2026'!N16-'Entries October 2026'!N15)</f>
        <v>5.0899999999965075</v>
      </c>
      <c r="C16" s="716">
        <f>IF('Entries October 2026'!L16-'Entries October 2026'!L15&lt;1,"0",'Entries October 2026'!L16-'Entries October 2026'!L15)</f>
        <v>327.55000000000291</v>
      </c>
      <c r="D16" s="716">
        <f>IF('Entries October 2026'!M16-'Entries October 2026'!M15&lt;1,"0",'Entries October 2026'!M16-'Entries October 2026'!M15)</f>
        <v>360.76999999990221</v>
      </c>
      <c r="E16" s="716">
        <v>800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67">
        <v>12</v>
      </c>
      <c r="B18" s="768">
        <f>IF('Entries October 2026'!N18-'Entries October 2026'!N17&lt;1,"0",'Entries October 2026'!N18-'Entries October 2026'!N17)</f>
        <v>244.5399999999936</v>
      </c>
      <c r="C18" s="768">
        <f>IF('Entries October 2026'!L18-'Entries October 2026'!L17&lt;1,"0",'Entries October 2026'!L18-'Entries October 2026'!L17)</f>
        <v>591.47999999999593</v>
      </c>
      <c r="D18" s="768">
        <f>IF('Entries October 2026'!M18-'Entries October 2026'!M17&lt;1,"0",'Entries October 2026'!M18-'Entries October 2026'!M17)</f>
        <v>1256.1700000000419</v>
      </c>
      <c r="E18" s="768">
        <v>1500</v>
      </c>
      <c r="F18" s="769">
        <v>237.13800000000001</v>
      </c>
      <c r="G18" s="336">
        <f t="shared" si="1"/>
        <v>6.3254307618348804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67">
        <v>13</v>
      </c>
      <c r="B19" s="768">
        <f>IF('Entries October 2026'!N19-'Entries October 2026'!N18&lt;1,"0",'Entries October 2026'!N19-'Entries October 2026'!N18)</f>
        <v>285.63000000000466</v>
      </c>
      <c r="C19" s="768">
        <f>IF('Entries October 2026'!L19-'Entries October 2026'!L18&lt;1,"0",'Entries October 2026'!L19-'Entries October 2026'!L18)</f>
        <v>282.16000000000349</v>
      </c>
      <c r="D19" s="768">
        <f>IF('Entries October 2026'!M19-'Entries October 2026'!M18&lt;1,"0",'Entries October 2026'!M19-'Entries October 2026'!M18)</f>
        <v>2027.25</v>
      </c>
      <c r="E19" s="768">
        <v>2100</v>
      </c>
      <c r="F19" s="769">
        <v>568.85400000000004</v>
      </c>
      <c r="G19" s="336">
        <f t="shared" si="1"/>
        <v>3.6916326509086685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>
        <f>IF('Entries October 2026'!N20-'Entries October 2026'!N19&lt;1,"0",'Entries October 2026'!N20-'Entries October 2026'!N19)</f>
        <v>282</v>
      </c>
      <c r="C20" s="716">
        <f>IF('Entries October 2026'!L20-'Entries October 2026'!L19&lt;1,"0",'Entries October 2026'!L20-'Entries October 2026'!L19)</f>
        <v>616.39999999999418</v>
      </c>
      <c r="D20" s="716">
        <f>IF('Entries October 2026'!M20-'Entries October 2026'!M19&lt;1,"0",'Entries October 2026'!M20-'Entries October 2026'!M19)</f>
        <v>2039</v>
      </c>
      <c r="E20" s="716">
        <v>2100</v>
      </c>
      <c r="F20" s="717">
        <v>509.38800000000003</v>
      </c>
      <c r="G20" s="336">
        <f t="shared" si="1"/>
        <v>4.122594171829725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>
        <f>IF('Entries October 2026'!N21-'Entries October 2026'!N20&lt;1,"0",'Entries October 2026'!N21-'Entries October 2026'!N20)</f>
        <v>307.57000000000698</v>
      </c>
      <c r="C21" s="716">
        <f>IF('Entries October 2026'!L21-'Entries October 2026'!L20&lt;1,"0",'Entries October 2026'!L21-'Entries October 2026'!L20)</f>
        <v>1007.070000000007</v>
      </c>
      <c r="D21" s="716">
        <f>IF('Entries October 2026'!M21-'Entries October 2026'!M20&lt;1,"0",'Entries October 2026'!M21-'Entries October 2026'!M20)</f>
        <v>2943.2299999999814</v>
      </c>
      <c r="E21" s="716">
        <v>3600</v>
      </c>
      <c r="F21" s="717">
        <v>478.17</v>
      </c>
      <c r="G21" s="336">
        <f t="shared" si="1"/>
        <v>7.5287031808770939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>
        <f>IF('Entries October 2026'!N22-'Entries October 2026'!N21&lt;1,"0",'Entries October 2026'!N22-'Entries October 2026'!N21)</f>
        <v>130.47999999999593</v>
      </c>
      <c r="C22" s="716">
        <f>IF('Entries October 2026'!L22-'Entries October 2026'!L21&lt;1,"0",'Entries October 2026'!L22-'Entries October 2026'!L21)</f>
        <v>245.83000000000175</v>
      </c>
      <c r="D22" s="716">
        <f>IF('Entries October 2026'!M22-'Entries October 2026'!M21&lt;1,"0",'Entries October 2026'!M22-'Entries October 2026'!M21)</f>
        <v>1101.6500000000233</v>
      </c>
      <c r="E22" s="716">
        <v>1900</v>
      </c>
      <c r="F22" s="717">
        <v>234.102</v>
      </c>
      <c r="G22" s="336">
        <f t="shared" si="1"/>
        <v>8.1161203236196187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67">
        <v>19</v>
      </c>
      <c r="B25" s="768" t="str">
        <f>IF('Entries October 2026'!N25-'Entries October 2026'!N24&lt;1,"0",'Entries October 2026'!N25-'Entries October 2026'!N24)</f>
        <v>0</v>
      </c>
      <c r="C25" s="768" t="str">
        <f>IF('Entries October 2026'!L25-'Entries October 2026'!L24&lt;1,"0",'Entries October 2026'!L25-'Entries October 2026'!L24)</f>
        <v>0</v>
      </c>
      <c r="D25" s="768" t="str">
        <f>IF('Entries October 2026'!M25-'Entries October 2026'!M24&lt;1,"0",'Entries October 2026'!M25-'Entries October 2026'!M24)</f>
        <v>0</v>
      </c>
      <c r="E25" s="768">
        <v>0</v>
      </c>
      <c r="F25" s="769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67">
        <v>20</v>
      </c>
      <c r="B26" s="768">
        <f>IF('Entries October 2026'!N26-'Entries October 2026'!N25&lt;1,"0",'Entries October 2026'!N26-'Entries October 2026'!N25)</f>
        <v>305.16000000000349</v>
      </c>
      <c r="C26" s="768">
        <f>IF('Entries October 2026'!L26-'Entries October 2026'!L25&lt;1,"0",'Entries October 2026'!L26-'Entries October 2026'!L25)</f>
        <v>977.27999999999884</v>
      </c>
      <c r="D26" s="768">
        <f>IF('Entries October 2026'!M26-'Entries October 2026'!M25&lt;1,"0",'Entries October 2026'!M26-'Entries October 2026'!M25)</f>
        <v>2224.3099999999395</v>
      </c>
      <c r="E26" s="768">
        <v>2300</v>
      </c>
      <c r="F26" s="769">
        <v>465.82800000000003</v>
      </c>
      <c r="G26" s="336">
        <f t="shared" si="1"/>
        <v>4.9374447220862629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>
        <f>IF('Entries October 2026'!N27-'Entries October 2026'!N26&lt;1,"0",'Entries October 2026'!N27-'Entries October 2026'!N26)</f>
        <v>354.58999999999651</v>
      </c>
      <c r="C27" s="716">
        <f>IF('Entries October 2026'!L27-'Entries October 2026'!L26&lt;1,"0",'Entries October 2026'!L27-'Entries October 2026'!L26)</f>
        <v>408.61999999999534</v>
      </c>
      <c r="D27" s="716">
        <f>IF('Entries October 2026'!M27-'Entries October 2026'!M26&lt;1,"0",'Entries October 2026'!M27-'Entries October 2026'!M26)</f>
        <v>2463.6900000000605</v>
      </c>
      <c r="E27" s="716">
        <v>2200</v>
      </c>
      <c r="F27" s="717">
        <v>651.22199999999998</v>
      </c>
      <c r="G27" s="336">
        <f t="shared" si="1"/>
        <v>3.3782642478294651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>
        <f>IF('Entries October 2026'!N28-'Entries October 2026'!N27&lt;1,"0",'Entries October 2026'!N28-'Entries October 2026'!N27)</f>
        <v>172.94999999999709</v>
      </c>
      <c r="C28" s="716">
        <f>IF('Entries October 2026'!L28-'Entries October 2026'!L27&lt;1,"0",'Entries October 2026'!L28-'Entries October 2026'!L27)</f>
        <v>352.2100000000064</v>
      </c>
      <c r="D28" s="716">
        <f>IF('Entries October 2026'!M28-'Entries October 2026'!M27&lt;1,"0",'Entries October 2026'!M28-'Entries October 2026'!M27)</f>
        <v>1195.2399999999907</v>
      </c>
      <c r="E28" s="716">
        <v>1000</v>
      </c>
      <c r="F28" s="717">
        <v>261.03000000000003</v>
      </c>
      <c r="G28" s="336">
        <f t="shared" si="1"/>
        <v>3.8309772823047155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>
        <f>IF('Entries October 2026'!N29-'Entries October 2026'!N28&lt;1,"0",'Entries October 2026'!N29-'Entries October 2026'!N28)</f>
        <v>245.7899999999936</v>
      </c>
      <c r="C29" s="716">
        <f>IF('Entries October 2026'!L29-'Entries October 2026'!L28&lt;1,"0",'Entries October 2026'!L29-'Entries October 2026'!L28)</f>
        <v>648.3799999999901</v>
      </c>
      <c r="D29" s="716">
        <f>IF('Entries October 2026'!M29-'Entries October 2026'!M28&lt;1,"0",'Entries October 2026'!M29-'Entries October 2026'!M28)</f>
        <v>1931.0699999999488</v>
      </c>
      <c r="E29" s="716">
        <v>2000</v>
      </c>
      <c r="F29" s="717">
        <v>416.87400000000002</v>
      </c>
      <c r="G29" s="336">
        <f t="shared" si="1"/>
        <v>4.7976127079165405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67">
        <v>26</v>
      </c>
      <c r="B32" s="768" t="str">
        <f>IF('Entries October 2026'!N32-'Entries October 2026'!N31&lt;1,"0",'Entries October 2026'!N32-'Entries October 2026'!N31)</f>
        <v>0</v>
      </c>
      <c r="C32" s="768" t="str">
        <f>IF('Entries October 2026'!L32-'Entries October 2026'!L31&lt;1,"0",'Entries October 2026'!L32-'Entries October 2026'!L31)</f>
        <v>0</v>
      </c>
      <c r="D32" s="768" t="str">
        <f>IF('Entries October 2026'!M32-'Entries October 2026'!M31&lt;1,"0",'Entries October 2026'!M32-'Entries October 2026'!M31)</f>
        <v>0</v>
      </c>
      <c r="E32" s="768">
        <v>0</v>
      </c>
      <c r="F32" s="769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67">
        <v>27</v>
      </c>
      <c r="B33" s="768" t="str">
        <f>IF('Entries October 2026'!N33-'Entries October 2026'!N32&lt;1,"0",'Entries October 2026'!N33-'Entries October 2026'!N32)</f>
        <v>0</v>
      </c>
      <c r="C33" s="768" t="str">
        <f>IF('Entries October 2026'!L33-'Entries October 2026'!L32&lt;1,"0",'Entries October 2026'!L33-'Entries October 2026'!L32)</f>
        <v>0</v>
      </c>
      <c r="D33" s="768" t="str">
        <f>IF('Entries October 2026'!M33-'Entries October 2026'!M32&lt;1,"0",'Entries October 2026'!M33-'Entries October 2026'!M32)</f>
        <v>0</v>
      </c>
      <c r="E33" s="768">
        <v>0</v>
      </c>
      <c r="F33" s="769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3679.0599999999977</v>
      </c>
      <c r="C38" s="713">
        <f>SUM(C7:C37)</f>
        <v>8893.5299999999988</v>
      </c>
      <c r="D38" s="713">
        <f>SUM(D7:D37)</f>
        <v>28070.039999999921</v>
      </c>
      <c r="E38" s="713">
        <f>SUM(E7:E37)</f>
        <v>31500</v>
      </c>
      <c r="F38" s="714">
        <f>SUM(F7:F37)</f>
        <v>6233.5307999999995</v>
      </c>
      <c r="G38" s="345">
        <f>IF(F38=0,"0",(E38/F38))</f>
        <v>5.0533158511064071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W5:W6"/>
    <mergeCell ref="X5:X6"/>
    <mergeCell ref="I3:K3"/>
    <mergeCell ref="I4:K4"/>
    <mergeCell ref="M5:O5"/>
    <mergeCell ref="Q5:Q6"/>
    <mergeCell ref="R5:S5"/>
    <mergeCell ref="V5:V6"/>
    <mergeCell ref="Q4:T4"/>
    <mergeCell ref="A5:A6"/>
    <mergeCell ref="G5:G6"/>
    <mergeCell ref="B5:B6"/>
    <mergeCell ref="F5:F6"/>
    <mergeCell ref="D5:D6"/>
    <mergeCell ref="E5:E6"/>
    <mergeCell ref="C5:C6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900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900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5412</v>
      </c>
      <c r="H8" s="100">
        <f>'Daily KPIs'!H8</f>
        <v>6158</v>
      </c>
      <c r="I8" s="100">
        <f>'Daily KPIs'!I8</f>
        <v>5473</v>
      </c>
      <c r="J8" s="99">
        <f>'Daily KPIs'!J8</f>
        <v>4674</v>
      </c>
      <c r="K8" s="99">
        <f>'Daily KPIs'!K8</f>
        <v>0</v>
      </c>
      <c r="L8" s="99">
        <f>'Daily KPIs'!L8</f>
        <v>0</v>
      </c>
      <c r="M8" s="99">
        <f>'Daily KPIs'!M8</f>
        <v>3593</v>
      </c>
      <c r="N8" s="99">
        <f>'Daily KPIs'!N8</f>
        <v>8619</v>
      </c>
      <c r="O8" s="99">
        <f>'Daily KPIs'!O8</f>
        <v>7718</v>
      </c>
      <c r="P8" s="99">
        <f>'Daily KPIs'!P8</f>
        <v>7245</v>
      </c>
      <c r="Q8" s="100">
        <f>'Daily KPIs'!Q8</f>
        <v>3547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7058</v>
      </c>
      <c r="V8" s="99">
        <f>'Daily KPIs'!V8</f>
        <v>9867</v>
      </c>
      <c r="W8" s="101">
        <f>'Daily KPIs'!W8</f>
        <v>3955</v>
      </c>
      <c r="X8" s="101">
        <f>'Daily KPIs'!X8</f>
        <v>6025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88587</v>
      </c>
      <c r="AH8" s="293">
        <v>96325</v>
      </c>
      <c r="AI8" s="294">
        <f>AG8-AH8</f>
        <v>-7738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357.19200000000001</v>
      </c>
      <c r="H9" s="99">
        <f>'Daily KPIs'!H9</f>
        <v>406.428</v>
      </c>
      <c r="I9" s="99">
        <f>'Daily KPIs'!I9</f>
        <v>361.21800000000002</v>
      </c>
      <c r="J9" s="99">
        <f>'Daily KPIs'!J9</f>
        <v>308.48400000000004</v>
      </c>
      <c r="K9" s="99">
        <f>'Daily KPIs'!K9</f>
        <v>0</v>
      </c>
      <c r="L9" s="99">
        <f>'Daily KPIs'!L9</f>
        <v>0</v>
      </c>
      <c r="M9" s="99">
        <f>'Daily KPIs'!M9</f>
        <v>237.13800000000001</v>
      </c>
      <c r="N9" s="99">
        <f>'Daily KPIs'!N9</f>
        <v>568.85400000000004</v>
      </c>
      <c r="O9" s="99">
        <f>'Daily KPIs'!O9</f>
        <v>509.38800000000003</v>
      </c>
      <c r="P9" s="99">
        <f>'Daily KPIs'!P9</f>
        <v>478.17</v>
      </c>
      <c r="Q9" s="99">
        <f>'Daily KPIs'!Q9</f>
        <v>234.102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465.82800000000003</v>
      </c>
      <c r="V9" s="99">
        <f>'Daily KPIs'!V9</f>
        <v>651.22199999999998</v>
      </c>
      <c r="W9" s="99">
        <f>'Daily KPIs'!W9</f>
        <v>261.03000000000003</v>
      </c>
      <c r="X9" s="99">
        <f>'Daily KPIs'!X9</f>
        <v>416.87400000000002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6233.5307999999995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 t="str">
        <f>'Daily KPIs'!G10</f>
        <v>CB</v>
      </c>
      <c r="H10" s="163" t="str">
        <f>'Daily KPIs'!I10</f>
        <v>CB/ST</v>
      </c>
      <c r="I10" s="163" t="str">
        <f>'Daily KPIs'!J10</f>
        <v>ST</v>
      </c>
      <c r="J10" s="163" t="str">
        <f>'Daily KPIs'!J10</f>
        <v>ST</v>
      </c>
      <c r="K10" s="163">
        <f>'Daily KPIs'!K10</f>
        <v>0</v>
      </c>
      <c r="L10" s="163">
        <f>'Daily KPIs'!L10</f>
        <v>0</v>
      </c>
      <c r="M10" s="163" t="str">
        <f>'Daily KPIs'!M10</f>
        <v>Rose/CBfl</v>
      </c>
      <c r="N10" s="163" t="str">
        <f>'Daily KPIs'!N10</f>
        <v>CB</v>
      </c>
      <c r="O10" s="163" t="str">
        <f>'Daily KPIs'!O10</f>
        <v>CB</v>
      </c>
      <c r="P10" s="163" t="str">
        <f>'Daily KPIs'!P10</f>
        <v>CB/Ting</v>
      </c>
      <c r="Q10" s="163" t="str">
        <f>'Daily KPIs'!Q10</f>
        <v>Ting/SM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 t="str">
        <f>'Daily KPIs'!U10</f>
        <v>SM/CB</v>
      </c>
      <c r="V10" s="163" t="str">
        <f>'Daily KPIs'!V10</f>
        <v>CB/ST</v>
      </c>
      <c r="W10" s="163" t="str">
        <f>'Daily KPIs'!W10</f>
        <v>GN</v>
      </c>
      <c r="X10" s="163" t="str">
        <f>'Daily KPIs'!X10</f>
        <v>GN/VM/VMG</v>
      </c>
      <c r="Y10" s="1028">
        <f>'Daily KPIs'!Y10</f>
        <v>0</v>
      </c>
      <c r="Z10" s="1028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>
        <f>+'Water '!$D12</f>
        <v>250</v>
      </c>
      <c r="H16" s="110">
        <f>+'Water '!$D13</f>
        <v>234</v>
      </c>
      <c r="I16" s="110">
        <f>+'Water '!$D14</f>
        <v>359</v>
      </c>
      <c r="J16" s="110">
        <f>+'Water '!$D15</f>
        <v>378</v>
      </c>
      <c r="K16" s="110">
        <f>+'Water '!$D16</f>
        <v>155</v>
      </c>
      <c r="L16" s="110" t="str">
        <f>+'Water '!$D17</f>
        <v>0</v>
      </c>
      <c r="M16" s="111">
        <f>+'Water '!$D18</f>
        <v>144</v>
      </c>
      <c r="N16" s="110">
        <f>+'Water '!$D19</f>
        <v>235</v>
      </c>
      <c r="O16" s="110">
        <f>+'Water '!$D20</f>
        <v>182</v>
      </c>
      <c r="P16" s="110">
        <f>+'Water '!$D21</f>
        <v>249</v>
      </c>
      <c r="Q16" s="110">
        <f>+'Water '!$D22</f>
        <v>260</v>
      </c>
      <c r="R16" s="110" t="str">
        <f>+'Water '!$D23</f>
        <v>0</v>
      </c>
      <c r="S16" s="110" t="str">
        <f>+'Water '!$D24</f>
        <v>0</v>
      </c>
      <c r="T16" s="110">
        <f>+'Water '!$D25</f>
        <v>35</v>
      </c>
      <c r="U16" s="110">
        <f>+'Water '!$D26</f>
        <v>266</v>
      </c>
      <c r="V16" s="110">
        <f>+'Water '!$D27</f>
        <v>440</v>
      </c>
      <c r="W16" s="110">
        <f>+'Water '!$D28</f>
        <v>197</v>
      </c>
      <c r="X16" s="110">
        <f>+'Water '!$D29</f>
        <v>210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3918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>
        <f>+'Water '!$E12</f>
        <v>92</v>
      </c>
      <c r="H17" s="114">
        <f>+'Water '!$E13</f>
        <v>147</v>
      </c>
      <c r="I17" s="113">
        <f>+'Water '!$E14</f>
        <v>90</v>
      </c>
      <c r="J17" s="114">
        <f>+'Water '!$E15</f>
        <v>261</v>
      </c>
      <c r="K17" s="114">
        <f>+'Water '!$E16</f>
        <v>160</v>
      </c>
      <c r="L17" s="114">
        <f>+'Water '!$E17</f>
        <v>3</v>
      </c>
      <c r="M17" s="115">
        <f>+'Water '!$E18</f>
        <v>237</v>
      </c>
      <c r="N17" s="112">
        <f>+'Water '!$E19</f>
        <v>112</v>
      </c>
      <c r="O17" s="114">
        <f>+'Water '!$E20</f>
        <v>166</v>
      </c>
      <c r="P17" s="114">
        <f>+'Water '!$E21</f>
        <v>210</v>
      </c>
      <c r="Q17" s="114">
        <f>+'Water '!$E22</f>
        <v>289</v>
      </c>
      <c r="R17" s="114" t="str">
        <f>+'Water '!$E23</f>
        <v>0</v>
      </c>
      <c r="S17" s="114" t="str">
        <f>+'Water '!$E24</f>
        <v>0</v>
      </c>
      <c r="T17" s="114">
        <f>+'Water '!$E25</f>
        <v>83</v>
      </c>
      <c r="U17" s="114">
        <f>+'Water '!$E26</f>
        <v>130</v>
      </c>
      <c r="V17" s="114">
        <f>+'Water '!$E27</f>
        <v>134</v>
      </c>
      <c r="W17" s="114">
        <f>+'Water '!$E28</f>
        <v>208</v>
      </c>
      <c r="X17" s="114">
        <f>+'Water '!$E29</f>
        <v>193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3071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342</v>
      </c>
      <c r="H18" s="118">
        <f t="shared" si="0"/>
        <v>381</v>
      </c>
      <c r="I18" s="118">
        <f t="shared" si="0"/>
        <v>449</v>
      </c>
      <c r="J18" s="118">
        <f t="shared" si="0"/>
        <v>639</v>
      </c>
      <c r="K18" s="118">
        <f t="shared" si="0"/>
        <v>315</v>
      </c>
      <c r="L18" s="118">
        <f t="shared" si="0"/>
        <v>3</v>
      </c>
      <c r="M18" s="118">
        <f t="shared" si="0"/>
        <v>381</v>
      </c>
      <c r="N18" s="175">
        <f t="shared" si="0"/>
        <v>347</v>
      </c>
      <c r="O18" s="175">
        <f t="shared" si="0"/>
        <v>348</v>
      </c>
      <c r="P18" s="175">
        <f t="shared" si="0"/>
        <v>459</v>
      </c>
      <c r="Q18" s="175">
        <f t="shared" si="0"/>
        <v>549</v>
      </c>
      <c r="R18" s="175">
        <f t="shared" si="0"/>
        <v>0</v>
      </c>
      <c r="S18" s="175">
        <f t="shared" si="0"/>
        <v>0</v>
      </c>
      <c r="T18" s="175">
        <f t="shared" si="0"/>
        <v>118</v>
      </c>
      <c r="U18" s="175">
        <f t="shared" si="0"/>
        <v>396</v>
      </c>
      <c r="V18" s="175">
        <f t="shared" si="0"/>
        <v>574</v>
      </c>
      <c r="W18" s="175">
        <f t="shared" si="0"/>
        <v>405</v>
      </c>
      <c r="X18" s="175">
        <f t="shared" si="0"/>
        <v>403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6989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123.36999999999999</v>
      </c>
      <c r="H21" s="119">
        <f t="shared" si="1"/>
        <v>110.23</v>
      </c>
      <c r="I21" s="119">
        <f t="shared" si="1"/>
        <v>151.10999999999999</v>
      </c>
      <c r="J21" s="119">
        <f t="shared" si="1"/>
        <v>115.34</v>
      </c>
      <c r="K21" s="119">
        <f t="shared" si="1"/>
        <v>124.1</v>
      </c>
      <c r="L21" s="119">
        <f t="shared" si="1"/>
        <v>3.65</v>
      </c>
      <c r="M21" s="119">
        <f t="shared" si="1"/>
        <v>180.31</v>
      </c>
      <c r="N21" s="119">
        <f>0.73*(N96+N15)</f>
        <v>83.22</v>
      </c>
      <c r="O21" s="119">
        <f>0.73*(O96+O15)</f>
        <v>83.22</v>
      </c>
      <c r="P21" s="119">
        <f t="shared" si="1"/>
        <v>83.22</v>
      </c>
      <c r="Q21" s="119">
        <f>0.73*(Q96+Q15)</f>
        <v>83.22</v>
      </c>
      <c r="R21" s="119">
        <f t="shared" si="1"/>
        <v>83.22</v>
      </c>
      <c r="S21" s="119">
        <f t="shared" si="1"/>
        <v>83.22</v>
      </c>
      <c r="T21" s="119">
        <f t="shared" si="1"/>
        <v>64.239999999999995</v>
      </c>
      <c r="U21" s="119">
        <f t="shared" si="1"/>
        <v>97.82</v>
      </c>
      <c r="V21" s="119">
        <f t="shared" si="1"/>
        <v>102.2</v>
      </c>
      <c r="W21" s="119">
        <f>0.73*(W96+W15)</f>
        <v>157.68</v>
      </c>
      <c r="X21" s="119">
        <f t="shared" si="1"/>
        <v>147.46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2295.1200000000003</v>
      </c>
      <c r="AH21" s="225">
        <f>AG24+AG37+AG28</f>
        <v>7319</v>
      </c>
      <c r="AI21" s="271"/>
      <c r="AJ21" s="272">
        <f>(AH21*10)/AG9</f>
        <v>11.741339274364378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203</v>
      </c>
      <c r="H24" s="112">
        <f>'Water '!H13</f>
        <v>219</v>
      </c>
      <c r="I24" s="112">
        <f>'Water '!H14</f>
        <v>218</v>
      </c>
      <c r="J24" s="112">
        <f>'Water '!H15</f>
        <v>206</v>
      </c>
      <c r="K24" s="112">
        <f>'Water '!H16</f>
        <v>57</v>
      </c>
      <c r="L24" s="112">
        <f>'Water '!H17</f>
        <v>43</v>
      </c>
      <c r="M24" s="123">
        <f>'Water '!H18</f>
        <v>169</v>
      </c>
      <c r="N24" s="112">
        <f>'Water '!H19</f>
        <v>239</v>
      </c>
      <c r="O24" s="112">
        <f>'Water '!H20</f>
        <v>221</v>
      </c>
      <c r="P24" s="112">
        <f>'Water '!H21</f>
        <v>225</v>
      </c>
      <c r="Q24" s="112">
        <f>'Water '!H22</f>
        <v>201</v>
      </c>
      <c r="R24" s="112">
        <f>'Water '!H23</f>
        <v>35</v>
      </c>
      <c r="S24" s="112">
        <f>'Water '!H24</f>
        <v>67</v>
      </c>
      <c r="T24" s="112">
        <f>'Water '!H25</f>
        <v>198</v>
      </c>
      <c r="U24" s="112">
        <f>'Water '!H26</f>
        <v>78</v>
      </c>
      <c r="V24" s="112">
        <f>'Water '!H27</f>
        <v>292</v>
      </c>
      <c r="W24" s="112">
        <f>'Water '!H28</f>
        <v>196</v>
      </c>
      <c r="X24" s="112">
        <f>'Water '!H29</f>
        <v>245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3829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203</v>
      </c>
      <c r="H25" s="118">
        <f t="shared" si="2"/>
        <v>219</v>
      </c>
      <c r="I25" s="118">
        <f t="shared" si="2"/>
        <v>218</v>
      </c>
      <c r="J25" s="118">
        <f t="shared" si="2"/>
        <v>206</v>
      </c>
      <c r="K25" s="118">
        <f t="shared" si="2"/>
        <v>57</v>
      </c>
      <c r="L25" s="118">
        <f t="shared" si="2"/>
        <v>43</v>
      </c>
      <c r="M25" s="118">
        <f t="shared" si="2"/>
        <v>169</v>
      </c>
      <c r="N25" s="118">
        <f t="shared" si="2"/>
        <v>239</v>
      </c>
      <c r="O25" s="118">
        <f t="shared" si="2"/>
        <v>221</v>
      </c>
      <c r="P25" s="118">
        <f t="shared" si="2"/>
        <v>225</v>
      </c>
      <c r="Q25" s="118">
        <f t="shared" si="2"/>
        <v>201</v>
      </c>
      <c r="R25" s="118">
        <f t="shared" si="2"/>
        <v>35</v>
      </c>
      <c r="S25" s="118">
        <f t="shared" si="2"/>
        <v>67</v>
      </c>
      <c r="T25" s="118">
        <f t="shared" si="2"/>
        <v>198</v>
      </c>
      <c r="U25" s="118">
        <f t="shared" si="2"/>
        <v>78</v>
      </c>
      <c r="V25" s="118">
        <f t="shared" si="2"/>
        <v>292</v>
      </c>
      <c r="W25" s="118">
        <f t="shared" si="2"/>
        <v>196</v>
      </c>
      <c r="X25" s="118">
        <f t="shared" si="2"/>
        <v>245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3829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>
        <f t="shared" si="3"/>
        <v>5.6832179892046852</v>
      </c>
      <c r="H26" s="125">
        <f t="shared" si="3"/>
        <v>5.3884082789571588</v>
      </c>
      <c r="I26" s="125">
        <f t="shared" si="3"/>
        <v>6.0351366764668422</v>
      </c>
      <c r="J26" s="125">
        <f t="shared" si="3"/>
        <v>6.6778179743519912</v>
      </c>
      <c r="K26" s="125" t="str">
        <f t="shared" si="3"/>
        <v/>
      </c>
      <c r="L26" s="125" t="str">
        <f>IF(L$9=0,"",+(L25*10)/L$9)</f>
        <v/>
      </c>
      <c r="M26" s="125">
        <f t="shared" si="3"/>
        <v>7.1266519916672992</v>
      </c>
      <c r="N26" s="125">
        <f t="shared" si="3"/>
        <v>4.201429540796056</v>
      </c>
      <c r="O26" s="125">
        <f>IF(O$9=0,"",+(O25*10)/O$9)</f>
        <v>4.3385395808303295</v>
      </c>
      <c r="P26" s="125">
        <f t="shared" si="3"/>
        <v>4.7054394880481833</v>
      </c>
      <c r="Q26" s="125">
        <f t="shared" si="3"/>
        <v>8.5860009739344392</v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>
        <f t="shared" si="3"/>
        <v>1.674437775316211</v>
      </c>
      <c r="V26" s="125">
        <f t="shared" si="3"/>
        <v>4.4838780016645634</v>
      </c>
      <c r="W26" s="125">
        <f t="shared" si="3"/>
        <v>7.5087154733172428</v>
      </c>
      <c r="X26" s="125">
        <f t="shared" si="3"/>
        <v>5.8770755671977621</v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>
        <f>+'Water '!$J12</f>
        <v>234</v>
      </c>
      <c r="H28" s="111">
        <f>+'Water '!$J13</f>
        <v>227</v>
      </c>
      <c r="I28" s="127">
        <f>+'Water '!$J14</f>
        <v>187</v>
      </c>
      <c r="J28" s="127">
        <f>+'Water '!$J15</f>
        <v>192</v>
      </c>
      <c r="K28" s="127">
        <f>+'Water '!$J16</f>
        <v>162</v>
      </c>
      <c r="L28" s="128">
        <f>+'Water '!$J17</f>
        <v>18</v>
      </c>
      <c r="M28" s="111">
        <f>+'Water '!$J18</f>
        <v>72</v>
      </c>
      <c r="N28" s="127">
        <f>+'Water '!$J19</f>
        <v>86</v>
      </c>
      <c r="O28" s="127">
        <f>+'Water '!$J20</f>
        <v>216</v>
      </c>
      <c r="P28" s="127">
        <f>+'Water '!$J21</f>
        <v>220</v>
      </c>
      <c r="Q28" s="127">
        <f>+'Water '!$J22</f>
        <v>187</v>
      </c>
      <c r="R28" s="110">
        <f>+'Water '!$J23</f>
        <v>22</v>
      </c>
      <c r="S28" s="128" t="str">
        <f>+'Water '!$J24</f>
        <v>0</v>
      </c>
      <c r="T28" s="127" t="str">
        <f>+'Water '!$J25</f>
        <v>0</v>
      </c>
      <c r="U28" s="127">
        <f>+'Water '!$J26</f>
        <v>140</v>
      </c>
      <c r="V28" s="127">
        <f>+'Water '!$J27</f>
        <v>210</v>
      </c>
      <c r="W28" s="127">
        <f>+'Water '!$J28</f>
        <v>216</v>
      </c>
      <c r="X28" s="127">
        <f>+'Water '!$J29</f>
        <v>179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3033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>
        <f>'Water '!M19</f>
        <v>3</v>
      </c>
      <c r="P32" s="133">
        <f>'Water '!N19</f>
        <v>27</v>
      </c>
      <c r="Q32" s="133" t="str">
        <f>'Water '!L22</f>
        <v>0</v>
      </c>
      <c r="R32" s="133">
        <f>'Water '!M22</f>
        <v>7</v>
      </c>
      <c r="S32" s="133">
        <f>'Water '!N22</f>
        <v>48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85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>
        <f>+'Water '!$N12</f>
        <v>39</v>
      </c>
      <c r="H33" s="131">
        <f>+'Water '!$N13</f>
        <v>50</v>
      </c>
      <c r="I33" s="131">
        <f>+'Water '!$N14</f>
        <v>67</v>
      </c>
      <c r="J33" s="131">
        <f>+'Water '!$N15</f>
        <v>41</v>
      </c>
      <c r="K33" s="131">
        <f>+'Water '!$N16</f>
        <v>5</v>
      </c>
      <c r="L33" s="131" t="str">
        <f>+'Water '!$N17</f>
        <v>0</v>
      </c>
      <c r="M33" s="131">
        <f>+'Water '!$N18</f>
        <v>29</v>
      </c>
      <c r="N33" s="131">
        <f>+'Water '!$N19</f>
        <v>27</v>
      </c>
      <c r="O33" s="131">
        <f>+'Water '!$N19</f>
        <v>27</v>
      </c>
      <c r="P33" s="131">
        <f>+'Water '!$N19</f>
        <v>27</v>
      </c>
      <c r="Q33" s="131">
        <f>+'Water '!$N22</f>
        <v>48</v>
      </c>
      <c r="R33" s="131">
        <f>+'Water '!$N22</f>
        <v>48</v>
      </c>
      <c r="S33" s="131">
        <f>+'Water '!$N22</f>
        <v>48</v>
      </c>
      <c r="T33" s="131" t="str">
        <f>+'Water '!$N25</f>
        <v>0</v>
      </c>
      <c r="U33" s="131">
        <f>+'Water '!$N26</f>
        <v>41</v>
      </c>
      <c r="V33" s="131">
        <f>+'Water '!$N27</f>
        <v>19</v>
      </c>
      <c r="W33" s="131">
        <f>+'Water '!$N28</f>
        <v>26</v>
      </c>
      <c r="X33" s="131">
        <f>+'Water '!$N29</f>
        <v>41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724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>
        <f>+'Water '!$O12</f>
        <v>99</v>
      </c>
      <c r="H34" s="134">
        <f>+'Water '!$O13</f>
        <v>91</v>
      </c>
      <c r="I34" s="134">
        <f>+'Water '!$O14</f>
        <v>89</v>
      </c>
      <c r="J34" s="134">
        <f>+'Water '!$O15</f>
        <v>76</v>
      </c>
      <c r="K34" s="134">
        <f>+'Water '!$O16</f>
        <v>5</v>
      </c>
      <c r="L34" s="134" t="str">
        <f>+'Water '!$O17</f>
        <v>0</v>
      </c>
      <c r="M34" s="134">
        <f>+'Water '!$O18</f>
        <v>119</v>
      </c>
      <c r="N34" s="134">
        <f>+'Water '!$O19</f>
        <v>99</v>
      </c>
      <c r="O34" s="134">
        <f>+'Water '!$O19</f>
        <v>99</v>
      </c>
      <c r="P34" s="134">
        <f>+'Water '!$O19</f>
        <v>99</v>
      </c>
      <c r="Q34" s="134">
        <f>+'Water '!$O19</f>
        <v>99</v>
      </c>
      <c r="R34" s="134">
        <f>+'Water '!$O19</f>
        <v>99</v>
      </c>
      <c r="S34" s="134">
        <f>+'Water '!$O19</f>
        <v>99</v>
      </c>
      <c r="T34" s="134" t="str">
        <f>+'Water '!$O25</f>
        <v>0</v>
      </c>
      <c r="U34" s="134">
        <f>+'Water '!$O26</f>
        <v>135</v>
      </c>
      <c r="V34" s="134">
        <f>+'Water '!$O27</f>
        <v>158</v>
      </c>
      <c r="W34" s="134">
        <f>+'Water '!$O28</f>
        <v>94</v>
      </c>
      <c r="X34" s="134">
        <f>+'Water '!$O29</f>
        <v>112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1864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17</v>
      </c>
      <c r="H35" s="119">
        <f>IF('Entries October 2026'!AC13-'Entries October 2026'!AC12&lt;1,0,'Entries October 2026'!AC13-'Entries October 2026'!AC12)</f>
        <v>17</v>
      </c>
      <c r="I35" s="119">
        <f>IF('Entries October 2026'!AC14-'Entries October 2026'!AC13&lt;1,0,'Entries October 2026'!AC14-'Entries October 2026'!AC13)</f>
        <v>18</v>
      </c>
      <c r="J35" s="119">
        <f>IF('Entries October 2026'!AC15-'Entries October 2026'!AC14&lt;1,0,'Entries October 2026'!AC15-'Entries October 2026'!AC14)</f>
        <v>14</v>
      </c>
      <c r="K35" s="119">
        <f>IF('Entries October 2026'!AC16-'Entries October 2026'!AC15&lt;1,0,'Entries October 2026'!AC16-'Entries October 2026'!AC15)</f>
        <v>1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23</v>
      </c>
      <c r="N35" s="95">
        <f>IF('Entries October 2026'!AC19-'Entries October 2026'!AC18&lt;1,0,'Entries October 2026'!AC19-'Entries October 2026'!AC18)</f>
        <v>26</v>
      </c>
      <c r="O35" s="95">
        <f>IF('Entries October 2026'!AC20-'Entries October 2026'!AC19&lt;1,0,'Entries October 2026'!AC20-'Entries October 2026'!AC19)</f>
        <v>29</v>
      </c>
      <c r="P35" s="95">
        <f>IF('Entries October 2026'!AC21-'Entries October 2026'!AC20&lt;1,0,'Entries October 2026'!AC21-'Entries October 2026'!AC20)</f>
        <v>31</v>
      </c>
      <c r="Q35" s="95">
        <f>IF('Entries October 2026'!AC22-'Entries October 2026'!AC21&lt;1,0,'Entries October 2026'!AC22-'Entries October 2026'!AC21)</f>
        <v>18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4</v>
      </c>
      <c r="U35" s="95">
        <f>IF('Entries October 2026'!AC26-'Entries October 2026'!AC25&lt;1,0,'Entries October 2026'!AC26-'Entries October 2026'!AC25)</f>
        <v>29</v>
      </c>
      <c r="V35" s="95">
        <f>IF('Entries October 2026'!AC27-'Entries October 2026'!AC26&lt;1,0,'Entries October 2026'!AC27-'Entries October 2026'!AC26)</f>
        <v>31</v>
      </c>
      <c r="W35" s="95">
        <f>IF('Entries October 2026'!$AC28-'Entries October 2026'!$AC27&lt;1,0,'Entries October 2026'!$AC28-'Entries October 2026'!$AC27)</f>
        <v>23</v>
      </c>
      <c r="X35" s="95">
        <f>IF('Entries October 2026'!$AC29-'Entries October 2026'!$AC28&lt;1,0,'Entries October 2026'!$AC29-'Entries October 2026'!$AC28)</f>
        <v>20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349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>
        <f>+'Water '!$M12</f>
        <v>3</v>
      </c>
      <c r="H36" s="110">
        <f>+'Water '!$M13</f>
        <v>3</v>
      </c>
      <c r="I36" s="110">
        <f>+'Water '!$M14</f>
        <v>4</v>
      </c>
      <c r="J36" s="110">
        <f>+'Water '!$M15</f>
        <v>3</v>
      </c>
      <c r="K36" s="110" t="str">
        <f>+'Water '!$M16</f>
        <v>0</v>
      </c>
      <c r="L36" s="110" t="str">
        <f>+'Water '!$M17</f>
        <v>0</v>
      </c>
      <c r="M36" s="110">
        <f>+'Water '!$M18</f>
        <v>5</v>
      </c>
      <c r="N36" s="110">
        <f>+'Water '!$M19</f>
        <v>3</v>
      </c>
      <c r="O36" s="110">
        <f>+'Water '!$M20</f>
        <v>6</v>
      </c>
      <c r="P36" s="110">
        <f>+'Water '!$M21</f>
        <v>7</v>
      </c>
      <c r="Q36" s="110">
        <f>+'Water '!$M22</f>
        <v>7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>
        <f>+'Water '!$M26</f>
        <v>6</v>
      </c>
      <c r="V36" s="110" t="str">
        <f>+'Water '!$M27</f>
        <v>0</v>
      </c>
      <c r="W36" s="110">
        <f>+'Water '!$M28</f>
        <v>3</v>
      </c>
      <c r="X36" s="110">
        <f>+'Water '!$M29</f>
        <v>4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60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>
        <f>+'Water '!$Q12</f>
        <v>16</v>
      </c>
      <c r="H37" s="131">
        <f>+'Water '!$Q13</f>
        <v>16</v>
      </c>
      <c r="I37" s="131">
        <f>+'Water '!$Q14</f>
        <v>17</v>
      </c>
      <c r="J37" s="131">
        <f>+'Water '!$Q15</f>
        <v>24</v>
      </c>
      <c r="K37" s="131">
        <f>+'Water '!$Q16</f>
        <v>11</v>
      </c>
      <c r="L37" s="131">
        <f>+'Water '!$Q17</f>
        <v>9</v>
      </c>
      <c r="M37" s="131">
        <f>+'Water '!$Q18</f>
        <v>71</v>
      </c>
      <c r="N37" s="131">
        <f>+'Water '!$Q19</f>
        <v>15</v>
      </c>
      <c r="O37" s="131">
        <f>+'Water '!$Q19</f>
        <v>15</v>
      </c>
      <c r="P37" s="131">
        <f>+'Water '!$Q21</f>
        <v>27</v>
      </c>
      <c r="Q37" s="131">
        <f>+'Water '!$Q22</f>
        <v>20</v>
      </c>
      <c r="R37" s="131">
        <f>+'Water '!$Q22</f>
        <v>20</v>
      </c>
      <c r="S37" s="131" t="str">
        <f>+'Water '!$Q24</f>
        <v>0</v>
      </c>
      <c r="T37" s="131">
        <f>+'Water '!$Q25</f>
        <v>4</v>
      </c>
      <c r="U37" s="131">
        <f>+'Water '!$Q26</f>
        <v>47</v>
      </c>
      <c r="V37" s="131">
        <f>+'Water '!$Q27</f>
        <v>30</v>
      </c>
      <c r="W37" s="131">
        <f>+'Water '!$Q28</f>
        <v>29</v>
      </c>
      <c r="X37" s="131">
        <f>+'Water '!$Q29</f>
        <v>26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457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162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162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408</v>
      </c>
      <c r="H42" s="138">
        <f t="shared" si="4"/>
        <v>404</v>
      </c>
      <c r="I42" s="138">
        <f t="shared" si="4"/>
        <v>382</v>
      </c>
      <c r="J42" s="138">
        <f t="shared" si="4"/>
        <v>350</v>
      </c>
      <c r="K42" s="138">
        <f t="shared" si="4"/>
        <v>184</v>
      </c>
      <c r="L42" s="138">
        <f t="shared" si="4"/>
        <v>189</v>
      </c>
      <c r="M42" s="138">
        <f t="shared" si="4"/>
        <v>319</v>
      </c>
      <c r="N42" s="138">
        <f>SUM(N28:N41)</f>
        <v>256</v>
      </c>
      <c r="O42" s="138">
        <f>SUM(O28:O41)</f>
        <v>395</v>
      </c>
      <c r="P42" s="138">
        <f t="shared" si="4"/>
        <v>438</v>
      </c>
      <c r="Q42" s="138">
        <f t="shared" si="4"/>
        <v>379</v>
      </c>
      <c r="R42" s="138">
        <f t="shared" si="4"/>
        <v>196</v>
      </c>
      <c r="S42" s="138">
        <f t="shared" si="4"/>
        <v>195</v>
      </c>
      <c r="T42" s="138">
        <f t="shared" si="4"/>
        <v>8</v>
      </c>
      <c r="U42" s="138">
        <f t="shared" si="4"/>
        <v>398</v>
      </c>
      <c r="V42" s="138">
        <f t="shared" si="4"/>
        <v>448</v>
      </c>
      <c r="W42" s="138">
        <f t="shared" si="4"/>
        <v>391</v>
      </c>
      <c r="X42" s="138">
        <f t="shared" si="4"/>
        <v>382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6734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1771.5</v>
      </c>
      <c r="J47" s="178">
        <f>IF('Entries October 2026'!M15-'Entries October 2026'!M14&lt;1,0,'Entries October 2026'!M15-'Entries October 2026'!M14)</f>
        <v>1532</v>
      </c>
      <c r="K47" s="178">
        <f>IF('Entries October 2026'!M16-'Entries October 2026'!M15&lt;1,0,'Entries October 2026'!M16-'Entries October 2026'!M15)</f>
        <v>360.76999999990221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1256.1700000000419</v>
      </c>
      <c r="N47" s="178">
        <f>IF('Entries October 2026'!M19-'Entries October 2026'!M18&lt;1,0,'Entries October 2026'!M19-'Entries October 2026'!M18)</f>
        <v>2027.25</v>
      </c>
      <c r="O47" s="178">
        <f>IF('Entries October 2026'!M20-'Entries October 2026'!M19&lt;1,0,'Entries October 2026'!M20-'Entries October 2026'!M19)</f>
        <v>2039</v>
      </c>
      <c r="P47" s="178">
        <f>IF('Entries October 2026'!M21-'Entries October 2026'!M20&lt;1,0,'Entries October 2026'!M21-'Entries October 2026'!M20)</f>
        <v>2943.2299999999814</v>
      </c>
      <c r="Q47" s="178">
        <f>IF('Entries October 2026'!M22-'Entries October 2026'!M21&lt;1,0,'Entries October 2026'!M22-'Entries October 2026'!M21)</f>
        <v>1101.6500000000233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67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35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>
        <f>'Daily KPIs'!G76</f>
        <v>201.50999999999476</v>
      </c>
      <c r="H49" s="187">
        <f>'Daily KPIs'!H76</f>
        <v>220.41000000000349</v>
      </c>
      <c r="I49" s="187">
        <f>'Daily KPIs'!I76</f>
        <v>223.17999999999302</v>
      </c>
      <c r="J49" s="187">
        <f>'Daily KPIs'!J76</f>
        <v>180.90000000000873</v>
      </c>
      <c r="K49" s="187">
        <f>'Daily KPIs'!K76</f>
        <v>5.0899999999965075</v>
      </c>
      <c r="L49" s="187" t="str">
        <f>'Daily KPIs'!L76</f>
        <v>0</v>
      </c>
      <c r="M49" s="187">
        <f>'Daily KPIs'!M76</f>
        <v>244.5399999999936</v>
      </c>
      <c r="N49" s="187">
        <f>'Daily KPIs'!N76</f>
        <v>285.63000000000466</v>
      </c>
      <c r="O49" s="187">
        <f>'Daily KPIs'!O76</f>
        <v>282</v>
      </c>
      <c r="P49" s="187">
        <f>'Daily KPIs'!P76</f>
        <v>307.57000000000698</v>
      </c>
      <c r="Q49" s="187">
        <f>'Daily KPIs'!Q76</f>
        <v>130.47999999999593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>
        <f>'Daily KPIs'!U76</f>
        <v>305.16000000000349</v>
      </c>
      <c r="V49" s="187">
        <f>'Daily KPIs'!V76</f>
        <v>354.58999999999651</v>
      </c>
      <c r="W49" s="187">
        <f>'Daily KPIs'!W76</f>
        <v>172.94999999999709</v>
      </c>
      <c r="X49" s="187">
        <f>'Daily KPIs'!X76</f>
        <v>245.7899999999936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3679.0599999999977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7226</v>
      </c>
      <c r="H52" s="141">
        <f>'Elec.OCTOBER 2026'!$B$13</f>
        <v>6606</v>
      </c>
      <c r="I52" s="141">
        <f>'Elec.OCTOBER 2026'!$B$14</f>
        <v>7587</v>
      </c>
      <c r="J52" s="141">
        <f>'Elec.OCTOBER 2026'!$B$15</f>
        <v>6341</v>
      </c>
      <c r="K52" s="141">
        <f>'Elec.OCTOBER 2026'!$B$16</f>
        <v>4500</v>
      </c>
      <c r="L52" s="141">
        <f>'Elec.OCTOBER 2026'!$B$17</f>
        <v>2914</v>
      </c>
      <c r="M52" s="141">
        <f>'Elec.OCTOBER 2026'!$B$18</f>
        <v>8829</v>
      </c>
      <c r="N52" s="141">
        <f>'Elec.OCTOBER 2026'!$B$19</f>
        <v>5822</v>
      </c>
      <c r="O52" s="141">
        <f>'Elec.OCTOBER 2026'!$B$20</f>
        <v>6651</v>
      </c>
      <c r="P52" s="141">
        <f>'Elec.OCTOBER 2026'!$B$21</f>
        <v>8256</v>
      </c>
      <c r="Q52" s="141">
        <f>'Elec.OCTOBER 2026'!$B$22</f>
        <v>7352</v>
      </c>
      <c r="R52" s="141">
        <f>'Elec.OCTOBER 2026'!$B$23</f>
        <v>3261</v>
      </c>
      <c r="S52" s="141">
        <f>'Elec.OCTOBER 2026'!$B$24</f>
        <v>2453</v>
      </c>
      <c r="T52" s="141">
        <f>'Elec.OCTOBER 2026'!$B$24</f>
        <v>2453</v>
      </c>
      <c r="U52" s="141">
        <f>'Elec.OCTOBER 2026'!$B$24</f>
        <v>2453</v>
      </c>
      <c r="V52" s="141">
        <f>'Elec.OCTOBER 2026'!$B$24</f>
        <v>2453</v>
      </c>
      <c r="W52" s="141">
        <f>'Elec.OCTOBER 2026'!$B$24</f>
        <v>2453</v>
      </c>
      <c r="X52" s="141">
        <f>'Elec.OCTOBER 2026'!$B$24</f>
        <v>2453</v>
      </c>
      <c r="Y52" s="141">
        <f>'Elec.OCTOBER 2026'!$B$24</f>
        <v>2453</v>
      </c>
      <c r="Z52" s="141">
        <f>'Elec.OCTOBER 2026'!$B$24</f>
        <v>2453</v>
      </c>
      <c r="AA52" s="141">
        <f>'Elec.OCTOBER 2026'!$B$24</f>
        <v>2453</v>
      </c>
      <c r="AB52" s="141">
        <f>'Elec.OCTOBER 2026'!$B$24</f>
        <v>2453</v>
      </c>
      <c r="AC52" s="141">
        <f>'Elec.OCTOBER 2026'!$B$24</f>
        <v>2453</v>
      </c>
      <c r="AD52" s="141">
        <f>'Elec.OCTOBER 2026'!$B$24</f>
        <v>2453</v>
      </c>
      <c r="AE52" s="141">
        <f>'Elec.OCTOBER 2026'!$B$24</f>
        <v>2453</v>
      </c>
      <c r="AF52" s="141">
        <f>'Elec.OCTOBER 2026'!$B$24</f>
        <v>2453</v>
      </c>
      <c r="AG52" s="224">
        <f>SUM(B52:AC52)</f>
        <v>129394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>
        <f t="shared" si="5"/>
        <v>9.574682523684741</v>
      </c>
      <c r="H59" s="144">
        <f t="shared" si="5"/>
        <v>9.3743541291446455</v>
      </c>
      <c r="I59" s="144">
        <f t="shared" si="5"/>
        <v>12.430166824466111</v>
      </c>
      <c r="J59" s="144">
        <f t="shared" si="5"/>
        <v>20.714202357334575</v>
      </c>
      <c r="K59" s="144" t="str">
        <f t="shared" ref="K59:S59" si="6">IF(K$9=0,"",+(K18*10)/K$9)</f>
        <v/>
      </c>
      <c r="L59" s="144" t="str">
        <f t="shared" si="6"/>
        <v/>
      </c>
      <c r="M59" s="144">
        <f t="shared" si="6"/>
        <v>16.066594135060598</v>
      </c>
      <c r="N59" s="144">
        <f t="shared" si="6"/>
        <v>6.0999834755490863</v>
      </c>
      <c r="O59" s="144">
        <f t="shared" si="6"/>
        <v>6.8317274847464011</v>
      </c>
      <c r="P59" s="144">
        <f t="shared" si="6"/>
        <v>9.5990965556182939</v>
      </c>
      <c r="Q59" s="144">
        <f t="shared" si="6"/>
        <v>23.45131609298511</v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>
        <f t="shared" si="5"/>
        <v>8.5009917823746104</v>
      </c>
      <c r="V59" s="144">
        <f t="shared" si="5"/>
        <v>8.8141985375186955</v>
      </c>
      <c r="W59" s="144">
        <f t="shared" si="5"/>
        <v>15.515457993334097</v>
      </c>
      <c r="X59" s="144">
        <f t="shared" si="5"/>
        <v>9.6671896064518297</v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11.211944280438946</v>
      </c>
      <c r="AH59" s="239">
        <f>'Daily KPIs'!AI90</f>
        <v>10.199999999999999</v>
      </c>
      <c r="AI59" s="282">
        <f>+AH59-AG59</f>
        <v>-1.0119442804389465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>
        <f t="shared" si="8"/>
        <v>6.5510985688369283</v>
      </c>
      <c r="H62" s="145">
        <f t="shared" si="8"/>
        <v>5.5852451110651824</v>
      </c>
      <c r="I62" s="145">
        <f t="shared" si="8"/>
        <v>5.1769291674279794</v>
      </c>
      <c r="J62" s="145">
        <f t="shared" si="8"/>
        <v>6.2239856848329245</v>
      </c>
      <c r="K62" s="145" t="str">
        <f t="shared" si="8"/>
        <v/>
      </c>
      <c r="L62" s="145" t="str">
        <f t="shared" si="8"/>
        <v/>
      </c>
      <c r="M62" s="145">
        <f t="shared" ref="M62:S62" si="9">IF(M$9=0,"",+(M28*10)/M$9)</f>
        <v>3.0362067656807428</v>
      </c>
      <c r="N62" s="145">
        <f t="shared" si="9"/>
        <v>1.5118114665625977</v>
      </c>
      <c r="O62" s="145">
        <f t="shared" si="9"/>
        <v>4.2403825767391456</v>
      </c>
      <c r="P62" s="145">
        <f t="shared" si="9"/>
        <v>4.6008741660915575</v>
      </c>
      <c r="Q62" s="145">
        <f t="shared" si="9"/>
        <v>7.9879710553519407</v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>
        <f t="shared" si="8"/>
        <v>3.0054011351829431</v>
      </c>
      <c r="V62" s="145">
        <f t="shared" si="8"/>
        <v>3.2247067820190352</v>
      </c>
      <c r="W62" s="145">
        <f t="shared" si="8"/>
        <v>8.2749109297781853</v>
      </c>
      <c r="X62" s="145">
        <f>IF(X$9=0,"",+(X28*10)/X$9)</f>
        <v>4.293863373585304</v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4.8656212623510262</v>
      </c>
      <c r="AH62" s="241">
        <v>2.5</v>
      </c>
      <c r="AI62" s="242">
        <f t="shared" ref="AI62:AI78" si="11">AH62-AG62</f>
        <v>-2.3656212623510262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>
        <f t="shared" si="12"/>
        <v>4.5751633986928102</v>
      </c>
      <c r="G63" s="168">
        <f t="shared" si="12"/>
        <v>5.2442850739578661</v>
      </c>
      <c r="H63" s="168">
        <f t="shared" si="12"/>
        <v>6.5569035239745812</v>
      </c>
      <c r="I63" s="168">
        <f>IF(I$93=0,"",+(I28*10)/I$93)</f>
        <v>5.4124457308248912</v>
      </c>
      <c r="J63" s="168">
        <f t="shared" si="12"/>
        <v>5.5830183192788603</v>
      </c>
      <c r="K63" s="168">
        <f t="shared" si="12"/>
        <v>3.8951671074777594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11.25</v>
      </c>
      <c r="AH63" s="243">
        <v>2.5</v>
      </c>
      <c r="AI63" s="244">
        <f t="shared" si="11"/>
        <v>-8.75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>
        <f t="shared" si="14"/>
        <v>0</v>
      </c>
      <c r="H64" s="147">
        <f t="shared" si="14"/>
        <v>0</v>
      </c>
      <c r="I64" s="147">
        <f t="shared" si="14"/>
        <v>0</v>
      </c>
      <c r="J64" s="147">
        <f t="shared" si="14"/>
        <v>0</v>
      </c>
      <c r="K64" s="147" t="str">
        <f t="shared" si="14"/>
        <v/>
      </c>
      <c r="L64" s="147" t="str">
        <f t="shared" si="14"/>
        <v/>
      </c>
      <c r="M64" s="147">
        <f>IF(M$9=0,"",+(M29*10)/M$9)</f>
        <v>0</v>
      </c>
      <c r="N64" s="147">
        <f t="shared" si="14"/>
        <v>0</v>
      </c>
      <c r="O64" s="147">
        <f>IF(O$9=0,"",+(O29*10)/O$9)</f>
        <v>0</v>
      </c>
      <c r="P64" s="147">
        <f>IF(P$9=0,"",+(P29*10)/P$9)</f>
        <v>0</v>
      </c>
      <c r="Q64" s="147">
        <f>IF(Q$9=0,"",+(Q29*10)/Q$9)</f>
        <v>0</v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>
        <f t="shared" si="14"/>
        <v>0</v>
      </c>
      <c r="V64" s="147">
        <f t="shared" si="14"/>
        <v>0</v>
      </c>
      <c r="W64" s="147">
        <f t="shared" si="14"/>
        <v>0</v>
      </c>
      <c r="X64" s="147">
        <f t="shared" si="14"/>
        <v>0</v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>
        <f t="shared" si="16"/>
        <v>0</v>
      </c>
      <c r="H66" s="145">
        <f t="shared" si="16"/>
        <v>0</v>
      </c>
      <c r="I66" s="145">
        <f t="shared" si="16"/>
        <v>0</v>
      </c>
      <c r="J66" s="145">
        <f t="shared" si="16"/>
        <v>0</v>
      </c>
      <c r="K66" s="145" t="str">
        <f t="shared" si="16"/>
        <v/>
      </c>
      <c r="L66" s="145" t="str">
        <f t="shared" si="16"/>
        <v/>
      </c>
      <c r="M66" s="145">
        <f t="shared" si="16"/>
        <v>0</v>
      </c>
      <c r="N66" s="145">
        <f t="shared" si="16"/>
        <v>0</v>
      </c>
      <c r="O66" s="145">
        <f t="shared" ref="O66:S69" si="17">IF(O$9=0,"",+(O31*10)/O$9)</f>
        <v>0</v>
      </c>
      <c r="P66" s="145">
        <f t="shared" si="17"/>
        <v>0</v>
      </c>
      <c r="Q66" s="145">
        <f t="shared" si="17"/>
        <v>0</v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>
        <f t="shared" si="16"/>
        <v>0</v>
      </c>
      <c r="V66" s="145">
        <f t="shared" si="16"/>
        <v>0</v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>
        <f t="shared" si="18"/>
        <v>0</v>
      </c>
      <c r="H67" s="150">
        <f t="shared" si="18"/>
        <v>0</v>
      </c>
      <c r="I67" s="150">
        <f t="shared" si="18"/>
        <v>0</v>
      </c>
      <c r="J67" s="150">
        <f t="shared" si="18"/>
        <v>0</v>
      </c>
      <c r="K67" s="150" t="str">
        <f t="shared" si="18"/>
        <v/>
      </c>
      <c r="L67" s="150" t="str">
        <f t="shared" si="18"/>
        <v/>
      </c>
      <c r="M67" s="150">
        <f t="shared" si="18"/>
        <v>0</v>
      </c>
      <c r="N67" s="150">
        <f t="shared" si="18"/>
        <v>0</v>
      </c>
      <c r="O67" s="150">
        <f t="shared" si="17"/>
        <v>5.8894202454710352E-2</v>
      </c>
      <c r="P67" s="150">
        <f t="shared" si="17"/>
        <v>0.56465273856578202</v>
      </c>
      <c r="Q67" s="150">
        <f t="shared" si="17"/>
        <v>0</v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>
        <f t="shared" si="18"/>
        <v>0</v>
      </c>
      <c r="V67" s="150">
        <f t="shared" si="18"/>
        <v>0</v>
      </c>
      <c r="W67" s="150">
        <f t="shared" si="18"/>
        <v>0</v>
      </c>
      <c r="X67" s="150">
        <f t="shared" si="18"/>
        <v>0</v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0.13635931661715703</v>
      </c>
      <c r="AH67" s="249">
        <v>1</v>
      </c>
      <c r="AI67" s="250">
        <f>AH67-AG67</f>
        <v>0.86364068338284294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>
        <f t="shared" si="20"/>
        <v>1.0918497614728213</v>
      </c>
      <c r="H68" s="145">
        <f t="shared" si="20"/>
        <v>1.2302302006751504</v>
      </c>
      <c r="I68" s="145">
        <f t="shared" si="20"/>
        <v>1.8548355840517359</v>
      </c>
      <c r="J68" s="145">
        <f t="shared" si="20"/>
        <v>1.3290802764486973</v>
      </c>
      <c r="K68" s="145" t="str">
        <f t="shared" si="20"/>
        <v/>
      </c>
      <c r="L68" s="145" t="str">
        <f t="shared" si="20"/>
        <v/>
      </c>
      <c r="M68" s="145">
        <f t="shared" si="20"/>
        <v>1.2229166139547436</v>
      </c>
      <c r="N68" s="145">
        <f t="shared" si="20"/>
        <v>0.4746384836882574</v>
      </c>
      <c r="O68" s="145">
        <f t="shared" si="17"/>
        <v>0.53004782209239321</v>
      </c>
      <c r="P68" s="145">
        <f t="shared" si="17"/>
        <v>0.56465273856578202</v>
      </c>
      <c r="Q68" s="145">
        <f t="shared" si="17"/>
        <v>2.0503882922828511</v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>
        <f t="shared" si="20"/>
        <v>0.88015318958929045</v>
      </c>
      <c r="V68" s="145">
        <f t="shared" si="20"/>
        <v>0.29175918503981746</v>
      </c>
      <c r="W68" s="145">
        <f t="shared" si="20"/>
        <v>0.99605409339922601</v>
      </c>
      <c r="X68" s="145">
        <f t="shared" si="20"/>
        <v>0.98351060512289079</v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1.1614605321273139</v>
      </c>
      <c r="AH68" s="241">
        <v>0.7</v>
      </c>
      <c r="AI68" s="242">
        <f t="shared" si="11"/>
        <v>-0.46146053212731397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>
        <f t="shared" si="22"/>
        <v>2.7716186252771617</v>
      </c>
      <c r="H69" s="145">
        <f t="shared" si="22"/>
        <v>2.2390189652287735</v>
      </c>
      <c r="I69" s="145">
        <f t="shared" si="22"/>
        <v>2.4638860743373807</v>
      </c>
      <c r="J69" s="145">
        <f t="shared" si="22"/>
        <v>2.4636610002463657</v>
      </c>
      <c r="K69" s="145" t="str">
        <f t="shared" si="22"/>
        <v/>
      </c>
      <c r="L69" s="145" t="str">
        <f t="shared" si="22"/>
        <v/>
      </c>
      <c r="M69" s="145">
        <f t="shared" si="22"/>
        <v>5.0181750710556718</v>
      </c>
      <c r="N69" s="145">
        <f t="shared" si="22"/>
        <v>1.7403411068569439</v>
      </c>
      <c r="O69" s="145">
        <f t="shared" si="17"/>
        <v>1.9435086810054416</v>
      </c>
      <c r="P69" s="145">
        <f t="shared" si="17"/>
        <v>2.0703933747412009</v>
      </c>
      <c r="Q69" s="145">
        <f t="shared" si="17"/>
        <v>4.2289258528333802</v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>
        <f t="shared" si="22"/>
        <v>2.8980653803549807</v>
      </c>
      <c r="V69" s="145">
        <f t="shared" si="22"/>
        <v>2.4262079598047976</v>
      </c>
      <c r="W69" s="145">
        <f t="shared" si="22"/>
        <v>3.6011186453664328</v>
      </c>
      <c r="X69" s="145">
        <f t="shared" si="22"/>
        <v>2.6866631164332628</v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2.9902796020515372</v>
      </c>
      <c r="AH69" s="241">
        <v>2.6</v>
      </c>
      <c r="AI69" s="242">
        <f t="shared" si="11"/>
        <v>-0.39027960205153711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>
        <f t="shared" si="26"/>
        <v>0.47593451141122983</v>
      </c>
      <c r="H71" s="145">
        <f t="shared" si="26"/>
        <v>0.41827826822955111</v>
      </c>
      <c r="I71" s="145">
        <f t="shared" si="26"/>
        <v>0.49831403750643655</v>
      </c>
      <c r="J71" s="145">
        <f t="shared" si="26"/>
        <v>0.4538322895190674</v>
      </c>
      <c r="K71" s="145" t="str">
        <f t="shared" si="26"/>
        <v/>
      </c>
      <c r="L71" s="145" t="str">
        <f t="shared" si="26"/>
        <v/>
      </c>
      <c r="M71" s="145">
        <f t="shared" si="26"/>
        <v>0.96989938348134841</v>
      </c>
      <c r="N71" s="145">
        <f t="shared" si="26"/>
        <v>0.45705928058869233</v>
      </c>
      <c r="O71" s="145">
        <f t="shared" ref="O71:S75" si="27">IF(O$9=0,"",+(O35*10)/O$9)</f>
        <v>0.56931062372886676</v>
      </c>
      <c r="P71" s="145">
        <f t="shared" si="27"/>
        <v>0.64830499613108306</v>
      </c>
      <c r="Q71" s="145">
        <f t="shared" si="27"/>
        <v>0.76889560960606917</v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>
        <f t="shared" si="26"/>
        <v>0.62254737800218107</v>
      </c>
      <c r="V71" s="145">
        <f t="shared" si="26"/>
        <v>0.47602814401233373</v>
      </c>
      <c r="W71" s="145">
        <f t="shared" si="26"/>
        <v>0.88112477493008456</v>
      </c>
      <c r="X71" s="145">
        <f t="shared" si="26"/>
        <v>0.47976127079165404</v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0.55987531175750349</v>
      </c>
      <c r="AH71" s="241">
        <v>0.7</v>
      </c>
      <c r="AI71" s="242">
        <f>AH71-AG71</f>
        <v>0.14012468824249646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>
        <f t="shared" si="29"/>
        <v>8.3988443190217019E-2</v>
      </c>
      <c r="H72" s="145">
        <f t="shared" si="29"/>
        <v>7.3813812040509019E-2</v>
      </c>
      <c r="I72" s="145">
        <f t="shared" si="29"/>
        <v>0.11073645277920811</v>
      </c>
      <c r="J72" s="145">
        <f t="shared" si="29"/>
        <v>9.7249776325514445E-2</v>
      </c>
      <c r="K72" s="145" t="str">
        <f t="shared" si="29"/>
        <v/>
      </c>
      <c r="L72" s="145" t="str">
        <f t="shared" si="29"/>
        <v/>
      </c>
      <c r="M72" s="145">
        <f t="shared" si="29"/>
        <v>0.21084769206116269</v>
      </c>
      <c r="N72" s="145">
        <f t="shared" si="29"/>
        <v>5.2737609298695268E-2</v>
      </c>
      <c r="O72" s="145">
        <f t="shared" si="27"/>
        <v>0.1177884049094207</v>
      </c>
      <c r="P72" s="145">
        <f t="shared" si="27"/>
        <v>0.14639145073927681</v>
      </c>
      <c r="Q72" s="145">
        <f t="shared" si="27"/>
        <v>0.29901495929124911</v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>
        <f t="shared" si="29"/>
        <v>0.12880290579355469</v>
      </c>
      <c r="V72" s="145">
        <f t="shared" si="29"/>
        <v>0</v>
      </c>
      <c r="W72" s="145">
        <f t="shared" si="29"/>
        <v>0.11492931846914146</v>
      </c>
      <c r="X72" s="145">
        <f t="shared" si="29"/>
        <v>9.5952254158330808E-2</v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9.6253635259169662E-2</v>
      </c>
      <c r="AH72" s="241">
        <v>0.1</v>
      </c>
      <c r="AI72" s="242">
        <f>AH72-AG72</f>
        <v>3.7463647408303435E-3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>
        <f t="shared" si="31"/>
        <v>0.44793836368115747</v>
      </c>
      <c r="H73" s="145">
        <f t="shared" si="31"/>
        <v>0.3936736642160481</v>
      </c>
      <c r="I73" s="145">
        <f t="shared" si="31"/>
        <v>0.47062992431163453</v>
      </c>
      <c r="J73" s="145">
        <f t="shared" si="31"/>
        <v>0.77799821060411556</v>
      </c>
      <c r="K73" s="145" t="str">
        <f t="shared" si="31"/>
        <v/>
      </c>
      <c r="L73" s="145" t="str">
        <f t="shared" si="31"/>
        <v/>
      </c>
      <c r="M73" s="145">
        <f t="shared" si="31"/>
        <v>2.9940372272685103</v>
      </c>
      <c r="N73" s="145">
        <f t="shared" si="31"/>
        <v>0.26368804649347632</v>
      </c>
      <c r="O73" s="145">
        <f t="shared" si="27"/>
        <v>0.29447101227355177</v>
      </c>
      <c r="P73" s="145">
        <f t="shared" si="27"/>
        <v>0.56465273856578202</v>
      </c>
      <c r="Q73" s="145">
        <f t="shared" si="27"/>
        <v>0.8543284551178546</v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>
        <f t="shared" si="31"/>
        <v>1.0089560953828451</v>
      </c>
      <c r="V73" s="145">
        <f t="shared" si="31"/>
        <v>0.46067239743129074</v>
      </c>
      <c r="W73" s="145">
        <f t="shared" si="31"/>
        <v>1.1109834118683675</v>
      </c>
      <c r="X73" s="145">
        <f t="shared" si="31"/>
        <v>0.62368965202915028</v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0.73313185522400892</v>
      </c>
      <c r="AH73" s="241">
        <v>0.6</v>
      </c>
      <c r="AI73" s="242">
        <f t="shared" si="11"/>
        <v>-0.13313185522400894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>
        <f t="shared" si="33"/>
        <v>0</v>
      </c>
      <c r="H74" s="150">
        <f t="shared" si="33"/>
        <v>0</v>
      </c>
      <c r="I74" s="150">
        <f t="shared" si="33"/>
        <v>0</v>
      </c>
      <c r="J74" s="150">
        <f t="shared" si="33"/>
        <v>0</v>
      </c>
      <c r="K74" s="150" t="str">
        <f t="shared" si="33"/>
        <v/>
      </c>
      <c r="L74" s="150" t="str">
        <f t="shared" si="33"/>
        <v/>
      </c>
      <c r="M74" s="150">
        <f t="shared" si="33"/>
        <v>0</v>
      </c>
      <c r="N74" s="150">
        <f t="shared" si="33"/>
        <v>0</v>
      </c>
      <c r="O74" s="150">
        <f t="shared" si="27"/>
        <v>0</v>
      </c>
      <c r="P74" s="150">
        <f t="shared" si="27"/>
        <v>0</v>
      </c>
      <c r="Q74" s="150">
        <f t="shared" si="27"/>
        <v>0</v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>
        <f t="shared" si="33"/>
        <v>0</v>
      </c>
      <c r="V74" s="150">
        <f t="shared" si="33"/>
        <v>0</v>
      </c>
      <c r="W74" s="150">
        <f t="shared" si="33"/>
        <v>0</v>
      </c>
      <c r="X74" s="150">
        <f t="shared" si="33"/>
        <v>0</v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>
        <f t="shared" si="35"/>
        <v>0</v>
      </c>
      <c r="H75" s="145">
        <f t="shared" si="35"/>
        <v>0</v>
      </c>
      <c r="I75" s="145">
        <f t="shared" si="35"/>
        <v>0</v>
      </c>
      <c r="J75" s="145">
        <f t="shared" si="35"/>
        <v>0</v>
      </c>
      <c r="K75" s="145" t="str">
        <f t="shared" si="35"/>
        <v/>
      </c>
      <c r="L75" s="145" t="str">
        <f t="shared" si="35"/>
        <v/>
      </c>
      <c r="M75" s="145">
        <f t="shared" si="35"/>
        <v>0</v>
      </c>
      <c r="N75" s="145">
        <f t="shared" si="35"/>
        <v>0</v>
      </c>
      <c r="O75" s="145">
        <f t="shared" si="27"/>
        <v>0</v>
      </c>
      <c r="P75" s="145">
        <f t="shared" si="27"/>
        <v>0</v>
      </c>
      <c r="Q75" s="145">
        <f t="shared" si="27"/>
        <v>0</v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>
        <f t="shared" si="35"/>
        <v>0</v>
      </c>
      <c r="V75" s="145">
        <f t="shared" si="35"/>
        <v>0</v>
      </c>
      <c r="W75" s="145">
        <f t="shared" si="35"/>
        <v>0</v>
      </c>
      <c r="X75" s="145">
        <f t="shared" si="35"/>
        <v>0</v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15.907406386484615</v>
      </c>
      <c r="G78" s="152">
        <f t="shared" si="37"/>
        <v>16.666713347827383</v>
      </c>
      <c r="H78" s="152">
        <f t="shared" si="37"/>
        <v>16.497163545429796</v>
      </c>
      <c r="I78" s="152">
        <f t="shared" si="37"/>
        <v>15.987776971239267</v>
      </c>
      <c r="J78" s="152">
        <f t="shared" si="37"/>
        <v>16.928825557255546</v>
      </c>
      <c r="K78" s="152">
        <f t="shared" si="37"/>
        <v>3.8951671074777594</v>
      </c>
      <c r="L78" s="152">
        <f t="shared" si="37"/>
        <v>0</v>
      </c>
      <c r="M78" s="152">
        <f t="shared" si="37"/>
        <v>13.452082753502181</v>
      </c>
      <c r="N78" s="152">
        <f>SUM(N62:N77)</f>
        <v>4.5002759934886623</v>
      </c>
      <c r="O78" s="152">
        <f t="shared" si="37"/>
        <v>7.7544033232035297</v>
      </c>
      <c r="P78" s="152">
        <f t="shared" si="37"/>
        <v>9.1599222034004626</v>
      </c>
      <c r="Q78" s="152">
        <f t="shared" si="37"/>
        <v>16.189524224483346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8.5439260843057951</v>
      </c>
      <c r="V78" s="152">
        <f t="shared" si="37"/>
        <v>6.8793744683072742</v>
      </c>
      <c r="W78" s="152">
        <f>SUM(W62:W77)</f>
        <v>14.979121173811437</v>
      </c>
      <c r="X78" s="152">
        <f>SUM(X62:X77)</f>
        <v>9.1634402721205905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21.792981515387719</v>
      </c>
      <c r="AH78" s="253">
        <f t="shared" si="37"/>
        <v>15.599999999999998</v>
      </c>
      <c r="AI78" s="253">
        <f t="shared" si="11"/>
        <v>-6.1929815153877215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3.3315415798786088</v>
      </c>
      <c r="H79" s="154">
        <f t="shared" si="38"/>
        <v>2.7311110454988334</v>
      </c>
      <c r="I79" s="154">
        <f t="shared" si="38"/>
        <v>3.0729365646230251</v>
      </c>
      <c r="J79" s="154">
        <f t="shared" si="38"/>
        <v>3.0147430660909476</v>
      </c>
      <c r="K79" s="154">
        <f t="shared" si="38"/>
        <v>0</v>
      </c>
      <c r="L79" s="154">
        <f t="shared" si="38"/>
        <v>0</v>
      </c>
      <c r="M79" s="154">
        <f>SUM(M69:M72)</f>
        <v>6.198922146598183</v>
      </c>
      <c r="N79" s="154">
        <f t="shared" si="38"/>
        <v>2.2501379967443311</v>
      </c>
      <c r="O79" s="154">
        <f t="shared" si="38"/>
        <v>2.630607709643729</v>
      </c>
      <c r="P79" s="154">
        <f t="shared" si="38"/>
        <v>2.8650898216115608</v>
      </c>
      <c r="Q79" s="154">
        <f t="shared" si="38"/>
        <v>5.2968364217306982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3.6494156641507165</v>
      </c>
      <c r="V79" s="154">
        <f t="shared" si="38"/>
        <v>2.9022361038171312</v>
      </c>
      <c r="W79" s="154">
        <f t="shared" si="38"/>
        <v>4.5971727387656589</v>
      </c>
      <c r="X79" s="154">
        <f t="shared" si="38"/>
        <v>3.2623766413832476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3.6464085490682105</v>
      </c>
      <c r="AH79" s="254">
        <f t="shared" si="38"/>
        <v>6</v>
      </c>
      <c r="AI79" s="254">
        <f t="shared" si="38"/>
        <v>2.3535914509317899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e">
        <f t="shared" si="39"/>
        <v>#REF!</v>
      </c>
      <c r="H80" s="155" t="e">
        <f t="shared" si="39"/>
        <v>#REF!</v>
      </c>
      <c r="I80" s="155">
        <f t="shared" si="39"/>
        <v>4.9042406524591797</v>
      </c>
      <c r="J80" s="155">
        <f t="shared" si="39"/>
        <v>4.9662219110229371</v>
      </c>
      <c r="K80" s="155" t="str">
        <f t="shared" si="39"/>
        <v/>
      </c>
      <c r="L80" s="155" t="str">
        <f t="shared" si="39"/>
        <v/>
      </c>
      <c r="M80" s="155">
        <f t="shared" si="39"/>
        <v>5.2972109067295916</v>
      </c>
      <c r="N80" s="155">
        <f t="shared" si="39"/>
        <v>3.5637439483593325</v>
      </c>
      <c r="O80" s="155">
        <f t="shared" si="39"/>
        <v>4.00284262683848</v>
      </c>
      <c r="P80" s="155">
        <f t="shared" si="39"/>
        <v>6.1551958508479858</v>
      </c>
      <c r="Q80" s="155">
        <f t="shared" si="39"/>
        <v>4.7058547129030224</v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>
        <f t="shared" si="39"/>
        <v>0</v>
      </c>
      <c r="V80" s="155">
        <f t="shared" si="39"/>
        <v>0</v>
      </c>
      <c r="W80" s="155">
        <f t="shared" si="39"/>
        <v>0</v>
      </c>
      <c r="X80" s="155">
        <f>IF(X$9=0,"",+X47/X$9)</f>
        <v>0.16072002571520411</v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>
        <f t="shared" si="41"/>
        <v>0.56415037290867309</v>
      </c>
      <c r="H81" s="157">
        <f t="shared" si="41"/>
        <v>0.54231007706162837</v>
      </c>
      <c r="I81" s="157">
        <f t="shared" si="41"/>
        <v>0.61785403828157237</v>
      </c>
      <c r="J81" s="157">
        <f t="shared" si="41"/>
        <v>0.58641615124288038</v>
      </c>
      <c r="K81" s="157" t="str">
        <f t="shared" si="41"/>
        <v/>
      </c>
      <c r="L81" s="157" t="str">
        <f t="shared" si="41"/>
        <v/>
      </c>
      <c r="M81" s="157">
        <f t="shared" si="41"/>
        <v>1.0312138923327074</v>
      </c>
      <c r="N81" s="157">
        <f t="shared" si="41"/>
        <v>0.50211477813288585</v>
      </c>
      <c r="O81" s="157">
        <f>IF(O$9=0,"",+O49/O$9)</f>
        <v>0.55360550307427736</v>
      </c>
      <c r="P81" s="157">
        <f>IF(P$9=0,"",+P49/P$9)</f>
        <v>0.64322312148400562</v>
      </c>
      <c r="Q81" s="157">
        <f>IF(Q$9=0,"",+Q49/Q$9)</f>
        <v>0.55736388411887094</v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>
        <f t="shared" si="41"/>
        <v>0.65509157886602665</v>
      </c>
      <c r="V81" s="157">
        <f>IF(V$9=0,"",+V49/V$9)</f>
        <v>0.54449941801719925</v>
      </c>
      <c r="W81" s="157">
        <f t="shared" si="41"/>
        <v>0.66256752097458937</v>
      </c>
      <c r="X81" s="157">
        <f t="shared" si="41"/>
        <v>0.58960261373938783</v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0.59020483222766751</v>
      </c>
      <c r="AH81" s="287">
        <f>'Daily KPIs'!AI93</f>
        <v>1.7</v>
      </c>
      <c r="AI81" s="286">
        <f>AH81-AG81</f>
        <v>1.1097951677723326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>
        <f t="shared" si="43"/>
        <v>20.230016349750272</v>
      </c>
      <c r="H82" s="144">
        <f t="shared" si="43"/>
        <v>16.253801411320087</v>
      </c>
      <c r="I82" s="144">
        <f t="shared" si="43"/>
        <v>21.003936680896299</v>
      </c>
      <c r="J82" s="144">
        <f t="shared" si="43"/>
        <v>20.555361056002901</v>
      </c>
      <c r="K82" s="144" t="str">
        <f t="shared" si="43"/>
        <v/>
      </c>
      <c r="L82" s="144" t="str">
        <f t="shared" si="43"/>
        <v/>
      </c>
      <c r="M82" s="144">
        <f t="shared" si="43"/>
        <v>37.231485464160109</v>
      </c>
      <c r="N82" s="144">
        <f t="shared" ref="N82:S82" si="44">IF(N$9=0,"",N52/N$9)</f>
        <v>10.234612044566795</v>
      </c>
      <c r="O82" s="144">
        <f t="shared" si="44"/>
        <v>13.056844684209286</v>
      </c>
      <c r="P82" s="144">
        <f t="shared" si="44"/>
        <v>17.265825961478136</v>
      </c>
      <c r="Q82" s="144">
        <f t="shared" si="44"/>
        <v>31.405114010132333</v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>
        <f t="shared" si="43"/>
        <v>5.265892131859828</v>
      </c>
      <c r="V82" s="144">
        <f t="shared" si="43"/>
        <v>3.7667646363298539</v>
      </c>
      <c r="W82" s="144">
        <f t="shared" si="43"/>
        <v>9.3973872734934663</v>
      </c>
      <c r="X82" s="144">
        <f t="shared" si="43"/>
        <v>5.8842719862596367</v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20.757738134541665</v>
      </c>
      <c r="AH82" s="239">
        <f>'Daily KPIs'!AI94</f>
        <v>22</v>
      </c>
      <c r="AI82" s="286">
        <f>AH82-AG82</f>
        <v>1.2422618654583353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>
        <f>IF(G$9=0,"",G54/G$9)</f>
        <v>0</v>
      </c>
      <c r="H84" s="144">
        <f t="shared" si="46"/>
        <v>0</v>
      </c>
      <c r="I84" s="144">
        <f t="shared" si="46"/>
        <v>0</v>
      </c>
      <c r="J84" s="144">
        <f t="shared" si="46"/>
        <v>0</v>
      </c>
      <c r="K84" s="144" t="str">
        <f t="shared" si="46"/>
        <v/>
      </c>
      <c r="L84" s="144" t="str">
        <f t="shared" si="46"/>
        <v/>
      </c>
      <c r="M84" s="144">
        <f t="shared" si="46"/>
        <v>0</v>
      </c>
      <c r="N84" s="144">
        <f t="shared" ref="N84:S84" si="47">IF(N$9=0,"",N54/N$9)</f>
        <v>0</v>
      </c>
      <c r="O84" s="144">
        <f t="shared" si="47"/>
        <v>0</v>
      </c>
      <c r="P84" s="144">
        <f t="shared" si="47"/>
        <v>0</v>
      </c>
      <c r="Q84" s="144">
        <f t="shared" si="47"/>
        <v>0</v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>
        <f t="shared" si="46"/>
        <v>0</v>
      </c>
      <c r="V84" s="144">
        <f t="shared" si="46"/>
        <v>0</v>
      </c>
      <c r="W84" s="144">
        <f t="shared" si="46"/>
        <v>0</v>
      </c>
      <c r="X84" s="144">
        <f t="shared" si="46"/>
        <v>0</v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0.15400581641467145</v>
      </c>
      <c r="AH84" s="256">
        <f>'Daily KPIs'!AI96</f>
        <v>7.2</v>
      </c>
      <c r="AI84" s="286">
        <f>AH84-AG84</f>
        <v>7.0459941835853286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467.24000000000524</v>
      </c>
      <c r="H87" s="159">
        <f>IF('Entries October 2026'!M12-'Entries October 2026'!L12&lt;1,0,'Entries October 2026'!M12-'Entries October 2026'!L12)</f>
        <v>547620.29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439.67999999999302</v>
      </c>
      <c r="K87" s="159">
        <f>IF('Entries October 2026'!L16-'Entries October 2026'!L15&lt;1,0,'Entries October 2026'!L16-'Entries October 2026'!L15)</f>
        <v>327.55000000000291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591.47999999999593</v>
      </c>
      <c r="N87" s="119">
        <f>IF('Entries October 2026'!L19-'Entries October 2026'!L18&lt;1,0,'Entries October 2026'!L19-'Entries October 2026'!L18)</f>
        <v>282.16000000000349</v>
      </c>
      <c r="O87" s="119">
        <f>IF('Entries October 2026'!L20-'Entries October 2026'!L19&lt;1,0,'Entries October 2026'!L20-'Entries October 2026'!L19)</f>
        <v>616.39999999999418</v>
      </c>
      <c r="P87" s="119">
        <f>IF('Entries October 2026'!L21-'Entries October 2026'!L20&lt;1,0,'Entries October 2026'!L21-'Entries October 2026'!L20)</f>
        <v>1007.070000000007</v>
      </c>
      <c r="Q87" s="119">
        <f>IF('Entries October 2026'!L22-'Entries October 2026'!L21&lt;1,0,'Entries October 2026'!L22-'Entries October 2026'!L21)</f>
        <v>245.83000000000175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977.27999999999884</v>
      </c>
      <c r="V87" s="119">
        <f>IF('Entries October 2026'!L27-'Entries October 2026'!L26&lt;1,0,'Entries October 2026'!L27-'Entries October 2026'!L26)</f>
        <v>408.61999999999534</v>
      </c>
      <c r="W87" s="119">
        <f>IF('Entries October 2026'!L28-'Entries October 2026'!L27&lt;1,0,'Entries October 2026'!L28-'Entries October 2026'!L27)</f>
        <v>352.2100000000064</v>
      </c>
      <c r="X87" s="119">
        <f>IF('Entries October 2026'!L29-'Entries October 2026'!L28&lt;1,0,'Entries October 2026'!L29-'Entries October 2026'!L28)</f>
        <v>648.3799999999901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555431.52000000014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>
        <f t="shared" si="49"/>
        <v>0</v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 t="str">
        <f t="shared" si="49"/>
        <v/>
      </c>
      <c r="M89" s="160">
        <f t="shared" si="49"/>
        <v>0</v>
      </c>
      <c r="N89" s="160">
        <f t="shared" si="49"/>
        <v>0</v>
      </c>
      <c r="O89" s="160">
        <f>IF(O87=0,"",O88/O87)</f>
        <v>0</v>
      </c>
      <c r="P89" s="160">
        <f>IF(P87=0,"",P88/P87)</f>
        <v>0</v>
      </c>
      <c r="Q89" s="160">
        <f>IF(Q87=0,"",Q88/Q87)</f>
        <v>0</v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>
        <f>IF(U87=0,"",U88/U87)</f>
        <v>0</v>
      </c>
      <c r="V89" s="160">
        <f t="shared" si="49"/>
        <v>0</v>
      </c>
      <c r="W89" s="160">
        <f t="shared" si="49"/>
        <v>0</v>
      </c>
      <c r="X89" s="160">
        <f t="shared" si="49"/>
        <v>0</v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397.8</v>
      </c>
      <c r="G93" s="165">
        <f>'Daily KPIs'!G12</f>
        <v>446.2</v>
      </c>
      <c r="H93" s="165">
        <f>'Daily KPIs'!H12</f>
        <v>346.2</v>
      </c>
      <c r="I93" s="165">
        <f>'Daily KPIs'!I12</f>
        <v>345.5</v>
      </c>
      <c r="J93" s="165">
        <f>'Daily KPIs'!J12</f>
        <v>343.9</v>
      </c>
      <c r="K93" s="165">
        <f>'Daily KPIs'!K12</f>
        <v>415.9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2696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 t="str">
        <f>'Daily KPIs'!F13</f>
        <v>CB</v>
      </c>
      <c r="G94" s="166" t="str">
        <f>'Daily KPIs'!G10</f>
        <v>CB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GU</v>
      </c>
      <c r="L94" s="166">
        <f>'Daily KPIs'!L13</f>
        <v>0</v>
      </c>
      <c r="M94" s="166" t="str">
        <f>'Daily KPIs'!M13</f>
        <v>ST</v>
      </c>
      <c r="N94" s="166" t="str">
        <f>'Daily KPIs'!N13</f>
        <v>SM</v>
      </c>
      <c r="O94" s="166" t="str">
        <f>'Daily KPIs'!O13</f>
        <v>SM/ST</v>
      </c>
      <c r="P94" s="166" t="str">
        <f>'Daily KPIs'!P13</f>
        <v>ST</v>
      </c>
      <c r="Q94" s="166" t="str">
        <f>'Daily KPIs'!Q13</f>
        <v>CB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 t="str">
        <f>'Daily KPIs'!U13</f>
        <v>CB</v>
      </c>
      <c r="V94" s="166" t="str">
        <f>'Daily KPIs'!V13</f>
        <v>CB/VM</v>
      </c>
      <c r="W94" s="166" t="str">
        <f>'Daily KPIs'!W13</f>
        <v>VM/CB</v>
      </c>
      <c r="X94" s="166" t="str">
        <f>'Daily KPIs'!X13</f>
        <v>CB/ST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8</v>
      </c>
      <c r="G95" s="174">
        <f>'Daily KPIs'!G14</f>
        <v>9</v>
      </c>
      <c r="H95" s="174">
        <f>'Daily KPIs'!H14</f>
        <v>7</v>
      </c>
      <c r="I95" s="174">
        <f>'Daily KPIs'!I14</f>
        <v>7</v>
      </c>
      <c r="J95" s="174">
        <f>'Daily KPIs'!J14</f>
        <v>7</v>
      </c>
      <c r="K95" s="174">
        <f>'Daily KPIs'!K14</f>
        <v>8</v>
      </c>
      <c r="L95" s="174">
        <f>'Daily KPIs'!L14</f>
        <v>0</v>
      </c>
      <c r="M95" s="174">
        <f>'Daily KPIs'!M14</f>
        <v>1</v>
      </c>
      <c r="N95" s="174">
        <f>'Daily KPIs'!N14</f>
        <v>4</v>
      </c>
      <c r="O95" s="174">
        <f>'Daily KPIs'!O14</f>
        <v>6</v>
      </c>
      <c r="P95" s="174">
        <f>'Daily KPIs'!P14</f>
        <v>6</v>
      </c>
      <c r="Q95" s="174">
        <f>'Daily KPIs'!Q14</f>
        <v>8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4</v>
      </c>
      <c r="V95" s="174">
        <f>'Daily KPIs'!V14</f>
        <v>8</v>
      </c>
      <c r="W95" s="174">
        <f>'Daily KPIs'!W14</f>
        <v>9</v>
      </c>
      <c r="X95" s="174">
        <f>'Daily KPIs'!X14</f>
        <v>9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109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>
        <f>+'Water '!$F12</f>
        <v>169</v>
      </c>
      <c r="H96" s="110">
        <f>+'Water '!$F13</f>
        <v>151</v>
      </c>
      <c r="I96" s="110">
        <f>+'Water '!$F14</f>
        <v>207</v>
      </c>
      <c r="J96" s="110">
        <f>+'Water '!$F15</f>
        <v>158</v>
      </c>
      <c r="K96" s="110">
        <f>+'Water '!$F16</f>
        <v>170</v>
      </c>
      <c r="L96" s="110">
        <f>+'Water '!$F17</f>
        <v>5</v>
      </c>
      <c r="M96" s="110">
        <f>+'Water '!$F18</f>
        <v>247</v>
      </c>
      <c r="N96" s="110">
        <f>+'Water '!$F19</f>
        <v>114</v>
      </c>
      <c r="O96" s="110">
        <f>+'Water '!$F19</f>
        <v>114</v>
      </c>
      <c r="P96" s="110">
        <f>+'Water '!$F19</f>
        <v>114</v>
      </c>
      <c r="Q96" s="110">
        <f>+'Water '!$F19</f>
        <v>114</v>
      </c>
      <c r="R96" s="110">
        <f>+'Water '!$F19</f>
        <v>114</v>
      </c>
      <c r="S96" s="110">
        <f>+'Water '!$F19</f>
        <v>114</v>
      </c>
      <c r="T96" s="110">
        <f>+'Water '!$F25</f>
        <v>88</v>
      </c>
      <c r="U96" s="110">
        <f>+'Water '!$F26</f>
        <v>134</v>
      </c>
      <c r="V96" s="110">
        <f>+'Water '!$F27</f>
        <v>140</v>
      </c>
      <c r="W96" s="110">
        <f>+'Water '!$F28</f>
        <v>216</v>
      </c>
      <c r="X96" s="110">
        <f>+'Water '!$F29</f>
        <v>202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3144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7226</v>
      </c>
      <c r="H101" s="159">
        <f>'Daily KPIs CO2'!H52</f>
        <v>6606</v>
      </c>
      <c r="I101" s="159">
        <f>'Daily KPIs CO2'!I52</f>
        <v>7587</v>
      </c>
      <c r="J101" s="159">
        <f>'Daily KPIs CO2'!J52</f>
        <v>6341</v>
      </c>
      <c r="K101" s="159">
        <f>'Daily KPIs CO2'!K52</f>
        <v>4500</v>
      </c>
      <c r="L101" s="159">
        <f>'Daily KPIs CO2'!L52</f>
        <v>2914</v>
      </c>
      <c r="M101" s="159">
        <f>'Daily KPIs CO2'!M52</f>
        <v>8829</v>
      </c>
      <c r="N101" s="159">
        <f>'Daily KPIs CO2'!N52</f>
        <v>5822</v>
      </c>
      <c r="O101" s="159">
        <f>'Daily KPIs CO2'!O52</f>
        <v>6651</v>
      </c>
      <c r="P101" s="159">
        <f>'Daily KPIs CO2'!P52</f>
        <v>8256</v>
      </c>
      <c r="Q101" s="159">
        <f>'Daily KPIs CO2'!Q52</f>
        <v>7352</v>
      </c>
      <c r="R101" s="159">
        <f>'Daily KPIs CO2'!R52</f>
        <v>3261</v>
      </c>
      <c r="S101" s="159">
        <f>'Daily KPIs CO2'!S52</f>
        <v>2453</v>
      </c>
      <c r="T101" s="159">
        <f>'Daily KPIs CO2'!T52</f>
        <v>2453</v>
      </c>
      <c r="U101" s="159">
        <f>'Daily KPIs CO2'!U52</f>
        <v>2453</v>
      </c>
      <c r="V101" s="159">
        <f>'Daily KPIs CO2'!V52</f>
        <v>2453</v>
      </c>
      <c r="W101" s="159">
        <f>'Daily KPIs CO2'!W52</f>
        <v>2453</v>
      </c>
      <c r="X101" s="159">
        <f>'Daily KPIs CO2'!X52</f>
        <v>2453</v>
      </c>
      <c r="Y101" s="159">
        <f>'Daily KPIs CO2'!Y52</f>
        <v>2453</v>
      </c>
      <c r="Z101" s="159">
        <f>'Daily KPIs CO2'!Z52</f>
        <v>2453</v>
      </c>
      <c r="AA101" s="159">
        <f>'Daily KPIs CO2'!AA52</f>
        <v>2453</v>
      </c>
      <c r="AB101" s="159">
        <f>'Daily KPIs CO2'!AB52</f>
        <v>2453</v>
      </c>
      <c r="AC101" s="159">
        <f>'Daily KPIs CO2'!AC52</f>
        <v>2453</v>
      </c>
      <c r="AD101" s="159">
        <f>'Daily KPIs CO2'!AD52</f>
        <v>2453</v>
      </c>
      <c r="AE101" s="159">
        <f>'Daily KPIs CO2'!AE52</f>
        <v>2453</v>
      </c>
      <c r="AF101" s="207">
        <f>'Daily KPIs CO2'!AF52</f>
        <v>2453</v>
      </c>
      <c r="AG101" s="263">
        <f>'Daily KPIs CO2'!AG52</f>
        <v>129394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R1" activePane="topRight" state="frozen"/>
      <selection pane="topRight" activeCell="X8" sqref="X8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69" customWidth="1"/>
    <col min="11" max="11" width="29.7109375" style="469" customWidth="1"/>
    <col min="12" max="12" width="30.5703125" style="469" customWidth="1"/>
    <col min="13" max="13" width="29.7109375" style="470" customWidth="1"/>
    <col min="14" max="28" width="29.7109375" style="469" customWidth="1"/>
    <col min="29" max="33" width="29.7109375" style="469" hidden="1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901"/>
      <c r="L3" s="901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900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/>
      <c r="AH7" s="477" t="s">
        <v>19</v>
      </c>
      <c r="AI7" s="900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>
        <f>2895+1401</f>
        <v>4296</v>
      </c>
      <c r="D8" s="778"/>
      <c r="E8" s="678"/>
      <c r="F8" s="678">
        <f>4947</f>
        <v>4947</v>
      </c>
      <c r="G8" s="678">
        <v>5412</v>
      </c>
      <c r="H8" s="678">
        <v>6158</v>
      </c>
      <c r="I8" s="678">
        <f>4628+845</f>
        <v>5473</v>
      </c>
      <c r="J8" s="678">
        <v>4674</v>
      </c>
      <c r="K8" s="678"/>
      <c r="L8" s="680"/>
      <c r="M8" s="680">
        <f>2979+614</f>
        <v>3593</v>
      </c>
      <c r="N8" s="678">
        <f>842+7777</f>
        <v>8619</v>
      </c>
      <c r="O8" s="678">
        <v>7718</v>
      </c>
      <c r="P8" s="678">
        <f>5620+1625</f>
        <v>7245</v>
      </c>
      <c r="Q8" s="678">
        <f>1830+1717</f>
        <v>3547</v>
      </c>
      <c r="R8" s="678"/>
      <c r="S8" s="678"/>
      <c r="T8" s="678"/>
      <c r="U8" s="678">
        <f>4295+2763</f>
        <v>7058</v>
      </c>
      <c r="V8" s="678">
        <f>2842+7025</f>
        <v>9867</v>
      </c>
      <c r="W8" s="678">
        <f>3955</f>
        <v>3955</v>
      </c>
      <c r="X8" s="678">
        <f>2020+(2064+1941)</f>
        <v>6025</v>
      </c>
      <c r="Y8" s="678"/>
      <c r="Z8" s="678"/>
      <c r="AA8" s="678"/>
      <c r="AB8" s="678"/>
      <c r="AC8" s="678"/>
      <c r="AD8" s="678"/>
      <c r="AE8" s="678"/>
      <c r="AF8" s="884"/>
      <c r="AG8" s="747"/>
      <c r="AH8" s="480">
        <f>SUM(B8:AG8)</f>
        <v>94071</v>
      </c>
      <c r="AI8" s="526">
        <v>123950</v>
      </c>
      <c r="AJ8" s="294">
        <f>AH8-AI8</f>
        <v>-29879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J9" si="0">C8*0.066</f>
        <v>283.536</v>
      </c>
      <c r="D9" s="678">
        <f t="shared" si="0"/>
        <v>0</v>
      </c>
      <c r="E9" s="678">
        <f t="shared" si="0"/>
        <v>0</v>
      </c>
      <c r="F9" s="678">
        <f t="shared" si="0"/>
        <v>326.50200000000001</v>
      </c>
      <c r="G9" s="678">
        <f t="shared" si="0"/>
        <v>357.19200000000001</v>
      </c>
      <c r="H9" s="678">
        <f t="shared" si="0"/>
        <v>406.428</v>
      </c>
      <c r="I9" s="678">
        <f t="shared" si="0"/>
        <v>361.21800000000002</v>
      </c>
      <c r="J9" s="678">
        <f t="shared" si="0"/>
        <v>308.48400000000004</v>
      </c>
      <c r="K9" s="678">
        <f>K8*0.066</f>
        <v>0</v>
      </c>
      <c r="L9" s="678">
        <f>L8*0.066</f>
        <v>0</v>
      </c>
      <c r="M9" s="678">
        <f t="shared" ref="M9:O9" si="1">M8*0.066</f>
        <v>237.13800000000001</v>
      </c>
      <c r="N9" s="678">
        <f t="shared" si="1"/>
        <v>568.85400000000004</v>
      </c>
      <c r="O9" s="678">
        <f t="shared" si="1"/>
        <v>509.38800000000003</v>
      </c>
      <c r="P9" s="678">
        <f>P8*0.066</f>
        <v>478.17</v>
      </c>
      <c r="Q9" s="678">
        <f>Q8*0.066</f>
        <v>234.102</v>
      </c>
      <c r="R9" s="678">
        <f>R8*0.066</f>
        <v>0</v>
      </c>
      <c r="S9" s="678">
        <f>S8*0.066</f>
        <v>0</v>
      </c>
      <c r="T9" s="678">
        <f t="shared" ref="T9" si="2">T8*0.066</f>
        <v>0</v>
      </c>
      <c r="U9" s="678">
        <f t="shared" ref="U9:Z9" si="3">U8*0.066</f>
        <v>465.82800000000003</v>
      </c>
      <c r="V9" s="678">
        <f>V8*0.066</f>
        <v>651.22199999999998</v>
      </c>
      <c r="W9" s="678">
        <f>W8*0.066</f>
        <v>261.03000000000003</v>
      </c>
      <c r="X9" s="678">
        <f>2020*0.066+(2064+1941)*0.0708</f>
        <v>416.87400000000002</v>
      </c>
      <c r="Y9" s="678">
        <f t="shared" si="3"/>
        <v>0</v>
      </c>
      <c r="Z9" s="678">
        <f t="shared" si="3"/>
        <v>0</v>
      </c>
      <c r="AA9" s="678">
        <f t="shared" ref="AA9:AE9" si="4">AA8*0.066</f>
        <v>0</v>
      </c>
      <c r="AB9" s="678">
        <f t="shared" si="4"/>
        <v>0</v>
      </c>
      <c r="AC9" s="678">
        <f t="shared" si="4"/>
        <v>0</v>
      </c>
      <c r="AD9" s="678">
        <f t="shared" si="4"/>
        <v>0</v>
      </c>
      <c r="AE9" s="678">
        <f t="shared" si="4"/>
        <v>0</v>
      </c>
      <c r="AF9" s="778"/>
      <c r="AG9" s="748"/>
      <c r="AH9" s="484">
        <f>SUM(B9:AG9)</f>
        <v>6233.5307999999995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305</v>
      </c>
      <c r="C10" s="752" t="s">
        <v>308</v>
      </c>
      <c r="D10" s="752"/>
      <c r="E10" s="796"/>
      <c r="F10" s="770" t="s">
        <v>307</v>
      </c>
      <c r="G10" s="770" t="s">
        <v>307</v>
      </c>
      <c r="H10" s="770" t="s">
        <v>307</v>
      </c>
      <c r="I10" s="770" t="s">
        <v>310</v>
      </c>
      <c r="J10" s="892" t="s">
        <v>309</v>
      </c>
      <c r="K10" s="871"/>
      <c r="L10" s="871"/>
      <c r="M10" s="681" t="s">
        <v>312</v>
      </c>
      <c r="N10" s="770" t="s">
        <v>307</v>
      </c>
      <c r="O10" s="770" t="s">
        <v>307</v>
      </c>
      <c r="P10" s="770" t="s">
        <v>316</v>
      </c>
      <c r="Q10" s="892" t="s">
        <v>317</v>
      </c>
      <c r="R10" s="879"/>
      <c r="S10" s="681"/>
      <c r="T10" s="681"/>
      <c r="U10" s="800" t="s">
        <v>318</v>
      </c>
      <c r="V10" s="796" t="s">
        <v>319</v>
      </c>
      <c r="W10" s="878" t="s">
        <v>320</v>
      </c>
      <c r="X10" s="878" t="s">
        <v>323</v>
      </c>
      <c r="Y10" s="871"/>
      <c r="Z10" s="871"/>
      <c r="AA10" s="796"/>
      <c r="AB10" s="801"/>
      <c r="AC10" s="878"/>
      <c r="AD10" s="878"/>
      <c r="AE10" s="871"/>
      <c r="AF10" s="885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B12" s="291">
        <v>249.3</v>
      </c>
      <c r="C12" s="291">
        <v>151.19999999999999</v>
      </c>
      <c r="D12" s="494"/>
      <c r="E12" s="494"/>
      <c r="F12" s="494">
        <v>397.8</v>
      </c>
      <c r="G12" s="494">
        <v>446.2</v>
      </c>
      <c r="H12" s="494">
        <v>346.2</v>
      </c>
      <c r="I12" s="494">
        <v>345.5</v>
      </c>
      <c r="J12" s="494">
        <v>343.9</v>
      </c>
      <c r="K12" s="494">
        <v>415.9</v>
      </c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2696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0" t="s">
        <v>307</v>
      </c>
      <c r="C13" s="770" t="s">
        <v>307</v>
      </c>
      <c r="D13" s="669"/>
      <c r="E13" s="799"/>
      <c r="F13" s="669" t="s">
        <v>307</v>
      </c>
      <c r="G13" s="770" t="s">
        <v>310</v>
      </c>
      <c r="H13" s="682" t="s">
        <v>309</v>
      </c>
      <c r="I13" s="770" t="s">
        <v>314</v>
      </c>
      <c r="J13" s="669" t="s">
        <v>307</v>
      </c>
      <c r="K13" s="895" t="s">
        <v>311</v>
      </c>
      <c r="L13" s="669"/>
      <c r="M13" s="798" t="s">
        <v>309</v>
      </c>
      <c r="N13" s="898" t="s">
        <v>313</v>
      </c>
      <c r="O13" s="770" t="s">
        <v>315</v>
      </c>
      <c r="P13" s="798" t="s">
        <v>309</v>
      </c>
      <c r="Q13" s="669" t="s">
        <v>307</v>
      </c>
      <c r="R13" s="681"/>
      <c r="S13" s="796"/>
      <c r="T13" s="800"/>
      <c r="U13" s="669" t="s">
        <v>307</v>
      </c>
      <c r="V13" s="770" t="s">
        <v>321</v>
      </c>
      <c r="W13" s="899" t="s">
        <v>322</v>
      </c>
      <c r="X13" s="770" t="s">
        <v>310</v>
      </c>
      <c r="Y13" s="669"/>
      <c r="Z13" s="669"/>
      <c r="AA13" s="669"/>
      <c r="AB13" s="794"/>
      <c r="AC13" s="878"/>
      <c r="AD13" s="883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B14" s="291">
        <v>5</v>
      </c>
      <c r="C14" s="291">
        <v>3</v>
      </c>
      <c r="D14" s="498"/>
      <c r="E14" s="498"/>
      <c r="F14" s="498">
        <v>8</v>
      </c>
      <c r="G14" s="498">
        <f>4+5</f>
        <v>9</v>
      </c>
      <c r="H14" s="498">
        <v>7</v>
      </c>
      <c r="I14" s="498">
        <f>2+5</f>
        <v>7</v>
      </c>
      <c r="J14" s="498">
        <v>7</v>
      </c>
      <c r="K14" s="896">
        <v>8</v>
      </c>
      <c r="L14" s="498"/>
      <c r="M14" s="498">
        <v>1</v>
      </c>
      <c r="N14" s="498">
        <v>4</v>
      </c>
      <c r="O14" s="498">
        <f>4+2</f>
        <v>6</v>
      </c>
      <c r="P14" s="498">
        <v>6</v>
      </c>
      <c r="Q14" s="469">
        <v>8</v>
      </c>
      <c r="R14" s="498"/>
      <c r="S14" s="498"/>
      <c r="T14" s="498"/>
      <c r="U14" s="469">
        <v>4</v>
      </c>
      <c r="V14" s="498">
        <f>4+4</f>
        <v>8</v>
      </c>
      <c r="W14" s="726">
        <f>2+7</f>
        <v>9</v>
      </c>
      <c r="X14" s="498">
        <f>1+8</f>
        <v>9</v>
      </c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109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11.25</v>
      </c>
      <c r="AI15" s="502"/>
      <c r="AJ15" s="503"/>
      <c r="AK15" s="291"/>
      <c r="AL15" s="291"/>
      <c r="AM15" s="291"/>
      <c r="AN15" s="291"/>
      <c r="AO15" s="795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>
        <f>+'Water '!$D11</f>
        <v>73</v>
      </c>
      <c r="G20" s="508">
        <f>+'Water '!$D12</f>
        <v>250</v>
      </c>
      <c r="H20" s="508">
        <f>+'Water '!$D13</f>
        <v>234</v>
      </c>
      <c r="I20" s="508">
        <f>+'Water '!$D14</f>
        <v>359</v>
      </c>
      <c r="J20" s="509">
        <f>+'Water '!$D15</f>
        <v>378</v>
      </c>
      <c r="K20" s="509">
        <f>+'Water '!$D16</f>
        <v>155</v>
      </c>
      <c r="L20" s="509" t="str">
        <f>+'Water '!$D17</f>
        <v>0</v>
      </c>
      <c r="M20" s="509">
        <f>+'Water '!$D18</f>
        <v>144</v>
      </c>
      <c r="N20" s="509">
        <f>+'Water '!$D19</f>
        <v>235</v>
      </c>
      <c r="O20" s="509">
        <f>+'Water '!$D20</f>
        <v>182</v>
      </c>
      <c r="P20" s="509">
        <f>+'Water '!$D21</f>
        <v>249</v>
      </c>
      <c r="Q20" s="509">
        <f>+'Water '!$D22</f>
        <v>260</v>
      </c>
      <c r="R20" s="509" t="str">
        <f>+'Water '!$D23</f>
        <v>0</v>
      </c>
      <c r="S20" s="510" t="str">
        <f>+'Water '!$D24</f>
        <v>0</v>
      </c>
      <c r="T20" s="509">
        <f>+'Water '!$D25</f>
        <v>35</v>
      </c>
      <c r="U20" s="509">
        <f>+'Water '!$D26</f>
        <v>266</v>
      </c>
      <c r="V20" s="509">
        <f>+'Water '!$D27</f>
        <v>440</v>
      </c>
      <c r="W20" s="509">
        <f>+'Water '!$D28</f>
        <v>197</v>
      </c>
      <c r="X20" s="509">
        <f>+'Water '!$D29</f>
        <v>210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3918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>
        <f>+'Water '!$E11</f>
        <v>69</v>
      </c>
      <c r="G21" s="511">
        <f>+'Water '!$E12</f>
        <v>92</v>
      </c>
      <c r="H21" s="511">
        <f>+'Water '!$E13</f>
        <v>147</v>
      </c>
      <c r="I21" s="511">
        <f>+'Water '!$E14</f>
        <v>90</v>
      </c>
      <c r="J21" s="511">
        <f>+'Water '!$E15</f>
        <v>261</v>
      </c>
      <c r="K21" s="511">
        <f>+'Water '!$E16</f>
        <v>160</v>
      </c>
      <c r="L21" s="511">
        <f>+'Water '!$E17</f>
        <v>3</v>
      </c>
      <c r="M21" s="511">
        <f>+'Water '!$E18</f>
        <v>237</v>
      </c>
      <c r="N21" s="511">
        <f>+'Water '!$E19</f>
        <v>112</v>
      </c>
      <c r="O21" s="511">
        <f>+'Water '!$E20</f>
        <v>166</v>
      </c>
      <c r="P21" s="511">
        <f>+'Water '!$E21</f>
        <v>210</v>
      </c>
      <c r="Q21" s="511">
        <f>+'Water '!$E22</f>
        <v>289</v>
      </c>
      <c r="R21" s="511" t="str">
        <f>+'Water '!$E23</f>
        <v>0</v>
      </c>
      <c r="S21" s="511" t="str">
        <f>+'Water '!$E24</f>
        <v>0</v>
      </c>
      <c r="T21" s="511">
        <f>+'Water '!$E25</f>
        <v>83</v>
      </c>
      <c r="U21" s="511">
        <f>+'Water '!$E26</f>
        <v>130</v>
      </c>
      <c r="V21" s="511">
        <f>+'Water '!$E27</f>
        <v>134</v>
      </c>
      <c r="W21" s="511">
        <f>+'Water '!$E28</f>
        <v>208</v>
      </c>
      <c r="X21" s="511">
        <f>+'Water '!$E29</f>
        <v>193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3071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5">SUM(F19:F21)</f>
        <v>142</v>
      </c>
      <c r="G22" s="514">
        <f t="shared" si="5"/>
        <v>342</v>
      </c>
      <c r="H22" s="514">
        <f t="shared" si="5"/>
        <v>381</v>
      </c>
      <c r="I22" s="514">
        <f>SUM(I19:I21)</f>
        <v>449</v>
      </c>
      <c r="J22" s="514">
        <f>SUM(J19:J21)</f>
        <v>639</v>
      </c>
      <c r="K22" s="514">
        <f t="shared" si="5"/>
        <v>315</v>
      </c>
      <c r="L22" s="514">
        <f>SUM(L19:L21)</f>
        <v>3</v>
      </c>
      <c r="M22" s="514">
        <f t="shared" si="5"/>
        <v>381</v>
      </c>
      <c r="N22" s="514">
        <f>SUM(N19:N21)</f>
        <v>347</v>
      </c>
      <c r="O22" s="514">
        <f t="shared" si="5"/>
        <v>348</v>
      </c>
      <c r="P22" s="514">
        <f>SUM(P19:P21)</f>
        <v>459</v>
      </c>
      <c r="Q22" s="514">
        <f t="shared" si="5"/>
        <v>549</v>
      </c>
      <c r="R22" s="514">
        <f>SUM(R19:R21)</f>
        <v>0</v>
      </c>
      <c r="S22" s="514">
        <f>SUM(S19:S21)</f>
        <v>0</v>
      </c>
      <c r="T22" s="514">
        <f t="shared" si="5"/>
        <v>118</v>
      </c>
      <c r="U22" s="514">
        <f t="shared" si="5"/>
        <v>396</v>
      </c>
      <c r="V22" s="514">
        <f>SUM(V19:V21)</f>
        <v>574</v>
      </c>
      <c r="W22" s="514">
        <f t="shared" si="5"/>
        <v>405</v>
      </c>
      <c r="X22" s="514">
        <f t="shared" si="5"/>
        <v>403</v>
      </c>
      <c r="Y22" s="514">
        <f>SUM(Y19:Y21)</f>
        <v>0</v>
      </c>
      <c r="Z22" s="514">
        <f t="shared" si="5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5"/>
        <v>0</v>
      </c>
      <c r="AF22" s="515">
        <f t="shared" si="5"/>
        <v>0</v>
      </c>
      <c r="AG22" s="515"/>
      <c r="AH22" s="516">
        <f>SUM($B22:AF22)</f>
        <v>6989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6">0.73*(D71+D19)</f>
        <v>97.82</v>
      </c>
      <c r="E26" s="485">
        <f t="shared" si="6"/>
        <v>0</v>
      </c>
      <c r="F26" s="485">
        <f t="shared" si="6"/>
        <v>0</v>
      </c>
      <c r="G26" s="485">
        <f t="shared" si="6"/>
        <v>123.36999999999999</v>
      </c>
      <c r="H26" s="485">
        <f t="shared" si="6"/>
        <v>110.23</v>
      </c>
      <c r="I26" s="485">
        <f t="shared" si="6"/>
        <v>151.10999999999999</v>
      </c>
      <c r="J26" s="521">
        <f t="shared" si="6"/>
        <v>115.34</v>
      </c>
      <c r="K26" s="521">
        <f>0.73*(K71+K19)</f>
        <v>124.1</v>
      </c>
      <c r="L26" s="521">
        <f t="shared" si="6"/>
        <v>3.65</v>
      </c>
      <c r="M26" s="521">
        <f t="shared" si="6"/>
        <v>180.31</v>
      </c>
      <c r="N26" s="521">
        <f t="shared" si="6"/>
        <v>83.22</v>
      </c>
      <c r="O26" s="521">
        <f t="shared" si="6"/>
        <v>127.75</v>
      </c>
      <c r="P26" s="521">
        <f t="shared" si="6"/>
        <v>160.6</v>
      </c>
      <c r="Q26" s="521">
        <f t="shared" si="6"/>
        <v>219</v>
      </c>
      <c r="R26" s="521">
        <f t="shared" si="6"/>
        <v>0</v>
      </c>
      <c r="S26" s="521">
        <f t="shared" si="6"/>
        <v>0</v>
      </c>
      <c r="T26" s="521">
        <f t="shared" si="6"/>
        <v>64.239999999999995</v>
      </c>
      <c r="U26" s="521">
        <f t="shared" si="6"/>
        <v>97.82</v>
      </c>
      <c r="V26" s="521">
        <f t="shared" si="6"/>
        <v>102.2</v>
      </c>
      <c r="W26" s="521">
        <f t="shared" si="6"/>
        <v>157.68</v>
      </c>
      <c r="X26" s="521">
        <f t="shared" si="6"/>
        <v>147.46</v>
      </c>
      <c r="Y26" s="521">
        <f t="shared" si="6"/>
        <v>0</v>
      </c>
      <c r="Z26" s="521">
        <f t="shared" si="6"/>
        <v>0</v>
      </c>
      <c r="AA26" s="521">
        <f t="shared" si="6"/>
        <v>0</v>
      </c>
      <c r="AB26" s="521">
        <f t="shared" si="6"/>
        <v>0</v>
      </c>
      <c r="AC26" s="521">
        <f t="shared" si="6"/>
        <v>0</v>
      </c>
      <c r="AD26" s="521">
        <f t="shared" si="6"/>
        <v>0</v>
      </c>
      <c r="AE26" s="521">
        <f t="shared" si="6"/>
        <v>0</v>
      </c>
      <c r="AF26" s="521">
        <f t="shared" si="6"/>
        <v>0</v>
      </c>
      <c r="AG26" s="521"/>
      <c r="AH26" s="484">
        <f>SUM($B26:AF26)</f>
        <v>2386.37</v>
      </c>
      <c r="AI26" s="523">
        <f>AH29+AH45+AH36</f>
        <v>7309</v>
      </c>
      <c r="AK26" s="524">
        <f>(AI26*10)/AH9</f>
        <v>11.725297001821184</v>
      </c>
    </row>
    <row r="27" spans="1:149" hidden="1" outlineLevel="1" x14ac:dyDescent="0.35">
      <c r="E27" s="485">
        <f>0.73*(E112+E20)</f>
        <v>46.72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186</v>
      </c>
      <c r="G29" s="508">
        <f>'Water '!H12</f>
        <v>203</v>
      </c>
      <c r="H29" s="508">
        <f>'Water '!H13</f>
        <v>219</v>
      </c>
      <c r="I29" s="508">
        <f>'Water '!H14</f>
        <v>218</v>
      </c>
      <c r="J29" s="509">
        <f>'Water '!H15</f>
        <v>206</v>
      </c>
      <c r="K29" s="509">
        <f>'Water '!H16</f>
        <v>57</v>
      </c>
      <c r="L29" s="509">
        <f>'Water '!H17</f>
        <v>43</v>
      </c>
      <c r="M29" s="509">
        <f>'Water '!H18</f>
        <v>169</v>
      </c>
      <c r="N29" s="509">
        <f>'Water '!H19</f>
        <v>239</v>
      </c>
      <c r="O29" s="509">
        <f>'Water '!$H20</f>
        <v>221</v>
      </c>
      <c r="P29" s="509">
        <f>'Water '!$H21</f>
        <v>225</v>
      </c>
      <c r="Q29" s="509">
        <f>'Water '!$H22</f>
        <v>201</v>
      </c>
      <c r="R29" s="509">
        <f>'Water '!$H23</f>
        <v>35</v>
      </c>
      <c r="S29" s="509">
        <f>'Water '!$H24</f>
        <v>67</v>
      </c>
      <c r="T29" s="509">
        <f>'Water '!$H25</f>
        <v>198</v>
      </c>
      <c r="U29" s="509">
        <f>'Water '!$H26</f>
        <v>78</v>
      </c>
      <c r="V29" s="509">
        <f>'Water '!$H27</f>
        <v>292</v>
      </c>
      <c r="W29" s="509">
        <f>'Water '!$H28</f>
        <v>196</v>
      </c>
      <c r="X29" s="509">
        <f>'Water '!$H29</f>
        <v>245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3829</v>
      </c>
      <c r="AI29" s="484"/>
      <c r="AJ29" s="484"/>
    </row>
    <row r="30" spans="1:149" hidden="1" outlineLevel="1" x14ac:dyDescent="0.35">
      <c r="A30" s="507" t="str">
        <f t="shared" ref="A30:AF30" si="7">A36</f>
        <v>Brewhouse</v>
      </c>
      <c r="B30" s="508">
        <f t="shared" si="7"/>
        <v>157</v>
      </c>
      <c r="C30" s="508">
        <f t="shared" si="7"/>
        <v>126</v>
      </c>
      <c r="D30" s="508" t="str">
        <f t="shared" si="7"/>
        <v>0</v>
      </c>
      <c r="E30" s="508" t="str">
        <f t="shared" si="7"/>
        <v>0</v>
      </c>
      <c r="F30" s="508">
        <f t="shared" si="7"/>
        <v>182</v>
      </c>
      <c r="G30" s="508">
        <f t="shared" si="7"/>
        <v>234</v>
      </c>
      <c r="H30" s="508">
        <f>H36</f>
        <v>227</v>
      </c>
      <c r="I30" s="508">
        <f t="shared" si="7"/>
        <v>187</v>
      </c>
      <c r="J30" s="509">
        <f t="shared" si="7"/>
        <v>192</v>
      </c>
      <c r="K30" s="509">
        <f t="shared" si="7"/>
        <v>162</v>
      </c>
      <c r="L30" s="509">
        <f t="shared" si="7"/>
        <v>18</v>
      </c>
      <c r="M30" s="509">
        <f t="shared" si="7"/>
        <v>72</v>
      </c>
      <c r="N30" s="509">
        <f t="shared" si="7"/>
        <v>86</v>
      </c>
      <c r="O30" s="509">
        <f t="shared" si="7"/>
        <v>216</v>
      </c>
      <c r="P30" s="509">
        <f t="shared" si="7"/>
        <v>220</v>
      </c>
      <c r="Q30" s="509">
        <f t="shared" si="7"/>
        <v>187</v>
      </c>
      <c r="R30" s="509">
        <f t="shared" si="7"/>
        <v>22</v>
      </c>
      <c r="S30" s="509" t="str">
        <f t="shared" si="7"/>
        <v>0</v>
      </c>
      <c r="T30" s="509" t="str">
        <f t="shared" si="7"/>
        <v>0</v>
      </c>
      <c r="U30" s="509">
        <f t="shared" si="7"/>
        <v>140</v>
      </c>
      <c r="V30" s="509">
        <f t="shared" si="7"/>
        <v>210</v>
      </c>
      <c r="W30" s="509">
        <f t="shared" si="7"/>
        <v>216</v>
      </c>
      <c r="X30" s="509">
        <f t="shared" si="7"/>
        <v>179</v>
      </c>
      <c r="Y30" s="509" t="str">
        <f>Y36</f>
        <v>0</v>
      </c>
      <c r="Z30" s="509" t="str">
        <f t="shared" si="7"/>
        <v>0</v>
      </c>
      <c r="AA30" s="509" t="str">
        <f t="shared" si="7"/>
        <v>0</v>
      </c>
      <c r="AB30" s="509" t="str">
        <f t="shared" si="7"/>
        <v>0</v>
      </c>
      <c r="AC30" s="509" t="str">
        <f>AC36</f>
        <v>0</v>
      </c>
      <c r="AD30" s="509" t="str">
        <f t="shared" si="7"/>
        <v>0</v>
      </c>
      <c r="AE30" s="509" t="str">
        <f t="shared" si="7"/>
        <v>0</v>
      </c>
      <c r="AF30" s="509" t="str">
        <f t="shared" si="7"/>
        <v>0</v>
      </c>
      <c r="AG30" s="509"/>
      <c r="AH30" s="484">
        <f>AH36</f>
        <v>3033</v>
      </c>
      <c r="AI30" s="484"/>
      <c r="AJ30" s="484"/>
    </row>
    <row r="31" spans="1:149" hidden="1" outlineLevel="1" x14ac:dyDescent="0.35">
      <c r="A31" s="507" t="str">
        <f t="shared" ref="A31:AF31" si="8">A45</f>
        <v>Boiler Supply</v>
      </c>
      <c r="B31" s="508">
        <f t="shared" si="8"/>
        <v>19</v>
      </c>
      <c r="C31" s="508">
        <f t="shared" si="8"/>
        <v>16</v>
      </c>
      <c r="D31" s="508">
        <f t="shared" si="8"/>
        <v>3</v>
      </c>
      <c r="E31" s="508">
        <f t="shared" si="8"/>
        <v>2</v>
      </c>
      <c r="F31" s="508">
        <f t="shared" si="8"/>
        <v>20</v>
      </c>
      <c r="G31" s="508">
        <f t="shared" si="8"/>
        <v>16</v>
      </c>
      <c r="H31" s="508">
        <f t="shared" si="8"/>
        <v>16</v>
      </c>
      <c r="I31" s="508">
        <f t="shared" si="8"/>
        <v>17</v>
      </c>
      <c r="J31" s="509">
        <f>J45</f>
        <v>24</v>
      </c>
      <c r="K31" s="509">
        <f>K45</f>
        <v>11</v>
      </c>
      <c r="L31" s="509">
        <f t="shared" si="8"/>
        <v>9</v>
      </c>
      <c r="M31" s="509">
        <f>M45</f>
        <v>71</v>
      </c>
      <c r="N31" s="509">
        <f t="shared" si="8"/>
        <v>15</v>
      </c>
      <c r="O31" s="509">
        <f t="shared" si="8"/>
        <v>21</v>
      </c>
      <c r="P31" s="509">
        <f t="shared" si="8"/>
        <v>27</v>
      </c>
      <c r="Q31" s="509">
        <f t="shared" si="8"/>
        <v>20</v>
      </c>
      <c r="R31" s="509">
        <f t="shared" si="8"/>
        <v>4</v>
      </c>
      <c r="S31" s="509" t="str">
        <f t="shared" si="8"/>
        <v>0</v>
      </c>
      <c r="T31" s="509">
        <f t="shared" si="8"/>
        <v>4</v>
      </c>
      <c r="U31" s="509">
        <f t="shared" si="8"/>
        <v>47</v>
      </c>
      <c r="V31" s="509">
        <f>V45</f>
        <v>30</v>
      </c>
      <c r="W31" s="509">
        <f t="shared" si="8"/>
        <v>29</v>
      </c>
      <c r="X31" s="509">
        <f t="shared" si="8"/>
        <v>26</v>
      </c>
      <c r="Y31" s="509" t="str">
        <f t="shared" si="8"/>
        <v>0</v>
      </c>
      <c r="Z31" s="509" t="str">
        <f t="shared" si="8"/>
        <v>0</v>
      </c>
      <c r="AA31" s="509" t="str">
        <f t="shared" si="8"/>
        <v>0</v>
      </c>
      <c r="AB31" s="509" t="str">
        <f t="shared" si="8"/>
        <v>0</v>
      </c>
      <c r="AC31" s="509" t="str">
        <f t="shared" si="8"/>
        <v>0</v>
      </c>
      <c r="AD31" s="509" t="str">
        <f t="shared" si="8"/>
        <v>0</v>
      </c>
      <c r="AE31" s="509" t="str">
        <f t="shared" si="8"/>
        <v>0</v>
      </c>
      <c r="AF31" s="509" t="str">
        <f t="shared" si="8"/>
        <v>0</v>
      </c>
      <c r="AG31" s="509"/>
      <c r="AH31" s="484">
        <f>AH45</f>
        <v>447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9">SUM(D28:D31)</f>
        <v>48</v>
      </c>
      <c r="E32" s="526">
        <f t="shared" si="9"/>
        <v>49</v>
      </c>
      <c r="F32" s="526">
        <f t="shared" si="9"/>
        <v>388</v>
      </c>
      <c r="G32" s="526">
        <f t="shared" si="9"/>
        <v>453</v>
      </c>
      <c r="H32" s="526">
        <f t="shared" si="9"/>
        <v>462</v>
      </c>
      <c r="I32" s="526">
        <f t="shared" si="9"/>
        <v>422</v>
      </c>
      <c r="J32" s="527">
        <f t="shared" si="9"/>
        <v>422</v>
      </c>
      <c r="K32" s="527">
        <f>SUM(K28:K31)</f>
        <v>230</v>
      </c>
      <c r="L32" s="527">
        <f t="shared" si="9"/>
        <v>70</v>
      </c>
      <c r="M32" s="527">
        <f t="shared" si="9"/>
        <v>312</v>
      </c>
      <c r="N32" s="527">
        <f t="shared" si="9"/>
        <v>340</v>
      </c>
      <c r="O32" s="527">
        <f t="shared" si="9"/>
        <v>458</v>
      </c>
      <c r="P32" s="527">
        <f t="shared" si="9"/>
        <v>472</v>
      </c>
      <c r="Q32" s="527">
        <f>SUM(Q28:Q31)</f>
        <v>408</v>
      </c>
      <c r="R32" s="527">
        <f t="shared" si="9"/>
        <v>61</v>
      </c>
      <c r="S32" s="527">
        <f t="shared" si="9"/>
        <v>67</v>
      </c>
      <c r="T32" s="527">
        <f t="shared" si="9"/>
        <v>202</v>
      </c>
      <c r="U32" s="527">
        <f t="shared" si="9"/>
        <v>265</v>
      </c>
      <c r="V32" s="527">
        <f t="shared" si="9"/>
        <v>532</v>
      </c>
      <c r="W32" s="526">
        <f t="shared" si="9"/>
        <v>441</v>
      </c>
      <c r="X32" s="527">
        <f t="shared" si="9"/>
        <v>450</v>
      </c>
      <c r="Y32" s="527">
        <f t="shared" si="9"/>
        <v>0</v>
      </c>
      <c r="Z32" s="527">
        <f t="shared" si="9"/>
        <v>0</v>
      </c>
      <c r="AA32" s="527">
        <f t="shared" si="9"/>
        <v>0</v>
      </c>
      <c r="AB32" s="527">
        <f t="shared" si="9"/>
        <v>0</v>
      </c>
      <c r="AC32" s="527">
        <f>SUM(AC28:AC31)</f>
        <v>0</v>
      </c>
      <c r="AD32" s="527">
        <f t="shared" si="9"/>
        <v>0</v>
      </c>
      <c r="AE32" s="527">
        <f t="shared" si="9"/>
        <v>0</v>
      </c>
      <c r="AF32" s="527">
        <f t="shared" si="9"/>
        <v>0</v>
      </c>
      <c r="AG32" s="527"/>
      <c r="AH32" s="526">
        <f>SUM($B32:AF32)</f>
        <v>7309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>
        <f>+'Water '!$J11</f>
        <v>182</v>
      </c>
      <c r="G36" s="535">
        <f>+'Water '!$J12</f>
        <v>234</v>
      </c>
      <c r="H36" s="508">
        <f>+'Water '!$J13</f>
        <v>227</v>
      </c>
      <c r="I36" s="535">
        <f>+'Water '!$J14</f>
        <v>187</v>
      </c>
      <c r="J36" s="535">
        <f>+'Water '!$J15</f>
        <v>192</v>
      </c>
      <c r="K36" s="535">
        <f>+'Water '!$J16</f>
        <v>162</v>
      </c>
      <c r="L36" s="508">
        <f>+'Water '!$J17</f>
        <v>18</v>
      </c>
      <c r="M36" s="535">
        <f>+'Water '!$J18</f>
        <v>72</v>
      </c>
      <c r="N36" s="535">
        <f>+'Water '!$J19</f>
        <v>86</v>
      </c>
      <c r="O36" s="535">
        <f>+'Water '!$J20</f>
        <v>216</v>
      </c>
      <c r="P36" s="508">
        <f>+'Water '!$J21</f>
        <v>220</v>
      </c>
      <c r="Q36" s="535">
        <f>+'Water '!$J22</f>
        <v>187</v>
      </c>
      <c r="R36" s="508">
        <f>+'Water '!$J23</f>
        <v>22</v>
      </c>
      <c r="S36" s="535" t="str">
        <f>+'Water '!$J24</f>
        <v>0</v>
      </c>
      <c r="T36" s="508" t="str">
        <f>+'Water '!$J25</f>
        <v>0</v>
      </c>
      <c r="U36" s="535">
        <f>+'Water '!$J26</f>
        <v>140</v>
      </c>
      <c r="V36" s="535">
        <f>+'Water '!$J27</f>
        <v>210</v>
      </c>
      <c r="W36" s="535">
        <f>+'Water '!$J28</f>
        <v>216</v>
      </c>
      <c r="X36" s="535">
        <f>+'Water '!$J29</f>
        <v>179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3033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>
        <f>+'Water '!$N11</f>
        <v>38</v>
      </c>
      <c r="G41" s="539">
        <f>+'Water '!$N12</f>
        <v>39</v>
      </c>
      <c r="H41" s="539">
        <f>+'Water '!$N13</f>
        <v>50</v>
      </c>
      <c r="I41" s="539">
        <f>+'Water '!$N14</f>
        <v>67</v>
      </c>
      <c r="J41" s="539">
        <f>+'Water '!$N15</f>
        <v>41</v>
      </c>
      <c r="K41" s="539">
        <f>+'Water '!$N16</f>
        <v>5</v>
      </c>
      <c r="L41" s="539" t="str">
        <f>+'Water '!$N17</f>
        <v>0</v>
      </c>
      <c r="M41" s="657">
        <f>+'Water '!$N18</f>
        <v>29</v>
      </c>
      <c r="N41" s="539">
        <f>+'Water '!$N19</f>
        <v>27</v>
      </c>
      <c r="O41" s="539">
        <f>+'Water '!$N20</f>
        <v>11</v>
      </c>
      <c r="P41" s="539">
        <f>+'Water '!$N21</f>
        <v>20</v>
      </c>
      <c r="Q41" s="539">
        <f>+'Water '!$N22</f>
        <v>48</v>
      </c>
      <c r="R41" s="539">
        <f>+'Water '!$N23</f>
        <v>5</v>
      </c>
      <c r="S41" s="539" t="str">
        <f>+'Water '!$N24</f>
        <v>0</v>
      </c>
      <c r="T41" s="539" t="str">
        <f>+'Water '!$N25</f>
        <v>0</v>
      </c>
      <c r="U41" s="539">
        <f>+'Water '!$N26</f>
        <v>41</v>
      </c>
      <c r="V41" s="539">
        <f>+'Water '!$N27</f>
        <v>19</v>
      </c>
      <c r="W41" s="539">
        <f>+'Water '!$N28</f>
        <v>26</v>
      </c>
      <c r="X41" s="539">
        <f>+'Water '!$N29</f>
        <v>41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610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>
        <f>+'Water '!$O11</f>
        <v>112</v>
      </c>
      <c r="G42" s="508">
        <f>+'Water '!$O12</f>
        <v>99</v>
      </c>
      <c r="H42" s="508">
        <f>+'Water '!$O13</f>
        <v>91</v>
      </c>
      <c r="I42" s="508">
        <f>+'Water '!$O14</f>
        <v>89</v>
      </c>
      <c r="J42" s="508">
        <f>+'Water '!$O15</f>
        <v>76</v>
      </c>
      <c r="K42" s="508">
        <f>+'Water '!$O16</f>
        <v>5</v>
      </c>
      <c r="L42" s="508" t="str">
        <f>+'Water '!$O17</f>
        <v>0</v>
      </c>
      <c r="M42" s="508">
        <f>+'Water '!$O18</f>
        <v>119</v>
      </c>
      <c r="N42" s="508">
        <f>+'Water '!$O19</f>
        <v>99</v>
      </c>
      <c r="O42" s="508">
        <f>+'Water '!$O20</f>
        <v>114</v>
      </c>
      <c r="P42" s="508">
        <f>+'Water '!$O21</f>
        <v>117</v>
      </c>
      <c r="Q42" s="508">
        <f>+'Water '!$O22</f>
        <v>64</v>
      </c>
      <c r="R42" s="508">
        <f>+'Water '!$O23</f>
        <v>5</v>
      </c>
      <c r="S42" s="508">
        <f>+'Water '!$O24</f>
        <v>35</v>
      </c>
      <c r="T42" s="508" t="str">
        <f>+'Water '!$O25</f>
        <v>0</v>
      </c>
      <c r="U42" s="508">
        <f>+'Water '!$O26</f>
        <v>135</v>
      </c>
      <c r="V42" s="508">
        <f>+'Water '!$O27</f>
        <v>158</v>
      </c>
      <c r="W42" s="508">
        <f>+'Water '!$O28</f>
        <v>94</v>
      </c>
      <c r="X42" s="508">
        <f>+'Water '!$O29</f>
        <v>112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1704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>
        <v>17</v>
      </c>
      <c r="G43" s="542">
        <v>17</v>
      </c>
      <c r="H43" s="542">
        <v>17</v>
      </c>
      <c r="I43" s="542">
        <v>18</v>
      </c>
      <c r="J43" s="542">
        <v>14</v>
      </c>
      <c r="K43" s="542">
        <v>1</v>
      </c>
      <c r="L43" s="542" t="str">
        <v>0</v>
      </c>
      <c r="M43" s="542">
        <v>23</v>
      </c>
      <c r="N43" s="542">
        <v>26</v>
      </c>
      <c r="O43" s="542">
        <v>29</v>
      </c>
      <c r="P43" s="542">
        <v>31</v>
      </c>
      <c r="Q43" s="542">
        <v>18</v>
      </c>
      <c r="R43" s="542" t="str">
        <v>0</v>
      </c>
      <c r="S43" s="542" t="str">
        <v>0</v>
      </c>
      <c r="T43" s="542">
        <v>4</v>
      </c>
      <c r="U43" s="542">
        <v>29</v>
      </c>
      <c r="V43" s="542">
        <v>31</v>
      </c>
      <c r="W43" s="542">
        <v>23</v>
      </c>
      <c r="X43" s="542">
        <v>20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349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>
        <f>+'Water '!$M11</f>
        <v>1</v>
      </c>
      <c r="G44" s="508">
        <f>+'Water '!$M12</f>
        <v>3</v>
      </c>
      <c r="H44" s="508">
        <f>+'Water '!$M13</f>
        <v>3</v>
      </c>
      <c r="I44" s="508">
        <f>+'Water '!$M14</f>
        <v>4</v>
      </c>
      <c r="J44" s="508">
        <f>+'Water '!$M15</f>
        <v>3</v>
      </c>
      <c r="K44" s="508" t="str">
        <f>+'Water '!$M16</f>
        <v>0</v>
      </c>
      <c r="L44" s="508" t="str">
        <f>+'Water '!$M17</f>
        <v>0</v>
      </c>
      <c r="M44" s="508">
        <f>+'Water '!$M18</f>
        <v>5</v>
      </c>
      <c r="N44" s="508">
        <f>+'Water '!$M19</f>
        <v>3</v>
      </c>
      <c r="O44" s="657">
        <f>+'Water '!$M20</f>
        <v>6</v>
      </c>
      <c r="P44" s="508">
        <f>+'Water '!$M21</f>
        <v>7</v>
      </c>
      <c r="Q44" s="508">
        <f>+'Water '!$M22</f>
        <v>7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>
        <f>+'Water '!$M26</f>
        <v>6</v>
      </c>
      <c r="V44" s="508" t="str">
        <f>+'Water '!$M27</f>
        <v>0</v>
      </c>
      <c r="W44" s="508">
        <f>+'Water '!$M28</f>
        <v>3</v>
      </c>
      <c r="X44" s="508">
        <f>+'Water '!$M29</f>
        <v>4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60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>
        <f>+'Water '!$Q11</f>
        <v>20</v>
      </c>
      <c r="G45" s="539">
        <f>+'Water '!$Q12</f>
        <v>16</v>
      </c>
      <c r="H45" s="539">
        <f>+'Water '!$Q13</f>
        <v>16</v>
      </c>
      <c r="I45" s="539">
        <f>+'Water '!$Q14</f>
        <v>17</v>
      </c>
      <c r="J45" s="539">
        <f>+'Water '!$Q15</f>
        <v>24</v>
      </c>
      <c r="K45" s="539">
        <f>+'Water '!$Q16</f>
        <v>11</v>
      </c>
      <c r="L45" s="539">
        <f>+'Water '!$Q17</f>
        <v>9</v>
      </c>
      <c r="M45" s="539">
        <f>+'Water '!$Q18</f>
        <v>71</v>
      </c>
      <c r="N45" s="539">
        <f>+'Water '!$Q19</f>
        <v>15</v>
      </c>
      <c r="O45" s="539">
        <f>'Water '!$Q20</f>
        <v>21</v>
      </c>
      <c r="P45" s="539">
        <f>'Water '!$Q21</f>
        <v>27</v>
      </c>
      <c r="Q45" s="539">
        <f>+'Water '!$Q22</f>
        <v>20</v>
      </c>
      <c r="R45" s="539">
        <f>'Water '!$Q23</f>
        <v>4</v>
      </c>
      <c r="S45" s="539" t="str">
        <f>+'Water '!$Q24</f>
        <v>0</v>
      </c>
      <c r="T45" s="539">
        <f>+'Water '!$Q25</f>
        <v>4</v>
      </c>
      <c r="U45" s="539">
        <f>+'Water '!$Q26</f>
        <v>47</v>
      </c>
      <c r="V45" s="539">
        <f>+'Water '!$Q27</f>
        <v>30</v>
      </c>
      <c r="W45" s="539">
        <f>+'Water '!$Q28</f>
        <v>29</v>
      </c>
      <c r="X45" s="539">
        <f>+'Water '!$Q29</f>
        <v>26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447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10">SUM(C36:C48)</f>
        <v>285</v>
      </c>
      <c r="D50" s="484">
        <f t="shared" si="10"/>
        <v>3</v>
      </c>
      <c r="E50" s="484">
        <f t="shared" si="10"/>
        <v>2</v>
      </c>
      <c r="F50" s="484">
        <f t="shared" si="10"/>
        <v>370</v>
      </c>
      <c r="G50" s="484">
        <f>SUM(G36:G48)</f>
        <v>408</v>
      </c>
      <c r="H50" s="484">
        <f t="shared" si="10"/>
        <v>404</v>
      </c>
      <c r="I50" s="484">
        <f t="shared" si="10"/>
        <v>382</v>
      </c>
      <c r="J50" s="484">
        <f t="shared" si="10"/>
        <v>350</v>
      </c>
      <c r="K50" s="484">
        <f t="shared" si="10"/>
        <v>184</v>
      </c>
      <c r="L50" s="484">
        <f t="shared" si="10"/>
        <v>27</v>
      </c>
      <c r="M50" s="484">
        <f t="shared" si="10"/>
        <v>319</v>
      </c>
      <c r="N50" s="484">
        <f t="shared" si="10"/>
        <v>256</v>
      </c>
      <c r="O50" s="484">
        <f t="shared" si="10"/>
        <v>397</v>
      </c>
      <c r="P50" s="484">
        <f t="shared" si="10"/>
        <v>422</v>
      </c>
      <c r="Q50" s="484">
        <f>SUM(Q36:Q48)</f>
        <v>344</v>
      </c>
      <c r="R50" s="484">
        <f t="shared" si="10"/>
        <v>36</v>
      </c>
      <c r="S50" s="484">
        <f>SUM(S36:S48)</f>
        <v>35</v>
      </c>
      <c r="T50" s="484">
        <f t="shared" si="10"/>
        <v>8</v>
      </c>
      <c r="U50" s="484">
        <f t="shared" si="10"/>
        <v>398</v>
      </c>
      <c r="V50" s="484">
        <f t="shared" si="10"/>
        <v>448</v>
      </c>
      <c r="W50" s="484">
        <f t="shared" si="10"/>
        <v>391</v>
      </c>
      <c r="X50" s="484">
        <f t="shared" si="10"/>
        <v>382</v>
      </c>
      <c r="Y50" s="484">
        <f t="shared" si="10"/>
        <v>0</v>
      </c>
      <c r="Z50" s="484">
        <f t="shared" si="10"/>
        <v>0</v>
      </c>
      <c r="AA50" s="484">
        <f t="shared" si="10"/>
        <v>0</v>
      </c>
      <c r="AB50" s="484">
        <f t="shared" si="10"/>
        <v>0</v>
      </c>
      <c r="AC50" s="484">
        <f t="shared" si="10"/>
        <v>0</v>
      </c>
      <c r="AD50" s="484">
        <f>SUM(AD36:AD48)</f>
        <v>0</v>
      </c>
      <c r="AE50" s="484">
        <f t="shared" si="10"/>
        <v>0</v>
      </c>
      <c r="AF50" s="484">
        <f>SUM(AF36:AF48)</f>
        <v>0</v>
      </c>
      <c r="AG50" s="484"/>
      <c r="AH50" s="484">
        <f>SUM($B50:AF50)</f>
        <v>6203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11">IF(B$9=0,"",+(B36*10)/B$9)</f>
        <v>4.2713556902075496</v>
      </c>
      <c r="C54" s="545">
        <f t="shared" si="11"/>
        <v>4.4438801422041649</v>
      </c>
      <c r="D54" s="545" t="str">
        <f t="shared" si="11"/>
        <v/>
      </c>
      <c r="E54" s="545" t="str">
        <f t="shared" si="11"/>
        <v/>
      </c>
      <c r="F54" s="545">
        <f t="shared" si="11"/>
        <v>5.5742384426435363</v>
      </c>
      <c r="G54" s="545">
        <f>IF(G$9=0,"",+(G36*10)/G$9)</f>
        <v>6.5510985688369283</v>
      </c>
      <c r="H54" s="545">
        <f>IF(H$9=0,"",+(H36*10)/H$9)</f>
        <v>5.5852451110651824</v>
      </c>
      <c r="I54" s="545">
        <f t="shared" ref="I54:AF54" si="12">IF(I$9=0,"",+(I36*10)/I$9)</f>
        <v>5.1769291674279794</v>
      </c>
      <c r="J54" s="545">
        <f t="shared" si="12"/>
        <v>6.2239856848329245</v>
      </c>
      <c r="K54" s="545" t="str">
        <f t="shared" si="12"/>
        <v/>
      </c>
      <c r="L54" s="545" t="str">
        <f t="shared" si="12"/>
        <v/>
      </c>
      <c r="M54" s="545">
        <f t="shared" si="12"/>
        <v>3.0362067656807428</v>
      </c>
      <c r="N54" s="545">
        <f t="shared" si="12"/>
        <v>1.5118114665625977</v>
      </c>
      <c r="O54" s="545">
        <f t="shared" si="12"/>
        <v>4.2403825767391456</v>
      </c>
      <c r="P54" s="545">
        <f t="shared" si="12"/>
        <v>4.6008741660915575</v>
      </c>
      <c r="Q54" s="545">
        <f t="shared" si="12"/>
        <v>7.9879710553519407</v>
      </c>
      <c r="R54" s="545" t="str">
        <f t="shared" si="12"/>
        <v/>
      </c>
      <c r="S54" s="545" t="str">
        <f t="shared" si="12"/>
        <v/>
      </c>
      <c r="T54" s="545" t="str">
        <f t="shared" si="12"/>
        <v/>
      </c>
      <c r="U54" s="545">
        <f t="shared" si="12"/>
        <v>3.0054011351829431</v>
      </c>
      <c r="V54" s="545">
        <f t="shared" si="12"/>
        <v>3.2247067820190352</v>
      </c>
      <c r="W54" s="545">
        <f t="shared" si="12"/>
        <v>8.2749109297781853</v>
      </c>
      <c r="X54" s="545">
        <f t="shared" si="12"/>
        <v>4.293863373585304</v>
      </c>
      <c r="Y54" s="545" t="str">
        <f>IF(Y$9=0,"",+(Y36*10)/Y$9)</f>
        <v/>
      </c>
      <c r="Z54" s="545" t="str">
        <f t="shared" si="12"/>
        <v/>
      </c>
      <c r="AA54" s="545" t="str">
        <f t="shared" si="12"/>
        <v/>
      </c>
      <c r="AB54" s="545" t="str">
        <f t="shared" si="12"/>
        <v/>
      </c>
      <c r="AC54" s="545" t="str">
        <f>IF(AC$9=0,"",+(AC36*10)/AC$9)</f>
        <v/>
      </c>
      <c r="AD54" s="545" t="str">
        <f t="shared" si="12"/>
        <v/>
      </c>
      <c r="AE54" s="545" t="str">
        <f t="shared" si="12"/>
        <v/>
      </c>
      <c r="AF54" s="545" t="str">
        <f t="shared" si="12"/>
        <v/>
      </c>
      <c r="AG54" s="545"/>
      <c r="AH54" s="546">
        <f>+(AH36*10)/AH$9</f>
        <v>4.8656212623510262</v>
      </c>
      <c r="AI54" s="546">
        <v>3.2</v>
      </c>
      <c r="AJ54" s="547">
        <f t="shared" ref="AJ54:AJ67" si="13">AI54-AH54</f>
        <v>-1.665621262351026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4">+(AH37*10)/AH$9</f>
        <v>0</v>
      </c>
      <c r="AI55" s="550">
        <v>0.1</v>
      </c>
      <c r="AJ55" s="551">
        <f t="shared" si="13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5">IF(B$9=0,"",+(B38*10)/B$9)</f>
        <v>0</v>
      </c>
      <c r="C56" s="545">
        <f t="shared" si="15"/>
        <v>0</v>
      </c>
      <c r="D56" s="545" t="str">
        <f t="shared" ref="D56:F62" si="16">IF(D$9=0,"",+(D38*10)/D$9)</f>
        <v/>
      </c>
      <c r="E56" s="545" t="str">
        <f t="shared" si="16"/>
        <v/>
      </c>
      <c r="F56" s="545">
        <f t="shared" si="16"/>
        <v>0</v>
      </c>
      <c r="G56" s="545">
        <f t="shared" ref="G56:H63" si="17">IF(G$9=0,"",+(G38*10)/G$9)</f>
        <v>0</v>
      </c>
      <c r="H56" s="545">
        <f t="shared" si="17"/>
        <v>0</v>
      </c>
      <c r="I56" s="545">
        <f t="shared" ref="I56:AF56" si="18">IF(I$9=0,"",+(I38*10)/I$9)</f>
        <v>0</v>
      </c>
      <c r="J56" s="545">
        <f t="shared" si="18"/>
        <v>0</v>
      </c>
      <c r="K56" s="545" t="str">
        <f t="shared" si="18"/>
        <v/>
      </c>
      <c r="L56" s="545" t="str">
        <f t="shared" si="18"/>
        <v/>
      </c>
      <c r="M56" s="545">
        <f t="shared" si="18"/>
        <v>0</v>
      </c>
      <c r="N56" s="545">
        <f t="shared" si="18"/>
        <v>0</v>
      </c>
      <c r="O56" s="545">
        <f t="shared" si="18"/>
        <v>0</v>
      </c>
      <c r="P56" s="545">
        <f t="shared" si="18"/>
        <v>0</v>
      </c>
      <c r="Q56" s="545">
        <f t="shared" si="18"/>
        <v>0</v>
      </c>
      <c r="R56" s="545" t="str">
        <f t="shared" si="18"/>
        <v/>
      </c>
      <c r="S56" s="545" t="str">
        <f t="shared" si="18"/>
        <v/>
      </c>
      <c r="T56" s="545" t="str">
        <f t="shared" si="18"/>
        <v/>
      </c>
      <c r="U56" s="545">
        <f t="shared" si="18"/>
        <v>0</v>
      </c>
      <c r="V56" s="545">
        <f t="shared" si="18"/>
        <v>0</v>
      </c>
      <c r="W56" s="545">
        <f t="shared" si="18"/>
        <v>0</v>
      </c>
      <c r="X56" s="545">
        <f t="shared" si="18"/>
        <v>0</v>
      </c>
      <c r="Y56" s="545" t="str">
        <f t="shared" ref="Y56:Y63" si="19">IF(Y$9=0,"",+(Y38*10)/Y$9)</f>
        <v/>
      </c>
      <c r="Z56" s="545" t="str">
        <f t="shared" si="18"/>
        <v/>
      </c>
      <c r="AA56" s="545" t="str">
        <f t="shared" si="18"/>
        <v/>
      </c>
      <c r="AB56" s="545" t="str">
        <f t="shared" si="18"/>
        <v/>
      </c>
      <c r="AC56" s="545" t="str">
        <f t="shared" ref="AC56:AC63" si="20">IF(AC$9=0,"",+(AC38*10)/AC$9)</f>
        <v/>
      </c>
      <c r="AD56" s="545" t="str">
        <f t="shared" si="18"/>
        <v/>
      </c>
      <c r="AE56" s="545" t="str">
        <f t="shared" si="18"/>
        <v/>
      </c>
      <c r="AF56" s="545" t="str">
        <f t="shared" si="18"/>
        <v/>
      </c>
      <c r="AG56" s="545"/>
      <c r="AH56" s="555">
        <f t="shared" si="14"/>
        <v>0</v>
      </c>
      <c r="AI56" s="556">
        <v>0.1</v>
      </c>
      <c r="AJ56" s="557">
        <f t="shared" si="13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5"/>
        <v>0</v>
      </c>
      <c r="C57" s="549">
        <f t="shared" si="15"/>
        <v>0</v>
      </c>
      <c r="D57" s="549" t="str">
        <f t="shared" si="16"/>
        <v/>
      </c>
      <c r="E57" s="549" t="str">
        <f t="shared" si="16"/>
        <v/>
      </c>
      <c r="F57" s="549">
        <f t="shared" si="16"/>
        <v>0</v>
      </c>
      <c r="G57" s="549">
        <f t="shared" si="17"/>
        <v>0</v>
      </c>
      <c r="H57" s="549">
        <f t="shared" si="17"/>
        <v>0</v>
      </c>
      <c r="I57" s="549">
        <f t="shared" ref="I57:AE57" si="21">IF(I$9=0,"",+(I39*10)/I$9)</f>
        <v>0</v>
      </c>
      <c r="J57" s="549">
        <f t="shared" si="21"/>
        <v>0</v>
      </c>
      <c r="K57" s="549" t="str">
        <f t="shared" si="21"/>
        <v/>
      </c>
      <c r="L57" s="549" t="str">
        <f t="shared" si="21"/>
        <v/>
      </c>
      <c r="M57" s="549">
        <f t="shared" si="21"/>
        <v>0</v>
      </c>
      <c r="N57" s="549">
        <f t="shared" si="21"/>
        <v>0</v>
      </c>
      <c r="O57" s="549">
        <f t="shared" si="21"/>
        <v>0</v>
      </c>
      <c r="P57" s="549">
        <f t="shared" si="21"/>
        <v>0</v>
      </c>
      <c r="Q57" s="549">
        <f t="shared" si="21"/>
        <v>0</v>
      </c>
      <c r="R57" s="549" t="str">
        <f t="shared" si="21"/>
        <v/>
      </c>
      <c r="S57" s="549" t="str">
        <f t="shared" si="21"/>
        <v/>
      </c>
      <c r="T57" s="549" t="str">
        <f t="shared" si="21"/>
        <v/>
      </c>
      <c r="U57" s="549">
        <f t="shared" si="21"/>
        <v>0</v>
      </c>
      <c r="V57" s="549">
        <f t="shared" si="21"/>
        <v>0</v>
      </c>
      <c r="W57" s="549">
        <f t="shared" si="21"/>
        <v>0</v>
      </c>
      <c r="X57" s="549">
        <f t="shared" si="21"/>
        <v>0</v>
      </c>
      <c r="Y57" s="549" t="str">
        <f t="shared" si="19"/>
        <v/>
      </c>
      <c r="Z57" s="549" t="str">
        <f t="shared" si="21"/>
        <v/>
      </c>
      <c r="AA57" s="549" t="str">
        <f t="shared" si="21"/>
        <v/>
      </c>
      <c r="AB57" s="549" t="str">
        <f t="shared" si="21"/>
        <v/>
      </c>
      <c r="AC57" s="549" t="str">
        <f t="shared" si="20"/>
        <v/>
      </c>
      <c r="AD57" s="549" t="str">
        <f t="shared" si="21"/>
        <v/>
      </c>
      <c r="AE57" s="549" t="str">
        <f t="shared" si="21"/>
        <v/>
      </c>
      <c r="AF57" s="549" t="str">
        <f>IF(AF$9=0,"",+(AF39*10)/AF$9)</f>
        <v/>
      </c>
      <c r="AG57" s="549"/>
      <c r="AH57" s="550">
        <f t="shared" si="14"/>
        <v>0</v>
      </c>
      <c r="AI57" s="550">
        <v>0.7</v>
      </c>
      <c r="AJ57" s="551">
        <f t="shared" si="13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5"/>
        <v>0</v>
      </c>
      <c r="C58" s="545">
        <f t="shared" si="15"/>
        <v>0</v>
      </c>
      <c r="D58" s="545" t="str">
        <f t="shared" si="16"/>
        <v/>
      </c>
      <c r="E58" s="545" t="str">
        <f t="shared" si="16"/>
        <v/>
      </c>
      <c r="F58" s="545">
        <f t="shared" si="16"/>
        <v>0</v>
      </c>
      <c r="G58" s="545">
        <f t="shared" si="17"/>
        <v>0</v>
      </c>
      <c r="H58" s="545">
        <f t="shared" si="17"/>
        <v>0</v>
      </c>
      <c r="I58" s="545">
        <f t="shared" ref="I58:AF58" si="22">IF(I$9=0,"",+(I40*10)/I$9)</f>
        <v>0</v>
      </c>
      <c r="J58" s="545">
        <f t="shared" si="22"/>
        <v>0</v>
      </c>
      <c r="K58" s="545" t="str">
        <f t="shared" si="22"/>
        <v/>
      </c>
      <c r="L58" s="545" t="str">
        <f t="shared" si="22"/>
        <v/>
      </c>
      <c r="M58" s="545">
        <f t="shared" si="22"/>
        <v>0</v>
      </c>
      <c r="N58" s="545">
        <f t="shared" si="22"/>
        <v>0</v>
      </c>
      <c r="O58" s="545">
        <f t="shared" si="22"/>
        <v>0</v>
      </c>
      <c r="P58" s="545">
        <f t="shared" si="22"/>
        <v>0</v>
      </c>
      <c r="Q58" s="545">
        <f t="shared" si="22"/>
        <v>0</v>
      </c>
      <c r="R58" s="545" t="str">
        <f t="shared" si="22"/>
        <v/>
      </c>
      <c r="S58" s="545" t="str">
        <f t="shared" si="22"/>
        <v/>
      </c>
      <c r="T58" s="545" t="str">
        <f t="shared" si="22"/>
        <v/>
      </c>
      <c r="U58" s="545">
        <f t="shared" si="22"/>
        <v>0</v>
      </c>
      <c r="V58" s="545">
        <f t="shared" si="22"/>
        <v>0</v>
      </c>
      <c r="W58" s="545">
        <f t="shared" si="22"/>
        <v>0</v>
      </c>
      <c r="X58" s="545">
        <f t="shared" si="22"/>
        <v>0</v>
      </c>
      <c r="Y58" s="545" t="str">
        <f t="shared" si="19"/>
        <v/>
      </c>
      <c r="Z58" s="545" t="str">
        <f t="shared" si="22"/>
        <v/>
      </c>
      <c r="AA58" s="545" t="str">
        <f t="shared" si="22"/>
        <v/>
      </c>
      <c r="AB58" s="545" t="str">
        <f t="shared" si="22"/>
        <v/>
      </c>
      <c r="AC58" s="545" t="str">
        <f t="shared" si="20"/>
        <v/>
      </c>
      <c r="AD58" s="545" t="str">
        <f t="shared" si="22"/>
        <v/>
      </c>
      <c r="AE58" s="545" t="str">
        <f t="shared" si="22"/>
        <v/>
      </c>
      <c r="AF58" s="545" t="str">
        <f t="shared" si="22"/>
        <v/>
      </c>
      <c r="AG58" s="545"/>
      <c r="AH58" s="555">
        <f t="shared" si="14"/>
        <v>0</v>
      </c>
      <c r="AI58" s="562">
        <v>1</v>
      </c>
      <c r="AJ58" s="563">
        <f t="shared" si="13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5"/>
        <v>1.6051591447276781</v>
      </c>
      <c r="C59" s="549">
        <f t="shared" si="15"/>
        <v>1.5518311607697082</v>
      </c>
      <c r="D59" s="549" t="str">
        <f t="shared" si="16"/>
        <v/>
      </c>
      <c r="E59" s="549" t="str">
        <f t="shared" si="16"/>
        <v/>
      </c>
      <c r="F59" s="549">
        <f t="shared" si="16"/>
        <v>1.1638519825299691</v>
      </c>
      <c r="G59" s="549">
        <f t="shared" si="17"/>
        <v>1.0918497614728213</v>
      </c>
      <c r="H59" s="549">
        <f t="shared" si="17"/>
        <v>1.2302302006751504</v>
      </c>
      <c r="I59" s="549">
        <f t="shared" ref="I59:AF59" si="23">IF(I$9=0,"",+(I41*10)/I$9)</f>
        <v>1.8548355840517359</v>
      </c>
      <c r="J59" s="549">
        <f t="shared" si="23"/>
        <v>1.3290802764486973</v>
      </c>
      <c r="K59" s="549" t="str">
        <f t="shared" si="23"/>
        <v/>
      </c>
      <c r="L59" s="549" t="str">
        <f t="shared" si="23"/>
        <v/>
      </c>
      <c r="M59" s="549">
        <f t="shared" si="23"/>
        <v>1.2229166139547436</v>
      </c>
      <c r="N59" s="549">
        <f t="shared" si="23"/>
        <v>0.4746384836882574</v>
      </c>
      <c r="O59" s="549">
        <f t="shared" si="23"/>
        <v>0.21594540900060463</v>
      </c>
      <c r="P59" s="549">
        <f t="shared" si="23"/>
        <v>0.41826128782650518</v>
      </c>
      <c r="Q59" s="549">
        <f t="shared" si="23"/>
        <v>2.0503882922828511</v>
      </c>
      <c r="R59" s="549" t="str">
        <f t="shared" si="23"/>
        <v/>
      </c>
      <c r="S59" s="549" t="str">
        <f t="shared" si="23"/>
        <v/>
      </c>
      <c r="T59" s="549" t="str">
        <f>IF(T$9=0,"",+(T41*10)/T$9)</f>
        <v/>
      </c>
      <c r="U59" s="549">
        <f t="shared" si="23"/>
        <v>0.88015318958929045</v>
      </c>
      <c r="V59" s="549">
        <f t="shared" si="23"/>
        <v>0.29175918503981746</v>
      </c>
      <c r="W59" s="549">
        <f t="shared" si="23"/>
        <v>0.99605409339922601</v>
      </c>
      <c r="X59" s="549">
        <f t="shared" si="23"/>
        <v>0.98351060512289079</v>
      </c>
      <c r="Y59" s="549" t="str">
        <f t="shared" si="19"/>
        <v/>
      </c>
      <c r="Z59" s="549" t="str">
        <f t="shared" si="23"/>
        <v/>
      </c>
      <c r="AA59" s="549" t="str">
        <f t="shared" si="23"/>
        <v/>
      </c>
      <c r="AB59" s="549" t="str">
        <f t="shared" si="23"/>
        <v/>
      </c>
      <c r="AC59" s="549" t="str">
        <f t="shared" si="20"/>
        <v/>
      </c>
      <c r="AD59" s="549" t="str">
        <f t="shared" si="23"/>
        <v/>
      </c>
      <c r="AE59" s="549" t="str">
        <f t="shared" si="23"/>
        <v/>
      </c>
      <c r="AF59" s="549" t="str">
        <f t="shared" si="23"/>
        <v/>
      </c>
      <c r="AG59" s="549"/>
      <c r="AH59" s="549">
        <f t="shared" si="14"/>
        <v>0.97857862513489147</v>
      </c>
      <c r="AI59" s="550">
        <v>0.7</v>
      </c>
      <c r="AJ59" s="551">
        <f t="shared" si="13"/>
        <v>-0.27857862513489151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5"/>
        <v>2.6934026326786462</v>
      </c>
      <c r="C60" s="545">
        <f t="shared" si="15"/>
        <v>2.856780091416963</v>
      </c>
      <c r="D60" s="545" t="str">
        <f t="shared" si="16"/>
        <v/>
      </c>
      <c r="E60" s="545" t="str">
        <f t="shared" si="16"/>
        <v/>
      </c>
      <c r="F60" s="567">
        <f t="shared" si="16"/>
        <v>3.4303005800883302</v>
      </c>
      <c r="G60" s="545">
        <f t="shared" si="17"/>
        <v>2.7716186252771617</v>
      </c>
      <c r="H60" s="545">
        <f t="shared" si="17"/>
        <v>2.2390189652287735</v>
      </c>
      <c r="I60" s="545">
        <f t="shared" ref="I60:AF60" si="24">IF(I$9=0,"",+(I42*10)/I$9)</f>
        <v>2.4638860743373807</v>
      </c>
      <c r="J60" s="545">
        <f t="shared" si="24"/>
        <v>2.4636610002463657</v>
      </c>
      <c r="K60" s="545" t="str">
        <f t="shared" si="24"/>
        <v/>
      </c>
      <c r="L60" s="545" t="str">
        <f>IF(L$9=0,"",+(L42*10)/L$9)</f>
        <v/>
      </c>
      <c r="M60" s="545">
        <f t="shared" si="24"/>
        <v>5.0181750710556718</v>
      </c>
      <c r="N60" s="545">
        <f t="shared" si="24"/>
        <v>1.7403411068569439</v>
      </c>
      <c r="O60" s="545">
        <f t="shared" si="24"/>
        <v>2.2379796932789935</v>
      </c>
      <c r="P60" s="545">
        <f t="shared" si="24"/>
        <v>2.4468285337850553</v>
      </c>
      <c r="Q60" s="545">
        <f t="shared" si="24"/>
        <v>2.7338510563771345</v>
      </c>
      <c r="R60" s="545" t="str">
        <f t="shared" si="24"/>
        <v/>
      </c>
      <c r="S60" s="545" t="str">
        <f t="shared" si="24"/>
        <v/>
      </c>
      <c r="T60" s="545" t="str">
        <f t="shared" si="24"/>
        <v/>
      </c>
      <c r="U60" s="545">
        <f t="shared" si="24"/>
        <v>2.8980653803549807</v>
      </c>
      <c r="V60" s="545">
        <f t="shared" si="24"/>
        <v>2.4262079598047976</v>
      </c>
      <c r="W60" s="545">
        <f t="shared" si="24"/>
        <v>3.6011186453664328</v>
      </c>
      <c r="X60" s="545">
        <f t="shared" si="24"/>
        <v>2.6866631164332628</v>
      </c>
      <c r="Y60" s="545" t="str">
        <f t="shared" si="19"/>
        <v/>
      </c>
      <c r="Z60" s="545" t="str">
        <f t="shared" si="24"/>
        <v/>
      </c>
      <c r="AA60" s="545" t="str">
        <f t="shared" si="24"/>
        <v/>
      </c>
      <c r="AB60" s="545" t="str">
        <f t="shared" si="24"/>
        <v/>
      </c>
      <c r="AC60" s="545" t="str">
        <f t="shared" si="20"/>
        <v/>
      </c>
      <c r="AD60" s="545" t="str">
        <f t="shared" si="24"/>
        <v/>
      </c>
      <c r="AE60" s="545" t="str">
        <f t="shared" si="24"/>
        <v/>
      </c>
      <c r="AF60" s="545" t="str">
        <f t="shared" si="24"/>
        <v/>
      </c>
      <c r="AG60" s="545"/>
      <c r="AH60" s="568">
        <f t="shared" si="14"/>
        <v>2.7336032413604183</v>
      </c>
      <c r="AI60" s="555">
        <v>2.1</v>
      </c>
      <c r="AJ60" s="547">
        <f t="shared" si="13"/>
        <v>-0.63360324136041823</v>
      </c>
    </row>
    <row r="61" spans="1:59" s="504" customFormat="1" x14ac:dyDescent="0.35">
      <c r="A61" s="538" t="s">
        <v>166</v>
      </c>
      <c r="B61" s="549">
        <f t="shared" si="15"/>
        <v>0.43529739518038724</v>
      </c>
      <c r="C61" s="549">
        <f t="shared" si="15"/>
        <v>0.5290333502624005</v>
      </c>
      <c r="D61" s="549" t="str">
        <f t="shared" si="16"/>
        <v/>
      </c>
      <c r="E61" s="549" t="str">
        <f t="shared" si="16"/>
        <v/>
      </c>
      <c r="F61" s="549">
        <f t="shared" si="16"/>
        <v>0.52067062376340723</v>
      </c>
      <c r="G61" s="549">
        <f t="shared" si="17"/>
        <v>0.47593451141122983</v>
      </c>
      <c r="H61" s="549">
        <f t="shared" si="17"/>
        <v>0.41827826822955111</v>
      </c>
      <c r="I61" s="549">
        <f t="shared" ref="I61:AF61" si="25">IF(I$9=0,"",+(I43*10)/I$9)</f>
        <v>0.49831403750643655</v>
      </c>
      <c r="J61" s="549">
        <f t="shared" si="25"/>
        <v>0.4538322895190674</v>
      </c>
      <c r="K61" s="549" t="str">
        <f t="shared" si="25"/>
        <v/>
      </c>
      <c r="L61" s="549" t="str">
        <f t="shared" si="25"/>
        <v/>
      </c>
      <c r="M61" s="549">
        <f t="shared" si="25"/>
        <v>0.96989938348134841</v>
      </c>
      <c r="N61" s="549">
        <f t="shared" si="25"/>
        <v>0.45705928058869233</v>
      </c>
      <c r="O61" s="549">
        <f t="shared" si="25"/>
        <v>0.56931062372886676</v>
      </c>
      <c r="P61" s="549">
        <f t="shared" si="25"/>
        <v>0.64830499613108306</v>
      </c>
      <c r="Q61" s="549">
        <f t="shared" si="25"/>
        <v>0.76889560960606917</v>
      </c>
      <c r="R61" s="549" t="str">
        <f t="shared" si="25"/>
        <v/>
      </c>
      <c r="S61" s="549" t="str">
        <f t="shared" si="25"/>
        <v/>
      </c>
      <c r="T61" s="549" t="str">
        <f t="shared" si="25"/>
        <v/>
      </c>
      <c r="U61" s="549">
        <f t="shared" si="25"/>
        <v>0.62254737800218107</v>
      </c>
      <c r="V61" s="549">
        <f t="shared" si="25"/>
        <v>0.47602814401233373</v>
      </c>
      <c r="W61" s="549">
        <f t="shared" si="25"/>
        <v>0.88112477493008456</v>
      </c>
      <c r="X61" s="549">
        <f t="shared" si="25"/>
        <v>0.47976127079165404</v>
      </c>
      <c r="Y61" s="549" t="str">
        <f t="shared" si="19"/>
        <v/>
      </c>
      <c r="Z61" s="549" t="str">
        <f t="shared" si="25"/>
        <v/>
      </c>
      <c r="AA61" s="549" t="str">
        <f t="shared" si="25"/>
        <v/>
      </c>
      <c r="AB61" s="549" t="str">
        <f t="shared" si="25"/>
        <v/>
      </c>
      <c r="AC61" s="549" t="str">
        <f t="shared" si="20"/>
        <v/>
      </c>
      <c r="AD61" s="549" t="str">
        <f t="shared" si="25"/>
        <v/>
      </c>
      <c r="AE61" s="549" t="str">
        <f t="shared" si="25"/>
        <v/>
      </c>
      <c r="AF61" s="549" t="str">
        <f t="shared" si="25"/>
        <v/>
      </c>
      <c r="AG61" s="549"/>
      <c r="AH61" s="550">
        <f t="shared" si="14"/>
        <v>0.55987531175750349</v>
      </c>
      <c r="AI61" s="550">
        <v>0.7</v>
      </c>
      <c r="AJ61" s="551">
        <f t="shared" si="13"/>
        <v>0.14012468824249646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6"/>
        <v/>
      </c>
      <c r="E62" s="545" t="str">
        <f t="shared" si="16"/>
        <v/>
      </c>
      <c r="F62" s="545">
        <f t="shared" si="16"/>
        <v>3.0627683750788663E-2</v>
      </c>
      <c r="G62" s="545">
        <f t="shared" si="17"/>
        <v>8.3988443190217019E-2</v>
      </c>
      <c r="H62" s="545">
        <f t="shared" si="17"/>
        <v>7.3813812040509019E-2</v>
      </c>
      <c r="I62" s="545">
        <f t="shared" ref="I62:AF62" si="26">IF(I$9=0,"",+(I44*10)/I$9)</f>
        <v>0.11073645277920811</v>
      </c>
      <c r="J62" s="545">
        <f t="shared" si="26"/>
        <v>9.7249776325514445E-2</v>
      </c>
      <c r="K62" s="545" t="str">
        <f t="shared" si="26"/>
        <v/>
      </c>
      <c r="L62" s="545" t="str">
        <f t="shared" si="26"/>
        <v/>
      </c>
      <c r="M62" s="545">
        <f t="shared" si="26"/>
        <v>0.21084769206116269</v>
      </c>
      <c r="N62" s="545">
        <f t="shared" si="26"/>
        <v>5.2737609298695268E-2</v>
      </c>
      <c r="O62" s="545">
        <f>IF(O$9=0,"",+(O44*10)/O$9)</f>
        <v>0.1177884049094207</v>
      </c>
      <c r="P62" s="545">
        <f t="shared" si="26"/>
        <v>0.14639145073927681</v>
      </c>
      <c r="Q62" s="545">
        <f t="shared" si="26"/>
        <v>0.29901495929124911</v>
      </c>
      <c r="R62" s="545" t="str">
        <f t="shared" si="26"/>
        <v/>
      </c>
      <c r="S62" s="545" t="str">
        <f t="shared" si="26"/>
        <v/>
      </c>
      <c r="T62" s="545" t="str">
        <f t="shared" si="26"/>
        <v/>
      </c>
      <c r="U62" s="545">
        <f t="shared" si="26"/>
        <v>0.12880290579355469</v>
      </c>
      <c r="V62" s="545">
        <f t="shared" si="26"/>
        <v>0</v>
      </c>
      <c r="W62" s="545">
        <f t="shared" si="26"/>
        <v>0.11492931846914146</v>
      </c>
      <c r="X62" s="545">
        <f t="shared" si="26"/>
        <v>9.5952254158330808E-2</v>
      </c>
      <c r="Y62" s="545" t="str">
        <f t="shared" si="19"/>
        <v/>
      </c>
      <c r="Z62" s="545" t="str">
        <f t="shared" si="26"/>
        <v/>
      </c>
      <c r="AA62" s="545" t="str">
        <f t="shared" si="26"/>
        <v/>
      </c>
      <c r="AB62" s="545" t="str">
        <f t="shared" si="26"/>
        <v/>
      </c>
      <c r="AC62" s="545" t="str">
        <f t="shared" si="20"/>
        <v/>
      </c>
      <c r="AD62" s="545" t="str">
        <f t="shared" si="26"/>
        <v/>
      </c>
      <c r="AE62" s="545" t="str">
        <f t="shared" si="26"/>
        <v/>
      </c>
      <c r="AF62" s="545" t="str">
        <f t="shared" si="26"/>
        <v/>
      </c>
      <c r="AG62" s="545"/>
      <c r="AH62" s="555">
        <f>+(AH44*10)/AH$9</f>
        <v>9.6253635259169662E-2</v>
      </c>
      <c r="AI62" s="555">
        <v>0.1</v>
      </c>
      <c r="AJ62" s="547">
        <f t="shared" si="13"/>
        <v>3.7463647408303435E-3</v>
      </c>
    </row>
    <row r="63" spans="1:59" s="504" customFormat="1" x14ac:dyDescent="0.35">
      <c r="A63" s="538" t="s">
        <v>126</v>
      </c>
      <c r="B63" s="549">
        <f t="shared" si="15"/>
        <v>0.51691565677670981</v>
      </c>
      <c r="C63" s="549">
        <f t="shared" si="15"/>
        <v>0.56430224027989395</v>
      </c>
      <c r="D63" s="549" t="str">
        <f>IF(D$9=0,"",+(D45*10)/D$9)</f>
        <v/>
      </c>
      <c r="E63" s="569" t="str">
        <f t="shared" ref="E63:AF63" si="27">IF(E$9=0,"",+(E45*10)/E$9)</f>
        <v/>
      </c>
      <c r="F63" s="569">
        <f t="shared" si="27"/>
        <v>0.61255367501577329</v>
      </c>
      <c r="G63" s="569">
        <f t="shared" si="17"/>
        <v>0.44793836368115747</v>
      </c>
      <c r="H63" s="569">
        <f t="shared" si="17"/>
        <v>0.3936736642160481</v>
      </c>
      <c r="I63" s="569">
        <f t="shared" si="27"/>
        <v>0.47062992431163453</v>
      </c>
      <c r="J63" s="569">
        <f t="shared" si="27"/>
        <v>0.77799821060411556</v>
      </c>
      <c r="K63" s="569" t="str">
        <f t="shared" si="27"/>
        <v/>
      </c>
      <c r="L63" s="569" t="str">
        <f t="shared" si="27"/>
        <v/>
      </c>
      <c r="M63" s="569">
        <f t="shared" si="27"/>
        <v>2.9940372272685103</v>
      </c>
      <c r="N63" s="569">
        <f t="shared" si="27"/>
        <v>0.26368804649347632</v>
      </c>
      <c r="O63" s="569">
        <f t="shared" si="27"/>
        <v>0.41225941718297249</v>
      </c>
      <c r="P63" s="549">
        <f t="shared" si="27"/>
        <v>0.56465273856578202</v>
      </c>
      <c r="Q63" s="549">
        <f t="shared" si="27"/>
        <v>0.8543284551178546</v>
      </c>
      <c r="R63" s="569" t="str">
        <f t="shared" si="27"/>
        <v/>
      </c>
      <c r="S63" s="569" t="str">
        <f t="shared" si="27"/>
        <v/>
      </c>
      <c r="T63" s="549" t="str">
        <f t="shared" si="27"/>
        <v/>
      </c>
      <c r="U63" s="549">
        <f t="shared" si="27"/>
        <v>1.0089560953828451</v>
      </c>
      <c r="V63" s="549">
        <f t="shared" si="27"/>
        <v>0.46067239743129074</v>
      </c>
      <c r="W63" s="549">
        <f t="shared" si="27"/>
        <v>1.1109834118683675</v>
      </c>
      <c r="X63" s="549">
        <f t="shared" si="27"/>
        <v>0.62368965202915028</v>
      </c>
      <c r="Y63" s="549" t="str">
        <f t="shared" si="19"/>
        <v/>
      </c>
      <c r="Z63" s="549" t="str">
        <f t="shared" si="27"/>
        <v/>
      </c>
      <c r="AA63" s="549" t="str">
        <f t="shared" si="27"/>
        <v/>
      </c>
      <c r="AB63" s="549" t="str">
        <f t="shared" si="27"/>
        <v/>
      </c>
      <c r="AC63" s="549" t="str">
        <f t="shared" si="20"/>
        <v/>
      </c>
      <c r="AD63" s="549" t="str">
        <f t="shared" si="27"/>
        <v/>
      </c>
      <c r="AE63" s="549" t="str">
        <f t="shared" si="27"/>
        <v/>
      </c>
      <c r="AF63" s="549" t="str">
        <f t="shared" si="27"/>
        <v/>
      </c>
      <c r="AG63" s="549"/>
      <c r="AH63" s="550">
        <f>+(AH45*10)/AH$9</f>
        <v>0.71708958268081391</v>
      </c>
      <c r="AI63" s="550">
        <v>0.6</v>
      </c>
      <c r="AJ63" s="551">
        <f t="shared" si="13"/>
        <v>-0.11708958268081393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3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8">IF(E$9=0,"",+(E46*10)/E$9)</f>
        <v/>
      </c>
      <c r="F65" s="575">
        <f t="shared" si="28"/>
        <v>0</v>
      </c>
      <c r="G65" s="575">
        <f>IF(G$9=0,"",+(G46*10)/G$9)</f>
        <v>0</v>
      </c>
      <c r="H65" s="549">
        <f>IF(H$9=0,"",+(H46*10)/H$9)</f>
        <v>0</v>
      </c>
      <c r="I65" s="549">
        <f t="shared" si="28"/>
        <v>0</v>
      </c>
      <c r="J65" s="549">
        <f>IF(J$9=0,"",+(J46*10)/J$9)</f>
        <v>0</v>
      </c>
      <c r="K65" s="549" t="str">
        <f t="shared" si="28"/>
        <v/>
      </c>
      <c r="L65" s="575" t="str">
        <f t="shared" si="28"/>
        <v/>
      </c>
      <c r="M65" s="549">
        <f t="shared" si="28"/>
        <v>0</v>
      </c>
      <c r="N65" s="549">
        <f t="shared" si="28"/>
        <v>0</v>
      </c>
      <c r="O65" s="549">
        <f t="shared" si="28"/>
        <v>0</v>
      </c>
      <c r="P65" s="549">
        <f t="shared" si="28"/>
        <v>0</v>
      </c>
      <c r="Q65" s="549">
        <f t="shared" si="28"/>
        <v>0</v>
      </c>
      <c r="R65" s="549" t="str">
        <f t="shared" si="28"/>
        <v/>
      </c>
      <c r="S65" s="549" t="str">
        <f t="shared" si="28"/>
        <v/>
      </c>
      <c r="T65" s="549" t="str">
        <f t="shared" si="28"/>
        <v/>
      </c>
      <c r="U65" s="549">
        <f t="shared" si="28"/>
        <v>0</v>
      </c>
      <c r="V65" s="575">
        <f t="shared" si="28"/>
        <v>0</v>
      </c>
      <c r="W65" s="575">
        <f t="shared" si="28"/>
        <v>0</v>
      </c>
      <c r="X65" s="575">
        <f t="shared" si="28"/>
        <v>0</v>
      </c>
      <c r="Y65" s="575" t="str">
        <f>IF(Y$9=0,"",+(Y46*10)/Y$9)</f>
        <v/>
      </c>
      <c r="Z65" s="575" t="str">
        <f t="shared" si="28"/>
        <v/>
      </c>
      <c r="AA65" s="575" t="str">
        <f t="shared" si="28"/>
        <v/>
      </c>
      <c r="AB65" s="575" t="str">
        <f t="shared" si="28"/>
        <v/>
      </c>
      <c r="AC65" s="575" t="str">
        <f>IF(AC$9=0,"",+(AC46*10)/AC$9)</f>
        <v/>
      </c>
      <c r="AD65" s="575" t="str">
        <f t="shared" si="28"/>
        <v/>
      </c>
      <c r="AE65" s="575" t="str">
        <f t="shared" si="28"/>
        <v/>
      </c>
      <c r="AF65" s="575" t="str">
        <f t="shared" si="28"/>
        <v/>
      </c>
      <c r="AG65" s="575"/>
      <c r="AH65" s="550">
        <f>+(AH46*10)/AH$9</f>
        <v>0</v>
      </c>
      <c r="AI65" s="550">
        <v>0.3</v>
      </c>
      <c r="AJ65" s="551">
        <f t="shared" si="13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3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3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9">SUM(F54:F63,F65)</f>
        <v>11.332242987791805</v>
      </c>
      <c r="G68" s="584">
        <f t="shared" si="29"/>
        <v>11.422428273869516</v>
      </c>
      <c r="H68" s="584">
        <f t="shared" si="29"/>
        <v>9.940260021455213</v>
      </c>
      <c r="I68" s="584">
        <f t="shared" si="29"/>
        <v>10.575331240414375</v>
      </c>
      <c r="J68" s="585">
        <f t="shared" si="29"/>
        <v>11.345807237976683</v>
      </c>
      <c r="K68" s="585">
        <f t="shared" si="29"/>
        <v>0</v>
      </c>
      <c r="L68" s="585">
        <f t="shared" si="29"/>
        <v>0</v>
      </c>
      <c r="M68" s="585">
        <f t="shared" si="29"/>
        <v>13.452082753502181</v>
      </c>
      <c r="N68" s="585">
        <f t="shared" si="29"/>
        <v>4.5002759934886623</v>
      </c>
      <c r="O68" s="585">
        <f t="shared" si="29"/>
        <v>7.7936661248400032</v>
      </c>
      <c r="P68" s="585">
        <f t="shared" si="29"/>
        <v>8.8253131731392589</v>
      </c>
      <c r="Q68" s="585">
        <f t="shared" si="29"/>
        <v>14.694449428027099</v>
      </c>
      <c r="R68" s="585">
        <f t="shared" si="29"/>
        <v>0</v>
      </c>
      <c r="S68" s="585">
        <f t="shared" si="29"/>
        <v>0</v>
      </c>
      <c r="T68" s="585">
        <f t="shared" si="29"/>
        <v>0</v>
      </c>
      <c r="U68" s="585">
        <f t="shared" si="29"/>
        <v>8.5439260843057951</v>
      </c>
      <c r="V68" s="585">
        <f t="shared" si="29"/>
        <v>6.8793744683072742</v>
      </c>
      <c r="W68" s="585">
        <f t="shared" si="29"/>
        <v>14.979121173811437</v>
      </c>
      <c r="X68" s="585">
        <f t="shared" si="29"/>
        <v>9.1634402721205905</v>
      </c>
      <c r="Y68" s="585">
        <f t="shared" si="29"/>
        <v>0</v>
      </c>
      <c r="Z68" s="585">
        <f t="shared" si="29"/>
        <v>0</v>
      </c>
      <c r="AA68" s="585">
        <f t="shared" si="29"/>
        <v>0</v>
      </c>
      <c r="AB68" s="585">
        <f t="shared" si="29"/>
        <v>0</v>
      </c>
      <c r="AC68" s="585">
        <f t="shared" si="29"/>
        <v>0</v>
      </c>
      <c r="AD68" s="585">
        <f t="shared" si="29"/>
        <v>0</v>
      </c>
      <c r="AE68" s="585">
        <f t="shared" si="29"/>
        <v>0</v>
      </c>
      <c r="AF68" s="585">
        <f t="shared" si="29"/>
        <v>0</v>
      </c>
      <c r="AG68" s="585"/>
      <c r="AH68" s="584">
        <f t="shared" si="29"/>
        <v>9.9510216585438229</v>
      </c>
      <c r="AI68" s="584">
        <f>SUM(AI54:AI63,AI65)</f>
        <v>9.6</v>
      </c>
      <c r="AJ68" s="547">
        <f t="shared" si="29"/>
        <v>-0.35102165854382278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30">SUM(D60:D62)</f>
        <v>0</v>
      </c>
      <c r="E69" s="587">
        <f t="shared" si="30"/>
        <v>0</v>
      </c>
      <c r="F69" s="587">
        <f t="shared" si="30"/>
        <v>3.9815988876025261</v>
      </c>
      <c r="G69" s="587">
        <f t="shared" si="30"/>
        <v>3.3315415798786088</v>
      </c>
      <c r="H69" s="587">
        <f t="shared" si="30"/>
        <v>2.7311110454988334</v>
      </c>
      <c r="I69" s="587">
        <f t="shared" si="30"/>
        <v>3.0729365646230251</v>
      </c>
      <c r="J69" s="588">
        <f t="shared" si="30"/>
        <v>3.0147430660909476</v>
      </c>
      <c r="K69" s="588">
        <f t="shared" si="30"/>
        <v>0</v>
      </c>
      <c r="L69" s="588">
        <f t="shared" si="30"/>
        <v>0</v>
      </c>
      <c r="M69" s="588">
        <f t="shared" si="30"/>
        <v>6.198922146598183</v>
      </c>
      <c r="N69" s="588">
        <f t="shared" si="30"/>
        <v>2.2501379967443311</v>
      </c>
      <c r="O69" s="588">
        <f t="shared" si="30"/>
        <v>2.9250787219172807</v>
      </c>
      <c r="P69" s="588">
        <f t="shared" si="30"/>
        <v>3.2415249806554152</v>
      </c>
      <c r="Q69" s="588">
        <f t="shared" si="30"/>
        <v>3.801761625274453</v>
      </c>
      <c r="R69" s="588">
        <f t="shared" si="30"/>
        <v>0</v>
      </c>
      <c r="S69" s="588">
        <f t="shared" si="30"/>
        <v>0</v>
      </c>
      <c r="T69" s="588">
        <f t="shared" si="30"/>
        <v>0</v>
      </c>
      <c r="U69" s="588">
        <f t="shared" si="30"/>
        <v>3.6494156641507165</v>
      </c>
      <c r="V69" s="588">
        <f t="shared" si="30"/>
        <v>2.9022361038171312</v>
      </c>
      <c r="W69" s="588">
        <f t="shared" si="30"/>
        <v>4.5971727387656589</v>
      </c>
      <c r="X69" s="588">
        <f t="shared" si="30"/>
        <v>3.2623766413832476</v>
      </c>
      <c r="Y69" s="588">
        <f t="shared" si="30"/>
        <v>0</v>
      </c>
      <c r="Z69" s="588">
        <f t="shared" si="30"/>
        <v>0</v>
      </c>
      <c r="AA69" s="588">
        <f t="shared" si="30"/>
        <v>0</v>
      </c>
      <c r="AB69" s="588">
        <f t="shared" si="30"/>
        <v>0</v>
      </c>
      <c r="AC69" s="588">
        <f t="shared" si="30"/>
        <v>0</v>
      </c>
      <c r="AD69" s="588">
        <f t="shared" si="30"/>
        <v>0</v>
      </c>
      <c r="AE69" s="588">
        <f t="shared" si="30"/>
        <v>0</v>
      </c>
      <c r="AF69" s="588">
        <f t="shared" si="30"/>
        <v>0</v>
      </c>
      <c r="AG69" s="588"/>
      <c r="AH69" s="587">
        <f t="shared" si="30"/>
        <v>3.3897321883770912</v>
      </c>
      <c r="AI69" s="587">
        <f t="shared" si="30"/>
        <v>2.9</v>
      </c>
      <c r="AJ69" s="587">
        <f t="shared" si="30"/>
        <v>-0.48973218837709143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>
        <f>+'Water '!$F12</f>
        <v>169</v>
      </c>
      <c r="H71" s="592">
        <f>+'Water '!$F13</f>
        <v>151</v>
      </c>
      <c r="I71" s="592">
        <f>+'Water '!$F14</f>
        <v>207</v>
      </c>
      <c r="J71" s="593">
        <f>+'Water '!$F15</f>
        <v>158</v>
      </c>
      <c r="K71" s="593">
        <f>+'Water '!$F16</f>
        <v>170</v>
      </c>
      <c r="L71" s="593">
        <f>+'Water '!$F17</f>
        <v>5</v>
      </c>
      <c r="M71" s="593">
        <f>+'Water '!$F18</f>
        <v>247</v>
      </c>
      <c r="N71" s="593">
        <f>+'Water '!$F19</f>
        <v>114</v>
      </c>
      <c r="O71" s="593">
        <f>+'Water '!$F20</f>
        <v>175</v>
      </c>
      <c r="P71" s="593">
        <f>+'Water '!$F21</f>
        <v>220</v>
      </c>
      <c r="Q71" s="593">
        <f>+'Water '!$F22</f>
        <v>300</v>
      </c>
      <c r="R71" s="593" t="str">
        <f>+'Water '!$F23</f>
        <v>0</v>
      </c>
      <c r="S71" s="593" t="str">
        <f>+'Water '!$F24</f>
        <v>0</v>
      </c>
      <c r="T71" s="593">
        <f>+'Water '!$F25</f>
        <v>88</v>
      </c>
      <c r="U71" s="593">
        <f>+'Water '!$F26</f>
        <v>134</v>
      </c>
      <c r="V71" s="593">
        <f>+'Water '!$F27</f>
        <v>140</v>
      </c>
      <c r="W71" s="593">
        <f>+'Water '!$F28</f>
        <v>216</v>
      </c>
      <c r="X71" s="593">
        <f>+'Water '!$F29</f>
        <v>202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3269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79" t="s">
        <v>220</v>
      </c>
      <c r="B74" s="791">
        <v>1600</v>
      </c>
      <c r="C74" s="886">
        <v>1200</v>
      </c>
      <c r="D74" s="893">
        <v>0</v>
      </c>
      <c r="E74" s="893">
        <v>0</v>
      </c>
      <c r="F74" s="893">
        <v>1600</v>
      </c>
      <c r="G74" s="893">
        <v>1500</v>
      </c>
      <c r="H74" s="893">
        <v>1400</v>
      </c>
      <c r="I74" s="894">
        <f>2200+800</f>
        <v>3000</v>
      </c>
      <c r="J74" s="877">
        <v>1700</v>
      </c>
      <c r="K74" s="877">
        <v>800</v>
      </c>
      <c r="L74" s="897"/>
      <c r="M74" s="894">
        <v>1500</v>
      </c>
      <c r="N74" s="893">
        <v>2100</v>
      </c>
      <c r="O74" s="893">
        <v>2100</v>
      </c>
      <c r="P74" s="894">
        <f>2500+1100</f>
        <v>3600</v>
      </c>
      <c r="Q74" s="790">
        <v>1900</v>
      </c>
      <c r="R74" s="790">
        <v>0</v>
      </c>
      <c r="S74" s="790">
        <v>0</v>
      </c>
      <c r="T74" s="790">
        <v>0</v>
      </c>
      <c r="U74" s="790">
        <v>2300</v>
      </c>
      <c r="V74" s="790">
        <v>2200</v>
      </c>
      <c r="W74" s="790">
        <v>1000</v>
      </c>
      <c r="X74" s="790">
        <v>2000</v>
      </c>
      <c r="Y74" s="790">
        <v>0</v>
      </c>
      <c r="Z74" s="790">
        <v>0</v>
      </c>
      <c r="AA74" s="790">
        <v>0</v>
      </c>
      <c r="AB74" s="790">
        <v>0</v>
      </c>
      <c r="AC74" s="790"/>
      <c r="AD74" s="790"/>
      <c r="AE74" s="790"/>
      <c r="AF74" s="790"/>
      <c r="AG74" s="790"/>
      <c r="AH74" s="516">
        <f>SUM(B74:AF74)</f>
        <v>31500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0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>
        <v>1583.3100000000559</v>
      </c>
      <c r="G75" s="601">
        <v>1503.5599999999395</v>
      </c>
      <c r="H75" s="601">
        <v>1416.1900000000605</v>
      </c>
      <c r="I75" s="601">
        <v>1771.5</v>
      </c>
      <c r="J75" s="601">
        <v>1532</v>
      </c>
      <c r="K75" s="601">
        <v>360.76999999990221</v>
      </c>
      <c r="L75" s="601" t="str">
        <v>0</v>
      </c>
      <c r="M75" s="601">
        <v>1256.1700000000419</v>
      </c>
      <c r="N75" s="601">
        <v>2027.25</v>
      </c>
      <c r="O75" s="601">
        <v>2039</v>
      </c>
      <c r="P75" s="601">
        <v>2943.2299999999814</v>
      </c>
      <c r="Q75" s="601">
        <v>1101.6500000000233</v>
      </c>
      <c r="R75" s="601" t="str">
        <v>0</v>
      </c>
      <c r="S75" s="601" t="str">
        <v>0</v>
      </c>
      <c r="T75" s="601" t="str">
        <v>0</v>
      </c>
      <c r="U75" s="601">
        <v>2224.3099999999395</v>
      </c>
      <c r="V75" s="601">
        <v>2463.6900000000605</v>
      </c>
      <c r="W75" s="601">
        <v>1195.2399999999907</v>
      </c>
      <c r="X75" s="601">
        <v>1931.0699999999488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1" t="str">
        <v>0</v>
      </c>
      <c r="AG75" s="599"/>
      <c r="AH75" s="516">
        <f>SUM(B75:AF75)</f>
        <v>28070.039999999921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2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>
        <v>178.82000000000698</v>
      </c>
      <c r="G76" s="604">
        <v>201.50999999999476</v>
      </c>
      <c r="H76" s="604">
        <v>220.41000000000349</v>
      </c>
      <c r="I76" s="604">
        <v>223.17999999999302</v>
      </c>
      <c r="J76" s="604">
        <v>180.90000000000873</v>
      </c>
      <c r="K76" s="604">
        <v>5.0899999999965075</v>
      </c>
      <c r="L76" s="604" t="str">
        <v>0</v>
      </c>
      <c r="M76" s="604">
        <v>244.5399999999936</v>
      </c>
      <c r="N76" s="604">
        <v>285.63000000000466</v>
      </c>
      <c r="O76" s="604">
        <v>282</v>
      </c>
      <c r="P76" s="604">
        <v>307.57000000000698</v>
      </c>
      <c r="Q76" s="604">
        <v>130.47999999999593</v>
      </c>
      <c r="R76" s="604" t="str">
        <v>0</v>
      </c>
      <c r="S76" s="604" t="str">
        <v>0</v>
      </c>
      <c r="T76" s="604" t="str">
        <v>0</v>
      </c>
      <c r="U76" s="604">
        <v>305.16000000000349</v>
      </c>
      <c r="V76" s="604">
        <v>354.58999999999651</v>
      </c>
      <c r="W76" s="604">
        <v>172.94999999999709</v>
      </c>
      <c r="X76" s="604">
        <v>245.7899999999936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3" t="str">
        <v>0</v>
      </c>
      <c r="AG76" s="604"/>
      <c r="AH76" s="604">
        <f>SUM($B76:AF76)</f>
        <v>3679.0599999999977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4" t="s">
        <v>292</v>
      </c>
      <c r="B77" s="785" cm="1">
        <f t="array" ref="B77:AF77">TRANSPOSE('CO2'!C7:C37)</f>
        <v>564.13000000000466</v>
      </c>
      <c r="C77" s="785">
        <v>475.41000000000349</v>
      </c>
      <c r="D77" s="785" t="str">
        <v>0</v>
      </c>
      <c r="E77" s="785" t="str">
        <v>0</v>
      </c>
      <c r="F77" s="785">
        <v>407.7899999999936</v>
      </c>
      <c r="G77" s="785">
        <v>467.24000000000524</v>
      </c>
      <c r="H77" s="785">
        <v>304.72000000000116</v>
      </c>
      <c r="I77" s="785">
        <v>777.58000000000175</v>
      </c>
      <c r="J77" s="607">
        <v>439.67999999999302</v>
      </c>
      <c r="K77" s="607">
        <v>327.55000000000291</v>
      </c>
      <c r="L77" s="607" t="str">
        <v>0</v>
      </c>
      <c r="M77" s="607">
        <v>591.47999999999593</v>
      </c>
      <c r="N77" s="607">
        <v>282.16000000000349</v>
      </c>
      <c r="O77" s="607">
        <v>616.39999999999418</v>
      </c>
      <c r="P77" s="607">
        <v>1007.070000000007</v>
      </c>
      <c r="Q77" s="607">
        <v>245.83000000000175</v>
      </c>
      <c r="R77" s="607" t="str">
        <v>0</v>
      </c>
      <c r="S77" s="607" t="str">
        <v>0</v>
      </c>
      <c r="T77" s="607" t="str">
        <v>0</v>
      </c>
      <c r="U77" s="607">
        <v>977.27999999999884</v>
      </c>
      <c r="V77" s="607">
        <v>408.61999999999534</v>
      </c>
      <c r="W77" s="607">
        <v>352.2100000000064</v>
      </c>
      <c r="X77" s="607">
        <v>648.3799999999901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86" t="str">
        <v>0</v>
      </c>
      <c r="AG77" s="607"/>
      <c r="AH77" s="604">
        <f>SUM($B77:AF77)</f>
        <v>8893.5299999999988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87" t="s">
        <v>293</v>
      </c>
      <c r="B78" s="788">
        <f>B75-B76-B77</f>
        <v>821.00999999996566</v>
      </c>
      <c r="C78" s="788">
        <f t="shared" ref="C78:T78" si="31">C75-C76-C77</f>
        <v>520.11000000000058</v>
      </c>
      <c r="D78" s="788">
        <f t="shared" si="31"/>
        <v>0</v>
      </c>
      <c r="E78" s="788">
        <f t="shared" si="31"/>
        <v>0</v>
      </c>
      <c r="F78" s="788">
        <f t="shared" si="31"/>
        <v>996.7000000000553</v>
      </c>
      <c r="G78" s="788">
        <f t="shared" si="31"/>
        <v>834.80999999993946</v>
      </c>
      <c r="H78" s="788">
        <f t="shared" si="31"/>
        <v>891.06000000005588</v>
      </c>
      <c r="I78" s="788">
        <f t="shared" si="31"/>
        <v>770.74000000000524</v>
      </c>
      <c r="J78" s="788">
        <f t="shared" si="31"/>
        <v>911.41999999999825</v>
      </c>
      <c r="K78" s="788">
        <f t="shared" si="31"/>
        <v>28.129999999902793</v>
      </c>
      <c r="L78" s="788">
        <f t="shared" si="31"/>
        <v>0</v>
      </c>
      <c r="M78" s="788">
        <f t="shared" si="31"/>
        <v>420.15000000005239</v>
      </c>
      <c r="N78" s="788">
        <f t="shared" si="31"/>
        <v>1459.4599999999919</v>
      </c>
      <c r="O78" s="788">
        <f t="shared" si="31"/>
        <v>1140.6000000000058</v>
      </c>
      <c r="P78" s="788">
        <f t="shared" si="31"/>
        <v>1628.5899999999674</v>
      </c>
      <c r="Q78" s="788">
        <f t="shared" si="31"/>
        <v>725.34000000002561</v>
      </c>
      <c r="R78" s="788">
        <f t="shared" si="31"/>
        <v>0</v>
      </c>
      <c r="S78" s="788">
        <f t="shared" si="31"/>
        <v>0</v>
      </c>
      <c r="T78" s="788">
        <f t="shared" si="31"/>
        <v>0</v>
      </c>
      <c r="U78" s="788">
        <f>U75-U76-U77</f>
        <v>941.86999999993714</v>
      </c>
      <c r="V78" s="788">
        <f>V75-V76-V77</f>
        <v>1700.4800000000687</v>
      </c>
      <c r="W78" s="881">
        <f t="shared" ref="W78:AB78" si="32">W75-W76-W77</f>
        <v>670.07999999998719</v>
      </c>
      <c r="X78" s="788">
        <f t="shared" si="32"/>
        <v>1036.8999999999651</v>
      </c>
      <c r="Y78" s="788">
        <f t="shared" si="32"/>
        <v>0</v>
      </c>
      <c r="Z78" s="788">
        <f t="shared" si="32"/>
        <v>0</v>
      </c>
      <c r="AA78" s="788">
        <f t="shared" si="32"/>
        <v>0</v>
      </c>
      <c r="AB78" s="788">
        <f t="shared" si="32"/>
        <v>0</v>
      </c>
      <c r="AC78" s="788">
        <f>AC75-AC76-AC77</f>
        <v>0</v>
      </c>
      <c r="AD78" s="788">
        <f t="shared" ref="AD78:AE78" si="33">AD75-AD76-AD77</f>
        <v>0</v>
      </c>
      <c r="AE78" s="788">
        <f t="shared" si="33"/>
        <v>0</v>
      </c>
      <c r="AF78" s="789">
        <f>AF75-AF76-AF77</f>
        <v>0</v>
      </c>
      <c r="AG78" s="485">
        <f t="shared" ref="AG78" si="34">AG75-AG76-AG77</f>
        <v>0</v>
      </c>
      <c r="AH78" s="484">
        <f>AH75-AH76-AH77</f>
        <v>15497.449999999924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1583.3100000000559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1771.5</v>
      </c>
      <c r="J79" s="610">
        <f>'Daily KPIs CO2'!J47</f>
        <v>1532</v>
      </c>
      <c r="K79" s="610">
        <f>'Daily KPIs CO2'!K47</f>
        <v>360.76999999990221</v>
      </c>
      <c r="L79" s="610" t="s">
        <v>237</v>
      </c>
      <c r="M79" s="610">
        <f>'Daily KPIs CO2'!M47</f>
        <v>1256.1700000000419</v>
      </c>
      <c r="N79" s="610"/>
      <c r="O79" s="610">
        <f>'Daily KPIs CO2'!O47</f>
        <v>2039</v>
      </c>
      <c r="P79" s="610">
        <f>'Daily KPIs CO2'!P47</f>
        <v>2943.2299999999814</v>
      </c>
      <c r="Q79" s="610">
        <f>'Daily KPIs CO2'!Q47</f>
        <v>1101.6500000000233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67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35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4774</v>
      </c>
      <c r="G80" s="612">
        <v>7226</v>
      </c>
      <c r="H80" s="612">
        <v>6606</v>
      </c>
      <c r="I80" s="612">
        <v>7587</v>
      </c>
      <c r="J80" s="612">
        <v>6341</v>
      </c>
      <c r="K80" s="613">
        <v>4500</v>
      </c>
      <c r="L80" s="613">
        <v>2914</v>
      </c>
      <c r="M80" s="613">
        <v>8829</v>
      </c>
      <c r="N80" s="613">
        <v>5822</v>
      </c>
      <c r="O80" s="613">
        <v>6651</v>
      </c>
      <c r="P80" s="613">
        <v>8256</v>
      </c>
      <c r="Q80" s="613">
        <v>7352</v>
      </c>
      <c r="R80" s="613">
        <v>3261</v>
      </c>
      <c r="S80" s="613">
        <v>2453</v>
      </c>
      <c r="T80" s="613">
        <v>3097</v>
      </c>
      <c r="U80" s="613">
        <v>7790</v>
      </c>
      <c r="V80" s="613">
        <v>7481</v>
      </c>
      <c r="W80" s="613">
        <v>7284</v>
      </c>
      <c r="X80" s="613">
        <v>7265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137781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6195</v>
      </c>
      <c r="E82" s="614">
        <v>8427.9</v>
      </c>
      <c r="F82" s="614">
        <v>7952.2</v>
      </c>
      <c r="G82" s="614">
        <v>8945.1</v>
      </c>
      <c r="H82" s="614">
        <v>7714.4</v>
      </c>
      <c r="I82" s="614">
        <v>6067.4</v>
      </c>
      <c r="J82" s="617">
        <v>4033.5</v>
      </c>
      <c r="K82" s="617">
        <v>10110.299999999999</v>
      </c>
      <c r="L82" s="617">
        <v>7167.4</v>
      </c>
      <c r="M82" s="617">
        <v>7686.1</v>
      </c>
      <c r="N82" s="617">
        <v>9793.6</v>
      </c>
      <c r="O82" s="617">
        <v>8649.5</v>
      </c>
      <c r="P82" s="617">
        <v>4755.7</v>
      </c>
      <c r="Q82" s="617">
        <v>3803.7</v>
      </c>
      <c r="R82" s="617">
        <v>4445.2</v>
      </c>
      <c r="S82" s="617">
        <v>9276.2999999999993</v>
      </c>
      <c r="T82" s="617">
        <v>8975.6</v>
      </c>
      <c r="U82" s="617">
        <v>8698.7000000000007</v>
      </c>
      <c r="V82" s="617">
        <v>8694.6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167808.9</v>
      </c>
      <c r="AF82" s="617">
        <v>0</v>
      </c>
      <c r="AG82" s="617"/>
      <c r="AH82" s="594">
        <f>SUM(B82:AF82)</f>
        <v>318531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2" customFormat="1" x14ac:dyDescent="0.4">
      <c r="A83" s="793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1421</v>
      </c>
      <c r="G83" s="594">
        <v>1201.9000000000001</v>
      </c>
      <c r="H83" s="594">
        <v>1346.2</v>
      </c>
      <c r="I83" s="594">
        <v>1358.1</v>
      </c>
      <c r="J83" s="621">
        <v>1373.4</v>
      </c>
      <c r="K83" s="621">
        <v>1567.4</v>
      </c>
      <c r="L83" s="621">
        <v>1119.5</v>
      </c>
      <c r="M83" s="621">
        <v>1281.3</v>
      </c>
      <c r="N83" s="621">
        <v>1345.4</v>
      </c>
      <c r="O83" s="621">
        <v>1035.0999999999999</v>
      </c>
      <c r="P83" s="621">
        <v>1537.6</v>
      </c>
      <c r="Q83" s="621">
        <v>1297.5</v>
      </c>
      <c r="R83" s="621">
        <v>1494.7</v>
      </c>
      <c r="S83" s="621">
        <v>1350.7</v>
      </c>
      <c r="T83" s="621">
        <v>1348.2</v>
      </c>
      <c r="U83" s="621">
        <v>1486.3</v>
      </c>
      <c r="V83" s="621">
        <v>1494.6</v>
      </c>
      <c r="W83" s="621">
        <v>1414.7</v>
      </c>
      <c r="X83" s="621">
        <v>1429.6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30027.899999999994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 cm="1">
        <f t="array" ref="B84:AF84">TRANSPOSE('Fuel '!D7:D37)</f>
        <v>3317.1999999999534</v>
      </c>
      <c r="C84" s="619">
        <v>2235.1000000000931</v>
      </c>
      <c r="D84" s="619">
        <v>238.30000000004657</v>
      </c>
      <c r="E84" s="619">
        <v>334.89999999990687</v>
      </c>
      <c r="F84" s="619">
        <v>3351.6000000000931</v>
      </c>
      <c r="G84" s="619">
        <v>2654.6999999999534</v>
      </c>
      <c r="H84" s="619">
        <v>2750.5999999998603</v>
      </c>
      <c r="I84" s="619">
        <v>2970.8000000000466</v>
      </c>
      <c r="J84" s="620">
        <v>2906.1999999999534</v>
      </c>
      <c r="K84" s="620">
        <v>1549.5</v>
      </c>
      <c r="L84" s="620">
        <v>542.10000000009313</v>
      </c>
      <c r="M84" s="620">
        <v>3450.3000000000466</v>
      </c>
      <c r="N84" s="620">
        <v>2133.5999999998603</v>
      </c>
      <c r="O84" s="620">
        <v>2996.3000000000466</v>
      </c>
      <c r="P84" s="620">
        <v>3082</v>
      </c>
      <c r="Q84" s="620">
        <v>2935.4000000001397</v>
      </c>
      <c r="R84" s="620">
        <v>177.39999999990687</v>
      </c>
      <c r="S84" s="620" t="str">
        <v>0</v>
      </c>
      <c r="T84" s="620">
        <v>1277.1999999999534</v>
      </c>
      <c r="U84" s="620">
        <v>3811.4000000001397</v>
      </c>
      <c r="V84" s="620">
        <v>3661</v>
      </c>
      <c r="W84" s="620">
        <v>2948.1999999999534</v>
      </c>
      <c r="X84" s="620">
        <v>3071.5999999998603</v>
      </c>
      <c r="Y84" s="620" t="str">
        <v>0</v>
      </c>
      <c r="Z84" s="620" t="str">
        <v>0</v>
      </c>
      <c r="AA84" s="620" t="str">
        <v>0</v>
      </c>
      <c r="AB84" s="620" t="str">
        <v>0</v>
      </c>
      <c r="AC84" s="620" t="str">
        <v>0</v>
      </c>
      <c r="AD84" s="620" t="str">
        <v>0</v>
      </c>
      <c r="AE84" s="620" t="str">
        <v>0</v>
      </c>
      <c r="AF84" s="620" t="str">
        <v>0</v>
      </c>
      <c r="AG84" s="620"/>
      <c r="AH84" s="621">
        <f>SUM($B84:AF84)</f>
        <v>52395.399999999907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>
        <f>'Steam Mass Flow '!B10</f>
        <v>116.67799999937415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>
        <f>'Steam Mass Flow '!B27</f>
        <v>3.5339999999850988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120.21199999935925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5">IF(B$9=0,"",+(B22*10)/B$9)</f>
        <v>6.3934304917119373</v>
      </c>
      <c r="C90" s="653">
        <f>IF(C$9=0,"",+(C22*10)/C$9)</f>
        <v>11.003893685457932</v>
      </c>
      <c r="D90" s="653" t="str">
        <f t="shared" si="35"/>
        <v/>
      </c>
      <c r="E90" s="653" t="str">
        <f t="shared" si="35"/>
        <v/>
      </c>
      <c r="F90" s="653">
        <f t="shared" si="35"/>
        <v>4.3491310926119899</v>
      </c>
      <c r="G90" s="653">
        <f>IF(G$9=0,"",+(G22*10)/G$9)</f>
        <v>9.574682523684741</v>
      </c>
      <c r="H90" s="653">
        <f>IF(H$9=0,"",+(H22*10)/H$9)</f>
        <v>9.3743541291446455</v>
      </c>
      <c r="I90" s="653">
        <f t="shared" si="35"/>
        <v>12.430166824466111</v>
      </c>
      <c r="J90" s="653">
        <f t="shared" si="35"/>
        <v>20.714202357334575</v>
      </c>
      <c r="K90" s="653" t="str">
        <f t="shared" si="35"/>
        <v/>
      </c>
      <c r="L90" s="653" t="str">
        <f t="shared" si="35"/>
        <v/>
      </c>
      <c r="M90" s="653">
        <f t="shared" si="35"/>
        <v>16.066594135060598</v>
      </c>
      <c r="N90" s="653">
        <f t="shared" si="35"/>
        <v>6.0999834755490863</v>
      </c>
      <c r="O90" s="653">
        <f>IF(O$9=0,"",+(O22*10)/O$9)</f>
        <v>6.8317274847464011</v>
      </c>
      <c r="P90" s="653">
        <f t="shared" si="35"/>
        <v>9.5990965556182939</v>
      </c>
      <c r="Q90" s="653">
        <f t="shared" si="35"/>
        <v>23.45131609298511</v>
      </c>
      <c r="R90" s="653" t="str">
        <f>IF(R$9=0,"",+(R22*10)/R$9)</f>
        <v/>
      </c>
      <c r="S90" s="653" t="str">
        <f t="shared" si="35"/>
        <v/>
      </c>
      <c r="T90" s="653" t="str">
        <f t="shared" si="35"/>
        <v/>
      </c>
      <c r="U90" s="653">
        <f>IF(U$9=0,"",+(U22*10)/U$9)</f>
        <v>8.5009917823746104</v>
      </c>
      <c r="V90" s="653">
        <f t="shared" si="35"/>
        <v>8.8141985375186955</v>
      </c>
      <c r="W90" s="653">
        <f t="shared" si="35"/>
        <v>15.515457993334097</v>
      </c>
      <c r="X90" s="653">
        <f t="shared" si="35"/>
        <v>9.6671896064518297</v>
      </c>
      <c r="Y90" s="653" t="str">
        <f t="shared" si="35"/>
        <v/>
      </c>
      <c r="Z90" s="653" t="str">
        <f t="shared" si="35"/>
        <v/>
      </c>
      <c r="AA90" s="653" t="str">
        <f t="shared" si="35"/>
        <v/>
      </c>
      <c r="AB90" s="653" t="str">
        <f t="shared" si="35"/>
        <v/>
      </c>
      <c r="AC90" s="653" t="str">
        <f t="shared" si="35"/>
        <v/>
      </c>
      <c r="AD90" s="653" t="str">
        <f t="shared" si="35"/>
        <v/>
      </c>
      <c r="AE90" s="653" t="str">
        <f>IF(AE$9=0,"",+(AE22*10)/AE$9)</f>
        <v/>
      </c>
      <c r="AF90" s="654" t="str">
        <f t="shared" si="35"/>
        <v/>
      </c>
      <c r="AG90" s="627"/>
      <c r="AH90" s="659">
        <f>IF(AH$9=0,"0",+(AH22*10)/AH$9)</f>
        <v>11.211944280438946</v>
      </c>
      <c r="AI90" s="662">
        <v>10.199999999999999</v>
      </c>
      <c r="AJ90" s="665">
        <f>+AI90-AH90</f>
        <v>-1.0119442804389465</v>
      </c>
      <c r="AK90" s="667">
        <f>AH90/AI90*100</f>
        <v>109.92102235724457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6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7">IF(B$9=0,"",+B74/B$9)</f>
        <v>4.3529739518038726</v>
      </c>
      <c r="C92" s="653">
        <f t="shared" si="37"/>
        <v>4.232266802099204</v>
      </c>
      <c r="D92" s="653" t="str">
        <f t="shared" si="37"/>
        <v/>
      </c>
      <c r="E92" s="653" t="str">
        <f t="shared" si="37"/>
        <v/>
      </c>
      <c r="F92" s="653">
        <f t="shared" si="37"/>
        <v>4.9004294001261863</v>
      </c>
      <c r="G92" s="653">
        <f>IF(G$9=0,"",+G74/G$9)</f>
        <v>4.199422159510851</v>
      </c>
      <c r="H92" s="653">
        <f>IF(H$9=0,"",+H74/H$9)</f>
        <v>3.4446445618904211</v>
      </c>
      <c r="I92" s="653">
        <f t="shared" si="37"/>
        <v>8.3052339584406081</v>
      </c>
      <c r="J92" s="653">
        <f t="shared" si="37"/>
        <v>5.5108206584458186</v>
      </c>
      <c r="K92" s="653" t="str">
        <f t="shared" si="37"/>
        <v/>
      </c>
      <c r="L92" s="653" t="str">
        <f t="shared" si="37"/>
        <v/>
      </c>
      <c r="M92" s="653">
        <f t="shared" si="37"/>
        <v>6.3254307618348804</v>
      </c>
      <c r="N92" s="653">
        <f t="shared" si="37"/>
        <v>3.6916326509086685</v>
      </c>
      <c r="O92" s="653">
        <f t="shared" si="37"/>
        <v>4.122594171829725</v>
      </c>
      <c r="P92" s="653">
        <f t="shared" si="37"/>
        <v>7.5287031808770939</v>
      </c>
      <c r="Q92" s="653">
        <f t="shared" si="37"/>
        <v>8.1161203236196187</v>
      </c>
      <c r="R92" s="653" t="str">
        <f t="shared" si="37"/>
        <v/>
      </c>
      <c r="S92" s="653" t="str">
        <f t="shared" si="37"/>
        <v/>
      </c>
      <c r="T92" s="653" t="str">
        <f t="shared" si="37"/>
        <v/>
      </c>
      <c r="U92" s="653">
        <f t="shared" si="37"/>
        <v>4.9374447220862629</v>
      </c>
      <c r="V92" s="653">
        <f t="shared" si="37"/>
        <v>3.3782642478294651</v>
      </c>
      <c r="W92" s="653">
        <f t="shared" si="37"/>
        <v>3.8309772823047155</v>
      </c>
      <c r="X92" s="653">
        <f t="shared" si="37"/>
        <v>4.7976127079165405</v>
      </c>
      <c r="Y92" s="653" t="str">
        <f t="shared" si="37"/>
        <v/>
      </c>
      <c r="Z92" s="653" t="str">
        <f t="shared" si="37"/>
        <v/>
      </c>
      <c r="AA92" s="653" t="str">
        <f t="shared" si="37"/>
        <v/>
      </c>
      <c r="AB92" s="653" t="str">
        <f t="shared" si="37"/>
        <v/>
      </c>
      <c r="AC92" s="653" t="str">
        <f t="shared" si="37"/>
        <v/>
      </c>
      <c r="AD92" s="653" t="str">
        <f t="shared" si="37"/>
        <v/>
      </c>
      <c r="AE92" s="653" t="str">
        <f t="shared" si="37"/>
        <v/>
      </c>
      <c r="AF92" s="653" t="str">
        <f t="shared" si="37"/>
        <v/>
      </c>
      <c r="AG92" s="628"/>
      <c r="AH92" s="670">
        <f>IF(AH$9=0,"0",+(AH74)/AH$9)</f>
        <v>5.0533158511064071</v>
      </c>
      <c r="AI92" s="674">
        <v>5</v>
      </c>
      <c r="AJ92" s="675">
        <f>AI92-AH92</f>
        <v>-5.3315851106407131E-2</v>
      </c>
      <c r="AK92" s="673">
        <f t="shared" si="36"/>
        <v>101.06631702212813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>
        <f t="shared" ref="C93:AF93" si="38">IF(C$9=0,"",+C76/C$9)</f>
        <v>0.51527848315554736</v>
      </c>
      <c r="D93" s="653" t="str">
        <f t="shared" si="38"/>
        <v/>
      </c>
      <c r="E93" s="653" t="str">
        <f t="shared" si="38"/>
        <v/>
      </c>
      <c r="F93" s="653">
        <f t="shared" si="38"/>
        <v>0.54768424083162426</v>
      </c>
      <c r="G93" s="653">
        <f>IF(G$9=0,"",+G76/G$9)</f>
        <v>0.56415037290867309</v>
      </c>
      <c r="H93" s="653">
        <f>IF(H$9=0,"",+H76/H$9)</f>
        <v>0.54231007706162837</v>
      </c>
      <c r="I93" s="653">
        <f t="shared" si="38"/>
        <v>0.61785403828157237</v>
      </c>
      <c r="J93" s="653">
        <f t="shared" si="38"/>
        <v>0.58641615124288038</v>
      </c>
      <c r="K93" s="653" t="str">
        <f t="shared" si="38"/>
        <v/>
      </c>
      <c r="L93" s="653" t="str">
        <f t="shared" si="38"/>
        <v/>
      </c>
      <c r="M93" s="653">
        <f t="shared" si="38"/>
        <v>1.0312138923327074</v>
      </c>
      <c r="N93" s="653">
        <f t="shared" si="38"/>
        <v>0.50211477813288585</v>
      </c>
      <c r="O93" s="653">
        <f t="shared" si="38"/>
        <v>0.55360550307427736</v>
      </c>
      <c r="P93" s="653">
        <f t="shared" si="38"/>
        <v>0.64322312148400562</v>
      </c>
      <c r="Q93" s="653">
        <f t="shared" si="38"/>
        <v>0.55736388411887094</v>
      </c>
      <c r="R93" s="653" t="str">
        <f t="shared" si="38"/>
        <v/>
      </c>
      <c r="S93" s="653" t="str">
        <f t="shared" si="38"/>
        <v/>
      </c>
      <c r="T93" s="653" t="str">
        <f t="shared" si="38"/>
        <v/>
      </c>
      <c r="U93" s="653">
        <f t="shared" si="38"/>
        <v>0.65509157886602665</v>
      </c>
      <c r="V93" s="653">
        <f t="shared" si="38"/>
        <v>0.54449941801719925</v>
      </c>
      <c r="W93" s="653">
        <f t="shared" si="38"/>
        <v>0.66256752097458937</v>
      </c>
      <c r="X93" s="653">
        <f t="shared" si="38"/>
        <v>0.58960261373938783</v>
      </c>
      <c r="Y93" s="653" t="str">
        <f t="shared" si="38"/>
        <v/>
      </c>
      <c r="Z93" s="653" t="str">
        <f t="shared" si="38"/>
        <v/>
      </c>
      <c r="AA93" s="653" t="str">
        <f t="shared" si="38"/>
        <v/>
      </c>
      <c r="AB93" s="653" t="str">
        <f t="shared" si="38"/>
        <v/>
      </c>
      <c r="AC93" s="653" t="str">
        <f t="shared" si="38"/>
        <v/>
      </c>
      <c r="AD93" s="653" t="str">
        <f t="shared" si="38"/>
        <v/>
      </c>
      <c r="AE93" s="653" t="str">
        <f t="shared" si="38"/>
        <v/>
      </c>
      <c r="AF93" s="653" t="str">
        <f t="shared" si="38"/>
        <v/>
      </c>
      <c r="AG93" s="628"/>
      <c r="AH93" s="670">
        <f>IF(AH$9=0,"0",+AH76/AH$9)</f>
        <v>0.59020483222766751</v>
      </c>
      <c r="AI93" s="674">
        <v>1.7</v>
      </c>
      <c r="AJ93" s="676">
        <f>AI93-AH93</f>
        <v>1.1097951677723326</v>
      </c>
      <c r="AK93" s="673">
        <f t="shared" si="36"/>
        <v>34.717931307509851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9">IF(E$9=0,"",(E80+E83)/E$9)</f>
        <v/>
      </c>
      <c r="F94" s="653">
        <f t="shared" si="39"/>
        <v>18.973850083613577</v>
      </c>
      <c r="G94" s="653">
        <f>IF(G$9=0,"",(G80+G83)/G$9)</f>
        <v>23.594873345427668</v>
      </c>
      <c r="H94" s="653">
        <f>IF(H$9=0,"",(H80+H83)/H$9)</f>
        <v>19.566073203617862</v>
      </c>
      <c r="I94" s="653">
        <f t="shared" si="39"/>
        <v>24.763716093882365</v>
      </c>
      <c r="J94" s="653">
        <f t="shared" si="39"/>
        <v>25.007455816184951</v>
      </c>
      <c r="K94" s="653" t="str">
        <f>IF(K$9=0,"",(K80+K83)/K$9)</f>
        <v/>
      </c>
      <c r="L94" s="653" t="str">
        <f t="shared" si="39"/>
        <v/>
      </c>
      <c r="M94" s="653">
        <f t="shared" si="39"/>
        <v>42.634668420919461</v>
      </c>
      <c r="N94" s="653">
        <f>IF(N$9=0,"",(N80+N83)/N$9)</f>
        <v>12.599718029582281</v>
      </c>
      <c r="O94" s="653">
        <f>IF(O$9=0,"",(O80+O83)/O$9)</f>
        <v>15.088890982904976</v>
      </c>
      <c r="P94" s="653">
        <f t="shared" si="39"/>
        <v>20.481418742288309</v>
      </c>
      <c r="Q94" s="653">
        <f t="shared" si="39"/>
        <v>36.947569862709415</v>
      </c>
      <c r="R94" s="653" t="str">
        <f t="shared" si="39"/>
        <v/>
      </c>
      <c r="S94" s="653" t="str">
        <f t="shared" si="39"/>
        <v/>
      </c>
      <c r="T94" s="653" t="str">
        <f t="shared" si="39"/>
        <v/>
      </c>
      <c r="U94" s="653">
        <f t="shared" si="39"/>
        <v>19.913573250212522</v>
      </c>
      <c r="V94" s="653">
        <f t="shared" si="39"/>
        <v>13.782703901280977</v>
      </c>
      <c r="W94" s="653">
        <f t="shared" si="39"/>
        <v>33.324522085584029</v>
      </c>
      <c r="X94" s="653">
        <f>IF(X$9=0,"",(X80+X83)/X$9)</f>
        <v>20.856661725125576</v>
      </c>
      <c r="Y94" s="653" t="str">
        <f t="shared" si="39"/>
        <v/>
      </c>
      <c r="Z94" s="653" t="str">
        <f t="shared" si="39"/>
        <v/>
      </c>
      <c r="AA94" s="653" t="str">
        <f t="shared" si="39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9"/>
        <v/>
      </c>
      <c r="AE94" s="653" t="str">
        <f t="shared" si="39"/>
        <v/>
      </c>
      <c r="AF94" s="653" t="str">
        <f t="shared" si="39"/>
        <v/>
      </c>
      <c r="AG94" s="627"/>
      <c r="AH94" s="670">
        <f>IF(AH$9=0,"0",+(AH80+AH83)/AH$9)</f>
        <v>26.920361089737458</v>
      </c>
      <c r="AI94" s="674">
        <v>22</v>
      </c>
      <c r="AJ94" s="675">
        <f>AI94-AH94</f>
        <v>-4.9203610897374581</v>
      </c>
      <c r="AK94" s="673">
        <f>AH94/AI94*100</f>
        <v>122.36527768062481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24.861431662453526</v>
      </c>
      <c r="AI95" s="674"/>
      <c r="AJ95" s="676"/>
      <c r="AK95" s="673" t="e">
        <f t="shared" si="36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40">IF(B$9=0,"",B84/B$9)</f>
        <v>9.0248032455772513</v>
      </c>
      <c r="C96" s="653">
        <f t="shared" si="40"/>
        <v>7.8829496078102714</v>
      </c>
      <c r="D96" s="654" t="str">
        <f t="shared" si="40"/>
        <v/>
      </c>
      <c r="E96" s="653" t="str">
        <f t="shared" si="40"/>
        <v/>
      </c>
      <c r="F96" s="653">
        <f t="shared" si="40"/>
        <v>10.265174485914613</v>
      </c>
      <c r="G96" s="653">
        <f>IF(G$9=0,"",G84/G$9)</f>
        <v>7.4321373379021738</v>
      </c>
      <c r="H96" s="654">
        <f>IF(H$9=0,"",H84/H$9)</f>
        <v>6.767742379953793</v>
      </c>
      <c r="I96" s="654">
        <f t="shared" si="40"/>
        <v>8.2243963479119166</v>
      </c>
      <c r="J96" s="654">
        <f t="shared" ref="J96:AE96" si="41">IF(J$9=0,"",J84/J$9)</f>
        <v>9.4209099985735172</v>
      </c>
      <c r="K96" s="654" t="str">
        <f t="shared" si="41"/>
        <v/>
      </c>
      <c r="L96" s="654" t="str">
        <f t="shared" si="41"/>
        <v/>
      </c>
      <c r="M96" s="654">
        <f t="shared" si="41"/>
        <v>14.549755838372789</v>
      </c>
      <c r="N96" s="654">
        <f t="shared" si="41"/>
        <v>3.750698773322962</v>
      </c>
      <c r="O96" s="654">
        <f t="shared" si="41"/>
        <v>5.8821566271683796</v>
      </c>
      <c r="P96" s="654">
        <f>IF(P$9=0,"",P84/P$9)</f>
        <v>6.4454064454064453</v>
      </c>
      <c r="Q96" s="654">
        <f t="shared" si="41"/>
        <v>12.538978735765349</v>
      </c>
      <c r="R96" s="654" t="str">
        <f t="shared" si="41"/>
        <v/>
      </c>
      <c r="S96" s="654" t="str">
        <f t="shared" si="41"/>
        <v/>
      </c>
      <c r="T96" s="654" t="str">
        <f>IF(T$9=0,"",T84/T$9)</f>
        <v/>
      </c>
      <c r="U96" s="654">
        <f t="shared" si="41"/>
        <v>8.181989919026206</v>
      </c>
      <c r="V96" s="654">
        <f t="shared" si="41"/>
        <v>5.6217388233198511</v>
      </c>
      <c r="W96" s="654">
        <f t="shared" si="41"/>
        <v>11.294487223690584</v>
      </c>
      <c r="X96" s="654">
        <f t="shared" si="41"/>
        <v>7.3681735968178881</v>
      </c>
      <c r="Y96" s="654" t="str">
        <f>IF(Y$9=0,"",Y84/Y$9)</f>
        <v/>
      </c>
      <c r="Z96" s="654" t="str">
        <f t="shared" si="41"/>
        <v/>
      </c>
      <c r="AA96" s="654" t="str">
        <f>IF(AA$9=0,"",AA84/AA$9)</f>
        <v/>
      </c>
      <c r="AB96" s="654" t="str">
        <f t="shared" si="41"/>
        <v/>
      </c>
      <c r="AC96" s="654" t="str">
        <f>IF(AC$9=0,"",AC84/AC$9)</f>
        <v/>
      </c>
      <c r="AD96" s="654" t="str">
        <f t="shared" si="41"/>
        <v/>
      </c>
      <c r="AE96" s="654" t="str">
        <f t="shared" si="41"/>
        <v/>
      </c>
      <c r="AF96" s="654" t="str">
        <f>IF(AF$9=0,"",AF84/AF$9)</f>
        <v/>
      </c>
      <c r="AG96" s="627"/>
      <c r="AH96" s="660">
        <f>IF(AH$9=0,"0",+(AH84)/AH$9)</f>
        <v>8.405412868097148</v>
      </c>
      <c r="AI96" s="663">
        <v>7.2</v>
      </c>
      <c r="AJ96" s="677">
        <f>AI96-AH96</f>
        <v>-1.2054128680971479</v>
      </c>
      <c r="AK96" s="668">
        <f t="shared" si="36"/>
        <v>116.74184539023817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2">IF(B$99=0,"",+(B42*10)/B$99)</f>
        <v/>
      </c>
      <c r="C100" s="500" t="str">
        <f t="shared" si="42"/>
        <v/>
      </c>
      <c r="D100" s="500" t="str">
        <f t="shared" si="42"/>
        <v/>
      </c>
      <c r="E100" s="500" t="str">
        <f t="shared" si="42"/>
        <v/>
      </c>
      <c r="F100" s="500" t="str">
        <f t="shared" si="42"/>
        <v/>
      </c>
      <c r="G100" s="500" t="str">
        <f t="shared" si="42"/>
        <v/>
      </c>
      <c r="H100" s="500" t="str">
        <f t="shared" si="42"/>
        <v/>
      </c>
      <c r="I100" s="500" t="str">
        <f t="shared" si="42"/>
        <v/>
      </c>
      <c r="J100" s="501" t="str">
        <f t="shared" si="42"/>
        <v/>
      </c>
      <c r="K100" s="501" t="str">
        <f t="shared" si="42"/>
        <v/>
      </c>
      <c r="L100" s="501" t="str">
        <f t="shared" si="42"/>
        <v/>
      </c>
      <c r="M100" s="501" t="str">
        <f t="shared" si="42"/>
        <v/>
      </c>
      <c r="N100" s="501" t="str">
        <f t="shared" si="42"/>
        <v/>
      </c>
      <c r="O100" s="501" t="str">
        <f t="shared" si="42"/>
        <v/>
      </c>
      <c r="P100" s="501" t="str">
        <f t="shared" si="42"/>
        <v/>
      </c>
      <c r="Q100" s="501" t="str">
        <f t="shared" si="42"/>
        <v/>
      </c>
      <c r="R100" s="501" t="str">
        <f t="shared" si="42"/>
        <v/>
      </c>
      <c r="S100" s="501" t="str">
        <f t="shared" si="42"/>
        <v/>
      </c>
      <c r="T100" s="501" t="str">
        <f t="shared" si="42"/>
        <v/>
      </c>
      <c r="U100" s="501" t="str">
        <f t="shared" si="42"/>
        <v/>
      </c>
      <c r="V100" s="501" t="str">
        <f t="shared" si="42"/>
        <v/>
      </c>
      <c r="W100" s="501" t="str">
        <f t="shared" si="42"/>
        <v/>
      </c>
      <c r="X100" s="501" t="str">
        <f t="shared" si="42"/>
        <v/>
      </c>
      <c r="Y100" s="501" t="str">
        <f t="shared" si="42"/>
        <v/>
      </c>
      <c r="Z100" s="501" t="str">
        <f t="shared" si="42"/>
        <v/>
      </c>
      <c r="AA100" s="501" t="str">
        <f t="shared" si="42"/>
        <v/>
      </c>
      <c r="AB100" s="501" t="str">
        <f t="shared" si="42"/>
        <v/>
      </c>
      <c r="AC100" s="501" t="str">
        <f t="shared" si="42"/>
        <v/>
      </c>
      <c r="AD100" s="501" t="str">
        <f t="shared" si="42"/>
        <v/>
      </c>
      <c r="AE100" s="501" t="str">
        <f t="shared" si="42"/>
        <v/>
      </c>
      <c r="AF100" s="501" t="str">
        <f t="shared" si="42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407.7899999999936</v>
      </c>
      <c r="G103" s="649">
        <f>IF('Entries October 2026'!L12-'Entries October 2026'!L11&lt;1,0,'Entries October 2026'!L12-'Entries October 2026'!L11)</f>
        <v>467.24000000000524</v>
      </c>
      <c r="H103" s="649">
        <f>IF('Entries October 2026'!M12-'Entries October 2026'!L12&lt;1,0,'Entries October 2026'!M12-'Entries October 2026'!L12)</f>
        <v>547620.29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439.67999999999302</v>
      </c>
      <c r="K103" s="650">
        <f>IF('Entries October 2026'!L16-'Entries October 2026'!L15&lt;1,0,'Entries October 2026'!L16-'Entries October 2026'!L15)</f>
        <v>327.55000000000291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591.47999999999593</v>
      </c>
      <c r="N103" s="521">
        <f>IF('Entries October 2026'!L19-'Entries October 2026'!L18&lt;1,0,'Entries October 2026'!L19-'Entries October 2026'!L18)</f>
        <v>282.16000000000349</v>
      </c>
      <c r="O103" s="521">
        <f>IF('Entries October 2026'!L20-'Entries October 2026'!L19&lt;1,0,'Entries October 2026'!L20-'Entries October 2026'!L19)</f>
        <v>616.39999999999418</v>
      </c>
      <c r="P103" s="521">
        <f>IF('Entries October 2026'!L21-'Entries October 2026'!L20&lt;1,0,'Entries October 2026'!L21-'Entries October 2026'!L20)</f>
        <v>1007.070000000007</v>
      </c>
      <c r="Q103" s="521">
        <f>IF('Entries October 2026'!L22-'Entries October 2026'!L21&lt;1,0,'Entries October 2026'!L22-'Entries October 2026'!L21)</f>
        <v>245.83000000000175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977.27999999999884</v>
      </c>
      <c r="V103" s="521">
        <f>IF('Entries October 2026'!L27-'Entries October 2026'!L26&lt;1,0,'Entries October 2026'!L27-'Entries October 2026'!L26)</f>
        <v>408.61999999999534</v>
      </c>
      <c r="W103" s="521">
        <f>IF('Entries October 2026'!L28-'Entries October 2026'!L27&lt;1,0,'Entries October 2026'!L28-'Entries October 2026'!L27)</f>
        <v>352.2100000000064</v>
      </c>
      <c r="X103" s="521">
        <f>IF('Entries October 2026'!L29-'Entries October 2026'!L28&lt;1,0,'Entries October 2026'!L29-'Entries October 2026'!L28)</f>
        <v>648.3799999999901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3">IF(B103=0,"",B104/B103)</f>
        <v>0</v>
      </c>
      <c r="C105" s="651">
        <f>IF(C103=0,"",C104/C103)</f>
        <v>0</v>
      </c>
      <c r="D105" s="651" t="str">
        <f t="shared" si="43"/>
        <v/>
      </c>
      <c r="E105" s="651" t="str">
        <f t="shared" si="43"/>
        <v/>
      </c>
      <c r="F105" s="651">
        <f t="shared" si="43"/>
        <v>0</v>
      </c>
      <c r="G105" s="651" t="s">
        <v>55</v>
      </c>
      <c r="H105" s="651">
        <f t="shared" si="43"/>
        <v>0</v>
      </c>
      <c r="I105" s="651" t="str">
        <f>IF(I103=0,"",I104/I103)</f>
        <v/>
      </c>
      <c r="J105" s="652">
        <f t="shared" si="43"/>
        <v>0</v>
      </c>
      <c r="K105" s="652">
        <f t="shared" si="43"/>
        <v>0</v>
      </c>
      <c r="L105" s="652" t="str">
        <f t="shared" si="43"/>
        <v/>
      </c>
      <c r="M105" s="652">
        <f t="shared" si="43"/>
        <v>0</v>
      </c>
      <c r="N105" s="652">
        <f t="shared" si="43"/>
        <v>0</v>
      </c>
      <c r="O105" s="652">
        <f t="shared" si="43"/>
        <v>0</v>
      </c>
      <c r="P105" s="652">
        <f t="shared" si="43"/>
        <v>0</v>
      </c>
      <c r="Q105" s="652">
        <f t="shared" si="43"/>
        <v>0</v>
      </c>
      <c r="R105" s="652" t="str">
        <f t="shared" si="43"/>
        <v/>
      </c>
      <c r="S105" s="652" t="str">
        <f t="shared" si="43"/>
        <v/>
      </c>
      <c r="T105" s="652" t="str">
        <f t="shared" si="43"/>
        <v/>
      </c>
      <c r="U105" s="652">
        <f>IF(U103=0,"",U104/U103)</f>
        <v>0</v>
      </c>
      <c r="V105" s="652">
        <f t="shared" si="43"/>
        <v>0</v>
      </c>
      <c r="W105" s="652">
        <f t="shared" si="43"/>
        <v>0</v>
      </c>
      <c r="X105" s="652">
        <f t="shared" si="43"/>
        <v>0</v>
      </c>
      <c r="Y105" s="652" t="str">
        <f t="shared" si="43"/>
        <v/>
      </c>
      <c r="Z105" s="652" t="str">
        <f t="shared" si="43"/>
        <v/>
      </c>
      <c r="AA105" s="652" t="str">
        <f t="shared" si="43"/>
        <v/>
      </c>
      <c r="AB105" s="652" t="str">
        <f t="shared" si="43"/>
        <v/>
      </c>
      <c r="AC105" s="652" t="str">
        <f t="shared" si="43"/>
        <v/>
      </c>
      <c r="AD105" s="652" t="e">
        <f t="shared" si="43"/>
        <v>#REF!</v>
      </c>
      <c r="AE105" s="652" t="e">
        <f t="shared" si="43"/>
        <v>#REF!</v>
      </c>
      <c r="AF105" s="652" t="str">
        <f t="shared" si="43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4774</v>
      </c>
      <c r="G116" s="649">
        <f>'Daily KPIs'!G80</f>
        <v>7226</v>
      </c>
      <c r="H116" s="649">
        <f>'Daily KPIs'!H80</f>
        <v>6606</v>
      </c>
      <c r="I116" s="649">
        <f>'Daily KPIs'!I80</f>
        <v>7587</v>
      </c>
      <c r="J116" s="650">
        <f>'Daily KPIs'!J80</f>
        <v>6341</v>
      </c>
      <c r="K116" s="650">
        <f>'Daily KPIs'!K80</f>
        <v>4500</v>
      </c>
      <c r="L116" s="650">
        <f>'Daily KPIs'!L80</f>
        <v>2914</v>
      </c>
      <c r="M116" s="650">
        <f>'Daily KPIs'!M80</f>
        <v>8829</v>
      </c>
      <c r="N116" s="650">
        <f>'Daily KPIs'!N80</f>
        <v>5822</v>
      </c>
      <c r="O116" s="650">
        <f>'Daily KPIs'!O80</f>
        <v>6651</v>
      </c>
      <c r="P116" s="650">
        <f>'Daily KPIs'!P80</f>
        <v>8256</v>
      </c>
      <c r="Q116" s="650">
        <f>'Daily KPIs'!Q80</f>
        <v>7352</v>
      </c>
      <c r="R116" s="650">
        <f>'Daily KPIs'!R80</f>
        <v>3261</v>
      </c>
      <c r="S116" s="650">
        <f>'Daily KPIs'!S80</f>
        <v>2453</v>
      </c>
      <c r="T116" s="650">
        <f>'Daily KPIs'!T80</f>
        <v>3097</v>
      </c>
      <c r="U116" s="650">
        <f>'Daily KPIs'!U80</f>
        <v>7790</v>
      </c>
      <c r="V116" s="650">
        <f>'Daily KPIs'!V80</f>
        <v>7481</v>
      </c>
      <c r="W116" s="650">
        <f>'Daily KPIs'!W80</f>
        <v>7284</v>
      </c>
      <c r="X116" s="650">
        <f>'Daily KPIs'!X80</f>
        <v>7265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137781</v>
      </c>
    </row>
    <row r="117" spans="2:34" hidden="1" x14ac:dyDescent="0.35">
      <c r="C117" s="649">
        <f>'Daily KPIs'!C80</f>
        <v>7089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0">
        <f>AH83/(AH83+AH80)</f>
        <v>0.17894104543918704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253318</v>
      </c>
      <c r="C12" s="55">
        <f t="shared" si="1"/>
        <v>250</v>
      </c>
      <c r="D12" s="55">
        <f t="shared" si="2"/>
        <v>81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169</v>
      </c>
      <c r="H12" s="57">
        <f>'Entries October 2026'!AA11</f>
        <v>97122</v>
      </c>
      <c r="I12" s="58">
        <f t="shared" si="3"/>
        <v>0</v>
      </c>
      <c r="J12" s="57">
        <f>'Entries October 2026'!T11</f>
        <v>0</v>
      </c>
      <c r="K12" s="58">
        <f t="shared" si="4"/>
        <v>547</v>
      </c>
      <c r="L12" s="58">
        <f t="shared" si="6"/>
        <v>547</v>
      </c>
      <c r="M12" s="57">
        <f>'Entries October 2026'!R11</f>
        <v>0</v>
      </c>
      <c r="N12" s="57">
        <f>'Entries October 2026'!AC12-'Entries October 2026'!AC11</f>
        <v>17</v>
      </c>
      <c r="O12" s="57">
        <f t="shared" si="5"/>
        <v>500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253568</v>
      </c>
      <c r="C13" s="55">
        <f t="shared" si="1"/>
        <v>234</v>
      </c>
      <c r="D13" s="55">
        <f t="shared" si="2"/>
        <v>83</v>
      </c>
      <c r="E13" s="56">
        <f>'Entries October 2026'!W12</f>
        <v>0</v>
      </c>
      <c r="F13" s="57">
        <f>'Entries October 2026'!V12</f>
        <v>1366778</v>
      </c>
      <c r="G13" s="57">
        <f t="shared" si="7"/>
        <v>151</v>
      </c>
      <c r="H13" s="57">
        <f>'Entries October 2026'!AA12</f>
        <v>97122</v>
      </c>
      <c r="I13" s="58">
        <f t="shared" si="3"/>
        <v>0</v>
      </c>
      <c r="J13" s="57">
        <f>'Entries October 2026'!U12</f>
        <v>547</v>
      </c>
      <c r="K13" s="58">
        <f t="shared" si="4"/>
        <v>-547</v>
      </c>
      <c r="L13" s="58">
        <f t="shared" si="6"/>
        <v>-547</v>
      </c>
      <c r="M13" s="57">
        <f>'Entries October 2026'!R12</f>
        <v>0</v>
      </c>
      <c r="N13" s="57">
        <f>'Entries October 2026'!AC13-'Entries October 2026'!AC12</f>
        <v>17</v>
      </c>
      <c r="O13" s="57">
        <f t="shared" si="5"/>
        <v>468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253802</v>
      </c>
      <c r="C14" s="55">
        <f t="shared" si="1"/>
        <v>359</v>
      </c>
      <c r="D14" s="55">
        <f t="shared" si="2"/>
        <v>152</v>
      </c>
      <c r="E14" s="56">
        <f>'Entries October 2026'!W13</f>
        <v>0</v>
      </c>
      <c r="F14" s="57">
        <f>'Entries October 2026'!V13</f>
        <v>1366929</v>
      </c>
      <c r="G14" s="57">
        <f>F15-F14</f>
        <v>207</v>
      </c>
      <c r="H14" s="57">
        <f>'Entries October 2026'!AA13</f>
        <v>97122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18</v>
      </c>
      <c r="O14" s="57">
        <f t="shared" si="5"/>
        <v>718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254161</v>
      </c>
      <c r="C15" s="55">
        <f t="shared" si="1"/>
        <v>378</v>
      </c>
      <c r="D15" s="55">
        <f t="shared" si="2"/>
        <v>220</v>
      </c>
      <c r="E15" s="56">
        <f>'Entries October 2026'!W14</f>
        <v>0</v>
      </c>
      <c r="F15" s="57">
        <f>'Entries October 2026'!V14</f>
        <v>1367136</v>
      </c>
      <c r="G15" s="57">
        <f t="shared" si="7"/>
        <v>158</v>
      </c>
      <c r="H15" s="57">
        <f>'Entries October 2026'!AA14</f>
        <v>97122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14</v>
      </c>
      <c r="O15" s="57">
        <f t="shared" si="5"/>
        <v>756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254539</v>
      </c>
      <c r="C16" s="55">
        <f t="shared" si="1"/>
        <v>155</v>
      </c>
      <c r="D16" s="55">
        <f t="shared" si="2"/>
        <v>-15</v>
      </c>
      <c r="E16" s="56">
        <f>'Entries October 2026'!W15</f>
        <v>0</v>
      </c>
      <c r="F16" s="57">
        <f>'Entries October 2026'!V15</f>
        <v>1367294</v>
      </c>
      <c r="G16" s="57">
        <f t="shared" si="7"/>
        <v>170</v>
      </c>
      <c r="H16" s="57">
        <f>'Entries October 2026'!AA15</f>
        <v>97122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1</v>
      </c>
      <c r="O16" s="57">
        <f t="shared" si="5"/>
        <v>310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254694</v>
      </c>
      <c r="C17" s="55">
        <f t="shared" si="1"/>
        <v>0</v>
      </c>
      <c r="D17" s="55">
        <f t="shared" si="2"/>
        <v>-5</v>
      </c>
      <c r="E17" s="56">
        <f>'Entries October 2026'!W16</f>
        <v>0</v>
      </c>
      <c r="F17" s="57">
        <f>'Entries October 2026'!V16</f>
        <v>1367464</v>
      </c>
      <c r="G17" s="57">
        <f t="shared" si="7"/>
        <v>5</v>
      </c>
      <c r="H17" s="57">
        <f>'Entries October 2026'!AA16</f>
        <v>97122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254694</v>
      </c>
      <c r="C18" s="55">
        <f t="shared" si="1"/>
        <v>144</v>
      </c>
      <c r="D18" s="55">
        <f t="shared" si="2"/>
        <v>-103</v>
      </c>
      <c r="E18" s="56">
        <f>'Entries October 2026'!W17</f>
        <v>0</v>
      </c>
      <c r="F18" s="57">
        <f>'Entries October 2026'!V17</f>
        <v>1367469</v>
      </c>
      <c r="G18" s="57">
        <f t="shared" si="7"/>
        <v>247</v>
      </c>
      <c r="H18" s="57">
        <f>'Entries October 2026'!AA17</f>
        <v>97122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23</v>
      </c>
      <c r="O18" s="57">
        <f t="shared" si="5"/>
        <v>288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254838</v>
      </c>
      <c r="C19" s="55">
        <f t="shared" si="1"/>
        <v>235</v>
      </c>
      <c r="D19" s="55">
        <f t="shared" si="2"/>
        <v>121</v>
      </c>
      <c r="E19" s="56">
        <f>'Entries October 2026'!W18</f>
        <v>0</v>
      </c>
      <c r="F19" s="57">
        <f>'Entries October 2026'!V18</f>
        <v>1367716</v>
      </c>
      <c r="G19" s="57">
        <f t="shared" si="7"/>
        <v>114</v>
      </c>
      <c r="H19" s="57">
        <f>'Entries October 2026'!AA18</f>
        <v>97122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26</v>
      </c>
      <c r="O19" s="57">
        <f t="shared" si="5"/>
        <v>470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255073</v>
      </c>
      <c r="C20" s="55">
        <f t="shared" si="1"/>
        <v>182</v>
      </c>
      <c r="D20" s="55">
        <f t="shared" si="2"/>
        <v>7</v>
      </c>
      <c r="E20" s="56">
        <f>'Entries October 2026'!W19</f>
        <v>0</v>
      </c>
      <c r="F20" s="57">
        <f>'Entries October 2026'!V19</f>
        <v>1367830</v>
      </c>
      <c r="G20" s="57">
        <f t="shared" si="7"/>
        <v>175</v>
      </c>
      <c r="H20" s="57">
        <f>'Entries October 2026'!AA19</f>
        <v>97122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29</v>
      </c>
      <c r="O20" s="57">
        <f t="shared" si="5"/>
        <v>364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255255</v>
      </c>
      <c r="C21" s="55">
        <f t="shared" si="1"/>
        <v>249</v>
      </c>
      <c r="D21" s="55">
        <f t="shared" si="2"/>
        <v>29</v>
      </c>
      <c r="E21" s="56">
        <f>'Entries October 2026'!W20</f>
        <v>0</v>
      </c>
      <c r="F21" s="57">
        <f>'Entries October 2026'!V20</f>
        <v>1368005</v>
      </c>
      <c r="G21" s="57">
        <f t="shared" si="7"/>
        <v>220</v>
      </c>
      <c r="H21" s="57">
        <f>'Entries October 2026'!AA20</f>
        <v>97122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31</v>
      </c>
      <c r="O21" s="57">
        <f t="shared" si="5"/>
        <v>498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255504</v>
      </c>
      <c r="C22" s="55">
        <f t="shared" si="1"/>
        <v>260</v>
      </c>
      <c r="D22" s="55">
        <f t="shared" si="2"/>
        <v>-40</v>
      </c>
      <c r="E22" s="56">
        <f>'Entries October 2026'!W21</f>
        <v>0</v>
      </c>
      <c r="F22" s="57">
        <f>'Entries October 2026'!V21</f>
        <v>1368225</v>
      </c>
      <c r="G22" s="57">
        <f t="shared" si="7"/>
        <v>300</v>
      </c>
      <c r="H22" s="57">
        <f>'Entries October 2026'!AA21</f>
        <v>97122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18</v>
      </c>
      <c r="O22" s="57">
        <f t="shared" si="5"/>
        <v>520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255764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1368525</v>
      </c>
      <c r="G23" s="57">
        <f t="shared" si="7"/>
        <v>0</v>
      </c>
      <c r="H23" s="57">
        <f>'Entries October 2026'!AA22</f>
        <v>97122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255764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1368525</v>
      </c>
      <c r="G24" s="57">
        <f t="shared" si="7"/>
        <v>0</v>
      </c>
      <c r="H24" s="57">
        <f>'Entries October 2026'!AA23</f>
        <v>97122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255764</v>
      </c>
      <c r="C25" s="55">
        <f t="shared" si="1"/>
        <v>35</v>
      </c>
      <c r="D25" s="55">
        <f t="shared" si="2"/>
        <v>-53</v>
      </c>
      <c r="E25" s="56">
        <f>'Entries October 2026'!W24</f>
        <v>0</v>
      </c>
      <c r="F25" s="57">
        <f>'Entries October 2026'!V24</f>
        <v>1368525</v>
      </c>
      <c r="G25" s="57">
        <f t="shared" si="7"/>
        <v>88</v>
      </c>
      <c r="H25" s="57">
        <f>'Entries October 2026'!AA24</f>
        <v>97122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4</v>
      </c>
      <c r="O25" s="57">
        <f t="shared" si="5"/>
        <v>70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255799</v>
      </c>
      <c r="C26" s="55">
        <f t="shared" si="1"/>
        <v>266</v>
      </c>
      <c r="D26" s="55">
        <f t="shared" si="2"/>
        <v>132</v>
      </c>
      <c r="E26" s="56">
        <f>'Entries October 2026'!W25</f>
        <v>0</v>
      </c>
      <c r="F26" s="57">
        <f>'Entries October 2026'!V25</f>
        <v>1368613</v>
      </c>
      <c r="G26" s="57">
        <f t="shared" si="7"/>
        <v>134</v>
      </c>
      <c r="H26" s="57">
        <f>'Entries October 2026'!AA25</f>
        <v>97122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29</v>
      </c>
      <c r="O26" s="57">
        <f t="shared" si="5"/>
        <v>532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256065</v>
      </c>
      <c r="C27" s="55">
        <f t="shared" si="1"/>
        <v>440</v>
      </c>
      <c r="D27" s="55">
        <f t="shared" si="2"/>
        <v>300</v>
      </c>
      <c r="E27" s="56">
        <f>'Entries October 2026'!W26</f>
        <v>0</v>
      </c>
      <c r="F27" s="57">
        <f>'Entries October 2026'!V26</f>
        <v>1368747</v>
      </c>
      <c r="G27" s="57">
        <f t="shared" si="7"/>
        <v>140</v>
      </c>
      <c r="H27" s="57">
        <f>'Entries October 2026'!AA26</f>
        <v>97122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31</v>
      </c>
      <c r="O27" s="57">
        <f t="shared" si="5"/>
        <v>880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256505</v>
      </c>
      <c r="C28" s="55">
        <f t="shared" si="1"/>
        <v>197</v>
      </c>
      <c r="D28" s="55">
        <f t="shared" si="2"/>
        <v>-19</v>
      </c>
      <c r="E28" s="56">
        <f>'Entries October 2026'!W27</f>
        <v>0</v>
      </c>
      <c r="F28" s="57">
        <f>'Entries October 2026'!V27</f>
        <v>1368887</v>
      </c>
      <c r="G28" s="57">
        <f t="shared" si="7"/>
        <v>216</v>
      </c>
      <c r="H28" s="57">
        <f>'Entries October 2026'!AA27</f>
        <v>97122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23</v>
      </c>
      <c r="O28" s="57">
        <f t="shared" si="5"/>
        <v>394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256702</v>
      </c>
      <c r="C29" s="55">
        <f t="shared" si="1"/>
        <v>210</v>
      </c>
      <c r="D29" s="55">
        <f t="shared" si="2"/>
        <v>8</v>
      </c>
      <c r="E29" s="56">
        <f>'Entries October 2026'!W28</f>
        <v>0</v>
      </c>
      <c r="F29" s="57">
        <f>'Entries October 2026'!V28</f>
        <v>1369103</v>
      </c>
      <c r="G29" s="57">
        <f t="shared" si="7"/>
        <v>202</v>
      </c>
      <c r="H29" s="57">
        <f>'Entries October 2026'!AA28</f>
        <v>97122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20</v>
      </c>
      <c r="O29" s="57">
        <f t="shared" si="5"/>
        <v>420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256912</v>
      </c>
      <c r="C30" s="55">
        <f t="shared" si="1"/>
        <v>-256912</v>
      </c>
      <c r="D30" s="55">
        <f t="shared" si="2"/>
        <v>1112393</v>
      </c>
      <c r="E30" s="56">
        <f>'Entries October 2026'!W29</f>
        <v>0</v>
      </c>
      <c r="F30" s="57">
        <f>'Entries October 2026'!V29</f>
        <v>1369305</v>
      </c>
      <c r="G30" s="57">
        <f t="shared" si="7"/>
        <v>-1369305</v>
      </c>
      <c r="H30" s="57">
        <f>'Entries October 2026'!AA29</f>
        <v>97122</v>
      </c>
      <c r="I30" s="58">
        <f t="shared" si="3"/>
        <v>-97122</v>
      </c>
      <c r="J30" s="57">
        <f>'Entries October 2026'!T29</f>
        <v>0</v>
      </c>
      <c r="K30" s="58">
        <f t="shared" si="4"/>
        <v>0</v>
      </c>
      <c r="L30" s="58">
        <f t="shared" si="6"/>
        <v>-97122</v>
      </c>
      <c r="M30" s="57">
        <f>'Entries October 2026'!R29</f>
        <v>0</v>
      </c>
      <c r="N30" s="57">
        <f>'Entries October 2026'!AC30-'Entries October 2026'!AC29</f>
        <v>-7099</v>
      </c>
      <c r="O30" s="57">
        <f t="shared" si="5"/>
        <v>-513824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1366583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Delano Pasea</cp:lastModifiedBy>
  <cp:lastPrinted>2026-05-01T14:23:39Z</cp:lastPrinted>
  <dcterms:created xsi:type="dcterms:W3CDTF">2003-05-05T15:42:25Z</dcterms:created>
  <dcterms:modified xsi:type="dcterms:W3CDTF">2026-10-27T12:25:09Z</dcterms:modified>
</cp:coreProperties>
</file>