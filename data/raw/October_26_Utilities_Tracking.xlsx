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E195DE0C-E5FE-4C9B-9882-799333DE5E47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10" l="1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J9" i="110"/>
  <c r="I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E7" i="28"/>
  <c r="H5" i="32"/>
  <c r="AA7" i="31"/>
  <c r="L7" i="29"/>
  <c r="P10" i="23"/>
  <c r="B84" i="110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78" i="110" s="1"/>
  <c r="B43" i="110"/>
  <c r="K10" i="23" l="1"/>
  <c r="K43" i="23" s="1"/>
  <c r="E38" i="28"/>
  <c r="F7" i="30"/>
  <c r="H36" i="32"/>
  <c r="Q10" i="23"/>
  <c r="R10" i="23" s="1"/>
  <c r="S10" i="23" s="1"/>
  <c r="P43" i="23"/>
  <c r="Q44" i="23" s="1"/>
  <c r="R44" i="23" s="1"/>
  <c r="S44" i="23" s="1"/>
  <c r="N7" i="29"/>
  <c r="M7" i="29"/>
  <c r="L38" i="29"/>
  <c r="AA38" i="31"/>
  <c r="AB38" i="31" s="1"/>
  <c r="AD38" i="31" s="1"/>
  <c r="AB7" i="31"/>
  <c r="F38" i="28"/>
  <c r="G38" i="28" s="1"/>
  <c r="G7" i="28"/>
  <c r="AH43" i="110"/>
  <c r="AH61" i="110" s="1"/>
  <c r="B50" i="110"/>
  <c r="AH50" i="110" s="1"/>
  <c r="AH80" i="110"/>
  <c r="B116" i="110"/>
  <c r="B49" i="111"/>
  <c r="AH76" i="110"/>
  <c r="AH93" i="110" s="1"/>
  <c r="B94" i="110"/>
  <c r="B93" i="110" s="1"/>
  <c r="B61" i="110" s="1"/>
  <c r="AH78" i="110"/>
  <c r="AH95" i="110" s="1"/>
  <c r="AK95" i="110" s="1"/>
  <c r="B96" i="110"/>
  <c r="AH84" i="110"/>
  <c r="AH96" i="110" s="1"/>
  <c r="T44" i="23" l="1"/>
  <c r="T10" i="23"/>
  <c r="N38" i="29"/>
  <c r="M38" i="29"/>
  <c r="G7" i="30"/>
  <c r="F38" i="30"/>
  <c r="G38" i="30" s="1"/>
  <c r="I38" i="30" s="1"/>
  <c r="AJ93" i="110"/>
  <c r="AK93" i="110"/>
  <c r="AJ96" i="110"/>
  <c r="AK96" i="110"/>
  <c r="B68" i="110"/>
  <c r="B69" i="110"/>
  <c r="AG49" i="111"/>
  <c r="AG81" i="111" s="1"/>
  <c r="AI81" i="111" s="1"/>
  <c r="B81" i="111"/>
  <c r="AH116" i="110"/>
  <c r="AH94" i="110"/>
  <c r="AH140" i="110"/>
  <c r="AH68" i="110"/>
  <c r="AJ61" i="110"/>
  <c r="AH69" i="110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B9508B97-D489-4C75-97C6-F503E155CB62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19600 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8600 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<sst xmlns="http://schemas.openxmlformats.org/spreadsheetml/2006/main" count="614" uniqueCount="310">
  <si>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</si>
  <si>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</si>
  <si>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</si>
  <si>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</si>
  <si>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</si>
  <si>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</si>
  <si>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</si>
  <si>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</si>
  <si>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</si>
  <si>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</si>
  <si>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</si>
  <si>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</si>
  <si>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</si>
  <si>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</si>
  <si>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</si>
  <si>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</si>
  <si>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</si>
  <si>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</si>
  <si>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</si>
  <si>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</si>
  <si>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</si>
  <si>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</si>
  <si>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</si>
  <si>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</si>
  <si>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</si>
  <si>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</si>
  <si>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</si>
  <si>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</si>
  <si>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</si>
  <si>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</si>
  <si>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</si>
  <si>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</si>
  <si>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</si>
  <si>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</si>
  <si>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</si>
  <si>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</si>
  <si>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</si>
  <si>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</si>
  <si>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</si>
  <si>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</si>
  <si>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</si>
  <si>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</si>
  <si>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</si>
  <si>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</si>
  <si>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</si>
  <si>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</si>
  <si>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</si>
  <si>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</si>
  <si>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</si>
  <si>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</si>
  <si>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</si>
  <si>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</si>
  <si>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</si>
  <si>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</si>
  <si>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</si>
  <si>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</si>
  <si>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</si>
  <si>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</si>
  <si>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</si>
  <si>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</si>
  <si>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</si>
  <si>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</si>
  <si>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</si>
  <si>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</si>
  <si>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</si>
  <si>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</si>
  <si>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</si>
  <si>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</si>
  <si>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</si>
  <si>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</si>
  <si>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</si>
  <si>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</si>
  <si>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</si>
  <si>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</si>
  <si>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</si>
  <si>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</si>
  <si>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</si>
  <si>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</si>
  <si>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</si>
  <si>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</si>
  <si>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</si>
  <si>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</si>
  <si>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</si>
  <si>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</si>
  <si>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</si>
  <si>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</si>
  <si>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</si>
  <si>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</si>
  <si>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</si>
  <si>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</si>
  <si>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</si>
  <si>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</si>
  <si>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</si>
  <si>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</si>
  <si>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</si>
  <si>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</si>
  <si>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</si>
  <si>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</si>
  <si>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</si>
  <si>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</si>
  <si>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</si>
  <si>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</si>
  <si>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</si>
  <si>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</si>
  <si>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</si>
  <si>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</si>
  <si>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</si>
  <si>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</si>
  <si>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</si>
  <si>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</si>
  <si>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</si>
  <si>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</si>
  <si>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</si>
  <si>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</si>
  <si>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</si>
  <si>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</si>
  <si>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</si>
  <si>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</si>
  <si>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</si>
  <si>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</si>
  <si>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</si>
  <si>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</si>
  <si>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</si>
  <si>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</si>
  <si>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</si>
  <si>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</si>
  <si>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</si>
  <si>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</si>
  <si>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</si>
  <si>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</si>
  <si>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</si>
  <si>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</si>
  <si>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</si>
  <si>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</si>
  <si>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</si>
  <si>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</si>
  <si>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</si>
  <si>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</si>
  <si>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</si>
  <si>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</si>
  <si>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</si>
  <si>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</si>
  <si>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</si>
  <si>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</si>
  <si>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</si>
  <si>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</si>
  <si>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</si>
  <si>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</si>
  <si>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</si>
  <si>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</si>
  <si>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</si>
  <si>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</si>
  <si>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</si>
  <si>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</si>
  <si>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</si>
  <si>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</si>
  <si>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</si>
  <si>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</si>
  <si>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</si>
  <si>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</si>
  <si>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</si>
  <si>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</si>
  <si>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</si>
  <si>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</si>
  <si>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</si>
  <si>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</si>
  <si>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</si>
  <si>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</si>
  <si>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</si>
  <si>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</si>
  <si>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</si>
  <si>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</si>
  <si>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</si>
  <si>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</si>
  <si>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</si>
  <si>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</si>
  <si>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</si>
  <si>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</si>
  <si>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</si>
  <si>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</si>
  <si>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</si>
  <si>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</si>
  <si>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</si>
  <si>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</si>
  <si>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</si>
  <si>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</si>
  <si>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</si>
  <si>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</si>
  <si>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</si>
  <si>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</si>
  <si>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</si>
  <si>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</si>
  <si>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</si>
  <si>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</si>
  <si>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</si>
  <si>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</si>
  <si>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</si>
  <si>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</si>
  <si>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</si>
  <si>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</si>
  <si>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</si>
  <si>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</si>
  <si>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</si>
  <si>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</si>
  <si>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</si>
  <si>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</si>
  <si>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</si>
  <si>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</si>
  <si>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</si>
  <si>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</si>
  <si>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</si>
  <si>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</si>
  <si>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</si>
  <si>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</si>
  <si>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</si>
  <si>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</si>
  <si>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</si>
  <si>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</si>
  <si>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</si>
  <si>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</si>
  <si>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</si>
  <si>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</si>
  <si>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</si>
  <si>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</si>
  <si>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</si>
  <si>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</si>
  <si>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</si>
  <si>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</si>
  <si>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</si>
  <si>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</si>
  <si>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</si>
  <si>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</si>
  <si>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</si>
  <si>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</si>
  <si>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</si>
  <si>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</si>
  <si>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</si>
  <si>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</si>
  <si>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</si>
  <si>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</si>
  <si>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</si>
  <si>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</si>
  <si>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</si>
  <si>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</si>
  <si>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</si>
  <si>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</si>
  <si>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</si>
  <si>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</si>
  <si>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</si>
  <si>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</si>
  <si>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</si>
  <si>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</si>
  <si>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</si>
  <si>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</si>
  <si>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</si>
  <si>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</si>
  <si>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</si>
  <si>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</si>
  <si>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</si>
  <si>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</si>
  <si>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</si>
  <si>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</si>
  <si>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</si>
  <si>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</si>
  <si>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</si>
  <si>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</si>
  <si>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</si>
  <si>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</si>
  <si>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</si>
  <si>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</si>
  <si>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</si>
  <si>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</si>
  <si>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</si>
  <si>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</si>
  <si>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</si>
  <si>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</si>
  <si>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</si>
  <si>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</si>
  <si>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</si>
  <si>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</si>
  <si>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</si>
  <si>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</si>
  <si>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</si>
  <si>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</si>
  <si>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</si>
  <si>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</si>
  <si>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</si>
  <si>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</si>
  <si>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</si>
  <si>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</si>
  <si>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</si>
  <si>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</si>
  <si>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</si>
  <si>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</si>
  <si>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</si>
  <si>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</si>
  <si>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</si>
  <si>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</si>
  <si>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</si>
  <si>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</si>
  <si>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</si>
  <si>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</si>
  <si>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</si>
  <si>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</si>
  <si>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</si>
  <si>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</si>
  <si>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</si>
  <si>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</si>
  <si>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</si>
  <si>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CB/ST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</si>
</sst>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3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64"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13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2" t="s">
        <v>209</v>
      </c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363"/>
      <c r="O1" s="913" t="str">
        <f>B1</f>
        <v>ENTRIES FOR DAILY CONS. MONITOR</v>
      </c>
      <c r="P1" s="913"/>
      <c r="Q1" s="913"/>
      <c r="R1" s="913"/>
      <c r="S1" s="913"/>
      <c r="T1" s="913"/>
      <c r="U1" s="913"/>
      <c r="V1" s="913"/>
      <c r="W1" s="913"/>
      <c r="X1" s="913"/>
      <c r="Y1" s="913"/>
      <c r="Z1" s="913"/>
      <c r="AA1" s="913"/>
      <c r="AB1" s="913"/>
    </row>
    <row r="2" spans="1:44" ht="16.5" thickBot="1" x14ac:dyDescent="0.25">
      <c r="C2" s="810"/>
      <c r="F2" s="364"/>
      <c r="G2" s="365"/>
      <c r="O2" s="920" t="s">
        <v>231</v>
      </c>
      <c r="P2" s="920"/>
      <c r="Q2" s="920"/>
      <c r="R2" s="920"/>
      <c r="S2" s="920"/>
      <c r="T2" s="920"/>
      <c r="U2" s="920"/>
      <c r="V2" s="920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3" t="s">
        <v>53</v>
      </c>
      <c r="M3" s="904"/>
      <c r="N3" s="905"/>
      <c r="O3" s="914" t="s">
        <v>3</v>
      </c>
      <c r="P3" s="914"/>
      <c r="Q3" s="914"/>
      <c r="R3" s="914"/>
      <c r="S3" s="914"/>
      <c r="T3" s="914"/>
      <c r="U3" s="914"/>
      <c r="V3" s="914"/>
      <c r="W3" s="914"/>
      <c r="X3" s="914"/>
      <c r="Y3" s="914"/>
      <c r="Z3" s="914"/>
      <c r="AA3" s="914"/>
      <c r="AB3" s="914"/>
      <c r="AC3" s="914"/>
      <c r="AD3" s="372"/>
      <c r="AE3" s="373"/>
      <c r="AF3" s="372"/>
      <c r="AG3" s="898" t="s">
        <v>206</v>
      </c>
      <c r="AH3" s="896" t="s">
        <v>204</v>
      </c>
      <c r="AI3" s="896" t="s">
        <v>205</v>
      </c>
      <c r="AJ3" s="899" t="s">
        <v>233</v>
      </c>
      <c r="AK3" s="416"/>
      <c r="AL3" s="900" t="s">
        <v>178</v>
      </c>
      <c r="AM3" s="900"/>
      <c r="AN3" s="900"/>
      <c r="AO3" s="900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21" t="s">
        <v>289</v>
      </c>
      <c r="M4" s="376" t="s">
        <v>260</v>
      </c>
      <c r="N4" s="906" t="s">
        <v>167</v>
      </c>
      <c r="O4" s="908" t="s">
        <v>100</v>
      </c>
      <c r="P4" s="908" t="s">
        <v>101</v>
      </c>
      <c r="Q4" s="908" t="s">
        <v>160</v>
      </c>
      <c r="R4" s="908" t="s">
        <v>171</v>
      </c>
      <c r="S4" s="908" t="s">
        <v>102</v>
      </c>
      <c r="T4" s="908" t="s">
        <v>172</v>
      </c>
      <c r="U4" s="908" t="s">
        <v>103</v>
      </c>
      <c r="V4" s="918" t="s">
        <v>236</v>
      </c>
      <c r="W4" s="908" t="s">
        <v>177</v>
      </c>
      <c r="X4" s="372" t="s">
        <v>96</v>
      </c>
      <c r="Y4" s="372" t="s">
        <v>97</v>
      </c>
      <c r="Z4" s="372" t="s">
        <v>98</v>
      </c>
      <c r="AA4" s="914" t="s">
        <v>68</v>
      </c>
      <c r="AB4" s="916" t="s">
        <v>69</v>
      </c>
      <c r="AC4" s="919" t="s">
        <v>151</v>
      </c>
      <c r="AD4" s="908" t="s">
        <v>154</v>
      </c>
      <c r="AE4" s="908" t="s">
        <v>155</v>
      </c>
      <c r="AF4" s="908" t="s">
        <v>159</v>
      </c>
      <c r="AG4" s="898"/>
      <c r="AH4" s="897"/>
      <c r="AI4" s="897"/>
      <c r="AJ4" s="899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22"/>
      <c r="M5" s="466" t="s">
        <v>261</v>
      </c>
      <c r="N5" s="907"/>
      <c r="O5" s="909"/>
      <c r="P5" s="908"/>
      <c r="Q5" s="908"/>
      <c r="R5" s="908"/>
      <c r="S5" s="909"/>
      <c r="T5" s="909"/>
      <c r="U5" s="909"/>
      <c r="V5" s="918"/>
      <c r="W5" s="910"/>
      <c r="X5" s="372" t="s">
        <v>104</v>
      </c>
      <c r="Y5" s="372" t="s">
        <v>104</v>
      </c>
      <c r="Z5" s="372" t="s">
        <v>104</v>
      </c>
      <c r="AA5" s="915"/>
      <c r="AB5" s="917"/>
      <c r="AC5" s="919"/>
      <c r="AD5" s="908"/>
      <c r="AE5" s="908"/>
      <c r="AF5" s="911"/>
      <c r="AG5" s="898"/>
      <c r="AH5" s="897"/>
      <c r="AI5" s="897"/>
      <c r="AJ5" s="899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9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/>
      <c r="C14" s="816"/>
      <c r="D14" s="817"/>
      <c r="E14" s="817"/>
      <c r="F14" s="817"/>
      <c r="G14" s="817"/>
      <c r="H14" s="818"/>
      <c r="I14" s="819"/>
      <c r="J14" s="820"/>
      <c r="K14" s="818"/>
      <c r="L14" s="817"/>
      <c r="M14" s="821"/>
      <c r="N14" s="819"/>
      <c r="O14" s="822"/>
      <c r="P14" s="823"/>
      <c r="Q14" s="817"/>
      <c r="R14" s="817"/>
      <c r="S14" s="817"/>
      <c r="T14" s="817"/>
      <c r="U14" s="817"/>
      <c r="V14" s="824"/>
      <c r="W14" s="817"/>
      <c r="X14" s="825"/>
      <c r="Y14" s="817"/>
      <c r="Z14" s="817"/>
      <c r="AA14" s="817"/>
      <c r="AB14" s="817"/>
      <c r="AC14" s="817"/>
      <c r="AD14" s="817"/>
      <c r="AE14" s="817"/>
      <c r="AF14" s="819"/>
      <c r="AG14" s="817"/>
      <c r="AH14" s="817"/>
      <c r="AI14" s="817"/>
      <c r="AJ14" s="880"/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/>
      <c r="C15" s="816"/>
      <c r="D15" s="817"/>
      <c r="E15" s="817"/>
      <c r="F15" s="817"/>
      <c r="G15" s="817"/>
      <c r="H15" s="818"/>
      <c r="I15" s="875"/>
      <c r="J15" s="876"/>
      <c r="K15" s="818"/>
      <c r="L15" s="817"/>
      <c r="M15" s="821"/>
      <c r="N15" s="819"/>
      <c r="O15" s="822"/>
      <c r="P15" s="823"/>
      <c r="Q15" s="817"/>
      <c r="R15" s="817"/>
      <c r="S15" s="817"/>
      <c r="T15" s="817"/>
      <c r="U15" s="817"/>
      <c r="V15" s="824"/>
      <c r="W15" s="817"/>
      <c r="X15" s="825"/>
      <c r="Y15" s="817"/>
      <c r="Z15" s="817"/>
      <c r="AA15" s="817"/>
      <c r="AB15" s="817"/>
      <c r="AC15" s="817"/>
      <c r="AD15" s="817"/>
      <c r="AE15" s="817"/>
      <c r="AF15" s="819"/>
      <c r="AG15" s="817"/>
      <c r="AH15" s="817"/>
      <c r="AI15" s="817"/>
      <c r="AJ15" s="880"/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/>
      <c r="C16" s="816"/>
      <c r="D16" s="817"/>
      <c r="E16" s="817"/>
      <c r="F16" s="817"/>
      <c r="G16" s="817"/>
      <c r="H16" s="818"/>
      <c r="I16" s="819"/>
      <c r="J16" s="876"/>
      <c r="K16" s="818"/>
      <c r="L16" s="817"/>
      <c r="M16" s="821"/>
      <c r="N16" s="819"/>
      <c r="O16" s="822"/>
      <c r="P16" s="823"/>
      <c r="Q16" s="817"/>
      <c r="R16" s="817"/>
      <c r="S16" s="817"/>
      <c r="T16" s="817"/>
      <c r="U16" s="817"/>
      <c r="V16" s="824"/>
      <c r="W16" s="817"/>
      <c r="X16" s="825"/>
      <c r="Y16" s="817"/>
      <c r="Z16" s="817"/>
      <c r="AA16" s="817"/>
      <c r="AB16" s="817"/>
      <c r="AC16" s="817"/>
      <c r="AD16" s="817"/>
      <c r="AE16" s="817"/>
      <c r="AF16" s="819"/>
      <c r="AG16" s="817"/>
      <c r="AH16" s="817"/>
      <c r="AI16" s="817"/>
      <c r="AJ16" s="880"/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/>
      <c r="C17" s="816"/>
      <c r="D17" s="817"/>
      <c r="E17" s="817"/>
      <c r="F17" s="817"/>
      <c r="G17" s="817"/>
      <c r="H17" s="818"/>
      <c r="I17" s="819"/>
      <c r="J17" s="876"/>
      <c r="K17" s="818"/>
      <c r="L17" s="817"/>
      <c r="M17" s="821"/>
      <c r="N17" s="819"/>
      <c r="O17" s="822"/>
      <c r="P17" s="823"/>
      <c r="Q17" s="817"/>
      <c r="R17" s="817"/>
      <c r="S17" s="817"/>
      <c r="T17" s="817"/>
      <c r="U17" s="817"/>
      <c r="V17" s="824"/>
      <c r="W17" s="817"/>
      <c r="X17" s="825"/>
      <c r="Y17" s="817"/>
      <c r="Z17" s="817"/>
      <c r="AA17" s="817"/>
      <c r="AB17" s="817"/>
      <c r="AC17" s="817"/>
      <c r="AD17" s="817"/>
      <c r="AE17" s="817"/>
      <c r="AF17" s="819"/>
      <c r="AG17" s="817"/>
      <c r="AH17" s="817"/>
      <c r="AI17" s="817"/>
      <c r="AJ17" s="880"/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/>
      <c r="C18" s="816"/>
      <c r="D18" s="817"/>
      <c r="E18" s="817"/>
      <c r="F18" s="817"/>
      <c r="G18" s="817"/>
      <c r="H18" s="818"/>
      <c r="I18" s="819"/>
      <c r="J18" s="876"/>
      <c r="K18" s="818"/>
      <c r="L18" s="817"/>
      <c r="M18" s="821"/>
      <c r="N18" s="819"/>
      <c r="O18" s="822"/>
      <c r="P18" s="823"/>
      <c r="Q18" s="817"/>
      <c r="R18" s="817"/>
      <c r="S18" s="817"/>
      <c r="T18" s="817"/>
      <c r="U18" s="817"/>
      <c r="V18" s="824"/>
      <c r="W18" s="817"/>
      <c r="X18" s="825"/>
      <c r="Y18" s="817"/>
      <c r="Z18" s="817"/>
      <c r="AA18" s="817"/>
      <c r="AB18" s="817"/>
      <c r="AC18" s="817"/>
      <c r="AD18" s="817"/>
      <c r="AE18" s="817"/>
      <c r="AF18" s="819"/>
      <c r="AG18" s="817"/>
      <c r="AH18" s="817"/>
      <c r="AI18" s="817"/>
      <c r="AJ18" s="880"/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/>
      <c r="C19" s="816"/>
      <c r="D19" s="817"/>
      <c r="E19" s="817"/>
      <c r="F19" s="817"/>
      <c r="G19" s="817"/>
      <c r="H19" s="818"/>
      <c r="I19" s="819"/>
      <c r="J19" s="876"/>
      <c r="K19" s="818"/>
      <c r="L19" s="817"/>
      <c r="M19" s="821"/>
      <c r="N19" s="819"/>
      <c r="O19" s="822"/>
      <c r="P19" s="823"/>
      <c r="Q19" s="817"/>
      <c r="R19" s="817"/>
      <c r="S19" s="817"/>
      <c r="T19" s="817"/>
      <c r="U19" s="817"/>
      <c r="V19" s="824"/>
      <c r="W19" s="817"/>
      <c r="X19" s="825"/>
      <c r="Y19" s="817"/>
      <c r="Z19" s="817"/>
      <c r="AA19" s="817"/>
      <c r="AB19" s="817"/>
      <c r="AC19" s="817"/>
      <c r="AD19" s="817"/>
      <c r="AE19" s="817"/>
      <c r="AF19" s="819"/>
      <c r="AG19" s="817"/>
      <c r="AH19" s="817"/>
      <c r="AI19" s="817"/>
      <c r="AJ19" s="880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/>
      <c r="C20" s="816"/>
      <c r="D20" s="817"/>
      <c r="E20" s="817"/>
      <c r="F20" s="817"/>
      <c r="G20" s="817"/>
      <c r="H20" s="818"/>
      <c r="I20" s="819"/>
      <c r="J20" s="876"/>
      <c r="K20" s="818"/>
      <c r="L20" s="817"/>
      <c r="M20" s="821"/>
      <c r="N20" s="819"/>
      <c r="O20" s="822"/>
      <c r="P20" s="823"/>
      <c r="Q20" s="817"/>
      <c r="R20" s="817"/>
      <c r="S20" s="817"/>
      <c r="T20" s="817"/>
      <c r="U20" s="817"/>
      <c r="V20" s="824"/>
      <c r="W20" s="817"/>
      <c r="X20" s="825"/>
      <c r="Y20" s="817"/>
      <c r="Z20" s="817"/>
      <c r="AA20" s="817"/>
      <c r="AB20" s="817"/>
      <c r="AC20" s="817"/>
      <c r="AD20" s="817"/>
      <c r="AE20" s="817"/>
      <c r="AF20" s="819"/>
      <c r="AG20" s="817"/>
      <c r="AH20" s="817"/>
      <c r="AI20" s="817"/>
      <c r="AJ20" s="880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/>
      <c r="C21" s="816"/>
      <c r="D21" s="817"/>
      <c r="E21" s="817"/>
      <c r="F21" s="817"/>
      <c r="G21" s="817"/>
      <c r="H21" s="818"/>
      <c r="I21" s="819"/>
      <c r="J21" s="876"/>
      <c r="K21" s="818"/>
      <c r="L21" s="817"/>
      <c r="M21" s="821"/>
      <c r="N21" s="819"/>
      <c r="O21" s="822"/>
      <c r="P21" s="823"/>
      <c r="Q21" s="817"/>
      <c r="R21" s="817"/>
      <c r="S21" s="817"/>
      <c r="T21" s="817"/>
      <c r="U21" s="817"/>
      <c r="V21" s="824"/>
      <c r="W21" s="817"/>
      <c r="X21" s="825"/>
      <c r="Y21" s="817"/>
      <c r="Z21" s="817"/>
      <c r="AA21" s="817"/>
      <c r="AB21" s="817"/>
      <c r="AC21" s="817"/>
      <c r="AD21" s="817"/>
      <c r="AE21" s="817"/>
      <c r="AF21" s="819"/>
      <c r="AG21" s="817"/>
      <c r="AH21" s="817"/>
      <c r="AI21" s="817"/>
      <c r="AJ21" s="880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/>
      <c r="C22" s="816"/>
      <c r="D22" s="817"/>
      <c r="E22" s="817"/>
      <c r="F22" s="817"/>
      <c r="G22" s="817"/>
      <c r="H22" s="818"/>
      <c r="I22" s="819"/>
      <c r="J22" s="876"/>
      <c r="K22" s="818"/>
      <c r="L22" s="817"/>
      <c r="M22" s="821"/>
      <c r="N22" s="819"/>
      <c r="O22" s="822"/>
      <c r="P22" s="823"/>
      <c r="Q22" s="817"/>
      <c r="R22" s="817"/>
      <c r="S22" s="817"/>
      <c r="T22" s="817"/>
      <c r="U22" s="817"/>
      <c r="V22" s="824"/>
      <c r="W22" s="817"/>
      <c r="X22" s="825"/>
      <c r="Y22" s="817"/>
      <c r="Z22" s="817"/>
      <c r="AA22" s="817"/>
      <c r="AB22" s="817"/>
      <c r="AC22" s="817"/>
      <c r="AD22" s="817"/>
      <c r="AE22" s="817"/>
      <c r="AF22" s="819"/>
      <c r="AG22" s="817"/>
      <c r="AH22" s="817"/>
      <c r="AI22" s="817"/>
      <c r="AJ22" s="880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/>
      <c r="C23" s="816"/>
      <c r="D23" s="817"/>
      <c r="E23" s="817"/>
      <c r="F23" s="817"/>
      <c r="G23" s="817"/>
      <c r="H23" s="818"/>
      <c r="I23" s="819"/>
      <c r="J23" s="876"/>
      <c r="K23" s="818"/>
      <c r="L23" s="817"/>
      <c r="M23" s="821"/>
      <c r="N23" s="819"/>
      <c r="O23" s="822"/>
      <c r="P23" s="823"/>
      <c r="Q23" s="817"/>
      <c r="R23" s="817"/>
      <c r="S23" s="817"/>
      <c r="T23" s="817"/>
      <c r="U23" s="817"/>
      <c r="V23" s="824"/>
      <c r="W23" s="817"/>
      <c r="X23" s="825"/>
      <c r="Y23" s="817"/>
      <c r="Z23" s="817"/>
      <c r="AA23" s="817"/>
      <c r="AB23" s="817"/>
      <c r="AC23" s="817"/>
      <c r="AD23" s="817"/>
      <c r="AE23" s="817"/>
      <c r="AF23" s="819"/>
      <c r="AG23" s="817"/>
      <c r="AH23" s="817"/>
      <c r="AI23" s="817"/>
      <c r="AJ23" s="880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/>
      <c r="C24" s="816"/>
      <c r="D24" s="817"/>
      <c r="E24" s="817"/>
      <c r="F24" s="817"/>
      <c r="G24" s="817"/>
      <c r="H24" s="818"/>
      <c r="I24" s="819"/>
      <c r="J24" s="876"/>
      <c r="K24" s="818"/>
      <c r="L24" s="817"/>
      <c r="M24" s="821"/>
      <c r="N24" s="819"/>
      <c r="O24" s="822"/>
      <c r="P24" s="823"/>
      <c r="Q24" s="817"/>
      <c r="R24" s="817"/>
      <c r="S24" s="817"/>
      <c r="T24" s="817"/>
      <c r="U24" s="817"/>
      <c r="V24" s="824"/>
      <c r="W24" s="817"/>
      <c r="X24" s="825"/>
      <c r="Y24" s="817"/>
      <c r="Z24" s="817"/>
      <c r="AA24" s="817"/>
      <c r="AB24" s="817"/>
      <c r="AC24" s="817"/>
      <c r="AD24" s="817"/>
      <c r="AE24" s="817"/>
      <c r="AF24" s="819"/>
      <c r="AG24" s="817"/>
      <c r="AH24" s="817"/>
      <c r="AI24" s="817"/>
      <c r="AJ24" s="880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/>
      <c r="C25" s="816"/>
      <c r="D25" s="817"/>
      <c r="E25" s="817"/>
      <c r="F25" s="817"/>
      <c r="G25" s="817"/>
      <c r="H25" s="818"/>
      <c r="I25" s="819"/>
      <c r="J25" s="876"/>
      <c r="K25" s="818"/>
      <c r="L25" s="817"/>
      <c r="M25" s="821"/>
      <c r="N25" s="819"/>
      <c r="O25" s="822"/>
      <c r="P25" s="823"/>
      <c r="Q25" s="872"/>
      <c r="R25" s="817"/>
      <c r="S25" s="817"/>
      <c r="T25" s="817"/>
      <c r="U25" s="817"/>
      <c r="V25" s="824"/>
      <c r="W25" s="817"/>
      <c r="X25" s="825"/>
      <c r="Y25" s="817"/>
      <c r="Z25" s="817"/>
      <c r="AA25" s="817"/>
      <c r="AB25" s="817"/>
      <c r="AC25" s="817"/>
      <c r="AD25" s="817"/>
      <c r="AE25" s="817"/>
      <c r="AF25" s="819"/>
      <c r="AG25" s="817"/>
      <c r="AH25" s="817"/>
      <c r="AI25" s="817"/>
      <c r="AJ25" s="880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/>
      <c r="C26" s="816"/>
      <c r="D26" s="817"/>
      <c r="E26" s="817"/>
      <c r="F26" s="817"/>
      <c r="G26" s="817"/>
      <c r="H26" s="818"/>
      <c r="I26" s="819"/>
      <c r="J26" s="876"/>
      <c r="K26" s="818"/>
      <c r="L26" s="817"/>
      <c r="M26" s="821"/>
      <c r="N26" s="819"/>
      <c r="O26" s="822"/>
      <c r="P26" s="823"/>
      <c r="Q26" s="872"/>
      <c r="R26" s="817"/>
      <c r="S26" s="817"/>
      <c r="T26" s="817"/>
      <c r="U26" s="817"/>
      <c r="V26" s="824"/>
      <c r="W26" s="817"/>
      <c r="X26" s="825"/>
      <c r="Y26" s="817"/>
      <c r="Z26" s="817"/>
      <c r="AA26" s="817"/>
      <c r="AB26" s="817"/>
      <c r="AC26" s="817"/>
      <c r="AD26" s="817"/>
      <c r="AE26" s="817"/>
      <c r="AF26" s="819"/>
      <c r="AG26" s="817"/>
      <c r="AH26" s="817"/>
      <c r="AI26" s="817"/>
      <c r="AJ26" s="880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4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4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01"/>
      <c r="J38" s="901"/>
      <c r="R38" s="190"/>
      <c r="S38" s="190"/>
      <c r="T38" s="190"/>
      <c r="U38" s="190"/>
      <c r="V38" s="190"/>
      <c r="W38" s="190"/>
      <c r="Z38" s="190"/>
      <c r="AA38" s="902"/>
      <c r="AB38" s="902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14:B35">
    <cfRule type="expression" dxfId="162" priority="74">
      <formula>B14&lt;B13</formula>
    </cfRule>
  </conditionalFormatting>
  <conditionalFormatting sqref="C14:D14">
    <cfRule type="expression" dxfId="158" priority="82">
      <formula>C14&lt;C13</formula>
    </cfRule>
  </conditionalFormatting>
  <conditionalFormatting sqref="C36:D37">
    <cfRule type="expression" dxfId="157" priority="1293">
      <formula>C36&lt;C35</formula>
    </cfRule>
  </conditionalFormatting>
  <conditionalFormatting sqref="D35 B36:B37">
    <cfRule type="expression" dxfId="156" priority="1280">
      <formula>B35&lt;#REF!</formula>
    </cfRule>
  </conditionalFormatting>
  <conditionalFormatting sqref="E14">
    <cfRule type="expression" dxfId="155" priority="51">
      <formula>E14&lt;E13</formula>
    </cfRule>
  </conditionalFormatting>
  <conditionalFormatting sqref="F14:F37">
    <cfRule type="expression" dxfId="154" priority="50">
      <formula>F14&lt;#REF!</formula>
    </cfRule>
  </conditionalFormatting>
  <conditionalFormatting sqref="G14:G37">
    <cfRule type="expression" dxfId="153" priority="48">
      <formula>G14&lt;G13</formula>
    </cfRule>
  </conditionalFormatting>
  <conditionalFormatting sqref="G36:J37 L36:O37">
    <cfRule type="expression" dxfId="152" priority="1127">
      <formula>G36&lt;G35</formula>
    </cfRule>
  </conditionalFormatting>
  <conditionalFormatting sqref="H19:I34">
    <cfRule type="expression" dxfId="150" priority="241">
      <formula>H19&lt;H18</formula>
    </cfRule>
  </conditionalFormatting>
  <conditionalFormatting sqref="H35:I35 R35 T35 W35 AB35 AE35:AI35 P36:P37 S36:S37 X36:Y37">
    <cfRule type="expression" dxfId="149" priority="1279">
      <formula>H35&lt;#REF!</formula>
    </cfRule>
  </conditionalFormatting>
  <conditionalFormatting sqref="H14:J18">
    <cfRule type="expression" dxfId="148" priority="83">
      <formula>H14&lt;H13</formula>
    </cfRule>
  </conditionalFormatting>
  <conditionalFormatting sqref="J19:J35">
    <cfRule type="expression" dxfId="147" priority="242">
      <formula>J19&lt;J18</formula>
    </cfRule>
  </conditionalFormatting>
  <conditionalFormatting sqref="K14:L21">
    <cfRule type="expression" dxfId="146" priority="86">
      <formula>K14&lt;K13</formula>
    </cfRule>
  </conditionalFormatting>
  <conditionalFormatting sqref="K22:M22">
    <cfRule type="expression" dxfId="145" priority="243">
      <formula>K22&lt;K21</formula>
    </cfRule>
  </conditionalFormatting>
  <conditionalFormatting sqref="K23:Z23 K24:K37">
    <cfRule type="expression" dxfId="143" priority="244">
      <formula>K23&lt;K22</formula>
    </cfRule>
  </conditionalFormatting>
  <conditionalFormatting sqref="L24:Z27 L28:AC28">
    <cfRule type="expression" dxfId="142" priority="246">
      <formula>L24&lt;L23</formula>
    </cfRule>
  </conditionalFormatting>
  <conditionalFormatting sqref="M14:M17">
    <cfRule type="expression" dxfId="141" priority="88">
      <formula>M14&lt;#REF!</formula>
    </cfRule>
  </conditionalFormatting>
  <conditionalFormatting sqref="N14:T22">
    <cfRule type="expression" dxfId="139" priority="237">
      <formula>N14&lt;N13</formula>
    </cfRule>
  </conditionalFormatting>
  <conditionalFormatting sqref="Q36">
    <cfRule type="expression" dxfId="135" priority="1296">
      <formula>Q36&lt;#REF!</formula>
    </cfRule>
  </conditionalFormatting>
  <conditionalFormatting sqref="R36">
    <cfRule type="expression" dxfId="131" priority="1292">
      <formula>R36&lt;R35</formula>
    </cfRule>
  </conditionalFormatting>
  <conditionalFormatting sqref="AB14:AI27">
    <cfRule type="expression" dxfId="130" priority="80">
      <formula>AB14&lt;AB13</formula>
    </cfRule>
  </conditionalFormatting>
  <conditionalFormatting sqref="U14:U22">
    <cfRule type="expression" dxfId="128" priority="55">
      <formula>U14&lt;U13</formula>
    </cfRule>
  </conditionalFormatting>
  <conditionalFormatting sqref="V14:X14 C15:E34 C35 E35:E37">
    <cfRule type="expression" dxfId="126" priority="240">
      <formula>C14&lt;C13</formula>
    </cfRule>
  </conditionalFormatting>
  <conditionalFormatting sqref="V15:Z22 M18:M21">
    <cfRule type="expression" dxfId="125" priority="239">
      <formula>M15&lt;M14</formula>
    </cfRule>
  </conditionalFormatting>
  <conditionalFormatting sqref="V29:AC29 AA30:AC30 Z30:Z31 V30:Y34 AA31:AB31 AC31:AC37 Z32:AB34 V35 X35:AA35">
    <cfRule type="expression" dxfId="124" priority="250">
      <formula>V29&lt;V28</formula>
    </cfRule>
  </conditionalFormatting>
  <conditionalFormatting sqref="Y14:Z14">
    <cfRule type="expression" dxfId="122" priority="72">
      <formula>Y14&lt;Y13</formula>
    </cfRule>
  </conditionalFormatting>
  <conditionalFormatting sqref="AA14:AA37">
    <cfRule type="expression" dxfId="120" priority="47">
      <formula>AA14&lt;AA13</formula>
    </cfRule>
  </conditionalFormatting>
  <conditionalFormatting sqref="AA28:AA37">
    <cfRule type="expression" dxfId="119" priority="248">
      <formula>AA28&lt;#REF!</formula>
    </cfRule>
  </conditionalFormatting>
  <conditionalFormatting sqref="AD28:AD37">
    <cfRule type="expression" dxfId="117" priority="245">
      <formula>AD28&lt;AD27</formula>
    </cfRule>
  </conditionalFormatting>
  <conditionalFormatting sqref="AE28:AI34 L29:T34 U29:U37 L35:Q35 S35">
    <cfRule type="expression" dxfId="114" priority="249">
      <formula>L28&lt;L27</formula>
    </cfRule>
  </conditionalFormatting>
  <conditionalFormatting sqref="AJ14:AJ37">
    <cfRule type="expression" dxfId="113" priority="49">
      <formula>AJ14&lt;AJ13</formula>
    </cfRule>
  </conditionalFormatting>
  <conditionalFormatting sqref="AK6:AK12">
    <cfRule type="expression" dxfId="112" priority="1169">
      <formula>AK6&lt;AK5</formula>
    </cfRule>
  </conditionalFormatting>
  <conditionalFormatting sqref="AK13:AL15">
    <cfRule type="expression" dxfId="111" priority="1249">
      <formula>AK13&lt;#REF!</formula>
    </cfRule>
  </conditionalFormatting>
  <conditionalFormatting sqref="AL9:AL14 AL15:AN34 AK16:AK37 AK20:AN21 T36:W37 Z36:Z37 AB36:AB37 AE36:AI37 Q37:R37">
    <cfRule type="expression" dxfId="110" priority="1186">
      <formula>Q9&lt;Q8</formula>
    </cfRule>
  </conditionalFormatting>
  <conditionalFormatting sqref="AO9:AO34">
    <cfRule type="expression" dxfId="109" priority="1194">
      <formula>AO9&lt;#REF!</formula>
    </cfRule>
  </conditionalFormatting>
  <conditionalFormatting sqref="B7:B13">
    <cfRule type="expression" dxfId="45" priority="28">
      <formula>B7&lt;B6</formula>
    </cfRule>
  </conditionalFormatting>
  <conditionalFormatting sqref="B11:B13">
    <cfRule type="expression" dxfId="44" priority="45">
      <formula>B11&lt;#REF!</formula>
    </cfRule>
  </conditionalFormatting>
  <conditionalFormatting sqref="C7:D7 H7:J7 R7 T7 W7 AB7">
    <cfRule type="expression" dxfId="43" priority="32">
      <formula>C7&lt;#REF!</formula>
    </cfRule>
  </conditionalFormatting>
  <conditionalFormatting sqref="C8:D13">
    <cfRule type="expression" dxfId="42" priority="36">
      <formula>C8&lt;C7</formula>
    </cfRule>
  </conditionalFormatting>
  <conditionalFormatting sqref="E7:E13">
    <cfRule type="expression" dxfId="41" priority="18">
      <formula>E7&lt;E6</formula>
    </cfRule>
  </conditionalFormatting>
  <conditionalFormatting sqref="F7:F13">
    <cfRule type="expression" dxfId="40" priority="33">
      <formula>F7&lt;#REF!</formula>
    </cfRule>
  </conditionalFormatting>
  <conditionalFormatting sqref="G7:G13">
    <cfRule type="expression" dxfId="39" priority="29">
      <formula>G7&lt;G6</formula>
    </cfRule>
  </conditionalFormatting>
  <conditionalFormatting sqref="H8:J13">
    <cfRule type="expression" dxfId="38" priority="37">
      <formula>H8&lt;H7</formula>
    </cfRule>
  </conditionalFormatting>
  <conditionalFormatting sqref="K11:L13">
    <cfRule type="expression" dxfId="37" priority="40">
      <formula>K11&lt;K10</formula>
    </cfRule>
  </conditionalFormatting>
  <conditionalFormatting sqref="K7:O8 K9:N10 O9">
    <cfRule type="expression" dxfId="36" priority="23">
      <formula>K7&lt;K6</formula>
    </cfRule>
  </conditionalFormatting>
  <conditionalFormatting sqref="M11:M13">
    <cfRule type="expression" dxfId="35" priority="42">
      <formula>M11&lt;#REF!</formula>
    </cfRule>
  </conditionalFormatting>
  <conditionalFormatting sqref="N11:O12 O10">
    <cfRule type="expression" dxfId="34" priority="41">
      <formula>N10&lt;N9</formula>
    </cfRule>
  </conditionalFormatting>
  <conditionalFormatting sqref="N13:T13">
    <cfRule type="expression" dxfId="33" priority="44">
      <formula>N13&lt;N12</formula>
    </cfRule>
  </conditionalFormatting>
  <conditionalFormatting sqref="S7:S10">
    <cfRule type="expression" dxfId="32" priority="22">
      <formula>S7&lt;#REF!</formula>
    </cfRule>
  </conditionalFormatting>
  <conditionalFormatting sqref="P8:P12 V8:V12">
    <cfRule type="expression" dxfId="31" priority="39">
      <formula>P8&lt;#REF!</formula>
    </cfRule>
  </conditionalFormatting>
  <conditionalFormatting sqref="P7:Q7">
    <cfRule type="expression" dxfId="30" priority="30">
      <formula>P7&lt;P6</formula>
    </cfRule>
  </conditionalFormatting>
  <conditionalFormatting sqref="Q8:R8">
    <cfRule type="expression" dxfId="29" priority="38">
      <formula>Q8&lt;Q7</formula>
    </cfRule>
  </conditionalFormatting>
  <conditionalFormatting sqref="Q11:T12 Q9:R10 T9:T10">
    <cfRule type="expression" dxfId="28" priority="43">
      <formula>Q9&lt;Q8</formula>
    </cfRule>
  </conditionalFormatting>
  <conditionalFormatting sqref="T8 AB11:AI13 AB8:AC10 AE8:AI10">
    <cfRule type="expression" dxfId="27" priority="34">
      <formula>T8&lt;T7</formula>
    </cfRule>
  </conditionalFormatting>
  <conditionalFormatting sqref="U7:U13">
    <cfRule type="expression" dxfId="26" priority="20">
      <formula>U7&lt;U6</formula>
    </cfRule>
  </conditionalFormatting>
  <conditionalFormatting sqref="V7">
    <cfRule type="expression" dxfId="25" priority="25">
      <formula>V7&lt;V6</formula>
    </cfRule>
  </conditionalFormatting>
  <conditionalFormatting sqref="V13:X13">
    <cfRule type="expression" dxfId="24" priority="46">
      <formula>V13&lt;V12</formula>
    </cfRule>
  </conditionalFormatting>
  <conditionalFormatting sqref="W8:W12">
    <cfRule type="expression" dxfId="23" priority="35">
      <formula>W8&lt;W7</formula>
    </cfRule>
  </conditionalFormatting>
  <conditionalFormatting sqref="Y7:Z13">
    <cfRule type="expression" dxfId="22" priority="26">
      <formula>Y7&lt;Y6</formula>
    </cfRule>
  </conditionalFormatting>
  <conditionalFormatting sqref="AA7:AA12">
    <cfRule type="expression" dxfId="21" priority="19">
      <formula>AA7&lt;#REF!</formula>
    </cfRule>
  </conditionalFormatting>
  <conditionalFormatting sqref="AA7:AA13">
    <cfRule type="expression" dxfId="20" priority="24">
      <formula>AA7&lt;AA6</formula>
    </cfRule>
  </conditionalFormatting>
  <conditionalFormatting sqref="AC7">
    <cfRule type="expression" dxfId="19" priority="21">
      <formula>AC7&lt;AC6</formula>
    </cfRule>
  </conditionalFormatting>
  <conditionalFormatting sqref="AD7:AI7 X7:X12 AD8:AD10">
    <cfRule type="expression" dxfId="18" priority="27">
      <formula>X7&lt;#REF!</formula>
    </cfRule>
  </conditionalFormatting>
  <conditionalFormatting sqref="AJ12:AJ13">
    <cfRule type="expression" dxfId="17" priority="31">
      <formula>AJ12&lt;AJ11</formula>
    </cfRule>
  </conditionalFormatting>
  <conditionalFormatting sqref="C6:D6">
    <cfRule type="expression" dxfId="16" priority="16">
      <formula>C6&lt;C5</formula>
    </cfRule>
  </conditionalFormatting>
  <conditionalFormatting sqref="B6">
    <cfRule type="expression" dxfId="15" priority="14">
      <formula>B6&lt;#REF!</formula>
    </cfRule>
  </conditionalFormatting>
  <conditionalFormatting sqref="F6">
    <cfRule type="expression" dxfId="14" priority="4">
      <formula>F6&lt;#REF!</formula>
    </cfRule>
  </conditionalFormatting>
  <conditionalFormatting sqref="G6">
    <cfRule type="expression" dxfId="13" priority="2">
      <formula>G6&lt;G5</formula>
    </cfRule>
  </conditionalFormatting>
  <conditionalFormatting sqref="G6:J6 L6:O6">
    <cfRule type="expression" dxfId="12" priority="11">
      <formula>G6&lt;G5</formula>
    </cfRule>
  </conditionalFormatting>
  <conditionalFormatting sqref="P6 S6 X6:Y6">
    <cfRule type="expression" dxfId="11" priority="13">
      <formula>P6&lt;#REF!</formula>
    </cfRule>
  </conditionalFormatting>
  <conditionalFormatting sqref="K6">
    <cfRule type="expression" dxfId="10" priority="6">
      <formula>K6&lt;K5</formula>
    </cfRule>
  </conditionalFormatting>
  <conditionalFormatting sqref="Q6">
    <cfRule type="expression" dxfId="9" priority="17">
      <formula>Q6&lt;#REF!</formula>
    </cfRule>
  </conditionalFormatting>
  <conditionalFormatting sqref="R6">
    <cfRule type="expression" dxfId="8" priority="15">
      <formula>R6&lt;R5</formula>
    </cfRule>
  </conditionalFormatting>
  <conditionalFormatting sqref="E6">
    <cfRule type="expression" dxfId="7" priority="5">
      <formula>E6&lt;E5</formula>
    </cfRule>
  </conditionalFormatting>
  <conditionalFormatting sqref="AC6">
    <cfRule type="expression" dxfId="6" priority="10">
      <formula>AC6&lt;AC5</formula>
    </cfRule>
  </conditionalFormatting>
  <conditionalFormatting sqref="AA6">
    <cfRule type="expression" dxfId="5" priority="1">
      <formula>AA6&lt;AA5</formula>
    </cfRule>
  </conditionalFormatting>
  <conditionalFormatting sqref="AA6">
    <cfRule type="expression" dxfId="4" priority="8">
      <formula>AA6&lt;#REF!</formula>
    </cfRule>
  </conditionalFormatting>
  <conditionalFormatting sqref="AD6">
    <cfRule type="expression" dxfId="3" priority="7">
      <formula>AD6&lt;AD5</formula>
    </cfRule>
  </conditionalFormatting>
  <conditionalFormatting sqref="U6">
    <cfRule type="expression" dxfId="2" priority="9">
      <formula>U6&lt;U5</formula>
    </cfRule>
  </conditionalFormatting>
  <conditionalFormatting sqref="AJ6:AJ11">
    <cfRule type="expression" dxfId="1" priority="3">
      <formula>AJ6&lt;AJ5</formula>
    </cfRule>
  </conditionalFormatting>
  <conditionalFormatting sqref="T6:W6 Z6 AB6 AE6:AI6">
    <cfRule type="expression" dxfId="0" priority="12">
      <formula>T6&lt;T5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16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3" t="s">
        <v>7</v>
      </c>
      <c r="B7" s="383"/>
      <c r="C7" s="383"/>
      <c r="D7" s="936" t="s">
        <v>254</v>
      </c>
      <c r="E7" s="939" t="s">
        <v>286</v>
      </c>
      <c r="F7" s="933" t="s">
        <v>287</v>
      </c>
      <c r="G7" s="929" t="s">
        <v>255</v>
      </c>
      <c r="H7" s="929" t="s">
        <v>256</v>
      </c>
      <c r="I7" s="383" t="s">
        <v>3</v>
      </c>
      <c r="J7" s="383" t="s">
        <v>4</v>
      </c>
      <c r="K7" s="390" t="s">
        <v>53</v>
      </c>
      <c r="L7" s="930" t="s">
        <v>17</v>
      </c>
      <c r="M7" s="931"/>
      <c r="N7" s="931"/>
      <c r="O7" s="931"/>
      <c r="P7" s="932"/>
      <c r="Q7" s="927" t="s">
        <v>11</v>
      </c>
      <c r="R7" s="928"/>
      <c r="S7" s="928"/>
      <c r="T7" s="928"/>
    </row>
    <row r="8" spans="1:20" x14ac:dyDescent="0.2">
      <c r="A8" s="924"/>
      <c r="B8" s="384" t="s">
        <v>257</v>
      </c>
      <c r="C8" s="384" t="s">
        <v>258</v>
      </c>
      <c r="D8" s="937"/>
      <c r="E8" s="940"/>
      <c r="F8" s="934"/>
      <c r="G8" s="929"/>
      <c r="H8" s="929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5"/>
      <c r="B9" s="385"/>
      <c r="C9" s="385"/>
      <c r="D9" s="938"/>
      <c r="E9" s="941"/>
      <c r="F9" s="935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1142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1583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1504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1416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 t="str">
        <f>IF('Entries October 2026'!I14&lt;'Entries October 2026'!I13,"0",(IF('Entries October 2026'!I14&gt;='Entries October 2026'!I13,'Entries October 2026'!I14-'Entries October 2026'!I13,(999999-'Entries October 2026'!I13)+'Entries October 2026'!I14+1)))</f>
        <v>0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0</v>
      </c>
      <c r="E17" s="873"/>
      <c r="F17" s="721" t="str">
        <f t="shared" si="1"/>
        <v>0</v>
      </c>
      <c r="G17" s="737" t="str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0</v>
      </c>
      <c r="I17" s="737">
        <f>'Water '!Z14*10</f>
        <v>0</v>
      </c>
      <c r="J17" s="720" t="str">
        <f>IF('Entries October 2026'!B14-'Entries October 2026'!B13&lt;1,"0",'Entries October 2026'!B14-'Entries October 2026'!B13)</f>
        <v>0</v>
      </c>
      <c r="K17" s="722">
        <f>'CO2'!E14</f>
        <v>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0</v>
      </c>
      <c r="Q17" s="393">
        <f t="shared" si="3"/>
        <v>0</v>
      </c>
      <c r="R17" s="393">
        <f>IF(Q17=0,0,I17/P17)</f>
        <v>0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0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0</v>
      </c>
      <c r="E18" s="873"/>
      <c r="F18" s="721" t="str">
        <f t="shared" si="1"/>
        <v>0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0</v>
      </c>
      <c r="I18" s="737">
        <f>'Water '!Z15*10</f>
        <v>0</v>
      </c>
      <c r="J18" s="720" t="str">
        <f>IF('Entries October 2026'!B15-'Entries October 2026'!B14&lt;1,"0",'Entries October 2026'!B15-'Entries October 2026'!B14)</f>
        <v>0</v>
      </c>
      <c r="K18" s="722">
        <f>'CO2'!E15</f>
        <v>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0</v>
      </c>
      <c r="Q18" s="393">
        <f t="shared" si="3"/>
        <v>0</v>
      </c>
      <c r="R18" s="393">
        <f t="shared" si="4"/>
        <v>0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0</v>
      </c>
      <c r="E19" s="874"/>
      <c r="F19" s="773" t="str">
        <f t="shared" si="1"/>
        <v>0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0</v>
      </c>
      <c r="I19" s="774">
        <f>'Water '!Z16*10</f>
        <v>0</v>
      </c>
      <c r="J19" s="772" t="str">
        <f>IF('Entries October 2026'!B16-'Entries October 2026'!B15&lt;1,"0",'Entries October 2026'!B16-'Entries October 2026'!B15)</f>
        <v>0</v>
      </c>
      <c r="K19" s="775">
        <f>'CO2'!E16</f>
        <v>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0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0</v>
      </c>
      <c r="E20" s="874"/>
      <c r="F20" s="773" t="str">
        <f t="shared" si="1"/>
        <v>0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0</v>
      </c>
      <c r="I20" s="774">
        <f>'Water '!Z17*10</f>
        <v>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0</v>
      </c>
      <c r="E21" s="873"/>
      <c r="F21" s="721" t="str">
        <f t="shared" si="1"/>
        <v>0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0</v>
      </c>
      <c r="I21" s="737">
        <f>'Water '!Z18*10</f>
        <v>0</v>
      </c>
      <c r="J21" s="720" t="str">
        <f>IF('Entries October 2026'!B18-'Entries October 2026'!B17&lt;1,"0",'Entries October 2026'!B18-'Entries October 2026'!B17)</f>
        <v>0</v>
      </c>
      <c r="K21" s="722">
        <f>'CO2'!E18</f>
        <v>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0</v>
      </c>
      <c r="E22" s="873"/>
      <c r="F22" s="721" t="str">
        <f t="shared" si="1"/>
        <v>0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0</v>
      </c>
      <c r="I22" s="737">
        <f>'Water '!Z19*10</f>
        <v>0</v>
      </c>
      <c r="J22" s="720" t="str">
        <f>IF('Entries October 2026'!B19-'Entries October 2026'!B18&lt;1,"0",'Entries October 2026'!B19-'Entries October 2026'!B18)</f>
        <v>0</v>
      </c>
      <c r="K22" s="722">
        <f>'CO2'!E19</f>
        <v>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3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3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3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0</v>
      </c>
      <c r="E26" s="874"/>
      <c r="F26" s="773" t="str">
        <f t="shared" si="1"/>
        <v>0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0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0</v>
      </c>
      <c r="E27" s="874"/>
      <c r="F27" s="773" t="str">
        <f t="shared" si="1"/>
        <v>0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0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0</v>
      </c>
      <c r="E28" s="873"/>
      <c r="F28" s="721" t="str">
        <f t="shared" si="1"/>
        <v>0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0</v>
      </c>
      <c r="I28" s="737">
        <f>'Water '!Z25*10</f>
        <v>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0</v>
      </c>
      <c r="E29" s="873"/>
      <c r="F29" s="721" t="str">
        <f t="shared" si="1"/>
        <v>0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0</v>
      </c>
      <c r="I29" s="737">
        <f>'Water '!Z26*10</f>
        <v>0</v>
      </c>
      <c r="J29" s="720" t="str">
        <f>IF('Entries October 2026'!B26-'Entries October 2026'!B25&lt;1,"0",'Entries October 2026'!B26-'Entries October 2026'!B25)</f>
        <v>0</v>
      </c>
      <c r="K29" s="722">
        <f>'CO2'!E26</f>
        <v>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90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1"/>
      <c r="M40" s="892"/>
      <c r="N40" s="892"/>
      <c r="O40" s="892"/>
      <c r="P40" s="893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40898</v>
      </c>
      <c r="E43" s="741">
        <f>SUM(E10:E40)</f>
        <v>8093.8</v>
      </c>
      <c r="F43" s="754">
        <f>IF((E43+D43)=0,"0",E43/(D43+E43))</f>
        <v>0.16520723876240512</v>
      </c>
      <c r="G43" s="20">
        <f t="shared" ref="G43:P43" si="7">SUM(G10:G40)</f>
        <v>0</v>
      </c>
      <c r="H43" s="20">
        <f t="shared" si="7"/>
        <v>48991.799999999996</v>
      </c>
      <c r="I43" s="20">
        <f t="shared" si="7"/>
        <v>16030</v>
      </c>
      <c r="J43" s="20">
        <f t="shared" si="7"/>
        <v>960</v>
      </c>
      <c r="K43" s="20">
        <f t="shared" si="7"/>
        <v>7245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1741.2228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48991.8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28.136433775160764</v>
      </c>
      <c r="R44" s="398">
        <f>IF(Q44=0,0,I43/P43)</f>
        <v>9.2061739600469288</v>
      </c>
      <c r="S44" s="398">
        <f>IF(R44=0,0,J43/P43)</f>
        <v>0.55133668132533065</v>
      </c>
      <c r="T44" s="399">
        <f>IF(S44=0,0,K43/P43)</f>
        <v>4.160869016877105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6"/>
      <c r="E47" s="926"/>
      <c r="F47" s="926"/>
      <c r="G47" s="926"/>
      <c r="H47" s="926"/>
      <c r="I47" s="926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108" priority="7" operator="between">
      <formula>0</formula>
      <formula>22</formula>
    </cfRule>
    <cfRule type="cellIs" dxfId="107" priority="8" operator="greaterThan">
      <formula>22</formula>
    </cfRule>
    <cfRule type="cellIs" dxfId="106" priority="9" operator="greaterThan">
      <formula>7.2</formula>
    </cfRule>
  </conditionalFormatting>
  <conditionalFormatting sqref="R10:R44">
    <cfRule type="cellIs" dxfId="105" priority="1" operator="between">
      <formula>0</formula>
      <formula>10.2</formula>
    </cfRule>
    <cfRule type="cellIs" dxfId="104" priority="2" operator="greaterThan">
      <formula>10.2</formula>
    </cfRule>
  </conditionalFormatting>
  <conditionalFormatting sqref="S10:S44">
    <cfRule type="cellIs" dxfId="103" priority="3" operator="between">
      <formula>0</formula>
      <formula>7.2</formula>
    </cfRule>
    <cfRule type="cellIs" dxfId="102" priority="4" operator="greaterThan">
      <formula>7.2</formula>
    </cfRule>
  </conditionalFormatting>
  <conditionalFormatting sqref="T10:T44">
    <cfRule type="cellIs" dxfId="101" priority="5" operator="between">
      <formula>0</formula>
      <formula>5</formula>
    </cfRule>
    <cfRule type="cellIs" dxfId="100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2" t="s">
        <v>7</v>
      </c>
      <c r="B3" s="944" t="s">
        <v>235</v>
      </c>
    </row>
    <row r="4" spans="1:4" ht="15" customHeight="1" x14ac:dyDescent="0.2">
      <c r="A4" s="943"/>
      <c r="B4" s="945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K7" sqref="K7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4" t="s">
        <v>304</v>
      </c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</row>
    <row r="2" spans="1:17" ht="15" customHeight="1" x14ac:dyDescent="0.2">
      <c r="B2" s="8"/>
      <c r="D2" s="8"/>
      <c r="E2" s="8"/>
      <c r="F2" s="9"/>
      <c r="M2" s="946" t="s">
        <v>296</v>
      </c>
      <c r="N2" s="946" t="s">
        <v>297</v>
      </c>
    </row>
    <row r="3" spans="1:17" ht="15.75" thickBot="1" x14ac:dyDescent="0.25">
      <c r="B3" s="8"/>
      <c r="D3" s="8"/>
      <c r="E3" s="8"/>
      <c r="F3" s="9"/>
      <c r="M3" s="947"/>
      <c r="N3" s="947"/>
    </row>
    <row r="4" spans="1:17" s="339" customFormat="1" ht="32.25" customHeight="1" x14ac:dyDescent="0.2">
      <c r="A4" s="960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56" t="s">
        <v>243</v>
      </c>
      <c r="M4" s="958" t="s">
        <v>246</v>
      </c>
      <c r="N4" s="948" t="s">
        <v>246</v>
      </c>
      <c r="O4" s="951" t="s">
        <v>298</v>
      </c>
      <c r="P4" s="350"/>
    </row>
    <row r="5" spans="1:17" s="339" customFormat="1" ht="16.5" thickBot="1" x14ac:dyDescent="0.25">
      <c r="A5" s="961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57"/>
      <c r="M5" s="959"/>
      <c r="N5" s="949"/>
      <c r="O5" s="952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0"/>
      <c r="O6" s="953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 t="str">
        <f>IF('Entries October 2026'!F14-'Entries October 2026'!F13&lt;1,"0",'Entries October 2026'!F14-'Entries October 2026'!F13)</f>
        <v>0</v>
      </c>
      <c r="D14" s="839" t="str">
        <f>IF('Entries October 2026'!C14-'Entries October 2026'!C13&lt;1,"0",'Entries October 2026'!C14-'Entries October 2026'!C13)</f>
        <v>0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 t="str">
        <f t="shared" si="3"/>
        <v>0</v>
      </c>
      <c r="J14" s="740" t="str">
        <f t="shared" si="1"/>
        <v>0</v>
      </c>
      <c r="K14" s="739">
        <f t="shared" si="4"/>
        <v>0</v>
      </c>
      <c r="L14" s="831" t="str">
        <v>0</v>
      </c>
      <c r="M14" s="829" t="str">
        <f t="shared" si="5"/>
        <v>0</v>
      </c>
      <c r="N14" s="829" t="str">
        <f t="shared" si="2"/>
        <v>0</v>
      </c>
      <c r="O14" s="830">
        <f t="shared" si="6"/>
        <v>0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 t="str">
        <f>IF('Entries October 2026'!F15-'Entries October 2026'!F14&lt;1,"0",'Entries October 2026'!F15-'Entries October 2026'!F14)</f>
        <v>0</v>
      </c>
      <c r="D15" s="839" t="str">
        <f>IF('Entries October 2026'!C15-'Entries October 2026'!C14&lt;1,"0",'Entries October 2026'!C15-'Entries October 2026'!C14)</f>
        <v>0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 t="str">
        <f t="shared" si="3"/>
        <v>0</v>
      </c>
      <c r="J15" s="740" t="str">
        <f t="shared" si="1"/>
        <v>0</v>
      </c>
      <c r="K15" s="739">
        <f t="shared" si="4"/>
        <v>0</v>
      </c>
      <c r="L15" s="831" t="str">
        <v>0</v>
      </c>
      <c r="M15" s="829" t="str">
        <f t="shared" si="5"/>
        <v>0</v>
      </c>
      <c r="N15" s="829" t="str">
        <f t="shared" si="2"/>
        <v>0</v>
      </c>
      <c r="O15" s="830">
        <f t="shared" si="6"/>
        <v>0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 t="str">
        <f>IF('Entries October 2026'!F16-'Entries October 2026'!F15&lt;1,"0",'Entries October 2026'!F16-'Entries October 2026'!F15)</f>
        <v>0</v>
      </c>
      <c r="D16" s="839" t="str">
        <f>IF('Entries October 2026'!C16-'Entries October 2026'!C15&lt;1,"0",'Entries October 2026'!C16-'Entries October 2026'!C15)</f>
        <v>0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 t="str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0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 t="str">
        <f>IF('Entries October 2026'!F17-'Entries October 2026'!F16&lt;1,"0",'Entries October 2026'!F17-'Entries October 2026'!F16)</f>
        <v>0</v>
      </c>
      <c r="D17" s="839" t="str">
        <f>IF('Entries October 2026'!C17-'Entries October 2026'!C16&lt;1,"0",'Entries October 2026'!C17-'Entries October 2026'!C16)</f>
        <v>0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 t="str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0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39" t="str">
        <f>IF('Entries October 2026'!C18-'Entries October 2026'!C17&lt;1,"0",'Entries October 2026'!C18-'Entries October 2026'!C17)</f>
        <v>0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 t="str">
        <f t="shared" si="3"/>
        <v>0</v>
      </c>
      <c r="J18" s="740" t="str">
        <f t="shared" si="1"/>
        <v>0</v>
      </c>
      <c r="K18" s="739">
        <f t="shared" si="4"/>
        <v>0</v>
      </c>
      <c r="L18" s="831" t="str">
        <v>0</v>
      </c>
      <c r="M18" s="829" t="str">
        <f t="shared" si="5"/>
        <v>0</v>
      </c>
      <c r="N18" s="829" t="str">
        <f t="shared" si="2"/>
        <v>0</v>
      </c>
      <c r="O18" s="830">
        <f t="shared" si="6"/>
        <v>0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39" t="str">
        <f>IF('Entries October 2026'!C19-'Entries October 2026'!C18&lt;1,"0",'Entries October 2026'!C19-'Entries October 2026'!C18)</f>
        <v>0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 t="str">
        <f t="shared" si="3"/>
        <v>0</v>
      </c>
      <c r="J19" s="740" t="str">
        <f t="shared" si="1"/>
        <v>0</v>
      </c>
      <c r="K19" s="739">
        <f t="shared" si="4"/>
        <v>0</v>
      </c>
      <c r="L19" s="831" t="str">
        <v>0</v>
      </c>
      <c r="M19" s="829" t="str">
        <f t="shared" si="5"/>
        <v>0</v>
      </c>
      <c r="N19" s="829" t="str">
        <f t="shared" si="2"/>
        <v>0</v>
      </c>
      <c r="O19" s="830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39" t="str">
        <f>IF('Entries October 2026'!C20-'Entries October 2026'!C19&lt;1,"0",'Entries October 2026'!C20-'Entries October 2026'!C19)</f>
        <v>0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1" t="str">
        <v>0</v>
      </c>
      <c r="M20" s="829" t="str">
        <f t="shared" si="5"/>
        <v>0</v>
      </c>
      <c r="N20" s="829" t="str">
        <f t="shared" si="2"/>
        <v>0</v>
      </c>
      <c r="O20" s="830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39" t="str">
        <f>IF('Entries October 2026'!C21-'Entries October 2026'!C20&lt;1,"0",'Entries October 2026'!C21-'Entries October 2026'!C20)</f>
        <v>0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1" t="str">
        <v>0</v>
      </c>
      <c r="M21" s="829" t="str">
        <f t="shared" si="5"/>
        <v>0</v>
      </c>
      <c r="N21" s="829" t="str">
        <f t="shared" si="2"/>
        <v>0</v>
      </c>
      <c r="O21" s="830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39" t="str">
        <f>IF('Entries October 2026'!C22-'Entries October 2026'!C21&lt;1,"0",'Entries October 2026'!C22-'Entries October 2026'!C21)</f>
        <v>0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1" t="str">
        <v>0</v>
      </c>
      <c r="M22" s="829" t="str">
        <f t="shared" si="5"/>
        <v>0</v>
      </c>
      <c r="N22" s="829" t="str">
        <f t="shared" si="2"/>
        <v>0</v>
      </c>
      <c r="O22" s="830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39" t="str">
        <f>IF('Entries October 2026'!C23-'Entries October 2026'!C22&lt;1,"0",'Entries October 2026'!C23-'Entries October 2026'!C22)</f>
        <v>0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39" t="str">
        <f>IF('Entries October 2026'!C25-'Entries October 2026'!C24&lt;1,"0",'Entries October 2026'!C25-'Entries October 2026'!C24)</f>
        <v>0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39" t="str">
        <f>IF('Entries October 2026'!C26-'Entries October 2026'!C25&lt;1,"0",'Entries October 2026'!C26-'Entries October 2026'!C25)</f>
        <v>0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1" t="str">
        <v>0</v>
      </c>
      <c r="M26" s="829" t="str">
        <f t="shared" si="5"/>
        <v>0</v>
      </c>
      <c r="N26" s="829" t="str">
        <f t="shared" si="2"/>
        <v>0</v>
      </c>
      <c r="O26" s="830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100.10000000000036</v>
      </c>
      <c r="D38" s="840">
        <f t="shared" si="7"/>
        <v>14882.399999999907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9.5904095904095552</v>
      </c>
      <c r="J38" s="355"/>
      <c r="K38" s="356">
        <f>SUM(K7:K37)</f>
        <v>960</v>
      </c>
      <c r="L38" s="828">
        <f>SUM(L7:L37)</f>
        <v>1741.2228</v>
      </c>
      <c r="M38" s="834">
        <f>IF(L38=0,"0",(K38/L38))</f>
        <v>0.55133668132533065</v>
      </c>
      <c r="N38" s="834">
        <f>IF(L38=0,"0",(D38/L38))</f>
        <v>8.5470969022458849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14.300000000000052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99" priority="13" operator="greaterThan">
      <formula>24</formula>
    </cfRule>
  </conditionalFormatting>
  <conditionalFormatting sqref="M7:N37">
    <cfRule type="cellIs" dxfId="98" priority="9" operator="greaterThan">
      <formula>7.2</formula>
    </cfRule>
    <cfRule type="cellIs" dxfId="97" priority="11" operator="between">
      <formula>0</formula>
      <formula>7.2</formula>
    </cfRule>
  </conditionalFormatting>
  <conditionalFormatting sqref="M7:N38">
    <cfRule type="cellIs" dxfId="96" priority="1" operator="lessThan">
      <formula>7.2</formula>
    </cfRule>
    <cfRule type="cellIs" dxfId="95" priority="2" operator="greaterThan">
      <formula>7.2</formula>
    </cfRule>
    <cfRule type="cellIs" dxfId="94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4"/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955"/>
      <c r="U1" s="955"/>
      <c r="V1" s="955"/>
      <c r="W1" s="955"/>
      <c r="X1" s="955"/>
      <c r="Y1" s="955"/>
      <c r="Z1" s="955"/>
      <c r="AA1" s="955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4" t="s">
        <v>7</v>
      </c>
      <c r="C4" s="966" t="s">
        <v>105</v>
      </c>
      <c r="D4" s="971" t="s">
        <v>106</v>
      </c>
      <c r="E4" s="966" t="s">
        <v>107</v>
      </c>
      <c r="F4" s="971" t="s">
        <v>239</v>
      </c>
      <c r="G4" s="971" t="s">
        <v>108</v>
      </c>
      <c r="H4" s="971" t="s">
        <v>161</v>
      </c>
      <c r="I4" s="966" t="s">
        <v>207</v>
      </c>
      <c r="J4" s="966" t="s">
        <v>109</v>
      </c>
      <c r="K4" s="966" t="s">
        <v>174</v>
      </c>
      <c r="L4" s="966" t="s">
        <v>173</v>
      </c>
      <c r="M4" s="966" t="s">
        <v>103</v>
      </c>
      <c r="N4" s="48"/>
      <c r="O4" s="48"/>
      <c r="P4" s="48"/>
      <c r="Q4" s="48"/>
      <c r="R4" s="971" t="s">
        <v>110</v>
      </c>
      <c r="S4" s="971" t="s">
        <v>240</v>
      </c>
      <c r="T4" s="48"/>
      <c r="U4" s="966" t="s">
        <v>153</v>
      </c>
      <c r="V4" s="48"/>
      <c r="W4" s="48"/>
      <c r="X4" s="966" t="s">
        <v>175</v>
      </c>
      <c r="Y4" s="966" t="s">
        <v>176</v>
      </c>
      <c r="Z4" s="964" t="s">
        <v>247</v>
      </c>
      <c r="AA4" s="968" t="s">
        <v>243</v>
      </c>
      <c r="AB4" s="962" t="s">
        <v>76</v>
      </c>
    </row>
    <row r="5" spans="1:31" s="300" customFormat="1" ht="47.25" customHeight="1" x14ac:dyDescent="0.2">
      <c r="B5" s="975"/>
      <c r="C5" s="973"/>
      <c r="D5" s="972"/>
      <c r="E5" s="967"/>
      <c r="F5" s="972"/>
      <c r="G5" s="972"/>
      <c r="H5" s="972"/>
      <c r="I5" s="967"/>
      <c r="J5" s="967"/>
      <c r="K5" s="967"/>
      <c r="L5" s="967"/>
      <c r="M5" s="967"/>
      <c r="N5" s="50" t="s">
        <v>111</v>
      </c>
      <c r="O5" s="50" t="s">
        <v>112</v>
      </c>
      <c r="P5" s="50" t="s">
        <v>242</v>
      </c>
      <c r="Q5" s="50" t="s">
        <v>113</v>
      </c>
      <c r="R5" s="972"/>
      <c r="S5" s="972"/>
      <c r="T5" s="49" t="s">
        <v>99</v>
      </c>
      <c r="U5" s="970"/>
      <c r="V5" s="80" t="s">
        <v>156</v>
      </c>
      <c r="W5" s="80" t="s">
        <v>157</v>
      </c>
      <c r="X5" s="967"/>
      <c r="Y5" s="967"/>
      <c r="Z5" s="965"/>
      <c r="AA5" s="969"/>
      <c r="AB5" s="963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 t="str">
        <f>IF('Entries October 2026'!O14-'Entries October 2026'!O13&lt;1,"0",'Entries October 2026'!O14-'Entries October 2026'!O13)</f>
        <v>0</v>
      </c>
      <c r="E14" s="693" t="str">
        <f>IF('Entries October 2026'!P14-'Entries October 2026'!P13&lt;1,"0",'Entries October 2026'!P14-'Entries October 2026'!P13)</f>
        <v>0</v>
      </c>
      <c r="F14" s="693" t="str">
        <f>IF('Entries October 2026'!V14-'Entries October 2026'!V13&lt;1,"0",'Entries October 2026'!V14-'Entries October 2026'!V13)</f>
        <v>0</v>
      </c>
      <c r="G14" s="693">
        <f t="shared" si="0"/>
        <v>0</v>
      </c>
      <c r="H14" s="693">
        <f>IF('Entries October 2026'!Q14-'Entries October 2026'!Q13&lt;1,0,'Entries October 2026'!Q14-'Entries October 2026'!Q13)</f>
        <v>0</v>
      </c>
      <c r="I14" s="693">
        <f>IF('Entries October 2026'!AG14-'Entries October 2026'!AG13&lt;1,0,'Entries October 2026'!AG14-'Entries October 2026'!AG13)</f>
        <v>0</v>
      </c>
      <c r="J14" s="693" t="str">
        <f>IF('Entries October 2026'!S14-'Entries October 2026'!S13&lt;1,"0",'Entries October 2026'!S14-'Entries October 2026'!S13)</f>
        <v>0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 t="str">
        <f>IF('Entries October 2026'!U14-'Entries October 2026'!U13&lt;1,"0",'Entries October 2026'!U14-'Entries October 2026'!U13)</f>
        <v>0</v>
      </c>
      <c r="N14" s="693" t="str">
        <f>IF('Entries October 2026'!X14-'Entries October 2026'!X13&lt;1,"0",'Entries October 2026'!X14-'Entries October 2026'!X13)</f>
        <v>0</v>
      </c>
      <c r="O14" s="693" t="str">
        <f>IF('Entries October 2026'!Y14-'Entries October 2026'!Y13&lt;1,"0",'Entries October 2026'!Y14-'Entries October 2026'!Y13)</f>
        <v>0</v>
      </c>
      <c r="P14" s="693" t="str">
        <f>IF('Entries October 2026'!AC14-'Entries October 2026'!AC13&lt;1,"0",'Entries October 2026'!AC14-'Entries October 2026'!AC13)</f>
        <v>0</v>
      </c>
      <c r="Q14" s="693" t="str">
        <f>IF('Entries October 2026'!Z14-'Entries October 2026'!Z13&lt;1,"0",'Entries October 2026'!Z14-'Entries October 2026'!Z13)</f>
        <v>0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0</v>
      </c>
      <c r="T14" s="692">
        <f t="shared" si="1"/>
        <v>0</v>
      </c>
      <c r="U14" s="693" t="str">
        <f>IF('Entries October 2026'!AC14-'Entries October 2026'!AC13&lt;1,"0",'Entries October 2026'!AC14-'Entries October 2026'!AC13)</f>
        <v>0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0</v>
      </c>
      <c r="AA14" s="330" t="str">
        <v>0</v>
      </c>
      <c r="AB14" s="331" t="str">
        <f t="shared" si="3"/>
        <v>0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 t="str">
        <f>IF('Entries October 2026'!O15-'Entries October 2026'!O14&lt;1,"0",'Entries October 2026'!O15-'Entries October 2026'!O14)</f>
        <v>0</v>
      </c>
      <c r="E15" s="693" t="str">
        <f>IF('Entries October 2026'!P15-'Entries October 2026'!P14&lt;1,"0",'Entries October 2026'!P15-'Entries October 2026'!P14)</f>
        <v>0</v>
      </c>
      <c r="F15" s="693" t="str">
        <f>IF('Entries October 2026'!V15-'Entries October 2026'!V14&lt;1,"0",'Entries October 2026'!V15-'Entries October 2026'!V14)</f>
        <v>0</v>
      </c>
      <c r="G15" s="693">
        <f t="shared" si="0"/>
        <v>0</v>
      </c>
      <c r="H15" s="693">
        <f>IF('Entries October 2026'!Q15-'Entries October 2026'!Q14&lt;1,0,'Entries October 2026'!Q15-'Entries October 2026'!Q14)</f>
        <v>0</v>
      </c>
      <c r="I15" s="693">
        <f>IF('Entries October 2026'!AG15-'Entries October 2026'!AG14&lt;1,0,'Entries October 2026'!AG15-'Entries October 2026'!AG14)</f>
        <v>0</v>
      </c>
      <c r="J15" s="693" t="str">
        <f>IF('Entries October 2026'!S15-'Entries October 2026'!S14&lt;1,"0",'Entries October 2026'!S15-'Entries October 2026'!S14)</f>
        <v>0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 t="str">
        <f>IF('Entries October 2026'!U15-'Entries October 2026'!U14&lt;1,"0",'Entries October 2026'!U15-'Entries October 2026'!U14)</f>
        <v>0</v>
      </c>
      <c r="N15" s="693" t="str">
        <f>IF('Entries October 2026'!X15-'Entries October 2026'!X14&lt;1,"0",'Entries October 2026'!X15-'Entries October 2026'!X14)</f>
        <v>0</v>
      </c>
      <c r="O15" s="693" t="str">
        <f>IF('Entries October 2026'!Y15-'Entries October 2026'!Y14&lt;1,"0",'Entries October 2026'!Y15-'Entries October 2026'!Y14)</f>
        <v>0</v>
      </c>
      <c r="P15" s="693" t="str">
        <f>IF('Entries October 2026'!AC15-'Entries October 2026'!AC14&lt;1,"0",'Entries October 2026'!AC15-'Entries October 2026'!AC14)</f>
        <v>0</v>
      </c>
      <c r="Q15" s="693" t="str">
        <f>IF('Entries October 2026'!Z15-'Entries October 2026'!Z14&lt;1,"0",'Entries October 2026'!Z15-'Entries October 2026'!Z14)</f>
        <v>0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0</v>
      </c>
      <c r="T15" s="692">
        <f t="shared" si="1"/>
        <v>0</v>
      </c>
      <c r="U15" s="693" t="str">
        <f>IF('Entries October 2026'!AC15-'Entries October 2026'!AC14&lt;1,"0",'Entries October 2026'!AC15-'Entries October 2026'!AC14)</f>
        <v>0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0</v>
      </c>
      <c r="AA15" s="330" t="str">
        <v>0</v>
      </c>
      <c r="AB15" s="331" t="str">
        <f t="shared" si="3"/>
        <v>0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 t="str">
        <f>IF('Entries October 2026'!O16-'Entries October 2026'!O15&lt;1,"0",'Entries October 2026'!O16-'Entries October 2026'!O15)</f>
        <v>0</v>
      </c>
      <c r="E16" s="693" t="str">
        <f>IF('Entries October 2026'!P16-'Entries October 2026'!P15&lt;1,"0",'Entries October 2026'!P16-'Entries October 2026'!P15)</f>
        <v>0</v>
      </c>
      <c r="F16" s="693" t="str">
        <f>IF('Entries October 2026'!V16-'Entries October 2026'!V15&lt;1,"0",'Entries October 2026'!V16-'Entries October 2026'!V15)</f>
        <v>0</v>
      </c>
      <c r="G16" s="693">
        <f t="shared" si="0"/>
        <v>0</v>
      </c>
      <c r="H16" s="693">
        <f>IF('Entries October 2026'!Q16-'Entries October 2026'!Q15&lt;1,0,'Entries October 2026'!Q16-'Entries October 2026'!Q15)</f>
        <v>0</v>
      </c>
      <c r="I16" s="693">
        <f>IF('Entries October 2026'!AG16-'Entries October 2026'!AG15&lt;1,0,'Entries October 2026'!AG16-'Entries October 2026'!AG15)</f>
        <v>0</v>
      </c>
      <c r="J16" s="693" t="str">
        <f>IF('Entries October 2026'!S16-'Entries October 2026'!S15&lt;1,"0",'Entries October 2026'!S16-'Entries October 2026'!S15)</f>
        <v>0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 t="str">
        <f>IF('Entries October 2026'!X16-'Entries October 2026'!X15&lt;1,"0",'Entries October 2026'!X16-'Entries October 2026'!X15)</f>
        <v>0</v>
      </c>
      <c r="O16" s="693" t="str">
        <f>IF('Entries October 2026'!Y16-'Entries October 2026'!Y15&lt;1,"0",'Entries October 2026'!Y16-'Entries October 2026'!Y15)</f>
        <v>0</v>
      </c>
      <c r="P16" s="693" t="str">
        <f>IF('Entries October 2026'!AC16-'Entries October 2026'!AC15&lt;1,"0",'Entries October 2026'!AC16-'Entries October 2026'!AC15)</f>
        <v>0</v>
      </c>
      <c r="Q16" s="693" t="str">
        <f>IF('Entries October 2026'!Z16-'Entries October 2026'!Z15&lt;1,"0",'Entries October 2026'!Z16-'Entries October 2026'!Z15)</f>
        <v>0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0</v>
      </c>
      <c r="T16" s="692">
        <f t="shared" si="1"/>
        <v>0</v>
      </c>
      <c r="U16" s="693" t="str">
        <f>IF('Entries October 2026'!AC16-'Entries October 2026'!AC15&lt;1,"0",'Entries October 2026'!AC16-'Entries October 2026'!AC15)</f>
        <v>0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0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 t="str">
        <f>IF('Entries October 2026'!P17-'Entries October 2026'!P16&lt;1,"0",'Entries October 2026'!P17-'Entries October 2026'!P16)</f>
        <v>0</v>
      </c>
      <c r="F17" s="693" t="str">
        <f>IF('Entries October 2026'!V17-'Entries October 2026'!V16&lt;1,"0",'Entries October 2026'!V17-'Entries October 2026'!V16)</f>
        <v>0</v>
      </c>
      <c r="G17" s="693">
        <f t="shared" si="0"/>
        <v>0</v>
      </c>
      <c r="H17" s="693">
        <f>IF('Entries October 2026'!Q17-'Entries October 2026'!Q16&lt;1,0,'Entries October 2026'!Q17-'Entries October 2026'!Q16)</f>
        <v>0</v>
      </c>
      <c r="I17" s="693">
        <f>IF('Entries October 2026'!AG17-'Entries October 2026'!AG16&lt;1,0,'Entries October 2026'!AG17-'Entries October 2026'!AG16)</f>
        <v>0</v>
      </c>
      <c r="J17" s="693" t="str">
        <f>IF('Entries October 2026'!S17-'Entries October 2026'!S16&lt;1,"0",'Entries October 2026'!S17-'Entries October 2026'!S16)</f>
        <v>0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 t="str">
        <f>IF('Entries October 2026'!Z17-'Entries October 2026'!Z16&lt;1,"0",'Entries October 2026'!Z17-'Entries October 2026'!Z16)</f>
        <v>0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0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808</v>
      </c>
      <c r="E38" s="303">
        <f>SUM(E7:E37)</f>
        <v>795</v>
      </c>
      <c r="F38" s="303">
        <f>SUM(F7:F37)</f>
        <v>893</v>
      </c>
      <c r="G38" s="304">
        <f>SUM(G7:G37)</f>
        <v>710</v>
      </c>
      <c r="H38" s="303">
        <f t="shared" si="5"/>
        <v>1139</v>
      </c>
      <c r="I38" s="303"/>
      <c r="J38" s="303">
        <f t="shared" si="5"/>
        <v>926</v>
      </c>
      <c r="K38" s="303"/>
      <c r="L38" s="303">
        <f t="shared" si="5"/>
        <v>0</v>
      </c>
      <c r="M38" s="303">
        <f>SUM(M7:M37)</f>
        <v>12</v>
      </c>
      <c r="N38" s="303">
        <f t="shared" si="5"/>
        <v>230</v>
      </c>
      <c r="O38" s="303">
        <f t="shared" si="5"/>
        <v>482</v>
      </c>
      <c r="P38" s="303">
        <f>SUM(P7:P37)</f>
        <v>82</v>
      </c>
      <c r="Q38" s="303">
        <f>SUM(Q7:Q37)</f>
        <v>92</v>
      </c>
      <c r="R38" s="303">
        <f>SUM(R7:R34)</f>
        <v>0</v>
      </c>
      <c r="S38" s="304">
        <f>SUM(S7:S37)</f>
        <v>7100</v>
      </c>
      <c r="T38" s="304">
        <f>SUM(T7:T37)</f>
        <v>724</v>
      </c>
      <c r="U38" s="303">
        <f>SUM(U7:U37)</f>
        <v>82</v>
      </c>
      <c r="V38" s="303">
        <f>SUM(V7:V37)</f>
        <v>0</v>
      </c>
      <c r="W38" s="303"/>
      <c r="X38" s="303"/>
      <c r="Y38" s="303"/>
      <c r="Z38" s="332">
        <f>SUM(Z7:Z37)</f>
        <v>1603</v>
      </c>
      <c r="AA38" s="332">
        <f>SUM(AA7:AA37)</f>
        <v>1741.2228</v>
      </c>
      <c r="AB38" s="331">
        <f>IF(AA38=0,"0",(Z38*10/AA38))</f>
        <v>9.2061739600469288</v>
      </c>
      <c r="AC38" s="321">
        <v>10.199999999999999</v>
      </c>
      <c r="AD38" s="340">
        <f>AB38/AC38*100</f>
        <v>90.256607451440487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177760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2810.3856000000001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3089.3555999999999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2059.5704000000001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5148.9259999999995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93" priority="1" operator="lessThan">
      <formula>10.2</formula>
    </cfRule>
    <cfRule type="cellIs" dxfId="92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6" t="s">
        <v>303</v>
      </c>
      <c r="B1" s="977"/>
      <c r="C1" s="977"/>
      <c r="D1" s="978"/>
      <c r="E1" s="977"/>
      <c r="F1" s="977"/>
      <c r="G1" s="979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0" t="s">
        <v>7</v>
      </c>
      <c r="B4" s="39" t="s">
        <v>46</v>
      </c>
      <c r="C4" s="360" t="s">
        <v>47</v>
      </c>
      <c r="D4" s="361" t="s">
        <v>285</v>
      </c>
      <c r="E4" s="980" t="s">
        <v>245</v>
      </c>
      <c r="F4" s="983" t="s">
        <v>243</v>
      </c>
      <c r="G4" s="986" t="s">
        <v>253</v>
      </c>
      <c r="H4" s="989"/>
    </row>
    <row r="5" spans="1:10" ht="15.75" x14ac:dyDescent="0.25">
      <c r="A5" s="991"/>
      <c r="B5" s="34" t="s">
        <v>48</v>
      </c>
      <c r="C5" s="361" t="s">
        <v>49</v>
      </c>
      <c r="D5" s="361" t="s">
        <v>49</v>
      </c>
      <c r="E5" s="981"/>
      <c r="F5" s="984"/>
      <c r="G5" s="987"/>
      <c r="H5" s="989"/>
    </row>
    <row r="6" spans="1:10" ht="16.5" thickBot="1" x14ac:dyDescent="0.3">
      <c r="A6" s="992"/>
      <c r="B6" s="40"/>
      <c r="C6" s="362"/>
      <c r="D6" s="361"/>
      <c r="E6" s="982"/>
      <c r="F6" s="985"/>
      <c r="G6" s="988"/>
      <c r="H6" s="989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0</v>
      </c>
      <c r="C14" s="743" t="str">
        <f>'Utility Analysis October 2026'!G17</f>
        <v>0</v>
      </c>
      <c r="D14" s="744">
        <f>'Utility Analysis October 2026'!E17</f>
        <v>0</v>
      </c>
      <c r="E14" s="745">
        <f t="shared" si="0"/>
        <v>0</v>
      </c>
      <c r="F14" s="746" t="str">
        <f>'PROD.FIG. '!H12</f>
        <v>0</v>
      </c>
      <c r="G14" s="336" t="str">
        <f t="shared" si="1"/>
        <v>0</v>
      </c>
      <c r="J14" s="30"/>
    </row>
    <row r="15" spans="1:10" x14ac:dyDescent="0.2">
      <c r="A15" s="686">
        <v>9</v>
      </c>
      <c r="B15" s="742">
        <f>'Utility Analysis October 2026'!D18</f>
        <v>0</v>
      </c>
      <c r="C15" s="743">
        <f>'Utility Analysis October 2026'!G18</f>
        <v>0</v>
      </c>
      <c r="D15" s="744">
        <f>'Utility Analysis October 2026'!E18</f>
        <v>0</v>
      </c>
      <c r="E15" s="745">
        <f t="shared" si="0"/>
        <v>0</v>
      </c>
      <c r="F15" s="746" t="str">
        <f>'PROD.FIG. '!H13</f>
        <v>0</v>
      </c>
      <c r="G15" s="336" t="str">
        <f t="shared" si="1"/>
        <v>0</v>
      </c>
      <c r="J15" s="30"/>
    </row>
    <row r="16" spans="1:10" x14ac:dyDescent="0.2">
      <c r="A16" s="686">
        <v>10</v>
      </c>
      <c r="B16" s="742">
        <f>'Utility Analysis October 2026'!D19</f>
        <v>0</v>
      </c>
      <c r="C16" s="743">
        <f>'Utility Analysis October 2026'!G19</f>
        <v>0</v>
      </c>
      <c r="D16" s="744">
        <f>'Utility Analysis October 2026'!E19</f>
        <v>0</v>
      </c>
      <c r="E16" s="745">
        <f t="shared" si="0"/>
        <v>0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0</v>
      </c>
      <c r="C17" s="743">
        <f>'Utility Analysis October 2026'!G20</f>
        <v>0</v>
      </c>
      <c r="D17" s="744">
        <f>'Utility Analysis October 2026'!E20</f>
        <v>0</v>
      </c>
      <c r="E17" s="745">
        <f t="shared" si="0"/>
        <v>0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0</v>
      </c>
      <c r="C18" s="762">
        <f>'Utility Analysis October 2026'!G21</f>
        <v>0</v>
      </c>
      <c r="D18" s="763">
        <f>'Utility Analysis October 2026'!E21</f>
        <v>0</v>
      </c>
      <c r="E18" s="764">
        <f t="shared" si="0"/>
        <v>0</v>
      </c>
      <c r="F18" s="765" t="str">
        <f>'PROD.FIG. '!H16</f>
        <v>0</v>
      </c>
      <c r="G18" s="456" t="str">
        <f t="shared" si="1"/>
        <v>0</v>
      </c>
      <c r="J18" s="30"/>
    </row>
    <row r="19" spans="1:10" x14ac:dyDescent="0.2">
      <c r="A19" s="756">
        <v>13</v>
      </c>
      <c r="B19" s="761">
        <f>'Utility Analysis October 2026'!D22</f>
        <v>0</v>
      </c>
      <c r="C19" s="762">
        <f>'Utility Analysis October 2026'!G22</f>
        <v>0</v>
      </c>
      <c r="D19" s="763">
        <f>'Utility Analysis October 2026'!E22</f>
        <v>0</v>
      </c>
      <c r="E19" s="764">
        <f t="shared" si="0"/>
        <v>0</v>
      </c>
      <c r="F19" s="765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0</v>
      </c>
      <c r="C25" s="762">
        <f>'Utility Analysis October 2026'!G28</f>
        <v>0</v>
      </c>
      <c r="D25" s="763">
        <f>'Utility Analysis October 2026'!E28</f>
        <v>0</v>
      </c>
      <c r="E25" s="764">
        <f t="shared" si="0"/>
        <v>0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0</v>
      </c>
      <c r="C26" s="762">
        <f>'Utility Analysis October 2026'!G29</f>
        <v>0</v>
      </c>
      <c r="D26" s="763">
        <f>'Utility Analysis October 2026'!E29</f>
        <v>0</v>
      </c>
      <c r="E26" s="764">
        <f t="shared" si="0"/>
        <v>0</v>
      </c>
      <c r="F26" s="765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40898</v>
      </c>
      <c r="C38" s="308">
        <f>SUM(C7:C37)</f>
        <v>0</v>
      </c>
      <c r="D38" s="308">
        <f>SUM(D7:D37)</f>
        <v>8093.8</v>
      </c>
      <c r="E38" s="337">
        <f>SUM(E7:E37)</f>
        <v>48991.799999999996</v>
      </c>
      <c r="F38" s="358">
        <f>SUM(F7:F37)</f>
        <v>1741.2228</v>
      </c>
      <c r="G38" s="338">
        <f>IF(F38=0,"0",(E38/F38))</f>
        <v>28.136433775160764</v>
      </c>
      <c r="H38" s="335">
        <v>22</v>
      </c>
      <c r="I38" s="340">
        <f>G38/H38*100</f>
        <v>127.89288079618528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91" priority="1" operator="lessThan">
      <formula>22</formula>
    </cfRule>
  </conditionalFormatting>
  <conditionalFormatting sqref="G7:G38">
    <cfRule type="cellIs" dxfId="90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3" t="s">
        <v>302</v>
      </c>
      <c r="B1" s="955"/>
      <c r="C1" s="955"/>
      <c r="D1" s="955"/>
      <c r="E1" s="955"/>
      <c r="F1" s="955"/>
      <c r="G1" s="955"/>
      <c r="H1" s="955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 t="str">
        <v>0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 t="str">
        <v>0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 t="str">
        <v>0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1741.2228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06" t="s">
        <v>267</v>
      </c>
      <c r="J3" s="1007"/>
      <c r="K3" s="1008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9" t="s">
        <v>262</v>
      </c>
      <c r="J4" s="1010"/>
      <c r="K4" s="1011"/>
      <c r="M4" s="417"/>
      <c r="N4" s="417"/>
      <c r="O4" s="418"/>
      <c r="P4" s="418"/>
      <c r="Q4" s="1021" t="s">
        <v>283</v>
      </c>
      <c r="R4" s="1021"/>
      <c r="S4" s="1021"/>
      <c r="T4" s="1021"/>
      <c r="U4" s="191"/>
      <c r="V4" s="417"/>
      <c r="W4" s="191"/>
      <c r="X4" s="191"/>
    </row>
    <row r="5" spans="1:24" ht="15.75" customHeight="1" thickBot="1" x14ac:dyDescent="0.25">
      <c r="A5" s="942" t="s">
        <v>7</v>
      </c>
      <c r="B5" s="944" t="s">
        <v>251</v>
      </c>
      <c r="C5" s="944" t="s">
        <v>282</v>
      </c>
      <c r="D5" s="1000" t="s">
        <v>279</v>
      </c>
      <c r="E5" s="1000" t="s">
        <v>280</v>
      </c>
      <c r="F5" s="998" t="s">
        <v>243</v>
      </c>
      <c r="G5" s="995" t="s">
        <v>249</v>
      </c>
      <c r="I5" s="419" t="s">
        <v>263</v>
      </c>
      <c r="J5" s="420" t="s">
        <v>264</v>
      </c>
      <c r="K5" s="421" t="s">
        <v>265</v>
      </c>
      <c r="M5" s="1012" t="s">
        <v>266</v>
      </c>
      <c r="N5" s="1013"/>
      <c r="O5" s="1014"/>
      <c r="P5" s="422"/>
      <c r="Q5" s="1015" t="s">
        <v>7</v>
      </c>
      <c r="R5" s="1017" t="s">
        <v>267</v>
      </c>
      <c r="S5" s="1018"/>
      <c r="T5" s="452" t="s">
        <v>268</v>
      </c>
      <c r="U5" s="423" t="s">
        <v>269</v>
      </c>
      <c r="V5" s="1019" t="s">
        <v>277</v>
      </c>
      <c r="W5" s="1002" t="s">
        <v>270</v>
      </c>
      <c r="X5" s="1004" t="s">
        <v>271</v>
      </c>
    </row>
    <row r="6" spans="1:24" ht="28.5" customHeight="1" thickBot="1" x14ac:dyDescent="0.25">
      <c r="A6" s="994"/>
      <c r="B6" s="997"/>
      <c r="C6" s="997"/>
      <c r="D6" s="1001"/>
      <c r="E6" s="1001"/>
      <c r="F6" s="999"/>
      <c r="G6" s="996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6"/>
      <c r="R6" s="448" t="s">
        <v>274</v>
      </c>
      <c r="S6" s="449" t="s">
        <v>275</v>
      </c>
      <c r="T6" s="453" t="s">
        <v>275</v>
      </c>
      <c r="U6" s="429" t="s">
        <v>275</v>
      </c>
      <c r="V6" s="1020"/>
      <c r="W6" s="1003"/>
      <c r="X6" s="1005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1142</v>
      </c>
      <c r="F8" s="717">
        <v>283.536</v>
      </c>
      <c r="G8" s="336">
        <f t="shared" ref="G8:G37" si="1">IF(F8=0,"0",(E8/F8))</f>
        <v>4.0277072399977429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1583</v>
      </c>
      <c r="F11" s="769">
        <v>326.50200000000001</v>
      </c>
      <c r="G11" s="336">
        <f t="shared" si="1"/>
        <v>4.8483623377498448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1504</v>
      </c>
      <c r="F12" s="769">
        <v>357.19200000000001</v>
      </c>
      <c r="G12" s="336">
        <f>IF(F12=0,"0",(E12/F12))</f>
        <v>4.2106206186028805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1416</v>
      </c>
      <c r="F13" s="717">
        <v>406.428</v>
      </c>
      <c r="G13" s="336">
        <f t="shared" si="1"/>
        <v>3.4840119283120257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 t="str">
        <f>IF('Entries October 2026'!N14-'Entries October 2026'!N13&lt;1,"0",'Entries October 2026'!N14-'Entries October 2026'!N13)</f>
        <v>0</v>
      </c>
      <c r="C14" s="716" t="str">
        <f>IF('Entries October 2026'!L14-'Entries October 2026'!L13&lt;1,"0",'Entries October 2026'!L14-'Entries October 2026'!L13)</f>
        <v>0</v>
      </c>
      <c r="D14" s="716" t="str">
        <f>IF('Entries October 2026'!M14-'Entries October 2026'!M13&lt;1,"0",'Entries October 2026'!M14-'Entries October 2026'!M13)</f>
        <v>0</v>
      </c>
      <c r="E14" s="716">
        <v>0</v>
      </c>
      <c r="F14" s="717">
        <v>0</v>
      </c>
      <c r="G14" s="336" t="str">
        <f t="shared" si="1"/>
        <v>0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 t="str">
        <f>IF('Entries October 2026'!N15-'Entries October 2026'!N14&lt;1,"0",'Entries October 2026'!N15-'Entries October 2026'!N14)</f>
        <v>0</v>
      </c>
      <c r="C15" s="716" t="str">
        <f>IF('Entries October 2026'!L15-'Entries October 2026'!L14&lt;1,"0",'Entries October 2026'!L15-'Entries October 2026'!L14)</f>
        <v>0</v>
      </c>
      <c r="D15" s="716" t="str">
        <f>IF('Entries October 2026'!M15-'Entries October 2026'!M14&lt;1,"0",'Entries October 2026'!M15-'Entries October 2026'!M14)</f>
        <v>0</v>
      </c>
      <c r="E15" s="716">
        <v>0</v>
      </c>
      <c r="F15" s="717">
        <v>0</v>
      </c>
      <c r="G15" s="336" t="str">
        <f t="shared" si="1"/>
        <v>0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 t="str">
        <f>IF('Entries October 2026'!N16-'Entries October 2026'!N15&lt;1,"0",'Entries October 2026'!N16-'Entries October 2026'!N15)</f>
        <v>0</v>
      </c>
      <c r="C16" s="716" t="str">
        <f>IF('Entries October 2026'!L16-'Entries October 2026'!L15&lt;1,"0",'Entries October 2026'!L16-'Entries October 2026'!L15)</f>
        <v>0</v>
      </c>
      <c r="D16" s="716" t="str">
        <f>IF('Entries October 2026'!M16-'Entries October 2026'!M15&lt;1,"0",'Entries October 2026'!M16-'Entries October 2026'!M15)</f>
        <v>0</v>
      </c>
      <c r="E16" s="716">
        <v>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 t="str">
        <f>IF('Entries October 2026'!N18-'Entries October 2026'!N17&lt;1,"0",'Entries October 2026'!N18-'Entries October 2026'!N17)</f>
        <v>0</v>
      </c>
      <c r="C18" s="768" t="str">
        <f>IF('Entries October 2026'!L18-'Entries October 2026'!L17&lt;1,"0",'Entries October 2026'!L18-'Entries October 2026'!L17)</f>
        <v>0</v>
      </c>
      <c r="D18" s="768" t="str">
        <f>IF('Entries October 2026'!M18-'Entries October 2026'!M17&lt;1,"0",'Entries October 2026'!M18-'Entries October 2026'!M17)</f>
        <v>0</v>
      </c>
      <c r="E18" s="768">
        <v>0</v>
      </c>
      <c r="F18" s="769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 t="str">
        <f>IF('Entries October 2026'!N19-'Entries October 2026'!N18&lt;1,"0",'Entries October 2026'!N19-'Entries October 2026'!N18)</f>
        <v>0</v>
      </c>
      <c r="C19" s="768" t="str">
        <f>IF('Entries October 2026'!L19-'Entries October 2026'!L18&lt;1,"0",'Entries October 2026'!L19-'Entries October 2026'!L18)</f>
        <v>0</v>
      </c>
      <c r="D19" s="768" t="str">
        <f>IF('Entries October 2026'!M19-'Entries October 2026'!M18&lt;1,"0",'Entries October 2026'!M19-'Entries October 2026'!M18)</f>
        <v>0</v>
      </c>
      <c r="E19" s="768">
        <v>0</v>
      </c>
      <c r="F19" s="769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 t="str">
        <f>IF('Entries October 2026'!N26-'Entries October 2026'!N25&lt;1,"0",'Entries October 2026'!N26-'Entries October 2026'!N25)</f>
        <v>0</v>
      </c>
      <c r="C26" s="768" t="str">
        <f>IF('Entries October 2026'!L26-'Entries October 2026'!L25&lt;1,"0",'Entries October 2026'!L26-'Entries October 2026'!L25)</f>
        <v>0</v>
      </c>
      <c r="D26" s="768" t="str">
        <f>IF('Entries October 2026'!M26-'Entries October 2026'!M25&lt;1,"0",'Entries October 2026'!M26-'Entries October 2026'!M25)</f>
        <v>0</v>
      </c>
      <c r="E26" s="768">
        <v>0</v>
      </c>
      <c r="F26" s="769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941.18000000000757</v>
      </c>
      <c r="C38" s="713">
        <f>SUM(C7:C37)</f>
        <v>2219.2900000000081</v>
      </c>
      <c r="D38" s="713">
        <f>SUM(D7:D37)</f>
        <v>7224.1600000000326</v>
      </c>
      <c r="E38" s="713">
        <f>SUM(E7:E37)</f>
        <v>7245</v>
      </c>
      <c r="F38" s="714">
        <f>SUM(F7:F37)</f>
        <v>1741.2228</v>
      </c>
      <c r="G38" s="345">
        <f>IF(F38=0,"0",(E38/F38))</f>
        <v>4.160869016877105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89" priority="1" operator="greaterThan">
      <formula>5</formula>
    </cfRule>
    <cfRule type="cellIs" dxfId="88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4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4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0</v>
      </c>
      <c r="J8" s="99">
        <f>'Daily KPIs'!J8</f>
        <v>0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20813</v>
      </c>
      <c r="AH8" s="293">
        <v>96325</v>
      </c>
      <c r="AI8" s="294">
        <f>AG8-AH8</f>
        <v>-75512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0</v>
      </c>
      <c r="J9" s="99">
        <f>'Daily KPIs'!J9</f>
        <v>0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1741.2228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>
        <f>'Daily KPIs'!I10</f>
        <v>0</v>
      </c>
      <c r="I10" s="163">
        <f>'Daily KPIs'!J10</f>
        <v>0</v>
      </c>
      <c r="J10" s="163">
        <f>'Daily KPIs'!J10</f>
        <v>0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2">
        <f>'Daily KPIs'!Y10</f>
        <v>0</v>
      </c>
      <c r="Z10" s="1022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 t="str">
        <f>+'Water '!$D14</f>
        <v>0</v>
      </c>
      <c r="J16" s="110" t="str">
        <f>+'Water '!$D15</f>
        <v>0</v>
      </c>
      <c r="K16" s="110" t="str">
        <f>+'Water '!$D16</f>
        <v>0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808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 t="str">
        <f>+'Water '!$E14</f>
        <v>0</v>
      </c>
      <c r="J17" s="114" t="str">
        <f>+'Water '!$E15</f>
        <v>0</v>
      </c>
      <c r="K17" s="114" t="str">
        <f>+'Water '!$E16</f>
        <v>0</v>
      </c>
      <c r="L17" s="114" t="str">
        <f>+'Water '!$E17</f>
        <v>0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795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0</v>
      </c>
      <c r="J18" s="118">
        <f t="shared" si="0"/>
        <v>0</v>
      </c>
      <c r="K18" s="118">
        <f t="shared" si="0"/>
        <v>0</v>
      </c>
      <c r="L18" s="118">
        <f t="shared" si="0"/>
        <v>0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1603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0</v>
      </c>
      <c r="J21" s="119">
        <f t="shared" si="1"/>
        <v>0</v>
      </c>
      <c r="K21" s="119">
        <f t="shared" si="1"/>
        <v>0</v>
      </c>
      <c r="L21" s="119">
        <f t="shared" si="1"/>
        <v>0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651.89</v>
      </c>
      <c r="AH21" s="225">
        <f>AG24+AG37+AG28</f>
        <v>2157</v>
      </c>
      <c r="AI21" s="271"/>
      <c r="AJ21" s="272">
        <f>(AH21*10)/AG9</f>
        <v>12.387846058528524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0</v>
      </c>
      <c r="J24" s="112">
        <f>'Water '!H15</f>
        <v>0</v>
      </c>
      <c r="K24" s="112">
        <f>'Water '!H16</f>
        <v>0</v>
      </c>
      <c r="L24" s="112">
        <f>'Water '!H17</f>
        <v>0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1139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0</v>
      </c>
      <c r="J25" s="118">
        <f t="shared" si="2"/>
        <v>0</v>
      </c>
      <c r="K25" s="118">
        <f t="shared" si="2"/>
        <v>0</v>
      </c>
      <c r="L25" s="118">
        <f t="shared" si="2"/>
        <v>0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1139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 t="str">
        <f t="shared" si="3"/>
        <v/>
      </c>
      <c r="J26" s="125" t="str">
        <f t="shared" si="3"/>
        <v/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 t="str">
        <f>+'Water '!$J14</f>
        <v>0</v>
      </c>
      <c r="J28" s="127" t="str">
        <f>+'Water '!$J15</f>
        <v>0</v>
      </c>
      <c r="K28" s="127" t="str">
        <f>+'Water '!$J16</f>
        <v>0</v>
      </c>
      <c r="L28" s="128" t="str">
        <f>+'Water '!$J17</f>
        <v>0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926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 t="str">
        <f>+'Water '!$N14</f>
        <v>0</v>
      </c>
      <c r="J33" s="131" t="str">
        <f>+'Water '!$N15</f>
        <v>0</v>
      </c>
      <c r="K33" s="131" t="str">
        <f>+'Water '!$N16</f>
        <v>0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230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 t="str">
        <f>+'Water '!$O14</f>
        <v>0</v>
      </c>
      <c r="J34" s="134" t="str">
        <f>+'Water '!$O15</f>
        <v>0</v>
      </c>
      <c r="K34" s="134" t="str">
        <f>+'Water '!$O16</f>
        <v>0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482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0</v>
      </c>
      <c r="J35" s="119">
        <f>IF('Entries October 2026'!AC15-'Entries October 2026'!AC14&lt;1,0,'Entries October 2026'!AC15-'Entries October 2026'!AC14)</f>
        <v>0</v>
      </c>
      <c r="K35" s="119">
        <f>IF('Entries October 2026'!AC16-'Entries October 2026'!AC15&lt;1,0,'Entries October 2026'!AC16-'Entries October 2026'!AC15)</f>
        <v>0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82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 t="str">
        <f>+'Water '!$M14</f>
        <v>0</v>
      </c>
      <c r="J36" s="110" t="str">
        <f>+'Water '!$M15</f>
        <v>0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12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 t="str">
        <f>+'Water '!$Q14</f>
        <v>0</v>
      </c>
      <c r="J37" s="131" t="str">
        <f>+'Water '!$Q15</f>
        <v>0</v>
      </c>
      <c r="K37" s="131" t="str">
        <f>+'Water '!$Q16</f>
        <v>0</v>
      </c>
      <c r="L37" s="131" t="str">
        <f>+'Water '!$Q17</f>
        <v>0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92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 t="str">
        <f>'Water '!J16</f>
        <v>0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0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0</v>
      </c>
      <c r="J42" s="138">
        <f t="shared" si="4"/>
        <v>0</v>
      </c>
      <c r="K42" s="138">
        <f t="shared" si="4"/>
        <v>0</v>
      </c>
      <c r="L42" s="138">
        <f t="shared" si="4"/>
        <v>0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1824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0</v>
      </c>
      <c r="J47" s="178">
        <f>IF('Entries October 2026'!M15-'Entries October 2026'!M14&lt;1,0,'Entries October 2026'!M15-'Entries October 2026'!M14)</f>
        <v>0</v>
      </c>
      <c r="K47" s="178">
        <f>IF('Entries October 2026'!M16-'Entries October 2026'!M15&lt;1,0,'Entries October 2026'!M16-'Entries October 2026'!M15)</f>
        <v>0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 t="str">
        <f>'Daily KPIs'!I76</f>
        <v>0</v>
      </c>
      <c r="J49" s="187" t="str">
        <f>'Daily KPIs'!J76</f>
        <v>0</v>
      </c>
      <c r="K49" s="187" t="str">
        <f>'Daily KPIs'!K76</f>
        <v>0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941.18000000000757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0</v>
      </c>
      <c r="J52" s="141">
        <f>'Elec.OCTOBER 2026'!$B$15</f>
        <v>0</v>
      </c>
      <c r="K52" s="141">
        <f>'Elec.OCTOBER 2026'!$B$16</f>
        <v>0</v>
      </c>
      <c r="L52" s="141">
        <f>'Elec.OCTOBER 2026'!$B$17</f>
        <v>0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40898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 t="str">
        <f t="shared" si="5"/>
        <v/>
      </c>
      <c r="J59" s="144" t="str">
        <f t="shared" si="5"/>
        <v/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9.2061739600469288</v>
      </c>
      <c r="AH59" s="239">
        <f>'Daily KPIs'!AI90</f>
        <v>10.199999999999999</v>
      </c>
      <c r="AI59" s="282">
        <f>+AH59-AG59</f>
        <v>0.99382603995307051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 t="str">
        <f t="shared" si="8"/>
        <v/>
      </c>
      <c r="J62" s="145" t="str">
        <f t="shared" si="8"/>
        <v/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5.3181017386172522</v>
      </c>
      <c r="AH62" s="241">
        <v>2.5</v>
      </c>
      <c r="AI62" s="242">
        <f t="shared" ref="AI62:AI78" si="11">AH62-AG62</f>
        <v>-2.8181017386172522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 t="str">
        <f t="shared" si="12"/>
        <v/>
      </c>
      <c r="I63" s="168" t="str">
        <f>IF(I$93=0,"",+(I28*10)/I$93)</f>
        <v/>
      </c>
      <c r="J63" s="168" t="str">
        <f t="shared" si="12"/>
        <v/>
      </c>
      <c r="K63" s="168" t="str">
        <f t="shared" si="12"/>
        <v/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7.4407392527119329</v>
      </c>
      <c r="AH63" s="243">
        <v>2.5</v>
      </c>
      <c r="AI63" s="244">
        <f t="shared" si="11"/>
        <v>-4.9407392527119329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 t="str">
        <f t="shared" si="14"/>
        <v/>
      </c>
      <c r="J64" s="147" t="str">
        <f t="shared" si="14"/>
        <v/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 t="str">
        <f t="shared" si="16"/>
        <v/>
      </c>
      <c r="J66" s="145" t="str">
        <f t="shared" si="16"/>
        <v/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 t="str">
        <f t="shared" si="18"/>
        <v/>
      </c>
      <c r="J67" s="150" t="str">
        <f t="shared" si="18"/>
        <v/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 t="str">
        <f t="shared" si="20"/>
        <v/>
      </c>
      <c r="J68" s="145" t="str">
        <f t="shared" si="20"/>
        <v/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1.3209107990086049</v>
      </c>
      <c r="AH68" s="241">
        <v>0.7</v>
      </c>
      <c r="AI68" s="242">
        <f t="shared" si="11"/>
        <v>-0.62091079900860491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 t="str">
        <f t="shared" si="22"/>
        <v/>
      </c>
      <c r="J69" s="145" t="str">
        <f t="shared" si="22"/>
        <v/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2.768169587487598</v>
      </c>
      <c r="AH69" s="241">
        <v>2.6</v>
      </c>
      <c r="AI69" s="242">
        <f t="shared" si="11"/>
        <v>-0.16816958748759792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 t="str">
        <f t="shared" si="26"/>
        <v/>
      </c>
      <c r="J71" s="145" t="str">
        <f t="shared" si="26"/>
        <v/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0.47093341529871996</v>
      </c>
      <c r="AH71" s="241">
        <v>0.7</v>
      </c>
      <c r="AI71" s="242">
        <f>AH71-AG71</f>
        <v>0.22906658470128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 t="str">
        <f t="shared" si="29"/>
        <v/>
      </c>
      <c r="J72" s="145" t="str">
        <f t="shared" si="29"/>
        <v/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6.8917085165666331E-2</v>
      </c>
      <c r="AH72" s="241">
        <v>0.1</v>
      </c>
      <c r="AI72" s="242">
        <f>AH72-AG72</f>
        <v>3.1082914834333675E-2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 t="str">
        <f t="shared" si="31"/>
        <v/>
      </c>
      <c r="J73" s="145" t="str">
        <f t="shared" si="31"/>
        <v/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0.52836431960344188</v>
      </c>
      <c r="AH73" s="241">
        <v>0.6</v>
      </c>
      <c r="AI73" s="242">
        <f t="shared" si="11"/>
        <v>7.1635680396558099E-2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 t="str">
        <f t="shared" si="33"/>
        <v/>
      </c>
      <c r="J74" s="150" t="str">
        <f t="shared" si="33"/>
        <v/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 t="str">
        <f t="shared" si="35"/>
        <v/>
      </c>
      <c r="J75" s="145" t="str">
        <f t="shared" si="35"/>
        <v/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9.940260021455213</v>
      </c>
      <c r="I78" s="152">
        <f t="shared" si="37"/>
        <v>0</v>
      </c>
      <c r="J78" s="152">
        <f t="shared" si="37"/>
        <v>0</v>
      </c>
      <c r="K78" s="152">
        <f t="shared" si="37"/>
        <v>0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17.916136197893213</v>
      </c>
      <c r="AH78" s="253">
        <f t="shared" si="37"/>
        <v>15.599999999999998</v>
      </c>
      <c r="AI78" s="253">
        <f t="shared" si="11"/>
        <v>-2.3161361978932149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0</v>
      </c>
      <c r="J79" s="154">
        <f t="shared" si="38"/>
        <v>0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3.3080200879519843</v>
      </c>
      <c r="AH79" s="254">
        <f t="shared" si="38"/>
        <v>6</v>
      </c>
      <c r="AI79" s="254">
        <f t="shared" si="38"/>
        <v>2.6919799120480157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 t="str">
        <f t="shared" si="39"/>
        <v/>
      </c>
      <c r="J80" s="155" t="str">
        <f t="shared" si="39"/>
        <v/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 t="str">
        <f t="shared" si="41"/>
        <v/>
      </c>
      <c r="J81" s="157" t="str">
        <f t="shared" si="41"/>
        <v/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0.5405281851351863</v>
      </c>
      <c r="AH81" s="287">
        <f>'Daily KPIs'!AI93</f>
        <v>1.7</v>
      </c>
      <c r="AI81" s="286">
        <f>AH81-AG81</f>
        <v>1.1594718148648138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 t="str">
        <f t="shared" si="43"/>
        <v/>
      </c>
      <c r="J82" s="144" t="str">
        <f t="shared" si="43"/>
        <v/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23.488091242545181</v>
      </c>
      <c r="AH82" s="239">
        <f>'Daily KPIs'!AI94</f>
        <v>22</v>
      </c>
      <c r="AI82" s="286">
        <f>AH82-AG82</f>
        <v>-1.4880912425451811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 t="str">
        <f t="shared" si="46"/>
        <v/>
      </c>
      <c r="J84" s="144" t="str">
        <f t="shared" si="46"/>
        <v/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0.55133668132533065</v>
      </c>
      <c r="AH84" s="256">
        <f>'Daily KPIs'!AI96</f>
        <v>7.2</v>
      </c>
      <c r="AI84" s="286">
        <f>AH84-AG84</f>
        <v>6.6486633186746698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0</v>
      </c>
      <c r="K87" s="159">
        <f>IF('Entries October 2026'!L16-'Entries October 2026'!L15&lt;1,0,'Entries October 2026'!L16-'Entries October 2026'!L15)</f>
        <v>0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549534.8600000001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 t="str">
        <f t="shared" si="49"/>
        <v/>
      </c>
      <c r="K89" s="160" t="str">
        <f t="shared" si="49"/>
        <v/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0</v>
      </c>
      <c r="I93" s="165">
        <f>'Daily KPIs'!I12</f>
        <v>0</v>
      </c>
      <c r="J93" s="165">
        <f>'Daily KPIs'!J12</f>
        <v>0</v>
      </c>
      <c r="K93" s="165">
        <f>'Daily KPIs'!K12</f>
        <v>0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1244.5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>
        <f>'Daily KPIs'!H13</f>
        <v>0</v>
      </c>
      <c r="I94" s="166">
        <f>'Daily KPIs'!I13</f>
        <v>0</v>
      </c>
      <c r="J94" s="166">
        <f>'Daily KPIs'!J13</f>
        <v>0</v>
      </c>
      <c r="K94" s="166">
        <f>'Daily KPIs'!K13</f>
        <v>0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0</v>
      </c>
      <c r="I95" s="174">
        <f>'Daily KPIs'!I14</f>
        <v>0</v>
      </c>
      <c r="J95" s="174">
        <f>'Daily KPIs'!J14</f>
        <v>0</v>
      </c>
      <c r="K95" s="174">
        <f>'Daily KPIs'!K14</f>
        <v>0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25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 t="str">
        <f>+'Water '!$F14</f>
        <v>0</v>
      </c>
      <c r="J96" s="110" t="str">
        <f>+'Water '!$F15</f>
        <v>0</v>
      </c>
      <c r="K96" s="110" t="str">
        <f>+'Water '!$F16</f>
        <v>0</v>
      </c>
      <c r="L96" s="110" t="str">
        <f>+'Water '!$F17</f>
        <v>0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893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0</v>
      </c>
      <c r="J101" s="159">
        <f>'Daily KPIs CO2'!J52</f>
        <v>0</v>
      </c>
      <c r="K101" s="159">
        <f>'Daily KPIs CO2'!K52</f>
        <v>0</v>
      </c>
      <c r="L101" s="159">
        <f>'Daily KPIs CO2'!L52</f>
        <v>0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40898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87" priority="3" operator="greaterThan">
      <formula>26</formula>
    </cfRule>
  </conditionalFormatting>
  <conditionalFormatting sqref="B84:AF84">
    <cfRule type="cellIs" dxfId="86" priority="4" operator="greaterThan">
      <formula>6.8</formula>
    </cfRule>
  </conditionalFormatting>
  <conditionalFormatting sqref="D64:D65 D67 T69:AI70 D71 D73:D77">
    <cfRule type="cellIs" dxfId="85" priority="5" stopIfTrue="1" operator="greaterThan">
      <formula>3.8</formula>
    </cfRule>
  </conditionalFormatting>
  <conditionalFormatting sqref="D69:S69 B70:S70">
    <cfRule type="cellIs" dxfId="84" priority="13" stopIfTrue="1" operator="greaterThan">
      <formula>3.8</formula>
    </cfRule>
  </conditionalFormatting>
  <conditionalFormatting sqref="AI8">
    <cfRule type="cellIs" dxfId="83" priority="1" operator="greaterThan">
      <formula>0</formula>
    </cfRule>
    <cfRule type="cellIs" dxfId="82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B1" activePane="topRight" state="frozen"/>
      <selection pane="topRight" activeCell="H75" sqref="H75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hidden="1" customWidth="1"/>
    <col min="10" max="10" width="22.140625" style="469" hidden="1" customWidth="1"/>
    <col min="11" max="11" width="29.7109375" style="469" hidden="1" customWidth="1"/>
    <col min="12" max="12" width="30.5703125" style="469" hidden="1" customWidth="1"/>
    <col min="13" max="13" width="29.7109375" style="470" hidden="1" customWidth="1"/>
    <col min="14" max="33" width="29.7109375" style="469" hidden="1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895"/>
      <c r="L3" s="895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4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4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/>
      <c r="J8" s="678"/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6"/>
      <c r="AG8" s="747"/>
      <c r="AH8" s="480">
        <f>SUM(B8:AG8)</f>
        <v>26297</v>
      </c>
      <c r="AI8" s="526">
        <v>123950</v>
      </c>
      <c r="AJ8" s="294">
        <f>AH8-AI8</f>
        <v>-97653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H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>I8*0.066</f>
        <v>0</v>
      </c>
      <c r="J9" s="678">
        <f>J8*0.066</f>
        <v>0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78"/>
      <c r="AG9" s="748"/>
      <c r="AH9" s="484">
        <f>SUM(B9:AG9)</f>
        <v>1741.2228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871"/>
      <c r="J10" s="871"/>
      <c r="K10" s="871"/>
      <c r="L10" s="871"/>
      <c r="M10" s="681"/>
      <c r="N10" s="681"/>
      <c r="O10" s="878"/>
      <c r="P10" s="878"/>
      <c r="Q10" s="871"/>
      <c r="R10" s="879"/>
      <c r="S10" s="681"/>
      <c r="T10" s="681"/>
      <c r="U10" s="800"/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7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/>
      <c r="I12" s="494"/>
      <c r="J12" s="494"/>
      <c r="K12" s="494"/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1244.5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669" t="s">
        <v>309</v>
      </c>
      <c r="H13" s="682"/>
      <c r="I13" s="752"/>
      <c r="J13" s="669"/>
      <c r="K13" s="669"/>
      <c r="L13" s="669"/>
      <c r="M13" s="798"/>
      <c r="N13" s="798"/>
      <c r="O13" s="669"/>
      <c r="P13" s="669"/>
      <c r="Q13" s="669"/>
      <c r="R13" s="681"/>
      <c r="S13" s="796"/>
      <c r="T13" s="800"/>
      <c r="U13" s="669"/>
      <c r="V13" s="800"/>
      <c r="W13" s="669"/>
      <c r="X13" s="669"/>
      <c r="Y13" s="669"/>
      <c r="Z13" s="669"/>
      <c r="AA13" s="669"/>
      <c r="AB13" s="794"/>
      <c r="AC13" s="878"/>
      <c r="AD13" s="885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/>
      <c r="I14" s="498"/>
      <c r="J14" s="498"/>
      <c r="K14" s="498"/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25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7.4407392527119329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 t="str">
        <f>+'Water '!$D14</f>
        <v>0</v>
      </c>
      <c r="J20" s="509" t="str">
        <f>+'Water '!$D15</f>
        <v>0</v>
      </c>
      <c r="K20" s="509" t="str">
        <f>+'Water '!$D16</f>
        <v>0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808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 t="str">
        <f>+'Water '!$E14</f>
        <v>0</v>
      </c>
      <c r="J21" s="511" t="str">
        <f>+'Water '!$E15</f>
        <v>0</v>
      </c>
      <c r="K21" s="511" t="str">
        <f>+'Water '!$E16</f>
        <v>0</v>
      </c>
      <c r="L21" s="511" t="str">
        <f>+'Water '!$E17</f>
        <v>0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795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342</v>
      </c>
      <c r="H22" s="514">
        <f t="shared" si="3"/>
        <v>381</v>
      </c>
      <c r="I22" s="514">
        <f>SUM(I19:I21)</f>
        <v>0</v>
      </c>
      <c r="J22" s="514">
        <f>SUM(J19:J21)</f>
        <v>0</v>
      </c>
      <c r="K22" s="514">
        <f t="shared" si="3"/>
        <v>0</v>
      </c>
      <c r="L22" s="514">
        <f>SUM(L19:L21)</f>
        <v>0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1603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123.36999999999999</v>
      </c>
      <c r="H26" s="485">
        <f t="shared" si="4"/>
        <v>110.23</v>
      </c>
      <c r="I26" s="485">
        <f t="shared" si="4"/>
        <v>0</v>
      </c>
      <c r="J26" s="521">
        <f t="shared" si="4"/>
        <v>0</v>
      </c>
      <c r="K26" s="521">
        <f>0.73*(K71+K19)</f>
        <v>0</v>
      </c>
      <c r="L26" s="521">
        <f t="shared" si="4"/>
        <v>0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651.89</v>
      </c>
      <c r="AI26" s="523">
        <f>AH29+AH45+AH36</f>
        <v>2157</v>
      </c>
      <c r="AK26" s="524">
        <f>(AI26*10)/AH9</f>
        <v>12.387846058528524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0</v>
      </c>
      <c r="J29" s="509">
        <f>'Water '!H15</f>
        <v>0</v>
      </c>
      <c r="K29" s="509">
        <f>'Water '!H16</f>
        <v>0</v>
      </c>
      <c r="L29" s="509">
        <f>'Water '!H17</f>
        <v>0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1139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>
        <f t="shared" si="5"/>
        <v>234</v>
      </c>
      <c r="H30" s="508">
        <f>H36</f>
        <v>227</v>
      </c>
      <c r="I30" s="508" t="str">
        <f t="shared" si="5"/>
        <v>0</v>
      </c>
      <c r="J30" s="509" t="str">
        <f t="shared" si="5"/>
        <v>0</v>
      </c>
      <c r="K30" s="509" t="str">
        <f t="shared" si="5"/>
        <v>0</v>
      </c>
      <c r="L30" s="509" t="str">
        <f t="shared" si="5"/>
        <v>0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926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>
        <f t="shared" si="6"/>
        <v>16</v>
      </c>
      <c r="H31" s="508">
        <f t="shared" si="6"/>
        <v>16</v>
      </c>
      <c r="I31" s="508" t="str">
        <f t="shared" si="6"/>
        <v>0</v>
      </c>
      <c r="J31" s="509" t="str">
        <f>J45</f>
        <v>0</v>
      </c>
      <c r="K31" s="509" t="str">
        <f>K45</f>
        <v>0</v>
      </c>
      <c r="L31" s="509" t="str">
        <f t="shared" si="6"/>
        <v>0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92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453</v>
      </c>
      <c r="H32" s="526">
        <f t="shared" si="7"/>
        <v>462</v>
      </c>
      <c r="I32" s="526">
        <f t="shared" si="7"/>
        <v>0</v>
      </c>
      <c r="J32" s="527">
        <f t="shared" si="7"/>
        <v>0</v>
      </c>
      <c r="K32" s="527">
        <f>SUM(K28:K31)</f>
        <v>0</v>
      </c>
      <c r="L32" s="527">
        <f t="shared" si="7"/>
        <v>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2157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 t="str">
        <f>+'Water '!$J14</f>
        <v>0</v>
      </c>
      <c r="J36" s="535" t="str">
        <f>+'Water '!$J15</f>
        <v>0</v>
      </c>
      <c r="K36" s="535" t="str">
        <f>+'Water '!$J16</f>
        <v>0</v>
      </c>
      <c r="L36" s="508" t="str">
        <f>+'Water '!$J17</f>
        <v>0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926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 t="str">
        <f>+'Water '!$N14</f>
        <v>0</v>
      </c>
      <c r="J41" s="539" t="str">
        <f>+'Water '!$N15</f>
        <v>0</v>
      </c>
      <c r="K41" s="539" t="str">
        <f>+'Water '!$N16</f>
        <v>0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230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 t="str">
        <f>+'Water '!$O14</f>
        <v>0</v>
      </c>
      <c r="J42" s="508" t="str">
        <f>+'Water '!$O15</f>
        <v>0</v>
      </c>
      <c r="K42" s="508" t="str">
        <f>+'Water '!$O16</f>
        <v>0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482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 t="str">
        <v>0</v>
      </c>
      <c r="J43" s="542" t="str">
        <v>0</v>
      </c>
      <c r="K43" s="542" t="str">
        <v>0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82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 t="str">
        <f>+'Water '!$M14</f>
        <v>0</v>
      </c>
      <c r="J44" s="508" t="str">
        <f>+'Water '!$M15</f>
        <v>0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12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 t="str">
        <f>+'Water '!$Q14</f>
        <v>0</v>
      </c>
      <c r="J45" s="539" t="str">
        <f>+'Water '!$Q15</f>
        <v>0</v>
      </c>
      <c r="K45" s="539" t="str">
        <f>+'Water '!$Q16</f>
        <v>0</v>
      </c>
      <c r="L45" s="539" t="str">
        <f>+'Water '!$Q17</f>
        <v>0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92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408</v>
      </c>
      <c r="H50" s="484">
        <f t="shared" si="8"/>
        <v>404</v>
      </c>
      <c r="I50" s="484">
        <f t="shared" si="8"/>
        <v>0</v>
      </c>
      <c r="J50" s="484">
        <f t="shared" si="8"/>
        <v>0</v>
      </c>
      <c r="K50" s="484">
        <f t="shared" si="8"/>
        <v>0</v>
      </c>
      <c r="L50" s="484">
        <f t="shared" si="8"/>
        <v>0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1824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 t="str">
        <f t="shared" ref="I54:AF54" si="10">IF(I$9=0,"",+(I36*10)/I$9)</f>
        <v/>
      </c>
      <c r="J54" s="545" t="str">
        <f t="shared" si="10"/>
        <v/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5.3181017386172522</v>
      </c>
      <c r="AI54" s="546">
        <v>3.2</v>
      </c>
      <c r="AJ54" s="547">
        <f t="shared" ref="AJ54:AJ67" si="11">AI54-AH54</f>
        <v>-2.118101738617252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>
        <f t="shared" ref="G56:H63" si="15">IF(G$9=0,"",+(G38*10)/G$9)</f>
        <v>0</v>
      </c>
      <c r="H56" s="545">
        <f t="shared" si="15"/>
        <v>0</v>
      </c>
      <c r="I56" s="545" t="str">
        <f t="shared" ref="I56:AF56" si="16">IF(I$9=0,"",+(I38*10)/I$9)</f>
        <v/>
      </c>
      <c r="J56" s="545" t="str">
        <f t="shared" si="16"/>
        <v/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>
        <f t="shared" si="15"/>
        <v>0</v>
      </c>
      <c r="H57" s="549">
        <f t="shared" si="15"/>
        <v>0</v>
      </c>
      <c r="I57" s="549" t="str">
        <f t="shared" ref="I57:AE57" si="19">IF(I$9=0,"",+(I39*10)/I$9)</f>
        <v/>
      </c>
      <c r="J57" s="549" t="str">
        <f t="shared" si="19"/>
        <v/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>
        <f t="shared" si="15"/>
        <v>0</v>
      </c>
      <c r="H58" s="545">
        <f t="shared" si="15"/>
        <v>0</v>
      </c>
      <c r="I58" s="545" t="str">
        <f t="shared" ref="I58:AF58" si="20">IF(I$9=0,"",+(I40*10)/I$9)</f>
        <v/>
      </c>
      <c r="J58" s="545" t="str">
        <f t="shared" si="20"/>
        <v/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>
        <f t="shared" si="15"/>
        <v>1.0918497614728213</v>
      </c>
      <c r="H59" s="549">
        <f t="shared" si="15"/>
        <v>1.2302302006751504</v>
      </c>
      <c r="I59" s="549" t="str">
        <f t="shared" ref="I59:AF59" si="21">IF(I$9=0,"",+(I41*10)/I$9)</f>
        <v/>
      </c>
      <c r="J59" s="549" t="str">
        <f t="shared" si="21"/>
        <v/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1.3209107990086049</v>
      </c>
      <c r="AI59" s="550">
        <v>0.7</v>
      </c>
      <c r="AJ59" s="551">
        <f t="shared" si="11"/>
        <v>-0.62091079900860491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>
        <f t="shared" si="15"/>
        <v>2.7716186252771617</v>
      </c>
      <c r="H60" s="545">
        <f t="shared" si="15"/>
        <v>2.2390189652287735</v>
      </c>
      <c r="I60" s="545" t="str">
        <f t="shared" ref="I60:AF60" si="22">IF(I$9=0,"",+(I42*10)/I$9)</f>
        <v/>
      </c>
      <c r="J60" s="545" t="str">
        <f t="shared" si="22"/>
        <v/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2.768169587487598</v>
      </c>
      <c r="AI60" s="555">
        <v>2.1</v>
      </c>
      <c r="AJ60" s="547">
        <f t="shared" si="11"/>
        <v>-0.66816958748759792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>
        <f t="shared" si="15"/>
        <v>0.47593451141122983</v>
      </c>
      <c r="H61" s="549">
        <f t="shared" si="15"/>
        <v>0.41827826822955111</v>
      </c>
      <c r="I61" s="549" t="str">
        <f t="shared" ref="I61:AF61" si="23">IF(I$9=0,"",+(I43*10)/I$9)</f>
        <v/>
      </c>
      <c r="J61" s="549" t="str">
        <f t="shared" si="23"/>
        <v/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0.47093341529871996</v>
      </c>
      <c r="AI61" s="550">
        <v>0.7</v>
      </c>
      <c r="AJ61" s="551">
        <f t="shared" si="11"/>
        <v>0.22906658470128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>
        <f t="shared" si="15"/>
        <v>8.3988443190217019E-2</v>
      </c>
      <c r="H62" s="545">
        <f t="shared" si="15"/>
        <v>7.3813812040509019E-2</v>
      </c>
      <c r="I62" s="545" t="str">
        <f t="shared" ref="I62:AF62" si="24">IF(I$9=0,"",+(I44*10)/I$9)</f>
        <v/>
      </c>
      <c r="J62" s="545" t="str">
        <f t="shared" si="24"/>
        <v/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6.8917085165666331E-2</v>
      </c>
      <c r="AI62" s="555">
        <v>0.1</v>
      </c>
      <c r="AJ62" s="547">
        <f t="shared" si="11"/>
        <v>3.1082914834333675E-2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>
        <f t="shared" si="15"/>
        <v>0.44793836368115747</v>
      </c>
      <c r="H63" s="569">
        <f t="shared" si="15"/>
        <v>0.3936736642160481</v>
      </c>
      <c r="I63" s="569" t="str">
        <f t="shared" si="25"/>
        <v/>
      </c>
      <c r="J63" s="569" t="str">
        <f t="shared" si="25"/>
        <v/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0.52836431960344188</v>
      </c>
      <c r="AI63" s="550">
        <v>0.6</v>
      </c>
      <c r="AJ63" s="551">
        <f t="shared" si="11"/>
        <v>7.1635680396558099E-2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>
        <f>IF(G$9=0,"",+(G46*10)/G$9)</f>
        <v>0</v>
      </c>
      <c r="H65" s="549">
        <f>IF(H$9=0,"",+(H46*10)/H$9)</f>
        <v>0</v>
      </c>
      <c r="I65" s="549" t="str">
        <f t="shared" si="26"/>
        <v/>
      </c>
      <c r="J65" s="549" t="str">
        <f>IF(J$9=0,"",+(J46*10)/J$9)</f>
        <v/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11.422428273869516</v>
      </c>
      <c r="H68" s="584">
        <f t="shared" si="27"/>
        <v>9.940260021455213</v>
      </c>
      <c r="I68" s="584">
        <f t="shared" si="27"/>
        <v>0</v>
      </c>
      <c r="J68" s="585">
        <f t="shared" si="27"/>
        <v>0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10.475396945181283</v>
      </c>
      <c r="AI68" s="584">
        <f>SUM(AI54:AI63,AI65)</f>
        <v>9.6</v>
      </c>
      <c r="AJ68" s="547">
        <f t="shared" si="27"/>
        <v>-0.87539694518128286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3.3315415798786088</v>
      </c>
      <c r="H69" s="587">
        <f t="shared" si="28"/>
        <v>2.7311110454988334</v>
      </c>
      <c r="I69" s="587">
        <f t="shared" si="28"/>
        <v>0</v>
      </c>
      <c r="J69" s="588">
        <f t="shared" si="28"/>
        <v>0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3.3080200879519843</v>
      </c>
      <c r="AI69" s="587">
        <f t="shared" si="28"/>
        <v>2.9</v>
      </c>
      <c r="AJ69" s="587">
        <f t="shared" si="28"/>
        <v>-0.40802008795198424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 t="str">
        <f>+'Water '!$F14</f>
        <v>0</v>
      </c>
      <c r="J71" s="593" t="str">
        <f>+'Water '!$F15</f>
        <v>0</v>
      </c>
      <c r="K71" s="593" t="str">
        <f>+'Water '!$F16</f>
        <v>0</v>
      </c>
      <c r="L71" s="593" t="str">
        <f>+'Water '!$F17</f>
        <v>0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893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8">
        <v>1142</v>
      </c>
      <c r="D74" s="877">
        <v>0</v>
      </c>
      <c r="E74" s="877">
        <v>0</v>
      </c>
      <c r="F74" s="790">
        <v>1583</v>
      </c>
      <c r="G74" s="790">
        <v>1504</v>
      </c>
      <c r="H74" s="790">
        <v>1416</v>
      </c>
      <c r="I74" s="790"/>
      <c r="J74" s="791"/>
      <c r="K74" s="877"/>
      <c r="L74" s="877"/>
      <c r="M74" s="877"/>
      <c r="N74" s="877"/>
      <c r="O74" s="877"/>
      <c r="P74" s="877"/>
      <c r="Q74" s="791"/>
      <c r="R74" s="877"/>
      <c r="S74" s="790"/>
      <c r="T74" s="790"/>
      <c r="U74" s="790"/>
      <c r="V74" s="790"/>
      <c r="W74" s="883"/>
      <c r="X74" s="877"/>
      <c r="Y74" s="877"/>
      <c r="Z74" s="877"/>
      <c r="AA74" s="877"/>
      <c r="AB74" s="877"/>
      <c r="AC74" s="877"/>
      <c r="AD74" s="877"/>
      <c r="AE74" s="877"/>
      <c r="AF74" s="877"/>
      <c r="AG74" s="790"/>
      <c r="AH74" s="516">
        <f>SUM(B74:AF74)</f>
        <v>7245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 t="str">
        <v>0</v>
      </c>
      <c r="J75" s="601" t="str">
        <v>0</v>
      </c>
      <c r="K75" s="601" t="str">
        <v>0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7224.1600000000326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 t="str">
        <v>0</v>
      </c>
      <c r="J76" s="604" t="str">
        <v>0</v>
      </c>
      <c r="K76" s="604" t="str">
        <v>0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941.18000000000757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 t="str">
        <v>0</v>
      </c>
      <c r="J77" s="607" t="str">
        <v>0</v>
      </c>
      <c r="K77" s="607" t="str">
        <v>0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2219.2900000000081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29">C75-C76-C77</f>
        <v>520.11000000000058</v>
      </c>
      <c r="D78" s="788">
        <f t="shared" si="29"/>
        <v>0</v>
      </c>
      <c r="E78" s="788">
        <f t="shared" si="29"/>
        <v>0</v>
      </c>
      <c r="F78" s="788">
        <f t="shared" si="29"/>
        <v>996.7000000000553</v>
      </c>
      <c r="G78" s="788">
        <f t="shared" si="29"/>
        <v>834.80999999993946</v>
      </c>
      <c r="H78" s="788">
        <f t="shared" si="29"/>
        <v>891.06000000005588</v>
      </c>
      <c r="I78" s="788">
        <f t="shared" si="29"/>
        <v>0</v>
      </c>
      <c r="J78" s="788">
        <f t="shared" si="29"/>
        <v>0</v>
      </c>
      <c r="K78" s="788">
        <f t="shared" si="29"/>
        <v>0</v>
      </c>
      <c r="L78" s="788">
        <f t="shared" si="29"/>
        <v>0</v>
      </c>
      <c r="M78" s="788">
        <f t="shared" si="29"/>
        <v>0</v>
      </c>
      <c r="N78" s="788">
        <f t="shared" si="29"/>
        <v>0</v>
      </c>
      <c r="O78" s="788">
        <f t="shared" si="29"/>
        <v>0</v>
      </c>
      <c r="P78" s="788">
        <f t="shared" si="29"/>
        <v>0</v>
      </c>
      <c r="Q78" s="788">
        <f t="shared" si="29"/>
        <v>0</v>
      </c>
      <c r="R78" s="788">
        <f t="shared" si="29"/>
        <v>0</v>
      </c>
      <c r="S78" s="788">
        <f t="shared" si="29"/>
        <v>0</v>
      </c>
      <c r="T78" s="788">
        <f t="shared" si="29"/>
        <v>0</v>
      </c>
      <c r="U78" s="788">
        <f>U75-U76-U77</f>
        <v>0</v>
      </c>
      <c r="V78" s="788">
        <f>V75-V76-V77</f>
        <v>0</v>
      </c>
      <c r="W78" s="882">
        <f t="shared" ref="W78:AB78" si="30">W75-W76-W77</f>
        <v>0</v>
      </c>
      <c r="X78" s="788">
        <f t="shared" si="30"/>
        <v>0</v>
      </c>
      <c r="Y78" s="788">
        <f t="shared" si="30"/>
        <v>0</v>
      </c>
      <c r="Z78" s="788">
        <f t="shared" si="30"/>
        <v>0</v>
      </c>
      <c r="AA78" s="788">
        <f t="shared" si="30"/>
        <v>0</v>
      </c>
      <c r="AB78" s="788">
        <f t="shared" si="30"/>
        <v>0</v>
      </c>
      <c r="AC78" s="788">
        <f>AC75-AC76-AC77</f>
        <v>0</v>
      </c>
      <c r="AD78" s="788">
        <f t="shared" ref="AD78:AE78" si="31">AD75-AD76-AD77</f>
        <v>0</v>
      </c>
      <c r="AE78" s="788">
        <f t="shared" si="31"/>
        <v>0</v>
      </c>
      <c r="AF78" s="789">
        <f>AF75-AF76-AF77</f>
        <v>0</v>
      </c>
      <c r="AG78" s="485">
        <f t="shared" ref="AG78" si="32">AG75-AG76-AG77</f>
        <v>0</v>
      </c>
      <c r="AH78" s="484">
        <f>AH75-AH76-AH77</f>
        <v>4063.6900000000169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0</v>
      </c>
      <c r="J79" s="610">
        <f>'Daily KPIs CO2'!J47</f>
        <v>0</v>
      </c>
      <c r="K79" s="610">
        <f>'Daily KPIs CO2'!K47</f>
        <v>0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0</v>
      </c>
      <c r="J80" s="612">
        <v>0</v>
      </c>
      <c r="K80" s="613">
        <v>0</v>
      </c>
      <c r="L80" s="613">
        <v>0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40898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0</v>
      </c>
      <c r="H82" s="614">
        <v>0</v>
      </c>
      <c r="I82" s="614">
        <v>0</v>
      </c>
      <c r="J82" s="617">
        <v>0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48991.799999999996</v>
      </c>
      <c r="AF82" s="617">
        <v>0</v>
      </c>
      <c r="AG82" s="617"/>
      <c r="AH82" s="594">
        <f>SUM(B82:AF82)</f>
        <v>80896.800000000003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0</v>
      </c>
      <c r="J83" s="621">
        <v>0</v>
      </c>
      <c r="K83" s="621">
        <v>0</v>
      </c>
      <c r="L83" s="621">
        <v>0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8093.8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 t="str">
        <v>0</v>
      </c>
      <c r="J84" s="620" t="str">
        <v>0</v>
      </c>
      <c r="K84" s="620" t="str">
        <v>0</v>
      </c>
      <c r="L84" s="620" t="str">
        <v>0</v>
      </c>
      <c r="M84" s="620" t="str">
        <v>0</v>
      </c>
      <c r="N84" s="620" t="str">
        <v>0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14882.399999999907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 t="str">
        <f t="shared" si="33"/>
        <v/>
      </c>
      <c r="J90" s="653" t="str">
        <f t="shared" si="33"/>
        <v/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9.2061739600469288</v>
      </c>
      <c r="AI90" s="662">
        <v>10.199999999999999</v>
      </c>
      <c r="AJ90" s="665">
        <f>+AI90-AH90</f>
        <v>0.99382603995307051</v>
      </c>
      <c r="AK90" s="667">
        <f>AH90/AI90*100</f>
        <v>90.256607451440487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4.0277072399977429</v>
      </c>
      <c r="D92" s="653" t="str">
        <f t="shared" si="35"/>
        <v/>
      </c>
      <c r="E92" s="653" t="str">
        <f t="shared" si="35"/>
        <v/>
      </c>
      <c r="F92" s="653">
        <f t="shared" si="35"/>
        <v>4.8483623377498448</v>
      </c>
      <c r="G92" s="653">
        <f>IF(G$9=0,"",+G74/G$9)</f>
        <v>4.2106206186028805</v>
      </c>
      <c r="H92" s="653">
        <f>IF(H$9=0,"",+H74/H$9)</f>
        <v>3.4840119283120257</v>
      </c>
      <c r="I92" s="653" t="str">
        <f t="shared" si="35"/>
        <v/>
      </c>
      <c r="J92" s="653" t="str">
        <f t="shared" si="35"/>
        <v/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4.160869016877105</v>
      </c>
      <c r="AI92" s="674">
        <v>5</v>
      </c>
      <c r="AJ92" s="675">
        <f>AI92-AH92</f>
        <v>0.83913098312289502</v>
      </c>
      <c r="AK92" s="673">
        <f t="shared" si="34"/>
        <v>83.217380337542096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 t="str">
        <f t="shared" si="36"/>
        <v/>
      </c>
      <c r="J93" s="653" t="str">
        <f t="shared" si="36"/>
        <v/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0.5405281851351863</v>
      </c>
      <c r="AI93" s="674">
        <v>1.7</v>
      </c>
      <c r="AJ93" s="676">
        <f>AI93-AH93</f>
        <v>1.1594718148648138</v>
      </c>
      <c r="AK93" s="673">
        <f t="shared" si="34"/>
        <v>31.795775596187433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 t="str">
        <f t="shared" si="37"/>
        <v/>
      </c>
      <c r="J94" s="653" t="str">
        <f t="shared" si="37"/>
        <v/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28.136433775160768</v>
      </c>
      <c r="AI94" s="674">
        <v>22</v>
      </c>
      <c r="AJ94" s="675">
        <f>AI94-AH94</f>
        <v>-6.1364337751607678</v>
      </c>
      <c r="AK94" s="673">
        <f>AH94/AI94*100</f>
        <v>127.89288079618531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23.338139151405649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 t="str">
        <f t="shared" si="38"/>
        <v/>
      </c>
      <c r="J96" s="654" t="str">
        <f t="shared" ref="J96:AE96" si="39">IF(J$9=0,"",J84/J$9)</f>
        <v/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8.5470969022458849</v>
      </c>
      <c r="AI96" s="663">
        <v>7.2</v>
      </c>
      <c r="AJ96" s="677">
        <f>AI96-AH96</f>
        <v>-1.3470969022458847</v>
      </c>
      <c r="AK96" s="668">
        <f t="shared" si="34"/>
        <v>118.70967919785951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0</v>
      </c>
      <c r="K103" s="650">
        <f>IF('Entries October 2026'!L16-'Entries October 2026'!L15&lt;1,0,'Entries October 2026'!L16-'Entries October 2026'!L15)</f>
        <v>0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>
        <f t="shared" si="41"/>
        <v>0</v>
      </c>
      <c r="I105" s="651" t="str">
        <f>IF(I103=0,"",I104/I103)</f>
        <v/>
      </c>
      <c r="J105" s="652" t="str">
        <f t="shared" si="41"/>
        <v/>
      </c>
      <c r="K105" s="652" t="str">
        <f t="shared" si="41"/>
        <v/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0</v>
      </c>
      <c r="J116" s="650">
        <f>'Daily KPIs'!J80</f>
        <v>0</v>
      </c>
      <c r="K116" s="650">
        <f>'Daily KPIs'!K80</f>
        <v>0</v>
      </c>
      <c r="L116" s="650">
        <f>'Daily KPIs'!L80</f>
        <v>0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40898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0.16520723876240512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81" priority="127" operator="greaterThan">
      <formula>$AI$93</formula>
    </cfRule>
  </conditionalFormatting>
  <conditionalFormatting sqref="B90:AF90">
    <cfRule type="cellIs" dxfId="80" priority="36" operator="greaterThan">
      <formula>10.2</formula>
    </cfRule>
  </conditionalFormatting>
  <conditionalFormatting sqref="B92:AF92">
    <cfRule type="cellIs" dxfId="79" priority="26" operator="greaterThan">
      <formula>5</formula>
    </cfRule>
    <cfRule type="cellIs" dxfId="78" priority="27" operator="lessThanOrEqual">
      <formula>5</formula>
    </cfRule>
  </conditionalFormatting>
  <conditionalFormatting sqref="B93:AF93">
    <cfRule type="cellIs" dxfId="77" priority="34" operator="greaterThan">
      <formula>1.7</formula>
    </cfRule>
  </conditionalFormatting>
  <conditionalFormatting sqref="B94:AF94">
    <cfRule type="cellIs" dxfId="76" priority="33" operator="greaterThan">
      <formula>22</formula>
    </cfRule>
  </conditionalFormatting>
  <conditionalFormatting sqref="B96:AF96">
    <cfRule type="cellIs" dxfId="75" priority="32" operator="greaterThan">
      <formula>7.2</formula>
    </cfRule>
  </conditionalFormatting>
  <conditionalFormatting sqref="B22:AG22">
    <cfRule type="cellIs" dxfId="74" priority="101" operator="greaterThan">
      <formula>400</formula>
    </cfRule>
  </conditionalFormatting>
  <conditionalFormatting sqref="B42:AG42">
    <cfRule type="cellIs" dxfId="73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72" priority="1174" operator="greaterThan">
      <formula>$AI$94</formula>
    </cfRule>
  </conditionalFormatting>
  <conditionalFormatting sqref="B96:AG96">
    <cfRule type="cellIs" dxfId="71" priority="1176" operator="greaterThan">
      <formula>$AI$96</formula>
    </cfRule>
  </conditionalFormatting>
  <conditionalFormatting sqref="B15:AH15">
    <cfRule type="cellIs" dxfId="70" priority="1" operator="greaterThan">
      <formula>3.2</formula>
    </cfRule>
  </conditionalFormatting>
  <conditionalFormatting sqref="B54:AH54">
    <cfRule type="cellIs" dxfId="69" priority="123" operator="greaterThan">
      <formula>3.2</formula>
    </cfRule>
  </conditionalFormatting>
  <conditionalFormatting sqref="B56:AH56">
    <cfRule type="cellIs" dxfId="68" priority="61" operator="greaterThan">
      <formula>0.1</formula>
    </cfRule>
  </conditionalFormatting>
  <conditionalFormatting sqref="B57:AH57 B59:AH59 B61:AH61">
    <cfRule type="cellIs" dxfId="67" priority="62" operator="greaterThan">
      <formula>0.7</formula>
    </cfRule>
  </conditionalFormatting>
  <conditionalFormatting sqref="B58:AH58 B62:AH62">
    <cfRule type="cellIs" dxfId="66" priority="63" operator="greaterThan">
      <formula>1</formula>
    </cfRule>
  </conditionalFormatting>
  <conditionalFormatting sqref="B60:AH60">
    <cfRule type="cellIs" dxfId="65" priority="22" operator="greaterThan">
      <formula>2.1</formula>
    </cfRule>
  </conditionalFormatting>
  <conditionalFormatting sqref="B65:AH65">
    <cfRule type="cellIs" dxfId="64" priority="56" operator="greaterThan">
      <formula>0.3</formula>
    </cfRule>
  </conditionalFormatting>
  <conditionalFormatting sqref="B68:AH68">
    <cfRule type="cellIs" dxfId="63" priority="58" operator="greaterThan">
      <formula>9.6</formula>
    </cfRule>
  </conditionalFormatting>
  <conditionalFormatting sqref="B69:AH69">
    <cfRule type="cellIs" dxfId="62" priority="59" operator="greaterThan">
      <formula>2.9</formula>
    </cfRule>
  </conditionalFormatting>
  <conditionalFormatting sqref="B92:AH92">
    <cfRule type="cellIs" dxfId="61" priority="48" operator="greaterThan">
      <formula>5.04</formula>
    </cfRule>
  </conditionalFormatting>
  <conditionalFormatting sqref="B93:AH93">
    <cfRule type="cellIs" dxfId="60" priority="44" operator="greaterThan">
      <formula>1.7</formula>
    </cfRule>
    <cfRule type="cellIs" dxfId="59" priority="43" operator="greaterThan">
      <formula>1.7</formula>
    </cfRule>
  </conditionalFormatting>
  <conditionalFormatting sqref="B96:AH96">
    <cfRule type="cellIs" dxfId="58" priority="37" operator="greaterThan">
      <formula>7.2</formula>
    </cfRule>
  </conditionalFormatting>
  <conditionalFormatting sqref="E96">
    <cfRule type="cellIs" dxfId="57" priority="39" operator="greaterThan">
      <formula>7.2</formula>
    </cfRule>
  </conditionalFormatting>
  <conditionalFormatting sqref="I63:AH63">
    <cfRule type="cellIs" dxfId="56" priority="68" operator="greaterThan">
      <formula>0.6</formula>
    </cfRule>
  </conditionalFormatting>
  <conditionalFormatting sqref="AC54:AG54">
    <cfRule type="cellIs" dxfId="55" priority="82" operator="greaterThan">
      <formula>$AI$54</formula>
    </cfRule>
  </conditionalFormatting>
  <conditionalFormatting sqref="AC55:AG59 AC61:AG61 AC63:AG63 B64:AG64">
    <cfRule type="cellIs" dxfId="54" priority="1135" operator="greaterThan">
      <formula>$AI59</formula>
    </cfRule>
  </conditionalFormatting>
  <conditionalFormatting sqref="AH94">
    <cfRule type="cellIs" dxfId="53" priority="28" operator="lessThanOrEqual">
      <formula>22</formula>
    </cfRule>
  </conditionalFormatting>
  <conditionalFormatting sqref="AH94:AH96 B90:AH90 AH91">
    <cfRule type="cellIs" dxfId="52" priority="1168" operator="greaterThan">
      <formula>$AI$90</formula>
    </cfRule>
  </conditionalFormatting>
  <conditionalFormatting sqref="AH96">
    <cfRule type="cellIs" dxfId="51" priority="29" operator="greaterThan">
      <formula>7.2</formula>
    </cfRule>
    <cfRule type="cellIs" dxfId="50" priority="30" operator="lessThan">
      <formula>7.2</formula>
    </cfRule>
    <cfRule type="cellIs" dxfId="49" priority="40" operator="greaterThan">
      <formula>7.2</formula>
    </cfRule>
  </conditionalFormatting>
  <conditionalFormatting sqref="AJ8">
    <cfRule type="cellIs" dxfId="48" priority="105" operator="greaterThan">
      <formula>0</formula>
    </cfRule>
    <cfRule type="cellIs" dxfId="47" priority="106" operator="lessThan">
      <formula>0</formula>
    </cfRule>
  </conditionalFormatting>
  <conditionalFormatting sqref="AK90:AK96">
    <cfRule type="cellIs" dxfId="46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-253802</v>
      </c>
      <c r="D14" s="55">
        <f t="shared" si="2"/>
        <v>1113127</v>
      </c>
      <c r="E14" s="56">
        <f>'Entries October 2026'!W13</f>
        <v>0</v>
      </c>
      <c r="F14" s="57">
        <f>'Entries October 2026'!V13</f>
        <v>1366929</v>
      </c>
      <c r="G14" s="57">
        <f>F15-F14</f>
        <v>-1366929</v>
      </c>
      <c r="H14" s="57">
        <f>'Entries October 2026'!AA13</f>
        <v>97122</v>
      </c>
      <c r="I14" s="58">
        <f t="shared" si="3"/>
        <v>-97122</v>
      </c>
      <c r="J14" s="57">
        <f>'Entries October 2026'!T13</f>
        <v>0</v>
      </c>
      <c r="K14" s="58">
        <f t="shared" si="4"/>
        <v>0</v>
      </c>
      <c r="L14" s="58">
        <f t="shared" si="6"/>
        <v>-97122</v>
      </c>
      <c r="M14" s="57">
        <f>'Entries October 2026'!R13</f>
        <v>0</v>
      </c>
      <c r="N14" s="57">
        <f>'Entries October 2026'!AC14-'Entries October 2026'!AC13</f>
        <v>-6832</v>
      </c>
      <c r="O14" s="57">
        <f t="shared" si="5"/>
        <v>-507604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0</v>
      </c>
      <c r="C15" s="55">
        <f t="shared" si="1"/>
        <v>0</v>
      </c>
      <c r="D15" s="55">
        <f t="shared" si="2"/>
        <v>0</v>
      </c>
      <c r="E15" s="56">
        <f>'Entries October 2026'!W14</f>
        <v>0</v>
      </c>
      <c r="F15" s="57">
        <f>'Entries October 2026'!V14</f>
        <v>0</v>
      </c>
      <c r="G15" s="57">
        <f t="shared" si="7"/>
        <v>0</v>
      </c>
      <c r="H15" s="57">
        <f>'Entries October 2026'!AA14</f>
        <v>0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0</v>
      </c>
      <c r="O15" s="57">
        <f t="shared" si="5"/>
        <v>0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0</v>
      </c>
      <c r="C16" s="55">
        <f t="shared" si="1"/>
        <v>0</v>
      </c>
      <c r="D16" s="55">
        <f t="shared" si="2"/>
        <v>0</v>
      </c>
      <c r="E16" s="56">
        <f>'Entries October 2026'!W15</f>
        <v>0</v>
      </c>
      <c r="F16" s="57">
        <f>'Entries October 2026'!V15</f>
        <v>0</v>
      </c>
      <c r="G16" s="57">
        <f t="shared" si="7"/>
        <v>0</v>
      </c>
      <c r="H16" s="57">
        <f>'Entries October 2026'!AA15</f>
        <v>0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0</v>
      </c>
      <c r="O16" s="57">
        <f t="shared" si="5"/>
        <v>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0</v>
      </c>
      <c r="C17" s="55">
        <f t="shared" si="1"/>
        <v>0</v>
      </c>
      <c r="D17" s="55">
        <f t="shared" si="2"/>
        <v>0</v>
      </c>
      <c r="E17" s="56">
        <f>'Entries October 2026'!W16</f>
        <v>0</v>
      </c>
      <c r="F17" s="57">
        <f>'Entries October 2026'!V16</f>
        <v>0</v>
      </c>
      <c r="G17" s="57">
        <f t="shared" si="7"/>
        <v>0</v>
      </c>
      <c r="H17" s="57">
        <f>'Entries October 2026'!AA16</f>
        <v>0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0</v>
      </c>
      <c r="C18" s="55">
        <f t="shared" si="1"/>
        <v>0</v>
      </c>
      <c r="D18" s="55">
        <f t="shared" si="2"/>
        <v>0</v>
      </c>
      <c r="E18" s="56">
        <f>'Entries October 2026'!W17</f>
        <v>0</v>
      </c>
      <c r="F18" s="57">
        <f>'Entries October 2026'!V17</f>
        <v>0</v>
      </c>
      <c r="G18" s="57">
        <f t="shared" si="7"/>
        <v>0</v>
      </c>
      <c r="H18" s="57">
        <f>'Entries October 2026'!AA17</f>
        <v>0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0</v>
      </c>
      <c r="O18" s="57">
        <f t="shared" si="5"/>
        <v>0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Alexander Dominguez -Ramon</cp:lastModifiedBy>
  <cp:lastPrinted>2026-05-01T14:23:39Z</cp:lastPrinted>
  <dcterms:created xsi:type="dcterms:W3CDTF">2003-05-05T15:42:25Z</dcterms:created>
  <dcterms:modified xsi:type="dcterms:W3CDTF">2026-10-08T11:28:24Z</dcterms:modified>
</cp:coreProperties>
</file>