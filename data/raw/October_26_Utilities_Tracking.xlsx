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34675391-AC48-4C06-99BA-A61CDDAB0C40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10" l="1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F38" i="28" s="1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N7" i="29" l="1"/>
  <c r="M7" i="29"/>
  <c r="L38" i="29"/>
  <c r="P43" i="23"/>
  <c r="Q44" i="23" s="1"/>
  <c r="R44" i="23" s="1"/>
  <c r="S44" i="23" s="1"/>
  <c r="Q10" i="23"/>
  <c r="R10" i="23" s="1"/>
  <c r="S10" i="23" s="1"/>
  <c r="AB7" i="31"/>
  <c r="AA38" i="31"/>
  <c r="AB38" i="31" s="1"/>
  <c r="AD38" i="31" s="1"/>
  <c r="F7" i="30"/>
  <c r="H36" i="32"/>
  <c r="B50" i="110"/>
  <c r="AH50" i="110" s="1"/>
  <c r="AH43" i="110"/>
  <c r="AH61" i="110" s="1"/>
  <c r="B78" i="110"/>
  <c r="B49" i="111"/>
  <c r="AH76" i="110"/>
  <c r="AH93" i="110" s="1"/>
  <c r="B116" i="110"/>
  <c r="AH80" i="110"/>
  <c r="B94" i="110"/>
  <c r="B93" i="110" s="1"/>
  <c r="B61" i="110" s="1"/>
  <c r="B96" i="110"/>
  <c r="AH84" i="110"/>
  <c r="AH96" i="110" s="1"/>
  <c r="K10" i="23"/>
  <c r="E38" i="28"/>
  <c r="G38" i="28" s="1"/>
  <c r="G7" i="28"/>
  <c r="M38" i="29" l="1"/>
  <c r="N38" i="29"/>
  <c r="F38" i="30"/>
  <c r="G38" i="30" s="1"/>
  <c r="I38" i="30" s="1"/>
  <c r="G7" i="30"/>
  <c r="B69" i="110"/>
  <c r="B68" i="110"/>
  <c r="AJ93" i="110"/>
  <c r="AK93" i="110"/>
  <c r="AH68" i="110"/>
  <c r="AJ61" i="110"/>
  <c r="AH69" i="110"/>
  <c r="AJ96" i="110"/>
  <c r="AK96" i="110"/>
  <c r="AH94" i="110"/>
  <c r="AH140" i="110"/>
  <c r="AH116" i="110"/>
  <c r="B81" i="111"/>
  <c r="AG49" i="111"/>
  <c r="AG81" i="111" s="1"/>
  <c r="AI81" i="111" s="1"/>
  <c r="AH78" i="110"/>
  <c r="AH95" i="110" s="1"/>
  <c r="AK95" i="110" s="1"/>
  <c r="K43" i="23"/>
  <c r="T44" i="23" s="1"/>
  <c r="T10" i="23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1DBFDD83-D635-4592-90FB-73BF8553290D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AG74" authorId="2" shapeId="0" xr:uid="{9E9E2207-A18A-4146-9737-6A7919818C19}">
      <text>
        <r>
          <rPr>
            <sz val="12"/>
            <color indexed="81"/>
            <rFont val="Tahoma"/>
            <family val="2"/>
          </rPr>
          <t xml:space="preserve">Tank A 11400 kgs 
Tank B 6800 kgs
Tank C 22400 Kgs
mobile approx 0 Kgs
300 Kgs unaccounted for.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<sst xmlns="http://schemas.openxmlformats.org/spreadsheetml/2006/main" count="624" uniqueCount="316">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</sst>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30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A44A"/>
      <color rgb="FF0000FF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13" colorId="22" zoomScale="115" zoomScaleNormal="115" zoomScaleSheetLayoutView="80" workbookViewId="0">
      <selection activeCell="AH24" sqref="AH24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8" t="s">
        <v>209</v>
      </c>
      <c r="C1" s="918"/>
      <c r="D1" s="918"/>
      <c r="E1" s="918"/>
      <c r="F1" s="918"/>
      <c r="G1" s="918"/>
      <c r="H1" s="918"/>
      <c r="I1" s="918"/>
      <c r="J1" s="918"/>
      <c r="K1" s="918"/>
      <c r="L1" s="918"/>
      <c r="M1" s="918"/>
      <c r="N1" s="363"/>
      <c r="O1" s="919" t="str">
        <f>B1</f>
        <v>ENTRIES FOR DAILY CONS. MONITOR</v>
      </c>
      <c r="P1" s="919"/>
      <c r="Q1" s="919"/>
      <c r="R1" s="919"/>
      <c r="S1" s="919"/>
      <c r="T1" s="919"/>
      <c r="U1" s="919"/>
      <c r="V1" s="919"/>
      <c r="W1" s="919"/>
      <c r="X1" s="919"/>
      <c r="Y1" s="919"/>
      <c r="Z1" s="919"/>
      <c r="AA1" s="919"/>
      <c r="AB1" s="919"/>
    </row>
    <row r="2" spans="1:44" ht="16.5" thickBot="1" x14ac:dyDescent="0.25">
      <c r="C2" s="810"/>
      <c r="F2" s="364"/>
      <c r="G2" s="365"/>
      <c r="O2" s="926" t="s">
        <v>231</v>
      </c>
      <c r="P2" s="926"/>
      <c r="Q2" s="926"/>
      <c r="R2" s="926"/>
      <c r="S2" s="926"/>
      <c r="T2" s="926"/>
      <c r="U2" s="926"/>
      <c r="V2" s="926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9" t="s">
        <v>53</v>
      </c>
      <c r="M3" s="910"/>
      <c r="N3" s="911"/>
      <c r="O3" s="920" t="s">
        <v>3</v>
      </c>
      <c r="P3" s="920"/>
      <c r="Q3" s="920"/>
      <c r="R3" s="920"/>
      <c r="S3" s="920"/>
      <c r="T3" s="920"/>
      <c r="U3" s="920"/>
      <c r="V3" s="920"/>
      <c r="W3" s="920"/>
      <c r="X3" s="920"/>
      <c r="Y3" s="920"/>
      <c r="Z3" s="920"/>
      <c r="AA3" s="920"/>
      <c r="AB3" s="920"/>
      <c r="AC3" s="920"/>
      <c r="AD3" s="372"/>
      <c r="AE3" s="373"/>
      <c r="AF3" s="372"/>
      <c r="AG3" s="904" t="s">
        <v>206</v>
      </c>
      <c r="AH3" s="902" t="s">
        <v>204</v>
      </c>
      <c r="AI3" s="902" t="s">
        <v>205</v>
      </c>
      <c r="AJ3" s="905" t="s">
        <v>233</v>
      </c>
      <c r="AK3" s="416"/>
      <c r="AL3" s="906" t="s">
        <v>178</v>
      </c>
      <c r="AM3" s="906"/>
      <c r="AN3" s="906"/>
      <c r="AO3" s="906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7" t="s">
        <v>289</v>
      </c>
      <c r="M4" s="376" t="s">
        <v>260</v>
      </c>
      <c r="N4" s="912" t="s">
        <v>167</v>
      </c>
      <c r="O4" s="914" t="s">
        <v>100</v>
      </c>
      <c r="P4" s="914" t="s">
        <v>101</v>
      </c>
      <c r="Q4" s="914" t="s">
        <v>160</v>
      </c>
      <c r="R4" s="914" t="s">
        <v>171</v>
      </c>
      <c r="S4" s="914" t="s">
        <v>102</v>
      </c>
      <c r="T4" s="914" t="s">
        <v>172</v>
      </c>
      <c r="U4" s="914" t="s">
        <v>103</v>
      </c>
      <c r="V4" s="924" t="s">
        <v>236</v>
      </c>
      <c r="W4" s="914" t="s">
        <v>177</v>
      </c>
      <c r="X4" s="372" t="s">
        <v>96</v>
      </c>
      <c r="Y4" s="372" t="s">
        <v>97</v>
      </c>
      <c r="Z4" s="372" t="s">
        <v>98</v>
      </c>
      <c r="AA4" s="920" t="s">
        <v>68</v>
      </c>
      <c r="AB4" s="922" t="s">
        <v>69</v>
      </c>
      <c r="AC4" s="925" t="s">
        <v>151</v>
      </c>
      <c r="AD4" s="914" t="s">
        <v>154</v>
      </c>
      <c r="AE4" s="914" t="s">
        <v>155</v>
      </c>
      <c r="AF4" s="914" t="s">
        <v>159</v>
      </c>
      <c r="AG4" s="904"/>
      <c r="AH4" s="903"/>
      <c r="AI4" s="903"/>
      <c r="AJ4" s="905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8"/>
      <c r="M5" s="466" t="s">
        <v>261</v>
      </c>
      <c r="N5" s="913"/>
      <c r="O5" s="915"/>
      <c r="P5" s="914"/>
      <c r="Q5" s="914"/>
      <c r="R5" s="914"/>
      <c r="S5" s="915"/>
      <c r="T5" s="915"/>
      <c r="U5" s="915"/>
      <c r="V5" s="924"/>
      <c r="W5" s="916"/>
      <c r="X5" s="372" t="s">
        <v>104</v>
      </c>
      <c r="Y5" s="372" t="s">
        <v>104</v>
      </c>
      <c r="Z5" s="372" t="s">
        <v>104</v>
      </c>
      <c r="AA5" s="921"/>
      <c r="AB5" s="923"/>
      <c r="AC5" s="925"/>
      <c r="AD5" s="914"/>
      <c r="AE5" s="914"/>
      <c r="AF5" s="917"/>
      <c r="AG5" s="904"/>
      <c r="AH5" s="903"/>
      <c r="AI5" s="903"/>
      <c r="AJ5" s="905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>
        <v>8522020</v>
      </c>
      <c r="C19" s="816">
        <v>1692682.9</v>
      </c>
      <c r="D19" s="817"/>
      <c r="E19" s="817">
        <v>64</v>
      </c>
      <c r="F19" s="817">
        <v>11454</v>
      </c>
      <c r="G19" s="817">
        <v>68225</v>
      </c>
      <c r="H19" s="818"/>
      <c r="I19" s="819">
        <v>1956257</v>
      </c>
      <c r="J19" s="876"/>
      <c r="K19" s="818">
        <v>468000</v>
      </c>
      <c r="L19" s="817">
        <v>91256</v>
      </c>
      <c r="M19" s="821">
        <v>644517</v>
      </c>
      <c r="N19" s="819">
        <v>86516</v>
      </c>
      <c r="O19" s="822">
        <v>255073</v>
      </c>
      <c r="P19" s="823">
        <v>87434</v>
      </c>
      <c r="Q19" s="817">
        <v>991574</v>
      </c>
      <c r="R19" s="817"/>
      <c r="S19" s="817">
        <v>98876</v>
      </c>
      <c r="T19" s="817"/>
      <c r="U19" s="817">
        <v>565</v>
      </c>
      <c r="V19" s="824">
        <v>1367830</v>
      </c>
      <c r="W19" s="817"/>
      <c r="X19" s="825">
        <v>49529</v>
      </c>
      <c r="Y19" s="817">
        <v>71643</v>
      </c>
      <c r="Z19" s="817">
        <v>15936</v>
      </c>
      <c r="AA19" s="817">
        <v>97122</v>
      </c>
      <c r="AB19" s="817"/>
      <c r="AC19" s="817">
        <v>6914</v>
      </c>
      <c r="AD19" s="817">
        <v>263787</v>
      </c>
      <c r="AE19" s="817"/>
      <c r="AF19" s="819"/>
      <c r="AG19" s="817"/>
      <c r="AH19" s="817"/>
      <c r="AI19" s="817"/>
      <c r="AJ19" s="880">
        <v>7383613.8779999996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7"/>
      <c r="J38" s="907"/>
      <c r="R38" s="190"/>
      <c r="S38" s="190"/>
      <c r="T38" s="190"/>
      <c r="U38" s="190"/>
      <c r="V38" s="190"/>
      <c r="W38" s="190"/>
      <c r="Z38" s="190"/>
      <c r="AA38" s="908"/>
      <c r="AB38" s="908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8" priority="14">
      <formula>B6&lt;#REF!</formula>
    </cfRule>
  </conditionalFormatting>
  <conditionalFormatting sqref="B7:B35">
    <cfRule type="expression" dxfId="117" priority="28">
      <formula>B7&lt;B6</formula>
    </cfRule>
  </conditionalFormatting>
  <conditionalFormatting sqref="B11:B19">
    <cfRule type="expression" dxfId="116" priority="45">
      <formula>B11&lt;#REF!</formula>
    </cfRule>
  </conditionalFormatting>
  <conditionalFormatting sqref="C35 E35:E37">
    <cfRule type="expression" dxfId="115" priority="427">
      <formula>C35&lt;C34</formula>
    </cfRule>
  </conditionalFormatting>
  <conditionalFormatting sqref="C6:D6">
    <cfRule type="expression" dxfId="114" priority="16">
      <formula>C6&lt;C5</formula>
    </cfRule>
  </conditionalFormatting>
  <conditionalFormatting sqref="C7:D7 H7:J7 R7 T7 W7 AB7">
    <cfRule type="expression" dxfId="113" priority="32">
      <formula>C7&lt;#REF!</formula>
    </cfRule>
  </conditionalFormatting>
  <conditionalFormatting sqref="C8:D14">
    <cfRule type="expression" dxfId="112" priority="36">
      <formula>C8&lt;C7</formula>
    </cfRule>
  </conditionalFormatting>
  <conditionalFormatting sqref="C36:D37">
    <cfRule type="expression" dxfId="111" priority="1480">
      <formula>C36&lt;C35</formula>
    </cfRule>
  </conditionalFormatting>
  <conditionalFormatting sqref="D35 B36:B37">
    <cfRule type="expression" dxfId="110" priority="1467">
      <formula>B35&lt;#REF!</formula>
    </cfRule>
  </conditionalFormatting>
  <conditionalFormatting sqref="E6:E14">
    <cfRule type="expression" dxfId="109" priority="5">
      <formula>E6&lt;E5</formula>
    </cfRule>
  </conditionalFormatting>
  <conditionalFormatting sqref="F6:F37">
    <cfRule type="expression" dxfId="108" priority="4">
      <formula>F6&lt;#REF!</formula>
    </cfRule>
  </conditionalFormatting>
  <conditionalFormatting sqref="G6:G37">
    <cfRule type="expression" dxfId="107" priority="2">
      <formula>G6&lt;G5</formula>
    </cfRule>
  </conditionalFormatting>
  <conditionalFormatting sqref="G36:J37 L36:O37">
    <cfRule type="expression" dxfId="106" priority="1314">
      <formula>G36&lt;G35</formula>
    </cfRule>
  </conditionalFormatting>
  <conditionalFormatting sqref="G6:O6">
    <cfRule type="expression" dxfId="105" priority="6">
      <formula>G6&lt;G5</formula>
    </cfRule>
  </conditionalFormatting>
  <conditionalFormatting sqref="H20:I34 H19">
    <cfRule type="expression" dxfId="104" priority="428">
      <formula>H19&lt;H18</formula>
    </cfRule>
  </conditionalFormatting>
  <conditionalFormatting sqref="H35:I35 R35 T35 W35 AB35 AE35:AI35 P36:P37 S36:S37 X36:Y37">
    <cfRule type="expression" dxfId="103" priority="1466">
      <formula>H35&lt;#REF!</formula>
    </cfRule>
  </conditionalFormatting>
  <conditionalFormatting sqref="H8:J18 I19">
    <cfRule type="expression" dxfId="102" priority="37">
      <formula>H8&lt;H7</formula>
    </cfRule>
  </conditionalFormatting>
  <conditionalFormatting sqref="J19:J35">
    <cfRule type="expression" dxfId="101" priority="429">
      <formula>J19&lt;J18</formula>
    </cfRule>
  </conditionalFormatting>
  <conditionalFormatting sqref="K11:L21">
    <cfRule type="expression" dxfId="100" priority="40">
      <formula>K11&lt;K10</formula>
    </cfRule>
  </conditionalFormatting>
  <conditionalFormatting sqref="K22:M22">
    <cfRule type="expression" dxfId="99" priority="430">
      <formula>K22&lt;K21</formula>
    </cfRule>
  </conditionalFormatting>
  <conditionalFormatting sqref="K7:O10">
    <cfRule type="expression" dxfId="98" priority="23">
      <formula>K7&lt;K6</formula>
    </cfRule>
  </conditionalFormatting>
  <conditionalFormatting sqref="K23:Z23 K24:K37">
    <cfRule type="expression" dxfId="97" priority="431">
      <formula>K23&lt;K22</formula>
    </cfRule>
  </conditionalFormatting>
  <conditionalFormatting sqref="L24:Z27 L28:AC28">
    <cfRule type="expression" dxfId="96" priority="433">
      <formula>L24&lt;L23</formula>
    </cfRule>
  </conditionalFormatting>
  <conditionalFormatting sqref="M11:M17">
    <cfRule type="expression" dxfId="95" priority="42">
      <formula>M11&lt;#REF!</formula>
    </cfRule>
  </conditionalFormatting>
  <conditionalFormatting sqref="N11:O12">
    <cfRule type="expression" dxfId="94" priority="41">
      <formula>N11&lt;N10</formula>
    </cfRule>
  </conditionalFormatting>
  <conditionalFormatting sqref="N13:T22">
    <cfRule type="expression" dxfId="93" priority="44">
      <formula>N13&lt;N12</formula>
    </cfRule>
  </conditionalFormatting>
  <conditionalFormatting sqref="P8:P12 V8:V12">
    <cfRule type="expression" dxfId="92" priority="39">
      <formula>P8&lt;#REF!</formula>
    </cfRule>
  </conditionalFormatting>
  <conditionalFormatting sqref="P6:Q6 X6:Y6 S6:S10">
    <cfRule type="expression" dxfId="91" priority="13">
      <formula>P6&lt;#REF!</formula>
    </cfRule>
  </conditionalFormatting>
  <conditionalFormatting sqref="P7:Q7">
    <cfRule type="expression" dxfId="90" priority="30">
      <formula>P7&lt;P6</formula>
    </cfRule>
  </conditionalFormatting>
  <conditionalFormatting sqref="Q36">
    <cfRule type="expression" dxfId="89" priority="1483">
      <formula>Q36&lt;#REF!</formula>
    </cfRule>
  </conditionalFormatting>
  <conditionalFormatting sqref="Q8:R10">
    <cfRule type="expression" dxfId="88" priority="38">
      <formula>Q8&lt;Q7</formula>
    </cfRule>
  </conditionalFormatting>
  <conditionalFormatting sqref="Q11:T12">
    <cfRule type="expression" dxfId="87" priority="43">
      <formula>Q11&lt;Q10</formula>
    </cfRule>
  </conditionalFormatting>
  <conditionalFormatting sqref="R6">
    <cfRule type="expression" dxfId="86" priority="15">
      <formula>R6&lt;R5</formula>
    </cfRule>
  </conditionalFormatting>
  <conditionalFormatting sqref="R36">
    <cfRule type="expression" dxfId="85" priority="1479">
      <formula>R36&lt;R35</formula>
    </cfRule>
  </conditionalFormatting>
  <conditionalFormatting sqref="T8:T10 AB8:AC10 AE8:AI10 AB11:AI27">
    <cfRule type="expression" dxfId="84" priority="34">
      <formula>T8&lt;T7</formula>
    </cfRule>
  </conditionalFormatting>
  <conditionalFormatting sqref="T6:W6 Z6 AB6">
    <cfRule type="expression" dxfId="83" priority="12">
      <formula>T6&lt;T5</formula>
    </cfRule>
  </conditionalFormatting>
  <conditionalFormatting sqref="U6:U22">
    <cfRule type="expression" dxfId="82" priority="9">
      <formula>U6&lt;U5</formula>
    </cfRule>
  </conditionalFormatting>
  <conditionalFormatting sqref="V7">
    <cfRule type="expression" dxfId="81" priority="25">
      <formula>V7&lt;V6</formula>
    </cfRule>
  </conditionalFormatting>
  <conditionalFormatting sqref="V13:X14 C15:E34">
    <cfRule type="expression" dxfId="80" priority="47">
      <formula>C13&lt;C12</formula>
    </cfRule>
  </conditionalFormatting>
  <conditionalFormatting sqref="M18:M21 V15:Z22">
    <cfRule type="expression" dxfId="79" priority="46">
      <formula>M15&lt;M14</formula>
    </cfRule>
  </conditionalFormatting>
  <conditionalFormatting sqref="V29:AC29 AA30:AC30 Z30:Z31 V30:Y34 AA31:AB31 AC31:AC37 Z32:AB34 V35 X35:AA35">
    <cfRule type="expression" dxfId="78" priority="437">
      <formula>V29&lt;V28</formula>
    </cfRule>
  </conditionalFormatting>
  <conditionalFormatting sqref="W8:W12">
    <cfRule type="expression" dxfId="77" priority="35">
      <formula>W8&lt;W7</formula>
    </cfRule>
  </conditionalFormatting>
  <conditionalFormatting sqref="Y7:Z14">
    <cfRule type="expression" dxfId="76" priority="26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435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432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27">
      <formula>X7&lt;#REF!</formula>
    </cfRule>
  </conditionalFormatting>
  <conditionalFormatting sqref="AE28:AI34 L29:T34 U29:U37 L35:Q35 S35">
    <cfRule type="expression" dxfId="68" priority="436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356">
      <formula>AK6&lt;AK5</formula>
    </cfRule>
  </conditionalFormatting>
  <conditionalFormatting sqref="AK13:AL15">
    <cfRule type="expression" dxfId="65" priority="1436">
      <formula>AK13&lt;#REF!</formula>
    </cfRule>
  </conditionalFormatting>
  <conditionalFormatting sqref="AL9:AL14 AL15:AN34 AK16:AK37 AK20:AN21 T36:W37 Z36:Z37 AB36:AB37 AE36:AI37 Q37:R37">
    <cfRule type="expression" dxfId="64" priority="1373">
      <formula>Q9&lt;Q8</formula>
    </cfRule>
  </conditionalFormatting>
  <conditionalFormatting sqref="AO9:AO34">
    <cfRule type="expression" dxfId="63" priority="1381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21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9" t="s">
        <v>7</v>
      </c>
      <c r="B7" s="383"/>
      <c r="C7" s="383"/>
      <c r="D7" s="942" t="s">
        <v>254</v>
      </c>
      <c r="E7" s="945" t="s">
        <v>286</v>
      </c>
      <c r="F7" s="939" t="s">
        <v>287</v>
      </c>
      <c r="G7" s="935" t="s">
        <v>255</v>
      </c>
      <c r="H7" s="935" t="s">
        <v>256</v>
      </c>
      <c r="I7" s="383" t="s">
        <v>3</v>
      </c>
      <c r="J7" s="383" t="s">
        <v>4</v>
      </c>
      <c r="K7" s="390" t="s">
        <v>53</v>
      </c>
      <c r="L7" s="936" t="s">
        <v>17</v>
      </c>
      <c r="M7" s="937"/>
      <c r="N7" s="937"/>
      <c r="O7" s="937"/>
      <c r="P7" s="938"/>
      <c r="Q7" s="933" t="s">
        <v>11</v>
      </c>
      <c r="R7" s="934"/>
      <c r="S7" s="934"/>
      <c r="T7" s="934"/>
    </row>
    <row r="8" spans="1:20" x14ac:dyDescent="0.2">
      <c r="A8" s="930"/>
      <c r="B8" s="384" t="s">
        <v>257</v>
      </c>
      <c r="C8" s="384" t="s">
        <v>258</v>
      </c>
      <c r="D8" s="943"/>
      <c r="E8" s="946"/>
      <c r="F8" s="940"/>
      <c r="G8" s="935"/>
      <c r="H8" s="93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1"/>
      <c r="B9" s="385"/>
      <c r="C9" s="385"/>
      <c r="D9" s="944"/>
      <c r="E9" s="947"/>
      <c r="F9" s="94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1500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5822</v>
      </c>
      <c r="E22" s="873"/>
      <c r="F22" s="721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5822</v>
      </c>
      <c r="I22" s="737">
        <f>'Water '!Z19*10</f>
        <v>3470</v>
      </c>
      <c r="J22" s="720" t="str">
        <f>IF('Entries October 2026'!B19-'Entries October 2026'!B18&lt;1,"0",'Entries October 2026'!B19-'Entries October 2026'!B18)</f>
        <v>0</v>
      </c>
      <c r="K22" s="722">
        <f>'CO2'!E19</f>
        <v>2100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568.85400000000004</v>
      </c>
      <c r="Q22" s="393">
        <f>IF(P22=0,0,H22/P22)</f>
        <v>10.234612044566795</v>
      </c>
      <c r="R22" s="393">
        <f>IF(Q22=0,0,I22/P22)</f>
        <v>6.0999834755490863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 t="str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 t="str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76891</v>
      </c>
      <c r="E43" s="741">
        <f>SUM(E10:E40)</f>
        <v>14793.499999999998</v>
      </c>
      <c r="F43" s="754">
        <f>IF((E43+D43)=0,"0",E43/(D43+E43))</f>
        <v>0.16135224601759293</v>
      </c>
      <c r="G43" s="20">
        <f t="shared" ref="G43:P43" si="7">SUM(G10:G40)</f>
        <v>0</v>
      </c>
      <c r="H43" s="20">
        <f t="shared" si="7"/>
        <v>91684.499999999985</v>
      </c>
      <c r="I43" s="20">
        <f t="shared" si="7"/>
        <v>37370</v>
      </c>
      <c r="J43" s="20">
        <f t="shared" si="7"/>
        <v>960</v>
      </c>
      <c r="K43" s="20">
        <f t="shared" si="7"/>
        <v>16400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3216.9168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91684.5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28.500737103303383</v>
      </c>
      <c r="R44" s="398">
        <f>IF(Q44=0,0,I43/P43)</f>
        <v>11.616713245428045</v>
      </c>
      <c r="S44" s="398">
        <f>IF(R44=0,0,J43/P43)</f>
        <v>0.29842239003507953</v>
      </c>
      <c r="T44" s="399">
        <f>IF(S44=0,0,K43/P43)</f>
        <v>5.0980491630992759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2"/>
      <c r="E47" s="932"/>
      <c r="F47" s="932"/>
      <c r="G47" s="932"/>
      <c r="H47" s="932"/>
      <c r="I47" s="93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8" t="s">
        <v>7</v>
      </c>
      <c r="B3" s="950" t="s">
        <v>235</v>
      </c>
    </row>
    <row r="4" spans="1:4" ht="15" customHeight="1" x14ac:dyDescent="0.2">
      <c r="A4" s="949"/>
      <c r="B4" s="95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D19" sqref="D19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0" t="s">
        <v>304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</row>
    <row r="2" spans="1:17" ht="15" customHeight="1" x14ac:dyDescent="0.2">
      <c r="B2" s="8"/>
      <c r="D2" s="8"/>
      <c r="E2" s="8"/>
      <c r="F2" s="9"/>
      <c r="M2" s="952" t="s">
        <v>296</v>
      </c>
      <c r="N2" s="952" t="s">
        <v>297</v>
      </c>
    </row>
    <row r="3" spans="1:17" ht="15.75" thickBot="1" x14ac:dyDescent="0.25">
      <c r="B3" s="8"/>
      <c r="D3" s="8"/>
      <c r="E3" s="8"/>
      <c r="F3" s="9"/>
      <c r="M3" s="953"/>
      <c r="N3" s="953"/>
    </row>
    <row r="4" spans="1:17" s="339" customFormat="1" ht="32.25" customHeight="1" x14ac:dyDescent="0.2">
      <c r="A4" s="96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2" t="s">
        <v>243</v>
      </c>
      <c r="M4" s="964" t="s">
        <v>246</v>
      </c>
      <c r="N4" s="954" t="s">
        <v>246</v>
      </c>
      <c r="O4" s="957" t="s">
        <v>298</v>
      </c>
      <c r="P4" s="350"/>
    </row>
    <row r="5" spans="1:17" s="339" customFormat="1" ht="16.5" thickBot="1" x14ac:dyDescent="0.25">
      <c r="A5" s="96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3"/>
      <c r="M5" s="965"/>
      <c r="N5" s="955"/>
      <c r="O5" s="95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6"/>
      <c r="O6" s="95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>
        <f>IF('Entries October 2026'!F19-'Entries October 2026'!F18&lt;1,"0",'Entries October 2026'!F19-'Entries October 2026'!F18)</f>
        <v>20.299999999999272</v>
      </c>
      <c r="D19" s="839">
        <f>IF('Entries October 2026'!C19-'Entries October 2026'!C18&lt;1,"0",'Entries October 2026'!C19-'Entries October 2026'!C18)</f>
        <v>2133.5999999998603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>
        <f t="shared" si="3"/>
        <v>0</v>
      </c>
      <c r="J19" s="740" t="str">
        <f t="shared" si="1"/>
        <v>0</v>
      </c>
      <c r="K19" s="739">
        <f t="shared" si="4"/>
        <v>0</v>
      </c>
      <c r="L19" s="831">
        <v>568.85400000000004</v>
      </c>
      <c r="M19" s="829">
        <f t="shared" si="5"/>
        <v>0</v>
      </c>
      <c r="N19" s="829">
        <f t="shared" si="2"/>
        <v>3.750698773322962</v>
      </c>
      <c r="O19" s="830">
        <f t="shared" si="6"/>
        <v>-2133.5999999998603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196.20000000000073</v>
      </c>
      <c r="D38" s="840">
        <f t="shared" si="7"/>
        <v>28434.899999999907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4.892966360856251</v>
      </c>
      <c r="J38" s="355"/>
      <c r="K38" s="356">
        <f>SUM(K7:K37)</f>
        <v>960</v>
      </c>
      <c r="L38" s="828">
        <f>SUM(L7:L37)</f>
        <v>3216.9168</v>
      </c>
      <c r="M38" s="834">
        <f>IF(L38=0,"0",(K38/L38))</f>
        <v>0.29842239003507953</v>
      </c>
      <c r="N38" s="834">
        <f>IF(L38=0,"0",(D38/L38))</f>
        <v>8.839177935842141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15.092307692307749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0"/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961"/>
      <c r="X1" s="961"/>
      <c r="Y1" s="961"/>
      <c r="Z1" s="961"/>
      <c r="AA1" s="96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80" t="s">
        <v>7</v>
      </c>
      <c r="C4" s="972" t="s">
        <v>105</v>
      </c>
      <c r="D4" s="977" t="s">
        <v>106</v>
      </c>
      <c r="E4" s="972" t="s">
        <v>107</v>
      </c>
      <c r="F4" s="977" t="s">
        <v>239</v>
      </c>
      <c r="G4" s="977" t="s">
        <v>108</v>
      </c>
      <c r="H4" s="977" t="s">
        <v>161</v>
      </c>
      <c r="I4" s="972" t="s">
        <v>207</v>
      </c>
      <c r="J4" s="972" t="s">
        <v>109</v>
      </c>
      <c r="K4" s="972" t="s">
        <v>174</v>
      </c>
      <c r="L4" s="972" t="s">
        <v>173</v>
      </c>
      <c r="M4" s="972" t="s">
        <v>103</v>
      </c>
      <c r="N4" s="48"/>
      <c r="O4" s="48"/>
      <c r="P4" s="48"/>
      <c r="Q4" s="48"/>
      <c r="R4" s="977" t="s">
        <v>110</v>
      </c>
      <c r="S4" s="977" t="s">
        <v>240</v>
      </c>
      <c r="T4" s="48"/>
      <c r="U4" s="972" t="s">
        <v>153</v>
      </c>
      <c r="V4" s="48"/>
      <c r="W4" s="48"/>
      <c r="X4" s="972" t="s">
        <v>175</v>
      </c>
      <c r="Y4" s="972" t="s">
        <v>176</v>
      </c>
      <c r="Z4" s="970" t="s">
        <v>247</v>
      </c>
      <c r="AA4" s="974" t="s">
        <v>243</v>
      </c>
      <c r="AB4" s="968" t="s">
        <v>76</v>
      </c>
    </row>
    <row r="5" spans="1:31" s="300" customFormat="1" ht="47.25" customHeight="1" x14ac:dyDescent="0.2">
      <c r="B5" s="981"/>
      <c r="C5" s="979"/>
      <c r="D5" s="978"/>
      <c r="E5" s="973"/>
      <c r="F5" s="978"/>
      <c r="G5" s="978"/>
      <c r="H5" s="978"/>
      <c r="I5" s="973"/>
      <c r="J5" s="973"/>
      <c r="K5" s="973"/>
      <c r="L5" s="973"/>
      <c r="M5" s="973"/>
      <c r="N5" s="50" t="s">
        <v>111</v>
      </c>
      <c r="O5" s="50" t="s">
        <v>112</v>
      </c>
      <c r="P5" s="50" t="s">
        <v>242</v>
      </c>
      <c r="Q5" s="50" t="s">
        <v>113</v>
      </c>
      <c r="R5" s="978"/>
      <c r="S5" s="978"/>
      <c r="T5" s="49" t="s">
        <v>99</v>
      </c>
      <c r="U5" s="976"/>
      <c r="V5" s="80" t="s">
        <v>156</v>
      </c>
      <c r="W5" s="80" t="s">
        <v>157</v>
      </c>
      <c r="X5" s="973"/>
      <c r="Y5" s="973"/>
      <c r="Z5" s="971"/>
      <c r="AA5" s="975"/>
      <c r="AB5" s="969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>
        <f>IF('Entries October 2026'!O19-'Entries October 2026'!O18&lt;1,"0",'Entries October 2026'!O19-'Entries October 2026'!O18)</f>
        <v>235</v>
      </c>
      <c r="E19" s="693">
        <f>IF('Entries October 2026'!P19-'Entries October 2026'!P18&lt;1,"0",'Entries October 2026'!P19-'Entries October 2026'!P18)</f>
        <v>112</v>
      </c>
      <c r="F19" s="693">
        <f>IF('Entries October 2026'!V19-'Entries October 2026'!V18&lt;1,"0",'Entries October 2026'!V19-'Entries October 2026'!V18)</f>
        <v>114</v>
      </c>
      <c r="G19" s="693">
        <f t="shared" si="0"/>
        <v>233</v>
      </c>
      <c r="H19" s="693">
        <f>IF('Entries October 2026'!Q19-'Entries October 2026'!Q18&lt;1,0,'Entries October 2026'!Q19-'Entries October 2026'!Q18)</f>
        <v>239</v>
      </c>
      <c r="I19" s="693">
        <f>IF('Entries October 2026'!AG19-'Entries October 2026'!AG18&lt;1,0,'Entries October 2026'!AG19-'Entries October 2026'!AG18)</f>
        <v>0</v>
      </c>
      <c r="J19" s="693">
        <f>IF('Entries October 2026'!S19-'Entries October 2026'!S18&lt;1,"0",'Entries October 2026'!S19-'Entries October 2026'!S18)</f>
        <v>86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>
        <f>IF('Entries October 2026'!U19-'Entries October 2026'!U18&lt;1,"0",'Entries October 2026'!U19-'Entries October 2026'!U18)</f>
        <v>3</v>
      </c>
      <c r="N19" s="693">
        <f>IF('Entries October 2026'!X19-'Entries October 2026'!X18&lt;1,"0",'Entries October 2026'!X19-'Entries October 2026'!X18)</f>
        <v>27</v>
      </c>
      <c r="O19" s="693">
        <f>IF('Entries October 2026'!Y19-'Entries October 2026'!Y18&lt;1,"0",'Entries October 2026'!Y19-'Entries October 2026'!Y18)</f>
        <v>99</v>
      </c>
      <c r="P19" s="693">
        <f>IF('Entries October 2026'!AC19-'Entries October 2026'!AC18&lt;1,"0",'Entries October 2026'!AC19-'Entries October 2026'!AC18)</f>
        <v>26</v>
      </c>
      <c r="Q19" s="693">
        <f>IF('Entries October 2026'!Z19-'Entries October 2026'!Z18&lt;1,"0",'Entries October 2026'!Z19-'Entries October 2026'!Z18)</f>
        <v>15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2330</v>
      </c>
      <c r="T19" s="692">
        <f t="shared" si="1"/>
        <v>129</v>
      </c>
      <c r="U19" s="693">
        <f>IF('Entries October 2026'!AC19-'Entries October 2026'!AC18&lt;1,"0",'Entries October 2026'!AC19-'Entries October 2026'!AC18)</f>
        <v>26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2079</v>
      </c>
      <c r="E38" s="303">
        <f>SUM(E7:E37)</f>
        <v>1658</v>
      </c>
      <c r="F38" s="303">
        <f>SUM(F7:F37)</f>
        <v>1794</v>
      </c>
      <c r="G38" s="304">
        <f>SUM(G7:G37)</f>
        <v>1943</v>
      </c>
      <c r="H38" s="303">
        <f t="shared" si="5"/>
        <v>2071</v>
      </c>
      <c r="I38" s="303"/>
      <c r="J38" s="303">
        <f t="shared" si="5"/>
        <v>1643</v>
      </c>
      <c r="K38" s="303"/>
      <c r="L38" s="303">
        <f t="shared" si="5"/>
        <v>0</v>
      </c>
      <c r="M38" s="303">
        <f>SUM(M7:M37)</f>
        <v>27</v>
      </c>
      <c r="N38" s="303">
        <f t="shared" si="5"/>
        <v>399</v>
      </c>
      <c r="O38" s="303">
        <f t="shared" si="5"/>
        <v>870</v>
      </c>
      <c r="P38" s="303">
        <f>SUM(P7:P37)</f>
        <v>164</v>
      </c>
      <c r="Q38" s="303">
        <f>SUM(Q7:Q37)</f>
        <v>239</v>
      </c>
      <c r="R38" s="303">
        <f>SUM(R7:R34)</f>
        <v>0</v>
      </c>
      <c r="S38" s="304">
        <f>SUM(S7:S37)</f>
        <v>19430</v>
      </c>
      <c r="T38" s="304">
        <f>SUM(T7:T37)</f>
        <v>1296</v>
      </c>
      <c r="U38" s="303">
        <f>SUM(U7:U37)</f>
        <v>164</v>
      </c>
      <c r="V38" s="303">
        <f>SUM(V7:V37)</f>
        <v>0</v>
      </c>
      <c r="W38" s="303"/>
      <c r="X38" s="303"/>
      <c r="Y38" s="303"/>
      <c r="Z38" s="332">
        <f>SUM(Z7:Z37)</f>
        <v>3737</v>
      </c>
      <c r="AA38" s="332">
        <f>SUM(AA7:AA37)</f>
        <v>3216.9168</v>
      </c>
      <c r="AB38" s="331">
        <f>IF(AA38=0,"0",(Z38*10/AA38))</f>
        <v>11.616713245428045</v>
      </c>
      <c r="AC38" s="321">
        <v>10.199999999999999</v>
      </c>
      <c r="AD38" s="340">
        <f>AB38/AC38*100</f>
        <v>113.88934554341222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457380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7231.1778000000004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7510.1478000000006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5006.7652000000007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12516.913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20" sqref="D20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2" t="s">
        <v>303</v>
      </c>
      <c r="B1" s="983"/>
      <c r="C1" s="983"/>
      <c r="D1" s="984"/>
      <c r="E1" s="983"/>
      <c r="F1" s="983"/>
      <c r="G1" s="98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6" t="s">
        <v>7</v>
      </c>
      <c r="B4" s="39" t="s">
        <v>46</v>
      </c>
      <c r="C4" s="360" t="s">
        <v>47</v>
      </c>
      <c r="D4" s="361" t="s">
        <v>285</v>
      </c>
      <c r="E4" s="986" t="s">
        <v>245</v>
      </c>
      <c r="F4" s="989" t="s">
        <v>243</v>
      </c>
      <c r="G4" s="992" t="s">
        <v>253</v>
      </c>
      <c r="H4" s="995"/>
    </row>
    <row r="5" spans="1:10" ht="15.75" x14ac:dyDescent="0.25">
      <c r="A5" s="997"/>
      <c r="B5" s="34" t="s">
        <v>48</v>
      </c>
      <c r="C5" s="361" t="s">
        <v>49</v>
      </c>
      <c r="D5" s="361" t="s">
        <v>49</v>
      </c>
      <c r="E5" s="987"/>
      <c r="F5" s="990"/>
      <c r="G5" s="993"/>
      <c r="H5" s="995"/>
    </row>
    <row r="6" spans="1:10" ht="16.5" thickBot="1" x14ac:dyDescent="0.3">
      <c r="A6" s="998"/>
      <c r="B6" s="40"/>
      <c r="C6" s="362"/>
      <c r="D6" s="361"/>
      <c r="E6" s="988"/>
      <c r="F6" s="991"/>
      <c r="G6" s="994"/>
      <c r="H6" s="99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5822</v>
      </c>
      <c r="C19" s="762">
        <f>'Utility Analysis October 2026'!G22</f>
        <v>0</v>
      </c>
      <c r="D19" s="763">
        <v>1345.4</v>
      </c>
      <c r="E19" s="764">
        <f t="shared" si="0"/>
        <v>7167.4</v>
      </c>
      <c r="F19" s="765">
        <f>'PROD.FIG. '!H17</f>
        <v>568.85400000000004</v>
      </c>
      <c r="G19" s="456">
        <f t="shared" si="1"/>
        <v>12.599718029582281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 t="str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76891</v>
      </c>
      <c r="C38" s="308">
        <f>SUM(C7:C37)</f>
        <v>0</v>
      </c>
      <c r="D38" s="308">
        <f>SUM(D7:D37)</f>
        <v>16138.899999999998</v>
      </c>
      <c r="E38" s="337">
        <f>SUM(E7:E37)</f>
        <v>93029.89999999998</v>
      </c>
      <c r="F38" s="358">
        <f>SUM(F7:F37)</f>
        <v>3216.9168</v>
      </c>
      <c r="G38" s="338">
        <f>IF(F38=0,"0",(E38/F38))</f>
        <v>28.918963648671294</v>
      </c>
      <c r="H38" s="335">
        <v>22</v>
      </c>
      <c r="I38" s="340">
        <f>G38/H38*100</f>
        <v>131.4498347666877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9" t="s">
        <v>302</v>
      </c>
      <c r="B1" s="961"/>
      <c r="C1" s="961"/>
      <c r="D1" s="961"/>
      <c r="E1" s="961"/>
      <c r="F1" s="961"/>
      <c r="G1" s="961"/>
      <c r="H1" s="96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>
        <v>568.85400000000004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3216.9168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12" t="s">
        <v>267</v>
      </c>
      <c r="J3" s="1013"/>
      <c r="K3" s="1014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5" t="s">
        <v>262</v>
      </c>
      <c r="J4" s="1016"/>
      <c r="K4" s="1017"/>
      <c r="M4" s="417"/>
      <c r="N4" s="417"/>
      <c r="O4" s="418"/>
      <c r="P4" s="418"/>
      <c r="Q4" s="1027" t="s">
        <v>283</v>
      </c>
      <c r="R4" s="1027"/>
      <c r="S4" s="1027"/>
      <c r="T4" s="1027"/>
      <c r="U4" s="191"/>
      <c r="V4" s="417"/>
      <c r="W4" s="191"/>
      <c r="X4" s="191"/>
    </row>
    <row r="5" spans="1:24" ht="15.75" customHeight="1" thickBot="1" x14ac:dyDescent="0.25">
      <c r="A5" s="948" t="s">
        <v>7</v>
      </c>
      <c r="B5" s="950" t="s">
        <v>251</v>
      </c>
      <c r="C5" s="950" t="s">
        <v>282</v>
      </c>
      <c r="D5" s="1006" t="s">
        <v>279</v>
      </c>
      <c r="E5" s="1006" t="s">
        <v>280</v>
      </c>
      <c r="F5" s="1004" t="s">
        <v>243</v>
      </c>
      <c r="G5" s="1001" t="s">
        <v>249</v>
      </c>
      <c r="I5" s="419" t="s">
        <v>263</v>
      </c>
      <c r="J5" s="420" t="s">
        <v>264</v>
      </c>
      <c r="K5" s="421" t="s">
        <v>265</v>
      </c>
      <c r="M5" s="1018" t="s">
        <v>266</v>
      </c>
      <c r="N5" s="1019"/>
      <c r="O5" s="1020"/>
      <c r="P5" s="422"/>
      <c r="Q5" s="1021" t="s">
        <v>7</v>
      </c>
      <c r="R5" s="1023" t="s">
        <v>267</v>
      </c>
      <c r="S5" s="1024"/>
      <c r="T5" s="452" t="s">
        <v>268</v>
      </c>
      <c r="U5" s="423" t="s">
        <v>269</v>
      </c>
      <c r="V5" s="1025" t="s">
        <v>277</v>
      </c>
      <c r="W5" s="1008" t="s">
        <v>270</v>
      </c>
      <c r="X5" s="1010" t="s">
        <v>271</v>
      </c>
    </row>
    <row r="6" spans="1:24" ht="28.5" customHeight="1" thickBot="1" x14ac:dyDescent="0.25">
      <c r="A6" s="1000"/>
      <c r="B6" s="1003"/>
      <c r="C6" s="1003"/>
      <c r="D6" s="1007"/>
      <c r="E6" s="1007"/>
      <c r="F6" s="1005"/>
      <c r="G6" s="100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22"/>
      <c r="R6" s="448" t="s">
        <v>274</v>
      </c>
      <c r="S6" s="449" t="s">
        <v>275</v>
      </c>
      <c r="T6" s="453" t="s">
        <v>275</v>
      </c>
      <c r="U6" s="429" t="s">
        <v>275</v>
      </c>
      <c r="V6" s="1026"/>
      <c r="W6" s="1009"/>
      <c r="X6" s="1011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1500</v>
      </c>
      <c r="F18" s="769">
        <v>237.13800000000001</v>
      </c>
      <c r="G18" s="336">
        <f t="shared" si="1"/>
        <v>6.3254307618348804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>
        <f>IF('Entries October 2026'!N19-'Entries October 2026'!N18&lt;1,"0",'Entries October 2026'!N19-'Entries October 2026'!N18)</f>
        <v>285.63000000000466</v>
      </c>
      <c r="C19" s="768">
        <f>IF('Entries October 2026'!L19-'Entries October 2026'!L18&lt;1,"0",'Entries October 2026'!L19-'Entries October 2026'!L18)</f>
        <v>282.16000000000349</v>
      </c>
      <c r="D19" s="768">
        <f>IF('Entries October 2026'!M19-'Entries October 2026'!M18&lt;1,"0",'Entries October 2026'!M19-'Entries October 2026'!M18)</f>
        <v>2027.25</v>
      </c>
      <c r="E19" s="768">
        <v>2100</v>
      </c>
      <c r="F19" s="769">
        <v>568.85400000000004</v>
      </c>
      <c r="G19" s="336">
        <f t="shared" si="1"/>
        <v>3.6916326509086685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1880.5200000000041</v>
      </c>
      <c r="C38" s="713">
        <f>SUM(C7:C37)</f>
        <v>4637.7400000000052</v>
      </c>
      <c r="D38" s="713">
        <f>SUM(D7:D37)</f>
        <v>14171.849999999977</v>
      </c>
      <c r="E38" s="713">
        <f>SUM(E7:E37)</f>
        <v>16400</v>
      </c>
      <c r="F38" s="714">
        <f>SUM(F7:F37)</f>
        <v>3216.9168</v>
      </c>
      <c r="G38" s="345">
        <f>IF(F38=0,"0",(E38/F38))</f>
        <v>5.0980491630992759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43172</v>
      </c>
      <c r="AH8" s="293">
        <v>96325</v>
      </c>
      <c r="AI8" s="294">
        <f>AG8-AH8</f>
        <v>-53153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3216.9168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8">
        <f>'Daily KPIs'!Y10</f>
        <v>0</v>
      </c>
      <c r="Z10" s="102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2079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1658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3737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1725.7200000000003</v>
      </c>
      <c r="AH21" s="225">
        <f>AG24+AG37+AG28</f>
        <v>3968</v>
      </c>
      <c r="AI21" s="271"/>
      <c r="AJ21" s="272">
        <f>(AH21*10)/AG9</f>
        <v>12.334792121449954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2071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2071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1643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30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453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1365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164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27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254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144</v>
      </c>
      <c r="P42" s="138">
        <f t="shared" si="4"/>
        <v>153</v>
      </c>
      <c r="Q42" s="138">
        <f t="shared" si="4"/>
        <v>99</v>
      </c>
      <c r="R42" s="138">
        <f t="shared" si="4"/>
        <v>99</v>
      </c>
      <c r="S42" s="138">
        <f t="shared" si="4"/>
        <v>99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4098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1880.5200000000041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76891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11.616713245428045</v>
      </c>
      <c r="AH59" s="239">
        <f>'Daily KPIs'!AI90</f>
        <v>10.199999999999999</v>
      </c>
      <c r="AI59" s="282">
        <f>+AH59-AG59</f>
        <v>-1.4167132454280456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5.1073748627878723</v>
      </c>
      <c r="AH62" s="241">
        <v>2.5</v>
      </c>
      <c r="AI62" s="242">
        <f t="shared" ref="AI62:AI78" si="11">AH62-AG62</f>
        <v>-2.6073748627878723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6.0942136498516319</v>
      </c>
      <c r="AH63" s="243">
        <v>2.5</v>
      </c>
      <c r="AI63" s="244">
        <f t="shared" si="11"/>
        <v>-3.5942136498516319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9.3256996885962368E-2</v>
      </c>
      <c r="AH67" s="249">
        <v>1</v>
      </c>
      <c r="AI67" s="250">
        <f>AH67-AG67</f>
        <v>0.90674300311403766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1.4081806529780316</v>
      </c>
      <c r="AH68" s="241">
        <v>0.7</v>
      </c>
      <c r="AI68" s="242">
        <f t="shared" si="11"/>
        <v>-0.70818065297803168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4.2431933583112871</v>
      </c>
      <c r="AH69" s="241">
        <v>2.6</v>
      </c>
      <c r="AI69" s="242">
        <f t="shared" si="11"/>
        <v>-1.643193358311287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0.50980491630992752</v>
      </c>
      <c r="AH71" s="241">
        <v>0.7</v>
      </c>
      <c r="AI71" s="242">
        <f>AH71-AG71</f>
        <v>0.19019508369007243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8.3931297197366125E-2</v>
      </c>
      <c r="AH72" s="241">
        <v>0.1</v>
      </c>
      <c r="AI72" s="242">
        <f>AH72-AG72</f>
        <v>1.606870280263388E-2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0.78957590696781466</v>
      </c>
      <c r="AH73" s="241">
        <v>0.6</v>
      </c>
      <c r="AI73" s="242">
        <f t="shared" si="11"/>
        <v>-0.18957590696781468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18.329531641289897</v>
      </c>
      <c r="AH78" s="253">
        <f t="shared" si="37"/>
        <v>15.599999999999998</v>
      </c>
      <c r="AI78" s="253">
        <f t="shared" si="11"/>
        <v>-2.7295316412898991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4.8369295718185805</v>
      </c>
      <c r="AH79" s="254">
        <f t="shared" si="38"/>
        <v>6</v>
      </c>
      <c r="AI79" s="254">
        <f t="shared" si="38"/>
        <v>1.1630704281814193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0.58457215927996775</v>
      </c>
      <c r="AH81" s="287">
        <f>'Daily KPIs'!AI93</f>
        <v>1.7</v>
      </c>
      <c r="AI81" s="286">
        <f>AH81-AG81</f>
        <v>1.1154278407200322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23.902079158528441</v>
      </c>
      <c r="AH82" s="239">
        <f>'Daily KPIs'!AI94</f>
        <v>22</v>
      </c>
      <c r="AI82" s="286">
        <f>AH82-AG82</f>
        <v>-1.9020791585284407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0.29842239003507953</v>
      </c>
      <c r="AH84" s="256">
        <f>'Daily KPIs'!AI96</f>
        <v>7.2</v>
      </c>
      <c r="AI84" s="286">
        <f>AH84-AG84</f>
        <v>6.9015776099649209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551175.7300000001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59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2364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76891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G1" activePane="topRight" state="frozen"/>
      <selection pane="topRight" activeCell="K17" sqref="K17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15" width="29.7109375" style="469" customWidth="1"/>
    <col min="16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1"/>
      <c r="L3" s="90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/>
      <c r="AH7" s="477" t="s">
        <v>19</v>
      </c>
      <c r="AI7" s="90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>
        <f>842+7777</f>
        <v>8619</v>
      </c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48656</v>
      </c>
      <c r="AI8" s="526">
        <v>123950</v>
      </c>
      <c r="AJ8" s="294">
        <f>AH8-AI8</f>
        <v>-75294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568.85400000000004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3216.9168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310</v>
      </c>
      <c r="J10" s="894" t="s">
        <v>309</v>
      </c>
      <c r="K10" s="871"/>
      <c r="L10" s="871"/>
      <c r="M10" s="681" t="s">
        <v>312</v>
      </c>
      <c r="N10" s="770" t="s">
        <v>307</v>
      </c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770" t="s">
        <v>310</v>
      </c>
      <c r="H13" s="682" t="s">
        <v>309</v>
      </c>
      <c r="I13" s="770" t="s">
        <v>314</v>
      </c>
      <c r="J13" s="669" t="s">
        <v>307</v>
      </c>
      <c r="K13" s="897" t="s">
        <v>311</v>
      </c>
      <c r="L13" s="669"/>
      <c r="M13" s="798" t="s">
        <v>309</v>
      </c>
      <c r="N13" s="1029" t="s">
        <v>313</v>
      </c>
      <c r="O13" s="770" t="s">
        <v>315</v>
      </c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8">
        <v>8</v>
      </c>
      <c r="L14" s="498"/>
      <c r="M14" s="498">
        <v>1</v>
      </c>
      <c r="N14" s="498">
        <v>4</v>
      </c>
      <c r="O14" s="498">
        <v>0</v>
      </c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59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6.0942136498516319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>
        <f>+'Water '!$D19</f>
        <v>235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2079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>
        <f>+'Water '!$E19</f>
        <v>112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1658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449</v>
      </c>
      <c r="J22" s="514">
        <f>SUM(J19:J21)</f>
        <v>639</v>
      </c>
      <c r="K22" s="514">
        <f t="shared" si="3"/>
        <v>315</v>
      </c>
      <c r="L22" s="514">
        <f>SUM(L19:L21)</f>
        <v>3</v>
      </c>
      <c r="M22" s="514">
        <f t="shared" si="3"/>
        <v>381</v>
      </c>
      <c r="N22" s="514">
        <f>SUM(N19:N21)</f>
        <v>347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3737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151.10999999999999</v>
      </c>
      <c r="J26" s="521">
        <f t="shared" si="4"/>
        <v>115.34</v>
      </c>
      <c r="K26" s="521">
        <f>0.73*(K71+K19)</f>
        <v>124.1</v>
      </c>
      <c r="L26" s="521">
        <f t="shared" si="4"/>
        <v>3.65</v>
      </c>
      <c r="M26" s="521">
        <f t="shared" si="4"/>
        <v>180.31</v>
      </c>
      <c r="N26" s="521">
        <f t="shared" si="4"/>
        <v>83.22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1309.6200000000001</v>
      </c>
      <c r="AI26" s="523">
        <f>AH29+AH45+AH36</f>
        <v>3953</v>
      </c>
      <c r="AK26" s="524">
        <f>(AI26*10)/AH9</f>
        <v>12.288163623006973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239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2071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>
        <f t="shared" si="5"/>
        <v>187</v>
      </c>
      <c r="J30" s="509">
        <f t="shared" si="5"/>
        <v>192</v>
      </c>
      <c r="K30" s="509">
        <f t="shared" si="5"/>
        <v>162</v>
      </c>
      <c r="L30" s="509">
        <f t="shared" si="5"/>
        <v>18</v>
      </c>
      <c r="M30" s="509">
        <f t="shared" si="5"/>
        <v>72</v>
      </c>
      <c r="N30" s="509">
        <f t="shared" si="5"/>
        <v>86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1643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>
        <f t="shared" si="6"/>
        <v>17</v>
      </c>
      <c r="J31" s="509">
        <f>J45</f>
        <v>24</v>
      </c>
      <c r="K31" s="509">
        <f>K45</f>
        <v>11</v>
      </c>
      <c r="L31" s="509">
        <f t="shared" si="6"/>
        <v>9</v>
      </c>
      <c r="M31" s="509">
        <f>M45</f>
        <v>71</v>
      </c>
      <c r="N31" s="509">
        <f t="shared" si="6"/>
        <v>15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239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422</v>
      </c>
      <c r="J32" s="527">
        <f t="shared" si="7"/>
        <v>422</v>
      </c>
      <c r="K32" s="527">
        <f>SUM(K28:K31)</f>
        <v>230</v>
      </c>
      <c r="L32" s="527">
        <f t="shared" si="7"/>
        <v>70</v>
      </c>
      <c r="M32" s="527">
        <f t="shared" si="7"/>
        <v>312</v>
      </c>
      <c r="N32" s="527">
        <f t="shared" si="7"/>
        <v>340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3953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>
        <f>+'Water '!$J19</f>
        <v>86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1643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>
        <f>+'Water '!$N19</f>
        <v>27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399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>
        <f>+'Water '!$O19</f>
        <v>99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870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>
        <v>26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164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>
        <f>+'Water '!$M19</f>
        <v>3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27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>
        <f>+'Water '!$Q19</f>
        <v>15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239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382</v>
      </c>
      <c r="J50" s="484">
        <f t="shared" si="8"/>
        <v>350</v>
      </c>
      <c r="K50" s="484">
        <f t="shared" si="8"/>
        <v>184</v>
      </c>
      <c r="L50" s="484">
        <f t="shared" si="8"/>
        <v>27</v>
      </c>
      <c r="M50" s="484">
        <f t="shared" si="8"/>
        <v>319</v>
      </c>
      <c r="N50" s="484">
        <f t="shared" si="8"/>
        <v>256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3342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0">IF(I$9=0,"",+(I36*10)/I$9)</f>
        <v>5.1769291674279794</v>
      </c>
      <c r="J54" s="545">
        <f t="shared" si="10"/>
        <v>6.2239856848329245</v>
      </c>
      <c r="K54" s="545" t="str">
        <f t="shared" si="10"/>
        <v/>
      </c>
      <c r="L54" s="545" t="str">
        <f t="shared" si="10"/>
        <v/>
      </c>
      <c r="M54" s="545">
        <f t="shared" si="10"/>
        <v>3.0362067656807428</v>
      </c>
      <c r="N54" s="545">
        <f t="shared" si="10"/>
        <v>1.5118114665625977</v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5.1073748627878723</v>
      </c>
      <c r="AI54" s="546">
        <v>3.2</v>
      </c>
      <c r="AJ54" s="547">
        <f t="shared" ref="AJ54:AJ67" si="11">AI54-AH54</f>
        <v>-1.9073748627878722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>
        <f t="shared" ref="I56:AF56" si="16">IF(I$9=0,"",+(I38*10)/I$9)</f>
        <v>0</v>
      </c>
      <c r="J56" s="545">
        <f t="shared" si="16"/>
        <v>0</v>
      </c>
      <c r="K56" s="545" t="str">
        <f t="shared" si="16"/>
        <v/>
      </c>
      <c r="L56" s="545" t="str">
        <f t="shared" si="16"/>
        <v/>
      </c>
      <c r="M56" s="545">
        <f t="shared" si="16"/>
        <v>0</v>
      </c>
      <c r="N56" s="545">
        <f t="shared" si="16"/>
        <v>0</v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>
        <f t="shared" ref="I57:AE57" si="19">IF(I$9=0,"",+(I39*10)/I$9)</f>
        <v>0</v>
      </c>
      <c r="J57" s="549">
        <f t="shared" si="19"/>
        <v>0</v>
      </c>
      <c r="K57" s="549" t="str">
        <f t="shared" si="19"/>
        <v/>
      </c>
      <c r="L57" s="549" t="str">
        <f t="shared" si="19"/>
        <v/>
      </c>
      <c r="M57" s="549">
        <f t="shared" si="19"/>
        <v>0</v>
      </c>
      <c r="N57" s="549">
        <f t="shared" si="19"/>
        <v>0</v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>
        <f t="shared" ref="I58:AF58" si="20">IF(I$9=0,"",+(I40*10)/I$9)</f>
        <v>0</v>
      </c>
      <c r="J58" s="545">
        <f t="shared" si="20"/>
        <v>0</v>
      </c>
      <c r="K58" s="545" t="str">
        <f t="shared" si="20"/>
        <v/>
      </c>
      <c r="L58" s="545" t="str">
        <f t="shared" si="20"/>
        <v/>
      </c>
      <c r="M58" s="545">
        <f t="shared" si="20"/>
        <v>0</v>
      </c>
      <c r="N58" s="545">
        <f t="shared" si="20"/>
        <v>0</v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>
        <f t="shared" ref="I59:AF59" si="21">IF(I$9=0,"",+(I41*10)/I$9)</f>
        <v>1.8548355840517359</v>
      </c>
      <c r="J59" s="549">
        <f t="shared" si="21"/>
        <v>1.3290802764486973</v>
      </c>
      <c r="K59" s="549" t="str">
        <f t="shared" si="21"/>
        <v/>
      </c>
      <c r="L59" s="549" t="str">
        <f t="shared" si="21"/>
        <v/>
      </c>
      <c r="M59" s="549">
        <f t="shared" si="21"/>
        <v>1.2229166139547436</v>
      </c>
      <c r="N59" s="549">
        <f t="shared" si="21"/>
        <v>0.4746384836882574</v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1.2403180585832994</v>
      </c>
      <c r="AI59" s="550">
        <v>0.7</v>
      </c>
      <c r="AJ59" s="551">
        <f t="shared" si="11"/>
        <v>-0.5403180585832994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>
        <f t="shared" ref="I60:AF60" si="22">IF(I$9=0,"",+(I42*10)/I$9)</f>
        <v>2.4638860743373807</v>
      </c>
      <c r="J60" s="545">
        <f t="shared" si="22"/>
        <v>2.4636610002463657</v>
      </c>
      <c r="K60" s="545" t="str">
        <f t="shared" si="22"/>
        <v/>
      </c>
      <c r="L60" s="545" t="str">
        <f>IF(L$9=0,"",+(L42*10)/L$9)</f>
        <v/>
      </c>
      <c r="M60" s="545">
        <f t="shared" si="22"/>
        <v>5.0181750710556718</v>
      </c>
      <c r="N60" s="545">
        <f t="shared" si="22"/>
        <v>1.7403411068569439</v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2.7044529096929084</v>
      </c>
      <c r="AI60" s="555">
        <v>2.1</v>
      </c>
      <c r="AJ60" s="547">
        <f t="shared" si="11"/>
        <v>-0.60445290969290832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>
        <f t="shared" ref="I61:AF61" si="23">IF(I$9=0,"",+(I43*10)/I$9)</f>
        <v>0.49831403750643655</v>
      </c>
      <c r="J61" s="549">
        <f t="shared" si="23"/>
        <v>0.4538322895190674</v>
      </c>
      <c r="K61" s="549" t="str">
        <f t="shared" si="23"/>
        <v/>
      </c>
      <c r="L61" s="549" t="str">
        <f t="shared" si="23"/>
        <v/>
      </c>
      <c r="M61" s="549">
        <f t="shared" si="23"/>
        <v>0.96989938348134841</v>
      </c>
      <c r="N61" s="549">
        <f t="shared" si="23"/>
        <v>0.45705928058869233</v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0.50980491630992752</v>
      </c>
      <c r="AI61" s="550">
        <v>0.7</v>
      </c>
      <c r="AJ61" s="551">
        <f t="shared" si="11"/>
        <v>0.19019508369007243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>
        <f t="shared" ref="I62:AF62" si="24">IF(I$9=0,"",+(I44*10)/I$9)</f>
        <v>0.11073645277920811</v>
      </c>
      <c r="J62" s="545">
        <f t="shared" si="24"/>
        <v>9.7249776325514445E-2</v>
      </c>
      <c r="K62" s="545" t="str">
        <f t="shared" si="24"/>
        <v/>
      </c>
      <c r="L62" s="545" t="str">
        <f t="shared" si="24"/>
        <v/>
      </c>
      <c r="M62" s="545">
        <f t="shared" si="24"/>
        <v>0.21084769206116269</v>
      </c>
      <c r="N62" s="545">
        <f t="shared" si="24"/>
        <v>5.2737609298695268E-2</v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8.3931297197366125E-2</v>
      </c>
      <c r="AI62" s="555">
        <v>0.1</v>
      </c>
      <c r="AJ62" s="547">
        <f t="shared" si="11"/>
        <v>1.606870280263388E-2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>
        <f t="shared" si="25"/>
        <v>0.47062992431163453</v>
      </c>
      <c r="J63" s="569">
        <f t="shared" si="25"/>
        <v>0.77799821060411556</v>
      </c>
      <c r="K63" s="569" t="str">
        <f t="shared" si="25"/>
        <v/>
      </c>
      <c r="L63" s="569" t="str">
        <f t="shared" si="25"/>
        <v/>
      </c>
      <c r="M63" s="569">
        <f t="shared" si="25"/>
        <v>2.9940372272685103</v>
      </c>
      <c r="N63" s="569">
        <f t="shared" si="25"/>
        <v>0.26368804649347632</v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0.74294740852483343</v>
      </c>
      <c r="AI63" s="550">
        <v>0.6</v>
      </c>
      <c r="AJ63" s="551">
        <f t="shared" si="11"/>
        <v>-0.14294740852483345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>
        <f t="shared" si="26"/>
        <v>0</v>
      </c>
      <c r="J65" s="549">
        <f>IF(J$9=0,"",+(J46*10)/J$9)</f>
        <v>0</v>
      </c>
      <c r="K65" s="549" t="str">
        <f t="shared" si="26"/>
        <v/>
      </c>
      <c r="L65" s="575" t="str">
        <f t="shared" si="26"/>
        <v/>
      </c>
      <c r="M65" s="549">
        <f t="shared" si="26"/>
        <v>0</v>
      </c>
      <c r="N65" s="549">
        <f t="shared" si="26"/>
        <v>0</v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10.575331240414375</v>
      </c>
      <c r="J68" s="585">
        <f t="shared" si="27"/>
        <v>11.345807237976683</v>
      </c>
      <c r="K68" s="585">
        <f t="shared" si="27"/>
        <v>0</v>
      </c>
      <c r="L68" s="585">
        <f t="shared" si="27"/>
        <v>0</v>
      </c>
      <c r="M68" s="585">
        <f t="shared" si="27"/>
        <v>13.452082753502181</v>
      </c>
      <c r="N68" s="585">
        <f t="shared" si="27"/>
        <v>4.5002759934886623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10.388829453096209</v>
      </c>
      <c r="AI68" s="584">
        <f>SUM(AI54:AI63,AI65)</f>
        <v>9.6</v>
      </c>
      <c r="AJ68" s="547">
        <f t="shared" si="27"/>
        <v>-0.78882945309620678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3.0729365646230251</v>
      </c>
      <c r="J69" s="588">
        <f t="shared" si="28"/>
        <v>3.0147430660909476</v>
      </c>
      <c r="K69" s="588">
        <f t="shared" si="28"/>
        <v>0</v>
      </c>
      <c r="L69" s="588">
        <f t="shared" si="28"/>
        <v>0</v>
      </c>
      <c r="M69" s="588">
        <f t="shared" si="28"/>
        <v>6.198922146598183</v>
      </c>
      <c r="N69" s="588">
        <f t="shared" si="28"/>
        <v>2.2501379967443311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3.2981891232002019</v>
      </c>
      <c r="AI69" s="587">
        <f t="shared" si="28"/>
        <v>2.9</v>
      </c>
      <c r="AJ69" s="587">
        <f t="shared" si="28"/>
        <v>-0.398189123200202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>
        <f>+'Water '!$F19</f>
        <v>114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1794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1200</v>
      </c>
      <c r="D74" s="895">
        <v>0</v>
      </c>
      <c r="E74" s="895">
        <v>0</v>
      </c>
      <c r="F74" s="895">
        <v>1600</v>
      </c>
      <c r="G74" s="895">
        <v>1500</v>
      </c>
      <c r="H74" s="895">
        <v>1400</v>
      </c>
      <c r="I74" s="896">
        <f>2200+800</f>
        <v>3000</v>
      </c>
      <c r="J74" s="877">
        <v>1700</v>
      </c>
      <c r="K74" s="877">
        <v>800</v>
      </c>
      <c r="L74" s="899"/>
      <c r="M74" s="896">
        <v>1500</v>
      </c>
      <c r="N74" s="877">
        <v>2100</v>
      </c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895">
        <v>0</v>
      </c>
      <c r="AH74" s="516">
        <f>SUM(B74:AF74)</f>
        <v>16400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>
        <v>2027.25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14171.849999999977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>
        <v>285.63000000000466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1880.5200000000041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>
        <v>282.16000000000349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4637.7400000000052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770.74000000000524</v>
      </c>
      <c r="J78" s="788">
        <f t="shared" si="29"/>
        <v>911.41999999999825</v>
      </c>
      <c r="K78" s="788">
        <f t="shared" si="29"/>
        <v>28.129999999902793</v>
      </c>
      <c r="L78" s="788">
        <f t="shared" si="29"/>
        <v>0</v>
      </c>
      <c r="M78" s="788">
        <f t="shared" si="29"/>
        <v>420.15000000005239</v>
      </c>
      <c r="N78" s="788">
        <f t="shared" si="29"/>
        <v>1459.4599999999919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7653.5899999999674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5822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76891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7167.4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93029.89999999998</v>
      </c>
      <c r="AF82" s="617">
        <v>0</v>
      </c>
      <c r="AG82" s="617"/>
      <c r="AH82" s="594">
        <f>SUM(B82:AF82)</f>
        <v>168973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1345.4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16138.899999999998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>
        <v>2133.5999999998603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28434.899999999907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3"/>
        <v>12.430166824466111</v>
      </c>
      <c r="J90" s="653">
        <f t="shared" si="33"/>
        <v>20.714202357334575</v>
      </c>
      <c r="K90" s="653" t="str">
        <f t="shared" si="33"/>
        <v/>
      </c>
      <c r="L90" s="653" t="str">
        <f t="shared" si="33"/>
        <v/>
      </c>
      <c r="M90" s="653">
        <f t="shared" si="33"/>
        <v>16.066594135060598</v>
      </c>
      <c r="N90" s="653">
        <f t="shared" si="33"/>
        <v>6.0999834755490863</v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11.616713245428045</v>
      </c>
      <c r="AI90" s="662">
        <v>10.199999999999999</v>
      </c>
      <c r="AJ90" s="665">
        <f>+AI90-AH90</f>
        <v>-1.4167132454280456</v>
      </c>
      <c r="AK90" s="667">
        <f>AH90/AI90*100</f>
        <v>113.88934554341222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4.232266802099204</v>
      </c>
      <c r="D92" s="653" t="str">
        <f t="shared" si="35"/>
        <v/>
      </c>
      <c r="E92" s="653" t="str">
        <f t="shared" si="35"/>
        <v/>
      </c>
      <c r="F92" s="653">
        <f t="shared" si="35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5"/>
        <v>8.3052339584406081</v>
      </c>
      <c r="J92" s="653">
        <f t="shared" si="35"/>
        <v>5.5108206584458186</v>
      </c>
      <c r="K92" s="653" t="str">
        <f t="shared" si="35"/>
        <v/>
      </c>
      <c r="L92" s="653" t="str">
        <f t="shared" si="35"/>
        <v/>
      </c>
      <c r="M92" s="653">
        <f t="shared" si="35"/>
        <v>6.3254307618348804</v>
      </c>
      <c r="N92" s="653">
        <f t="shared" si="35"/>
        <v>3.6916326509086685</v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5.0980491630992759</v>
      </c>
      <c r="AI92" s="674">
        <v>5</v>
      </c>
      <c r="AJ92" s="675">
        <f>AI92-AH92</f>
        <v>-9.8049163099275916E-2</v>
      </c>
      <c r="AK92" s="673">
        <f t="shared" si="34"/>
        <v>101.96098326198553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6"/>
        <v>0.61785403828157237</v>
      </c>
      <c r="J93" s="653">
        <f t="shared" si="36"/>
        <v>0.58641615124288038</v>
      </c>
      <c r="K93" s="653" t="str">
        <f t="shared" si="36"/>
        <v/>
      </c>
      <c r="L93" s="653" t="str">
        <f t="shared" si="36"/>
        <v/>
      </c>
      <c r="M93" s="653">
        <f t="shared" si="36"/>
        <v>1.0312138923327074</v>
      </c>
      <c r="N93" s="653">
        <f t="shared" si="36"/>
        <v>0.50211477813288585</v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0.58457215927996775</v>
      </c>
      <c r="AI93" s="674">
        <v>1.7</v>
      </c>
      <c r="AJ93" s="676">
        <f>AI93-AH93</f>
        <v>1.1154278407200322</v>
      </c>
      <c r="AK93" s="673">
        <f t="shared" si="34"/>
        <v>34.386597604703987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7"/>
        <v>24.763716093882365</v>
      </c>
      <c r="J94" s="653">
        <f t="shared" si="37"/>
        <v>25.007455816184951</v>
      </c>
      <c r="K94" s="653" t="str">
        <f>IF(K$9=0,"",(K80+K83)/K$9)</f>
        <v/>
      </c>
      <c r="L94" s="653" t="str">
        <f t="shared" si="37"/>
        <v/>
      </c>
      <c r="M94" s="653">
        <f t="shared" si="37"/>
        <v>42.634668420919461</v>
      </c>
      <c r="N94" s="653">
        <f t="shared" si="37"/>
        <v>12.599718029582281</v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28.918963648671298</v>
      </c>
      <c r="AI94" s="674">
        <v>22</v>
      </c>
      <c r="AJ94" s="675">
        <f>AI94-AH94</f>
        <v>-6.9189636486712978</v>
      </c>
      <c r="AK94" s="673">
        <f>AH94/AI94*100</f>
        <v>131.44983476668773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23.791693959880988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8"/>
        <v>8.2243963479119166</v>
      </c>
      <c r="J96" s="654">
        <f t="shared" ref="J96:AE96" si="39">IF(J$9=0,"",J84/J$9)</f>
        <v>9.4209099985735172</v>
      </c>
      <c r="K96" s="654" t="str">
        <f t="shared" si="39"/>
        <v/>
      </c>
      <c r="L96" s="654" t="str">
        <f t="shared" si="39"/>
        <v/>
      </c>
      <c r="M96" s="654">
        <f t="shared" si="39"/>
        <v>14.549755838372789</v>
      </c>
      <c r="N96" s="654">
        <f t="shared" si="39"/>
        <v>3.750698773322962</v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8.839177935842141</v>
      </c>
      <c r="AI96" s="663">
        <v>7.2</v>
      </c>
      <c r="AJ96" s="677">
        <f>AI96-AH96</f>
        <v>-1.6391779358421408</v>
      </c>
      <c r="AK96" s="668">
        <f t="shared" si="34"/>
        <v>122.76636022002974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282.16000000000349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>
        <f t="shared" si="41"/>
        <v>0</v>
      </c>
      <c r="K105" s="652">
        <f t="shared" si="41"/>
        <v>0</v>
      </c>
      <c r="L105" s="652" t="str">
        <f t="shared" si="41"/>
        <v/>
      </c>
      <c r="M105" s="652">
        <f t="shared" si="41"/>
        <v>0</v>
      </c>
      <c r="N105" s="652">
        <f t="shared" si="41"/>
        <v>0</v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5822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76891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0.17348078413499315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-255073</v>
      </c>
      <c r="D20" s="55">
        <f t="shared" si="2"/>
        <v>1112757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-1367830</v>
      </c>
      <c r="H20" s="57">
        <f>'Entries October 2026'!AA19</f>
        <v>97122</v>
      </c>
      <c r="I20" s="58">
        <f t="shared" si="3"/>
        <v>-97122</v>
      </c>
      <c r="J20" s="57">
        <f>'Entries October 2026'!T19</f>
        <v>0</v>
      </c>
      <c r="K20" s="58">
        <f t="shared" si="4"/>
        <v>0</v>
      </c>
      <c r="L20" s="58">
        <f t="shared" si="6"/>
        <v>-97122</v>
      </c>
      <c r="M20" s="57">
        <f>'Entries October 2026'!R19</f>
        <v>0</v>
      </c>
      <c r="N20" s="57">
        <f>'Entries October 2026'!AC20-'Entries October 2026'!AC19</f>
        <v>-6914</v>
      </c>
      <c r="O20" s="57">
        <f t="shared" si="5"/>
        <v>-510146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2026-10-14T13:30:19Z</dcterms:modified>
</cp:coreProperties>
</file>