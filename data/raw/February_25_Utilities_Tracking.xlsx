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BF7B2207-24B7-4944-A21D-294AFAFFA209}" xr6:coauthVersionLast="47" xr6:coauthVersionMax="47" xr10:uidLastSave="{00000000-0000-0000-0000-000000000000}"/>
  <bookViews>
    <workbookView xWindow="-120" yWindow="-120" windowWidth="29040" windowHeight="15840" tabRatio="592" firstSheet="3" activeTab="10" xr2:uid="{00000000-000D-0000-FFFF-FFFF00000000}"/>
  </bookViews>
  <sheets>
    <sheet name="Entries Feb.'25" sheetId="27" r:id="rId1"/>
    <sheet name="Utility Analysis Feb. 2025" sheetId="23" r:id="rId2"/>
    <sheet name="Steam Mass Flow " sheetId="113" r:id="rId3"/>
    <sheet name="Co2 " sheetId="28" r:id="rId4"/>
    <sheet name="Fuel " sheetId="29" r:id="rId5"/>
    <sheet name="Water " sheetId="31" r:id="rId6"/>
    <sheet name="Elec.Feb'25" sheetId="30" r:id="rId7"/>
    <sheet name="PROD.FIG. " sheetId="32" r:id="rId8"/>
    <sheet name="Water Analysis. '25" sheetId="109" r:id="rId9"/>
    <sheet name="Daily KPIs CO2" sheetId="111" r:id="rId10"/>
    <sheet name="Daily KPIs" sheetId="110" r:id="rId11"/>
    <sheet name="Sheet1" sheetId="112" state="hidden" r:id="rId12"/>
  </sheets>
  <definedNames>
    <definedName name="_1__123Graph_BCHART_8" localSheetId="6" hidden="1">'Elec.Feb''25'!$B$7:$B$37</definedName>
    <definedName name="_2__123Graph_CCHART_8" localSheetId="6" hidden="1">'Elec.Feb''25'!$C$7:$C$37</definedName>
    <definedName name="_xlnm.Print_Area" localSheetId="10">'Daily KPIs'!$A$1:$AJ$121</definedName>
    <definedName name="_xlnm.Print_Area" localSheetId="9" xml:space="preserve">                                                              'Daily KPIs CO2'!$A$1:$AI$96</definedName>
    <definedName name="_xlnm.Print_Area" localSheetId="0">'Entries Feb.''25'!$A$1:$AJ$40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8" i="29" l="1"/>
  <c r="E38" i="29"/>
  <c r="C38" i="29"/>
  <c r="V9" i="110"/>
  <c r="U9" i="110"/>
  <c r="AH79" i="110"/>
  <c r="W8" i="110"/>
  <c r="AH74" i="110"/>
  <c r="AH83" i="110"/>
  <c r="AH82" i="110"/>
  <c r="AH78" i="110"/>
  <c r="AH77" i="110"/>
  <c r="AH76" i="110"/>
  <c r="AH75" i="110"/>
  <c r="AH73" i="110"/>
  <c r="AH71" i="110"/>
  <c r="AH50" i="110"/>
  <c r="AH49" i="110"/>
  <c r="AH47" i="110"/>
  <c r="AH46" i="110"/>
  <c r="AH45" i="110"/>
  <c r="AH44" i="110"/>
  <c r="AH43" i="110"/>
  <c r="AH42" i="110"/>
  <c r="AH41" i="110"/>
  <c r="AH40" i="110"/>
  <c r="AH39" i="110"/>
  <c r="AH37" i="110"/>
  <c r="AH36" i="110"/>
  <c r="AH35" i="110"/>
  <c r="AH32" i="110"/>
  <c r="AH26" i="110"/>
  <c r="AH27" i="110"/>
  <c r="AH28" i="110"/>
  <c r="AH29" i="110"/>
  <c r="AH30" i="110"/>
  <c r="AH31" i="110"/>
  <c r="AH25" i="110"/>
  <c r="AH22" i="110"/>
  <c r="AH21" i="110"/>
  <c r="AH20" i="110"/>
  <c r="AH19" i="110"/>
  <c r="AH14" i="110"/>
  <c r="AH12" i="110"/>
  <c r="AH8" i="110"/>
  <c r="P82" i="110"/>
  <c r="AC74" i="110" l="1"/>
  <c r="AC8" i="110"/>
  <c r="AC14" i="110"/>
  <c r="B8" i="28"/>
  <c r="B38" i="28" s="1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7" i="28"/>
  <c r="K38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7" i="29"/>
  <c r="D43" i="23"/>
  <c r="Q34" i="31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L39" i="27"/>
  <c r="AM39" i="27"/>
  <c r="AN39" i="27"/>
  <c r="AO39" i="27"/>
  <c r="J39" i="27"/>
  <c r="I39" i="27"/>
  <c r="C39" i="27"/>
  <c r="D39" i="27"/>
  <c r="E39" i="27"/>
  <c r="F39" i="27"/>
  <c r="G39" i="27"/>
  <c r="H39" i="27"/>
  <c r="B39" i="27"/>
  <c r="D7" i="30"/>
  <c r="B37" i="23"/>
  <c r="B38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10" i="23"/>
  <c r="D40" i="30"/>
  <c r="M11" i="109"/>
  <c r="AB8" i="110"/>
  <c r="B38" i="29" l="1"/>
  <c r="AA14" i="110"/>
  <c r="Z8" i="110"/>
  <c r="AF76" i="110" l="1"/>
  <c r="AE76" i="110"/>
  <c r="AD76" i="110"/>
  <c r="AC76" i="110"/>
  <c r="AB76" i="110"/>
  <c r="AA76" i="110"/>
  <c r="Z76" i="110"/>
  <c r="Y76" i="110"/>
  <c r="X76" i="110"/>
  <c r="W76" i="110"/>
  <c r="V76" i="110"/>
  <c r="U76" i="110"/>
  <c r="T76" i="110"/>
  <c r="S76" i="110"/>
  <c r="R76" i="110"/>
  <c r="Q76" i="110"/>
  <c r="P76" i="110"/>
  <c r="O76" i="110"/>
  <c r="N76" i="110"/>
  <c r="M76" i="110"/>
  <c r="L76" i="110"/>
  <c r="K76" i="110"/>
  <c r="J76" i="110"/>
  <c r="I76" i="110"/>
  <c r="H76" i="110"/>
  <c r="G76" i="110"/>
  <c r="F76" i="110"/>
  <c r="E76" i="110"/>
  <c r="D76" i="110"/>
  <c r="C76" i="110"/>
  <c r="B76" i="110"/>
  <c r="U95" i="111" l="1"/>
  <c r="V95" i="111"/>
  <c r="W94" i="111"/>
  <c r="X94" i="111"/>
  <c r="Y94" i="111"/>
  <c r="Z94" i="111"/>
  <c r="AA94" i="111"/>
  <c r="AB94" i="111"/>
  <c r="AC94" i="111"/>
  <c r="U94" i="111"/>
  <c r="V94" i="111"/>
  <c r="V14" i="110"/>
  <c r="T9" i="110"/>
  <c r="Q74" i="110"/>
  <c r="T14" i="110" l="1"/>
  <c r="R14" i="110"/>
  <c r="S14" i="110"/>
  <c r="O25" i="27"/>
  <c r="S74" i="110"/>
  <c r="N19" i="110"/>
  <c r="N14" i="110"/>
  <c r="O74" i="110"/>
  <c r="L12" i="110"/>
  <c r="L14" i="110"/>
  <c r="G12" i="110"/>
  <c r="F12" i="110"/>
  <c r="G14" i="110"/>
  <c r="F14" i="110"/>
  <c r="G74" i="110" l="1"/>
  <c r="E74" i="110"/>
  <c r="D74" i="110"/>
  <c r="D14" i="110" l="1"/>
  <c r="D9" i="110" l="1"/>
  <c r="AD9" i="110" l="1"/>
  <c r="G9" i="110"/>
  <c r="AB9" i="110"/>
  <c r="AC9" i="110"/>
  <c r="B9" i="110"/>
  <c r="C9" i="110"/>
  <c r="E9" i="110"/>
  <c r="F9" i="110"/>
  <c r="H9" i="110"/>
  <c r="I9" i="110"/>
  <c r="J9" i="110"/>
  <c r="K9" i="110"/>
  <c r="L9" i="110"/>
  <c r="M9" i="110"/>
  <c r="N9" i="110"/>
  <c r="O9" i="110"/>
  <c r="P9" i="110"/>
  <c r="Q9" i="110"/>
  <c r="R9" i="110"/>
  <c r="S9" i="110"/>
  <c r="W9" i="110"/>
  <c r="AH9" i="110" s="1"/>
  <c r="X9" i="110"/>
  <c r="Y9" i="110"/>
  <c r="Z9" i="110"/>
  <c r="AA9" i="110"/>
  <c r="AE9" i="110"/>
  <c r="AF9" i="110" l="1"/>
  <c r="O12" i="27" l="1"/>
  <c r="O13" i="27"/>
  <c r="O14" i="27"/>
  <c r="O15" i="27"/>
  <c r="O16" i="27"/>
  <c r="O17" i="27"/>
  <c r="O18" i="27"/>
  <c r="O19" i="27"/>
  <c r="O20" i="27"/>
  <c r="O21" i="27"/>
  <c r="O22" i="27"/>
  <c r="O23" i="27"/>
  <c r="O24" i="27"/>
  <c r="O26" i="27"/>
  <c r="O27" i="27"/>
  <c r="O28" i="27"/>
  <c r="O29" i="27"/>
  <c r="O30" i="27"/>
  <c r="O31" i="27"/>
  <c r="O32" i="27"/>
  <c r="O33" i="27"/>
  <c r="O34" i="27"/>
  <c r="O36" i="27"/>
  <c r="O37" i="27"/>
  <c r="O38" i="27"/>
  <c r="C22" i="29"/>
  <c r="C23" i="29"/>
  <c r="C24" i="29"/>
  <c r="C25" i="29"/>
  <c r="C26" i="29"/>
  <c r="D17" i="31"/>
  <c r="L20" i="110" s="1"/>
  <c r="AC90" i="110" l="1"/>
  <c r="B19" i="109" l="1"/>
  <c r="G90" i="110" l="1"/>
  <c r="AG9" i="110"/>
  <c r="T90" i="110" l="1"/>
  <c r="V90" i="110" l="1"/>
  <c r="U90" i="110" l="1"/>
  <c r="AF78" i="110" l="1"/>
  <c r="K90" i="110" l="1"/>
  <c r="L90" i="110" l="1"/>
  <c r="L56" i="110"/>
  <c r="G93" i="111"/>
  <c r="I56" i="110"/>
  <c r="D8" i="111"/>
  <c r="C56" i="110"/>
  <c r="J91" i="110"/>
  <c r="O90" i="110"/>
  <c r="S56" i="110"/>
  <c r="AA91" i="110"/>
  <c r="Y8" i="111"/>
  <c r="X95" i="111"/>
  <c r="X8" i="111"/>
  <c r="W91" i="110"/>
  <c r="P93" i="111"/>
  <c r="P95" i="111"/>
  <c r="O8" i="111"/>
  <c r="T8" i="111"/>
  <c r="M8" i="111"/>
  <c r="K8" i="31"/>
  <c r="C39" i="110" s="1"/>
  <c r="K9" i="31"/>
  <c r="F39" i="110" s="1"/>
  <c r="F57" i="110" s="1"/>
  <c r="K10" i="31"/>
  <c r="E31" i="111" s="1"/>
  <c r="K11" i="31"/>
  <c r="F31" i="111" s="1"/>
  <c r="M90" i="110"/>
  <c r="AB56" i="110"/>
  <c r="AD91" i="110"/>
  <c r="AF56" i="110"/>
  <c r="AG83" i="110"/>
  <c r="J90" i="110"/>
  <c r="Q32" i="31"/>
  <c r="AC28" i="110" s="1"/>
  <c r="Q33" i="31"/>
  <c r="AB28" i="110" s="1"/>
  <c r="AC23" i="111"/>
  <c r="AC25" i="111" s="1"/>
  <c r="Q36" i="31"/>
  <c r="Q37" i="31"/>
  <c r="Q18" i="31"/>
  <c r="Q17" i="31"/>
  <c r="L23" i="111" s="1"/>
  <c r="Q19" i="31"/>
  <c r="N28" i="110" s="1"/>
  <c r="B35" i="113"/>
  <c r="AF83" i="110" s="1"/>
  <c r="B6" i="113"/>
  <c r="C83" i="110" s="1"/>
  <c r="B7" i="113"/>
  <c r="D83" i="110" s="1"/>
  <c r="B8" i="113"/>
  <c r="E83" i="110" s="1"/>
  <c r="B9" i="113"/>
  <c r="F83" i="110" s="1"/>
  <c r="B10" i="113"/>
  <c r="G83" i="110" s="1"/>
  <c r="B11" i="113"/>
  <c r="H83" i="110" s="1"/>
  <c r="B12" i="113"/>
  <c r="I83" i="110" s="1"/>
  <c r="B13" i="113"/>
  <c r="J83" i="110" s="1"/>
  <c r="B14" i="113"/>
  <c r="K83" i="110" s="1"/>
  <c r="B15" i="113"/>
  <c r="L83" i="110" s="1"/>
  <c r="B16" i="113"/>
  <c r="M83" i="110" s="1"/>
  <c r="B17" i="113"/>
  <c r="N83" i="110" s="1"/>
  <c r="B18" i="113"/>
  <c r="O83" i="110" s="1"/>
  <c r="B19" i="113"/>
  <c r="P83" i="110" s="1"/>
  <c r="B20" i="113"/>
  <c r="Q83" i="110" s="1"/>
  <c r="B21" i="113"/>
  <c r="R83" i="110" s="1"/>
  <c r="B22" i="113"/>
  <c r="S83" i="110" s="1"/>
  <c r="B23" i="113"/>
  <c r="T83" i="110" s="1"/>
  <c r="B24" i="113"/>
  <c r="U83" i="110" s="1"/>
  <c r="B25" i="113"/>
  <c r="V83" i="110" s="1"/>
  <c r="B26" i="113"/>
  <c r="W83" i="110" s="1"/>
  <c r="B27" i="113"/>
  <c r="X83" i="110" s="1"/>
  <c r="B28" i="113"/>
  <c r="Y83" i="110" s="1"/>
  <c r="B29" i="113"/>
  <c r="Z83" i="110" s="1"/>
  <c r="B30" i="113"/>
  <c r="AA83" i="110" s="1"/>
  <c r="B31" i="113"/>
  <c r="AB83" i="110" s="1"/>
  <c r="B32" i="113"/>
  <c r="AC83" i="110" s="1"/>
  <c r="B33" i="113"/>
  <c r="AD83" i="110" s="1"/>
  <c r="B34" i="113"/>
  <c r="AE83" i="110" s="1"/>
  <c r="B5" i="113"/>
  <c r="B83" i="110" s="1"/>
  <c r="AD90" i="110"/>
  <c r="B7" i="30"/>
  <c r="F7" i="30" s="1"/>
  <c r="AF37" i="110"/>
  <c r="T15" i="31"/>
  <c r="AC91" i="110"/>
  <c r="AB90" i="110"/>
  <c r="AB91" i="110"/>
  <c r="I10" i="111"/>
  <c r="AI69" i="110"/>
  <c r="AI68" i="110"/>
  <c r="AJ67" i="110"/>
  <c r="AJ66" i="110"/>
  <c r="AD56" i="110"/>
  <c r="AC56" i="110"/>
  <c r="W56" i="110"/>
  <c r="E12" i="31"/>
  <c r="G21" i="110" s="1"/>
  <c r="E15" i="31"/>
  <c r="E16" i="31"/>
  <c r="K21" i="110" s="1"/>
  <c r="E17" i="31"/>
  <c r="L17" i="111" s="1"/>
  <c r="E18" i="31"/>
  <c r="M17" i="111" s="1"/>
  <c r="E19" i="31"/>
  <c r="N21" i="110" s="1"/>
  <c r="E11" i="31"/>
  <c r="F21" i="110" s="1"/>
  <c r="H11" i="31"/>
  <c r="F24" i="111" s="1"/>
  <c r="H12" i="31"/>
  <c r="G29" i="110" s="1"/>
  <c r="H13" i="31"/>
  <c r="H29" i="110" s="1"/>
  <c r="O6" i="31"/>
  <c r="P6" i="31"/>
  <c r="Q6" i="31"/>
  <c r="J17" i="31"/>
  <c r="G85" i="31" s="1"/>
  <c r="H16" i="31"/>
  <c r="K24" i="111" s="1"/>
  <c r="C10" i="31"/>
  <c r="E19" i="110" s="1"/>
  <c r="B8" i="109"/>
  <c r="AB10" i="111"/>
  <c r="AC10" i="111"/>
  <c r="AD10" i="111"/>
  <c r="AE10" i="111"/>
  <c r="AF10" i="111"/>
  <c r="N8" i="111"/>
  <c r="C8" i="111"/>
  <c r="E8" i="111"/>
  <c r="I8" i="111"/>
  <c r="J8" i="111"/>
  <c r="K8" i="111"/>
  <c r="L8" i="111"/>
  <c r="P8" i="111"/>
  <c r="R8" i="111"/>
  <c r="S8" i="111"/>
  <c r="U8" i="111"/>
  <c r="V8" i="111"/>
  <c r="W8" i="111"/>
  <c r="Z8" i="111"/>
  <c r="AA8" i="111"/>
  <c r="AB8" i="111"/>
  <c r="AC8" i="111"/>
  <c r="AD8" i="111"/>
  <c r="AF8" i="111"/>
  <c r="B10" i="111"/>
  <c r="C10" i="111"/>
  <c r="D10" i="111"/>
  <c r="E10" i="111"/>
  <c r="F10" i="111"/>
  <c r="G10" i="111"/>
  <c r="H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D37" i="23"/>
  <c r="D38" i="23"/>
  <c r="D39" i="23"/>
  <c r="D36" i="23"/>
  <c r="J18" i="31"/>
  <c r="G86" i="31" s="1"/>
  <c r="O7" i="31"/>
  <c r="O8" i="31"/>
  <c r="O9" i="31"/>
  <c r="D42" i="110" s="1"/>
  <c r="J34" i="31"/>
  <c r="A5" i="111"/>
  <c r="Z47" i="111"/>
  <c r="Z78" i="110" s="1"/>
  <c r="Y47" i="111"/>
  <c r="Y78" i="110" s="1"/>
  <c r="K22" i="29"/>
  <c r="Q54" i="111" s="1"/>
  <c r="K26" i="29"/>
  <c r="U82" i="110" s="1"/>
  <c r="U94" i="110" s="1"/>
  <c r="K27" i="29"/>
  <c r="O27" i="29" s="1"/>
  <c r="K28" i="29"/>
  <c r="W82" i="110" s="1"/>
  <c r="W94" i="110" s="1"/>
  <c r="K29" i="29"/>
  <c r="X82" i="110" s="1"/>
  <c r="X94" i="110" s="1"/>
  <c r="K30" i="29"/>
  <c r="M30" i="29" s="1"/>
  <c r="K31" i="29"/>
  <c r="Z54" i="111" s="1"/>
  <c r="K32" i="29"/>
  <c r="O32" i="29" s="1"/>
  <c r="K33" i="29"/>
  <c r="M33" i="29" s="1"/>
  <c r="K34" i="29"/>
  <c r="O34" i="29" s="1"/>
  <c r="K35" i="29"/>
  <c r="AD54" i="111" s="1"/>
  <c r="K36" i="29"/>
  <c r="M36" i="29" s="1"/>
  <c r="K37" i="29"/>
  <c r="AF82" i="110" s="1"/>
  <c r="E27" i="31"/>
  <c r="V21" i="110" s="1"/>
  <c r="K23" i="29"/>
  <c r="O23" i="29" s="1"/>
  <c r="K24" i="29"/>
  <c r="S54" i="111" s="1"/>
  <c r="K25" i="29"/>
  <c r="T82" i="110" s="1"/>
  <c r="K20" i="29"/>
  <c r="K21" i="29"/>
  <c r="O21" i="29" s="1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G27" i="109" s="1"/>
  <c r="F29" i="109"/>
  <c r="F30" i="109"/>
  <c r="F31" i="109"/>
  <c r="F32" i="109"/>
  <c r="F33" i="109"/>
  <c r="F34" i="109"/>
  <c r="F35" i="109"/>
  <c r="F36" i="109"/>
  <c r="F37" i="109"/>
  <c r="G37" i="109" s="1"/>
  <c r="AE47" i="111"/>
  <c r="AE78" i="110" s="1"/>
  <c r="AD47" i="111"/>
  <c r="AD78" i="110" s="1"/>
  <c r="AC47" i="111"/>
  <c r="AC78" i="110" s="1"/>
  <c r="AB47" i="111"/>
  <c r="AB78" i="110" s="1"/>
  <c r="AA47" i="111"/>
  <c r="AA78" i="110" s="1"/>
  <c r="X47" i="111"/>
  <c r="X78" i="110" s="1"/>
  <c r="W47" i="111"/>
  <c r="W78" i="110" s="1"/>
  <c r="V47" i="111"/>
  <c r="V78" i="110" s="1"/>
  <c r="U47" i="111"/>
  <c r="U78" i="110" s="1"/>
  <c r="T47" i="111"/>
  <c r="T78" i="110" s="1"/>
  <c r="S47" i="111"/>
  <c r="S78" i="110" s="1"/>
  <c r="R47" i="111"/>
  <c r="R78" i="110" s="1"/>
  <c r="Q47" i="111"/>
  <c r="Q78" i="110" s="1"/>
  <c r="P47" i="111"/>
  <c r="P78" i="110" s="1"/>
  <c r="O47" i="111"/>
  <c r="O78" i="110" s="1"/>
  <c r="N47" i="111"/>
  <c r="M47" i="111"/>
  <c r="M78" i="110" s="1"/>
  <c r="L47" i="111"/>
  <c r="K47" i="111"/>
  <c r="K78" i="110" s="1"/>
  <c r="J47" i="111"/>
  <c r="J78" i="110" s="1"/>
  <c r="I47" i="111"/>
  <c r="I78" i="110" s="1"/>
  <c r="H47" i="111"/>
  <c r="H78" i="110" s="1"/>
  <c r="G47" i="111"/>
  <c r="G78" i="110" s="1"/>
  <c r="F47" i="111"/>
  <c r="F78" i="110" s="1"/>
  <c r="E47" i="111"/>
  <c r="E78" i="110" s="1"/>
  <c r="D47" i="111"/>
  <c r="D78" i="110" s="1"/>
  <c r="C47" i="111"/>
  <c r="C78" i="110" s="1"/>
  <c r="B47" i="111"/>
  <c r="B78" i="110" s="1"/>
  <c r="S9" i="111"/>
  <c r="S74" i="111" s="1"/>
  <c r="B7" i="111"/>
  <c r="F7" i="31"/>
  <c r="B96" i="111" s="1"/>
  <c r="F8" i="31"/>
  <c r="C71" i="110" s="1"/>
  <c r="F9" i="31"/>
  <c r="D96" i="111" s="1"/>
  <c r="F10" i="31"/>
  <c r="E96" i="111" s="1"/>
  <c r="F11" i="31"/>
  <c r="F12" i="31"/>
  <c r="G96" i="111" s="1"/>
  <c r="F13" i="31"/>
  <c r="F14" i="31"/>
  <c r="F15" i="31"/>
  <c r="J71" i="110" s="1"/>
  <c r="F16" i="31"/>
  <c r="K71" i="110" s="1"/>
  <c r="F17" i="31"/>
  <c r="L71" i="110" s="1"/>
  <c r="F18" i="31"/>
  <c r="M71" i="110" s="1"/>
  <c r="F19" i="31"/>
  <c r="N96" i="111" s="1"/>
  <c r="F20" i="31"/>
  <c r="O71" i="110" s="1"/>
  <c r="F21" i="31"/>
  <c r="P71" i="110" s="1"/>
  <c r="F22" i="31"/>
  <c r="Q71" i="110" s="1"/>
  <c r="F23" i="31"/>
  <c r="F24" i="31"/>
  <c r="S71" i="110" s="1"/>
  <c r="F25" i="31"/>
  <c r="T71" i="110" s="1"/>
  <c r="F26" i="31"/>
  <c r="U71" i="110" s="1"/>
  <c r="F27" i="31"/>
  <c r="F28" i="31"/>
  <c r="F29" i="31"/>
  <c r="F30" i="31"/>
  <c r="F31" i="31"/>
  <c r="Z71" i="110" s="1"/>
  <c r="F32" i="31"/>
  <c r="AA96" i="111" s="1"/>
  <c r="F33" i="31"/>
  <c r="AB96" i="111" s="1"/>
  <c r="F34" i="31"/>
  <c r="F35" i="31"/>
  <c r="AD96" i="111" s="1"/>
  <c r="F36" i="31"/>
  <c r="F37" i="31"/>
  <c r="AF71" i="110" s="1"/>
  <c r="H14" i="31"/>
  <c r="I24" i="111" s="1"/>
  <c r="K17" i="29"/>
  <c r="L82" i="110" s="1"/>
  <c r="L94" i="110" s="1"/>
  <c r="K18" i="29"/>
  <c r="M82" i="110" s="1"/>
  <c r="M94" i="110" s="1"/>
  <c r="K19" i="29"/>
  <c r="N82" i="110" s="1"/>
  <c r="N94" i="110" s="1"/>
  <c r="P33" i="31"/>
  <c r="AB37" i="111" s="1"/>
  <c r="P34" i="31"/>
  <c r="G70" i="31" s="1"/>
  <c r="P35" i="31"/>
  <c r="AD45" i="110" s="1"/>
  <c r="AD31" i="110" s="1"/>
  <c r="P31" i="31"/>
  <c r="G67" i="31" s="1"/>
  <c r="P32" i="31"/>
  <c r="AA37" i="111" s="1"/>
  <c r="P36" i="31"/>
  <c r="G72" i="31" s="1"/>
  <c r="L12" i="31"/>
  <c r="G40" i="110" s="1"/>
  <c r="G58" i="110" s="1"/>
  <c r="M12" i="31"/>
  <c r="G36" i="111" s="1"/>
  <c r="AG27" i="111"/>
  <c r="Y98" i="110"/>
  <c r="X98" i="110"/>
  <c r="S93" i="111"/>
  <c r="R93" i="111"/>
  <c r="J23" i="31"/>
  <c r="R28" i="111" s="1"/>
  <c r="Q95" i="111"/>
  <c r="K93" i="111"/>
  <c r="J16" i="31"/>
  <c r="J95" i="111"/>
  <c r="E95" i="111"/>
  <c r="B30" i="30"/>
  <c r="D30" i="30" s="1"/>
  <c r="F30" i="30" s="1"/>
  <c r="B17" i="30"/>
  <c r="L79" i="110" s="1"/>
  <c r="L114" i="110" s="1"/>
  <c r="B18" i="30"/>
  <c r="M79" i="110" s="1"/>
  <c r="M114" i="110" s="1"/>
  <c r="B19" i="30"/>
  <c r="N79" i="110" s="1"/>
  <c r="N114" i="110" s="1"/>
  <c r="B20" i="30"/>
  <c r="O52" i="111" s="1"/>
  <c r="B21" i="30"/>
  <c r="D21" i="30" s="1"/>
  <c r="F21" i="30" s="1"/>
  <c r="B22" i="30"/>
  <c r="D22" i="30" s="1"/>
  <c r="F22" i="30" s="1"/>
  <c r="B23" i="30"/>
  <c r="R79" i="110" s="1"/>
  <c r="R114" i="110" s="1"/>
  <c r="B24" i="30"/>
  <c r="D24" i="30" s="1"/>
  <c r="F24" i="30" s="1"/>
  <c r="B25" i="30"/>
  <c r="T79" i="110" s="1"/>
  <c r="B26" i="30"/>
  <c r="D26" i="30" s="1"/>
  <c r="F26" i="30" s="1"/>
  <c r="B27" i="30"/>
  <c r="D27" i="30" s="1"/>
  <c r="F27" i="30" s="1"/>
  <c r="B28" i="30"/>
  <c r="W79" i="110" s="1"/>
  <c r="W114" i="110" s="1"/>
  <c r="B29" i="30"/>
  <c r="X79" i="110" s="1"/>
  <c r="X114" i="110" s="1"/>
  <c r="B31" i="30"/>
  <c r="Z79" i="110" s="1"/>
  <c r="B32" i="30"/>
  <c r="AA79" i="110" s="1"/>
  <c r="AA114" i="110" s="1"/>
  <c r="B33" i="30"/>
  <c r="AB52" i="111" s="1"/>
  <c r="AB101" i="111" s="1"/>
  <c r="B34" i="30"/>
  <c r="AC52" i="111" s="1"/>
  <c r="AC101" i="111" s="1"/>
  <c r="B35" i="30"/>
  <c r="B36" i="30"/>
  <c r="AE52" i="111" s="1"/>
  <c r="AE101" i="111" s="1"/>
  <c r="B37" i="30"/>
  <c r="B40" i="23" s="1"/>
  <c r="B8" i="30"/>
  <c r="C79" i="110" s="1"/>
  <c r="C115" i="110" s="1"/>
  <c r="B9" i="30"/>
  <c r="D9" i="30" s="1"/>
  <c r="F9" i="30" s="1"/>
  <c r="B10" i="30"/>
  <c r="E52" i="111" s="1"/>
  <c r="E101" i="111" s="1"/>
  <c r="B11" i="30"/>
  <c r="F52" i="111" s="1"/>
  <c r="B12" i="30"/>
  <c r="G52" i="111" s="1"/>
  <c r="G101" i="111" s="1"/>
  <c r="B13" i="30"/>
  <c r="H52" i="111" s="1"/>
  <c r="H101" i="111" s="1"/>
  <c r="B14" i="30"/>
  <c r="I79" i="110" s="1"/>
  <c r="B15" i="30"/>
  <c r="J79" i="110" s="1"/>
  <c r="J114" i="110" s="1"/>
  <c r="B16" i="30"/>
  <c r="K52" i="111" s="1"/>
  <c r="K101" i="111" s="1"/>
  <c r="AD94" i="111"/>
  <c r="Y90" i="111"/>
  <c r="Z90" i="111"/>
  <c r="AA90" i="111"/>
  <c r="Z104" i="110"/>
  <c r="Y104" i="110"/>
  <c r="AA104" i="110"/>
  <c r="AB104" i="110"/>
  <c r="AC104" i="110"/>
  <c r="AD104" i="110"/>
  <c r="AE104" i="110"/>
  <c r="AF104" i="110"/>
  <c r="C21" i="29"/>
  <c r="D13" i="29"/>
  <c r="D12" i="29"/>
  <c r="M23" i="31"/>
  <c r="R44" i="110" s="1"/>
  <c r="R62" i="110" s="1"/>
  <c r="R35" i="111"/>
  <c r="W23" i="31"/>
  <c r="R37" i="110" s="1"/>
  <c r="X23" i="31"/>
  <c r="R46" i="110" s="1"/>
  <c r="R65" i="110" s="1"/>
  <c r="K22" i="31"/>
  <c r="M22" i="31"/>
  <c r="N22" i="31"/>
  <c r="O19" i="31"/>
  <c r="O34" i="111" s="1"/>
  <c r="P22" i="31"/>
  <c r="G58" i="31" s="1"/>
  <c r="I23" i="31"/>
  <c r="R40" i="111" s="1"/>
  <c r="J24" i="31"/>
  <c r="M24" i="31"/>
  <c r="S44" i="110" s="1"/>
  <c r="P24" i="31"/>
  <c r="S45" i="110" s="1"/>
  <c r="S31" i="110" s="1"/>
  <c r="S35" i="111"/>
  <c r="W24" i="31"/>
  <c r="S37" i="110" s="1"/>
  <c r="W25" i="31"/>
  <c r="T29" i="111" s="1"/>
  <c r="W26" i="31"/>
  <c r="U29" i="111" s="1"/>
  <c r="W27" i="31"/>
  <c r="V37" i="110" s="1"/>
  <c r="W28" i="31"/>
  <c r="W29" i="31"/>
  <c r="W30" i="31"/>
  <c r="X24" i="31"/>
  <c r="S46" i="110" s="1"/>
  <c r="C11" i="31"/>
  <c r="D11" i="31"/>
  <c r="F20" i="110" s="1"/>
  <c r="Q11" i="31"/>
  <c r="F23" i="111" s="1"/>
  <c r="J11" i="31"/>
  <c r="F36" i="110" s="1"/>
  <c r="F54" i="110" s="1"/>
  <c r="W11" i="31"/>
  <c r="W12" i="31"/>
  <c r="G29" i="111" s="1"/>
  <c r="W13" i="31"/>
  <c r="L11" i="31"/>
  <c r="F32" i="111" s="1"/>
  <c r="N11" i="31"/>
  <c r="F33" i="111" s="1"/>
  <c r="N12" i="31"/>
  <c r="G41" i="110" s="1"/>
  <c r="G59" i="110" s="1"/>
  <c r="N13" i="31"/>
  <c r="H33" i="111" s="1"/>
  <c r="O11" i="31"/>
  <c r="F42" i="110" s="1"/>
  <c r="F35" i="111"/>
  <c r="M11" i="31"/>
  <c r="F36" i="111" s="1"/>
  <c r="P11" i="31"/>
  <c r="G47" i="31" s="1"/>
  <c r="P12" i="31"/>
  <c r="G48" i="31" s="1"/>
  <c r="P13" i="31"/>
  <c r="H45" i="110" s="1"/>
  <c r="H31" i="110" s="1"/>
  <c r="X11" i="31"/>
  <c r="F39" i="111" s="1"/>
  <c r="I11" i="31"/>
  <c r="F49" i="111"/>
  <c r="K11" i="29"/>
  <c r="F54" i="111" s="1"/>
  <c r="H32" i="31"/>
  <c r="AA29" i="110" s="1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13" i="23"/>
  <c r="G12" i="23"/>
  <c r="B39" i="23"/>
  <c r="G34" i="23"/>
  <c r="G35" i="23"/>
  <c r="G36" i="23"/>
  <c r="G37" i="23"/>
  <c r="U30" i="31"/>
  <c r="U31" i="31"/>
  <c r="U32" i="31"/>
  <c r="U33" i="31"/>
  <c r="P17" i="31"/>
  <c r="L45" i="110" s="1"/>
  <c r="AF7" i="111"/>
  <c r="O86" i="111"/>
  <c r="O70" i="111" s="1"/>
  <c r="P86" i="111"/>
  <c r="P70" i="111" s="1"/>
  <c r="Q86" i="111"/>
  <c r="Q70" i="111" s="1"/>
  <c r="R86" i="111"/>
  <c r="R70" i="111" s="1"/>
  <c r="S86" i="111"/>
  <c r="S70" i="111" s="1"/>
  <c r="O87" i="111"/>
  <c r="O89" i="111" s="1"/>
  <c r="P87" i="111"/>
  <c r="P89" i="111" s="1"/>
  <c r="R87" i="111"/>
  <c r="R89" i="111" s="1"/>
  <c r="S87" i="111"/>
  <c r="S89" i="111" s="1"/>
  <c r="O90" i="111"/>
  <c r="P90" i="111"/>
  <c r="Q90" i="111"/>
  <c r="R90" i="111"/>
  <c r="S90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Q20" i="31"/>
  <c r="O23" i="111" s="1"/>
  <c r="H20" i="31"/>
  <c r="J20" i="31"/>
  <c r="O28" i="111" s="1"/>
  <c r="P20" i="31"/>
  <c r="G56" i="31" s="1"/>
  <c r="Q21" i="31"/>
  <c r="H21" i="31"/>
  <c r="Q22" i="31"/>
  <c r="Q23" i="111" s="1"/>
  <c r="H22" i="31"/>
  <c r="Q29" i="110" s="1"/>
  <c r="J22" i="31"/>
  <c r="Q36" i="110" s="1"/>
  <c r="Q30" i="110" s="1"/>
  <c r="Q23" i="31"/>
  <c r="R23" i="111" s="1"/>
  <c r="H23" i="31"/>
  <c r="R29" i="110" s="1"/>
  <c r="Q24" i="31"/>
  <c r="H24" i="31"/>
  <c r="S29" i="110" s="1"/>
  <c r="Q25" i="31"/>
  <c r="T28" i="110" s="1"/>
  <c r="H25" i="31"/>
  <c r="T24" i="111" s="1"/>
  <c r="Q26" i="31"/>
  <c r="H26" i="31"/>
  <c r="U24" i="111" s="1"/>
  <c r="Q27" i="31"/>
  <c r="H27" i="31"/>
  <c r="V29" i="110" s="1"/>
  <c r="Q28" i="31"/>
  <c r="W23" i="111" s="1"/>
  <c r="H28" i="31"/>
  <c r="Q29" i="31"/>
  <c r="X23" i="111" s="1"/>
  <c r="H29" i="31"/>
  <c r="X24" i="111" s="1"/>
  <c r="Q30" i="31"/>
  <c r="Y28" i="110" s="1"/>
  <c r="H30" i="31"/>
  <c r="Y29" i="110" s="1"/>
  <c r="Q31" i="31"/>
  <c r="Z28" i="110" s="1"/>
  <c r="H31" i="31"/>
  <c r="Z24" i="111" s="1"/>
  <c r="J31" i="31"/>
  <c r="Z36" i="110" s="1"/>
  <c r="H33" i="31"/>
  <c r="AB24" i="111" s="1"/>
  <c r="H34" i="31"/>
  <c r="AC29" i="110" s="1"/>
  <c r="H35" i="31"/>
  <c r="AD29" i="110" s="1"/>
  <c r="H36" i="31"/>
  <c r="AE29" i="110" s="1"/>
  <c r="D37" i="31"/>
  <c r="AF20" i="110" s="1"/>
  <c r="E37" i="31"/>
  <c r="I37" i="31"/>
  <c r="AF47" i="110" s="1"/>
  <c r="C20" i="31"/>
  <c r="O19" i="110" s="1"/>
  <c r="D20" i="31"/>
  <c r="O16" i="111" s="1"/>
  <c r="E20" i="31"/>
  <c r="O17" i="111" s="1"/>
  <c r="C21" i="31"/>
  <c r="D21" i="31"/>
  <c r="P20" i="110" s="1"/>
  <c r="E21" i="31"/>
  <c r="P21" i="110" s="1"/>
  <c r="C22" i="31"/>
  <c r="Q19" i="110" s="1"/>
  <c r="D22" i="31"/>
  <c r="Q20" i="110" s="1"/>
  <c r="E22" i="31"/>
  <c r="Q17" i="111" s="1"/>
  <c r="C23" i="31"/>
  <c r="D23" i="31"/>
  <c r="R20" i="110" s="1"/>
  <c r="E23" i="31"/>
  <c r="R21" i="110" s="1"/>
  <c r="C24" i="31"/>
  <c r="S19" i="110" s="1"/>
  <c r="D24" i="31"/>
  <c r="S16" i="111" s="1"/>
  <c r="E24" i="31"/>
  <c r="S17" i="111" s="1"/>
  <c r="E25" i="31"/>
  <c r="E26" i="31"/>
  <c r="U17" i="111" s="1"/>
  <c r="E28" i="31"/>
  <c r="W17" i="111" s="1"/>
  <c r="E29" i="31"/>
  <c r="X17" i="111" s="1"/>
  <c r="C29" i="31"/>
  <c r="X15" i="111" s="1"/>
  <c r="D29" i="31"/>
  <c r="X20" i="110" s="1"/>
  <c r="E30" i="31"/>
  <c r="Y21" i="110" s="1"/>
  <c r="C25" i="31"/>
  <c r="D25" i="31"/>
  <c r="T20" i="110" s="1"/>
  <c r="C26" i="31"/>
  <c r="U19" i="110" s="1"/>
  <c r="D26" i="31"/>
  <c r="U16" i="111" s="1"/>
  <c r="C27" i="31"/>
  <c r="D27" i="31"/>
  <c r="V20" i="110" s="1"/>
  <c r="C28" i="31"/>
  <c r="W19" i="110" s="1"/>
  <c r="D28" i="31"/>
  <c r="W16" i="111" s="1"/>
  <c r="C30" i="31"/>
  <c r="D30" i="31"/>
  <c r="Y16" i="111" s="1"/>
  <c r="C31" i="31"/>
  <c r="Z19" i="110" s="1"/>
  <c r="D31" i="31"/>
  <c r="Z20" i="110" s="1"/>
  <c r="E31" i="31"/>
  <c r="Z21" i="110" s="1"/>
  <c r="C32" i="31"/>
  <c r="AA15" i="111" s="1"/>
  <c r="D32" i="31"/>
  <c r="E32" i="31"/>
  <c r="AA21" i="110" s="1"/>
  <c r="C33" i="31"/>
  <c r="AB19" i="110" s="1"/>
  <c r="D33" i="31"/>
  <c r="AB20" i="110" s="1"/>
  <c r="E33" i="31"/>
  <c r="C34" i="31"/>
  <c r="D34" i="31"/>
  <c r="AC20" i="110" s="1"/>
  <c r="E34" i="31"/>
  <c r="C35" i="31"/>
  <c r="D35" i="31"/>
  <c r="AD20" i="110" s="1"/>
  <c r="E35" i="31"/>
  <c r="AD21" i="110" s="1"/>
  <c r="C36" i="31"/>
  <c r="AE19" i="110" s="1"/>
  <c r="D36" i="31"/>
  <c r="AE16" i="111" s="1"/>
  <c r="E36" i="31"/>
  <c r="AE21" i="110" s="1"/>
  <c r="C37" i="31"/>
  <c r="AF15" i="111" s="1"/>
  <c r="M93" i="111"/>
  <c r="H37" i="31"/>
  <c r="AF24" i="111" s="1"/>
  <c r="J37" i="31"/>
  <c r="AF40" i="111" s="1"/>
  <c r="P37" i="31"/>
  <c r="G73" i="31" s="1"/>
  <c r="J21" i="31"/>
  <c r="P28" i="111" s="1"/>
  <c r="P21" i="31"/>
  <c r="P45" i="110" s="1"/>
  <c r="P23" i="31"/>
  <c r="R45" i="110" s="1"/>
  <c r="J25" i="31"/>
  <c r="P25" i="31"/>
  <c r="J26" i="31"/>
  <c r="U28" i="111" s="1"/>
  <c r="P26" i="31"/>
  <c r="U37" i="111" s="1"/>
  <c r="J27" i="31"/>
  <c r="V36" i="110" s="1"/>
  <c r="V30" i="110" s="1"/>
  <c r="P27" i="31"/>
  <c r="J28" i="31"/>
  <c r="P28" i="31"/>
  <c r="J29" i="31"/>
  <c r="X28" i="111" s="1"/>
  <c r="P29" i="31"/>
  <c r="J30" i="31"/>
  <c r="Y36" i="110" s="1"/>
  <c r="Y15" i="110" s="1"/>
  <c r="P30" i="31"/>
  <c r="Y37" i="111" s="1"/>
  <c r="J32" i="31"/>
  <c r="AA36" i="110" s="1"/>
  <c r="AA15" i="110" s="1"/>
  <c r="J33" i="31"/>
  <c r="AB28" i="111" s="1"/>
  <c r="J35" i="31"/>
  <c r="AD28" i="111" s="1"/>
  <c r="J36" i="31"/>
  <c r="AE36" i="110" s="1"/>
  <c r="AE54" i="110" s="1"/>
  <c r="AH59" i="111"/>
  <c r="AH81" i="111"/>
  <c r="AH80" i="111"/>
  <c r="AH82" i="111"/>
  <c r="AH84" i="111"/>
  <c r="J15" i="31"/>
  <c r="C49" i="111"/>
  <c r="D49" i="111"/>
  <c r="E49" i="111"/>
  <c r="P16" i="31"/>
  <c r="G52" i="31" s="1"/>
  <c r="K13" i="29"/>
  <c r="H82" i="110" s="1"/>
  <c r="H94" i="110" s="1"/>
  <c r="N8" i="31"/>
  <c r="C41" i="110" s="1"/>
  <c r="B49" i="111"/>
  <c r="W37" i="31"/>
  <c r="K37" i="31"/>
  <c r="AF31" i="111" s="1"/>
  <c r="L37" i="31"/>
  <c r="AF40" i="110" s="1"/>
  <c r="AF58" i="110"/>
  <c r="N37" i="31"/>
  <c r="AF41" i="110" s="1"/>
  <c r="O37" i="31"/>
  <c r="AF34" i="111" s="1"/>
  <c r="AF43" i="110"/>
  <c r="AF61" i="110" s="1"/>
  <c r="M37" i="31"/>
  <c r="AF36" i="111" s="1"/>
  <c r="AF49" i="111"/>
  <c r="AF98" i="110"/>
  <c r="AF101" i="110"/>
  <c r="AF103" i="110" s="1"/>
  <c r="C18" i="31"/>
  <c r="N15" i="111" s="1"/>
  <c r="J12" i="31"/>
  <c r="G28" i="111" s="1"/>
  <c r="AC43" i="110"/>
  <c r="AC61" i="110" s="1"/>
  <c r="F29" i="28"/>
  <c r="V49" i="111"/>
  <c r="O25" i="31"/>
  <c r="T42" i="110" s="1"/>
  <c r="T60" i="110" s="1"/>
  <c r="N25" i="31"/>
  <c r="T41" i="110" s="1"/>
  <c r="M25" i="31"/>
  <c r="T44" i="110" s="1"/>
  <c r="L25" i="31"/>
  <c r="T40" i="110" s="1"/>
  <c r="T58" i="110" s="1"/>
  <c r="T43" i="110"/>
  <c r="O26" i="31"/>
  <c r="U34" i="111" s="1"/>
  <c r="O27" i="31"/>
  <c r="V34" i="111" s="1"/>
  <c r="O28" i="31"/>
  <c r="W42" i="110" s="1"/>
  <c r="W60" i="110" s="1"/>
  <c r="O29" i="31"/>
  <c r="O30" i="31"/>
  <c r="Y34" i="111" s="1"/>
  <c r="O31" i="31"/>
  <c r="Z34" i="111" s="1"/>
  <c r="O32" i="31"/>
  <c r="AA42" i="110" s="1"/>
  <c r="AA60" i="110" s="1"/>
  <c r="O33" i="31"/>
  <c r="AB42" i="110" s="1"/>
  <c r="AB60" i="110" s="1"/>
  <c r="Q9" i="31"/>
  <c r="D28" i="110" s="1"/>
  <c r="H9" i="31"/>
  <c r="J9" i="31"/>
  <c r="D28" i="111" s="1"/>
  <c r="P9" i="31"/>
  <c r="D45" i="110" s="1"/>
  <c r="D31" i="110" s="1"/>
  <c r="M13" i="31"/>
  <c r="H44" i="110" s="1"/>
  <c r="H62" i="110" s="1"/>
  <c r="J14" i="31"/>
  <c r="K10" i="29"/>
  <c r="E82" i="110" s="1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A95" i="111"/>
  <c r="AB95" i="111"/>
  <c r="AC95" i="111"/>
  <c r="AD95" i="111"/>
  <c r="AE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AE94" i="111"/>
  <c r="AF94" i="111"/>
  <c r="B94" i="111"/>
  <c r="J8" i="31"/>
  <c r="C28" i="111" s="1"/>
  <c r="E93" i="111"/>
  <c r="J10" i="31"/>
  <c r="G78" i="31" s="1"/>
  <c r="H93" i="111"/>
  <c r="I93" i="111"/>
  <c r="W15" i="31"/>
  <c r="J37" i="110" s="1"/>
  <c r="K15" i="31"/>
  <c r="J39" i="110" s="1"/>
  <c r="L15" i="31"/>
  <c r="J32" i="111" s="1"/>
  <c r="O15" i="31"/>
  <c r="N15" i="31"/>
  <c r="M15" i="31"/>
  <c r="J44" i="110" s="1"/>
  <c r="O16" i="31"/>
  <c r="K34" i="111" s="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P15" i="31"/>
  <c r="X15" i="31"/>
  <c r="J46" i="110" s="1"/>
  <c r="J65" i="110" s="1"/>
  <c r="X14" i="31"/>
  <c r="I39" i="111" s="1"/>
  <c r="X16" i="31"/>
  <c r="K46" i="110" s="1"/>
  <c r="K65" i="110" s="1"/>
  <c r="X17" i="31"/>
  <c r="L46" i="110" s="1"/>
  <c r="L65" i="110" s="1"/>
  <c r="X18" i="31"/>
  <c r="X19" i="31"/>
  <c r="N46" i="110" s="1"/>
  <c r="W16" i="31"/>
  <c r="K37" i="110" s="1"/>
  <c r="K16" i="31"/>
  <c r="L16" i="31"/>
  <c r="K40" i="110" s="1"/>
  <c r="K58" i="110" s="1"/>
  <c r="N16" i="31"/>
  <c r="K33" i="111" s="1"/>
  <c r="M16" i="3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C35" i="111"/>
  <c r="AD35" i="111"/>
  <c r="AE35" i="111"/>
  <c r="AF35" i="111"/>
  <c r="L93" i="111"/>
  <c r="T93" i="111"/>
  <c r="V93" i="111"/>
  <c r="W93" i="111"/>
  <c r="X93" i="111"/>
  <c r="Y93" i="111"/>
  <c r="Z93" i="111"/>
  <c r="AA93" i="111"/>
  <c r="AB93" i="111"/>
  <c r="AC93" i="111"/>
  <c r="AD93" i="111"/>
  <c r="AE93" i="111"/>
  <c r="AF93" i="111"/>
  <c r="B93" i="111"/>
  <c r="AF39" i="111"/>
  <c r="AF86" i="111"/>
  <c r="AF70" i="111" s="1"/>
  <c r="AF87" i="111"/>
  <c r="AF89" i="111" s="1"/>
  <c r="AF90" i="111"/>
  <c r="AB7" i="111"/>
  <c r="AC7" i="111"/>
  <c r="AD7" i="111"/>
  <c r="AE7" i="111"/>
  <c r="E11" i="23"/>
  <c r="C10" i="28"/>
  <c r="F11" i="28"/>
  <c r="C12" i="28"/>
  <c r="C13" i="28"/>
  <c r="C14" i="28"/>
  <c r="F15" i="28"/>
  <c r="F16" i="28"/>
  <c r="F17" i="28"/>
  <c r="E23" i="23"/>
  <c r="C21" i="28"/>
  <c r="C22" i="28"/>
  <c r="E26" i="23"/>
  <c r="C24" i="28"/>
  <c r="E28" i="23"/>
  <c r="F26" i="28"/>
  <c r="E30" i="23"/>
  <c r="E33" i="23"/>
  <c r="E34" i="23"/>
  <c r="C32" i="28"/>
  <c r="F33" i="28"/>
  <c r="C34" i="28"/>
  <c r="H16" i="23"/>
  <c r="V8" i="31"/>
  <c r="V9" i="31"/>
  <c r="V10" i="31"/>
  <c r="V11" i="31"/>
  <c r="V12" i="31"/>
  <c r="V13" i="31"/>
  <c r="V14" i="31"/>
  <c r="V15" i="31"/>
  <c r="V16" i="31"/>
  <c r="V17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7" i="31"/>
  <c r="U7" i="31"/>
  <c r="U8" i="31"/>
  <c r="U9" i="31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4" i="31"/>
  <c r="U35" i="31"/>
  <c r="U36" i="31"/>
  <c r="U37" i="31"/>
  <c r="U6" i="31"/>
  <c r="Q8" i="31"/>
  <c r="C23" i="111" s="1"/>
  <c r="H8" i="31"/>
  <c r="C29" i="110" s="1"/>
  <c r="Q7" i="31"/>
  <c r="B23" i="111" s="1"/>
  <c r="H7" i="31"/>
  <c r="B24" i="111" s="1"/>
  <c r="T8" i="31"/>
  <c r="Q10" i="31"/>
  <c r="Q12" i="31"/>
  <c r="Q13" i="31"/>
  <c r="H28" i="110" s="1"/>
  <c r="J13" i="31"/>
  <c r="Q14" i="31"/>
  <c r="I29" i="110"/>
  <c r="P14" i="31"/>
  <c r="I37" i="111" s="1"/>
  <c r="Q15" i="31"/>
  <c r="J23" i="111" s="1"/>
  <c r="H15" i="31"/>
  <c r="J24" i="111" s="1"/>
  <c r="Q16" i="31"/>
  <c r="K23" i="111" s="1"/>
  <c r="H17" i="31"/>
  <c r="V7" i="31"/>
  <c r="T10" i="31"/>
  <c r="T9" i="31"/>
  <c r="T12" i="31"/>
  <c r="T11" i="31"/>
  <c r="T13" i="31"/>
  <c r="A31" i="110"/>
  <c r="A30" i="110"/>
  <c r="K12" i="29"/>
  <c r="M12" i="29" s="1"/>
  <c r="D27" i="23"/>
  <c r="D10" i="23"/>
  <c r="D11" i="23"/>
  <c r="D12" i="23"/>
  <c r="D13" i="23"/>
  <c r="D28" i="23"/>
  <c r="D29" i="23"/>
  <c r="D30" i="23"/>
  <c r="C19" i="29"/>
  <c r="C20" i="29"/>
  <c r="D24" i="29"/>
  <c r="C27" i="29"/>
  <c r="D19" i="29"/>
  <c r="D20" i="29"/>
  <c r="D18" i="29"/>
  <c r="D21" i="29"/>
  <c r="D22" i="29"/>
  <c r="D23" i="29"/>
  <c r="H22" i="29"/>
  <c r="D25" i="29"/>
  <c r="D26" i="29"/>
  <c r="D27" i="29"/>
  <c r="D28" i="29"/>
  <c r="D29" i="29"/>
  <c r="E29" i="29"/>
  <c r="E28" i="29"/>
  <c r="D30" i="29"/>
  <c r="E30" i="29"/>
  <c r="D31" i="29"/>
  <c r="D32" i="29"/>
  <c r="D33" i="29"/>
  <c r="D34" i="29"/>
  <c r="D35" i="29"/>
  <c r="D36" i="29"/>
  <c r="D37" i="29"/>
  <c r="D31" i="23"/>
  <c r="D32" i="23"/>
  <c r="D33" i="23"/>
  <c r="K14" i="29"/>
  <c r="O14" i="29" s="1"/>
  <c r="K15" i="29"/>
  <c r="J54" i="111" s="1"/>
  <c r="K16" i="29"/>
  <c r="M16" i="29" s="1"/>
  <c r="K8" i="29"/>
  <c r="C82" i="110" s="1"/>
  <c r="K9" i="29"/>
  <c r="D82" i="110" s="1"/>
  <c r="Z49" i="111"/>
  <c r="M86" i="111"/>
  <c r="M70" i="111" s="1"/>
  <c r="AJ33" i="111"/>
  <c r="E27" i="30"/>
  <c r="U101" i="110"/>
  <c r="U103" i="110" s="1"/>
  <c r="K21" i="31"/>
  <c r="P39" i="110" s="1"/>
  <c r="P57" i="110" s="1"/>
  <c r="W21" i="31"/>
  <c r="W7" i="31"/>
  <c r="W8" i="31"/>
  <c r="C29" i="111" s="1"/>
  <c r="L8" i="31"/>
  <c r="C43" i="110"/>
  <c r="M8" i="31"/>
  <c r="C36" i="111" s="1"/>
  <c r="P8" i="31"/>
  <c r="C45" i="110" s="1"/>
  <c r="C31" i="110" s="1"/>
  <c r="X8" i="31"/>
  <c r="C39" i="111" s="1"/>
  <c r="X9" i="31"/>
  <c r="D39" i="111" s="1"/>
  <c r="X10" i="31"/>
  <c r="X7" i="31"/>
  <c r="B46" i="110" s="1"/>
  <c r="X12" i="31"/>
  <c r="G46" i="110" s="1"/>
  <c r="G65" i="110" s="1"/>
  <c r="X13" i="31"/>
  <c r="H39" i="111" s="1"/>
  <c r="X20" i="31"/>
  <c r="O46" i="110" s="1"/>
  <c r="X21" i="31"/>
  <c r="P39" i="111" s="1"/>
  <c r="X22" i="31"/>
  <c r="Q39" i="111" s="1"/>
  <c r="X25" i="31"/>
  <c r="T46" i="110" s="1"/>
  <c r="X26" i="31"/>
  <c r="U46" i="110" s="1"/>
  <c r="X27" i="31"/>
  <c r="V46" i="110" s="1"/>
  <c r="V65" i="110" s="1"/>
  <c r="X28" i="31"/>
  <c r="W46" i="110" s="1"/>
  <c r="W65" i="110" s="1"/>
  <c r="X29" i="31"/>
  <c r="X39" i="111" s="1"/>
  <c r="X30" i="31"/>
  <c r="X31" i="31"/>
  <c r="X32" i="31"/>
  <c r="AA39" i="111" s="1"/>
  <c r="X33" i="31"/>
  <c r="AB39" i="111" s="1"/>
  <c r="X34" i="31"/>
  <c r="AC39" i="111" s="1"/>
  <c r="X35" i="31"/>
  <c r="AD39" i="111" s="1"/>
  <c r="X36" i="31"/>
  <c r="I8" i="31"/>
  <c r="W9" i="31"/>
  <c r="W10" i="31"/>
  <c r="E37" i="110" s="1"/>
  <c r="W14" i="31"/>
  <c r="I29" i="111" s="1"/>
  <c r="K14" i="31"/>
  <c r="I31" i="111" s="1"/>
  <c r="L14" i="31"/>
  <c r="N14" i="31"/>
  <c r="O14" i="31"/>
  <c r="O17" i="31"/>
  <c r="L42" i="110" s="1"/>
  <c r="L60" i="110" s="1"/>
  <c r="O18" i="31"/>
  <c r="M42" i="110" s="1"/>
  <c r="M60" i="110" s="1"/>
  <c r="I43" i="110"/>
  <c r="M14" i="31"/>
  <c r="I36" i="111" s="1"/>
  <c r="I14" i="31"/>
  <c r="I47" i="110" s="1"/>
  <c r="W17" i="31"/>
  <c r="L29" i="111" s="1"/>
  <c r="W18" i="31"/>
  <c r="W19" i="31"/>
  <c r="W20" i="31"/>
  <c r="O29" i="111" s="1"/>
  <c r="W22" i="31"/>
  <c r="W31" i="31"/>
  <c r="Z37" i="110" s="1"/>
  <c r="W32" i="31"/>
  <c r="AA37" i="110" s="1"/>
  <c r="W33" i="31"/>
  <c r="AB37" i="110" s="1"/>
  <c r="W34" i="31"/>
  <c r="W35" i="31"/>
  <c r="W36" i="31"/>
  <c r="AE29" i="111" s="1"/>
  <c r="L21" i="31"/>
  <c r="P40" i="110" s="1"/>
  <c r="P58" i="110" s="1"/>
  <c r="N21" i="31"/>
  <c r="P41" i="110" s="1"/>
  <c r="P59" i="110" s="1"/>
  <c r="N7" i="31"/>
  <c r="B41" i="110" s="1"/>
  <c r="N9" i="31"/>
  <c r="N10" i="31"/>
  <c r="E41" i="110" s="1"/>
  <c r="N17" i="31"/>
  <c r="N18" i="31"/>
  <c r="M33" i="111" s="1"/>
  <c r="N19" i="31"/>
  <c r="N33" i="111" s="1"/>
  <c r="N20" i="31"/>
  <c r="O41" i="110" s="1"/>
  <c r="L22" i="31"/>
  <c r="O22" i="31"/>
  <c r="Q42" i="110" s="1"/>
  <c r="Q43" i="110"/>
  <c r="I22" i="31"/>
  <c r="Q40" i="111" s="1"/>
  <c r="N23" i="31"/>
  <c r="R41" i="110" s="1"/>
  <c r="R59" i="110" s="1"/>
  <c r="K23" i="31"/>
  <c r="R39" i="110" s="1"/>
  <c r="L23" i="31"/>
  <c r="R40" i="110" s="1"/>
  <c r="O23" i="31"/>
  <c r="R42" i="110" s="1"/>
  <c r="R60" i="110" s="1"/>
  <c r="R43" i="110"/>
  <c r="R61" i="110" s="1"/>
  <c r="N24" i="31"/>
  <c r="S41" i="110" s="1"/>
  <c r="S59" i="110" s="1"/>
  <c r="N26" i="31"/>
  <c r="U41" i="110" s="1"/>
  <c r="U59" i="110" s="1"/>
  <c r="K24" i="31"/>
  <c r="S39" i="110" s="1"/>
  <c r="S57" i="110" s="1"/>
  <c r="L24" i="31"/>
  <c r="S40" i="110" s="1"/>
  <c r="S58" i="110" s="1"/>
  <c r="O24" i="31"/>
  <c r="S42" i="110" s="1"/>
  <c r="S60" i="110" s="1"/>
  <c r="S43" i="110"/>
  <c r="S61" i="110" s="1"/>
  <c r="I24" i="31"/>
  <c r="S40" i="111" s="1"/>
  <c r="N27" i="31"/>
  <c r="V33" i="111" s="1"/>
  <c r="N28" i="31"/>
  <c r="N29" i="31"/>
  <c r="X41" i="110" s="1"/>
  <c r="X59" i="110" s="1"/>
  <c r="N30" i="31"/>
  <c r="N31" i="31"/>
  <c r="Z41" i="110" s="1"/>
  <c r="Z59" i="110" s="1"/>
  <c r="N32" i="31"/>
  <c r="AA41" i="110" s="1"/>
  <c r="AA59" i="110" s="1"/>
  <c r="N33" i="31"/>
  <c r="N34" i="31"/>
  <c r="K34" i="31"/>
  <c r="AC39" i="110" s="1"/>
  <c r="AC57" i="110" s="1"/>
  <c r="L34" i="31"/>
  <c r="AC32" i="111" s="1"/>
  <c r="O34" i="31"/>
  <c r="AC42" i="110" s="1"/>
  <c r="M34" i="31"/>
  <c r="I34" i="31"/>
  <c r="AC40" i="111" s="1"/>
  <c r="N35" i="31"/>
  <c r="AD33" i="111" s="1"/>
  <c r="N36" i="31"/>
  <c r="O21" i="31"/>
  <c r="P43" i="110"/>
  <c r="P61" i="110" s="1"/>
  <c r="M21" i="31"/>
  <c r="P36" i="111" s="1"/>
  <c r="I21" i="31"/>
  <c r="P40" i="111" s="1"/>
  <c r="AA7" i="111"/>
  <c r="Z7" i="111"/>
  <c r="Y7" i="111"/>
  <c r="X7" i="111"/>
  <c r="W7" i="111"/>
  <c r="V7" i="111"/>
  <c r="U7" i="111"/>
  <c r="T7" i="111"/>
  <c r="S7" i="111"/>
  <c r="R7" i="111"/>
  <c r="Q7" i="111"/>
  <c r="P7" i="111"/>
  <c r="O7" i="111"/>
  <c r="N7" i="111"/>
  <c r="M7" i="111"/>
  <c r="L7" i="111"/>
  <c r="K7" i="111"/>
  <c r="J7" i="111"/>
  <c r="I7" i="111"/>
  <c r="H7" i="111"/>
  <c r="G7" i="111"/>
  <c r="F7" i="111"/>
  <c r="E7" i="111"/>
  <c r="D7" i="111"/>
  <c r="C7" i="111"/>
  <c r="AE86" i="111"/>
  <c r="AE70" i="111" s="1"/>
  <c r="AD86" i="111"/>
  <c r="AD70" i="111" s="1"/>
  <c r="O35" i="31"/>
  <c r="AD42" i="110" s="1"/>
  <c r="AD60" i="110" s="1"/>
  <c r="M35" i="31"/>
  <c r="AD44" i="110" s="1"/>
  <c r="AD62" i="110" s="1"/>
  <c r="AC86" i="111"/>
  <c r="AC70" i="111" s="1"/>
  <c r="AB86" i="111"/>
  <c r="AB70" i="111" s="1"/>
  <c r="AA86" i="111"/>
  <c r="AA70" i="111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B70" i="111" s="1"/>
  <c r="C86" i="111"/>
  <c r="C70" i="111" s="1"/>
  <c r="AG97" i="111"/>
  <c r="AE90" i="111"/>
  <c r="AD90" i="111"/>
  <c r="AC90" i="111"/>
  <c r="AB90" i="111"/>
  <c r="B90" i="111"/>
  <c r="C90" i="111"/>
  <c r="D90" i="111"/>
  <c r="E90" i="111"/>
  <c r="F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E87" i="111"/>
  <c r="AE89" i="111" s="1"/>
  <c r="AD87" i="111"/>
  <c r="AD89" i="111" s="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G89" i="111" s="1"/>
  <c r="F87" i="111"/>
  <c r="F89" i="111" s="1"/>
  <c r="E87" i="111"/>
  <c r="E89" i="111" s="1"/>
  <c r="D87" i="111"/>
  <c r="D89" i="111" s="1"/>
  <c r="C87" i="111"/>
  <c r="C89" i="111" s="1"/>
  <c r="B87" i="111"/>
  <c r="B89" i="111" s="1"/>
  <c r="AH79" i="111"/>
  <c r="AH78" i="111"/>
  <c r="AH83" i="111"/>
  <c r="AI83" i="111" s="1"/>
  <c r="AI77" i="111"/>
  <c r="AI76" i="111"/>
  <c r="O20" i="31"/>
  <c r="O42" i="110" s="1"/>
  <c r="I15" i="31"/>
  <c r="J47" i="110" s="1"/>
  <c r="O13" i="31"/>
  <c r="H42" i="110" s="1"/>
  <c r="H60" i="110" s="1"/>
  <c r="O12" i="31"/>
  <c r="G42" i="110" s="1"/>
  <c r="G60" i="110" s="1"/>
  <c r="F43" i="110"/>
  <c r="F61" i="110" s="1"/>
  <c r="AI65" i="111"/>
  <c r="H40" i="111"/>
  <c r="AG38" i="111"/>
  <c r="K13" i="31"/>
  <c r="H31" i="111" s="1"/>
  <c r="L13" i="31"/>
  <c r="H32" i="111" s="1"/>
  <c r="AG20" i="111"/>
  <c r="H19" i="31"/>
  <c r="N29" i="110" s="1"/>
  <c r="C40" i="27"/>
  <c r="B40" i="27"/>
  <c r="Q35" i="31"/>
  <c r="AD28" i="110" s="1"/>
  <c r="D40" i="23"/>
  <c r="M7" i="31"/>
  <c r="L49" i="111"/>
  <c r="K49" i="111"/>
  <c r="N49" i="111"/>
  <c r="O49" i="111"/>
  <c r="G49" i="111"/>
  <c r="H49" i="111"/>
  <c r="J49" i="111"/>
  <c r="R49" i="111"/>
  <c r="S49" i="111"/>
  <c r="T49" i="111"/>
  <c r="U49" i="111"/>
  <c r="W49" i="111"/>
  <c r="Y49" i="111"/>
  <c r="AA49" i="111"/>
  <c r="AB49" i="111"/>
  <c r="AC49" i="111"/>
  <c r="AE49" i="111"/>
  <c r="T101" i="110"/>
  <c r="T103" i="110" s="1"/>
  <c r="M101" i="110"/>
  <c r="M103" i="110" s="1"/>
  <c r="F101" i="110"/>
  <c r="F103" i="110" s="1"/>
  <c r="E101" i="110"/>
  <c r="E103" i="110" s="1"/>
  <c r="D101" i="110"/>
  <c r="D103" i="110" s="1"/>
  <c r="C101" i="110"/>
  <c r="C103" i="110" s="1"/>
  <c r="B104" i="110"/>
  <c r="C104" i="110"/>
  <c r="D104" i="110"/>
  <c r="E104" i="110"/>
  <c r="F104" i="110"/>
  <c r="G104" i="110"/>
  <c r="J104" i="110"/>
  <c r="K104" i="110"/>
  <c r="H104" i="110"/>
  <c r="I104" i="110"/>
  <c r="L104" i="110"/>
  <c r="M104" i="110"/>
  <c r="N104" i="110"/>
  <c r="O104" i="110"/>
  <c r="P104" i="110"/>
  <c r="Q104" i="110"/>
  <c r="R104" i="110"/>
  <c r="S104" i="110"/>
  <c r="T104" i="110"/>
  <c r="U104" i="110"/>
  <c r="V104" i="110"/>
  <c r="W104" i="110"/>
  <c r="X104" i="110"/>
  <c r="B43" i="110"/>
  <c r="D43" i="110"/>
  <c r="E43" i="110"/>
  <c r="G43" i="110"/>
  <c r="G61" i="110" s="1"/>
  <c r="H43" i="110"/>
  <c r="H61" i="110" s="1"/>
  <c r="J43" i="110"/>
  <c r="K43" i="110"/>
  <c r="K61" i="110" s="1"/>
  <c r="L43" i="110"/>
  <c r="L61" i="110" s="1"/>
  <c r="M43" i="110"/>
  <c r="M61" i="110" s="1"/>
  <c r="N43" i="110"/>
  <c r="N61" i="110" s="1"/>
  <c r="O43" i="110"/>
  <c r="U43" i="110"/>
  <c r="U61" i="110" s="1"/>
  <c r="X43" i="110"/>
  <c r="X61" i="110" s="1"/>
  <c r="Y43" i="110"/>
  <c r="V43" i="110"/>
  <c r="V61" i="110" s="1"/>
  <c r="W43" i="110"/>
  <c r="W61" i="110" s="1"/>
  <c r="Z43" i="110"/>
  <c r="Z61" i="110" s="1"/>
  <c r="AA43" i="110"/>
  <c r="AA61" i="110" s="1"/>
  <c r="AB43" i="110"/>
  <c r="AB61" i="110" s="1"/>
  <c r="AD43" i="110"/>
  <c r="AD61" i="110" s="1"/>
  <c r="AE43" i="110"/>
  <c r="AE61" i="110" s="1"/>
  <c r="H47" i="110"/>
  <c r="B101" i="110"/>
  <c r="B103" i="110" s="1"/>
  <c r="G101" i="110"/>
  <c r="H101" i="110"/>
  <c r="H103" i="110" s="1"/>
  <c r="I101" i="110"/>
  <c r="I103" i="110" s="1"/>
  <c r="J101" i="110"/>
  <c r="J103" i="110" s="1"/>
  <c r="K101" i="110"/>
  <c r="K103" i="110" s="1"/>
  <c r="L101" i="110"/>
  <c r="L103" i="110" s="1"/>
  <c r="N101" i="110"/>
  <c r="N103" i="110" s="1"/>
  <c r="O101" i="110"/>
  <c r="O103" i="110" s="1"/>
  <c r="P101" i="110"/>
  <c r="P103" i="110" s="1"/>
  <c r="Q101" i="110"/>
  <c r="Q103" i="110" s="1"/>
  <c r="R101" i="110"/>
  <c r="R103" i="110" s="1"/>
  <c r="S101" i="110"/>
  <c r="S103" i="110" s="1"/>
  <c r="V101" i="110"/>
  <c r="V103" i="110" s="1"/>
  <c r="W101" i="110"/>
  <c r="W103" i="110" s="1"/>
  <c r="X101" i="110"/>
  <c r="X103" i="110" s="1"/>
  <c r="Y101" i="110"/>
  <c r="Y103" i="110" s="1"/>
  <c r="Z101" i="110"/>
  <c r="Z103" i="110" s="1"/>
  <c r="AA101" i="110"/>
  <c r="AA103" i="110" s="1"/>
  <c r="AB101" i="110"/>
  <c r="AB103" i="110" s="1"/>
  <c r="AC101" i="110"/>
  <c r="AC103" i="110" s="1"/>
  <c r="AD101" i="110"/>
  <c r="AD103" i="110" s="1"/>
  <c r="AE101" i="110"/>
  <c r="AE103" i="110" s="1"/>
  <c r="B7" i="109"/>
  <c r="E7" i="109"/>
  <c r="F7" i="109"/>
  <c r="H7" i="109"/>
  <c r="H8" i="109"/>
  <c r="J7" i="109"/>
  <c r="M7" i="109"/>
  <c r="E8" i="109"/>
  <c r="F8" i="109"/>
  <c r="J8" i="109"/>
  <c r="M8" i="109"/>
  <c r="B9" i="109"/>
  <c r="F9" i="109"/>
  <c r="E9" i="109"/>
  <c r="H9" i="109"/>
  <c r="J9" i="109"/>
  <c r="J10" i="109"/>
  <c r="H10" i="109"/>
  <c r="M9" i="109"/>
  <c r="B10" i="109"/>
  <c r="E10" i="109"/>
  <c r="F10" i="109"/>
  <c r="M10" i="109"/>
  <c r="B11" i="109"/>
  <c r="E11" i="109"/>
  <c r="F11" i="109"/>
  <c r="H11" i="109"/>
  <c r="J11" i="109"/>
  <c r="B12" i="109"/>
  <c r="E12" i="109"/>
  <c r="F12" i="109"/>
  <c r="H12" i="109"/>
  <c r="J12" i="109"/>
  <c r="M12" i="109"/>
  <c r="B13" i="109"/>
  <c r="E13" i="109"/>
  <c r="H13" i="109"/>
  <c r="J13" i="109"/>
  <c r="M13" i="109"/>
  <c r="B14" i="109"/>
  <c r="E14" i="109"/>
  <c r="H14" i="109"/>
  <c r="H15" i="109"/>
  <c r="J15" i="109"/>
  <c r="J14" i="109"/>
  <c r="M14" i="109"/>
  <c r="B15" i="109"/>
  <c r="B16" i="109"/>
  <c r="B17" i="109"/>
  <c r="C16" i="109" s="1"/>
  <c r="E15" i="109"/>
  <c r="M15" i="109"/>
  <c r="E16" i="109"/>
  <c r="J16" i="109"/>
  <c r="M16" i="109"/>
  <c r="E17" i="109"/>
  <c r="J17" i="109"/>
  <c r="M17" i="109"/>
  <c r="B18" i="109"/>
  <c r="C18" i="109" s="1"/>
  <c r="E18" i="109"/>
  <c r="J18" i="109"/>
  <c r="M18" i="109"/>
  <c r="E19" i="109"/>
  <c r="J19" i="109"/>
  <c r="J20" i="109"/>
  <c r="H20" i="109"/>
  <c r="H19" i="109"/>
  <c r="H18" i="109"/>
  <c r="M19" i="109"/>
  <c r="N19" i="109"/>
  <c r="B20" i="109"/>
  <c r="E20" i="109"/>
  <c r="M20" i="109"/>
  <c r="N20" i="109"/>
  <c r="B21" i="109"/>
  <c r="B22" i="109"/>
  <c r="E21" i="109"/>
  <c r="J21" i="109"/>
  <c r="H21" i="109"/>
  <c r="M21" i="109"/>
  <c r="N21" i="109"/>
  <c r="E22" i="109"/>
  <c r="H22" i="109"/>
  <c r="J22" i="109"/>
  <c r="M22" i="109"/>
  <c r="N22" i="109"/>
  <c r="B23" i="109"/>
  <c r="E23" i="109"/>
  <c r="B24" i="109"/>
  <c r="B25" i="109"/>
  <c r="H23" i="109"/>
  <c r="J23" i="109"/>
  <c r="J24" i="109"/>
  <c r="M23" i="109"/>
  <c r="N23" i="109"/>
  <c r="E24" i="109"/>
  <c r="H24" i="109"/>
  <c r="H25" i="109"/>
  <c r="M24" i="109"/>
  <c r="N24" i="109"/>
  <c r="E25" i="109"/>
  <c r="J25" i="109"/>
  <c r="M25" i="109"/>
  <c r="N25" i="109"/>
  <c r="B26" i="109"/>
  <c r="E26" i="109"/>
  <c r="H26" i="109"/>
  <c r="J26" i="109"/>
  <c r="M26" i="109"/>
  <c r="N26" i="109"/>
  <c r="B27" i="109"/>
  <c r="E27" i="109"/>
  <c r="H27" i="109"/>
  <c r="J27" i="109"/>
  <c r="M27" i="109"/>
  <c r="N27" i="109"/>
  <c r="B28" i="109"/>
  <c r="B29" i="109"/>
  <c r="E28" i="109"/>
  <c r="H28" i="109"/>
  <c r="J28" i="109"/>
  <c r="M28" i="109"/>
  <c r="N28" i="109"/>
  <c r="E29" i="109"/>
  <c r="H29" i="109"/>
  <c r="H30" i="109"/>
  <c r="H31" i="109"/>
  <c r="H32" i="109"/>
  <c r="J30" i="109"/>
  <c r="J29" i="109"/>
  <c r="M29" i="109"/>
  <c r="N29" i="109"/>
  <c r="B30" i="109"/>
  <c r="E30" i="109"/>
  <c r="M30" i="109"/>
  <c r="N30" i="109"/>
  <c r="B31" i="109"/>
  <c r="E31" i="109"/>
  <c r="J31" i="109"/>
  <c r="J32" i="109"/>
  <c r="M31" i="109"/>
  <c r="N31" i="109"/>
  <c r="B32" i="109"/>
  <c r="E32" i="109"/>
  <c r="M32" i="109"/>
  <c r="N32" i="109"/>
  <c r="B33" i="109"/>
  <c r="B34" i="109"/>
  <c r="E33" i="109"/>
  <c r="H33" i="109"/>
  <c r="H34" i="109"/>
  <c r="J34" i="109"/>
  <c r="J33" i="109"/>
  <c r="M33" i="109"/>
  <c r="N33" i="109"/>
  <c r="E34" i="109"/>
  <c r="M34" i="109"/>
  <c r="N34" i="109"/>
  <c r="B35" i="109"/>
  <c r="E35" i="109"/>
  <c r="H35" i="109"/>
  <c r="J35" i="109"/>
  <c r="M35" i="109"/>
  <c r="N35" i="109"/>
  <c r="B36" i="109"/>
  <c r="E36" i="109"/>
  <c r="H36" i="109"/>
  <c r="J36" i="109"/>
  <c r="J37" i="109"/>
  <c r="K36" i="109" s="1"/>
  <c r="M36" i="109"/>
  <c r="N36" i="109"/>
  <c r="B37" i="109"/>
  <c r="C37" i="109" s="1"/>
  <c r="E37" i="109"/>
  <c r="H37" i="109"/>
  <c r="I37" i="109" s="1"/>
  <c r="M37" i="109"/>
  <c r="N37" i="109"/>
  <c r="H5" i="32"/>
  <c r="E7" i="30"/>
  <c r="T6" i="31"/>
  <c r="C7" i="31"/>
  <c r="B15" i="111" s="1"/>
  <c r="D7" i="31"/>
  <c r="B20" i="110" s="1"/>
  <c r="E7" i="31"/>
  <c r="I7" i="31"/>
  <c r="B40" i="111" s="1"/>
  <c r="J7" i="31"/>
  <c r="G75" i="31" s="1"/>
  <c r="K7" i="31"/>
  <c r="B31" i="111" s="1"/>
  <c r="L7" i="31"/>
  <c r="P7" i="31"/>
  <c r="B37" i="111" s="1"/>
  <c r="T7" i="31"/>
  <c r="C8" i="31"/>
  <c r="C15" i="111" s="1"/>
  <c r="D8" i="31"/>
  <c r="C16" i="111" s="1"/>
  <c r="E8" i="31"/>
  <c r="C21" i="110" s="1"/>
  <c r="Z8" i="31"/>
  <c r="C9" i="31"/>
  <c r="D19" i="110" s="1"/>
  <c r="D9" i="31"/>
  <c r="E9" i="31"/>
  <c r="D21" i="110" s="1"/>
  <c r="I9" i="31"/>
  <c r="D47" i="110" s="1"/>
  <c r="L9" i="31"/>
  <c r="D40" i="110" s="1"/>
  <c r="M9" i="31"/>
  <c r="D44" i="110" s="1"/>
  <c r="Z9" i="31"/>
  <c r="D10" i="31"/>
  <c r="E20" i="110" s="1"/>
  <c r="E27" i="110" s="1"/>
  <c r="E10" i="31"/>
  <c r="E17" i="111" s="1"/>
  <c r="H10" i="31"/>
  <c r="E24" i="111" s="1"/>
  <c r="I10" i="31"/>
  <c r="E40" i="111" s="1"/>
  <c r="L10" i="31"/>
  <c r="O10" i="31"/>
  <c r="M10" i="31"/>
  <c r="P10" i="31"/>
  <c r="G46" i="31" s="1"/>
  <c r="Z10" i="31"/>
  <c r="Z11" i="31"/>
  <c r="C12" i="31"/>
  <c r="G19" i="110" s="1"/>
  <c r="D12" i="31"/>
  <c r="G16" i="111" s="1"/>
  <c r="E13" i="31"/>
  <c r="H17" i="111" s="1"/>
  <c r="I12" i="31"/>
  <c r="G40" i="111" s="1"/>
  <c r="K12" i="31"/>
  <c r="Z12" i="31"/>
  <c r="C13" i="31"/>
  <c r="H19" i="110" s="1"/>
  <c r="D13" i="31"/>
  <c r="H20" i="110" s="1"/>
  <c r="Z13" i="31"/>
  <c r="C14" i="31"/>
  <c r="I19" i="110" s="1"/>
  <c r="D14" i="31"/>
  <c r="I20" i="110" s="1"/>
  <c r="E14" i="31"/>
  <c r="I21" i="110" s="1"/>
  <c r="T14" i="31"/>
  <c r="Z14" i="31"/>
  <c r="C15" i="31"/>
  <c r="J19" i="110" s="1"/>
  <c r="D15" i="31"/>
  <c r="J20" i="110" s="1"/>
  <c r="Z15" i="31"/>
  <c r="C16" i="31"/>
  <c r="D16" i="31"/>
  <c r="K20" i="110" s="1"/>
  <c r="I16" i="31"/>
  <c r="T16" i="31"/>
  <c r="Z16" i="31"/>
  <c r="C17" i="31"/>
  <c r="L19" i="110" s="1"/>
  <c r="L16" i="111"/>
  <c r="I17" i="31"/>
  <c r="L47" i="110" s="1"/>
  <c r="K17" i="31"/>
  <c r="L39" i="110" s="1"/>
  <c r="L57" i="110" s="1"/>
  <c r="L17" i="31"/>
  <c r="L32" i="111" s="1"/>
  <c r="M17" i="31"/>
  <c r="L44" i="110" s="1"/>
  <c r="L62" i="110" s="1"/>
  <c r="T17" i="31"/>
  <c r="Z17" i="31"/>
  <c r="D18" i="31"/>
  <c r="M16" i="111" s="1"/>
  <c r="H18" i="31"/>
  <c r="M24" i="111" s="1"/>
  <c r="I18" i="31"/>
  <c r="M47" i="110" s="1"/>
  <c r="K18" i="31"/>
  <c r="M31" i="111" s="1"/>
  <c r="L18" i="31"/>
  <c r="M32" i="111" s="1"/>
  <c r="M18" i="31"/>
  <c r="M36" i="111" s="1"/>
  <c r="L33" i="31"/>
  <c r="AB32" i="111" s="1"/>
  <c r="L19" i="31"/>
  <c r="L20" i="31"/>
  <c r="O40" i="110" s="1"/>
  <c r="O58" i="110" s="1"/>
  <c r="M20" i="31"/>
  <c r="O36" i="111" s="1"/>
  <c r="K25" i="31"/>
  <c r="T31" i="111" s="1"/>
  <c r="L26" i="31"/>
  <c r="U32" i="111" s="1"/>
  <c r="L27" i="31"/>
  <c r="V32" i="111" s="1"/>
  <c r="L28" i="31"/>
  <c r="W40" i="110" s="1"/>
  <c r="W58" i="110" s="1"/>
  <c r="L29" i="31"/>
  <c r="X32" i="111" s="1"/>
  <c r="L30" i="31"/>
  <c r="Y40" i="110" s="1"/>
  <c r="Y58" i="110" s="1"/>
  <c r="L31" i="31"/>
  <c r="Z40" i="110" s="1"/>
  <c r="Z58" i="110" s="1"/>
  <c r="L32" i="31"/>
  <c r="AA40" i="110" s="1"/>
  <c r="AA58" i="110" s="1"/>
  <c r="L35" i="31"/>
  <c r="AD32" i="111" s="1"/>
  <c r="L36" i="31"/>
  <c r="P18" i="31"/>
  <c r="M37" i="111" s="1"/>
  <c r="T18" i="31"/>
  <c r="Z18" i="31"/>
  <c r="C19" i="31"/>
  <c r="D19" i="31"/>
  <c r="N16" i="111" s="1"/>
  <c r="I19" i="31"/>
  <c r="N40" i="111" s="1"/>
  <c r="K19" i="31"/>
  <c r="P31" i="111" s="1"/>
  <c r="M19" i="31"/>
  <c r="O32" i="111" s="1"/>
  <c r="P19" i="31"/>
  <c r="N37" i="111" s="1"/>
  <c r="T19" i="31"/>
  <c r="L44" i="31" s="1"/>
  <c r="Z19" i="31"/>
  <c r="I20" i="31"/>
  <c r="O40" i="111" s="1"/>
  <c r="K20" i="31"/>
  <c r="O39" i="110" s="1"/>
  <c r="T20" i="31"/>
  <c r="M44" i="31" s="1"/>
  <c r="Z20" i="31"/>
  <c r="T21" i="31"/>
  <c r="N44" i="31" s="1"/>
  <c r="Z21" i="31"/>
  <c r="T22" i="31"/>
  <c r="O44" i="31" s="1"/>
  <c r="Z22" i="31"/>
  <c r="T23" i="31"/>
  <c r="Z23" i="31"/>
  <c r="T24" i="31"/>
  <c r="Q44" i="31" s="1"/>
  <c r="Z24" i="31"/>
  <c r="I25" i="31"/>
  <c r="T25" i="31"/>
  <c r="T44" i="31" s="1"/>
  <c r="Z25" i="31"/>
  <c r="I26" i="31"/>
  <c r="U47" i="110" s="1"/>
  <c r="K26" i="31"/>
  <c r="U39" i="110" s="1"/>
  <c r="M26" i="31"/>
  <c r="T26" i="31"/>
  <c r="Y44" i="31" s="1"/>
  <c r="Z26" i="31"/>
  <c r="I27" i="31"/>
  <c r="V40" i="111" s="1"/>
  <c r="K27" i="31"/>
  <c r="M27" i="31"/>
  <c r="T27" i="31"/>
  <c r="Z44" i="31" s="1"/>
  <c r="Z27" i="31"/>
  <c r="I28" i="31"/>
  <c r="W47" i="110" s="1"/>
  <c r="K28" i="31"/>
  <c r="W31" i="111" s="1"/>
  <c r="M28" i="31"/>
  <c r="W36" i="111" s="1"/>
  <c r="T28" i="31"/>
  <c r="AA44" i="31" s="1"/>
  <c r="Z28" i="31"/>
  <c r="I29" i="31"/>
  <c r="X47" i="110" s="1"/>
  <c r="K29" i="31"/>
  <c r="X39" i="110" s="1"/>
  <c r="X57" i="110" s="1"/>
  <c r="M29" i="31"/>
  <c r="X36" i="111" s="1"/>
  <c r="T29" i="31"/>
  <c r="AB44" i="31" s="1"/>
  <c r="Z29" i="31"/>
  <c r="Z30" i="31"/>
  <c r="Z31" i="31"/>
  <c r="Z32" i="31"/>
  <c r="Z33" i="31"/>
  <c r="Z34" i="31"/>
  <c r="Z35" i="31"/>
  <c r="Z36" i="31"/>
  <c r="Z37" i="31"/>
  <c r="I30" i="31"/>
  <c r="Y47" i="110" s="1"/>
  <c r="K30" i="31"/>
  <c r="Y39" i="110" s="1"/>
  <c r="Y57" i="110" s="1"/>
  <c r="M30" i="31"/>
  <c r="Y44" i="110" s="1"/>
  <c r="Y62" i="110" s="1"/>
  <c r="T30" i="31"/>
  <c r="AC44" i="31" s="1"/>
  <c r="I31" i="31"/>
  <c r="Z40" i="111" s="1"/>
  <c r="K31" i="31"/>
  <c r="Z39" i="110" s="1"/>
  <c r="Z57" i="110" s="1"/>
  <c r="M31" i="31"/>
  <c r="Z44" i="110" s="1"/>
  <c r="Z62" i="110" s="1"/>
  <c r="T31" i="31"/>
  <c r="AD44" i="31" s="1"/>
  <c r="I32" i="31"/>
  <c r="K32" i="31"/>
  <c r="M32" i="31"/>
  <c r="AA36" i="111" s="1"/>
  <c r="T32" i="31"/>
  <c r="AE44" i="31" s="1"/>
  <c r="I33" i="31"/>
  <c r="AB47" i="110" s="1"/>
  <c r="J19" i="31"/>
  <c r="K33" i="31"/>
  <c r="M33" i="31"/>
  <c r="AB44" i="110" s="1"/>
  <c r="AB62" i="110" s="1"/>
  <c r="M36" i="31"/>
  <c r="AE44" i="110" s="1"/>
  <c r="O36" i="31"/>
  <c r="AE34" i="111" s="1"/>
  <c r="T33" i="31"/>
  <c r="AF44" i="31" s="1"/>
  <c r="T34" i="31"/>
  <c r="AG44" i="31" s="1"/>
  <c r="I35" i="31"/>
  <c r="AD47" i="110" s="1"/>
  <c r="K35" i="31"/>
  <c r="AD39" i="110" s="1"/>
  <c r="AD57" i="110" s="1"/>
  <c r="T35" i="31"/>
  <c r="AH44" i="31" s="1"/>
  <c r="I36" i="31"/>
  <c r="AE47" i="110" s="1"/>
  <c r="K36" i="31"/>
  <c r="AE31" i="111" s="1"/>
  <c r="AE98" i="110"/>
  <c r="T36" i="31"/>
  <c r="AI44" i="31" s="1"/>
  <c r="T37" i="31"/>
  <c r="AJ44" i="31" s="1"/>
  <c r="X37" i="31"/>
  <c r="AF29" i="111" s="1"/>
  <c r="E7" i="28"/>
  <c r="I7" i="28"/>
  <c r="J7" i="28"/>
  <c r="K7" i="28"/>
  <c r="L7" i="28"/>
  <c r="S7" i="28"/>
  <c r="V7" i="28"/>
  <c r="V8" i="28"/>
  <c r="V9" i="28"/>
  <c r="V10" i="28"/>
  <c r="V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Y7" i="28"/>
  <c r="AB7" i="28"/>
  <c r="AE7" i="28"/>
  <c r="AH7" i="28"/>
  <c r="AK7" i="28"/>
  <c r="AN7" i="28"/>
  <c r="AQ7" i="28"/>
  <c r="AQ8" i="28"/>
  <c r="AQ9" i="28"/>
  <c r="AQ10" i="28"/>
  <c r="AQ11" i="28"/>
  <c r="AQ12" i="28"/>
  <c r="AQ13" i="28"/>
  <c r="AQ14" i="28"/>
  <c r="AQ15" i="28"/>
  <c r="AQ16" i="28"/>
  <c r="AQ17" i="28"/>
  <c r="AQ18" i="28"/>
  <c r="AQ19" i="28"/>
  <c r="AQ20" i="28"/>
  <c r="AQ21" i="28"/>
  <c r="AQ22" i="28"/>
  <c r="AQ23" i="28"/>
  <c r="AQ24" i="28"/>
  <c r="AQ25" i="28"/>
  <c r="AQ26" i="28"/>
  <c r="AQ27" i="28"/>
  <c r="AQ28" i="28"/>
  <c r="AQ29" i="28"/>
  <c r="AT7" i="28"/>
  <c r="AT8" i="28"/>
  <c r="AT9" i="28"/>
  <c r="AT10" i="28"/>
  <c r="AT11" i="28"/>
  <c r="AT12" i="28"/>
  <c r="AT13" i="28"/>
  <c r="AT14" i="28"/>
  <c r="AT15" i="28"/>
  <c r="AT16" i="28"/>
  <c r="AT17" i="28"/>
  <c r="AT18" i="28"/>
  <c r="AT19" i="28"/>
  <c r="AT20" i="28"/>
  <c r="AT21" i="28"/>
  <c r="AT22" i="28"/>
  <c r="AT23" i="28"/>
  <c r="AT24" i="28"/>
  <c r="AT25" i="28"/>
  <c r="AT26" i="28"/>
  <c r="AT27" i="28"/>
  <c r="AT28" i="28"/>
  <c r="AT29" i="28"/>
  <c r="AW7" i="28"/>
  <c r="AZ7" i="28"/>
  <c r="BC7" i="28"/>
  <c r="BF7" i="28"/>
  <c r="BI7" i="28"/>
  <c r="BL7" i="28"/>
  <c r="BO7" i="28"/>
  <c r="BR7" i="28"/>
  <c r="BR8" i="28"/>
  <c r="BR9" i="28"/>
  <c r="BR10" i="28"/>
  <c r="BR11" i="28"/>
  <c r="BR12" i="28"/>
  <c r="BR13" i="28"/>
  <c r="BR14" i="28"/>
  <c r="BR15" i="28"/>
  <c r="BR16" i="28"/>
  <c r="BR17" i="28"/>
  <c r="BR18" i="28"/>
  <c r="BR19" i="28"/>
  <c r="BR20" i="28"/>
  <c r="BR21" i="28"/>
  <c r="BR22" i="28"/>
  <c r="BR23" i="28"/>
  <c r="BR24" i="28"/>
  <c r="BR25" i="28"/>
  <c r="BR26" i="28"/>
  <c r="BR27" i="28"/>
  <c r="BR28" i="28"/>
  <c r="BR29" i="28"/>
  <c r="BU7" i="28"/>
  <c r="BX7" i="28"/>
  <c r="CA7" i="28"/>
  <c r="CA8" i="28"/>
  <c r="CA9" i="28"/>
  <c r="CA10" i="28"/>
  <c r="CA11" i="28"/>
  <c r="CA12" i="28"/>
  <c r="CA13" i="28"/>
  <c r="CA14" i="28"/>
  <c r="CA15" i="28"/>
  <c r="CA16" i="28"/>
  <c r="CA17" i="28"/>
  <c r="CA18" i="28"/>
  <c r="CA19" i="28"/>
  <c r="CA20" i="28"/>
  <c r="CA21" i="28"/>
  <c r="CA22" i="28"/>
  <c r="CA23" i="28"/>
  <c r="CA24" i="28"/>
  <c r="CA25" i="28"/>
  <c r="CA26" i="28"/>
  <c r="CA27" i="28"/>
  <c r="CA28" i="28"/>
  <c r="CA29" i="28"/>
  <c r="CD7" i="28"/>
  <c r="CG7" i="28"/>
  <c r="CJ7" i="28"/>
  <c r="CM7" i="28"/>
  <c r="CP7" i="28"/>
  <c r="CP8" i="28"/>
  <c r="CP9" i="28"/>
  <c r="CP10" i="28"/>
  <c r="CP11" i="28"/>
  <c r="CP12" i="28"/>
  <c r="CP13" i="28"/>
  <c r="CP14" i="28"/>
  <c r="CP15" i="28"/>
  <c r="CP16" i="28"/>
  <c r="CP17" i="28"/>
  <c r="CP18" i="28"/>
  <c r="CP19" i="28"/>
  <c r="CP20" i="28"/>
  <c r="CP21" i="28"/>
  <c r="CP22" i="28"/>
  <c r="CP23" i="28"/>
  <c r="CP24" i="28"/>
  <c r="CP25" i="28"/>
  <c r="CP26" i="28"/>
  <c r="CP27" i="28"/>
  <c r="CP28" i="28"/>
  <c r="CP29" i="28"/>
  <c r="CS7" i="28"/>
  <c r="CV7" i="28"/>
  <c r="CY7" i="28"/>
  <c r="E8" i="28"/>
  <c r="I8" i="28"/>
  <c r="J8" i="28"/>
  <c r="K8" i="28"/>
  <c r="L8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Y8" i="28"/>
  <c r="Y9" i="28"/>
  <c r="Y10" i="28"/>
  <c r="Y11" i="28"/>
  <c r="Y12" i="28"/>
  <c r="Y13" i="28"/>
  <c r="Y14" i="28"/>
  <c r="Y15" i="28"/>
  <c r="Y16" i="28"/>
  <c r="Y17" i="28"/>
  <c r="Y18" i="28"/>
  <c r="Y19" i="28"/>
  <c r="Y20" i="28"/>
  <c r="Y21" i="28"/>
  <c r="Y22" i="28"/>
  <c r="Y23" i="28"/>
  <c r="Y24" i="28"/>
  <c r="Y25" i="28"/>
  <c r="Y26" i="28"/>
  <c r="Y27" i="28"/>
  <c r="Y28" i="28"/>
  <c r="Y29" i="28"/>
  <c r="AB8" i="28"/>
  <c r="AE8" i="28"/>
  <c r="AH8" i="28"/>
  <c r="AK8" i="28"/>
  <c r="AK9" i="28"/>
  <c r="AK10" i="28"/>
  <c r="AK11" i="28"/>
  <c r="AK12" i="28"/>
  <c r="AK13" i="28"/>
  <c r="AK14" i="28"/>
  <c r="AK15" i="28"/>
  <c r="AK16" i="28"/>
  <c r="AK17" i="28"/>
  <c r="AK18" i="28"/>
  <c r="AK19" i="28"/>
  <c r="AK20" i="28"/>
  <c r="AK21" i="28"/>
  <c r="AK22" i="28"/>
  <c r="AK23" i="28"/>
  <c r="AK24" i="28"/>
  <c r="AK25" i="28"/>
  <c r="AK26" i="28"/>
  <c r="AK27" i="28"/>
  <c r="AK28" i="28"/>
  <c r="AK29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W8" i="28"/>
  <c r="AZ8" i="28"/>
  <c r="BC8" i="28"/>
  <c r="BF8" i="28"/>
  <c r="BI8" i="28"/>
  <c r="BL8" i="28"/>
  <c r="BO8" i="28"/>
  <c r="BU8" i="28"/>
  <c r="BU9" i="28"/>
  <c r="BU10" i="28"/>
  <c r="BU11" i="28"/>
  <c r="BU12" i="28"/>
  <c r="BU13" i="28"/>
  <c r="BU14" i="28"/>
  <c r="BU15" i="28"/>
  <c r="BU16" i="28"/>
  <c r="BU17" i="28"/>
  <c r="BU18" i="28"/>
  <c r="BU19" i="28"/>
  <c r="BU20" i="28"/>
  <c r="BU21" i="28"/>
  <c r="BU22" i="28"/>
  <c r="BU23" i="28"/>
  <c r="BU24" i="28"/>
  <c r="BU25" i="28"/>
  <c r="BU26" i="28"/>
  <c r="BU27" i="28"/>
  <c r="BU28" i="28"/>
  <c r="BU29" i="28"/>
  <c r="BX8" i="28"/>
  <c r="CD8" i="28"/>
  <c r="CG8" i="28"/>
  <c r="CG9" i="28"/>
  <c r="CG10" i="28"/>
  <c r="CG11" i="28"/>
  <c r="CG12" i="28"/>
  <c r="CG13" i="28"/>
  <c r="CG14" i="28"/>
  <c r="CG15" i="28"/>
  <c r="CG16" i="28"/>
  <c r="CG17" i="28"/>
  <c r="CG18" i="28"/>
  <c r="CG19" i="28"/>
  <c r="CG20" i="28"/>
  <c r="CG21" i="28"/>
  <c r="CG22" i="28"/>
  <c r="CG23" i="28"/>
  <c r="CG24" i="28"/>
  <c r="CG25" i="28"/>
  <c r="CG26" i="28"/>
  <c r="CG27" i="28"/>
  <c r="CG28" i="28"/>
  <c r="CG29" i="28"/>
  <c r="CJ8" i="28"/>
  <c r="CM8" i="28"/>
  <c r="CS8" i="28"/>
  <c r="CV8" i="28"/>
  <c r="CY8" i="28"/>
  <c r="E9" i="28"/>
  <c r="I9" i="28"/>
  <c r="J9" i="28"/>
  <c r="K9" i="28"/>
  <c r="L9" i="28"/>
  <c r="AB9" i="28"/>
  <c r="AE9" i="28"/>
  <c r="AH9" i="28"/>
  <c r="AW9" i="28"/>
  <c r="AZ9" i="28"/>
  <c r="BC9" i="28"/>
  <c r="BF9" i="28"/>
  <c r="BI9" i="28"/>
  <c r="BL9" i="28"/>
  <c r="BL10" i="28"/>
  <c r="BL11" i="28"/>
  <c r="BL12" i="28"/>
  <c r="BL13" i="28"/>
  <c r="BL14" i="28"/>
  <c r="BL15" i="28"/>
  <c r="BL16" i="28"/>
  <c r="BL17" i="28"/>
  <c r="BL18" i="28"/>
  <c r="BL19" i="28"/>
  <c r="BL20" i="28"/>
  <c r="BL21" i="28"/>
  <c r="BL22" i="28"/>
  <c r="BL23" i="28"/>
  <c r="BL24" i="28"/>
  <c r="BL25" i="28"/>
  <c r="BL26" i="28"/>
  <c r="BL27" i="28"/>
  <c r="BL28" i="28"/>
  <c r="BL29" i="28"/>
  <c r="BO9" i="28"/>
  <c r="BX9" i="28"/>
  <c r="CD9" i="28"/>
  <c r="CJ9" i="28"/>
  <c r="CJ10" i="28"/>
  <c r="CJ11" i="28"/>
  <c r="CJ12" i="28"/>
  <c r="CJ13" i="28"/>
  <c r="CJ14" i="28"/>
  <c r="CJ15" i="28"/>
  <c r="CJ16" i="28"/>
  <c r="CJ17" i="28"/>
  <c r="CJ18" i="28"/>
  <c r="CJ19" i="28"/>
  <c r="CJ20" i="28"/>
  <c r="CJ21" i="28"/>
  <c r="CJ22" i="28"/>
  <c r="CJ23" i="28"/>
  <c r="CJ24" i="28"/>
  <c r="CJ25" i="28"/>
  <c r="CJ26" i="28"/>
  <c r="CJ27" i="28"/>
  <c r="CJ28" i="28"/>
  <c r="CJ29" i="28"/>
  <c r="CM9" i="28"/>
  <c r="CS9" i="28"/>
  <c r="CV9" i="28"/>
  <c r="CV10" i="28"/>
  <c r="CV11" i="28"/>
  <c r="CV12" i="28"/>
  <c r="CV13" i="28"/>
  <c r="CV14" i="28"/>
  <c r="CV15" i="28"/>
  <c r="CV16" i="28"/>
  <c r="CV17" i="28"/>
  <c r="CV18" i="28"/>
  <c r="CV19" i="28"/>
  <c r="CV20" i="28"/>
  <c r="CV21" i="28"/>
  <c r="CV22" i="28"/>
  <c r="CV23" i="28"/>
  <c r="CV24" i="28"/>
  <c r="CV25" i="28"/>
  <c r="CV26" i="28"/>
  <c r="CV27" i="28"/>
  <c r="CV28" i="28"/>
  <c r="CV29" i="28"/>
  <c r="CY9" i="28"/>
  <c r="E10" i="28"/>
  <c r="I10" i="28"/>
  <c r="J10" i="28"/>
  <c r="K10" i="28"/>
  <c r="L10" i="28"/>
  <c r="AB10" i="28"/>
  <c r="AB11" i="28"/>
  <c r="AB12" i="28"/>
  <c r="AB13" i="28"/>
  <c r="AB14" i="28"/>
  <c r="AB15" i="28"/>
  <c r="AB16" i="28"/>
  <c r="AB17" i="28"/>
  <c r="AB18" i="28"/>
  <c r="AB19" i="28"/>
  <c r="AB20" i="28"/>
  <c r="AB21" i="28"/>
  <c r="AB22" i="28"/>
  <c r="AB23" i="28"/>
  <c r="AB24" i="28"/>
  <c r="AB25" i="28"/>
  <c r="AB26" i="28"/>
  <c r="AB27" i="28"/>
  <c r="AB28" i="28"/>
  <c r="AB29" i="28"/>
  <c r="AE10" i="28"/>
  <c r="AH10" i="28"/>
  <c r="AW10" i="28"/>
  <c r="AZ10" i="28"/>
  <c r="BC10" i="28"/>
  <c r="BF10" i="28"/>
  <c r="BI10" i="28"/>
  <c r="BO10" i="28"/>
  <c r="BX10" i="28"/>
  <c r="CD10" i="28"/>
  <c r="CM10" i="28"/>
  <c r="CM11" i="28"/>
  <c r="CM12" i="28"/>
  <c r="CM13" i="28"/>
  <c r="CM14" i="28"/>
  <c r="CM15" i="28"/>
  <c r="CM16" i="28"/>
  <c r="CM17" i="28"/>
  <c r="CM18" i="28"/>
  <c r="CM19" i="28"/>
  <c r="CM20" i="28"/>
  <c r="CM21" i="28"/>
  <c r="CM22" i="28"/>
  <c r="CM23" i="28"/>
  <c r="CM24" i="28"/>
  <c r="CM25" i="28"/>
  <c r="CM26" i="28"/>
  <c r="CM27" i="28"/>
  <c r="CM28" i="28"/>
  <c r="CM29" i="28"/>
  <c r="CS10" i="28"/>
  <c r="CY10" i="28"/>
  <c r="E11" i="28"/>
  <c r="I11" i="28"/>
  <c r="J11" i="28"/>
  <c r="K11" i="28"/>
  <c r="L11" i="28"/>
  <c r="AE11" i="28"/>
  <c r="AH11" i="28"/>
  <c r="AW11" i="28"/>
  <c r="AW12" i="28"/>
  <c r="AW13" i="28"/>
  <c r="AW14" i="28"/>
  <c r="AW15" i="28"/>
  <c r="AW16" i="28"/>
  <c r="AW17" i="28"/>
  <c r="AW18" i="28"/>
  <c r="AW19" i="28"/>
  <c r="AW20" i="28"/>
  <c r="AW21" i="28"/>
  <c r="AW22" i="28"/>
  <c r="AW23" i="28"/>
  <c r="AW24" i="28"/>
  <c r="AW25" i="28"/>
  <c r="AW26" i="28"/>
  <c r="AW27" i="28"/>
  <c r="AW28" i="28"/>
  <c r="AW29" i="28"/>
  <c r="AZ11" i="28"/>
  <c r="BC11" i="28"/>
  <c r="BF11" i="28"/>
  <c r="BI11" i="28"/>
  <c r="BO11" i="28"/>
  <c r="BX11" i="28"/>
  <c r="BX12" i="28"/>
  <c r="BX13" i="28"/>
  <c r="BX14" i="28"/>
  <c r="BX15" i="28"/>
  <c r="BX16" i="28"/>
  <c r="BX17" i="28"/>
  <c r="BX18" i="28"/>
  <c r="BX19" i="28"/>
  <c r="BX20" i="28"/>
  <c r="BX21" i="28"/>
  <c r="BX22" i="28"/>
  <c r="BX23" i="28"/>
  <c r="BX24" i="28"/>
  <c r="BX25" i="28"/>
  <c r="BX26" i="28"/>
  <c r="BX27" i="28"/>
  <c r="BX28" i="28"/>
  <c r="BX29" i="28"/>
  <c r="CD11" i="28"/>
  <c r="CS11" i="28"/>
  <c r="CY11" i="28"/>
  <c r="E12" i="28"/>
  <c r="I12" i="28"/>
  <c r="J12" i="28"/>
  <c r="K12" i="28"/>
  <c r="L12" i="28"/>
  <c r="AE12" i="28"/>
  <c r="AH12" i="28"/>
  <c r="AZ12" i="28"/>
  <c r="BC12" i="28"/>
  <c r="BC13" i="28"/>
  <c r="BC14" i="28"/>
  <c r="BC15" i="28"/>
  <c r="BC16" i="28"/>
  <c r="BC17" i="28"/>
  <c r="BC18" i="28"/>
  <c r="BC19" i="28"/>
  <c r="BC20" i="28"/>
  <c r="BC21" i="28"/>
  <c r="BC22" i="28"/>
  <c r="BC23" i="28"/>
  <c r="BC24" i="28"/>
  <c r="BC25" i="28"/>
  <c r="BC26" i="28"/>
  <c r="BC27" i="28"/>
  <c r="BC28" i="28"/>
  <c r="BC29" i="28"/>
  <c r="BF12" i="28"/>
  <c r="BI12" i="28"/>
  <c r="BO12" i="28"/>
  <c r="CD12" i="28"/>
  <c r="CS12" i="28"/>
  <c r="CY12" i="28"/>
  <c r="E13" i="28"/>
  <c r="I13" i="28"/>
  <c r="J13" i="28"/>
  <c r="K13" i="28"/>
  <c r="L13" i="28"/>
  <c r="AE13" i="28"/>
  <c r="AH13" i="28"/>
  <c r="AZ13" i="28"/>
  <c r="AZ14" i="28"/>
  <c r="AZ15" i="28"/>
  <c r="AZ16" i="28"/>
  <c r="AZ17" i="28"/>
  <c r="AZ18" i="28"/>
  <c r="AZ19" i="28"/>
  <c r="AZ20" i="28"/>
  <c r="AZ21" i="28"/>
  <c r="AZ22" i="28"/>
  <c r="AZ23" i="28"/>
  <c r="AZ24" i="28"/>
  <c r="AZ25" i="28"/>
  <c r="AZ26" i="28"/>
  <c r="AZ27" i="28"/>
  <c r="AZ28" i="28"/>
  <c r="AZ29" i="28"/>
  <c r="BF13" i="28"/>
  <c r="BI13" i="28"/>
  <c r="BO13" i="28"/>
  <c r="CD13" i="28"/>
  <c r="CS13" i="28"/>
  <c r="CS14" i="28"/>
  <c r="CS15" i="28"/>
  <c r="CS16" i="28"/>
  <c r="CS17" i="28"/>
  <c r="CS18" i="28"/>
  <c r="CS19" i="28"/>
  <c r="CS20" i="28"/>
  <c r="CS21" i="28"/>
  <c r="CS22" i="28"/>
  <c r="CS23" i="28"/>
  <c r="CS24" i="28"/>
  <c r="CS25" i="28"/>
  <c r="CS26" i="28"/>
  <c r="CS27" i="28"/>
  <c r="CS28" i="28"/>
  <c r="CS29" i="28"/>
  <c r="CY13" i="28"/>
  <c r="E14" i="28"/>
  <c r="I14" i="28"/>
  <c r="J14" i="28"/>
  <c r="K14" i="28"/>
  <c r="L14" i="28"/>
  <c r="AE14" i="28"/>
  <c r="AH14" i="28"/>
  <c r="BF14" i="28"/>
  <c r="BI14" i="28"/>
  <c r="BO14" i="28"/>
  <c r="CD14" i="28"/>
  <c r="CY14" i="28"/>
  <c r="E15" i="28"/>
  <c r="I15" i="28"/>
  <c r="J15" i="28"/>
  <c r="K15" i="28"/>
  <c r="L15" i="28"/>
  <c r="AE15" i="28"/>
  <c r="AH15" i="28"/>
  <c r="BF15" i="28"/>
  <c r="BI15" i="28"/>
  <c r="BO15" i="28"/>
  <c r="CD15" i="28"/>
  <c r="CY15" i="28"/>
  <c r="E16" i="28"/>
  <c r="I16" i="28"/>
  <c r="J16" i="28"/>
  <c r="K16" i="28"/>
  <c r="L16" i="28"/>
  <c r="AE16" i="28"/>
  <c r="AH16" i="28"/>
  <c r="BF16" i="28"/>
  <c r="BI16" i="28"/>
  <c r="BO16" i="28"/>
  <c r="CD16" i="28"/>
  <c r="CY16" i="28"/>
  <c r="E17" i="28"/>
  <c r="I17" i="28"/>
  <c r="J17" i="28"/>
  <c r="K17" i="28"/>
  <c r="L17" i="28"/>
  <c r="AE17" i="28"/>
  <c r="AH17" i="28"/>
  <c r="BF17" i="28"/>
  <c r="BI17" i="28"/>
  <c r="BO17" i="28"/>
  <c r="CD17" i="28"/>
  <c r="CY17" i="28"/>
  <c r="E18" i="28"/>
  <c r="I18" i="28"/>
  <c r="J18" i="28"/>
  <c r="K18" i="28"/>
  <c r="L18" i="28"/>
  <c r="AE18" i="28"/>
  <c r="AH18" i="28"/>
  <c r="BF18" i="28"/>
  <c r="BI18" i="28"/>
  <c r="BO18" i="28"/>
  <c r="CD18" i="28"/>
  <c r="CY18" i="28"/>
  <c r="E19" i="28"/>
  <c r="I19" i="28"/>
  <c r="J19" i="28"/>
  <c r="K19" i="28"/>
  <c r="L19" i="28"/>
  <c r="AE19" i="28"/>
  <c r="AH19" i="28"/>
  <c r="BF19" i="28"/>
  <c r="BI19" i="28"/>
  <c r="BO19" i="28"/>
  <c r="CD19" i="28"/>
  <c r="CY19" i="28"/>
  <c r="E20" i="28"/>
  <c r="I20" i="28"/>
  <c r="J20" i="28"/>
  <c r="K20" i="28"/>
  <c r="L20" i="28"/>
  <c r="AE20" i="28"/>
  <c r="AH20" i="28"/>
  <c r="BF20" i="28"/>
  <c r="BI20" i="28"/>
  <c r="BO20" i="28"/>
  <c r="CD20" i="28"/>
  <c r="CY20" i="28"/>
  <c r="E21" i="28"/>
  <c r="I21" i="28"/>
  <c r="J21" i="28"/>
  <c r="K21" i="28"/>
  <c r="L21" i="28"/>
  <c r="AE21" i="28"/>
  <c r="AH21" i="28"/>
  <c r="BF21" i="28"/>
  <c r="BI21" i="28"/>
  <c r="BO21" i="28"/>
  <c r="BO22" i="28"/>
  <c r="BO23" i="28"/>
  <c r="BO24" i="28"/>
  <c r="BO25" i="28"/>
  <c r="BO26" i="28"/>
  <c r="BO27" i="28"/>
  <c r="BO28" i="28"/>
  <c r="BO29" i="28"/>
  <c r="CD21" i="28"/>
  <c r="CY21" i="28"/>
  <c r="E22" i="28"/>
  <c r="I22" i="28"/>
  <c r="J22" i="28"/>
  <c r="K22" i="28"/>
  <c r="L22" i="28"/>
  <c r="AE22" i="28"/>
  <c r="AH22" i="28"/>
  <c r="BF22" i="28"/>
  <c r="BI22" i="28"/>
  <c r="CD22" i="28"/>
  <c r="CY22" i="28"/>
  <c r="E23" i="28"/>
  <c r="I23" i="28"/>
  <c r="J23" i="28"/>
  <c r="K23" i="28"/>
  <c r="L23" i="28"/>
  <c r="AE23" i="28"/>
  <c r="AH23" i="28"/>
  <c r="BF23" i="28"/>
  <c r="BI23" i="28"/>
  <c r="CD23" i="28"/>
  <c r="CY23" i="28"/>
  <c r="E24" i="28"/>
  <c r="I24" i="28"/>
  <c r="J24" i="28"/>
  <c r="K24" i="28"/>
  <c r="L24" i="28"/>
  <c r="AE24" i="28"/>
  <c r="AH24" i="28"/>
  <c r="BF24" i="28"/>
  <c r="BI24" i="28"/>
  <c r="CD24" i="28"/>
  <c r="CY24" i="28"/>
  <c r="E25" i="28"/>
  <c r="I25" i="28"/>
  <c r="J25" i="28"/>
  <c r="K25" i="28"/>
  <c r="L25" i="28"/>
  <c r="AE25" i="28"/>
  <c r="AH25" i="28"/>
  <c r="BF25" i="28"/>
  <c r="BI25" i="28"/>
  <c r="CD25" i="28"/>
  <c r="CY25" i="28"/>
  <c r="E26" i="28"/>
  <c r="I26" i="28"/>
  <c r="J26" i="28"/>
  <c r="K26" i="28"/>
  <c r="L26" i="28"/>
  <c r="AE26" i="28"/>
  <c r="AH26" i="28"/>
  <c r="BF26" i="28"/>
  <c r="BI26" i="28"/>
  <c r="CD26" i="28"/>
  <c r="CY26" i="28"/>
  <c r="E27" i="28"/>
  <c r="I27" i="28"/>
  <c r="J27" i="28"/>
  <c r="K27" i="28"/>
  <c r="L27" i="28"/>
  <c r="AE27" i="28"/>
  <c r="AH27" i="28"/>
  <c r="BF27" i="28"/>
  <c r="BI27" i="28"/>
  <c r="CD27" i="28"/>
  <c r="CY27" i="28"/>
  <c r="E28" i="28"/>
  <c r="I28" i="28"/>
  <c r="J28" i="28"/>
  <c r="K28" i="28"/>
  <c r="L28" i="28"/>
  <c r="AE28" i="28"/>
  <c r="AH28" i="28"/>
  <c r="BF28" i="28"/>
  <c r="BI28" i="28"/>
  <c r="CD28" i="28"/>
  <c r="CY28" i="28"/>
  <c r="E29" i="28"/>
  <c r="I29" i="28"/>
  <c r="J29" i="28"/>
  <c r="K29" i="28"/>
  <c r="L29" i="28"/>
  <c r="AE29" i="28"/>
  <c r="AH29" i="28"/>
  <c r="BF29" i="28"/>
  <c r="BI29" i="28"/>
  <c r="CD29" i="28"/>
  <c r="CY29" i="28"/>
  <c r="E30" i="28"/>
  <c r="I30" i="28"/>
  <c r="J30" i="28"/>
  <c r="K30" i="28"/>
  <c r="L30" i="28"/>
  <c r="S30" i="28"/>
  <c r="V30" i="28"/>
  <c r="Y30" i="28"/>
  <c r="AB30" i="28"/>
  <c r="AE30" i="28"/>
  <c r="AH30" i="28"/>
  <c r="AK30" i="28"/>
  <c r="AN30" i="28"/>
  <c r="AQ30" i="28"/>
  <c r="AT30" i="28"/>
  <c r="AW30" i="28"/>
  <c r="AZ30" i="28"/>
  <c r="BC30" i="28"/>
  <c r="BF30" i="28"/>
  <c r="BI30" i="28"/>
  <c r="BL30" i="28"/>
  <c r="BO30" i="28"/>
  <c r="BR30" i="28"/>
  <c r="BU30" i="28"/>
  <c r="BX30" i="28"/>
  <c r="CA30" i="28"/>
  <c r="CD30" i="28"/>
  <c r="CG30" i="28"/>
  <c r="CJ30" i="28"/>
  <c r="CM30" i="28"/>
  <c r="CP30" i="28"/>
  <c r="CS30" i="28"/>
  <c r="CV30" i="28"/>
  <c r="CY30" i="28"/>
  <c r="E31" i="28"/>
  <c r="I31" i="28"/>
  <c r="J31" i="28"/>
  <c r="K31" i="28"/>
  <c r="L31" i="28"/>
  <c r="E32" i="28"/>
  <c r="I32" i="28"/>
  <c r="J32" i="28"/>
  <c r="K32" i="28"/>
  <c r="L32" i="28"/>
  <c r="E33" i="28"/>
  <c r="I33" i="28"/>
  <c r="J33" i="28"/>
  <c r="K33" i="28"/>
  <c r="L33" i="28"/>
  <c r="E34" i="28"/>
  <c r="I34" i="28"/>
  <c r="J34" i="28"/>
  <c r="K34" i="28"/>
  <c r="L34" i="28"/>
  <c r="E35" i="28"/>
  <c r="I35" i="28"/>
  <c r="J35" i="28"/>
  <c r="K35" i="28"/>
  <c r="L35" i="28"/>
  <c r="E36" i="28"/>
  <c r="I36" i="28"/>
  <c r="J36" i="28"/>
  <c r="K36" i="28"/>
  <c r="L36" i="28"/>
  <c r="E37" i="28"/>
  <c r="I37" i="28"/>
  <c r="J37" i="28"/>
  <c r="K37" i="28"/>
  <c r="L37" i="28"/>
  <c r="B6" i="29"/>
  <c r="D7" i="29"/>
  <c r="C7" i="29"/>
  <c r="E7" i="29"/>
  <c r="K7" i="29"/>
  <c r="O7" i="29" s="1"/>
  <c r="D8" i="29"/>
  <c r="E8" i="29"/>
  <c r="C8" i="29"/>
  <c r="C9" i="29"/>
  <c r="D9" i="29"/>
  <c r="E9" i="29"/>
  <c r="D10" i="29"/>
  <c r="C10" i="29"/>
  <c r="E10" i="29"/>
  <c r="L10" i="29"/>
  <c r="D11" i="29"/>
  <c r="C11" i="29"/>
  <c r="E11" i="29"/>
  <c r="L11" i="29"/>
  <c r="C12" i="29"/>
  <c r="E12" i="29"/>
  <c r="L12" i="29"/>
  <c r="C13" i="29"/>
  <c r="E13" i="29"/>
  <c r="D14" i="29"/>
  <c r="E14" i="29"/>
  <c r="C14" i="29"/>
  <c r="C15" i="29"/>
  <c r="D15" i="29"/>
  <c r="E15" i="29"/>
  <c r="C16" i="29"/>
  <c r="D16" i="29"/>
  <c r="E16" i="29"/>
  <c r="C17" i="29"/>
  <c r="D17" i="29"/>
  <c r="E17" i="29"/>
  <c r="C18" i="29"/>
  <c r="E18" i="29"/>
  <c r="E19" i="29"/>
  <c r="E20" i="29"/>
  <c r="E21" i="29"/>
  <c r="E22" i="29"/>
  <c r="E23" i="29"/>
  <c r="E24" i="29"/>
  <c r="E25" i="29"/>
  <c r="I25" i="29" s="1"/>
  <c r="E26" i="29"/>
  <c r="E27" i="29"/>
  <c r="C28" i="29"/>
  <c r="C29" i="29"/>
  <c r="C30" i="29"/>
  <c r="C31" i="29"/>
  <c r="E31" i="29"/>
  <c r="C32" i="29"/>
  <c r="E32" i="29"/>
  <c r="C33" i="29"/>
  <c r="E33" i="29"/>
  <c r="C34" i="29"/>
  <c r="E34" i="29"/>
  <c r="C35" i="29"/>
  <c r="E35" i="29"/>
  <c r="B36" i="29"/>
  <c r="C36" i="29"/>
  <c r="E36" i="29"/>
  <c r="B37" i="29"/>
  <c r="C37" i="29"/>
  <c r="E37" i="29"/>
  <c r="D70" i="29"/>
  <c r="E8" i="30"/>
  <c r="G8" i="30"/>
  <c r="H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8" i="30"/>
  <c r="E29" i="30"/>
  <c r="E30" i="30"/>
  <c r="E31" i="30"/>
  <c r="E32" i="30"/>
  <c r="E33" i="30"/>
  <c r="E34" i="30"/>
  <c r="E35" i="30"/>
  <c r="E36" i="30"/>
  <c r="E37" i="30"/>
  <c r="F10" i="23"/>
  <c r="G10" i="23"/>
  <c r="H10" i="23"/>
  <c r="I10" i="23"/>
  <c r="F11" i="23"/>
  <c r="G11" i="23"/>
  <c r="H11" i="23"/>
  <c r="I11" i="23"/>
  <c r="F12" i="23"/>
  <c r="H12" i="23"/>
  <c r="I12" i="23"/>
  <c r="F13" i="23"/>
  <c r="H13" i="23"/>
  <c r="I13" i="23"/>
  <c r="D14" i="23"/>
  <c r="F14" i="23"/>
  <c r="H14" i="23"/>
  <c r="I14" i="23"/>
  <c r="D15" i="23"/>
  <c r="F15" i="23"/>
  <c r="H15" i="23"/>
  <c r="I15" i="23"/>
  <c r="D16" i="23"/>
  <c r="F16" i="23"/>
  <c r="I16" i="23"/>
  <c r="D17" i="23"/>
  <c r="F17" i="23"/>
  <c r="H17" i="23"/>
  <c r="I17" i="23"/>
  <c r="D18" i="23"/>
  <c r="F18" i="23"/>
  <c r="H18" i="23"/>
  <c r="I18" i="23"/>
  <c r="D19" i="23"/>
  <c r="F19" i="23"/>
  <c r="H19" i="23"/>
  <c r="I19" i="23"/>
  <c r="D20" i="23"/>
  <c r="F20" i="23"/>
  <c r="H20" i="23"/>
  <c r="I20" i="23"/>
  <c r="D21" i="23"/>
  <c r="F21" i="23"/>
  <c r="H21" i="23"/>
  <c r="I21" i="23"/>
  <c r="D22" i="23"/>
  <c r="F22" i="23"/>
  <c r="H22" i="23"/>
  <c r="I22" i="23"/>
  <c r="D23" i="23"/>
  <c r="F23" i="23"/>
  <c r="H23" i="23"/>
  <c r="I23" i="23"/>
  <c r="D24" i="23"/>
  <c r="F24" i="23"/>
  <c r="H24" i="23"/>
  <c r="I24" i="23"/>
  <c r="D25" i="23"/>
  <c r="F25" i="23"/>
  <c r="H25" i="23"/>
  <c r="I25" i="23"/>
  <c r="D26" i="23"/>
  <c r="F26" i="23"/>
  <c r="H26" i="23"/>
  <c r="I26" i="23"/>
  <c r="F27" i="23"/>
  <c r="H27" i="23"/>
  <c r="I27" i="23"/>
  <c r="F28" i="23"/>
  <c r="H28" i="23"/>
  <c r="I28" i="23"/>
  <c r="F29" i="23"/>
  <c r="H29" i="23"/>
  <c r="I29" i="23"/>
  <c r="F30" i="23"/>
  <c r="H30" i="23"/>
  <c r="I30" i="23"/>
  <c r="F31" i="23"/>
  <c r="H31" i="23"/>
  <c r="I31" i="23"/>
  <c r="F32" i="23"/>
  <c r="H32" i="23"/>
  <c r="I32" i="23"/>
  <c r="F33" i="23"/>
  <c r="H33" i="23"/>
  <c r="I33" i="23"/>
  <c r="D34" i="23"/>
  <c r="F34" i="23"/>
  <c r="H34" i="23"/>
  <c r="I34" i="23"/>
  <c r="D35" i="23"/>
  <c r="F35" i="23"/>
  <c r="H35" i="23"/>
  <c r="I35" i="23"/>
  <c r="F36" i="23"/>
  <c r="H36" i="23"/>
  <c r="I36" i="23"/>
  <c r="F37" i="23"/>
  <c r="H37" i="23"/>
  <c r="I37" i="23"/>
  <c r="F38" i="23"/>
  <c r="G38" i="23"/>
  <c r="H38" i="23"/>
  <c r="I38" i="23"/>
  <c r="F39" i="23"/>
  <c r="G39" i="23"/>
  <c r="H39" i="23"/>
  <c r="I39" i="23"/>
  <c r="F40" i="23"/>
  <c r="G40" i="23"/>
  <c r="H40" i="23"/>
  <c r="I40" i="23"/>
  <c r="J43" i="23"/>
  <c r="P1" i="27"/>
  <c r="K42" i="27"/>
  <c r="J47" i="27"/>
  <c r="B98" i="110"/>
  <c r="Z98" i="110"/>
  <c r="S98" i="110"/>
  <c r="L98" i="110"/>
  <c r="G98" i="110"/>
  <c r="AA98" i="110"/>
  <c r="AB98" i="110"/>
  <c r="H98" i="110"/>
  <c r="K98" i="110"/>
  <c r="E98" i="110"/>
  <c r="T98" i="110"/>
  <c r="F98" i="110"/>
  <c r="U98" i="110"/>
  <c r="Q98" i="110"/>
  <c r="R98" i="110"/>
  <c r="W98" i="110"/>
  <c r="AC98" i="110"/>
  <c r="AD98" i="110"/>
  <c r="O98" i="110"/>
  <c r="N98" i="110"/>
  <c r="C98" i="110"/>
  <c r="P98" i="110"/>
  <c r="V98" i="110"/>
  <c r="J98" i="110"/>
  <c r="I98" i="110"/>
  <c r="D86" i="111"/>
  <c r="D70" i="111" s="1"/>
  <c r="D98" i="110"/>
  <c r="M98" i="110"/>
  <c r="AH97" i="110"/>
  <c r="H16" i="109"/>
  <c r="H17" i="109"/>
  <c r="F93" i="111"/>
  <c r="AH102" i="110"/>
  <c r="I47" i="27"/>
  <c r="AD9" i="111"/>
  <c r="W9" i="111"/>
  <c r="W74" i="111" s="1"/>
  <c r="J93" i="111"/>
  <c r="L9" i="111"/>
  <c r="AI70" i="111"/>
  <c r="V15" i="110"/>
  <c r="N18" i="23"/>
  <c r="N36" i="23"/>
  <c r="L30" i="23"/>
  <c r="L14" i="23"/>
  <c r="M18" i="23"/>
  <c r="L22" i="23"/>
  <c r="L26" i="23"/>
  <c r="K20" i="23"/>
  <c r="N30" i="23"/>
  <c r="K22" i="23"/>
  <c r="M13" i="23"/>
  <c r="M29" i="23"/>
  <c r="L18" i="23"/>
  <c r="K13" i="23"/>
  <c r="M22" i="23"/>
  <c r="L36" i="23"/>
  <c r="N13" i="23"/>
  <c r="L28" i="23"/>
  <c r="N16" i="23"/>
  <c r="N22" i="23"/>
  <c r="M34" i="23"/>
  <c r="K15" i="23"/>
  <c r="N40" i="23"/>
  <c r="N31" i="23"/>
  <c r="K27" i="23"/>
  <c r="M11" i="23"/>
  <c r="L10" i="23"/>
  <c r="M12" i="23"/>
  <c r="K29" i="23"/>
  <c r="L23" i="23"/>
  <c r="N21" i="23"/>
  <c r="N19" i="23"/>
  <c r="K17" i="23"/>
  <c r="N37" i="23"/>
  <c r="K36" i="23"/>
  <c r="N10" i="23"/>
  <c r="M27" i="23"/>
  <c r="K34" i="23"/>
  <c r="G95" i="31"/>
  <c r="M36" i="23"/>
  <c r="L12" i="23"/>
  <c r="M23" i="23"/>
  <c r="M19" i="23"/>
  <c r="L11" i="23"/>
  <c r="AW31" i="28"/>
  <c r="AK31" i="28"/>
  <c r="L35" i="23"/>
  <c r="M33" i="23"/>
  <c r="L29" i="23"/>
  <c r="L34" i="23"/>
  <c r="N17" i="23"/>
  <c r="N34" i="23"/>
  <c r="N39" i="23"/>
  <c r="N38" i="23"/>
  <c r="K10" i="23"/>
  <c r="K28" i="23"/>
  <c r="N35" i="23"/>
  <c r="M35" i="23"/>
  <c r="M17" i="23"/>
  <c r="K38" i="23"/>
  <c r="M21" i="23"/>
  <c r="N33" i="23"/>
  <c r="K11" i="23"/>
  <c r="L13" i="23"/>
  <c r="L17" i="23"/>
  <c r="K18" i="23"/>
  <c r="G43" i="23"/>
  <c r="L19" i="23"/>
  <c r="N23" i="23"/>
  <c r="K19" i="23"/>
  <c r="L38" i="23"/>
  <c r="M10" i="23"/>
  <c r="K23" i="23"/>
  <c r="K35" i="23"/>
  <c r="L33" i="23"/>
  <c r="BU31" i="28"/>
  <c r="CG31" i="28"/>
  <c r="Y31" i="28"/>
  <c r="K32" i="23"/>
  <c r="M28" i="23"/>
  <c r="M20" i="23"/>
  <c r="L16" i="23"/>
  <c r="L40" i="23"/>
  <c r="AE31" i="28"/>
  <c r="K37" i="23"/>
  <c r="R52" i="111"/>
  <c r="R101" i="111" s="1"/>
  <c r="AF62" i="110"/>
  <c r="M30" i="23"/>
  <c r="M40" i="23"/>
  <c r="K16" i="23"/>
  <c r="L20" i="23"/>
  <c r="L32" i="23"/>
  <c r="M37" i="23"/>
  <c r="K40" i="23"/>
  <c r="M32" i="23"/>
  <c r="L15" i="23"/>
  <c r="F43" i="23"/>
  <c r="Q87" i="111"/>
  <c r="Q89" i="111" s="1"/>
  <c r="M16" i="23"/>
  <c r="N20" i="23"/>
  <c r="N32" i="23"/>
  <c r="L37" i="23"/>
  <c r="N26" i="23"/>
  <c r="K33" i="23"/>
  <c r="K30" i="23"/>
  <c r="N28" i="23"/>
  <c r="BR31" i="28"/>
  <c r="BL31" i="28"/>
  <c r="AT31" i="28"/>
  <c r="AF59" i="110"/>
  <c r="C27" i="28"/>
  <c r="Q15" i="110"/>
  <c r="Z31" i="111"/>
  <c r="AA54" i="110"/>
  <c r="AB16" i="111"/>
  <c r="AF91" i="110"/>
  <c r="P49" i="111"/>
  <c r="AD49" i="111"/>
  <c r="AF57" i="110"/>
  <c r="AD46" i="110"/>
  <c r="AD65" i="110" s="1"/>
  <c r="M49" i="111"/>
  <c r="L27" i="23"/>
  <c r="M31" i="23"/>
  <c r="K12" i="23"/>
  <c r="N12" i="23"/>
  <c r="K31" i="23"/>
  <c r="K14" i="23"/>
  <c r="N27" i="23"/>
  <c r="N15" i="23"/>
  <c r="M14" i="23"/>
  <c r="K26" i="23"/>
  <c r="S31" i="28"/>
  <c r="E15" i="111"/>
  <c r="L37" i="110"/>
  <c r="N29" i="23"/>
  <c r="L21" i="23"/>
  <c r="K21" i="23"/>
  <c r="Q49" i="111"/>
  <c r="L31" i="23"/>
  <c r="N14" i="23"/>
  <c r="M26" i="23"/>
  <c r="AF94" i="110"/>
  <c r="M15" i="23"/>
  <c r="BX31" i="28"/>
  <c r="CM31" i="28"/>
  <c r="BC31" i="28"/>
  <c r="AZ31" i="28"/>
  <c r="Z38" i="31"/>
  <c r="Q47" i="110"/>
  <c r="CP31" i="28"/>
  <c r="M38" i="23"/>
  <c r="C30" i="28"/>
  <c r="I49" i="111"/>
  <c r="L39" i="23"/>
  <c r="K39" i="23"/>
  <c r="N25" i="23"/>
  <c r="K25" i="23"/>
  <c r="M25" i="23"/>
  <c r="L25" i="23"/>
  <c r="N24" i="23"/>
  <c r="H43" i="23"/>
  <c r="L24" i="23"/>
  <c r="K24" i="23"/>
  <c r="I43" i="23"/>
  <c r="BF31" i="28"/>
  <c r="CY31" i="28"/>
  <c r="CD31" i="28"/>
  <c r="BI31" i="28"/>
  <c r="CS31" i="28"/>
  <c r="CJ31" i="28"/>
  <c r="BO31" i="28"/>
  <c r="CV31" i="28"/>
  <c r="AQ31" i="28"/>
  <c r="AH31" i="28"/>
  <c r="V31" i="28"/>
  <c r="M24" i="23"/>
  <c r="M39" i="23"/>
  <c r="AB31" i="28"/>
  <c r="M29" i="110"/>
  <c r="N11" i="23"/>
  <c r="AN31" i="28"/>
  <c r="CA31" i="28"/>
  <c r="X49" i="111"/>
  <c r="L43" i="23"/>
  <c r="K43" i="23"/>
  <c r="N43" i="23"/>
  <c r="M43" i="23"/>
  <c r="AJ64" i="110"/>
  <c r="H8" i="111"/>
  <c r="H90" i="110"/>
  <c r="H91" i="110"/>
  <c r="H56" i="110"/>
  <c r="H9" i="111"/>
  <c r="H74" i="111" s="1"/>
  <c r="C95" i="111"/>
  <c r="L91" i="110"/>
  <c r="O56" i="110"/>
  <c r="AA9" i="111"/>
  <c r="AA90" i="110"/>
  <c r="Z9" i="111"/>
  <c r="Z90" i="110"/>
  <c r="O9" i="111"/>
  <c r="Z56" i="110"/>
  <c r="Z91" i="110"/>
  <c r="Q79" i="110"/>
  <c r="Q114" i="110" s="1"/>
  <c r="Q52" i="111"/>
  <c r="Q101" i="111" s="1"/>
  <c r="AE8" i="111"/>
  <c r="AF90" i="110"/>
  <c r="AF9" i="111"/>
  <c r="AF72" i="111" s="1"/>
  <c r="U57" i="110"/>
  <c r="U56" i="110"/>
  <c r="U65" i="110"/>
  <c r="U9" i="111"/>
  <c r="U91" i="110"/>
  <c r="M9" i="111"/>
  <c r="M56" i="110"/>
  <c r="M91" i="110"/>
  <c r="AC9" i="111"/>
  <c r="AB9" i="111"/>
  <c r="AJ8" i="110"/>
  <c r="W90" i="110"/>
  <c r="V9" i="111"/>
  <c r="V91" i="110"/>
  <c r="V54" i="110"/>
  <c r="V56" i="110"/>
  <c r="S90" i="110"/>
  <c r="R90" i="110"/>
  <c r="R58" i="110"/>
  <c r="R56" i="110"/>
  <c r="R57" i="110"/>
  <c r="R91" i="110"/>
  <c r="R9" i="111"/>
  <c r="R74" i="111" s="1"/>
  <c r="Q8" i="111"/>
  <c r="P9" i="111"/>
  <c r="P91" i="110"/>
  <c r="P90" i="110"/>
  <c r="P56" i="110"/>
  <c r="X91" i="110"/>
  <c r="X90" i="110"/>
  <c r="X9" i="111"/>
  <c r="X56" i="110"/>
  <c r="N91" i="110"/>
  <c r="N9" i="111"/>
  <c r="N74" i="111" s="1"/>
  <c r="N90" i="110"/>
  <c r="N56" i="110"/>
  <c r="N65" i="110"/>
  <c r="K9" i="111"/>
  <c r="K56" i="110"/>
  <c r="K91" i="110"/>
  <c r="G91" i="110"/>
  <c r="G9" i="111"/>
  <c r="G56" i="110"/>
  <c r="G8" i="111"/>
  <c r="F56" i="110"/>
  <c r="F90" i="110"/>
  <c r="F9" i="111"/>
  <c r="F91" i="110"/>
  <c r="F8" i="111"/>
  <c r="Y9" i="111"/>
  <c r="Y80" i="111" s="1"/>
  <c r="Y90" i="110"/>
  <c r="I9" i="111"/>
  <c r="I74" i="111" s="1"/>
  <c r="Y61" i="110"/>
  <c r="Q90" i="110"/>
  <c r="I91" i="110"/>
  <c r="S91" i="110"/>
  <c r="Q60" i="110"/>
  <c r="I90" i="110"/>
  <c r="AA56" i="110"/>
  <c r="Y56" i="110"/>
  <c r="Y91" i="110"/>
  <c r="Q61" i="110"/>
  <c r="Q91" i="110"/>
  <c r="I61" i="110"/>
  <c r="Q9" i="111"/>
  <c r="Q56" i="110"/>
  <c r="X92" i="110"/>
  <c r="R92" i="110"/>
  <c r="C54" i="111"/>
  <c r="AC60" i="110"/>
  <c r="G47" i="110"/>
  <c r="W28" i="111"/>
  <c r="G19" i="109"/>
  <c r="G20" i="109"/>
  <c r="AE37" i="110"/>
  <c r="C26" i="28"/>
  <c r="I37" i="110"/>
  <c r="AE62" i="110"/>
  <c r="AE91" i="110"/>
  <c r="AE9" i="111"/>
  <c r="AE56" i="110"/>
  <c r="AE90" i="110"/>
  <c r="G28" i="109" l="1"/>
  <c r="S63" i="110"/>
  <c r="O71" i="111"/>
  <c r="O82" i="110"/>
  <c r="K45" i="110"/>
  <c r="K31" i="110" s="1"/>
  <c r="K29" i="110"/>
  <c r="Z28" i="111"/>
  <c r="Z62" i="111" s="1"/>
  <c r="Y20" i="110"/>
  <c r="P47" i="110"/>
  <c r="AD63" i="110"/>
  <c r="K37" i="109"/>
  <c r="Q46" i="110"/>
  <c r="Q65" i="110" s="1"/>
  <c r="AB23" i="111"/>
  <c r="AB25" i="111" s="1"/>
  <c r="X63" i="111"/>
  <c r="T39" i="111"/>
  <c r="Q54" i="110"/>
  <c r="AF19" i="110"/>
  <c r="AA30" i="110"/>
  <c r="AC26" i="111"/>
  <c r="O44" i="110"/>
  <c r="O62" i="110" s="1"/>
  <c r="I39" i="110"/>
  <c r="I57" i="110" s="1"/>
  <c r="F30" i="28"/>
  <c r="E33" i="111"/>
  <c r="E14" i="23"/>
  <c r="G99" i="31"/>
  <c r="AB63" i="111"/>
  <c r="J40" i="111"/>
  <c r="AF33" i="111"/>
  <c r="Q82" i="111"/>
  <c r="N92" i="110"/>
  <c r="AE79" i="110"/>
  <c r="AE114" i="110" s="1"/>
  <c r="Z17" i="111"/>
  <c r="M37" i="29"/>
  <c r="AF54" i="111"/>
  <c r="D55" i="29"/>
  <c r="G71" i="31"/>
  <c r="G71" i="110"/>
  <c r="G26" i="110" s="1"/>
  <c r="O37" i="29"/>
  <c r="K18" i="109"/>
  <c r="R39" i="111"/>
  <c r="D51" i="29"/>
  <c r="G37" i="110"/>
  <c r="F17" i="111"/>
  <c r="D46" i="110"/>
  <c r="I18" i="29"/>
  <c r="I33" i="29"/>
  <c r="I32" i="29"/>
  <c r="D65" i="29"/>
  <c r="AF37" i="111"/>
  <c r="K7" i="109"/>
  <c r="U33" i="111"/>
  <c r="U68" i="111" s="1"/>
  <c r="N47" i="110"/>
  <c r="AA29" i="111"/>
  <c r="AA46" i="110"/>
  <c r="AA65" i="110" s="1"/>
  <c r="AE92" i="110"/>
  <c r="AC34" i="111"/>
  <c r="AA34" i="111"/>
  <c r="AA69" i="111" s="1"/>
  <c r="V29" i="111"/>
  <c r="U96" i="111"/>
  <c r="Q28" i="110"/>
  <c r="Q37" i="111"/>
  <c r="K23" i="109"/>
  <c r="I19" i="29"/>
  <c r="M20" i="29"/>
  <c r="H39" i="110"/>
  <c r="H57" i="110" s="1"/>
  <c r="O36" i="110"/>
  <c r="O30" i="110" s="1"/>
  <c r="G76" i="31"/>
  <c r="G88" i="31"/>
  <c r="C36" i="110"/>
  <c r="C30" i="110" s="1"/>
  <c r="T34" i="111"/>
  <c r="V28" i="111"/>
  <c r="V62" i="111" s="1"/>
  <c r="I17" i="29"/>
  <c r="N17" i="111"/>
  <c r="N18" i="111" s="1"/>
  <c r="N59" i="111" s="1"/>
  <c r="C8" i="109"/>
  <c r="Z54" i="110"/>
  <c r="Z15" i="110"/>
  <c r="R37" i="111"/>
  <c r="Z16" i="111"/>
  <c r="U37" i="110"/>
  <c r="X46" i="110"/>
  <c r="X65" i="110" s="1"/>
  <c r="H40" i="110"/>
  <c r="H58" i="110" s="1"/>
  <c r="Q45" i="110"/>
  <c r="Q31" i="110" s="1"/>
  <c r="G59" i="31"/>
  <c r="AD71" i="111"/>
  <c r="AD63" i="111"/>
  <c r="K31" i="109"/>
  <c r="I14" i="109"/>
  <c r="C12" i="109"/>
  <c r="D34" i="111"/>
  <c r="C15" i="28"/>
  <c r="U40" i="111"/>
  <c r="O20" i="110"/>
  <c r="I46" i="110"/>
  <c r="I65" i="110" s="1"/>
  <c r="R96" i="111"/>
  <c r="Q96" i="111"/>
  <c r="K80" i="111"/>
  <c r="AF52" i="111"/>
  <c r="AF79" i="110"/>
  <c r="AF114" i="110" s="1"/>
  <c r="D37" i="30"/>
  <c r="F37" i="30" s="1"/>
  <c r="AC47" i="110"/>
  <c r="H33" i="29"/>
  <c r="C31" i="28"/>
  <c r="M31" i="29"/>
  <c r="X40" i="111"/>
  <c r="T37" i="110"/>
  <c r="G57" i="31"/>
  <c r="R47" i="110"/>
  <c r="Q92" i="110"/>
  <c r="B65" i="110"/>
  <c r="F21" i="28"/>
  <c r="Q16" i="111"/>
  <c r="E24" i="23"/>
  <c r="N23" i="111"/>
  <c r="N52" i="111"/>
  <c r="N101" i="111" s="1"/>
  <c r="P34" i="111"/>
  <c r="S34" i="111"/>
  <c r="I45" i="110"/>
  <c r="I31" i="110" s="1"/>
  <c r="G50" i="31"/>
  <c r="D63" i="110"/>
  <c r="D37" i="111"/>
  <c r="G45" i="31"/>
  <c r="C37" i="110"/>
  <c r="O47" i="110"/>
  <c r="Z32" i="111"/>
  <c r="J15" i="111"/>
  <c r="M20" i="110"/>
  <c r="C21" i="109"/>
  <c r="H31" i="29"/>
  <c r="AD17" i="111"/>
  <c r="F32" i="28"/>
  <c r="L81" i="111"/>
  <c r="U31" i="111"/>
  <c r="K35" i="109"/>
  <c r="I24" i="109"/>
  <c r="P46" i="110"/>
  <c r="P65" i="110" s="1"/>
  <c r="I31" i="109"/>
  <c r="L31" i="109" s="1"/>
  <c r="I18" i="109"/>
  <c r="L18" i="109" s="1"/>
  <c r="Q24" i="111"/>
  <c r="Q25" i="111" s="1"/>
  <c r="Q26" i="111" s="1"/>
  <c r="M23" i="29"/>
  <c r="Q28" i="111"/>
  <c r="Q63" i="111" s="1"/>
  <c r="G62" i="31"/>
  <c r="AD16" i="111"/>
  <c r="AE37" i="111"/>
  <c r="AE73" i="111" s="1"/>
  <c r="K8" i="109"/>
  <c r="E32" i="23"/>
  <c r="B19" i="110"/>
  <c r="K17" i="109"/>
  <c r="F34" i="28"/>
  <c r="K16" i="111"/>
  <c r="O28" i="110"/>
  <c r="C29" i="28"/>
  <c r="F25" i="29"/>
  <c r="J25" i="29" s="1"/>
  <c r="G90" i="31"/>
  <c r="W44" i="110"/>
  <c r="W62" i="110" s="1"/>
  <c r="W69" i="110" s="1"/>
  <c r="Y17" i="111"/>
  <c r="E37" i="23"/>
  <c r="G55" i="31"/>
  <c r="D25" i="30"/>
  <c r="F25" i="30" s="1"/>
  <c r="U45" i="110"/>
  <c r="K24" i="109"/>
  <c r="I26" i="29"/>
  <c r="F67" i="111"/>
  <c r="N39" i="111"/>
  <c r="N75" i="111" s="1"/>
  <c r="F40" i="110"/>
  <c r="F58" i="110" s="1"/>
  <c r="AA17" i="111"/>
  <c r="M41" i="110"/>
  <c r="M59" i="110" s="1"/>
  <c r="D18" i="30"/>
  <c r="F18" i="30" s="1"/>
  <c r="M52" i="111"/>
  <c r="M101" i="111" s="1"/>
  <c r="K63" i="110"/>
  <c r="C17" i="109"/>
  <c r="E21" i="110"/>
  <c r="E22" i="110" s="1"/>
  <c r="E88" i="110" s="1"/>
  <c r="J16" i="111"/>
  <c r="M15" i="29"/>
  <c r="H37" i="111"/>
  <c r="D13" i="30"/>
  <c r="F13" i="30" s="1"/>
  <c r="H54" i="111"/>
  <c r="H84" i="111" s="1"/>
  <c r="O13" i="29"/>
  <c r="G39" i="111"/>
  <c r="G36" i="109"/>
  <c r="AF29" i="110"/>
  <c r="AF42" i="110"/>
  <c r="AF60" i="110" s="1"/>
  <c r="AF69" i="110" s="1"/>
  <c r="I22" i="109"/>
  <c r="L64" i="111"/>
  <c r="P71" i="111"/>
  <c r="U64" i="111"/>
  <c r="O15" i="110"/>
  <c r="AE45" i="110"/>
  <c r="X19" i="110"/>
  <c r="W15" i="111"/>
  <c r="D23" i="111"/>
  <c r="I17" i="109"/>
  <c r="I23" i="109"/>
  <c r="C23" i="109"/>
  <c r="P44" i="110"/>
  <c r="S39" i="111"/>
  <c r="S75" i="111" s="1"/>
  <c r="V41" i="110"/>
  <c r="V59" i="110" s="1"/>
  <c r="AA19" i="110"/>
  <c r="S47" i="110"/>
  <c r="K32" i="111"/>
  <c r="K67" i="111" s="1"/>
  <c r="AE36" i="111"/>
  <c r="G15" i="111"/>
  <c r="G21" i="111" s="1"/>
  <c r="I11" i="109"/>
  <c r="C7" i="109"/>
  <c r="U63" i="111"/>
  <c r="I15" i="111"/>
  <c r="G18" i="31"/>
  <c r="R18" i="31" s="1"/>
  <c r="AA18" i="31" s="1"/>
  <c r="U42" i="110"/>
  <c r="U60" i="110" s="1"/>
  <c r="K22" i="109"/>
  <c r="C23" i="28"/>
  <c r="V67" i="111"/>
  <c r="H63" i="110"/>
  <c r="L96" i="111"/>
  <c r="K37" i="111"/>
  <c r="K73" i="111" s="1"/>
  <c r="P37" i="111"/>
  <c r="P73" i="111" s="1"/>
  <c r="U21" i="110"/>
  <c r="D71" i="110"/>
  <c r="D26" i="110" s="1"/>
  <c r="G17" i="109"/>
  <c r="M39" i="110"/>
  <c r="M57" i="110" s="1"/>
  <c r="N45" i="110"/>
  <c r="S29" i="111"/>
  <c r="M28" i="111"/>
  <c r="M62" i="111" s="1"/>
  <c r="T96" i="111"/>
  <c r="E29" i="111"/>
  <c r="Y28" i="111"/>
  <c r="Y63" i="111" s="1"/>
  <c r="D31" i="111"/>
  <c r="C27" i="109"/>
  <c r="D27" i="109" s="1"/>
  <c r="O27" i="109" s="1"/>
  <c r="R27" i="109" s="1"/>
  <c r="AE24" i="111"/>
  <c r="J29" i="111"/>
  <c r="G98" i="31"/>
  <c r="C33" i="109"/>
  <c r="D39" i="29"/>
  <c r="D66" i="29"/>
  <c r="L92" i="110"/>
  <c r="AD24" i="111"/>
  <c r="AE39" i="110"/>
  <c r="AE57" i="110" s="1"/>
  <c r="AC46" i="110"/>
  <c r="AC65" i="110" s="1"/>
  <c r="I36" i="29"/>
  <c r="AC31" i="111"/>
  <c r="AC66" i="111" s="1"/>
  <c r="AB40" i="110"/>
  <c r="AB58" i="110" s="1"/>
  <c r="F32" i="29"/>
  <c r="J32" i="29" s="1"/>
  <c r="I34" i="109"/>
  <c r="AB80" i="111"/>
  <c r="AA72" i="111"/>
  <c r="G33" i="109"/>
  <c r="AA71" i="110"/>
  <c r="AA23" i="111"/>
  <c r="Z23" i="111"/>
  <c r="Z25" i="111" s="1"/>
  <c r="Z26" i="111" s="1"/>
  <c r="AA28" i="110"/>
  <c r="V63" i="111"/>
  <c r="X36" i="110"/>
  <c r="I27" i="109"/>
  <c r="Z63" i="111"/>
  <c r="U74" i="111"/>
  <c r="U81" i="111"/>
  <c r="I26" i="109"/>
  <c r="T39" i="110"/>
  <c r="T57" i="110" s="1"/>
  <c r="R28" i="110"/>
  <c r="E27" i="23"/>
  <c r="F24" i="28"/>
  <c r="D23" i="30"/>
  <c r="F23" i="30" s="1"/>
  <c r="C15" i="109"/>
  <c r="I29" i="29"/>
  <c r="C33" i="28"/>
  <c r="X29" i="110"/>
  <c r="E36" i="23"/>
  <c r="E47" i="110"/>
  <c r="W39" i="111"/>
  <c r="W75" i="111" s="1"/>
  <c r="Y31" i="111"/>
  <c r="Y66" i="111" s="1"/>
  <c r="AB40" i="111"/>
  <c r="AA32" i="111"/>
  <c r="AA67" i="111" s="1"/>
  <c r="G17" i="31"/>
  <c r="R17" i="31" s="1"/>
  <c r="AA17" i="31" s="1"/>
  <c r="Q34" i="111"/>
  <c r="F20" i="28"/>
  <c r="R36" i="111"/>
  <c r="R72" i="111" s="1"/>
  <c r="X44" i="110"/>
  <c r="X62" i="110" s="1"/>
  <c r="M34" i="111"/>
  <c r="M69" i="111" s="1"/>
  <c r="N24" i="111"/>
  <c r="H46" i="110"/>
  <c r="H65" i="110" s="1"/>
  <c r="F25" i="28"/>
  <c r="C8" i="28"/>
  <c r="U36" i="110"/>
  <c r="AC79" i="110"/>
  <c r="U15" i="111"/>
  <c r="N42" i="110"/>
  <c r="N60" i="110" s="1"/>
  <c r="AF39" i="110"/>
  <c r="M44" i="110"/>
  <c r="M62" i="110" s="1"/>
  <c r="M69" i="110" s="1"/>
  <c r="C24" i="109"/>
  <c r="AE15" i="111"/>
  <c r="P17" i="111"/>
  <c r="J36" i="111"/>
  <c r="G97" i="31"/>
  <c r="G94" i="31"/>
  <c r="I40" i="111"/>
  <c r="I16" i="109"/>
  <c r="R34" i="111"/>
  <c r="L21" i="110"/>
  <c r="L22" i="110" s="1"/>
  <c r="AA33" i="111"/>
  <c r="AA68" i="111" s="1"/>
  <c r="D10" i="30"/>
  <c r="F10" i="30" s="1"/>
  <c r="X31" i="111"/>
  <c r="S12" i="31"/>
  <c r="Z29" i="111"/>
  <c r="Z64" i="111" s="1"/>
  <c r="G36" i="110"/>
  <c r="X40" i="110"/>
  <c r="X58" i="110" s="1"/>
  <c r="E17" i="23"/>
  <c r="C14" i="109"/>
  <c r="U29" i="110"/>
  <c r="C9" i="109"/>
  <c r="S37" i="31"/>
  <c r="T32" i="111"/>
  <c r="O15" i="111"/>
  <c r="O18" i="111" s="1"/>
  <c r="O59" i="111" s="1"/>
  <c r="L37" i="111"/>
  <c r="L73" i="111" s="1"/>
  <c r="N34" i="111"/>
  <c r="N69" i="111" s="1"/>
  <c r="G44" i="110"/>
  <c r="G62" i="110" s="1"/>
  <c r="G69" i="110" s="1"/>
  <c r="G33" i="111"/>
  <c r="G68" i="111" s="1"/>
  <c r="AF28" i="111"/>
  <c r="E29" i="23"/>
  <c r="G54" i="31"/>
  <c r="O37" i="111"/>
  <c r="AF45" i="110"/>
  <c r="AF31" i="110" s="1"/>
  <c r="B39" i="110"/>
  <c r="B57" i="110" s="1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G80" i="31"/>
  <c r="F14" i="28"/>
  <c r="I16" i="111"/>
  <c r="C20" i="28"/>
  <c r="V17" i="111"/>
  <c r="F8" i="28"/>
  <c r="K20" i="109"/>
  <c r="H7" i="29"/>
  <c r="S64" i="111"/>
  <c r="H37" i="29"/>
  <c r="X33" i="111"/>
  <c r="X68" i="111" s="1"/>
  <c r="M28" i="29"/>
  <c r="W54" i="111"/>
  <c r="W84" i="111" s="1"/>
  <c r="H30" i="29"/>
  <c r="D57" i="29"/>
  <c r="S24" i="111"/>
  <c r="S20" i="110"/>
  <c r="R36" i="110"/>
  <c r="R15" i="110" s="1"/>
  <c r="G91" i="31"/>
  <c r="J29" i="110"/>
  <c r="K17" i="111"/>
  <c r="I54" i="111"/>
  <c r="I84" i="111" s="1"/>
  <c r="I16" i="29"/>
  <c r="J39" i="111"/>
  <c r="D14" i="30"/>
  <c r="F14" i="30" s="1"/>
  <c r="I52" i="111"/>
  <c r="I101" i="111" s="1"/>
  <c r="G34" i="111"/>
  <c r="G69" i="111" s="1"/>
  <c r="F29" i="110"/>
  <c r="F16" i="111"/>
  <c r="G12" i="109"/>
  <c r="E16" i="23"/>
  <c r="F41" i="110"/>
  <c r="F59" i="110" s="1"/>
  <c r="F10" i="28"/>
  <c r="F13" i="28"/>
  <c r="G49" i="31"/>
  <c r="H16" i="111"/>
  <c r="H41" i="110"/>
  <c r="H59" i="110" s="1"/>
  <c r="D9" i="111"/>
  <c r="B56" i="110"/>
  <c r="AF75" i="111"/>
  <c r="B91" i="110"/>
  <c r="AG86" i="111"/>
  <c r="B61" i="110"/>
  <c r="AG49" i="111"/>
  <c r="R71" i="111"/>
  <c r="AB75" i="111"/>
  <c r="B90" i="110"/>
  <c r="I22" i="110"/>
  <c r="I88" i="110" s="1"/>
  <c r="B59" i="110"/>
  <c r="AB74" i="111"/>
  <c r="O67" i="111"/>
  <c r="M80" i="111"/>
  <c r="AB73" i="111"/>
  <c r="M74" i="111"/>
  <c r="AB26" i="111"/>
  <c r="AB62" i="111"/>
  <c r="AB67" i="111"/>
  <c r="AB81" i="111"/>
  <c r="D48" i="29"/>
  <c r="C32" i="109"/>
  <c r="K13" i="109"/>
  <c r="I10" i="109"/>
  <c r="I37" i="29"/>
  <c r="H25" i="29"/>
  <c r="C52" i="111"/>
  <c r="C101" i="111" s="1"/>
  <c r="B36" i="110"/>
  <c r="B54" i="110" s="1"/>
  <c r="AE28" i="111"/>
  <c r="AE42" i="111" s="1"/>
  <c r="O21" i="110"/>
  <c r="C25" i="28"/>
  <c r="C44" i="110"/>
  <c r="C62" i="110" s="1"/>
  <c r="I28" i="109"/>
  <c r="K16" i="109"/>
  <c r="K14" i="109"/>
  <c r="G104" i="31"/>
  <c r="O39" i="111"/>
  <c r="O75" i="111" s="1"/>
  <c r="K21" i="109"/>
  <c r="AE40" i="111"/>
  <c r="M40" i="110"/>
  <c r="M58" i="110" s="1"/>
  <c r="K12" i="109"/>
  <c r="G20" i="31"/>
  <c r="R20" i="31" s="1"/>
  <c r="C23" i="23" s="1"/>
  <c r="AC16" i="111"/>
  <c r="H36" i="111"/>
  <c r="H72" i="111" s="1"/>
  <c r="Z30" i="110"/>
  <c r="S18" i="31"/>
  <c r="L34" i="111"/>
  <c r="L69" i="111" s="1"/>
  <c r="C24" i="111"/>
  <c r="C25" i="111" s="1"/>
  <c r="I25" i="109"/>
  <c r="I19" i="109"/>
  <c r="K25" i="109"/>
  <c r="I36" i="109"/>
  <c r="L36" i="109" s="1"/>
  <c r="AB36" i="111"/>
  <c r="AB72" i="111" s="1"/>
  <c r="K32" i="109"/>
  <c r="G13" i="109"/>
  <c r="X28" i="110"/>
  <c r="L40" i="110"/>
  <c r="L58" i="110" s="1"/>
  <c r="O37" i="110"/>
  <c r="Y42" i="110"/>
  <c r="K29" i="111"/>
  <c r="K64" i="111" s="1"/>
  <c r="E39" i="110"/>
  <c r="H14" i="29"/>
  <c r="D50" i="29"/>
  <c r="S79" i="110"/>
  <c r="S92" i="110" s="1"/>
  <c r="I13" i="29"/>
  <c r="F79" i="110"/>
  <c r="F37" i="29"/>
  <c r="J37" i="29" s="1"/>
  <c r="D11" i="30"/>
  <c r="F11" i="30" s="1"/>
  <c r="S52" i="111"/>
  <c r="S101" i="111" s="1"/>
  <c r="H10" i="29"/>
  <c r="H8" i="29"/>
  <c r="AA71" i="111"/>
  <c r="AA75" i="111"/>
  <c r="Y71" i="111"/>
  <c r="AB71" i="111"/>
  <c r="AF81" i="111"/>
  <c r="K81" i="111"/>
  <c r="AF44" i="110"/>
  <c r="AF32" i="111"/>
  <c r="D37" i="109"/>
  <c r="O37" i="109" s="1"/>
  <c r="R37" i="109" s="1"/>
  <c r="C36" i="109"/>
  <c r="G35" i="109"/>
  <c r="H35" i="29"/>
  <c r="AD34" i="111"/>
  <c r="AD69" i="111" s="1"/>
  <c r="AB71" i="110"/>
  <c r="AB26" i="110" s="1"/>
  <c r="AC24" i="111"/>
  <c r="AB29" i="110"/>
  <c r="AB82" i="111"/>
  <c r="AB29" i="111"/>
  <c r="AB64" i="111" s="1"/>
  <c r="AB15" i="111"/>
  <c r="AB21" i="111" s="1"/>
  <c r="I34" i="29"/>
  <c r="G103" i="31"/>
  <c r="AD36" i="110"/>
  <c r="AD15" i="110" s="1"/>
  <c r="AD40" i="110"/>
  <c r="AD58" i="110" s="1"/>
  <c r="G32" i="109"/>
  <c r="Z37" i="111"/>
  <c r="Z42" i="110"/>
  <c r="Z60" i="110" s="1"/>
  <c r="Z69" i="110" s="1"/>
  <c r="AA24" i="111"/>
  <c r="Z29" i="110"/>
  <c r="C31" i="109"/>
  <c r="G30" i="31"/>
  <c r="R30" i="31" s="1"/>
  <c r="M32" i="29"/>
  <c r="AA54" i="111"/>
  <c r="AA84" i="111" s="1"/>
  <c r="AA82" i="110"/>
  <c r="AA94" i="110" s="1"/>
  <c r="I30" i="29"/>
  <c r="F29" i="29"/>
  <c r="J29" i="29" s="1"/>
  <c r="Y40" i="111"/>
  <c r="D62" i="29"/>
  <c r="G29" i="109"/>
  <c r="X25" i="111"/>
  <c r="X26" i="111" s="1"/>
  <c r="X16" i="111"/>
  <c r="X18" i="111" s="1"/>
  <c r="X59" i="111" s="1"/>
  <c r="W28" i="110"/>
  <c r="H29" i="29"/>
  <c r="W20" i="110"/>
  <c r="W21" i="110"/>
  <c r="V40" i="110"/>
  <c r="V58" i="110" s="1"/>
  <c r="V42" i="110"/>
  <c r="V60" i="110" s="1"/>
  <c r="D61" i="29"/>
  <c r="G26" i="109"/>
  <c r="C25" i="109"/>
  <c r="S71" i="111"/>
  <c r="T16" i="111"/>
  <c r="G25" i="31"/>
  <c r="R25" i="31" s="1"/>
  <c r="AA25" i="31" s="1"/>
  <c r="F24" i="29"/>
  <c r="J24" i="29" s="1"/>
  <c r="O25" i="29"/>
  <c r="T23" i="111"/>
  <c r="T25" i="111" s="1"/>
  <c r="D58" i="29"/>
  <c r="O63" i="111"/>
  <c r="R16" i="111"/>
  <c r="M24" i="29"/>
  <c r="O24" i="29"/>
  <c r="S82" i="110"/>
  <c r="S94" i="110" s="1"/>
  <c r="O45" i="110"/>
  <c r="S23" i="31"/>
  <c r="P54" i="111"/>
  <c r="P84" i="111" s="1"/>
  <c r="M21" i="29"/>
  <c r="P94" i="110"/>
  <c r="H23" i="29"/>
  <c r="M45" i="110"/>
  <c r="M63" i="110" s="1"/>
  <c r="N54" i="111"/>
  <c r="N84" i="111" s="1"/>
  <c r="M19" i="29"/>
  <c r="O19" i="29"/>
  <c r="M92" i="110"/>
  <c r="M96" i="111"/>
  <c r="M54" i="111"/>
  <c r="M84" i="111" s="1"/>
  <c r="O18" i="29"/>
  <c r="M18" i="29"/>
  <c r="K96" i="111"/>
  <c r="D17" i="30"/>
  <c r="F17" i="30" s="1"/>
  <c r="L52" i="111"/>
  <c r="H18" i="29"/>
  <c r="F17" i="29"/>
  <c r="J17" i="29" s="1"/>
  <c r="K39" i="111"/>
  <c r="K75" i="111" s="1"/>
  <c r="L26" i="110"/>
  <c r="C17" i="28"/>
  <c r="G53" i="31"/>
  <c r="L15" i="111"/>
  <c r="E20" i="23"/>
  <c r="S17" i="31"/>
  <c r="K82" i="111"/>
  <c r="K68" i="111"/>
  <c r="K71" i="111"/>
  <c r="K69" i="111"/>
  <c r="K74" i="111"/>
  <c r="K82" i="110"/>
  <c r="K94" i="110" s="1"/>
  <c r="K54" i="111"/>
  <c r="K84" i="111" s="1"/>
  <c r="K15" i="109"/>
  <c r="H21" i="110"/>
  <c r="H22" i="110" s="1"/>
  <c r="H88" i="110" s="1"/>
  <c r="J28" i="110"/>
  <c r="J31" i="111"/>
  <c r="H24" i="111"/>
  <c r="I15" i="109"/>
  <c r="M13" i="29"/>
  <c r="H15" i="111"/>
  <c r="G64" i="111"/>
  <c r="I13" i="109"/>
  <c r="G20" i="110"/>
  <c r="C11" i="109"/>
  <c r="I12" i="29"/>
  <c r="H12" i="29"/>
  <c r="I11" i="29"/>
  <c r="D40" i="111"/>
  <c r="F44" i="110"/>
  <c r="F62" i="110" s="1"/>
  <c r="F28" i="110"/>
  <c r="E54" i="111"/>
  <c r="E13" i="23"/>
  <c r="G79" i="31"/>
  <c r="I9" i="109"/>
  <c r="D54" i="111"/>
  <c r="F46" i="110"/>
  <c r="F65" i="110" s="1"/>
  <c r="D36" i="111"/>
  <c r="I8" i="30"/>
  <c r="J8" i="30" s="1"/>
  <c r="I8" i="29"/>
  <c r="D32" i="111"/>
  <c r="I9" i="29"/>
  <c r="K9" i="109"/>
  <c r="D8" i="30"/>
  <c r="F8" i="30" s="1"/>
  <c r="G77" i="31"/>
  <c r="C17" i="111"/>
  <c r="C18" i="111" s="1"/>
  <c r="C19" i="110"/>
  <c r="S8" i="31"/>
  <c r="B47" i="110"/>
  <c r="C46" i="110"/>
  <c r="B52" i="111"/>
  <c r="B101" i="111" s="1"/>
  <c r="B45" i="110"/>
  <c r="B63" i="110" s="1"/>
  <c r="I7" i="109"/>
  <c r="I7" i="29"/>
  <c r="B33" i="111"/>
  <c r="B79" i="110"/>
  <c r="B114" i="110" s="1"/>
  <c r="G43" i="31"/>
  <c r="D40" i="29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G22" i="31"/>
  <c r="R22" i="31" s="1"/>
  <c r="D36" i="110"/>
  <c r="J40" i="110"/>
  <c r="J58" i="110" s="1"/>
  <c r="E18" i="23"/>
  <c r="F27" i="28"/>
  <c r="F7" i="28"/>
  <c r="C7" i="28"/>
  <c r="B21" i="110"/>
  <c r="B17" i="111"/>
  <c r="K10" i="109"/>
  <c r="C40" i="110"/>
  <c r="C32" i="111"/>
  <c r="G23" i="111"/>
  <c r="G28" i="110"/>
  <c r="C35" i="28"/>
  <c r="F35" i="28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G69" i="31"/>
  <c r="Y71" i="110"/>
  <c r="Y96" i="111"/>
  <c r="I71" i="110"/>
  <c r="I26" i="110" s="1"/>
  <c r="I96" i="111"/>
  <c r="AC33" i="111"/>
  <c r="AC68" i="111" s="1"/>
  <c r="AC41" i="110"/>
  <c r="AC59" i="110" s="1"/>
  <c r="C19" i="28"/>
  <c r="E22" i="23"/>
  <c r="X42" i="110"/>
  <c r="X60" i="110" s="1"/>
  <c r="X34" i="111"/>
  <c r="X69" i="111" s="1"/>
  <c r="S28" i="111"/>
  <c r="G92" i="31"/>
  <c r="S96" i="111"/>
  <c r="N71" i="110"/>
  <c r="S13" i="31"/>
  <c r="T29" i="110"/>
  <c r="S29" i="31"/>
  <c r="L36" i="110"/>
  <c r="L30" i="110" s="1"/>
  <c r="Y32" i="111"/>
  <c r="Y67" i="111" s="1"/>
  <c r="H34" i="111"/>
  <c r="H69" i="111" s="1"/>
  <c r="S15" i="31"/>
  <c r="W39" i="110"/>
  <c r="W57" i="110" s="1"/>
  <c r="C33" i="111"/>
  <c r="D15" i="111"/>
  <c r="D21" i="111" s="1"/>
  <c r="P96" i="111"/>
  <c r="N41" i="110"/>
  <c r="N59" i="110" s="1"/>
  <c r="R29" i="111"/>
  <c r="S36" i="110"/>
  <c r="S54" i="110" s="1"/>
  <c r="S27" i="31"/>
  <c r="Y45" i="110"/>
  <c r="G66" i="31"/>
  <c r="E35" i="23"/>
  <c r="G35" i="31"/>
  <c r="R35" i="31" s="1"/>
  <c r="P32" i="111"/>
  <c r="AD71" i="110"/>
  <c r="K42" i="110"/>
  <c r="K60" i="110" s="1"/>
  <c r="AC37" i="111"/>
  <c r="AC73" i="111" s="1"/>
  <c r="H23" i="111"/>
  <c r="B29" i="110"/>
  <c r="J96" i="111"/>
  <c r="Z15" i="111"/>
  <c r="AB34" i="111"/>
  <c r="AB69" i="111" s="1"/>
  <c r="R24" i="111"/>
  <c r="R25" i="111" s="1"/>
  <c r="R26" i="111" s="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C31" i="111"/>
  <c r="Y19" i="110"/>
  <c r="Y22" i="110" s="1"/>
  <c r="Y88" i="110" s="1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S11" i="31"/>
  <c r="V71" i="110"/>
  <c r="V96" i="111"/>
  <c r="F23" i="28"/>
  <c r="O33" i="111"/>
  <c r="O68" i="111" s="1"/>
  <c r="J25" i="111"/>
  <c r="S32" i="31"/>
  <c r="M40" i="111"/>
  <c r="E10" i="23"/>
  <c r="O96" i="111"/>
  <c r="G24" i="111"/>
  <c r="F19" i="28"/>
  <c r="G83" i="31"/>
  <c r="M21" i="110"/>
  <c r="U40" i="110"/>
  <c r="U58" i="110" s="1"/>
  <c r="Q21" i="110"/>
  <c r="Q22" i="110" s="1"/>
  <c r="Q88" i="110" s="1"/>
  <c r="Z36" i="111"/>
  <c r="L28" i="110"/>
  <c r="T40" i="111"/>
  <c r="T47" i="110"/>
  <c r="N20" i="110"/>
  <c r="G19" i="31"/>
  <c r="R19" i="31" s="1"/>
  <c r="C22" i="23" s="1"/>
  <c r="P33" i="111"/>
  <c r="P68" i="111" s="1"/>
  <c r="Y39" i="111"/>
  <c r="Y46" i="110"/>
  <c r="Y65" i="110" s="1"/>
  <c r="P36" i="110"/>
  <c r="P15" i="110" s="1"/>
  <c r="G89" i="31"/>
  <c r="AC19" i="110"/>
  <c r="AC15" i="111"/>
  <c r="U20" i="110"/>
  <c r="G26" i="31"/>
  <c r="R26" i="31" s="1"/>
  <c r="R19" i="110"/>
  <c r="R22" i="110" s="1"/>
  <c r="R88" i="110" s="1"/>
  <c r="R15" i="111"/>
  <c r="G34" i="109"/>
  <c r="G22" i="109"/>
  <c r="K11" i="109"/>
  <c r="AB69" i="110"/>
  <c r="W40" i="111"/>
  <c r="C22" i="109"/>
  <c r="C13" i="109"/>
  <c r="Y79" i="110"/>
  <c r="F33" i="29"/>
  <c r="J33" i="29" s="1"/>
  <c r="D56" i="29"/>
  <c r="D35" i="30"/>
  <c r="F35" i="30" s="1"/>
  <c r="AD79" i="110"/>
  <c r="D16" i="30"/>
  <c r="F16" i="30" s="1"/>
  <c r="M8" i="29"/>
  <c r="K79" i="110"/>
  <c r="H17" i="29"/>
  <c r="O8" i="29"/>
  <c r="F18" i="29"/>
  <c r="J18" i="29" s="1"/>
  <c r="O9" i="29"/>
  <c r="O29" i="29"/>
  <c r="I10" i="29"/>
  <c r="AB82" i="110"/>
  <c r="AB94" i="110" s="1"/>
  <c r="T54" i="111"/>
  <c r="M17" i="29"/>
  <c r="D60" i="29"/>
  <c r="X54" i="111"/>
  <c r="X84" i="111" s="1"/>
  <c r="H79" i="110"/>
  <c r="AH101" i="110"/>
  <c r="AH103" i="110" s="1"/>
  <c r="M25" i="29"/>
  <c r="M22" i="29"/>
  <c r="J82" i="110"/>
  <c r="M29" i="29"/>
  <c r="O17" i="29"/>
  <c r="D52" i="111"/>
  <c r="D101" i="111" s="1"/>
  <c r="H9" i="29"/>
  <c r="D42" i="29"/>
  <c r="AB54" i="111"/>
  <c r="AB84" i="111" s="1"/>
  <c r="H24" i="29"/>
  <c r="O15" i="29"/>
  <c r="AA52" i="111"/>
  <c r="AA101" i="111" s="1"/>
  <c r="L54" i="111"/>
  <c r="L84" i="111" s="1"/>
  <c r="D19" i="30"/>
  <c r="F19" i="30" s="1"/>
  <c r="D36" i="30"/>
  <c r="F36" i="30" s="1"/>
  <c r="H32" i="29"/>
  <c r="D46" i="29"/>
  <c r="D31" i="30"/>
  <c r="F31" i="30" s="1"/>
  <c r="O33" i="29"/>
  <c r="D20" i="30"/>
  <c r="F20" i="30" s="1"/>
  <c r="M9" i="29"/>
  <c r="M10" i="29"/>
  <c r="D34" i="30"/>
  <c r="D32" i="30"/>
  <c r="F32" i="30" s="1"/>
  <c r="D68" i="29"/>
  <c r="H34" i="29"/>
  <c r="D49" i="29"/>
  <c r="I14" i="29"/>
  <c r="O22" i="29"/>
  <c r="F34" i="29"/>
  <c r="J34" i="29" s="1"/>
  <c r="I28" i="29"/>
  <c r="D45" i="29"/>
  <c r="G63" i="111"/>
  <c r="D58" i="110"/>
  <c r="F80" i="111"/>
  <c r="F68" i="111"/>
  <c r="U66" i="111"/>
  <c r="D60" i="110"/>
  <c r="D91" i="110"/>
  <c r="D61" i="110"/>
  <c r="R82" i="111"/>
  <c r="F74" i="111"/>
  <c r="R80" i="111"/>
  <c r="U69" i="111"/>
  <c r="AA73" i="111"/>
  <c r="AA80" i="111"/>
  <c r="B9" i="111"/>
  <c r="B74" i="111" s="1"/>
  <c r="D56" i="110"/>
  <c r="F72" i="111"/>
  <c r="F71" i="111"/>
  <c r="R81" i="111"/>
  <c r="AA64" i="111"/>
  <c r="U62" i="111"/>
  <c r="D90" i="110"/>
  <c r="D65" i="110"/>
  <c r="F81" i="111"/>
  <c r="F66" i="111"/>
  <c r="R64" i="111"/>
  <c r="R69" i="111"/>
  <c r="R75" i="111"/>
  <c r="U73" i="111"/>
  <c r="U80" i="111"/>
  <c r="AA81" i="111"/>
  <c r="AA74" i="111"/>
  <c r="AE80" i="111"/>
  <c r="Q74" i="111"/>
  <c r="AD81" i="111"/>
  <c r="AD84" i="111"/>
  <c r="AD68" i="111"/>
  <c r="Q75" i="111"/>
  <c r="Q71" i="111"/>
  <c r="AD75" i="111"/>
  <c r="S35" i="31"/>
  <c r="AE20" i="110"/>
  <c r="AE22" i="110" s="1"/>
  <c r="AE88" i="110" s="1"/>
  <c r="AE54" i="111"/>
  <c r="I35" i="109"/>
  <c r="M34" i="29"/>
  <c r="D67" i="29"/>
  <c r="AD41" i="110"/>
  <c r="AD59" i="110" s="1"/>
  <c r="E38" i="23"/>
  <c r="AC54" i="111"/>
  <c r="AC84" i="111" s="1"/>
  <c r="AD36" i="111"/>
  <c r="AD72" i="111" s="1"/>
  <c r="AD67" i="111"/>
  <c r="AD62" i="111"/>
  <c r="AD80" i="111"/>
  <c r="AD74" i="111"/>
  <c r="AC82" i="110"/>
  <c r="AC94" i="110" s="1"/>
  <c r="Y24" i="111"/>
  <c r="Z96" i="111"/>
  <c r="G31" i="31"/>
  <c r="R31" i="31" s="1"/>
  <c r="AA31" i="31" s="1"/>
  <c r="Z33" i="111"/>
  <c r="Z45" i="110"/>
  <c r="Z52" i="111"/>
  <c r="Z101" i="111" s="1"/>
  <c r="Y52" i="111"/>
  <c r="Y101" i="111" s="1"/>
  <c r="O31" i="29"/>
  <c r="Z82" i="110"/>
  <c r="Z94" i="110" s="1"/>
  <c r="S30" i="31"/>
  <c r="X21" i="110"/>
  <c r="X80" i="111"/>
  <c r="X75" i="111"/>
  <c r="C29" i="109"/>
  <c r="D28" i="30"/>
  <c r="F28" i="30" s="1"/>
  <c r="W92" i="110"/>
  <c r="K28" i="109"/>
  <c r="O28" i="29"/>
  <c r="V82" i="110"/>
  <c r="V94" i="110" s="1"/>
  <c r="M27" i="29"/>
  <c r="V39" i="111"/>
  <c r="V16" i="111"/>
  <c r="W32" i="111"/>
  <c r="G27" i="31"/>
  <c r="R27" i="31" s="1"/>
  <c r="V24" i="111"/>
  <c r="U54" i="111"/>
  <c r="U84" i="111" s="1"/>
  <c r="U39" i="111"/>
  <c r="U75" i="111" s="1"/>
  <c r="U52" i="111"/>
  <c r="U79" i="110"/>
  <c r="F28" i="29"/>
  <c r="J28" i="29" s="1"/>
  <c r="V54" i="111"/>
  <c r="V84" i="111" s="1"/>
  <c r="P31" i="110"/>
  <c r="P63" i="110"/>
  <c r="D54" i="29"/>
  <c r="G16" i="109"/>
  <c r="D16" i="109" s="1"/>
  <c r="O16" i="109" s="1"/>
  <c r="R16" i="109" s="1"/>
  <c r="H67" i="111"/>
  <c r="H75" i="111"/>
  <c r="H68" i="111"/>
  <c r="I64" i="111"/>
  <c r="H66" i="111"/>
  <c r="I80" i="111"/>
  <c r="H80" i="111"/>
  <c r="H73" i="111"/>
  <c r="H81" i="111"/>
  <c r="H82" i="111"/>
  <c r="H71" i="111"/>
  <c r="I15" i="29"/>
  <c r="O12" i="29"/>
  <c r="G54" i="111"/>
  <c r="G84" i="111" s="1"/>
  <c r="G82" i="110"/>
  <c r="G94" i="110" s="1"/>
  <c r="C28" i="110"/>
  <c r="C37" i="111"/>
  <c r="G44" i="31"/>
  <c r="C96" i="111"/>
  <c r="C21" i="111" s="1"/>
  <c r="C110" i="110"/>
  <c r="AH110" i="110" s="1"/>
  <c r="B71" i="110"/>
  <c r="G7" i="109"/>
  <c r="G8" i="31"/>
  <c r="R8" i="31" s="1"/>
  <c r="C20" i="110"/>
  <c r="F8" i="29"/>
  <c r="J8" i="29" s="1"/>
  <c r="F7" i="29"/>
  <c r="J7" i="29" s="1"/>
  <c r="B82" i="110"/>
  <c r="B94" i="110" s="1"/>
  <c r="C90" i="110"/>
  <c r="C9" i="111"/>
  <c r="C64" i="111" s="1"/>
  <c r="C94" i="110"/>
  <c r="X62" i="111"/>
  <c r="Y62" i="111"/>
  <c r="AC82" i="111"/>
  <c r="AF84" i="111"/>
  <c r="C59" i="110"/>
  <c r="C63" i="110"/>
  <c r="L67" i="111"/>
  <c r="AF62" i="111"/>
  <c r="AF68" i="111"/>
  <c r="C61" i="110"/>
  <c r="L71" i="111"/>
  <c r="C58" i="110"/>
  <c r="AF66" i="111"/>
  <c r="AC75" i="111"/>
  <c r="C65" i="110"/>
  <c r="Q81" i="111"/>
  <c r="I81" i="111"/>
  <c r="AC80" i="111"/>
  <c r="X72" i="111"/>
  <c r="X74" i="111"/>
  <c r="X71" i="111"/>
  <c r="AF73" i="111"/>
  <c r="AF67" i="111"/>
  <c r="C57" i="110"/>
  <c r="AF82" i="111"/>
  <c r="C54" i="110"/>
  <c r="AF64" i="111"/>
  <c r="D62" i="110"/>
  <c r="Q62" i="111"/>
  <c r="Q80" i="111"/>
  <c r="I75" i="111"/>
  <c r="X81" i="111"/>
  <c r="AF74" i="111"/>
  <c r="L74" i="111"/>
  <c r="AD69" i="110"/>
  <c r="AF69" i="111"/>
  <c r="C91" i="110"/>
  <c r="C92" i="110"/>
  <c r="Q69" i="111"/>
  <c r="AF71" i="111"/>
  <c r="Q73" i="111"/>
  <c r="Y73" i="111"/>
  <c r="X67" i="111"/>
  <c r="AF80" i="111"/>
  <c r="G87" i="31"/>
  <c r="N28" i="111"/>
  <c r="N62" i="111" s="1"/>
  <c r="N36" i="110"/>
  <c r="Q40" i="110"/>
  <c r="Q58" i="110" s="1"/>
  <c r="Q32" i="111"/>
  <c r="Q67" i="111" s="1"/>
  <c r="AC29" i="111"/>
  <c r="AC64" i="111" s="1"/>
  <c r="AC37" i="110"/>
  <c r="P37" i="110"/>
  <c r="P29" i="111"/>
  <c r="P64" i="111" s="1"/>
  <c r="H28" i="111"/>
  <c r="H63" i="111" s="1"/>
  <c r="G81" i="31"/>
  <c r="J34" i="111"/>
  <c r="J42" i="110"/>
  <c r="J60" i="110" s="1"/>
  <c r="AE71" i="110"/>
  <c r="AE26" i="110" s="1"/>
  <c r="AF96" i="111"/>
  <c r="AF21" i="111" s="1"/>
  <c r="W71" i="110"/>
  <c r="W26" i="110" s="1"/>
  <c r="W96" i="111"/>
  <c r="G28" i="31"/>
  <c r="R28" i="31" s="1"/>
  <c r="M28" i="110"/>
  <c r="M23" i="111"/>
  <c r="M25" i="111" s="1"/>
  <c r="M26" i="111" s="1"/>
  <c r="AE69" i="111"/>
  <c r="B39" i="111"/>
  <c r="B28" i="110"/>
  <c r="U26" i="110"/>
  <c r="AE42" i="110"/>
  <c r="AE60" i="110" s="1"/>
  <c r="AE69" i="110" s="1"/>
  <c r="S36" i="31"/>
  <c r="V31" i="111"/>
  <c r="V66" i="111" s="1"/>
  <c r="V39" i="110"/>
  <c r="V57" i="110" s="1"/>
  <c r="B40" i="110"/>
  <c r="B58" i="110" s="1"/>
  <c r="B32" i="111"/>
  <c r="L29" i="110"/>
  <c r="L24" i="111"/>
  <c r="L25" i="111" s="1"/>
  <c r="L26" i="111" s="1"/>
  <c r="M46" i="110"/>
  <c r="M65" i="110" s="1"/>
  <c r="M39" i="111"/>
  <c r="M75" i="111" s="1"/>
  <c r="AF36" i="110"/>
  <c r="G105" i="31"/>
  <c r="V28" i="110"/>
  <c r="V23" i="111"/>
  <c r="Q36" i="111"/>
  <c r="Q44" i="110"/>
  <c r="Q62" i="110" s="1"/>
  <c r="Q69" i="110" s="1"/>
  <c r="R32" i="111"/>
  <c r="R67" i="111" s="1"/>
  <c r="AF28" i="110"/>
  <c r="AF23" i="111"/>
  <c r="AF25" i="111" s="1"/>
  <c r="AF26" i="111" s="1"/>
  <c r="S18" i="111"/>
  <c r="S59" i="111" s="1"/>
  <c r="J17" i="111"/>
  <c r="J21" i="110"/>
  <c r="J22" i="110" s="1"/>
  <c r="J88" i="110" s="1"/>
  <c r="E42" i="110"/>
  <c r="E60" i="110" s="1"/>
  <c r="E34" i="111"/>
  <c r="AC40" i="110"/>
  <c r="AC58" i="110" s="1"/>
  <c r="S34" i="31"/>
  <c r="G64" i="31"/>
  <c r="W37" i="111"/>
  <c r="W73" i="111" s="1"/>
  <c r="W45" i="110"/>
  <c r="Y23" i="111"/>
  <c r="F29" i="111"/>
  <c r="F64" i="111" s="1"/>
  <c r="F37" i="110"/>
  <c r="X29" i="111"/>
  <c r="X64" i="111" s="1"/>
  <c r="X37" i="110"/>
  <c r="S24" i="31"/>
  <c r="G12" i="31"/>
  <c r="R12" i="31" s="1"/>
  <c r="G17" i="111"/>
  <c r="G18" i="111" s="1"/>
  <c r="G59" i="111" s="1"/>
  <c r="E44" i="110"/>
  <c r="E62" i="110" s="1"/>
  <c r="E36" i="111"/>
  <c r="M15" i="111"/>
  <c r="M18" i="111" s="1"/>
  <c r="M59" i="111" s="1"/>
  <c r="M19" i="110"/>
  <c r="M26" i="110" s="1"/>
  <c r="Q39" i="110"/>
  <c r="Q57" i="110" s="1"/>
  <c r="S31" i="111"/>
  <c r="S66" i="111" s="1"/>
  <c r="Q31" i="111"/>
  <c r="AD37" i="111"/>
  <c r="AD73" i="111" s="1"/>
  <c r="E38" i="31"/>
  <c r="T33" i="111"/>
  <c r="C30" i="109"/>
  <c r="W34" i="111"/>
  <c r="W69" i="111" s="1"/>
  <c r="AF63" i="111"/>
  <c r="S19" i="31"/>
  <c r="N36" i="111"/>
  <c r="N72" i="111" s="1"/>
  <c r="N44" i="110"/>
  <c r="N62" i="110" s="1"/>
  <c r="AE40" i="110"/>
  <c r="AE58" i="110" s="1"/>
  <c r="AE32" i="111"/>
  <c r="P42" i="110"/>
  <c r="P60" i="110" s="1"/>
  <c r="S21" i="31"/>
  <c r="G96" i="31"/>
  <c r="W36" i="110"/>
  <c r="W54" i="110" s="1"/>
  <c r="G37" i="31"/>
  <c r="R37" i="31" s="1"/>
  <c r="AF17" i="111"/>
  <c r="AF18" i="111" s="1"/>
  <c r="AF59" i="111" s="1"/>
  <c r="AF21" i="110"/>
  <c r="AF22" i="110" s="1"/>
  <c r="AF88" i="110" s="1"/>
  <c r="C42" i="110"/>
  <c r="C60" i="110" s="1"/>
  <c r="C34" i="111"/>
  <c r="G60" i="31"/>
  <c r="L39" i="111"/>
  <c r="L75" i="111" s="1"/>
  <c r="Z47" i="110"/>
  <c r="C11" i="28"/>
  <c r="S25" i="31"/>
  <c r="H36" i="110"/>
  <c r="H30" i="110" s="1"/>
  <c r="H32" i="110" s="1"/>
  <c r="H34" i="110" s="1"/>
  <c r="V47" i="110"/>
  <c r="AF46" i="110"/>
  <c r="AF65" i="110" s="1"/>
  <c r="AE63" i="111"/>
  <c r="O38" i="31"/>
  <c r="S22" i="31"/>
  <c r="R31" i="111"/>
  <c r="R66" i="111" s="1"/>
  <c r="AD31" i="111"/>
  <c r="AD66" i="111" s="1"/>
  <c r="AE96" i="111"/>
  <c r="N31" i="111"/>
  <c r="N66" i="111" s="1"/>
  <c r="O31" i="111"/>
  <c r="O66" i="111" s="1"/>
  <c r="N39" i="110"/>
  <c r="N57" i="110" s="1"/>
  <c r="AE41" i="110"/>
  <c r="AE59" i="110" s="1"/>
  <c r="AE33" i="111"/>
  <c r="AE68" i="111" s="1"/>
  <c r="C47" i="110"/>
  <c r="C40" i="111"/>
  <c r="F31" i="28"/>
  <c r="C16" i="28"/>
  <c r="E19" i="23"/>
  <c r="G101" i="31"/>
  <c r="AB36" i="110"/>
  <c r="AC21" i="110"/>
  <c r="AC17" i="111"/>
  <c r="AA16" i="111"/>
  <c r="AA20" i="110"/>
  <c r="G32" i="31"/>
  <c r="R32" i="31" s="1"/>
  <c r="F47" i="110"/>
  <c r="F40" i="111"/>
  <c r="B34" i="111"/>
  <c r="B42" i="110"/>
  <c r="B60" i="110" s="1"/>
  <c r="S7" i="31"/>
  <c r="T36" i="111"/>
  <c r="Y37" i="110"/>
  <c r="Y29" i="111"/>
  <c r="Y64" i="111" s="1"/>
  <c r="N21" i="111"/>
  <c r="Y30" i="110"/>
  <c r="I29" i="109"/>
  <c r="L31" i="111"/>
  <c r="L66" i="111" s="1"/>
  <c r="C28" i="109"/>
  <c r="D28" i="109" s="1"/>
  <c r="O28" i="109" s="1"/>
  <c r="R28" i="109" s="1"/>
  <c r="S21" i="110"/>
  <c r="G7" i="31"/>
  <c r="R7" i="31" s="1"/>
  <c r="G15" i="31"/>
  <c r="R15" i="31" s="1"/>
  <c r="K41" i="110"/>
  <c r="K59" i="110" s="1"/>
  <c r="AA21" i="111"/>
  <c r="AA31" i="111"/>
  <c r="AA66" i="111" s="1"/>
  <c r="AA39" i="110"/>
  <c r="AA57" i="110" s="1"/>
  <c r="K47" i="110"/>
  <c r="K40" i="111"/>
  <c r="I21" i="109"/>
  <c r="I20" i="109"/>
  <c r="L20" i="109" s="1"/>
  <c r="C20" i="109"/>
  <c r="D20" i="109" s="1"/>
  <c r="O20" i="109" s="1"/>
  <c r="R20" i="109" s="1"/>
  <c r="C19" i="109"/>
  <c r="D19" i="109" s="1"/>
  <c r="B36" i="111"/>
  <c r="B44" i="110"/>
  <c r="B62" i="110" s="1"/>
  <c r="AD23" i="111"/>
  <c r="N37" i="110"/>
  <c r="N29" i="111"/>
  <c r="N64" i="111" s="1"/>
  <c r="I42" i="110"/>
  <c r="I60" i="110" s="1"/>
  <c r="I34" i="111"/>
  <c r="I69" i="111" s="1"/>
  <c r="AE46" i="110"/>
  <c r="AE65" i="110" s="1"/>
  <c r="AE39" i="111"/>
  <c r="AE75" i="111" s="1"/>
  <c r="F37" i="28"/>
  <c r="C37" i="28"/>
  <c r="E40" i="23"/>
  <c r="E36" i="110"/>
  <c r="E54" i="110" s="1"/>
  <c r="E28" i="111"/>
  <c r="E63" i="111" s="1"/>
  <c r="G100" i="31"/>
  <c r="AA28" i="111"/>
  <c r="AA62" i="111" s="1"/>
  <c r="G21" i="31"/>
  <c r="R21" i="31" s="1"/>
  <c r="AA21" i="31" s="1"/>
  <c r="Q26" i="110"/>
  <c r="G15" i="109"/>
  <c r="L37" i="109"/>
  <c r="AF63" i="110"/>
  <c r="Y33" i="111"/>
  <c r="Y68" i="111" s="1"/>
  <c r="Y41" i="110"/>
  <c r="Y59" i="110" s="1"/>
  <c r="F12" i="28"/>
  <c r="E15" i="23"/>
  <c r="T37" i="111"/>
  <c r="T45" i="110"/>
  <c r="G61" i="31"/>
  <c r="Y54" i="110"/>
  <c r="G24" i="31"/>
  <c r="R24" i="31" s="1"/>
  <c r="AA24" i="31" s="1"/>
  <c r="AE30" i="110"/>
  <c r="AE15" i="110"/>
  <c r="S37" i="111"/>
  <c r="S73" i="111" s="1"/>
  <c r="AB39" i="110"/>
  <c r="AB57" i="110" s="1"/>
  <c r="AB31" i="111"/>
  <c r="AB66" i="111" s="1"/>
  <c r="S44" i="31"/>
  <c r="P44" i="31"/>
  <c r="R44" i="31"/>
  <c r="I17" i="111"/>
  <c r="G14" i="31"/>
  <c r="R14" i="31" s="1"/>
  <c r="C17" i="23" s="1"/>
  <c r="B16" i="111"/>
  <c r="I33" i="109"/>
  <c r="I32" i="109"/>
  <c r="G11" i="109"/>
  <c r="G10" i="109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E39" i="23"/>
  <c r="C36" i="28"/>
  <c r="F36" i="28"/>
  <c r="G51" i="31"/>
  <c r="J37" i="111"/>
  <c r="J45" i="110"/>
  <c r="J31" i="110" s="1"/>
  <c r="J33" i="111"/>
  <c r="J41" i="110"/>
  <c r="J59" i="110" s="1"/>
  <c r="G36" i="31"/>
  <c r="R36" i="31" s="1"/>
  <c r="AE17" i="111"/>
  <c r="P15" i="111"/>
  <c r="P19" i="110"/>
  <c r="P22" i="110" s="1"/>
  <c r="P88" i="110" s="1"/>
  <c r="P29" i="110"/>
  <c r="P24" i="111"/>
  <c r="H96" i="111"/>
  <c r="G13" i="31"/>
  <c r="R13" i="31" s="1"/>
  <c r="H71" i="110"/>
  <c r="H26" i="110" s="1"/>
  <c r="E29" i="110"/>
  <c r="AG90" i="111"/>
  <c r="G14" i="109"/>
  <c r="D17" i="111"/>
  <c r="AH104" i="110"/>
  <c r="G11" i="31"/>
  <c r="R11" i="31" s="1"/>
  <c r="AA11" i="31" s="1"/>
  <c r="I12" i="109"/>
  <c r="E21" i="111"/>
  <c r="B28" i="111"/>
  <c r="B63" i="111" s="1"/>
  <c r="Q38" i="31"/>
  <c r="P63" i="111"/>
  <c r="H69" i="110"/>
  <c r="AC67" i="111"/>
  <c r="L36" i="111"/>
  <c r="L72" i="111" s="1"/>
  <c r="K19" i="109"/>
  <c r="Z26" i="110"/>
  <c r="Z75" i="111"/>
  <c r="I30" i="109"/>
  <c r="B25" i="111"/>
  <c r="J26" i="110"/>
  <c r="D64" i="29"/>
  <c r="O16" i="29"/>
  <c r="V52" i="111"/>
  <c r="V101" i="111" s="1"/>
  <c r="I22" i="29"/>
  <c r="V79" i="110"/>
  <c r="I24" i="29"/>
  <c r="H16" i="29"/>
  <c r="W52" i="111"/>
  <c r="W101" i="111" s="1"/>
  <c r="Y54" i="111"/>
  <c r="Y84" i="111" s="1"/>
  <c r="Y82" i="110"/>
  <c r="Y94" i="110" s="1"/>
  <c r="I35" i="29"/>
  <c r="D69" i="29"/>
  <c r="O10" i="29"/>
  <c r="H28" i="29"/>
  <c r="I20" i="29"/>
  <c r="F10" i="29"/>
  <c r="J10" i="29" s="1"/>
  <c r="AF92" i="110"/>
  <c r="F16" i="29"/>
  <c r="J16" i="29" s="1"/>
  <c r="D47" i="29"/>
  <c r="F27" i="29"/>
  <c r="J27" i="29" s="1"/>
  <c r="F31" i="29"/>
  <c r="J31" i="29" s="1"/>
  <c r="Z22" i="110"/>
  <c r="Z88" i="110" s="1"/>
  <c r="W63" i="111"/>
  <c r="W72" i="111"/>
  <c r="W80" i="111"/>
  <c r="W67" i="111"/>
  <c r="W71" i="111"/>
  <c r="W81" i="111"/>
  <c r="W62" i="111"/>
  <c r="D59" i="29"/>
  <c r="H27" i="29"/>
  <c r="G24" i="109"/>
  <c r="S26" i="110"/>
  <c r="R69" i="110"/>
  <c r="R63" i="111"/>
  <c r="I23" i="29"/>
  <c r="G18" i="109"/>
  <c r="D18" i="109" s="1"/>
  <c r="O18" i="109" s="1"/>
  <c r="R18" i="109" s="1"/>
  <c r="I21" i="29"/>
  <c r="F15" i="110"/>
  <c r="F30" i="110"/>
  <c r="F28" i="111"/>
  <c r="F63" i="111" s="1"/>
  <c r="E37" i="111"/>
  <c r="E45" i="110"/>
  <c r="E31" i="110" s="1"/>
  <c r="E71" i="110"/>
  <c r="E26" i="110" s="1"/>
  <c r="E28" i="110"/>
  <c r="F25" i="111"/>
  <c r="F26" i="111" s="1"/>
  <c r="E23" i="111"/>
  <c r="E25" i="111" s="1"/>
  <c r="E16" i="111"/>
  <c r="G10" i="31"/>
  <c r="R10" i="31" s="1"/>
  <c r="M11" i="29"/>
  <c r="E79" i="110"/>
  <c r="E114" i="110" s="1"/>
  <c r="AG87" i="111"/>
  <c r="AG89" i="111" s="1"/>
  <c r="F82" i="110"/>
  <c r="F94" i="110" s="1"/>
  <c r="O11" i="29"/>
  <c r="F19" i="29"/>
  <c r="J19" i="29" s="1"/>
  <c r="H19" i="29"/>
  <c r="AG95" i="111"/>
  <c r="G16" i="31"/>
  <c r="R16" i="31" s="1"/>
  <c r="C10" i="109"/>
  <c r="B38" i="30"/>
  <c r="F11" i="29"/>
  <c r="J11" i="29" s="1"/>
  <c r="I8" i="109"/>
  <c r="F9" i="29"/>
  <c r="J9" i="29" s="1"/>
  <c r="AE62" i="111"/>
  <c r="AE67" i="111"/>
  <c r="I72" i="111"/>
  <c r="AE64" i="111"/>
  <c r="AE74" i="111"/>
  <c r="N80" i="111"/>
  <c r="N68" i="111"/>
  <c r="N81" i="111"/>
  <c r="AC74" i="111"/>
  <c r="AC69" i="111"/>
  <c r="AE71" i="111"/>
  <c r="AE72" i="111"/>
  <c r="AE66" i="111"/>
  <c r="N71" i="111"/>
  <c r="AC81" i="111"/>
  <c r="AE82" i="111"/>
  <c r="N73" i="111"/>
  <c r="AE81" i="111"/>
  <c r="AE84" i="111"/>
  <c r="AC71" i="111"/>
  <c r="I71" i="111"/>
  <c r="T65" i="110"/>
  <c r="O69" i="111"/>
  <c r="P81" i="111"/>
  <c r="O81" i="111"/>
  <c r="T59" i="110"/>
  <c r="T94" i="110"/>
  <c r="T9" i="111"/>
  <c r="T75" i="111" s="1"/>
  <c r="J9" i="111"/>
  <c r="F84" i="111"/>
  <c r="O73" i="111"/>
  <c r="P75" i="111"/>
  <c r="P66" i="111"/>
  <c r="V80" i="111"/>
  <c r="O62" i="111"/>
  <c r="J61" i="110"/>
  <c r="D94" i="110"/>
  <c r="J62" i="110"/>
  <c r="V68" i="111"/>
  <c r="V69" i="111"/>
  <c r="O64" i="111"/>
  <c r="J56" i="110"/>
  <c r="V74" i="111"/>
  <c r="J57" i="110"/>
  <c r="I66" i="111"/>
  <c r="M73" i="111"/>
  <c r="S84" i="111"/>
  <c r="M81" i="111"/>
  <c r="O80" i="111"/>
  <c r="M71" i="111"/>
  <c r="P67" i="111"/>
  <c r="V75" i="111"/>
  <c r="T91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V64" i="111"/>
  <c r="T62" i="110"/>
  <c r="J92" i="110"/>
  <c r="S69" i="111"/>
  <c r="J94" i="110"/>
  <c r="F60" i="110"/>
  <c r="E40" i="110"/>
  <c r="E58" i="110" s="1"/>
  <c r="S10" i="31"/>
  <c r="E32" i="111"/>
  <c r="L38" i="31"/>
  <c r="B21" i="111"/>
  <c r="E46" i="110"/>
  <c r="E65" i="110" s="1"/>
  <c r="E39" i="111"/>
  <c r="V45" i="110"/>
  <c r="V37" i="111"/>
  <c r="P38" i="31"/>
  <c r="G63" i="31"/>
  <c r="Q41" i="110"/>
  <c r="Q59" i="110" s="1"/>
  <c r="S33" i="111"/>
  <c r="S68" i="111" s="1"/>
  <c r="Q33" i="111"/>
  <c r="Q68" i="111" s="1"/>
  <c r="R33" i="111"/>
  <c r="S32" i="111"/>
  <c r="S67" i="111" s="1"/>
  <c r="X71" i="110"/>
  <c r="G29" i="31"/>
  <c r="R29" i="31" s="1"/>
  <c r="X96" i="111"/>
  <c r="X21" i="111" s="1"/>
  <c r="G23" i="31"/>
  <c r="R23" i="31" s="1"/>
  <c r="R71" i="110"/>
  <c r="F38" i="31"/>
  <c r="S26" i="31"/>
  <c r="U44" i="110"/>
  <c r="U36" i="111"/>
  <c r="U72" i="111" s="1"/>
  <c r="I40" i="110"/>
  <c r="I58" i="110" s="1"/>
  <c r="I32" i="111"/>
  <c r="I67" i="111" s="1"/>
  <c r="R31" i="110"/>
  <c r="R63" i="110"/>
  <c r="D20" i="110"/>
  <c r="D16" i="111"/>
  <c r="G9" i="31"/>
  <c r="D38" i="31"/>
  <c r="D40" i="31" s="1"/>
  <c r="D43" i="31" s="1"/>
  <c r="D45" i="31" s="1"/>
  <c r="D47" i="31" s="1"/>
  <c r="D49" i="31" s="1"/>
  <c r="K30" i="109"/>
  <c r="K29" i="109"/>
  <c r="K26" i="109"/>
  <c r="K27" i="109"/>
  <c r="L69" i="110"/>
  <c r="Q37" i="110"/>
  <c r="Q29" i="111"/>
  <c r="K36" i="111"/>
  <c r="K72" i="111" s="1"/>
  <c r="K44" i="110"/>
  <c r="K62" i="110" s="1"/>
  <c r="M38" i="31"/>
  <c r="S16" i="31"/>
  <c r="X45" i="110"/>
  <c r="G65" i="31"/>
  <c r="X37" i="111"/>
  <c r="W29" i="111"/>
  <c r="W64" i="111" s="1"/>
  <c r="W37" i="110"/>
  <c r="AC96" i="111"/>
  <c r="AC71" i="110"/>
  <c r="G34" i="31"/>
  <c r="R34" i="31" s="1"/>
  <c r="AC36" i="110"/>
  <c r="AD40" i="111"/>
  <c r="J38" i="31"/>
  <c r="AC28" i="111"/>
  <c r="G102" i="31"/>
  <c r="K19" i="110"/>
  <c r="C38" i="31"/>
  <c r="K15" i="111"/>
  <c r="W18" i="111"/>
  <c r="W59" i="111" s="1"/>
  <c r="AF26" i="110"/>
  <c r="M67" i="111"/>
  <c r="AA40" i="111"/>
  <c r="AA47" i="110"/>
  <c r="N40" i="110"/>
  <c r="N32" i="111"/>
  <c r="C35" i="109"/>
  <c r="C34" i="109"/>
  <c r="AD37" i="110"/>
  <c r="AD29" i="111"/>
  <c r="AD64" i="111" s="1"/>
  <c r="B37" i="110"/>
  <c r="B29" i="111"/>
  <c r="K25" i="111"/>
  <c r="K26" i="111" s="1"/>
  <c r="AD19" i="110"/>
  <c r="AD15" i="111"/>
  <c r="L40" i="111"/>
  <c r="G84" i="31"/>
  <c r="K36" i="110"/>
  <c r="K28" i="111"/>
  <c r="K63" i="111" s="1"/>
  <c r="AA45" i="110"/>
  <c r="G68" i="31"/>
  <c r="G30" i="109"/>
  <c r="G9" i="109"/>
  <c r="G8" i="109"/>
  <c r="D41" i="110"/>
  <c r="S9" i="31"/>
  <c r="D33" i="111"/>
  <c r="E31" i="23"/>
  <c r="F28" i="28"/>
  <c r="C28" i="28"/>
  <c r="C9" i="28"/>
  <c r="E12" i="23"/>
  <c r="F9" i="28"/>
  <c r="I28" i="111"/>
  <c r="I63" i="111" s="1"/>
  <c r="I36" i="110"/>
  <c r="I15" i="110" s="1"/>
  <c r="G82" i="31"/>
  <c r="S23" i="111"/>
  <c r="S28" i="110"/>
  <c r="F15" i="111"/>
  <c r="F19" i="110"/>
  <c r="F22" i="110" s="1"/>
  <c r="F88" i="110" s="1"/>
  <c r="G93" i="31"/>
  <c r="T36" i="110"/>
  <c r="T15" i="110" s="1"/>
  <c r="T28" i="111"/>
  <c r="T63" i="111" s="1"/>
  <c r="W41" i="110"/>
  <c r="W59" i="110" s="1"/>
  <c r="W33" i="111"/>
  <c r="W68" i="111" s="1"/>
  <c r="S28" i="31"/>
  <c r="E21" i="23"/>
  <c r="C18" i="28"/>
  <c r="F18" i="28"/>
  <c r="T19" i="110"/>
  <c r="T15" i="111"/>
  <c r="U23" i="111"/>
  <c r="U25" i="111" s="1"/>
  <c r="U26" i="111" s="1"/>
  <c r="U28" i="110"/>
  <c r="L18" i="111"/>
  <c r="L59" i="111" s="1"/>
  <c r="S33" i="31"/>
  <c r="AB41" i="110"/>
  <c r="AB59" i="110" s="1"/>
  <c r="AB33" i="111"/>
  <c r="AB68" i="111" s="1"/>
  <c r="S14" i="31"/>
  <c r="I44" i="110"/>
  <c r="AB17" i="111"/>
  <c r="G33" i="31"/>
  <c r="R33" i="31" s="1"/>
  <c r="AB21" i="110"/>
  <c r="W29" i="110"/>
  <c r="W24" i="111"/>
  <c r="W25" i="111" s="1"/>
  <c r="W26" i="111" s="1"/>
  <c r="S36" i="111"/>
  <c r="S72" i="111" s="1"/>
  <c r="AE23" i="111"/>
  <c r="AE25" i="111" s="1"/>
  <c r="AE26" i="111" s="1"/>
  <c r="AE28" i="110"/>
  <c r="K33" i="109"/>
  <c r="K34" i="109"/>
  <c r="AC36" i="111"/>
  <c r="AC72" i="111" s="1"/>
  <c r="AC44" i="110"/>
  <c r="AC62" i="110" s="1"/>
  <c r="AC69" i="110" s="1"/>
  <c r="E25" i="23"/>
  <c r="F22" i="28"/>
  <c r="AG35" i="111"/>
  <c r="V19" i="110"/>
  <c r="V15" i="111"/>
  <c r="O29" i="110"/>
  <c r="O24" i="111"/>
  <c r="F71" i="110"/>
  <c r="F96" i="111"/>
  <c r="G23" i="109"/>
  <c r="E59" i="110"/>
  <c r="C26" i="109"/>
  <c r="G31" i="109"/>
  <c r="G25" i="109"/>
  <c r="S65" i="110"/>
  <c r="S31" i="31"/>
  <c r="F82" i="111"/>
  <c r="F101" i="111"/>
  <c r="T92" i="110"/>
  <c r="T114" i="110"/>
  <c r="I92" i="110"/>
  <c r="I114" i="110"/>
  <c r="Z92" i="110"/>
  <c r="Z114" i="110"/>
  <c r="F13" i="29"/>
  <c r="J13" i="29" s="1"/>
  <c r="G79" i="110"/>
  <c r="F15" i="29"/>
  <c r="J15" i="29" s="1"/>
  <c r="I82" i="110"/>
  <c r="I94" i="110" s="1"/>
  <c r="F14" i="29"/>
  <c r="J14" i="29" s="1"/>
  <c r="H36" i="29"/>
  <c r="O30" i="29"/>
  <c r="D79" i="110"/>
  <c r="F35" i="29"/>
  <c r="J35" i="29" s="1"/>
  <c r="I27" i="29"/>
  <c r="D41" i="29"/>
  <c r="M7" i="29"/>
  <c r="H26" i="29"/>
  <c r="J52" i="111"/>
  <c r="J101" i="111" s="1"/>
  <c r="D12" i="30"/>
  <c r="F12" i="30" s="1"/>
  <c r="D33" i="30"/>
  <c r="F33" i="30" s="1"/>
  <c r="T52" i="111"/>
  <c r="O35" i="29"/>
  <c r="Q82" i="110"/>
  <c r="Q94" i="110" s="1"/>
  <c r="F30" i="29"/>
  <c r="J30" i="29" s="1"/>
  <c r="AB79" i="110"/>
  <c r="F26" i="29"/>
  <c r="J26" i="29" s="1"/>
  <c r="F36" i="29"/>
  <c r="J36" i="29" s="1"/>
  <c r="H11" i="29"/>
  <c r="D15" i="30"/>
  <c r="F15" i="30" s="1"/>
  <c r="I31" i="29"/>
  <c r="AD82" i="110"/>
  <c r="AD94" i="110" s="1"/>
  <c r="B54" i="111"/>
  <c r="G80" i="111"/>
  <c r="M26" i="29"/>
  <c r="AE82" i="110"/>
  <c r="AE94" i="110" s="1"/>
  <c r="D52" i="29"/>
  <c r="S80" i="111"/>
  <c r="H15" i="29"/>
  <c r="D43" i="29"/>
  <c r="F22" i="29"/>
  <c r="J22" i="29" s="1"/>
  <c r="D63" i="29"/>
  <c r="O36" i="29"/>
  <c r="M35" i="29"/>
  <c r="D44" i="29"/>
  <c r="D29" i="30"/>
  <c r="F29" i="30" s="1"/>
  <c r="X52" i="111"/>
  <c r="M14" i="29"/>
  <c r="AD52" i="111"/>
  <c r="H20" i="29"/>
  <c r="R54" i="111"/>
  <c r="R84" i="111" s="1"/>
  <c r="F23" i="29"/>
  <c r="J23" i="29" s="1"/>
  <c r="AA92" i="110"/>
  <c r="F12" i="29"/>
  <c r="J12" i="29" s="1"/>
  <c r="O26" i="29"/>
  <c r="H13" i="29"/>
  <c r="R82" i="110"/>
  <c r="R94" i="110" s="1"/>
  <c r="F20" i="29"/>
  <c r="J20" i="29" s="1"/>
  <c r="Q84" i="111"/>
  <c r="Q66" i="111"/>
  <c r="Q72" i="111"/>
  <c r="G75" i="111"/>
  <c r="G81" i="111"/>
  <c r="G62" i="111"/>
  <c r="G82" i="111"/>
  <c r="G74" i="111"/>
  <c r="G72" i="111"/>
  <c r="G71" i="111"/>
  <c r="AG8" i="111"/>
  <c r="E94" i="110"/>
  <c r="E57" i="110"/>
  <c r="E56" i="110"/>
  <c r="E91" i="110"/>
  <c r="E61" i="110"/>
  <c r="E90" i="110"/>
  <c r="E9" i="111"/>
  <c r="Y60" i="110"/>
  <c r="Z84" i="111"/>
  <c r="Z81" i="111"/>
  <c r="Z66" i="111"/>
  <c r="Z80" i="111"/>
  <c r="Z74" i="111"/>
  <c r="Z72" i="111"/>
  <c r="Z73" i="111"/>
  <c r="Z69" i="111"/>
  <c r="Z67" i="111"/>
  <c r="Z71" i="111"/>
  <c r="Y75" i="111"/>
  <c r="Y74" i="111"/>
  <c r="Y81" i="111"/>
  <c r="Y69" i="111"/>
  <c r="U71" i="111"/>
  <c r="B43" i="23"/>
  <c r="G21" i="109"/>
  <c r="R73" i="111"/>
  <c r="R62" i="111"/>
  <c r="AG47" i="111"/>
  <c r="P62" i="110"/>
  <c r="P69" i="111"/>
  <c r="P80" i="111"/>
  <c r="P62" i="111"/>
  <c r="P72" i="111"/>
  <c r="P74" i="111"/>
  <c r="N38" i="31"/>
  <c r="S20" i="31"/>
  <c r="O26" i="110"/>
  <c r="O57" i="110"/>
  <c r="O60" i="110"/>
  <c r="O59" i="110"/>
  <c r="O79" i="110"/>
  <c r="O114" i="110" s="1"/>
  <c r="P52" i="111"/>
  <c r="P79" i="110"/>
  <c r="O101" i="111"/>
  <c r="O82" i="111"/>
  <c r="O94" i="110"/>
  <c r="O20" i="29"/>
  <c r="O54" i="111"/>
  <c r="F21" i="29"/>
  <c r="J21" i="29" s="1"/>
  <c r="H21" i="29"/>
  <c r="D53" i="29"/>
  <c r="O61" i="110"/>
  <c r="O91" i="110"/>
  <c r="O72" i="111"/>
  <c r="O65" i="110"/>
  <c r="E43" i="23" l="1"/>
  <c r="F34" i="30"/>
  <c r="D38" i="30"/>
  <c r="L35" i="109"/>
  <c r="P25" i="111"/>
  <c r="P26" i="111" s="1"/>
  <c r="O92" i="110"/>
  <c r="AA22" i="110"/>
  <c r="AA88" i="110" s="1"/>
  <c r="I63" i="110"/>
  <c r="M63" i="111"/>
  <c r="O54" i="110"/>
  <c r="X69" i="110"/>
  <c r="Z18" i="111"/>
  <c r="Z59" i="111" s="1"/>
  <c r="F18" i="111"/>
  <c r="F59" i="111" s="1"/>
  <c r="L22" i="109"/>
  <c r="D21" i="109"/>
  <c r="O21" i="109" s="1"/>
  <c r="R21" i="109" s="1"/>
  <c r="L24" i="109"/>
  <c r="L16" i="109"/>
  <c r="L11" i="109"/>
  <c r="L7" i="109"/>
  <c r="C32" i="110"/>
  <c r="C34" i="110" s="1"/>
  <c r="L8" i="109"/>
  <c r="D8" i="109"/>
  <c r="O8" i="109" s="1"/>
  <c r="R8" i="109" s="1"/>
  <c r="U21" i="111"/>
  <c r="I21" i="111"/>
  <c r="J21" i="111"/>
  <c r="L34" i="109"/>
  <c r="L23" i="109"/>
  <c r="L17" i="109"/>
  <c r="Q32" i="110"/>
  <c r="Q34" i="110" s="1"/>
  <c r="O22" i="110"/>
  <c r="O88" i="110" s="1"/>
  <c r="D12" i="109"/>
  <c r="O12" i="109" s="1"/>
  <c r="R12" i="109" s="1"/>
  <c r="B26" i="110"/>
  <c r="L26" i="109"/>
  <c r="N25" i="111"/>
  <c r="N26" i="111" s="1"/>
  <c r="N63" i="111"/>
  <c r="D24" i="109"/>
  <c r="O24" i="109" s="1"/>
  <c r="R24" i="109" s="1"/>
  <c r="N82" i="111"/>
  <c r="C22" i="110"/>
  <c r="C88" i="110" s="1"/>
  <c r="Q21" i="111"/>
  <c r="M82" i="111"/>
  <c r="D17" i="109"/>
  <c r="O17" i="109" s="1"/>
  <c r="R17" i="109" s="1"/>
  <c r="D9" i="109"/>
  <c r="O9" i="109" s="1"/>
  <c r="R9" i="109" s="1"/>
  <c r="L27" i="109"/>
  <c r="B15" i="110"/>
  <c r="X22" i="110"/>
  <c r="X88" i="110" s="1"/>
  <c r="L14" i="109"/>
  <c r="R50" i="110"/>
  <c r="O21" i="111"/>
  <c r="AE31" i="110"/>
  <c r="AE32" i="110" s="1"/>
  <c r="AE34" i="110" s="1"/>
  <c r="AE63" i="110"/>
  <c r="AE68" i="110" s="1"/>
  <c r="Q63" i="110"/>
  <c r="Q68" i="110" s="1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D26" i="109"/>
  <c r="O26" i="109" s="1"/>
  <c r="R26" i="109" s="1"/>
  <c r="B22" i="110"/>
  <c r="B88" i="110" s="1"/>
  <c r="O50" i="110"/>
  <c r="M31" i="110"/>
  <c r="L88" i="110"/>
  <c r="H21" i="111"/>
  <c r="H18" i="111"/>
  <c r="H59" i="111" s="1"/>
  <c r="D66" i="111"/>
  <c r="D25" i="111"/>
  <c r="D26" i="111" s="1"/>
  <c r="B92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4" i="110"/>
  <c r="D23" i="109"/>
  <c r="O23" i="109" s="1"/>
  <c r="R23" i="109" s="1"/>
  <c r="AE18" i="111"/>
  <c r="AE59" i="111" s="1"/>
  <c r="L54" i="110"/>
  <c r="L68" i="110" s="1"/>
  <c r="L15" i="110"/>
  <c r="S25" i="111"/>
  <c r="S26" i="111" s="1"/>
  <c r="AD25" i="111"/>
  <c r="AD26" i="111" s="1"/>
  <c r="D36" i="109"/>
  <c r="O36" i="109" s="1"/>
  <c r="R36" i="109" s="1"/>
  <c r="AE21" i="111"/>
  <c r="J18" i="111"/>
  <c r="J59" i="111" s="1"/>
  <c r="L25" i="109"/>
  <c r="L28" i="109"/>
  <c r="L21" i="111"/>
  <c r="L63" i="111"/>
  <c r="L78" i="111" s="1"/>
  <c r="L30" i="109"/>
  <c r="P18" i="111"/>
  <c r="P59" i="111" s="1"/>
  <c r="AA20" i="31"/>
  <c r="C21" i="23"/>
  <c r="L12" i="109"/>
  <c r="I18" i="111"/>
  <c r="I59" i="111" s="1"/>
  <c r="E63" i="110"/>
  <c r="E68" i="110" s="1"/>
  <c r="D82" i="111"/>
  <c r="N69" i="110"/>
  <c r="D7" i="109"/>
  <c r="O7" i="109" s="1"/>
  <c r="R7" i="109" s="1"/>
  <c r="B30" i="110"/>
  <c r="AC26" i="110"/>
  <c r="O31" i="110"/>
  <c r="O32" i="110" s="1"/>
  <c r="O34" i="110" s="1"/>
  <c r="O63" i="110"/>
  <c r="G22" i="110"/>
  <c r="G88" i="110" s="1"/>
  <c r="S22" i="110"/>
  <c r="S88" i="110" s="1"/>
  <c r="N22" i="110"/>
  <c r="N88" i="110" s="1"/>
  <c r="D13" i="109"/>
  <c r="O13" i="109" s="1"/>
  <c r="R13" i="109" s="1"/>
  <c r="S62" i="111"/>
  <c r="S63" i="111"/>
  <c r="U30" i="110"/>
  <c r="U15" i="110"/>
  <c r="U54" i="110"/>
  <c r="D33" i="109"/>
  <c r="O33" i="109" s="1"/>
  <c r="R33" i="109" s="1"/>
  <c r="D15" i="109"/>
  <c r="O15" i="109" s="1"/>
  <c r="R15" i="109" s="1"/>
  <c r="G30" i="110"/>
  <c r="G15" i="110"/>
  <c r="G54" i="110"/>
  <c r="H54" i="110"/>
  <c r="H68" i="110" s="1"/>
  <c r="H15" i="110"/>
  <c r="W21" i="111"/>
  <c r="U22" i="110"/>
  <c r="U88" i="110" s="1"/>
  <c r="N31" i="110"/>
  <c r="N63" i="110"/>
  <c r="U18" i="111"/>
  <c r="U59" i="111" s="1"/>
  <c r="D14" i="109"/>
  <c r="O14" i="109" s="1"/>
  <c r="R14" i="109" s="1"/>
  <c r="E92" i="110"/>
  <c r="L101" i="111"/>
  <c r="L82" i="111"/>
  <c r="F114" i="110"/>
  <c r="F92" i="110"/>
  <c r="AD30" i="110"/>
  <c r="AD32" i="110" s="1"/>
  <c r="AD34" i="110" s="1"/>
  <c r="AD54" i="110"/>
  <c r="AD68" i="110" s="1"/>
  <c r="AC31" i="110"/>
  <c r="AC63" i="110"/>
  <c r="AC114" i="110"/>
  <c r="AC92" i="110"/>
  <c r="AC18" i="111"/>
  <c r="AC59" i="111" s="1"/>
  <c r="AA25" i="111"/>
  <c r="AA26" i="111" s="1"/>
  <c r="AA79" i="111"/>
  <c r="Y25" i="111"/>
  <c r="Y26" i="111" s="1"/>
  <c r="D32" i="109"/>
  <c r="O32" i="109" s="1"/>
  <c r="R32" i="109" s="1"/>
  <c r="D25" i="109"/>
  <c r="O25" i="109" s="1"/>
  <c r="R25" i="109" s="1"/>
  <c r="P30" i="110"/>
  <c r="P32" i="110" s="1"/>
  <c r="P34" i="110" s="1"/>
  <c r="P54" i="110"/>
  <c r="P68" i="110" s="1"/>
  <c r="R79" i="111"/>
  <c r="S82" i="111"/>
  <c r="M30" i="110"/>
  <c r="M54" i="110"/>
  <c r="M68" i="110" s="1"/>
  <c r="L13" i="109"/>
  <c r="AF42" i="111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R34" i="110" s="1"/>
  <c r="J30" i="110"/>
  <c r="J32" i="110" s="1"/>
  <c r="J34" i="110" s="1"/>
  <c r="J54" i="110"/>
  <c r="J63" i="110"/>
  <c r="AA14" i="31"/>
  <c r="H50" i="110"/>
  <c r="D11" i="109"/>
  <c r="O11" i="109" s="1"/>
  <c r="R11" i="109" s="1"/>
  <c r="L10" i="109"/>
  <c r="D64" i="111"/>
  <c r="D71" i="111"/>
  <c r="D62" i="111"/>
  <c r="C73" i="111"/>
  <c r="C81" i="111"/>
  <c r="L50" i="110"/>
  <c r="B71" i="111"/>
  <c r="R26" i="110"/>
  <c r="M50" i="110"/>
  <c r="P26" i="110"/>
  <c r="Y21" i="111"/>
  <c r="G42" i="111"/>
  <c r="L15" i="109"/>
  <c r="AF50" i="110"/>
  <c r="AB79" i="111"/>
  <c r="K69" i="110"/>
  <c r="AF79" i="111"/>
  <c r="AF78" i="111"/>
  <c r="AB78" i="111"/>
  <c r="AC22" i="110"/>
  <c r="AC88" i="110" s="1"/>
  <c r="AB30" i="110"/>
  <c r="AB15" i="110"/>
  <c r="AB54" i="110"/>
  <c r="AB114" i="110"/>
  <c r="AB92" i="110"/>
  <c r="AB31" i="110"/>
  <c r="AB63" i="110"/>
  <c r="AA63" i="111"/>
  <c r="AA78" i="111" s="1"/>
  <c r="AA42" i="111"/>
  <c r="AA82" i="111"/>
  <c r="Z42" i="111"/>
  <c r="Z68" i="111"/>
  <c r="Z78" i="111" s="1"/>
  <c r="D31" i="109"/>
  <c r="O31" i="109" s="1"/>
  <c r="R31" i="109" s="1"/>
  <c r="Y82" i="111"/>
  <c r="Z82" i="111"/>
  <c r="Z50" i="110"/>
  <c r="Y31" i="110"/>
  <c r="Y32" i="110" s="1"/>
  <c r="Y34" i="110" s="1"/>
  <c r="Y63" i="110"/>
  <c r="Y68" i="110" s="1"/>
  <c r="Z31" i="110"/>
  <c r="Z32" i="110" s="1"/>
  <c r="Z34" i="110" s="1"/>
  <c r="Z63" i="110"/>
  <c r="Z68" i="110" s="1"/>
  <c r="Y114" i="110"/>
  <c r="Y92" i="110"/>
  <c r="D29" i="109"/>
  <c r="O29" i="109" s="1"/>
  <c r="R29" i="109" s="1"/>
  <c r="W22" i="110"/>
  <c r="W88" i="110" s="1"/>
  <c r="T26" i="111"/>
  <c r="V25" i="111"/>
  <c r="V26" i="111" s="1"/>
  <c r="C28" i="23"/>
  <c r="T18" i="111"/>
  <c r="T59" i="111" s="1"/>
  <c r="C27" i="23"/>
  <c r="P50" i="110"/>
  <c r="P69" i="110"/>
  <c r="C24" i="23"/>
  <c r="D22" i="109"/>
  <c r="O22" i="109" s="1"/>
  <c r="R22" i="109" s="1"/>
  <c r="P42" i="111"/>
  <c r="O42" i="111"/>
  <c r="N26" i="110"/>
  <c r="M21" i="111"/>
  <c r="C20" i="23"/>
  <c r="K15" i="110"/>
  <c r="K54" i="110"/>
  <c r="K68" i="110" s="1"/>
  <c r="K114" i="110"/>
  <c r="K92" i="110"/>
  <c r="K62" i="111"/>
  <c r="K78" i="111" s="1"/>
  <c r="K79" i="111"/>
  <c r="H42" i="111"/>
  <c r="H114" i="110"/>
  <c r="H92" i="110"/>
  <c r="J42" i="111"/>
  <c r="H62" i="111"/>
  <c r="H78" i="111" s="1"/>
  <c r="G73" i="111"/>
  <c r="G78" i="111" s="1"/>
  <c r="G31" i="110"/>
  <c r="G63" i="110"/>
  <c r="G50" i="110"/>
  <c r="G57" i="110"/>
  <c r="G25" i="111"/>
  <c r="G26" i="111" s="1"/>
  <c r="F31" i="110"/>
  <c r="F32" i="110" s="1"/>
  <c r="F34" i="110" s="1"/>
  <c r="F63" i="110"/>
  <c r="F68" i="110" s="1"/>
  <c r="F79" i="111"/>
  <c r="F69" i="110"/>
  <c r="F62" i="111"/>
  <c r="F78" i="111" s="1"/>
  <c r="F42" i="111"/>
  <c r="D10" i="109"/>
  <c r="O10" i="109" s="1"/>
  <c r="R10" i="109" s="1"/>
  <c r="L9" i="109"/>
  <c r="F26" i="110"/>
  <c r="D30" i="110"/>
  <c r="D32" i="110" s="1"/>
  <c r="D34" i="110" s="1"/>
  <c r="D54" i="110"/>
  <c r="AG17" i="111"/>
  <c r="B31" i="110"/>
  <c r="C26" i="110"/>
  <c r="AA19" i="31"/>
  <c r="L32" i="110"/>
  <c r="L34" i="110" s="1"/>
  <c r="U42" i="111"/>
  <c r="F50" i="110"/>
  <c r="D69" i="110"/>
  <c r="Y26" i="110"/>
  <c r="AA22" i="31"/>
  <c r="C25" i="23"/>
  <c r="AB50" i="110"/>
  <c r="AD26" i="110"/>
  <c r="AC21" i="111"/>
  <c r="M42" i="111"/>
  <c r="J50" i="110"/>
  <c r="S15" i="110"/>
  <c r="S30" i="110"/>
  <c r="S32" i="110" s="1"/>
  <c r="S34" i="110" s="1"/>
  <c r="C75" i="111"/>
  <c r="C66" i="111"/>
  <c r="C74" i="111"/>
  <c r="C68" i="111"/>
  <c r="C82" i="111"/>
  <c r="C69" i="111"/>
  <c r="AD79" i="111"/>
  <c r="H79" i="111"/>
  <c r="AD50" i="110"/>
  <c r="AD78" i="111"/>
  <c r="AD114" i="110"/>
  <c r="AD92" i="110"/>
  <c r="AC62" i="111"/>
  <c r="AC63" i="111"/>
  <c r="AH58" i="110"/>
  <c r="AJ58" i="110" s="1"/>
  <c r="AG15" i="111"/>
  <c r="AC54" i="110"/>
  <c r="AC15" i="110"/>
  <c r="AD42" i="111"/>
  <c r="AD101" i="111"/>
  <c r="AD82" i="111"/>
  <c r="C34" i="23"/>
  <c r="X79" i="111"/>
  <c r="X50" i="110"/>
  <c r="Y50" i="110"/>
  <c r="W31" i="110"/>
  <c r="W63" i="110"/>
  <c r="W68" i="110" s="1"/>
  <c r="AG24" i="111"/>
  <c r="V18" i="111"/>
  <c r="V59" i="111" s="1"/>
  <c r="AG34" i="111"/>
  <c r="AG96" i="111"/>
  <c r="AH59" i="110"/>
  <c r="AJ59" i="110" s="1"/>
  <c r="AH57" i="110"/>
  <c r="AJ57" i="110" s="1"/>
  <c r="V82" i="111"/>
  <c r="V114" i="110"/>
  <c r="V92" i="110"/>
  <c r="U101" i="111"/>
  <c r="U82" i="111"/>
  <c r="U114" i="110"/>
  <c r="U92" i="110"/>
  <c r="T31" i="110"/>
  <c r="T63" i="110"/>
  <c r="T71" i="111"/>
  <c r="AG36" i="111"/>
  <c r="N30" i="110"/>
  <c r="N15" i="110"/>
  <c r="N54" i="110"/>
  <c r="N79" i="111"/>
  <c r="O19" i="109"/>
  <c r="R19" i="109" s="1"/>
  <c r="AG31" i="111"/>
  <c r="C69" i="110"/>
  <c r="B50" i="110"/>
  <c r="AH98" i="110"/>
  <c r="AJ98" i="110" s="1"/>
  <c r="B68" i="110"/>
  <c r="B69" i="110"/>
  <c r="B62" i="111"/>
  <c r="C11" i="23"/>
  <c r="AA8" i="31"/>
  <c r="C72" i="111"/>
  <c r="C59" i="111"/>
  <c r="C26" i="111"/>
  <c r="C71" i="111"/>
  <c r="C84" i="111"/>
  <c r="C62" i="111"/>
  <c r="C67" i="111"/>
  <c r="C42" i="111"/>
  <c r="C68" i="110"/>
  <c r="Q79" i="111"/>
  <c r="L79" i="111"/>
  <c r="AA7" i="31"/>
  <c r="AA38" i="31" s="1"/>
  <c r="C10" i="23"/>
  <c r="X42" i="111"/>
  <c r="X73" i="111"/>
  <c r="X78" i="111" s="1"/>
  <c r="AG37" i="111"/>
  <c r="AA30" i="31"/>
  <c r="C33" i="23"/>
  <c r="S79" i="111"/>
  <c r="AB42" i="111"/>
  <c r="Y42" i="111"/>
  <c r="I79" i="111"/>
  <c r="M22" i="110"/>
  <c r="M88" i="110" s="1"/>
  <c r="AA12" i="31"/>
  <c r="C15" i="23"/>
  <c r="AF15" i="110"/>
  <c r="AF30" i="110"/>
  <c r="AF32" i="110" s="1"/>
  <c r="AF34" i="110" s="1"/>
  <c r="AF54" i="110"/>
  <c r="AF68" i="110" s="1"/>
  <c r="X31" i="110"/>
  <c r="X63" i="110"/>
  <c r="AA27" i="31"/>
  <c r="C30" i="23"/>
  <c r="AA15" i="31"/>
  <c r="C18" i="23"/>
  <c r="L33" i="109"/>
  <c r="D18" i="111"/>
  <c r="D59" i="111" s="1"/>
  <c r="C14" i="23"/>
  <c r="C38" i="23"/>
  <c r="AA35" i="31"/>
  <c r="P79" i="111"/>
  <c r="L42" i="111"/>
  <c r="T21" i="111"/>
  <c r="AG39" i="111"/>
  <c r="AA28" i="31"/>
  <c r="C31" i="23"/>
  <c r="AE50" i="110"/>
  <c r="AA13" i="31"/>
  <c r="C16" i="23"/>
  <c r="E15" i="110"/>
  <c r="E30" i="110"/>
  <c r="E32" i="110" s="1"/>
  <c r="E34" i="110" s="1"/>
  <c r="AA37" i="31"/>
  <c r="C40" i="23"/>
  <c r="W15" i="110"/>
  <c r="W30" i="110"/>
  <c r="C35" i="23"/>
  <c r="AA32" i="31"/>
  <c r="D30" i="109"/>
  <c r="O30" i="109" s="1"/>
  <c r="R30" i="109" s="1"/>
  <c r="L29" i="109"/>
  <c r="AD22" i="110"/>
  <c r="AD88" i="110" s="1"/>
  <c r="C50" i="110"/>
  <c r="X101" i="111"/>
  <c r="X82" i="111"/>
  <c r="AG54" i="111"/>
  <c r="AB22" i="110"/>
  <c r="AB88" i="110" s="1"/>
  <c r="AE79" i="111"/>
  <c r="AC42" i="111"/>
  <c r="AC79" i="111"/>
  <c r="W78" i="111"/>
  <c r="W79" i="111"/>
  <c r="W50" i="110"/>
  <c r="AH94" i="110"/>
  <c r="AJ94" i="110" s="1"/>
  <c r="C13" i="23"/>
  <c r="AA10" i="31"/>
  <c r="E22" i="111"/>
  <c r="E18" i="111"/>
  <c r="E59" i="111" s="1"/>
  <c r="AA16" i="31"/>
  <c r="C19" i="23"/>
  <c r="I62" i="110"/>
  <c r="I69" i="110" s="1"/>
  <c r="AH62" i="110"/>
  <c r="AJ62" i="110" s="1"/>
  <c r="Y69" i="110"/>
  <c r="V79" i="111"/>
  <c r="AE78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M78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A23" i="31"/>
  <c r="C26" i="23"/>
  <c r="AD18" i="111"/>
  <c r="AD59" i="111" s="1"/>
  <c r="AD21" i="111"/>
  <c r="AG23" i="111"/>
  <c r="Y79" i="111"/>
  <c r="AH65" i="110"/>
  <c r="AJ65" i="110" s="1"/>
  <c r="C39" i="23"/>
  <c r="AA36" i="31"/>
  <c r="T62" i="111"/>
  <c r="T42" i="111"/>
  <c r="D59" i="110"/>
  <c r="D50" i="110"/>
  <c r="K42" i="111"/>
  <c r="AH55" i="110"/>
  <c r="AJ55" i="110" s="1"/>
  <c r="N50" i="110"/>
  <c r="N58" i="110"/>
  <c r="Q50" i="110"/>
  <c r="R42" i="111"/>
  <c r="R68" i="111"/>
  <c r="R78" i="111" s="1"/>
  <c r="V73" i="111"/>
  <c r="V78" i="111" s="1"/>
  <c r="V42" i="111"/>
  <c r="S62" i="110"/>
  <c r="S50" i="110"/>
  <c r="T54" i="110"/>
  <c r="T30" i="110"/>
  <c r="T50" i="110"/>
  <c r="K30" i="110"/>
  <c r="K32" i="110" s="1"/>
  <c r="K34" i="110" s="1"/>
  <c r="K50" i="110"/>
  <c r="R9" i="31"/>
  <c r="G38" i="31"/>
  <c r="V31" i="110"/>
  <c r="V32" i="110" s="1"/>
  <c r="V34" i="110" s="1"/>
  <c r="V63" i="110"/>
  <c r="V68" i="110" s="1"/>
  <c r="V50" i="110"/>
  <c r="S42" i="111"/>
  <c r="U78" i="111"/>
  <c r="D34" i="109"/>
  <c r="O34" i="109" s="1"/>
  <c r="O25" i="111"/>
  <c r="O26" i="111" s="1"/>
  <c r="AG16" i="111"/>
  <c r="D35" i="109"/>
  <c r="O35" i="109" s="1"/>
  <c r="R35" i="109" s="1"/>
  <c r="U50" i="110"/>
  <c r="U62" i="110"/>
  <c r="W42" i="111"/>
  <c r="D22" i="110"/>
  <c r="D88" i="110" s="1"/>
  <c r="AG40" i="111"/>
  <c r="AA26" i="31"/>
  <c r="C29" i="23"/>
  <c r="K21" i="111"/>
  <c r="K18" i="111"/>
  <c r="K59" i="111" s="1"/>
  <c r="AA50" i="110"/>
  <c r="AA33" i="31"/>
  <c r="C36" i="23"/>
  <c r="T22" i="110"/>
  <c r="T88" i="110" s="1"/>
  <c r="T26" i="110"/>
  <c r="I30" i="110"/>
  <c r="I32" i="110" s="1"/>
  <c r="I34" i="110" s="1"/>
  <c r="I50" i="110"/>
  <c r="I54" i="110"/>
  <c r="D42" i="111"/>
  <c r="D68" i="111"/>
  <c r="AC30" i="110"/>
  <c r="AC50" i="110"/>
  <c r="E50" i="110"/>
  <c r="AG33" i="111"/>
  <c r="V22" i="110"/>
  <c r="V88" i="110" s="1"/>
  <c r="V26" i="110"/>
  <c r="V21" i="111"/>
  <c r="C32" i="23"/>
  <c r="AA29" i="31"/>
  <c r="S38" i="31"/>
  <c r="F21" i="111"/>
  <c r="I62" i="111"/>
  <c r="I78" i="111" s="1"/>
  <c r="I42" i="111"/>
  <c r="AG28" i="111"/>
  <c r="AA63" i="110"/>
  <c r="AA68" i="110" s="1"/>
  <c r="AA31" i="110"/>
  <c r="AA32" i="110" s="1"/>
  <c r="AA34" i="110" s="1"/>
  <c r="AG29" i="111"/>
  <c r="B42" i="111"/>
  <c r="N67" i="111"/>
  <c r="N42" i="111"/>
  <c r="K22" i="110"/>
  <c r="K88" i="110" s="1"/>
  <c r="K26" i="110"/>
  <c r="C37" i="23"/>
  <c r="C43" i="23" s="1"/>
  <c r="AA34" i="31"/>
  <c r="Q42" i="111"/>
  <c r="Q64" i="111"/>
  <c r="Q78" i="111" s="1"/>
  <c r="AG32" i="111"/>
  <c r="E42" i="111"/>
  <c r="T82" i="111"/>
  <c r="T101" i="111"/>
  <c r="G114" i="110"/>
  <c r="G92" i="110"/>
  <c r="D92" i="110"/>
  <c r="D114" i="110"/>
  <c r="G79" i="111"/>
  <c r="AH61" i="110"/>
  <c r="AJ61" i="110" s="1"/>
  <c r="AH91" i="110"/>
  <c r="AJ91" i="110" s="1"/>
  <c r="AH90" i="110"/>
  <c r="AJ90" i="110" s="1"/>
  <c r="E66" i="111"/>
  <c r="E75" i="111"/>
  <c r="E72" i="111"/>
  <c r="E73" i="111"/>
  <c r="E84" i="111"/>
  <c r="AG9" i="111"/>
  <c r="AG80" i="111" s="1"/>
  <c r="AI80" i="111" s="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Y78" i="111"/>
  <c r="Z79" i="111"/>
  <c r="U79" i="111"/>
  <c r="P114" i="110"/>
  <c r="P92" i="110"/>
  <c r="P101" i="111"/>
  <c r="P82" i="111"/>
  <c r="P78" i="111"/>
  <c r="O69" i="110"/>
  <c r="O79" i="111"/>
  <c r="AG52" i="111"/>
  <c r="O84" i="111"/>
  <c r="O68" i="110" l="1"/>
  <c r="M32" i="110"/>
  <c r="M34" i="110" s="1"/>
  <c r="N78" i="111"/>
  <c r="U32" i="110"/>
  <c r="U34" i="110" s="1"/>
  <c r="X68" i="110"/>
  <c r="X32" i="110"/>
  <c r="X34" i="110" s="1"/>
  <c r="N32" i="110"/>
  <c r="N34" i="110" s="1"/>
  <c r="AC32" i="110"/>
  <c r="AC34" i="110" s="1"/>
  <c r="S78" i="111"/>
  <c r="D79" i="111"/>
  <c r="B32" i="110"/>
  <c r="B34" i="110" s="1"/>
  <c r="J68" i="110"/>
  <c r="G32" i="110"/>
  <c r="G34" i="110" s="1"/>
  <c r="AC68" i="110"/>
  <c r="B79" i="111"/>
  <c r="B78" i="111"/>
  <c r="AG25" i="111"/>
  <c r="AB32" i="110"/>
  <c r="AB34" i="110" s="1"/>
  <c r="G68" i="110"/>
  <c r="D68" i="110"/>
  <c r="N68" i="110"/>
  <c r="AB68" i="110"/>
  <c r="T32" i="110"/>
  <c r="T34" i="110" s="1"/>
  <c r="AH60" i="110"/>
  <c r="AJ60" i="110" s="1"/>
  <c r="AJ69" i="110" s="1"/>
  <c r="AC78" i="111"/>
  <c r="T68" i="110"/>
  <c r="T79" i="111"/>
  <c r="W32" i="110"/>
  <c r="W34" i="110" s="1"/>
  <c r="AH63" i="110"/>
  <c r="AJ63" i="110" s="1"/>
  <c r="C79" i="111"/>
  <c r="I68" i="110"/>
  <c r="AG21" i="111"/>
  <c r="AG18" i="111"/>
  <c r="AG59" i="111" s="1"/>
  <c r="AI59" i="111" s="1"/>
  <c r="AG42" i="111"/>
  <c r="AH21" i="111"/>
  <c r="AJ21" i="111" s="1"/>
  <c r="J79" i="111"/>
  <c r="J78" i="111"/>
  <c r="T78" i="111"/>
  <c r="R34" i="109"/>
  <c r="O38" i="109"/>
  <c r="S69" i="110"/>
  <c r="S68" i="110"/>
  <c r="E79" i="111"/>
  <c r="AA9" i="31"/>
  <c r="C12" i="23"/>
  <c r="R38" i="31"/>
  <c r="AH54" i="110"/>
  <c r="AJ54" i="110" s="1"/>
  <c r="U69" i="110"/>
  <c r="U68" i="110"/>
  <c r="AI26" i="110"/>
  <c r="AK26" i="110" s="1"/>
  <c r="AH88" i="110"/>
  <c r="AJ88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2" i="111"/>
  <c r="AG64" i="111"/>
  <c r="AI64" i="111" s="1"/>
  <c r="AG69" i="111"/>
  <c r="AG81" i="111"/>
  <c r="AI81" i="111" s="1"/>
  <c r="AG73" i="111"/>
  <c r="AI73" i="111" s="1"/>
  <c r="AG72" i="111"/>
  <c r="AI72" i="111" s="1"/>
  <c r="AG71" i="111"/>
  <c r="AI71" i="111" s="1"/>
  <c r="AG84" i="111"/>
  <c r="AI84" i="111" s="1"/>
  <c r="E78" i="111"/>
  <c r="AG101" i="111"/>
  <c r="AG82" i="111"/>
  <c r="AI82" i="111" s="1"/>
  <c r="AH34" i="110" l="1"/>
  <c r="AH69" i="110"/>
  <c r="AH68" i="110"/>
  <c r="AI69" i="111"/>
  <c r="AI79" i="111" s="1"/>
  <c r="AG79" i="111"/>
  <c r="AI62" i="111"/>
  <c r="AJ68" i="110"/>
  <c r="D93" i="111" l="1"/>
  <c r="D63" i="111" s="1"/>
  <c r="D78" i="111" s="1"/>
  <c r="D15" i="110"/>
  <c r="C93" i="111" l="1"/>
  <c r="AH15" i="110"/>
  <c r="AJ15" i="110" s="1"/>
  <c r="C15" i="110"/>
  <c r="AG93" i="111" l="1"/>
  <c r="AG63" i="111" s="1"/>
  <c r="C63" i="111"/>
  <c r="C78" i="111" s="1"/>
  <c r="AI63" i="111" l="1"/>
  <c r="AG78" i="111"/>
  <c r="AI78" i="111" s="1"/>
  <c r="AH92" i="110" l="1"/>
  <c r="AJ92" i="110" s="1"/>
  <c r="AH114" i="1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AL3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Ellon:
Please insert CO2 readings from CO2 Gas Collection sheet. Readings should be 6:30 Hrs. Readings.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B20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CO2 was being pumped into Tank A and simultaneously being drawn from it. To confirm Log details.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R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Anthony Foresyth</author>
    <author>Delano Pasea</author>
  </authors>
  <commentList>
    <comment ref="H7" authorId="0" shapeId="0" xr:uid="{EBBED541-2155-4622-A3E5-748AACAA81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Independence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A1C9A660-678E-4352-8F76-764276A8E93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1100 kgs
Tank B 0 kgs 
Tank C 25700Kgs
Mobile aprox 0 kgs
</t>
        </r>
      </text>
    </comment>
    <comment ref="C74" authorId="2" shapeId="0" xr:uid="{45EEAC03-D9C1-4A7E-86B5-A37179F6E86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Unaccounted CO2
NMHU0000094</t>
        </r>
      </text>
    </comment>
    <comment ref="D74" authorId="2" shapeId="0" xr:uid="{A2BAE788-3337-4B3F-A9FE-F8F7762C693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1100 kgs
Tank B 0 kgs 
Tank C 25700Kgs
Mobile aprox 17400 kgs
</t>
        </r>
      </text>
    </comment>
    <comment ref="E74" authorId="2" shapeId="0" xr:uid="{339393E7-3D4A-4A18-B582-EE2722340BDA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24900Kgs
Mobile aprox 17400 kgs
</t>
        </r>
      </text>
    </comment>
    <comment ref="F74" authorId="2" shapeId="0" xr:uid="{B973B9E9-1FF3-4D76-9728-CB71098E7EC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1750 kgs 
Tank C 24100Kgs
Mobile aprox 0 kgs
</t>
        </r>
      </text>
    </comment>
    <comment ref="G74" authorId="2" shapeId="0" xr:uid="{5FCA8130-DBFB-4F93-8A88-AAA67F3CC7E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1750 kgs 
Tank C 24100Kgs
Mobile aprox 0 kgs
</t>
        </r>
      </text>
    </comment>
    <comment ref="I74" authorId="2" shapeId="0" xr:uid="{1FA7B1E6-DA1D-49D4-96F4-A44E898C628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11100 kgs
Tank B 0 kgs 
Tank C 24100Kgs
Mobile aprox 0 kgs
</t>
        </r>
      </text>
    </comment>
    <comment ref="J74" authorId="2" shapeId="0" xr:uid="{5E4D27B3-3196-4AAA-BB6E-7EF994AE5C7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11100 kgs
Tank B 0 kgs 
Tank C 24100Kgs
Mobile aprox 0 kgs
</t>
        </r>
      </text>
    </comment>
    <comment ref="K74" authorId="2" shapeId="0" xr:uid="{EE88B258-F0EF-4AB6-8B3C-B1C1AD81A58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10400 kgs
Tank B 0 kgs 
Tank C 24100Kgs
Mobile aprox 0 kgs
</t>
        </r>
      </text>
    </comment>
    <comment ref="L74" authorId="2" shapeId="0" xr:uid="{4E23A5CE-E6CE-455C-83A6-49CFAF44DB2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8700 kgs
Tank B 0 kgs 
Tank C 24100Kgs
Mobile aprox 0 kgs
</t>
        </r>
      </text>
    </comment>
    <comment ref="M74" authorId="2" shapeId="0" xr:uid="{A5E690EC-F67E-451F-AC12-97584D3F80D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6300 kgs
Tank B 0 kgs 
Tank C 24100Kgs
Mobile aprox 0 kgs
</t>
        </r>
      </text>
    </comment>
    <comment ref="N74" authorId="2" shapeId="0" xr:uid="{D7679254-5F6A-4ADE-B01F-0E1ECC90B91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3900 kgs
Tank B 0 kgs 
Tank C 24100Kgs
Mobile aprox 0 kgs
</t>
        </r>
      </text>
    </comment>
    <comment ref="O74" authorId="2" shapeId="0" xr:uid="{13FCAFF6-BC6B-4804-AAE1-ED96CED6B82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1400 kgs
Tank B 0 kgs 
Tank C 24100Kgs
Mobile aprox 0 kgs
</t>
        </r>
      </text>
    </comment>
    <comment ref="P74" authorId="2" shapeId="0" xr:uid="{68DC84A9-17D6-4788-B17C-D095E93AC29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23200Kgs
Mobile aprox 21500 kgs
</t>
        </r>
      </text>
    </comment>
    <comment ref="R74" authorId="2" shapeId="0" xr:uid="{9D9812D5-77F3-44A4-81EF-20C207F1CA2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23200Kgs
Mobile aprox 19100 kgs
</t>
        </r>
      </text>
    </comment>
    <comment ref="S74" authorId="2" shapeId="0" xr:uid="{0C53277B-D6C2-4771-B9FA-B1A52AA79BB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4900 kgs 
Tank C 21600Kgs
Mobile aprox 0 kgs
</t>
        </r>
      </text>
    </comment>
    <comment ref="T74" authorId="2" shapeId="0" xr:uid="{48ED22AB-2CBF-4A63-AA32-432FECF1B2D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3300 kgs 
Tank C 21600Kgs
Mobile aprox 0 kgs
</t>
        </r>
      </text>
    </comment>
    <comment ref="U74" authorId="2" shapeId="0" xr:uid="{B1FA4810-1857-4642-99D4-2577AEE0FC6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2000kgs 
Tank C 21600Kgs
Mobile aprox 0 kgs
</t>
        </r>
      </text>
    </comment>
    <comment ref="V74" authorId="2" shapeId="0" xr:uid="{99E29F2E-ABBD-4A37-854B-0F7CFC82ADF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11400 kgs
Tank B 0kgs 
Tank C 21600Kgs
Mobile aprox 0 kgs
</t>
        </r>
      </text>
    </comment>
    <comment ref="W74" authorId="2" shapeId="0" xr:uid="{A884308E-FA62-47AF-B5D7-B90EC09DF74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9900 kgs
Tank B 0 kgs 
Tank C 21600Kgs
Mobile aprox 0 kgs
</t>
        </r>
      </text>
    </comment>
    <comment ref="X74" authorId="2" shapeId="0" xr:uid="{53F634FC-2D32-4BE6-B13C-FF354F536B8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9900 kgs
Tank B 0 kgs 
Tank C 21600Kgs
Mobile aprox 0 kgs
</t>
        </r>
      </text>
    </comment>
    <comment ref="Y74" authorId="2" shapeId="0" xr:uid="{D9146484-632A-499A-87D1-82F95575672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9900 kgs
Tank B 0 kgs 
Tank C 21600Kgs
Mobile aprox 0 kgs
</t>
        </r>
      </text>
    </comment>
    <comment ref="Z74" authorId="2" shapeId="0" xr:uid="{955D6E9D-56B4-4BE9-875A-663838FF5B9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8300 kgs
Tank B 0 kgs 
Tank C 21600Kgs
Mobile aprox 0 kgs
</t>
        </r>
      </text>
    </comment>
    <comment ref="AA74" authorId="2" shapeId="0" xr:uid="{1867EEA4-C13F-48CC-A08E-F778BBCFBD7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5900 kgs
Tank B 0 kgs 
Tank C 21600Kgs
Mobile aprox 0 kgs
</t>
        </r>
      </text>
    </comment>
    <comment ref="AB74" authorId="2" shapeId="0" xr:uid="{C3E57F20-9EA3-4AC9-8974-6AEF790712A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3700 kgs
Tank B 0 kgs 
Tank C 21600Kgs
Mobile aprox 0 kgs
</t>
        </r>
      </text>
    </comment>
    <comment ref="AC74" authorId="2" shapeId="0" xr:uid="{35889256-7972-401C-BC63-04BE361FBD5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1800 kgs
Tank B 0 kgs 
Tank C 21600Kgs
Mobile aprox 0 kgs
</t>
        </r>
      </text>
    </comment>
    <comment ref="AD74" authorId="2" shapeId="0" xr:uid="{CD9244E9-4956-4BFF-9EA5-D255FD729DEC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20800Kgs
Mobile aprox 0 kgs
</t>
        </r>
      </text>
    </comment>
  </commentList>
</comments>
</file>

<file path=xl/sharedStrings.xml><?xml version="1.0" encoding="utf-8"?>
<sst xmlns="http://schemas.openxmlformats.org/spreadsheetml/2006/main" count="586" uniqueCount="296">
  <si>
    <t>UTILITY ANALYSIS</t>
  </si>
  <si>
    <t>GRENADA BREWERIES LIMITED</t>
  </si>
  <si>
    <t>MONTH:</t>
  </si>
  <si>
    <t>ELECTRICITY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</si>
  <si>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</si>
  <si>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</si>
  <si>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</si>
  <si>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</si>
  <si>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</si>
  <si>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</si>
  <si>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</si>
  <si>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</si>
  <si>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</si>
  <si>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</si>
  <si>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</si>
  <si>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</si>
  <si>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</si>
  <si>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</si>
  <si>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</si>
  <si>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</si>
  <si>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</si>
  <si>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</si>
  <si>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</si>
  <si>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</si>
  <si>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</si>
  <si>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</si>
  <si>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</si>
  <si>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</si>
  <si>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</si>
  <si>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</si>
  <si>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</si>
  <si>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</si>
  <si>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</si>
  <si>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(l)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</si>
  <si>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</si>
  <si>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</si>
  <si>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</si>
  <si>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</si>
  <si>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</si>
  <si>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</si>
  <si>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</si>
  <si>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</si>
  <si>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</si>
  <si>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</si>
  <si>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</si>
  <si>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</si>
  <si>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TOTAL Prod.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</si>
  <si>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</si>
  <si>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</si>
  <si>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</si>
  <si>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</si>
  <si>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</si>
  <si>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</si>
  <si>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</si>
  <si>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</si>
  <si>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</si>
  <si>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</si>
  <si>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</si>
  <si>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</si>
  <si>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</si>
  <si>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 xml:space="preserve"> Collection </t>
  </si>
  <si>
    <t>Consumption</t>
  </si>
  <si>
    <t>Meter (kg)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</si>
  <si>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</si>
  <si>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</si>
  <si>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</si>
  <si>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</si>
  <si>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</si>
  <si>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</si>
  <si>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</si>
  <si>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</si>
  <si>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</si>
  <si>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</si>
  <si>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</si>
  <si>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</si>
  <si>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</si>
  <si>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</si>
  <si>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</si>
  <si>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</si>
  <si>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</si>
  <si>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</si>
  <si>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</si>
  <si>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</si>
  <si>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</si>
  <si>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</si>
  <si>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</si>
  <si>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Plant Cons (Hl.)</t>
  </si>
  <si>
    <t>Water KPI (Hl/Hl)</t>
  </si>
  <si>
    <t>KEGS (Hl)</t>
  </si>
  <si>
    <t>BOTTLED (Hl)</t>
  </si>
  <si>
    <t>CO2 ( Kg./Hl.)</t>
  </si>
  <si>
    <t>Total Cons. (Kg.)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</si>
  <si>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</si>
  <si>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</si>
  <si>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</si>
  <si>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</si>
  <si>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</si>
  <si>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</si>
  <si>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</si>
  <si>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</si>
  <si>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</si>
  <si>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</si>
  <si>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</si>
  <si>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</si>
  <si>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</si>
  <si>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</si>
  <si>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</si>
  <si>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</si>
  <si>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</si>
  <si>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</si>
  <si>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</si>
  <si>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</si>
  <si>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</si>
  <si>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</si>
  <si>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</si>
  <si>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</si>
  <si>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</si>
  <si>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</si>
  <si>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Cons.</t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</si>
  <si>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</si>
  <si>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</si>
  <si>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</si>
  <si>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</si>
  <si>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</si>
  <si>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</si>
  <si>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</si>
  <si>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</si>
  <si>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</si>
  <si>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</si>
  <si>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</si>
  <si>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</si>
  <si>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</si>
  <si>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</si>
  <si>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</si>
  <si>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</si>
  <si>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</si>
  <si>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</si>
  <si>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</si>
  <si>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</si>
  <si>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</si>
  <si>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</si>
  <si>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</si>
  <si>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</si>
  <si>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</si>
  <si>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</si>
  <si>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</si>
  <si>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</si>
  <si>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</si>
  <si>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</si>
  <si>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</si>
  <si>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</si>
  <si>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</si>
  <si>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</si>
  <si>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</si>
  <si>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</si>
  <si>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</si>
  <si>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</si>
  <si>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</si>
  <si>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</si>
  <si>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</si>
  <si>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</si>
  <si>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</si>
  <si>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</si>
  <si>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</si>
  <si>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</si>
  <si>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</si>
  <si>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t>time</t>
  </si>
  <si>
    <t>Usage</t>
  </si>
  <si>
    <t>Time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</si>
  <si>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</si>
  <si>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</si>
  <si>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</si>
  <si>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Collection</t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</si>
  <si>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</si>
  <si>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</si>
  <si>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</si>
  <si>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</si>
  <si>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</si>
  <si>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</si>
  <si>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</si>
  <si>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</si>
  <si>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</si>
  <si>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</si>
  <si>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</si>
  <si>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</si>
  <si>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</si>
  <si>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</si>
  <si>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</si>
  <si>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</si>
  <si>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</si>
  <si>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</si>
  <si>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</si>
  <si>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</si>
  <si>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</si>
  <si>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</si>
  <si>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</si>
  <si>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</si>
  <si>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</si>
  <si>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</si>
  <si>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</si>
  <si>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</si>
  <si>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Inside Tank</t>
  </si>
  <si>
    <t>(Lbs.)</t>
  </si>
  <si>
    <t>(Kg.)</t>
  </si>
  <si>
    <t>Tank A</t>
  </si>
  <si>
    <t>Tank B</t>
  </si>
  <si>
    <t>Mobile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</si>
  <si>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</si>
  <si>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</si>
  <si>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</si>
  <si>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</si>
  <si>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</si>
  <si>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</si>
  <si>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</si>
  <si>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</si>
  <si>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</si>
  <si>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</si>
  <si>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</si>
  <si>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</si>
  <si>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</si>
  <si>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</si>
  <si>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</si>
  <si>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</si>
  <si>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</si>
  <si>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</si>
  <si>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</si>
  <si>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</si>
  <si>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</si>
  <si>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</si>
  <si>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</si>
  <si>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</si>
  <si>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</si>
  <si>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DAILY FUEL CONSUMPTION FOR  Mar. '12</t>
  </si>
  <si>
    <t>CO2 Daily Consumption for MAR. '12</t>
  </si>
  <si>
    <t>PRODUCTION FOR MAR. 2012</t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</si>
  <si>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</si>
  <si>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</si>
  <si>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</si>
  <si>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</si>
  <si>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</si>
  <si>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</si>
  <si>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</si>
  <si>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</si>
  <si>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</si>
  <si>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</si>
  <si>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</si>
  <si>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</si>
  <si>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</si>
  <si>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</si>
  <si>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</si>
  <si>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</si>
  <si>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</si>
  <si>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</si>
  <si>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</si>
  <si>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</si>
  <si>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</si>
  <si>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</si>
  <si>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</si>
  <si>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DAILY  ELECTRICITY  CONSUMPTION FOR  Oct. 20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</si>
  <si>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</si>
  <si>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</si>
  <si>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</si>
  <si>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`</t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</si>
  <si>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</si>
  <si>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</si>
  <si>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</si>
  <si>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</si>
  <si>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</si>
  <si>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t>Stag/Carib</t>
  </si>
  <si>
    <t>Carib</t>
  </si>
  <si>
    <t xml:space="preserve">Guinn/Carib </t>
  </si>
  <si>
    <t>VMCl/Ginger/Stag</t>
  </si>
  <si>
    <t>CB/GN</t>
  </si>
  <si>
    <t>GN/Pils/ST</t>
  </si>
  <si>
    <t>ST/CB</t>
  </si>
  <si>
    <t>Carib/Stag</t>
  </si>
  <si>
    <t>CB/ST/CB</t>
  </si>
  <si>
    <t>Starmalt/ Carib</t>
  </si>
  <si>
    <t>CB/ST</t>
  </si>
  <si>
    <t>SM/GN</t>
  </si>
  <si>
    <t>Stag</t>
  </si>
  <si>
    <t>CB/CbeR/CbeP</t>
  </si>
  <si>
    <t>Vitamalt/ Guinn</t>
  </si>
  <si>
    <t>Carib/ Vitamalt</t>
  </si>
  <si>
    <t>Guinn/ Stag</t>
  </si>
  <si>
    <t>Sh.Gin/ Ting/ Sh. Sor</t>
  </si>
  <si>
    <t xml:space="preserve"> Stag/Carib</t>
  </si>
  <si>
    <t>Sh.So/VM/Jcool</t>
  </si>
  <si>
    <t>Jcool/CB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</si>
  <si>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</si>
  <si>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(Filler)</t>
    </r>
  </si>
  <si>
    <t>CB</t>
  </si>
  <si>
    <t>Carib/ Stag</t>
  </si>
  <si>
    <t>CB/GUINN/CB</t>
  </si>
  <si>
    <t>DAILY WATER CONSUMPTION FOR FEBRUARY 2025</t>
  </si>
  <si>
    <t>Stag/ Carib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</si>
</sst>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2"/>
      <color indexed="12"/>
      <name val="Arial"/>
      <family val="2"/>
    </font>
    <font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sz val="12"/>
      <color indexed="81"/>
      <name val="Tahoma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u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rgb="FF170EC2"/>
      <name val="Arial"/>
      <family val="2"/>
    </font>
    <font>
      <b/>
      <sz val="20"/>
      <color theme="5" tint="-0.249977111117893"/>
      <name val="Arial"/>
      <family val="2"/>
    </font>
    <font>
      <sz val="12"/>
      <color indexed="81"/>
      <name val="Tahoma"/>
      <family val="2"/>
    </font>
    <font>
      <b/>
      <sz val="20"/>
      <color theme="9" tint="-0.249977111117893"/>
      <name val="Arial"/>
      <family val="2"/>
    </font>
    <font>
      <b/>
      <sz val="20"/>
      <color rgb="FF00B050"/>
      <name val="Arial"/>
      <family val="2"/>
    </font>
    <font>
      <b/>
      <sz val="20"/>
      <color rgb="FF00A44A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rgb="FFFFFF00"/>
      </patternFill>
    </fill>
  </fills>
  <borders count="8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medium">
        <color indexed="8"/>
      </left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53" fillId="0" borderId="0" applyFont="0" applyFill="0" applyBorder="0" applyAlignment="0" applyProtection="0"/>
    <xf numFmtId="172" fontId="1" fillId="0" borderId="0"/>
  </cellStyleXfs>
  <cellXfs count="757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0" fontId="7" fillId="0" borderId="1" xfId="3" applyBorder="1" applyAlignment="1">
      <alignment horizontal="center"/>
    </xf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2" fontId="10" fillId="0" borderId="2" xfId="3" applyNumberFormat="1" applyFont="1" applyBorder="1" applyAlignment="1">
      <alignment horizontal="center"/>
    </xf>
    <xf numFmtId="0" fontId="10" fillId="0" borderId="3" xfId="3" applyFont="1" applyBorder="1" applyAlignment="1">
      <alignment horizontal="center"/>
    </xf>
    <xf numFmtId="0" fontId="4" fillId="0" borderId="0" xfId="3" applyFont="1"/>
    <xf numFmtId="0" fontId="10" fillId="0" borderId="0" xfId="3" applyFont="1" applyAlignment="1">
      <alignment horizontal="center"/>
    </xf>
    <xf numFmtId="0" fontId="10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3" applyFont="1"/>
    <xf numFmtId="0" fontId="13" fillId="0" borderId="0" xfId="3" applyFont="1"/>
    <xf numFmtId="3" fontId="7" fillId="0" borderId="0" xfId="3" applyNumberFormat="1" applyAlignment="1">
      <alignment horizontal="center"/>
    </xf>
    <xf numFmtId="37" fontId="7" fillId="0" borderId="4" xfId="3" applyNumberFormat="1" applyBorder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4" fillId="0" borderId="7" xfId="3" applyFont="1" applyBorder="1"/>
    <xf numFmtId="3" fontId="9" fillId="0" borderId="0" xfId="3" applyNumberFormat="1" applyFont="1" applyAlignment="1">
      <alignment horizontal="center"/>
    </xf>
    <xf numFmtId="0" fontId="9" fillId="0" borderId="0" xfId="3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37" fontId="7" fillId="0" borderId="9" xfId="0" quotePrefix="1" applyNumberFormat="1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4" fontId="7" fillId="0" borderId="0" xfId="3" applyNumberFormat="1"/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0" borderId="0" xfId="3" applyFont="1" applyAlignment="1">
      <alignment horizontal="center"/>
    </xf>
    <xf numFmtId="0" fontId="10" fillId="3" borderId="9" xfId="0" applyFont="1" applyFill="1" applyBorder="1" applyAlignment="1">
      <alignment horizontal="center"/>
    </xf>
    <xf numFmtId="3" fontId="10" fillId="3" borderId="9" xfId="0" applyNumberFormat="1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7" fontId="7" fillId="0" borderId="5" xfId="0" quotePrefix="1" applyNumberFormat="1" applyFont="1" applyBorder="1" applyAlignment="1">
      <alignment horizontal="center"/>
    </xf>
    <xf numFmtId="3" fontId="10" fillId="3" borderId="5" xfId="0" applyNumberFormat="1" applyFont="1" applyFill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37" fontId="7" fillId="0" borderId="5" xfId="3" applyNumberFormat="1" applyBorder="1" applyAlignment="1">
      <alignment horizontal="center"/>
    </xf>
    <xf numFmtId="0" fontId="21" fillId="4" borderId="12" xfId="3" applyFont="1" applyFill="1" applyBorder="1"/>
    <xf numFmtId="0" fontId="21" fillId="4" borderId="13" xfId="3" applyFont="1" applyFill="1" applyBorder="1"/>
    <xf numFmtId="0" fontId="21" fillId="4" borderId="14" xfId="3" applyFont="1" applyFill="1" applyBorder="1"/>
    <xf numFmtId="0" fontId="22" fillId="4" borderId="14" xfId="3" applyFont="1" applyFill="1" applyBorder="1"/>
    <xf numFmtId="0" fontId="21" fillId="4" borderId="15" xfId="3" applyFont="1" applyFill="1" applyBorder="1"/>
    <xf numFmtId="0" fontId="22" fillId="4" borderId="15" xfId="3" applyFont="1" applyFill="1" applyBorder="1"/>
    <xf numFmtId="0" fontId="21" fillId="4" borderId="16" xfId="3" applyFont="1" applyFill="1" applyBorder="1"/>
    <xf numFmtId="0" fontId="21" fillId="4" borderId="1" xfId="3" applyFont="1" applyFill="1" applyBorder="1"/>
    <xf numFmtId="0" fontId="21" fillId="4" borderId="0" xfId="3" applyFont="1" applyFill="1"/>
    <xf numFmtId="0" fontId="21" fillId="4" borderId="0" xfId="3" applyFont="1" applyFill="1" applyAlignment="1">
      <alignment horizontal="center"/>
    </xf>
    <xf numFmtId="0" fontId="21" fillId="4" borderId="17" xfId="3" applyFont="1" applyFill="1" applyBorder="1" applyAlignment="1">
      <alignment horizontal="center"/>
    </xf>
    <xf numFmtId="0" fontId="21" fillId="4" borderId="1" xfId="3" applyFont="1" applyFill="1" applyBorder="1" applyAlignment="1">
      <alignment horizontal="center"/>
    </xf>
    <xf numFmtId="0" fontId="21" fillId="4" borderId="18" xfId="3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3" fontId="7" fillId="5" borderId="5" xfId="0" applyNumberFormat="1" applyFont="1" applyFill="1" applyBorder="1" applyAlignment="1">
      <alignment horizontal="center"/>
    </xf>
    <xf numFmtId="37" fontId="7" fillId="5" borderId="5" xfId="3" applyNumberFormat="1" applyFill="1" applyBorder="1" applyAlignment="1">
      <alignment horizontal="center"/>
    </xf>
    <xf numFmtId="3" fontId="10" fillId="5" borderId="5" xfId="0" applyNumberFormat="1" applyFont="1" applyFill="1" applyBorder="1" applyAlignment="1">
      <alignment horizontal="center"/>
    </xf>
    <xf numFmtId="3" fontId="7" fillId="5" borderId="5" xfId="0" quotePrefix="1" applyNumberFormat="1" applyFont="1" applyFill="1" applyBorder="1" applyAlignment="1">
      <alignment horizontal="center"/>
    </xf>
    <xf numFmtId="3" fontId="10" fillId="5" borderId="19" xfId="0" applyNumberFormat="1" applyFont="1" applyFill="1" applyBorder="1" applyAlignment="1">
      <alignment horizontal="center"/>
    </xf>
    <xf numFmtId="3" fontId="10" fillId="5" borderId="9" xfId="0" applyNumberFormat="1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14" fillId="5" borderId="9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37" fontId="7" fillId="5" borderId="5" xfId="0" quotePrefix="1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3" fontId="10" fillId="5" borderId="3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24" fillId="4" borderId="20" xfId="0" applyFont="1" applyFill="1" applyBorder="1" applyAlignment="1">
      <alignment horizontal="center"/>
    </xf>
    <xf numFmtId="0" fontId="25" fillId="4" borderId="11" xfId="0" applyFont="1" applyFill="1" applyBorder="1" applyAlignment="1">
      <alignment horizontal="center"/>
    </xf>
    <xf numFmtId="0" fontId="24" fillId="4" borderId="21" xfId="0" applyFont="1" applyFill="1" applyBorder="1" applyAlignment="1">
      <alignment horizontal="center"/>
    </xf>
    <xf numFmtId="0" fontId="25" fillId="4" borderId="22" xfId="0" applyFont="1" applyFill="1" applyBorder="1" applyAlignment="1">
      <alignment horizontal="center"/>
    </xf>
    <xf numFmtId="0" fontId="26" fillId="4" borderId="23" xfId="0" applyFont="1" applyFill="1" applyBorder="1" applyAlignment="1">
      <alignment horizontal="center"/>
    </xf>
    <xf numFmtId="0" fontId="24" fillId="4" borderId="24" xfId="0" applyFont="1" applyFill="1" applyBorder="1" applyAlignment="1">
      <alignment horizontal="center"/>
    </xf>
    <xf numFmtId="0" fontId="24" fillId="4" borderId="25" xfId="0" applyFont="1" applyFill="1" applyBorder="1" applyAlignment="1">
      <alignment horizontal="center"/>
    </xf>
    <xf numFmtId="0" fontId="24" fillId="4" borderId="26" xfId="0" applyFont="1" applyFill="1" applyBorder="1" applyAlignment="1">
      <alignment horizontal="center"/>
    </xf>
    <xf numFmtId="0" fontId="25" fillId="4" borderId="26" xfId="0" applyFont="1" applyFill="1" applyBorder="1" applyAlignment="1">
      <alignment horizontal="center"/>
    </xf>
    <xf numFmtId="0" fontId="25" fillId="4" borderId="21" xfId="0" applyFont="1" applyFill="1" applyBorder="1" applyAlignment="1">
      <alignment horizontal="center"/>
    </xf>
    <xf numFmtId="0" fontId="24" fillId="4" borderId="27" xfId="0" applyFont="1" applyFill="1" applyBorder="1" applyAlignment="1">
      <alignment horizontal="center"/>
    </xf>
    <xf numFmtId="0" fontId="24" fillId="4" borderId="19" xfId="0" applyFont="1" applyFill="1" applyBorder="1" applyAlignment="1">
      <alignment horizontal="center"/>
    </xf>
    <xf numFmtId="0" fontId="24" fillId="4" borderId="28" xfId="0" applyFont="1" applyFill="1" applyBorder="1" applyAlignment="1">
      <alignment horizontal="center"/>
    </xf>
    <xf numFmtId="0" fontId="24" fillId="4" borderId="29" xfId="0" applyFont="1" applyFill="1" applyBorder="1" applyAlignment="1">
      <alignment horizontal="center"/>
    </xf>
    <xf numFmtId="0" fontId="24" fillId="4" borderId="30" xfId="0" applyFont="1" applyFill="1" applyBorder="1" applyAlignment="1">
      <alignment horizontal="center"/>
    </xf>
    <xf numFmtId="0" fontId="24" fillId="4" borderId="31" xfId="0" applyFont="1" applyFill="1" applyBorder="1" applyAlignment="1">
      <alignment horizontal="center"/>
    </xf>
    <xf numFmtId="0" fontId="25" fillId="4" borderId="32" xfId="0" applyFont="1" applyFill="1" applyBorder="1" applyAlignment="1">
      <alignment horizontal="center"/>
    </xf>
    <xf numFmtId="0" fontId="25" fillId="4" borderId="33" xfId="0" applyFont="1" applyFill="1" applyBorder="1" applyAlignment="1">
      <alignment horizontal="center"/>
    </xf>
    <xf numFmtId="0" fontId="25" fillId="4" borderId="34" xfId="0" applyFont="1" applyFill="1" applyBorder="1" applyAlignment="1">
      <alignment horizontal="center"/>
    </xf>
    <xf numFmtId="0" fontId="2" fillId="5" borderId="11" xfId="0" applyFont="1" applyFill="1" applyBorder="1"/>
    <xf numFmtId="0" fontId="2" fillId="5" borderId="34" xfId="0" applyFont="1" applyFill="1" applyBorder="1"/>
    <xf numFmtId="0" fontId="2" fillId="0" borderId="11" xfId="0" applyFont="1" applyBorder="1"/>
    <xf numFmtId="0" fontId="2" fillId="0" borderId="34" xfId="0" applyFont="1" applyBorder="1"/>
    <xf numFmtId="0" fontId="2" fillId="5" borderId="2" xfId="0" applyFont="1" applyFill="1" applyBorder="1"/>
    <xf numFmtId="0" fontId="2" fillId="5" borderId="35" xfId="0" applyFont="1" applyFill="1" applyBorder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5" fillId="2" borderId="5" xfId="3" applyFont="1" applyFill="1" applyBorder="1" applyAlignment="1">
      <alignment horizontal="center"/>
    </xf>
    <xf numFmtId="37" fontId="15" fillId="2" borderId="5" xfId="3" applyNumberFormat="1" applyFont="1" applyFill="1" applyBorder="1" applyAlignment="1">
      <alignment horizontal="center"/>
    </xf>
    <xf numFmtId="2" fontId="15" fillId="2" borderId="5" xfId="3" applyNumberFormat="1" applyFont="1" applyFill="1" applyBorder="1" applyAlignment="1">
      <alignment horizontal="center"/>
    </xf>
    <xf numFmtId="0" fontId="21" fillId="4" borderId="32" xfId="3" applyFont="1" applyFill="1" applyBorder="1" applyAlignment="1">
      <alignment horizontal="center"/>
    </xf>
    <xf numFmtId="0" fontId="21" fillId="4" borderId="36" xfId="3" applyFont="1" applyFill="1" applyBorder="1" applyAlignment="1">
      <alignment horizontal="center"/>
    </xf>
    <xf numFmtId="0" fontId="21" fillId="4" borderId="33" xfId="3" applyFont="1" applyFill="1" applyBorder="1" applyAlignment="1">
      <alignment horizontal="center"/>
    </xf>
    <xf numFmtId="0" fontId="21" fillId="4" borderId="11" xfId="3" applyFont="1" applyFill="1" applyBorder="1" applyAlignment="1">
      <alignment horizontal="center"/>
    </xf>
    <xf numFmtId="0" fontId="28" fillId="4" borderId="0" xfId="3" applyFont="1" applyFill="1" applyAlignment="1">
      <alignment horizontal="center"/>
    </xf>
    <xf numFmtId="0" fontId="24" fillId="4" borderId="34" xfId="3" applyFont="1" applyFill="1" applyBorder="1" applyAlignment="1">
      <alignment horizontal="center"/>
    </xf>
    <xf numFmtId="0" fontId="21" fillId="4" borderId="2" xfId="3" applyFont="1" applyFill="1" applyBorder="1" applyAlignment="1">
      <alignment horizontal="center"/>
    </xf>
    <xf numFmtId="37" fontId="21" fillId="4" borderId="37" xfId="3" applyNumberFormat="1" applyFont="1" applyFill="1" applyBorder="1" applyAlignment="1">
      <alignment horizontal="center"/>
    </xf>
    <xf numFmtId="0" fontId="21" fillId="4" borderId="37" xfId="3" applyFont="1" applyFill="1" applyBorder="1" applyAlignment="1">
      <alignment horizontal="center"/>
    </xf>
    <xf numFmtId="0" fontId="24" fillId="4" borderId="35" xfId="3" applyFont="1" applyFill="1" applyBorder="1" applyAlignment="1">
      <alignment horizontal="center"/>
    </xf>
    <xf numFmtId="0" fontId="7" fillId="0" borderId="2" xfId="3" applyBorder="1" applyAlignment="1">
      <alignment horizontal="center"/>
    </xf>
    <xf numFmtId="37" fontId="7" fillId="0" borderId="38" xfId="3" applyNumberFormat="1" applyBorder="1" applyAlignment="1">
      <alignment horizontal="center"/>
    </xf>
    <xf numFmtId="0" fontId="29" fillId="0" borderId="0" xfId="3" applyFont="1"/>
    <xf numFmtId="0" fontId="30" fillId="0" borderId="5" xfId="3" applyFont="1" applyBorder="1" applyAlignment="1">
      <alignment horizontal="center"/>
    </xf>
    <xf numFmtId="37" fontId="30" fillId="0" borderId="6" xfId="3" applyNumberFormat="1" applyFont="1" applyBorder="1" applyAlignment="1">
      <alignment horizontal="center"/>
    </xf>
    <xf numFmtId="37" fontId="30" fillId="0" borderId="39" xfId="3" applyNumberFormat="1" applyFont="1" applyBorder="1" applyAlignment="1">
      <alignment horizontal="center"/>
    </xf>
    <xf numFmtId="2" fontId="30" fillId="0" borderId="2" xfId="3" applyNumberFormat="1" applyFont="1" applyBorder="1" applyAlignment="1">
      <alignment horizontal="center"/>
    </xf>
    <xf numFmtId="0" fontId="30" fillId="0" borderId="3" xfId="3" applyFont="1" applyBorder="1" applyAlignment="1">
      <alignment horizontal="center"/>
    </xf>
    <xf numFmtId="0" fontId="30" fillId="0" borderId="0" xfId="3" applyFont="1"/>
    <xf numFmtId="37" fontId="31" fillId="0" borderId="0" xfId="3" applyNumberFormat="1" applyFont="1" applyAlignment="1">
      <alignment horizontal="center"/>
    </xf>
    <xf numFmtId="0" fontId="30" fillId="0" borderId="0" xfId="3" applyFont="1" applyAlignment="1">
      <alignment horizontal="center"/>
    </xf>
    <xf numFmtId="0" fontId="31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3" fontId="29" fillId="0" borderId="0" xfId="3" applyNumberFormat="1" applyFont="1" applyAlignment="1">
      <alignment horizont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4" xfId="3" applyFont="1" applyFill="1" applyBorder="1" applyAlignment="1">
      <alignment horizontal="center" vertical="center" wrapText="1"/>
    </xf>
    <xf numFmtId="0" fontId="15" fillId="0" borderId="41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3" fontId="15" fillId="0" borderId="6" xfId="3" applyNumberFormat="1" applyFont="1" applyBorder="1"/>
    <xf numFmtId="3" fontId="15" fillId="0" borderId="7" xfId="3" applyNumberFormat="1" applyFont="1" applyBorder="1" applyAlignment="1">
      <alignment horizontal="center"/>
    </xf>
    <xf numFmtId="3" fontId="15" fillId="0" borderId="39" xfId="3" applyNumberFormat="1" applyFont="1" applyBorder="1"/>
    <xf numFmtId="0" fontId="15" fillId="0" borderId="42" xfId="3" applyFont="1" applyBorder="1" applyAlignment="1">
      <alignment horizontal="center"/>
    </xf>
    <xf numFmtId="3" fontId="33" fillId="0" borderId="0" xfId="3" applyNumberFormat="1" applyFont="1" applyAlignment="1">
      <alignment horizontal="center"/>
    </xf>
    <xf numFmtId="0" fontId="21" fillId="4" borderId="43" xfId="3" applyFont="1" applyFill="1" applyBorder="1" applyAlignment="1">
      <alignment horizontal="center"/>
    </xf>
    <xf numFmtId="2" fontId="24" fillId="4" borderId="44" xfId="3" applyNumberFormat="1" applyFont="1" applyFill="1" applyBorder="1"/>
    <xf numFmtId="0" fontId="24" fillId="4" borderId="44" xfId="3" applyFont="1" applyFill="1" applyBorder="1"/>
    <xf numFmtId="0" fontId="24" fillId="4" borderId="45" xfId="3" applyFont="1" applyFill="1" applyBorder="1"/>
    <xf numFmtId="0" fontId="21" fillId="4" borderId="46" xfId="3" applyFont="1" applyFill="1" applyBorder="1" applyAlignment="1">
      <alignment horizontal="center"/>
    </xf>
    <xf numFmtId="0" fontId="24" fillId="4" borderId="6" xfId="3" applyFont="1" applyFill="1" applyBorder="1"/>
    <xf numFmtId="0" fontId="24" fillId="4" borderId="7" xfId="3" applyFont="1" applyFill="1" applyBorder="1"/>
    <xf numFmtId="0" fontId="15" fillId="0" borderId="46" xfId="3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6" xfId="3" applyFont="1" applyBorder="1" applyAlignment="1">
      <alignment horizontal="center"/>
    </xf>
    <xf numFmtId="2" fontId="15" fillId="0" borderId="7" xfId="3" applyNumberFormat="1" applyFont="1" applyBorder="1" applyAlignment="1">
      <alignment horizontal="center"/>
    </xf>
    <xf numFmtId="0" fontId="15" fillId="0" borderId="7" xfId="3" applyFont="1" applyBorder="1" applyAlignment="1">
      <alignment horizontal="center"/>
    </xf>
    <xf numFmtId="164" fontId="15" fillId="0" borderId="6" xfId="3" applyNumberFormat="1" applyFont="1" applyBorder="1" applyAlignment="1">
      <alignment horizontal="center"/>
    </xf>
    <xf numFmtId="2" fontId="15" fillId="0" borderId="6" xfId="3" applyNumberFormat="1" applyFont="1" applyBorder="1" applyAlignment="1">
      <alignment horizontal="center"/>
    </xf>
    <xf numFmtId="2" fontId="15" fillId="0" borderId="47" xfId="3" applyNumberFormat="1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15" fillId="0" borderId="47" xfId="3" applyFont="1" applyBorder="1" applyAlignment="1">
      <alignment horizontal="center"/>
    </xf>
    <xf numFmtId="0" fontId="15" fillId="0" borderId="48" xfId="3" applyFont="1" applyBorder="1" applyAlignment="1">
      <alignment horizontal="center"/>
    </xf>
    <xf numFmtId="0" fontId="27" fillId="4" borderId="49" xfId="3" applyFont="1" applyFill="1" applyBorder="1"/>
    <xf numFmtId="0" fontId="20" fillId="0" borderId="5" xfId="3" applyFont="1" applyBorder="1" applyAlignment="1">
      <alignment horizontal="center"/>
    </xf>
    <xf numFmtId="3" fontId="30" fillId="0" borderId="3" xfId="3" applyNumberFormat="1" applyFont="1" applyBorder="1" applyAlignment="1">
      <alignment horizontal="center"/>
    </xf>
    <xf numFmtId="37" fontId="30" fillId="0" borderId="50" xfId="3" applyNumberFormat="1" applyFont="1" applyBorder="1" applyAlignment="1">
      <alignment horizontal="center"/>
    </xf>
    <xf numFmtId="37" fontId="30" fillId="0" borderId="4" xfId="3" applyNumberFormat="1" applyFont="1" applyBorder="1" applyAlignment="1">
      <alignment horizontal="center"/>
    </xf>
    <xf numFmtId="37" fontId="31" fillId="0" borderId="4" xfId="3" applyNumberFormat="1" applyFont="1" applyBorder="1" applyAlignment="1">
      <alignment horizontal="center"/>
    </xf>
    <xf numFmtId="0" fontId="30" fillId="0" borderId="4" xfId="3" applyFont="1" applyBorder="1"/>
    <xf numFmtId="2" fontId="30" fillId="0" borderId="3" xfId="3" applyNumberFormat="1" applyFont="1" applyBorder="1" applyAlignment="1">
      <alignment horizontal="center"/>
    </xf>
    <xf numFmtId="3" fontId="30" fillId="0" borderId="5" xfId="3" applyNumberFormat="1" applyFont="1" applyBorder="1" applyAlignment="1">
      <alignment horizontal="center"/>
    </xf>
    <xf numFmtId="0" fontId="30" fillId="0" borderId="6" xfId="3" applyFont="1" applyBorder="1"/>
    <xf numFmtId="3" fontId="31" fillId="0" borderId="3" xfId="3" applyNumberFormat="1" applyFont="1" applyBorder="1" applyAlignment="1">
      <alignment horizontal="center"/>
    </xf>
    <xf numFmtId="3" fontId="31" fillId="0" borderId="5" xfId="3" applyNumberFormat="1" applyFont="1" applyBorder="1" applyAlignment="1">
      <alignment horizontal="center"/>
    </xf>
    <xf numFmtId="3" fontId="30" fillId="0" borderId="0" xfId="3" applyNumberFormat="1" applyFont="1" applyAlignment="1">
      <alignment horizontal="center"/>
    </xf>
    <xf numFmtId="39" fontId="30" fillId="0" borderId="0" xfId="3" applyNumberFormat="1" applyFont="1"/>
    <xf numFmtId="37" fontId="30" fillId="0" borderId="0" xfId="3" applyNumberFormat="1" applyFont="1" applyAlignment="1">
      <alignment horizontal="center"/>
    </xf>
    <xf numFmtId="39" fontId="30" fillId="0" borderId="0" xfId="3" applyNumberFormat="1" applyFont="1" applyAlignment="1">
      <alignment horizontal="center"/>
    </xf>
    <xf numFmtId="0" fontId="19" fillId="0" borderId="0" xfId="3" applyFont="1"/>
    <xf numFmtId="0" fontId="21" fillId="4" borderId="5" xfId="3" applyFont="1" applyFill="1" applyBorder="1"/>
    <xf numFmtId="0" fontId="28" fillId="4" borderId="5" xfId="3" applyFont="1" applyFill="1" applyBorder="1" applyAlignment="1">
      <alignment horizontal="center"/>
    </xf>
    <xf numFmtId="0" fontId="28" fillId="4" borderId="5" xfId="3" applyFont="1" applyFill="1" applyBorder="1"/>
    <xf numFmtId="0" fontId="21" fillId="4" borderId="5" xfId="3" applyFont="1" applyFill="1" applyBorder="1" applyAlignment="1">
      <alignment horizontal="center"/>
    </xf>
    <xf numFmtId="0" fontId="24" fillId="4" borderId="34" xfId="3" applyFont="1" applyFill="1" applyBorder="1"/>
    <xf numFmtId="3" fontId="7" fillId="0" borderId="0" xfId="3" applyNumberFormat="1" applyAlignment="1">
      <alignment horizontal="left"/>
    </xf>
    <xf numFmtId="3" fontId="0" fillId="0" borderId="0" xfId="0" applyNumberFormat="1"/>
    <xf numFmtId="37" fontId="30" fillId="2" borderId="51" xfId="3" applyNumberFormat="1" applyFont="1" applyFill="1" applyBorder="1" applyAlignment="1">
      <alignment horizontal="center"/>
    </xf>
    <xf numFmtId="37" fontId="7" fillId="2" borderId="4" xfId="3" applyNumberFormat="1" applyFill="1" applyBorder="1" applyAlignment="1">
      <alignment horizontal="center"/>
    </xf>
    <xf numFmtId="37" fontId="30" fillId="2" borderId="6" xfId="3" applyNumberFormat="1" applyFont="1" applyFill="1" applyBorder="1" applyAlignment="1">
      <alignment horizontal="center"/>
    </xf>
    <xf numFmtId="37" fontId="7" fillId="2" borderId="0" xfId="3" applyNumberFormat="1" applyFill="1"/>
    <xf numFmtId="0" fontId="37" fillId="0" borderId="0" xfId="3" applyFont="1"/>
    <xf numFmtId="0" fontId="38" fillId="0" borderId="0" xfId="0" applyFont="1"/>
    <xf numFmtId="3" fontId="3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0" fontId="3" fillId="6" borderId="0" xfId="0" applyFont="1" applyFill="1"/>
    <xf numFmtId="37" fontId="15" fillId="0" borderId="52" xfId="3" applyNumberFormat="1" applyFont="1" applyBorder="1" applyAlignment="1">
      <alignment horizontal="center"/>
    </xf>
    <xf numFmtId="3" fontId="15" fillId="0" borderId="53" xfId="3" applyNumberFormat="1" applyFont="1" applyBorder="1" applyAlignment="1">
      <alignment horizontal="center"/>
    </xf>
    <xf numFmtId="167" fontId="36" fillId="0" borderId="0" xfId="0" applyNumberFormat="1" applyFont="1" applyAlignment="1">
      <alignment horizontal="center"/>
    </xf>
    <xf numFmtId="1" fontId="15" fillId="0" borderId="5" xfId="3" applyNumberFormat="1" applyFont="1" applyBorder="1" applyAlignment="1">
      <alignment horizontal="center"/>
    </xf>
    <xf numFmtId="0" fontId="15" fillId="0" borderId="54" xfId="3" applyFont="1" applyBorder="1" applyAlignment="1">
      <alignment horizontal="center"/>
    </xf>
    <xf numFmtId="0" fontId="15" fillId="0" borderId="51" xfId="3" applyFont="1" applyBorder="1" applyAlignment="1">
      <alignment horizontal="center"/>
    </xf>
    <xf numFmtId="164" fontId="15" fillId="0" borderId="51" xfId="3" applyNumberFormat="1" applyFont="1" applyBorder="1" applyAlignment="1">
      <alignment horizontal="center"/>
    </xf>
    <xf numFmtId="2" fontId="24" fillId="4" borderId="55" xfId="3" applyNumberFormat="1" applyFont="1" applyFill="1" applyBorder="1"/>
    <xf numFmtId="0" fontId="24" fillId="4" borderId="55" xfId="3" applyFont="1" applyFill="1" applyBorder="1"/>
    <xf numFmtId="0" fontId="0" fillId="0" borderId="56" xfId="0" applyBorder="1"/>
    <xf numFmtId="0" fontId="0" fillId="0" borderId="23" xfId="0" applyBorder="1"/>
    <xf numFmtId="37" fontId="0" fillId="0" borderId="0" xfId="0" applyNumberFormat="1"/>
    <xf numFmtId="0" fontId="41" fillId="4" borderId="0" xfId="3" applyFont="1" applyFill="1"/>
    <xf numFmtId="3" fontId="15" fillId="0" borderId="38" xfId="3" applyNumberFormat="1" applyFont="1" applyBorder="1" applyAlignment="1">
      <alignment horizontal="center"/>
    </xf>
    <xf numFmtId="0" fontId="32" fillId="4" borderId="4" xfId="0" applyFont="1" applyFill="1" applyBorder="1" applyAlignment="1">
      <alignment horizontal="center" vertical="center" wrapText="1"/>
    </xf>
    <xf numFmtId="0" fontId="21" fillId="4" borderId="0" xfId="3" applyFont="1" applyFill="1" applyAlignment="1">
      <alignment horizontal="right"/>
    </xf>
    <xf numFmtId="37" fontId="15" fillId="0" borderId="57" xfId="3" applyNumberFormat="1" applyFont="1" applyBorder="1" applyAlignment="1">
      <alignment horizontal="center"/>
    </xf>
    <xf numFmtId="0" fontId="0" fillId="0" borderId="0" xfId="0" applyAlignment="1">
      <alignment horizontal="right"/>
    </xf>
    <xf numFmtId="37" fontId="0" fillId="0" borderId="0" xfId="0" applyNumberFormat="1" applyAlignment="1">
      <alignment horizontal="right"/>
    </xf>
    <xf numFmtId="0" fontId="7" fillId="7" borderId="5" xfId="3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167" fontId="3" fillId="0" borderId="0" xfId="1" applyNumberFormat="1" applyFont="1" applyAlignment="1">
      <alignment horizontal="center"/>
    </xf>
    <xf numFmtId="0" fontId="51" fillId="0" borderId="0" xfId="0" applyFont="1"/>
    <xf numFmtId="0" fontId="52" fillId="0" borderId="0" xfId="0" applyFont="1"/>
    <xf numFmtId="0" fontId="52" fillId="2" borderId="0" xfId="0" applyFont="1" applyFill="1"/>
    <xf numFmtId="37" fontId="15" fillId="0" borderId="59" xfId="3" applyNumberFormat="1" applyFont="1" applyBorder="1" applyAlignment="1">
      <alignment horizontal="center"/>
    </xf>
    <xf numFmtId="0" fontId="7" fillId="7" borderId="60" xfId="3" applyFill="1" applyBorder="1"/>
    <xf numFmtId="3" fontId="7" fillId="0" borderId="52" xfId="3" applyNumberFormat="1" applyBorder="1" applyAlignment="1">
      <alignment horizontal="center"/>
    </xf>
    <xf numFmtId="3" fontId="17" fillId="0" borderId="52" xfId="3" applyNumberFormat="1" applyFont="1" applyBorder="1" applyAlignment="1">
      <alignment horizontal="center"/>
    </xf>
    <xf numFmtId="0" fontId="15" fillId="0" borderId="52" xfId="3" applyFont="1" applyBorder="1" applyAlignment="1">
      <alignment horizontal="center"/>
    </xf>
    <xf numFmtId="3" fontId="15" fillId="0" borderId="52" xfId="3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1" fillId="0" borderId="37" xfId="0" applyFont="1" applyBorder="1"/>
    <xf numFmtId="0" fontId="56" fillId="0" borderId="0" xfId="0" applyFont="1" applyAlignment="1">
      <alignment horizontal="center"/>
    </xf>
    <xf numFmtId="0" fontId="56" fillId="3" borderId="0" xfId="0" applyFont="1" applyFill="1" applyAlignment="1">
      <alignment horizontal="center"/>
    </xf>
    <xf numFmtId="0" fontId="5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/>
    <xf numFmtId="17" fontId="8" fillId="0" borderId="0" xfId="0" applyNumberFormat="1" applyFont="1" applyAlignment="1">
      <alignment horizontal="left" wrapText="1"/>
    </xf>
    <xf numFmtId="167" fontId="8" fillId="0" borderId="0" xfId="1" applyNumberFormat="1" applyFont="1" applyAlignment="1">
      <alignment horizontal="center"/>
    </xf>
    <xf numFmtId="167" fontId="19" fillId="0" borderId="0" xfId="1" applyNumberFormat="1" applyFont="1" applyAlignment="1">
      <alignment horizontal="center"/>
    </xf>
    <xf numFmtId="0" fontId="19" fillId="0" borderId="0" xfId="0" applyFont="1"/>
    <xf numFmtId="17" fontId="56" fillId="0" borderId="0" xfId="0" applyNumberFormat="1" applyFont="1" applyAlignment="1">
      <alignment horizontal="left" wrapText="1"/>
    </xf>
    <xf numFmtId="167" fontId="58" fillId="0" borderId="0" xfId="1" applyNumberFormat="1" applyFont="1" applyAlignment="1">
      <alignment horizontal="center"/>
    </xf>
    <xf numFmtId="167" fontId="58" fillId="0" borderId="0" xfId="1" applyNumberFormat="1" applyFont="1" applyAlignment="1">
      <alignment horizontal="right"/>
    </xf>
    <xf numFmtId="167" fontId="59" fillId="0" borderId="0" xfId="1" applyNumberFormat="1" applyFont="1" applyAlignment="1">
      <alignment horizontal="center"/>
    </xf>
    <xf numFmtId="167" fontId="58" fillId="0" borderId="0" xfId="1" applyNumberFormat="1" applyFont="1" applyAlignment="1">
      <alignment horizontal="center" vertical="center"/>
    </xf>
    <xf numFmtId="3" fontId="55" fillId="2" borderId="0" xfId="0" applyNumberFormat="1" applyFont="1" applyFill="1" applyAlignment="1">
      <alignment horizontal="center"/>
    </xf>
    <xf numFmtId="3" fontId="55" fillId="0" borderId="0" xfId="0" applyNumberFormat="1" applyFont="1" applyAlignment="1">
      <alignment horizontal="center"/>
    </xf>
    <xf numFmtId="0" fontId="61" fillId="0" borderId="0" xfId="0" applyFont="1"/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56" fillId="0" borderId="0" xfId="0" applyFont="1"/>
    <xf numFmtId="0" fontId="57" fillId="0" borderId="0" xfId="0" applyFont="1"/>
    <xf numFmtId="0" fontId="8" fillId="0" borderId="36" xfId="0" applyFont="1" applyBorder="1"/>
    <xf numFmtId="0" fontId="64" fillId="0" borderId="0" xfId="0" applyFont="1" applyAlignment="1">
      <alignment horizontal="center"/>
    </xf>
    <xf numFmtId="0" fontId="64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6" fillId="0" borderId="0" xfId="3" applyFont="1" applyAlignment="1">
      <alignment vertical="center" wrapText="1"/>
    </xf>
    <xf numFmtId="3" fontId="56" fillId="0" borderId="0" xfId="3" applyNumberFormat="1" applyFont="1" applyAlignment="1">
      <alignment horizontal="center"/>
    </xf>
    <xf numFmtId="3" fontId="56" fillId="3" borderId="0" xfId="3" applyNumberFormat="1" applyFont="1" applyFill="1" applyAlignment="1">
      <alignment horizontal="center"/>
    </xf>
    <xf numFmtId="3" fontId="57" fillId="0" borderId="0" xfId="0" applyNumberFormat="1" applyFont="1" applyAlignment="1">
      <alignment horizontal="center"/>
    </xf>
    <xf numFmtId="3" fontId="56" fillId="0" borderId="37" xfId="3" applyNumberFormat="1" applyFont="1" applyBorder="1" applyAlignment="1">
      <alignment horizontal="center"/>
    </xf>
    <xf numFmtId="0" fontId="65" fillId="0" borderId="37" xfId="3" applyFont="1" applyBorder="1" applyAlignment="1">
      <alignment horizontal="center"/>
    </xf>
    <xf numFmtId="0" fontId="56" fillId="0" borderId="37" xfId="3" applyFont="1" applyBorder="1" applyAlignment="1">
      <alignment horizontal="center"/>
    </xf>
    <xf numFmtId="0" fontId="56" fillId="3" borderId="37" xfId="3" applyFont="1" applyFill="1" applyBorder="1" applyAlignment="1">
      <alignment horizontal="center"/>
    </xf>
    <xf numFmtId="1" fontId="56" fillId="0" borderId="37" xfId="3" applyNumberFormat="1" applyFont="1" applyBorder="1" applyAlignment="1">
      <alignment horizontal="center"/>
    </xf>
    <xf numFmtId="3" fontId="57" fillId="0" borderId="37" xfId="0" applyNumberFormat="1" applyFont="1" applyBorder="1" applyAlignment="1">
      <alignment horizontal="center"/>
    </xf>
    <xf numFmtId="0" fontId="57" fillId="6" borderId="0" xfId="3" applyFont="1" applyFill="1" applyAlignment="1">
      <alignment vertical="center" wrapText="1"/>
    </xf>
    <xf numFmtId="3" fontId="55" fillId="6" borderId="0" xfId="0" applyNumberFormat="1" applyFont="1" applyFill="1" applyAlignment="1">
      <alignment horizontal="center"/>
    </xf>
    <xf numFmtId="0" fontId="55" fillId="6" borderId="0" xfId="0" applyFont="1" applyFill="1"/>
    <xf numFmtId="3" fontId="56" fillId="0" borderId="0" xfId="0" applyNumberFormat="1" applyFont="1" applyAlignment="1">
      <alignment horizontal="center"/>
    </xf>
    <xf numFmtId="3" fontId="56" fillId="3" borderId="0" xfId="0" applyNumberFormat="1" applyFont="1" applyFill="1" applyAlignment="1">
      <alignment horizontal="center"/>
    </xf>
    <xf numFmtId="0" fontId="56" fillId="0" borderId="0" xfId="3" applyFont="1" applyAlignment="1">
      <alignment horizontal="left" vertical="center" wrapText="1"/>
    </xf>
    <xf numFmtId="3" fontId="66" fillId="0" borderId="0" xfId="0" applyNumberFormat="1" applyFont="1" applyAlignment="1">
      <alignment horizontal="center"/>
    </xf>
    <xf numFmtId="0" fontId="32" fillId="0" borderId="0" xfId="0" applyFont="1"/>
    <xf numFmtId="0" fontId="56" fillId="0" borderId="37" xfId="3" applyFont="1" applyBorder="1" applyAlignment="1">
      <alignment vertical="center" wrapText="1"/>
    </xf>
    <xf numFmtId="3" fontId="56" fillId="3" borderId="37" xfId="3" applyNumberFormat="1" applyFont="1" applyFill="1" applyBorder="1" applyAlignment="1">
      <alignment horizontal="center"/>
    </xf>
    <xf numFmtId="0" fontId="57" fillId="6" borderId="0" xfId="3" applyFont="1" applyFill="1" applyAlignment="1">
      <alignment horizontal="left" vertical="center" wrapText="1"/>
    </xf>
    <xf numFmtId="164" fontId="56" fillId="0" borderId="0" xfId="0" applyNumberFormat="1" applyFont="1" applyAlignment="1">
      <alignment horizontal="center"/>
    </xf>
    <xf numFmtId="2" fontId="56" fillId="0" borderId="0" xfId="0" applyNumberFormat="1" applyFont="1" applyAlignment="1">
      <alignment horizontal="center"/>
    </xf>
    <xf numFmtId="0" fontId="57" fillId="0" borderId="37" xfId="3" applyFont="1" applyBorder="1" applyAlignment="1">
      <alignment vertical="center" wrapText="1"/>
    </xf>
    <xf numFmtId="0" fontId="56" fillId="0" borderId="0" xfId="3" applyFont="1" applyAlignment="1">
      <alignment horizontal="center"/>
    </xf>
    <xf numFmtId="0" fontId="56" fillId="3" borderId="0" xfId="3" applyFont="1" applyFill="1" applyAlignment="1">
      <alignment horizontal="center"/>
    </xf>
    <xf numFmtId="0" fontId="56" fillId="8" borderId="0" xfId="3" applyFont="1" applyFill="1" applyAlignment="1">
      <alignment horizontal="left" vertical="center" wrapText="1"/>
    </xf>
    <xf numFmtId="0" fontId="56" fillId="6" borderId="0" xfId="3" applyFont="1" applyFill="1" applyAlignment="1">
      <alignment vertical="center" wrapText="1"/>
    </xf>
    <xf numFmtId="3" fontId="56" fillId="6" borderId="0" xfId="3" applyNumberFormat="1" applyFont="1" applyFill="1" applyAlignment="1">
      <alignment horizontal="center"/>
    </xf>
    <xf numFmtId="3" fontId="57" fillId="6" borderId="0" xfId="0" applyNumberFormat="1" applyFont="1" applyFill="1" applyAlignment="1">
      <alignment horizontal="center"/>
    </xf>
    <xf numFmtId="0" fontId="56" fillId="6" borderId="0" xfId="3" applyFont="1" applyFill="1" applyAlignment="1">
      <alignment horizontal="left" vertical="center" wrapText="1"/>
    </xf>
    <xf numFmtId="3" fontId="56" fillId="6" borderId="0" xfId="0" applyNumberFormat="1" applyFont="1" applyFill="1" applyAlignment="1">
      <alignment horizontal="center"/>
    </xf>
    <xf numFmtId="3" fontId="56" fillId="8" borderId="0" xfId="3" applyNumberFormat="1" applyFont="1" applyFill="1" applyAlignment="1">
      <alignment horizontal="center"/>
    </xf>
    <xf numFmtId="0" fontId="56" fillId="2" borderId="0" xfId="3" applyFont="1" applyFill="1" applyAlignment="1">
      <alignment horizontal="left" vertical="center" wrapText="1"/>
    </xf>
    <xf numFmtId="3" fontId="56" fillId="2" borderId="0" xfId="3" applyNumberFormat="1" applyFont="1" applyFill="1" applyAlignment="1">
      <alignment horizontal="center"/>
    </xf>
    <xf numFmtId="3" fontId="57" fillId="2" borderId="0" xfId="0" applyNumberFormat="1" applyFont="1" applyFill="1" applyAlignment="1">
      <alignment horizontal="center"/>
    </xf>
    <xf numFmtId="0" fontId="56" fillId="2" borderId="0" xfId="0" applyFont="1" applyFill="1"/>
    <xf numFmtId="0" fontId="56" fillId="0" borderId="37" xfId="0" applyFont="1" applyBorder="1"/>
    <xf numFmtId="0" fontId="57" fillId="6" borderId="0" xfId="0" applyFont="1" applyFill="1"/>
    <xf numFmtId="3" fontId="55" fillId="6" borderId="36" xfId="0" applyNumberFormat="1" applyFont="1" applyFill="1" applyBorder="1" applyAlignment="1">
      <alignment horizontal="center"/>
    </xf>
    <xf numFmtId="0" fontId="58" fillId="6" borderId="0" xfId="0" applyFont="1" applyFill="1"/>
    <xf numFmtId="0" fontId="57" fillId="0" borderId="0" xfId="3" applyFont="1" applyAlignment="1">
      <alignment horizontal="left" vertical="center" wrapText="1"/>
    </xf>
    <xf numFmtId="3" fontId="60" fillId="0" borderId="0" xfId="0" applyNumberFormat="1" applyFont="1" applyAlignment="1">
      <alignment horizontal="center"/>
    </xf>
    <xf numFmtId="3" fontId="67" fillId="0" borderId="0" xfId="0" applyNumberFormat="1" applyFont="1" applyAlignment="1">
      <alignment horizontal="center"/>
    </xf>
    <xf numFmtId="0" fontId="58" fillId="0" borderId="0" xfId="0" applyFont="1"/>
    <xf numFmtId="37" fontId="55" fillId="6" borderId="0" xfId="0" applyNumberFormat="1" applyFont="1" applyFill="1" applyAlignment="1">
      <alignment horizontal="center"/>
    </xf>
    <xf numFmtId="0" fontId="58" fillId="0" borderId="0" xfId="0" applyFont="1" applyAlignment="1">
      <alignment horizontal="center"/>
    </xf>
    <xf numFmtId="9" fontId="58" fillId="0" borderId="0" xfId="4" applyFont="1" applyAlignment="1">
      <alignment horizontal="center"/>
    </xf>
    <xf numFmtId="37" fontId="55" fillId="6" borderId="0" xfId="3" applyNumberFormat="1" applyFont="1" applyFill="1" applyAlignment="1">
      <alignment horizontal="center"/>
    </xf>
    <xf numFmtId="165" fontId="55" fillId="6" borderId="0" xfId="0" applyNumberFormat="1" applyFont="1" applyFill="1" applyAlignment="1">
      <alignment horizontal="center"/>
    </xf>
    <xf numFmtId="165" fontId="55" fillId="2" borderId="0" xfId="0" applyNumberFormat="1" applyFont="1" applyFill="1" applyAlignment="1">
      <alignment horizontal="center"/>
    </xf>
    <xf numFmtId="40" fontId="55" fillId="10" borderId="0" xfId="0" applyNumberFormat="1" applyFont="1" applyFill="1"/>
    <xf numFmtId="165" fontId="56" fillId="0" borderId="0" xfId="0" applyNumberFormat="1" applyFont="1" applyAlignment="1">
      <alignment horizontal="center"/>
    </xf>
    <xf numFmtId="165" fontId="57" fillId="0" borderId="0" xfId="1" applyNumberFormat="1" applyFont="1" applyAlignment="1">
      <alignment horizontal="center"/>
    </xf>
    <xf numFmtId="169" fontId="57" fillId="0" borderId="0" xfId="1" applyNumberFormat="1" applyFont="1" applyAlignment="1">
      <alignment horizontal="center"/>
    </xf>
    <xf numFmtId="0" fontId="68" fillId="0" borderId="0" xfId="3" applyFont="1" applyAlignment="1">
      <alignment horizontal="left" vertical="center" wrapText="1"/>
    </xf>
    <xf numFmtId="165" fontId="68" fillId="0" borderId="0" xfId="0" applyNumberFormat="1" applyFont="1" applyAlignment="1">
      <alignment horizontal="center"/>
    </xf>
    <xf numFmtId="165" fontId="69" fillId="0" borderId="0" xfId="1" applyNumberFormat="1" applyFont="1" applyAlignment="1">
      <alignment horizontal="center"/>
    </xf>
    <xf numFmtId="169" fontId="69" fillId="0" borderId="0" xfId="1" applyNumberFormat="1" applyFont="1" applyAlignment="1">
      <alignment horizontal="center"/>
    </xf>
    <xf numFmtId="165" fontId="56" fillId="2" borderId="0" xfId="0" applyNumberFormat="1" applyFont="1" applyFill="1" applyAlignment="1">
      <alignment horizontal="center"/>
    </xf>
    <xf numFmtId="165" fontId="57" fillId="2" borderId="0" xfId="1" applyNumberFormat="1" applyFont="1" applyFill="1" applyAlignment="1">
      <alignment horizontal="center"/>
    </xf>
    <xf numFmtId="169" fontId="57" fillId="2" borderId="0" xfId="1" applyNumberFormat="1" applyFont="1" applyFill="1" applyAlignment="1">
      <alignment horizontal="center"/>
    </xf>
    <xf numFmtId="0" fontId="68" fillId="2" borderId="0" xfId="3" applyFont="1" applyFill="1" applyAlignment="1">
      <alignment horizontal="left" vertical="center" wrapText="1"/>
    </xf>
    <xf numFmtId="165" fontId="68" fillId="2" borderId="0" xfId="0" applyNumberFormat="1" applyFont="1" applyFill="1" applyAlignment="1">
      <alignment horizontal="center"/>
    </xf>
    <xf numFmtId="165" fontId="69" fillId="2" borderId="0" xfId="1" applyNumberFormat="1" applyFont="1" applyFill="1" applyAlignment="1">
      <alignment horizontal="center"/>
    </xf>
    <xf numFmtId="169" fontId="69" fillId="2" borderId="0" xfId="1" applyNumberFormat="1" applyFont="1" applyFill="1" applyAlignment="1">
      <alignment horizontal="center"/>
    </xf>
    <xf numFmtId="0" fontId="57" fillId="0" borderId="36" xfId="3" applyFont="1" applyBorder="1" applyAlignment="1">
      <alignment horizontal="left" shrinkToFit="1"/>
    </xf>
    <xf numFmtId="165" fontId="57" fillId="0" borderId="36" xfId="0" applyNumberFormat="1" applyFont="1" applyBorder="1" applyAlignment="1">
      <alignment horizontal="center"/>
    </xf>
    <xf numFmtId="0" fontId="70" fillId="0" borderId="58" xfId="3" applyFont="1" applyBorder="1" applyAlignment="1">
      <alignment horizontal="left" wrapText="1"/>
    </xf>
    <xf numFmtId="164" fontId="71" fillId="0" borderId="58" xfId="0" applyNumberFormat="1" applyFont="1" applyBorder="1" applyAlignment="1">
      <alignment horizontal="center"/>
    </xf>
    <xf numFmtId="164" fontId="55" fillId="6" borderId="0" xfId="0" applyNumberFormat="1" applyFont="1" applyFill="1" applyAlignment="1">
      <alignment horizontal="center"/>
    </xf>
    <xf numFmtId="4" fontId="55" fillId="2" borderId="0" xfId="0" applyNumberFormat="1" applyFont="1" applyFill="1" applyAlignment="1">
      <alignment horizontal="center"/>
    </xf>
    <xf numFmtId="4" fontId="55" fillId="6" borderId="0" xfId="0" applyNumberFormat="1" applyFont="1" applyFill="1" applyAlignment="1">
      <alignment horizontal="center"/>
    </xf>
    <xf numFmtId="40" fontId="55" fillId="6" borderId="0" xfId="0" applyNumberFormat="1" applyFont="1" applyFill="1"/>
    <xf numFmtId="0" fontId="57" fillId="9" borderId="0" xfId="0" applyFont="1" applyFill="1"/>
    <xf numFmtId="43" fontId="55" fillId="9" borderId="0" xfId="0" applyNumberFormat="1" applyFont="1" applyFill="1"/>
    <xf numFmtId="43" fontId="55" fillId="9" borderId="0" xfId="0" applyNumberFormat="1" applyFont="1" applyFill="1" applyAlignment="1">
      <alignment vertical="center"/>
    </xf>
    <xf numFmtId="0" fontId="55" fillId="0" borderId="0" xfId="0" applyFont="1" applyAlignment="1">
      <alignment horizontal="center"/>
    </xf>
    <xf numFmtId="165" fontId="55" fillId="3" borderId="0" xfId="0" applyNumberFormat="1" applyFont="1" applyFill="1" applyAlignment="1">
      <alignment horizontal="center"/>
    </xf>
    <xf numFmtId="37" fontId="56" fillId="0" borderId="0" xfId="0" applyNumberFormat="1" applyFont="1" applyAlignment="1">
      <alignment horizontal="center"/>
    </xf>
    <xf numFmtId="170" fontId="56" fillId="0" borderId="0" xfId="4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73" fillId="0" borderId="0" xfId="1" applyNumberFormat="1" applyFont="1" applyAlignment="1">
      <alignment horizontal="center"/>
    </xf>
    <xf numFmtId="0" fontId="74" fillId="13" borderId="32" xfId="3" applyFont="1" applyFill="1" applyBorder="1" applyAlignment="1">
      <alignment horizontal="center"/>
    </xf>
    <xf numFmtId="0" fontId="74" fillId="13" borderId="36" xfId="3" applyFont="1" applyFill="1" applyBorder="1" applyAlignment="1">
      <alignment horizontal="center"/>
    </xf>
    <xf numFmtId="0" fontId="75" fillId="13" borderId="36" xfId="3" applyFont="1" applyFill="1" applyBorder="1" applyAlignment="1">
      <alignment horizontal="center"/>
    </xf>
    <xf numFmtId="0" fontId="75" fillId="13" borderId="33" xfId="3" applyFont="1" applyFill="1" applyBorder="1" applyAlignment="1">
      <alignment horizontal="center"/>
    </xf>
    <xf numFmtId="0" fontId="74" fillId="13" borderId="2" xfId="3" applyFont="1" applyFill="1" applyBorder="1" applyAlignment="1">
      <alignment horizontal="center"/>
    </xf>
    <xf numFmtId="0" fontId="74" fillId="13" borderId="37" xfId="3" applyFont="1" applyFill="1" applyBorder="1" applyAlignment="1">
      <alignment horizontal="center"/>
    </xf>
    <xf numFmtId="0" fontId="76" fillId="13" borderId="37" xfId="3" applyFont="1" applyFill="1" applyBorder="1" applyAlignment="1">
      <alignment horizontal="center"/>
    </xf>
    <xf numFmtId="0" fontId="75" fillId="13" borderId="35" xfId="3" applyFont="1" applyFill="1" applyBorder="1" applyAlignment="1">
      <alignment horizontal="center"/>
    </xf>
    <xf numFmtId="3" fontId="67" fillId="6" borderId="0" xfId="0" applyNumberFormat="1" applyFont="1" applyFill="1" applyAlignment="1">
      <alignment horizontal="center"/>
    </xf>
    <xf numFmtId="0" fontId="65" fillId="14" borderId="0" xfId="0" applyFont="1" applyFill="1"/>
    <xf numFmtId="164" fontId="65" fillId="14" borderId="0" xfId="0" applyNumberFormat="1" applyFont="1" applyFill="1" applyAlignment="1">
      <alignment horizontal="center"/>
    </xf>
    <xf numFmtId="164" fontId="78" fillId="14" borderId="0" xfId="0" applyNumberFormat="1" applyFont="1" applyFill="1" applyAlignment="1">
      <alignment horizontal="center"/>
    </xf>
    <xf numFmtId="0" fontId="78" fillId="14" borderId="0" xfId="0" applyFont="1" applyFill="1" applyAlignment="1">
      <alignment horizontal="center"/>
    </xf>
    <xf numFmtId="0" fontId="65" fillId="14" borderId="0" xfId="0" applyFont="1" applyFill="1" applyAlignment="1">
      <alignment horizontal="center"/>
    </xf>
    <xf numFmtId="0" fontId="71" fillId="14" borderId="0" xfId="3" applyFont="1" applyFill="1" applyAlignment="1">
      <alignment vertical="center" wrapText="1"/>
    </xf>
    <xf numFmtId="165" fontId="71" fillId="14" borderId="0" xfId="0" applyNumberFormat="1" applyFont="1" applyFill="1" applyAlignment="1">
      <alignment horizontal="center"/>
    </xf>
    <xf numFmtId="165" fontId="77" fillId="14" borderId="0" xfId="1" applyNumberFormat="1" applyFont="1" applyFill="1" applyAlignment="1">
      <alignment horizontal="center"/>
    </xf>
    <xf numFmtId="169" fontId="77" fillId="14" borderId="0" xfId="1" applyNumberFormat="1" applyFont="1" applyFill="1" applyAlignment="1">
      <alignment horizontal="center"/>
    </xf>
    <xf numFmtId="0" fontId="71" fillId="15" borderId="0" xfId="3" applyFont="1" applyFill="1" applyAlignment="1">
      <alignment horizontal="left" vertical="center" wrapText="1"/>
    </xf>
    <xf numFmtId="165" fontId="71" fillId="15" borderId="0" xfId="0" applyNumberFormat="1" applyFont="1" applyFill="1" applyAlignment="1">
      <alignment horizontal="center"/>
    </xf>
    <xf numFmtId="165" fontId="77" fillId="15" borderId="0" xfId="1" applyNumberFormat="1" applyFont="1" applyFill="1" applyAlignment="1">
      <alignment horizontal="center"/>
    </xf>
    <xf numFmtId="169" fontId="77" fillId="15" borderId="0" xfId="1" applyNumberFormat="1" applyFont="1" applyFill="1" applyAlignment="1">
      <alignment horizontal="center"/>
    </xf>
    <xf numFmtId="0" fontId="71" fillId="15" borderId="0" xfId="0" applyFont="1" applyFill="1"/>
    <xf numFmtId="3" fontId="71" fillId="15" borderId="0" xfId="0" applyNumberFormat="1" applyFont="1" applyFill="1" applyAlignment="1">
      <alignment horizontal="center"/>
    </xf>
    <xf numFmtId="3" fontId="77" fillId="15" borderId="0" xfId="0" applyNumberFormat="1" applyFont="1" applyFill="1" applyAlignment="1">
      <alignment horizontal="center"/>
    </xf>
    <xf numFmtId="3" fontId="71" fillId="15" borderId="0" xfId="0" applyNumberFormat="1" applyFont="1" applyFill="1"/>
    <xf numFmtId="0" fontId="56" fillId="14" borderId="0" xfId="0" applyFont="1" applyFill="1"/>
    <xf numFmtId="0" fontId="56" fillId="14" borderId="0" xfId="0" applyFont="1" applyFill="1" applyAlignment="1">
      <alignment horizontal="center"/>
    </xf>
    <xf numFmtId="0" fontId="57" fillId="14" borderId="0" xfId="0" applyFont="1" applyFill="1" applyAlignment="1">
      <alignment horizontal="center"/>
    </xf>
    <xf numFmtId="3" fontId="15" fillId="17" borderId="53" xfId="3" applyNumberFormat="1" applyFont="1" applyFill="1" applyBorder="1" applyAlignment="1">
      <alignment horizontal="center"/>
    </xf>
    <xf numFmtId="3" fontId="15" fillId="18" borderId="53" xfId="3" applyNumberFormat="1" applyFont="1" applyFill="1" applyBorder="1" applyAlignment="1">
      <alignment horizontal="center"/>
    </xf>
    <xf numFmtId="3" fontId="55" fillId="19" borderId="0" xfId="0" applyNumberFormat="1" applyFont="1" applyFill="1" applyAlignment="1">
      <alignment horizontal="center"/>
    </xf>
    <xf numFmtId="0" fontId="9" fillId="0" borderId="17" xfId="3" applyFont="1" applyBorder="1" applyAlignment="1">
      <alignment horizontal="center"/>
    </xf>
    <xf numFmtId="167" fontId="60" fillId="0" borderId="0" xfId="1" applyNumberFormat="1" applyFont="1" applyAlignment="1">
      <alignment horizontal="center"/>
    </xf>
    <xf numFmtId="0" fontId="80" fillId="0" borderId="0" xfId="0" applyFont="1"/>
    <xf numFmtId="0" fontId="79" fillId="0" borderId="0" xfId="0" applyFont="1" applyAlignment="1">
      <alignment horizontal="center"/>
    </xf>
    <xf numFmtId="0" fontId="79" fillId="0" borderId="0" xfId="0" applyFont="1"/>
    <xf numFmtId="0" fontId="80" fillId="0" borderId="0" xfId="0" applyFont="1" applyAlignment="1">
      <alignment horizontal="center"/>
    </xf>
    <xf numFmtId="17" fontId="81" fillId="0" borderId="0" xfId="0" applyNumberFormat="1" applyFont="1" applyAlignment="1">
      <alignment horizontal="left" wrapText="1"/>
    </xf>
    <xf numFmtId="167" fontId="81" fillId="0" borderId="0" xfId="1" applyNumberFormat="1" applyFont="1" applyAlignment="1">
      <alignment horizontal="center"/>
    </xf>
    <xf numFmtId="0" fontId="81" fillId="0" borderId="0" xfId="0" applyFont="1"/>
    <xf numFmtId="17" fontId="80" fillId="0" borderId="0" xfId="0" applyNumberFormat="1" applyFont="1" applyAlignment="1">
      <alignment horizontal="left" wrapText="1"/>
    </xf>
    <xf numFmtId="0" fontId="83" fillId="0" borderId="0" xfId="0" applyFont="1"/>
    <xf numFmtId="3" fontId="79" fillId="0" borderId="0" xfId="0" applyNumberFormat="1" applyFont="1" applyAlignment="1">
      <alignment horizontal="center"/>
    </xf>
    <xf numFmtId="167" fontId="84" fillId="0" borderId="0" xfId="1" applyNumberFormat="1" applyFont="1" applyAlignment="1">
      <alignment horizontal="center"/>
    </xf>
    <xf numFmtId="0" fontId="85" fillId="0" borderId="0" xfId="0" applyFont="1" applyAlignment="1">
      <alignment horizontal="center"/>
    </xf>
    <xf numFmtId="0" fontId="83" fillId="22" borderId="84" xfId="0" applyFont="1" applyFill="1" applyBorder="1"/>
    <xf numFmtId="0" fontId="85" fillId="22" borderId="84" xfId="0" applyFont="1" applyFill="1" applyBorder="1" applyAlignment="1">
      <alignment horizontal="center"/>
    </xf>
    <xf numFmtId="0" fontId="80" fillId="22" borderId="84" xfId="0" applyFont="1" applyFill="1" applyBorder="1"/>
    <xf numFmtId="0" fontId="83" fillId="13" borderId="0" xfId="0" applyFont="1" applyFill="1"/>
    <xf numFmtId="0" fontId="86" fillId="0" borderId="0" xfId="0" applyFont="1"/>
    <xf numFmtId="164" fontId="82" fillId="0" borderId="0" xfId="0" applyNumberFormat="1" applyFont="1" applyAlignment="1">
      <alignment horizontal="center"/>
    </xf>
    <xf numFmtId="164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0" fontId="82" fillId="0" borderId="0" xfId="0" applyFont="1"/>
    <xf numFmtId="0" fontId="87" fillId="16" borderId="0" xfId="3" applyFont="1" applyFill="1" applyAlignment="1">
      <alignment vertical="center" wrapText="1"/>
    </xf>
    <xf numFmtId="165" fontId="88" fillId="16" borderId="0" xfId="0" applyNumberFormat="1" applyFont="1" applyFill="1" applyAlignment="1">
      <alignment horizontal="center"/>
    </xf>
    <xf numFmtId="165" fontId="87" fillId="16" borderId="0" xfId="1" applyNumberFormat="1" applyFont="1" applyFill="1" applyAlignment="1">
      <alignment horizontal="center"/>
    </xf>
    <xf numFmtId="0" fontId="80" fillId="16" borderId="0" xfId="0" applyFont="1" applyFill="1"/>
    <xf numFmtId="0" fontId="81" fillId="0" borderId="36" xfId="0" applyFont="1" applyBorder="1"/>
    <xf numFmtId="0" fontId="9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90" fillId="0" borderId="0" xfId="0" applyFont="1"/>
    <xf numFmtId="0" fontId="80" fillId="0" borderId="0" xfId="3" applyFont="1" applyAlignment="1">
      <alignment vertical="center" wrapText="1"/>
    </xf>
    <xf numFmtId="3" fontId="80" fillId="0" borderId="0" xfId="3" applyNumberFormat="1" applyFont="1" applyAlignment="1">
      <alignment horizontal="center"/>
    </xf>
    <xf numFmtId="3" fontId="79" fillId="0" borderId="37" xfId="0" applyNumberFormat="1" applyFont="1" applyBorder="1" applyAlignment="1">
      <alignment horizontal="center"/>
    </xf>
    <xf numFmtId="0" fontId="79" fillId="16" borderId="0" xfId="3" applyFont="1" applyFill="1" applyAlignment="1">
      <alignment vertical="center" wrapText="1"/>
    </xf>
    <xf numFmtId="3" fontId="79" fillId="16" borderId="0" xfId="0" applyNumberFormat="1" applyFont="1" applyFill="1" applyAlignment="1">
      <alignment horizontal="center"/>
    </xf>
    <xf numFmtId="0" fontId="79" fillId="16" borderId="0" xfId="0" applyFont="1" applyFill="1"/>
    <xf numFmtId="0" fontId="79" fillId="0" borderId="0" xfId="3" applyFont="1" applyAlignment="1">
      <alignment vertical="center" wrapText="1"/>
    </xf>
    <xf numFmtId="3" fontId="80" fillId="0" borderId="0" xfId="0" applyNumberFormat="1" applyFont="1" applyAlignment="1">
      <alignment horizontal="center"/>
    </xf>
    <xf numFmtId="0" fontId="80" fillId="0" borderId="0" xfId="3" applyFont="1" applyAlignment="1">
      <alignment horizontal="left" vertical="center" wrapText="1"/>
    </xf>
    <xf numFmtId="3" fontId="91" fillId="0" borderId="0" xfId="0" applyNumberFormat="1" applyFont="1" applyAlignment="1">
      <alignment horizontal="center"/>
    </xf>
    <xf numFmtId="0" fontId="92" fillId="0" borderId="0" xfId="0" applyFont="1"/>
    <xf numFmtId="0" fontId="80" fillId="0" borderId="79" xfId="3" applyFont="1" applyBorder="1" applyAlignment="1">
      <alignment vertical="center" wrapText="1"/>
    </xf>
    <xf numFmtId="3" fontId="80" fillId="0" borderId="79" xfId="3" applyNumberFormat="1" applyFont="1" applyBorder="1" applyAlignment="1">
      <alignment horizontal="center"/>
    </xf>
    <xf numFmtId="3" fontId="79" fillId="0" borderId="79" xfId="0" applyNumberFormat="1" applyFont="1" applyBorder="1" applyAlignment="1">
      <alignment horizontal="center"/>
    </xf>
    <xf numFmtId="0" fontId="79" fillId="0" borderId="0" xfId="3" applyFont="1" applyAlignment="1">
      <alignment horizontal="left" vertical="center" wrapText="1"/>
    </xf>
    <xf numFmtId="164" fontId="80" fillId="0" borderId="0" xfId="0" applyNumberFormat="1" applyFont="1" applyAlignment="1">
      <alignment horizontal="center"/>
    </xf>
    <xf numFmtId="164" fontId="79" fillId="0" borderId="0" xfId="0" applyNumberFormat="1" applyFont="1" applyAlignment="1">
      <alignment horizontal="center"/>
    </xf>
    <xf numFmtId="2" fontId="80" fillId="0" borderId="0" xfId="0" applyNumberFormat="1" applyFont="1" applyAlignment="1">
      <alignment horizontal="center"/>
    </xf>
    <xf numFmtId="0" fontId="79" fillId="0" borderId="37" xfId="3" applyFont="1" applyBorder="1" applyAlignment="1">
      <alignment vertical="center" wrapText="1"/>
    </xf>
    <xf numFmtId="0" fontId="80" fillId="0" borderId="80" xfId="3" applyFont="1" applyBorder="1" applyAlignment="1">
      <alignment horizontal="center"/>
    </xf>
    <xf numFmtId="3" fontId="80" fillId="0" borderId="80" xfId="3" applyNumberFormat="1" applyFont="1" applyBorder="1" applyAlignment="1">
      <alignment horizontal="center"/>
    </xf>
    <xf numFmtId="3" fontId="79" fillId="0" borderId="80" xfId="0" applyNumberFormat="1" applyFont="1" applyBorder="1" applyAlignment="1">
      <alignment horizontal="center"/>
    </xf>
    <xf numFmtId="0" fontId="80" fillId="0" borderId="80" xfId="0" applyFont="1" applyBorder="1"/>
    <xf numFmtId="0" fontId="80" fillId="16" borderId="81" xfId="3" applyFont="1" applyFill="1" applyBorder="1" applyAlignment="1">
      <alignment horizontal="left" vertical="center" wrapText="1"/>
    </xf>
    <xf numFmtId="3" fontId="80" fillId="16" borderId="81" xfId="0" applyNumberFormat="1" applyFont="1" applyFill="1" applyBorder="1" applyAlignment="1">
      <alignment horizontal="center"/>
    </xf>
    <xf numFmtId="3" fontId="79" fillId="16" borderId="81" xfId="0" applyNumberFormat="1" applyFont="1" applyFill="1" applyBorder="1" applyAlignment="1">
      <alignment horizontal="center"/>
    </xf>
    <xf numFmtId="0" fontId="80" fillId="16" borderId="81" xfId="0" applyFont="1" applyFill="1" applyBorder="1"/>
    <xf numFmtId="0" fontId="80" fillId="0" borderId="81" xfId="3" applyFont="1" applyBorder="1" applyAlignment="1">
      <alignment horizontal="left" vertical="center" wrapText="1"/>
    </xf>
    <xf numFmtId="3" fontId="80" fillId="0" borderId="81" xfId="0" applyNumberFormat="1" applyFont="1" applyBorder="1" applyAlignment="1">
      <alignment horizontal="center"/>
    </xf>
    <xf numFmtId="3" fontId="79" fillId="0" borderId="81" xfId="0" applyNumberFormat="1" applyFont="1" applyBorder="1" applyAlignment="1">
      <alignment horizontal="center"/>
    </xf>
    <xf numFmtId="0" fontId="80" fillId="0" borderId="81" xfId="0" applyFont="1" applyBorder="1"/>
    <xf numFmtId="0" fontId="80" fillId="0" borderId="81" xfId="3" applyFont="1" applyBorder="1" applyAlignment="1">
      <alignment vertical="center" wrapText="1"/>
    </xf>
    <xf numFmtId="3" fontId="80" fillId="0" borderId="81" xfId="3" applyNumberFormat="1" applyFont="1" applyBorder="1" applyAlignment="1">
      <alignment horizontal="center"/>
    </xf>
    <xf numFmtId="3" fontId="80" fillId="16" borderId="81" xfId="3" applyNumberFormat="1" applyFont="1" applyFill="1" applyBorder="1" applyAlignment="1">
      <alignment horizontal="center"/>
    </xf>
    <xf numFmtId="0" fontId="80" fillId="0" borderId="82" xfId="3" applyFont="1" applyBorder="1" applyAlignment="1">
      <alignment horizontal="left" vertical="center" wrapText="1"/>
    </xf>
    <xf numFmtId="3" fontId="80" fillId="0" borderId="82" xfId="0" applyNumberFormat="1" applyFont="1" applyBorder="1" applyAlignment="1">
      <alignment horizontal="center"/>
    </xf>
    <xf numFmtId="3" fontId="79" fillId="0" borderId="82" xfId="0" applyNumberFormat="1" applyFont="1" applyBorder="1" applyAlignment="1">
      <alignment horizontal="center"/>
    </xf>
    <xf numFmtId="0" fontId="80" fillId="0" borderId="82" xfId="0" applyFont="1" applyBorder="1"/>
    <xf numFmtId="3" fontId="79" fillId="0" borderId="36" xfId="0" applyNumberFormat="1" applyFont="1" applyBorder="1" applyAlignment="1">
      <alignment horizontal="center"/>
    </xf>
    <xf numFmtId="0" fontId="79" fillId="20" borderId="0" xfId="0" applyFont="1" applyFill="1"/>
    <xf numFmtId="3" fontId="86" fillId="0" borderId="0" xfId="0" applyNumberFormat="1" applyFont="1" applyAlignment="1">
      <alignment horizontal="center"/>
    </xf>
    <xf numFmtId="38" fontId="79" fillId="0" borderId="0" xfId="0" applyNumberFormat="1" applyFont="1" applyAlignment="1">
      <alignment horizontal="center"/>
    </xf>
    <xf numFmtId="3" fontId="86" fillId="13" borderId="0" xfId="0" applyNumberFormat="1" applyFont="1" applyFill="1" applyAlignment="1">
      <alignment horizontal="center"/>
    </xf>
    <xf numFmtId="3" fontId="80" fillId="16" borderId="0" xfId="0" applyNumberFormat="1" applyFont="1" applyFill="1" applyAlignment="1">
      <alignment horizontal="center"/>
    </xf>
    <xf numFmtId="3" fontId="82" fillId="0" borderId="0" xfId="0" applyNumberFormat="1" applyFont="1" applyAlignment="1">
      <alignment horizontal="center"/>
    </xf>
    <xf numFmtId="0" fontId="80" fillId="0" borderId="83" xfId="3" applyFont="1" applyBorder="1" applyAlignment="1">
      <alignment vertical="center" wrapText="1"/>
    </xf>
    <xf numFmtId="165" fontId="80" fillId="0" borderId="83" xfId="0" applyNumberFormat="1" applyFont="1" applyBorder="1" applyAlignment="1">
      <alignment horizontal="center"/>
    </xf>
    <xf numFmtId="165" fontId="79" fillId="0" borderId="83" xfId="1" applyNumberFormat="1" applyFont="1" applyBorder="1" applyAlignment="1">
      <alignment horizontal="center"/>
    </xf>
    <xf numFmtId="169" fontId="79" fillId="0" borderId="83" xfId="1" applyNumberFormat="1" applyFont="1" applyBorder="1" applyAlignment="1">
      <alignment horizontal="center"/>
    </xf>
    <xf numFmtId="0" fontId="80" fillId="16" borderId="84" xfId="3" applyFont="1" applyFill="1" applyBorder="1" applyAlignment="1">
      <alignment horizontal="left" vertical="center" wrapText="1"/>
    </xf>
    <xf numFmtId="165" fontId="79" fillId="16" borderId="84" xfId="1" applyNumberFormat="1" applyFont="1" applyFill="1" applyBorder="1" applyAlignment="1">
      <alignment horizontal="center"/>
    </xf>
    <xf numFmtId="169" fontId="79" fillId="16" borderId="84" xfId="1" applyNumberFormat="1" applyFont="1" applyFill="1" applyBorder="1" applyAlignment="1">
      <alignment horizontal="center"/>
    </xf>
    <xf numFmtId="0" fontId="94" fillId="0" borderId="0" xfId="0" applyFont="1"/>
    <xf numFmtId="0" fontId="94" fillId="16" borderId="0" xfId="0" applyFont="1" applyFill="1"/>
    <xf numFmtId="0" fontId="80" fillId="0" borderId="84" xfId="3" applyFont="1" applyBorder="1" applyAlignment="1">
      <alignment vertical="center" wrapText="1"/>
    </xf>
    <xf numFmtId="165" fontId="79" fillId="0" borderId="84" xfId="1" applyNumberFormat="1" applyFont="1" applyBorder="1" applyAlignment="1">
      <alignment horizontal="center"/>
    </xf>
    <xf numFmtId="169" fontId="79" fillId="0" borderId="84" xfId="1" applyNumberFormat="1" applyFont="1" applyBorder="1" applyAlignment="1">
      <alignment horizontal="center"/>
    </xf>
    <xf numFmtId="0" fontId="94" fillId="0" borderId="84" xfId="3" applyFont="1" applyBorder="1" applyAlignment="1">
      <alignment horizontal="left" vertical="center" wrapText="1"/>
    </xf>
    <xf numFmtId="165" fontId="95" fillId="0" borderId="84" xfId="1" applyNumberFormat="1" applyFont="1" applyBorder="1" applyAlignment="1">
      <alignment horizontal="center"/>
    </xf>
    <xf numFmtId="169" fontId="95" fillId="0" borderId="84" xfId="1" applyNumberFormat="1" applyFont="1" applyBorder="1" applyAlignment="1">
      <alignment horizontal="center"/>
    </xf>
    <xf numFmtId="169" fontId="79" fillId="0" borderId="85" xfId="1" applyNumberFormat="1" applyFont="1" applyBorder="1" applyAlignment="1">
      <alignment horizontal="center"/>
    </xf>
    <xf numFmtId="0" fontId="94" fillId="0" borderId="0" xfId="3" applyFont="1" applyAlignment="1">
      <alignment horizontal="left" vertical="center" wrapText="1"/>
    </xf>
    <xf numFmtId="165" fontId="94" fillId="0" borderId="0" xfId="0" applyNumberFormat="1" applyFont="1" applyAlignment="1">
      <alignment horizontal="center"/>
    </xf>
    <xf numFmtId="165" fontId="95" fillId="0" borderId="0" xfId="1" applyNumberFormat="1" applyFont="1" applyAlignment="1">
      <alignment horizontal="center"/>
    </xf>
    <xf numFmtId="169" fontId="95" fillId="0" borderId="0" xfId="1" applyNumberFormat="1" applyFont="1" applyAlignment="1">
      <alignment horizontal="center"/>
    </xf>
    <xf numFmtId="0" fontId="79" fillId="0" borderId="36" xfId="3" applyFont="1" applyBorder="1" applyAlignment="1">
      <alignment horizontal="left" shrinkToFit="1"/>
    </xf>
    <xf numFmtId="165" fontId="79" fillId="0" borderId="36" xfId="0" applyNumberFormat="1" applyFont="1" applyBorder="1" applyAlignment="1">
      <alignment horizontal="center"/>
    </xf>
    <xf numFmtId="0" fontId="96" fillId="0" borderId="58" xfId="3" applyFont="1" applyBorder="1" applyAlignment="1">
      <alignment horizontal="left" wrapText="1"/>
    </xf>
    <xf numFmtId="164" fontId="88" fillId="0" borderId="58" xfId="0" applyNumberFormat="1" applyFont="1" applyBorder="1" applyAlignment="1">
      <alignment horizontal="center"/>
    </xf>
    <xf numFmtId="0" fontId="88" fillId="0" borderId="0" xfId="0" applyFont="1"/>
    <xf numFmtId="3" fontId="88" fillId="0" borderId="0" xfId="0" applyNumberFormat="1" applyFont="1" applyAlignment="1">
      <alignment horizontal="center"/>
    </xf>
    <xf numFmtId="3" fontId="87" fillId="0" borderId="0" xfId="0" applyNumberFormat="1" applyFont="1" applyAlignment="1">
      <alignment horizontal="center"/>
    </xf>
    <xf numFmtId="3" fontId="88" fillId="0" borderId="0" xfId="0" applyNumberFormat="1" applyFont="1"/>
    <xf numFmtId="0" fontId="88" fillId="16" borderId="0" xfId="3" applyFont="1" applyFill="1" applyAlignment="1">
      <alignment horizontal="left" vertical="center" wrapText="1"/>
    </xf>
    <xf numFmtId="169" fontId="87" fillId="16" borderId="0" xfId="1" applyNumberFormat="1" applyFont="1" applyFill="1" applyAlignment="1">
      <alignment horizontal="center"/>
    </xf>
    <xf numFmtId="0" fontId="88" fillId="0" borderId="0" xfId="3" applyFont="1" applyAlignment="1">
      <alignment horizontal="left" vertical="center" wrapText="1"/>
    </xf>
    <xf numFmtId="165" fontId="88" fillId="0" borderId="0" xfId="0" applyNumberFormat="1" applyFont="1" applyAlignment="1">
      <alignment horizontal="center"/>
    </xf>
    <xf numFmtId="165" fontId="87" fillId="0" borderId="0" xfId="1" applyNumberFormat="1" applyFont="1" applyAlignment="1">
      <alignment horizontal="center"/>
    </xf>
    <xf numFmtId="169" fontId="87" fillId="0" borderId="0" xfId="1" applyNumberFormat="1" applyFont="1" applyAlignment="1">
      <alignment horizontal="center"/>
    </xf>
    <xf numFmtId="37" fontId="80" fillId="0" borderId="0" xfId="0" applyNumberFormat="1" applyFont="1" applyAlignment="1">
      <alignment horizontal="center"/>
    </xf>
    <xf numFmtId="170" fontId="80" fillId="0" borderId="0" xfId="4" applyNumberFormat="1" applyFont="1" applyAlignment="1">
      <alignment horizontal="center"/>
    </xf>
    <xf numFmtId="0" fontId="92" fillId="0" borderId="0" xfId="0" applyFont="1" applyAlignment="1">
      <alignment horizontal="center"/>
    </xf>
    <xf numFmtId="0" fontId="58" fillId="16" borderId="84" xfId="3" applyFont="1" applyFill="1" applyBorder="1" applyAlignment="1">
      <alignment horizontal="left" vertical="center" wrapText="1"/>
    </xf>
    <xf numFmtId="0" fontId="97" fillId="16" borderId="81" xfId="3" applyFont="1" applyFill="1" applyBorder="1" applyAlignment="1">
      <alignment horizontal="left" vertical="center" wrapText="1"/>
    </xf>
    <xf numFmtId="3" fontId="55" fillId="0" borderId="36" xfId="0" applyNumberFormat="1" applyFont="1" applyBorder="1" applyAlignment="1">
      <alignment horizontal="center"/>
    </xf>
    <xf numFmtId="38" fontId="3" fillId="0" borderId="0" xfId="0" applyNumberFormat="1" applyFont="1" applyAlignment="1">
      <alignment horizontal="center"/>
    </xf>
    <xf numFmtId="3" fontId="55" fillId="0" borderId="78" xfId="0" applyNumberFormat="1" applyFont="1" applyBorder="1" applyAlignment="1">
      <alignment horizontal="center"/>
    </xf>
    <xf numFmtId="0" fontId="57" fillId="23" borderId="0" xfId="0" applyFont="1" applyFill="1"/>
    <xf numFmtId="3" fontId="60" fillId="23" borderId="0" xfId="0" applyNumberFormat="1" applyFont="1" applyFill="1" applyAlignment="1">
      <alignment horizontal="center"/>
    </xf>
    <xf numFmtId="3" fontId="67" fillId="23" borderId="0" xfId="0" applyNumberFormat="1" applyFont="1" applyFill="1" applyAlignment="1">
      <alignment horizontal="center"/>
    </xf>
    <xf numFmtId="3" fontId="58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82" fillId="2" borderId="0" xfId="0" applyFont="1" applyFill="1"/>
    <xf numFmtId="0" fontId="82" fillId="0" borderId="0" xfId="0" applyFont="1" applyAlignment="1">
      <alignment horizontal="center"/>
    </xf>
    <xf numFmtId="0" fontId="82" fillId="3" borderId="0" xfId="0" applyFont="1" applyFill="1" applyAlignment="1">
      <alignment horizontal="center"/>
    </xf>
    <xf numFmtId="167" fontId="82" fillId="0" borderId="0" xfId="1" applyNumberFormat="1" applyFont="1" applyAlignment="1">
      <alignment horizontal="center"/>
    </xf>
    <xf numFmtId="167" fontId="98" fillId="22" borderId="84" xfId="1" applyNumberFormat="1" applyFont="1" applyFill="1" applyBorder="1" applyAlignment="1">
      <alignment horizontal="center"/>
    </xf>
    <xf numFmtId="165" fontId="99" fillId="16" borderId="0" xfId="0" applyNumberFormat="1" applyFont="1" applyFill="1" applyAlignment="1">
      <alignment horizontal="center"/>
    </xf>
    <xf numFmtId="0" fontId="100" fillId="0" borderId="0" xfId="0" applyFont="1" applyAlignment="1">
      <alignment horizontal="center"/>
    </xf>
    <xf numFmtId="3" fontId="82" fillId="0" borderId="0" xfId="3" applyNumberFormat="1" applyFont="1" applyAlignment="1">
      <alignment horizontal="center"/>
    </xf>
    <xf numFmtId="3" fontId="86" fillId="16" borderId="0" xfId="0" applyNumberFormat="1" applyFont="1" applyFill="1" applyAlignment="1">
      <alignment horizontal="center"/>
    </xf>
    <xf numFmtId="3" fontId="82" fillId="0" borderId="79" xfId="3" applyNumberFormat="1" applyFont="1" applyBorder="1" applyAlignment="1">
      <alignment horizontal="center"/>
    </xf>
    <xf numFmtId="0" fontId="82" fillId="0" borderId="80" xfId="3" applyFont="1" applyBorder="1" applyAlignment="1">
      <alignment horizontal="center"/>
    </xf>
    <xf numFmtId="3" fontId="82" fillId="0" borderId="80" xfId="3" applyNumberFormat="1" applyFont="1" applyBorder="1" applyAlignment="1">
      <alignment horizontal="center"/>
    </xf>
    <xf numFmtId="3" fontId="82" fillId="16" borderId="81" xfId="0" applyNumberFormat="1" applyFont="1" applyFill="1" applyBorder="1" applyAlignment="1">
      <alignment horizontal="center"/>
    </xf>
    <xf numFmtId="3" fontId="82" fillId="0" borderId="81" xfId="0" applyNumberFormat="1" applyFont="1" applyBorder="1" applyAlignment="1">
      <alignment horizontal="center"/>
    </xf>
    <xf numFmtId="3" fontId="82" fillId="0" borderId="81" xfId="3" applyNumberFormat="1" applyFont="1" applyBorder="1" applyAlignment="1">
      <alignment horizontal="center"/>
    </xf>
    <xf numFmtId="3" fontId="82" fillId="16" borderId="81" xfId="3" applyNumberFormat="1" applyFont="1" applyFill="1" applyBorder="1" applyAlignment="1">
      <alignment horizontal="center"/>
    </xf>
    <xf numFmtId="0" fontId="82" fillId="16" borderId="81" xfId="0" applyFont="1" applyFill="1" applyBorder="1" applyAlignment="1">
      <alignment horizontal="center"/>
    </xf>
    <xf numFmtId="3" fontId="82" fillId="0" borderId="82" xfId="0" applyNumberFormat="1" applyFont="1" applyBorder="1" applyAlignment="1">
      <alignment horizontal="center"/>
    </xf>
    <xf numFmtId="3" fontId="86" fillId="0" borderId="36" xfId="0" applyNumberFormat="1" applyFont="1" applyBorder="1" applyAlignment="1">
      <alignment horizontal="center"/>
    </xf>
    <xf numFmtId="165" fontId="82" fillId="0" borderId="0" xfId="0" applyNumberFormat="1" applyFont="1" applyAlignment="1">
      <alignment horizontal="center"/>
    </xf>
    <xf numFmtId="165" fontId="86" fillId="0" borderId="36" xfId="0" applyNumberFormat="1" applyFont="1" applyBorder="1" applyAlignment="1">
      <alignment horizontal="center"/>
    </xf>
    <xf numFmtId="164" fontId="99" fillId="0" borderId="58" xfId="0" applyNumberFormat="1" applyFont="1" applyBorder="1" applyAlignment="1">
      <alignment horizontal="center"/>
    </xf>
    <xf numFmtId="3" fontId="99" fillId="0" borderId="0" xfId="0" applyNumberFormat="1" applyFont="1" applyAlignment="1">
      <alignment horizontal="center"/>
    </xf>
    <xf numFmtId="165" fontId="99" fillId="0" borderId="0" xfId="0" applyNumberFormat="1" applyFont="1" applyAlignment="1">
      <alignment horizontal="center"/>
    </xf>
    <xf numFmtId="37" fontId="82" fillId="0" borderId="0" xfId="0" applyNumberFormat="1" applyFont="1" applyAlignment="1">
      <alignment horizontal="center"/>
    </xf>
    <xf numFmtId="170" fontId="82" fillId="0" borderId="0" xfId="4" applyNumberFormat="1" applyFont="1" applyAlignment="1">
      <alignment horizontal="center"/>
    </xf>
    <xf numFmtId="0" fontId="82" fillId="2" borderId="0" xfId="0" applyFont="1" applyFill="1" applyAlignment="1">
      <alignment horizontal="center"/>
    </xf>
    <xf numFmtId="0" fontId="81" fillId="0" borderId="0" xfId="0" applyFont="1" applyAlignment="1">
      <alignment horizontal="right"/>
    </xf>
    <xf numFmtId="3" fontId="15" fillId="24" borderId="53" xfId="3" applyNumberFormat="1" applyFont="1" applyFill="1" applyBorder="1" applyAlignment="1">
      <alignment horizontal="center"/>
    </xf>
    <xf numFmtId="171" fontId="79" fillId="0" borderId="0" xfId="0" applyNumberFormat="1" applyFont="1"/>
    <xf numFmtId="3" fontId="79" fillId="2" borderId="0" xfId="0" applyNumberFormat="1" applyFont="1" applyFill="1" applyAlignment="1">
      <alignment horizontal="center"/>
    </xf>
    <xf numFmtId="17" fontId="80" fillId="0" borderId="0" xfId="0" applyNumberFormat="1" applyFont="1" applyAlignment="1">
      <alignment horizontal="center" wrapText="1"/>
    </xf>
    <xf numFmtId="3" fontId="81" fillId="0" borderId="0" xfId="0" applyNumberFormat="1" applyFont="1" applyAlignment="1">
      <alignment horizontal="center"/>
    </xf>
    <xf numFmtId="0" fontId="83" fillId="0" borderId="0" xfId="0" applyFont="1" applyAlignment="1">
      <alignment horizontal="center"/>
    </xf>
    <xf numFmtId="167" fontId="101" fillId="0" borderId="0" xfId="1" applyNumberFormat="1" applyFont="1" applyAlignment="1">
      <alignment horizontal="center"/>
    </xf>
    <xf numFmtId="167" fontId="102" fillId="0" borderId="0" xfId="1" applyNumberFormat="1" applyFont="1" applyAlignment="1">
      <alignment horizontal="center"/>
    </xf>
    <xf numFmtId="4" fontId="79" fillId="25" borderId="0" xfId="0" applyNumberFormat="1" applyFont="1" applyFill="1" applyAlignment="1">
      <alignment horizontal="center"/>
    </xf>
    <xf numFmtId="0" fontId="79" fillId="25" borderId="0" xfId="0" applyFont="1" applyFill="1" applyAlignment="1">
      <alignment horizontal="center"/>
    </xf>
    <xf numFmtId="3" fontId="87" fillId="25" borderId="0" xfId="0" applyNumberFormat="1" applyFont="1" applyFill="1" applyAlignment="1">
      <alignment horizontal="center"/>
    </xf>
    <xf numFmtId="40" fontId="79" fillId="25" borderId="0" xfId="0" applyNumberFormat="1" applyFont="1" applyFill="1"/>
    <xf numFmtId="169" fontId="103" fillId="16" borderId="0" xfId="1" applyNumberFormat="1" applyFont="1" applyFill="1" applyAlignment="1">
      <alignment horizontal="center"/>
    </xf>
    <xf numFmtId="167" fontId="107" fillId="22" borderId="84" xfId="1" applyNumberFormat="1" applyFont="1" applyFill="1" applyBorder="1" applyAlignment="1">
      <alignment horizontal="center"/>
    </xf>
    <xf numFmtId="3" fontId="79" fillId="0" borderId="81" xfId="3" applyNumberFormat="1" applyFont="1" applyBorder="1" applyAlignment="1">
      <alignment horizontal="center"/>
    </xf>
    <xf numFmtId="3" fontId="7" fillId="7" borderId="60" xfId="3" applyNumberFormat="1" applyFill="1" applyBorder="1"/>
    <xf numFmtId="0" fontId="79" fillId="21" borderId="78" xfId="3" applyFont="1" applyFill="1" applyBorder="1" applyAlignment="1">
      <alignment horizontal="left" vertical="center" wrapText="1"/>
    </xf>
    <xf numFmtId="3" fontId="79" fillId="21" borderId="78" xfId="0" applyNumberFormat="1" applyFont="1" applyFill="1" applyBorder="1" applyAlignment="1">
      <alignment horizontal="center"/>
    </xf>
    <xf numFmtId="3" fontId="86" fillId="21" borderId="78" xfId="0" applyNumberFormat="1" applyFont="1" applyFill="1" applyBorder="1" applyAlignment="1">
      <alignment horizontal="center"/>
    </xf>
    <xf numFmtId="0" fontId="79" fillId="21" borderId="78" xfId="0" applyFont="1" applyFill="1" applyBorder="1"/>
    <xf numFmtId="0" fontId="79" fillId="21" borderId="0" xfId="0" applyFont="1" applyFill="1"/>
    <xf numFmtId="3" fontId="7" fillId="21" borderId="0" xfId="3" applyNumberFormat="1" applyFill="1" applyAlignment="1">
      <alignment horizontal="center"/>
    </xf>
    <xf numFmtId="3" fontId="15" fillId="21" borderId="53" xfId="3" applyNumberFormat="1" applyFont="1" applyFill="1" applyBorder="1" applyAlignment="1">
      <alignment horizontal="center"/>
    </xf>
    <xf numFmtId="3" fontId="7" fillId="21" borderId="0" xfId="3" applyNumberFormat="1" applyFill="1"/>
    <xf numFmtId="0" fontId="7" fillId="21" borderId="0" xfId="3" applyFill="1"/>
    <xf numFmtId="167" fontId="82" fillId="0" borderId="0" xfId="1" applyNumberFormat="1" applyFont="1" applyFill="1" applyAlignment="1">
      <alignment horizontal="center"/>
    </xf>
    <xf numFmtId="0" fontId="80" fillId="13" borderId="0" xfId="0" applyFont="1" applyFill="1"/>
    <xf numFmtId="0" fontId="80" fillId="13" borderId="84" xfId="3" applyFont="1" applyFill="1" applyBorder="1" applyAlignment="1">
      <alignment horizontal="left" vertical="center" wrapText="1"/>
    </xf>
    <xf numFmtId="165" fontId="79" fillId="13" borderId="84" xfId="1" applyNumberFormat="1" applyFont="1" applyFill="1" applyBorder="1" applyAlignment="1">
      <alignment horizontal="center"/>
    </xf>
    <xf numFmtId="169" fontId="79" fillId="13" borderId="84" xfId="1" applyNumberFormat="1" applyFont="1" applyFill="1" applyBorder="1" applyAlignment="1">
      <alignment horizontal="center"/>
    </xf>
    <xf numFmtId="0" fontId="80" fillId="16" borderId="84" xfId="3" applyFont="1" applyFill="1" applyBorder="1" applyAlignment="1">
      <alignment vertical="center" wrapText="1"/>
    </xf>
    <xf numFmtId="0" fontId="79" fillId="25" borderId="0" xfId="3" applyFont="1" applyFill="1" applyAlignment="1">
      <alignment horizontal="left" vertical="center" wrapText="1"/>
    </xf>
    <xf numFmtId="165" fontId="79" fillId="25" borderId="0" xfId="0" applyNumberFormat="1" applyFont="1" applyFill="1" applyAlignment="1">
      <alignment horizontal="center"/>
    </xf>
    <xf numFmtId="165" fontId="86" fillId="25" borderId="0" xfId="0" applyNumberFormat="1" applyFont="1" applyFill="1" applyAlignment="1">
      <alignment horizontal="center"/>
    </xf>
    <xf numFmtId="0" fontId="79" fillId="25" borderId="0" xfId="0" applyFont="1" applyFill="1"/>
    <xf numFmtId="0" fontId="80" fillId="25" borderId="0" xfId="0" applyFont="1" applyFill="1"/>
    <xf numFmtId="0" fontId="80" fillId="25" borderId="0" xfId="3" applyFont="1" applyFill="1" applyAlignment="1">
      <alignment vertical="center" wrapText="1"/>
    </xf>
    <xf numFmtId="0" fontId="80" fillId="25" borderId="0" xfId="0" applyFont="1" applyFill="1" applyAlignment="1">
      <alignment horizontal="center"/>
    </xf>
    <xf numFmtId="0" fontId="82" fillId="25" borderId="0" xfId="0" applyFont="1" applyFill="1" applyAlignment="1">
      <alignment horizontal="center"/>
    </xf>
    <xf numFmtId="167" fontId="79" fillId="25" borderId="0" xfId="1" applyNumberFormat="1" applyFont="1" applyFill="1" applyAlignment="1">
      <alignment horizontal="center"/>
    </xf>
    <xf numFmtId="164" fontId="101" fillId="25" borderId="0" xfId="0" applyNumberFormat="1" applyFont="1" applyFill="1" applyAlignment="1">
      <alignment horizontal="center"/>
    </xf>
    <xf numFmtId="164" fontId="79" fillId="25" borderId="0" xfId="0" applyNumberFormat="1" applyFont="1" applyFill="1" applyAlignment="1">
      <alignment horizontal="center"/>
    </xf>
    <xf numFmtId="164" fontId="86" fillId="25" borderId="0" xfId="0" applyNumberFormat="1" applyFont="1" applyFill="1" applyAlignment="1">
      <alignment horizontal="center"/>
    </xf>
    <xf numFmtId="43" fontId="79" fillId="25" borderId="0" xfId="0" applyNumberFormat="1" applyFont="1" applyFill="1"/>
    <xf numFmtId="43" fontId="86" fillId="25" borderId="0" xfId="0" applyNumberFormat="1" applyFont="1" applyFill="1"/>
    <xf numFmtId="0" fontId="86" fillId="25" borderId="0" xfId="0" applyFont="1" applyFill="1" applyAlignment="1">
      <alignment horizontal="center"/>
    </xf>
    <xf numFmtId="0" fontId="82" fillId="13" borderId="84" xfId="3" applyFont="1" applyFill="1" applyBorder="1" applyAlignment="1">
      <alignment horizontal="left" vertical="center" wrapText="1"/>
    </xf>
    <xf numFmtId="165" fontId="86" fillId="13" borderId="84" xfId="1" applyNumberFormat="1" applyFont="1" applyFill="1" applyBorder="1" applyAlignment="1">
      <alignment horizontal="center"/>
    </xf>
    <xf numFmtId="169" fontId="86" fillId="13" borderId="84" xfId="1" applyNumberFormat="1" applyFont="1" applyFill="1" applyBorder="1" applyAlignment="1">
      <alignment horizontal="center"/>
    </xf>
    <xf numFmtId="0" fontId="82" fillId="13" borderId="0" xfId="0" applyFont="1" applyFill="1"/>
    <xf numFmtId="165" fontId="80" fillId="16" borderId="83" xfId="0" applyNumberFormat="1" applyFont="1" applyFill="1" applyBorder="1" applyAlignment="1">
      <alignment horizontal="center"/>
    </xf>
    <xf numFmtId="0" fontId="94" fillId="16" borderId="0" xfId="3" applyFont="1" applyFill="1" applyAlignment="1">
      <alignment horizontal="left" vertical="center" wrapText="1"/>
    </xf>
    <xf numFmtId="165" fontId="94" fillId="16" borderId="0" xfId="0" applyNumberFormat="1" applyFont="1" applyFill="1" applyAlignment="1">
      <alignment horizontal="center"/>
    </xf>
    <xf numFmtId="165" fontId="82" fillId="16" borderId="0" xfId="0" applyNumberFormat="1" applyFont="1" applyFill="1" applyAlignment="1">
      <alignment horizontal="center"/>
    </xf>
    <xf numFmtId="165" fontId="95" fillId="16" borderId="0" xfId="1" applyNumberFormat="1" applyFont="1" applyFill="1" applyAlignment="1">
      <alignment horizontal="center"/>
    </xf>
    <xf numFmtId="169" fontId="95" fillId="16" borderId="0" xfId="1" applyNumberFormat="1" applyFont="1" applyFill="1" applyAlignment="1">
      <alignment horizontal="center"/>
    </xf>
    <xf numFmtId="165" fontId="79" fillId="16" borderId="83" xfId="1" applyNumberFormat="1" applyFont="1" applyFill="1" applyBorder="1" applyAlignment="1">
      <alignment horizontal="center"/>
    </xf>
    <xf numFmtId="0" fontId="79" fillId="26" borderId="0" xfId="0" applyFont="1" applyFill="1"/>
    <xf numFmtId="37" fontId="79" fillId="26" borderId="0" xfId="0" applyNumberFormat="1" applyFont="1" applyFill="1" applyAlignment="1">
      <alignment horizontal="center"/>
    </xf>
    <xf numFmtId="37" fontId="86" fillId="26" borderId="0" xfId="0" applyNumberFormat="1" applyFont="1" applyFill="1" applyAlignment="1">
      <alignment horizontal="center"/>
    </xf>
    <xf numFmtId="3" fontId="79" fillId="26" borderId="0" xfId="0" applyNumberFormat="1" applyFont="1" applyFill="1" applyAlignment="1">
      <alignment horizontal="center"/>
    </xf>
    <xf numFmtId="0" fontId="80" fillId="26" borderId="0" xfId="0" applyFont="1" applyFill="1"/>
    <xf numFmtId="37" fontId="108" fillId="26" borderId="0" xfId="0" applyNumberFormat="1" applyFont="1" applyFill="1" applyAlignment="1">
      <alignment horizontal="center"/>
    </xf>
    <xf numFmtId="0" fontId="80" fillId="26" borderId="0" xfId="0" applyFont="1" applyFill="1" applyAlignment="1">
      <alignment horizontal="center"/>
    </xf>
    <xf numFmtId="0" fontId="82" fillId="26" borderId="0" xfId="0" applyFont="1" applyFill="1" applyAlignment="1">
      <alignment horizontal="center"/>
    </xf>
    <xf numFmtId="9" fontId="82" fillId="26" borderId="0" xfId="4" applyFont="1" applyFill="1" applyAlignment="1">
      <alignment horizontal="center"/>
    </xf>
    <xf numFmtId="37" fontId="79" fillId="26" borderId="0" xfId="3" applyNumberFormat="1" applyFont="1" applyFill="1" applyAlignment="1">
      <alignment horizontal="center"/>
    </xf>
    <xf numFmtId="37" fontId="86" fillId="26" borderId="0" xfId="3" applyNumberFormat="1" applyFont="1" applyFill="1" applyAlignment="1">
      <alignment horizontal="center"/>
    </xf>
    <xf numFmtId="3" fontId="86" fillId="26" borderId="0" xfId="0" applyNumberFormat="1" applyFont="1" applyFill="1" applyAlignment="1">
      <alignment horizontal="center"/>
    </xf>
    <xf numFmtId="0" fontId="79" fillId="26" borderId="0" xfId="0" applyFont="1" applyFill="1" applyAlignment="1">
      <alignment horizontal="center"/>
    </xf>
    <xf numFmtId="0" fontId="79" fillId="26" borderId="0" xfId="3" applyFont="1" applyFill="1" applyAlignment="1">
      <alignment horizontal="center" vertical="center" wrapText="1"/>
    </xf>
    <xf numFmtId="3" fontId="79" fillId="26" borderId="0" xfId="3" applyNumberFormat="1" applyFont="1" applyFill="1" applyAlignment="1">
      <alignment horizontal="center"/>
    </xf>
    <xf numFmtId="3" fontId="86" fillId="26" borderId="0" xfId="3" applyNumberFormat="1" applyFont="1" applyFill="1" applyAlignment="1">
      <alignment horizontal="center"/>
    </xf>
    <xf numFmtId="165" fontId="80" fillId="16" borderId="83" xfId="1" applyNumberFormat="1" applyFont="1" applyFill="1" applyBorder="1" applyAlignment="1">
      <alignment horizontal="center"/>
    </xf>
    <xf numFmtId="165" fontId="79" fillId="27" borderId="83" xfId="1" applyNumberFormat="1" applyFont="1" applyFill="1" applyBorder="1" applyAlignment="1">
      <alignment horizontal="center"/>
    </xf>
    <xf numFmtId="0" fontId="80" fillId="17" borderId="80" xfId="3" applyFont="1" applyFill="1" applyBorder="1" applyAlignment="1">
      <alignment vertical="center" wrapText="1"/>
    </xf>
    <xf numFmtId="0" fontId="80" fillId="17" borderId="84" xfId="3" applyFont="1" applyFill="1" applyBorder="1" applyAlignment="1">
      <alignment horizontal="left" vertical="center" wrapText="1"/>
    </xf>
    <xf numFmtId="3" fontId="86" fillId="0" borderId="78" xfId="0" applyNumberFormat="1" applyFont="1" applyBorder="1" applyAlignment="1">
      <alignment horizontal="center"/>
    </xf>
    <xf numFmtId="165" fontId="86" fillId="0" borderId="78" xfId="0" applyNumberFormat="1" applyFont="1" applyBorder="1" applyAlignment="1">
      <alignment horizontal="center"/>
    </xf>
    <xf numFmtId="0" fontId="7" fillId="27" borderId="0" xfId="3" applyFill="1"/>
    <xf numFmtId="3" fontId="79" fillId="28" borderId="0" xfId="0" applyNumberFormat="1" applyFont="1" applyFill="1" applyAlignment="1">
      <alignment horizontal="center"/>
    </xf>
    <xf numFmtId="4" fontId="80" fillId="16" borderId="83" xfId="0" applyNumberFormat="1" applyFont="1" applyFill="1" applyBorder="1" applyAlignment="1">
      <alignment horizontal="center"/>
    </xf>
    <xf numFmtId="165" fontId="79" fillId="0" borderId="83" xfId="1" applyNumberFormat="1" applyFont="1" applyFill="1" applyBorder="1" applyAlignment="1">
      <alignment horizontal="center"/>
    </xf>
    <xf numFmtId="0" fontId="79" fillId="27" borderId="0" xfId="0" applyFont="1" applyFill="1"/>
    <xf numFmtId="3" fontId="86" fillId="17" borderId="0" xfId="0" applyNumberFormat="1" applyFont="1" applyFill="1" applyAlignment="1">
      <alignment horizontal="center"/>
    </xf>
    <xf numFmtId="3" fontId="86" fillId="15" borderId="0" xfId="0" applyNumberFormat="1" applyFont="1" applyFill="1" applyAlignment="1">
      <alignment horizontal="center"/>
    </xf>
    <xf numFmtId="3" fontId="15" fillId="29" borderId="53" xfId="3" applyNumberFormat="1" applyFont="1" applyFill="1" applyBorder="1" applyAlignment="1">
      <alignment horizontal="center"/>
    </xf>
    <xf numFmtId="3" fontId="15" fillId="0" borderId="0" xfId="3" applyNumberFormat="1" applyFont="1" applyAlignment="1">
      <alignment horizontal="center"/>
    </xf>
    <xf numFmtId="3" fontId="15" fillId="0" borderId="86" xfId="3" applyNumberFormat="1" applyFont="1" applyBorder="1" applyAlignment="1">
      <alignment horizontal="center"/>
    </xf>
    <xf numFmtId="3" fontId="15" fillId="0" borderId="5" xfId="3" applyNumberFormat="1" applyFont="1" applyBorder="1" applyAlignment="1">
      <alignment horizontal="center"/>
    </xf>
    <xf numFmtId="3" fontId="7" fillId="7" borderId="5" xfId="3" applyNumberFormat="1" applyFill="1" applyBorder="1"/>
    <xf numFmtId="0" fontId="79" fillId="23" borderId="0" xfId="0" applyFont="1" applyFill="1"/>
    <xf numFmtId="3" fontId="79" fillId="23" borderId="0" xfId="0" applyNumberFormat="1" applyFont="1" applyFill="1" applyAlignment="1">
      <alignment horizontal="center"/>
    </xf>
    <xf numFmtId="3" fontId="86" fillId="23" borderId="0" xfId="0" applyNumberFormat="1" applyFont="1" applyFill="1" applyAlignment="1">
      <alignment horizontal="center"/>
    </xf>
    <xf numFmtId="0" fontId="80" fillId="23" borderId="0" xfId="0" applyFont="1" applyFill="1"/>
    <xf numFmtId="3" fontId="15" fillId="31" borderId="53" xfId="3" applyNumberFormat="1" applyFont="1" applyFill="1" applyBorder="1" applyAlignment="1">
      <alignment horizontal="center"/>
    </xf>
    <xf numFmtId="0" fontId="86" fillId="31" borderId="0" xfId="0" applyFont="1" applyFill="1" applyAlignment="1">
      <alignment horizontal="center"/>
    </xf>
    <xf numFmtId="3" fontId="79" fillId="31" borderId="0" xfId="0" applyNumberFormat="1" applyFont="1" applyFill="1" applyAlignment="1">
      <alignment horizontal="center"/>
    </xf>
    <xf numFmtId="3" fontId="86" fillId="31" borderId="0" xfId="0" applyNumberFormat="1" applyFont="1" applyFill="1" applyAlignment="1">
      <alignment horizontal="center"/>
    </xf>
    <xf numFmtId="3" fontId="80" fillId="0" borderId="37" xfId="3" applyNumberFormat="1" applyFont="1" applyBorder="1" applyAlignment="1">
      <alignment horizontal="center"/>
    </xf>
    <xf numFmtId="1" fontId="82" fillId="0" borderId="37" xfId="3" applyNumberFormat="1" applyFont="1" applyBorder="1" applyAlignment="1">
      <alignment horizontal="center"/>
    </xf>
    <xf numFmtId="3" fontId="82" fillId="0" borderId="37" xfId="3" applyNumberFormat="1" applyFont="1" applyBorder="1" applyAlignment="1">
      <alignment horizontal="center"/>
    </xf>
    <xf numFmtId="0" fontId="80" fillId="0" borderId="37" xfId="0" applyFont="1" applyBorder="1"/>
    <xf numFmtId="1" fontId="86" fillId="0" borderId="37" xfId="3" applyNumberFormat="1" applyFont="1" applyBorder="1" applyAlignment="1">
      <alignment horizontal="center"/>
    </xf>
    <xf numFmtId="165" fontId="80" fillId="32" borderId="83" xfId="0" applyNumberFormat="1" applyFont="1" applyFill="1" applyBorder="1" applyAlignment="1">
      <alignment horizontal="center"/>
    </xf>
    <xf numFmtId="167" fontId="109" fillId="0" borderId="0" xfId="1" applyNumberFormat="1" applyFont="1" applyFill="1" applyAlignment="1">
      <alignment horizontal="center"/>
    </xf>
    <xf numFmtId="167" fontId="102" fillId="0" borderId="0" xfId="1" applyNumberFormat="1" applyFont="1" applyFill="1" applyAlignment="1">
      <alignment horizontal="center"/>
    </xf>
    <xf numFmtId="3" fontId="15" fillId="17" borderId="4" xfId="3" applyNumberFormat="1" applyFont="1" applyFill="1" applyBorder="1" applyAlignment="1">
      <alignment horizontal="center"/>
    </xf>
    <xf numFmtId="37" fontId="30" fillId="17" borderId="39" xfId="3" applyNumberFormat="1" applyFont="1" applyFill="1" applyBorder="1" applyAlignment="1">
      <alignment horizontal="center"/>
    </xf>
    <xf numFmtId="3" fontId="7" fillId="0" borderId="53" xfId="3" applyNumberFormat="1" applyBorder="1" applyAlignment="1">
      <alignment horizontal="center"/>
    </xf>
    <xf numFmtId="3" fontId="79" fillId="21" borderId="0" xfId="0" applyNumberFormat="1" applyFont="1" applyFill="1" applyAlignment="1">
      <alignment horizontal="center"/>
    </xf>
    <xf numFmtId="3" fontId="79" fillId="17" borderId="0" xfId="0" applyNumberFormat="1" applyFont="1" applyFill="1" applyAlignment="1">
      <alignment horizontal="center"/>
    </xf>
    <xf numFmtId="169" fontId="79" fillId="25" borderId="0" xfId="0" applyNumberFormat="1" applyFont="1" applyFill="1"/>
    <xf numFmtId="167" fontId="110" fillId="0" borderId="0" xfId="1" applyNumberFormat="1" applyFont="1" applyFill="1" applyAlignment="1">
      <alignment horizontal="center"/>
    </xf>
    <xf numFmtId="167" fontId="101" fillId="0" borderId="0" xfId="1" applyNumberFormat="1" applyFont="1" applyFill="1" applyAlignment="1">
      <alignment horizontal="center"/>
    </xf>
    <xf numFmtId="167" fontId="84" fillId="0" borderId="0" xfId="1" applyNumberFormat="1" applyFont="1" applyFill="1" applyAlignment="1">
      <alignment horizontal="center"/>
    </xf>
    <xf numFmtId="3" fontId="7" fillId="21" borderId="53" xfId="3" applyNumberFormat="1" applyFill="1" applyBorder="1" applyAlignment="1">
      <alignment horizontal="center"/>
    </xf>
    <xf numFmtId="167" fontId="109" fillId="0" borderId="0" xfId="1" applyNumberFormat="1" applyFont="1" applyAlignment="1">
      <alignment horizontal="center"/>
    </xf>
    <xf numFmtId="3" fontId="15" fillId="17" borderId="5" xfId="3" applyNumberFormat="1" applyFont="1" applyFill="1" applyBorder="1" applyAlignment="1">
      <alignment horizontal="center"/>
    </xf>
    <xf numFmtId="167" fontId="112" fillId="0" borderId="0" xfId="1" applyNumberFormat="1" applyFont="1" applyAlignment="1">
      <alignment horizontal="center"/>
    </xf>
    <xf numFmtId="167" fontId="81" fillId="17" borderId="0" xfId="1" applyNumberFormat="1" applyFont="1" applyFill="1" applyAlignment="1">
      <alignment horizontal="center"/>
    </xf>
    <xf numFmtId="164" fontId="82" fillId="17" borderId="0" xfId="0" applyNumberFormat="1" applyFont="1" applyFill="1" applyAlignment="1">
      <alignment horizontal="center"/>
    </xf>
    <xf numFmtId="167" fontId="109" fillId="17" borderId="0" xfId="1" applyNumberFormat="1" applyFont="1" applyFill="1" applyAlignment="1">
      <alignment horizontal="center"/>
    </xf>
    <xf numFmtId="0" fontId="82" fillId="17" borderId="0" xfId="0" applyFont="1" applyFill="1" applyAlignment="1">
      <alignment horizontal="center"/>
    </xf>
    <xf numFmtId="167" fontId="113" fillId="0" borderId="0" xfId="1" applyNumberFormat="1" applyFont="1" applyFill="1" applyAlignment="1">
      <alignment horizontal="center"/>
    </xf>
    <xf numFmtId="3" fontId="86" fillId="0" borderId="81" xfId="3" applyNumberFormat="1" applyFont="1" applyBorder="1" applyAlignment="1">
      <alignment horizontal="center"/>
    </xf>
    <xf numFmtId="165" fontId="82" fillId="0" borderId="81" xfId="3" applyNumberFormat="1" applyFont="1" applyBorder="1" applyAlignment="1">
      <alignment horizontal="center"/>
    </xf>
    <xf numFmtId="3" fontId="82" fillId="17" borderId="81" xfId="3" applyNumberFormat="1" applyFont="1" applyFill="1" applyBorder="1" applyAlignment="1">
      <alignment horizontal="center"/>
    </xf>
    <xf numFmtId="3" fontId="79" fillId="20" borderId="0" xfId="0" applyNumberFormat="1" applyFont="1" applyFill="1" applyAlignment="1">
      <alignment horizontal="center"/>
    </xf>
    <xf numFmtId="3" fontId="101" fillId="21" borderId="0" xfId="0" applyNumberFormat="1" applyFont="1" applyFill="1" applyAlignment="1">
      <alignment horizontal="center"/>
    </xf>
    <xf numFmtId="167" fontId="82" fillId="17" borderId="0" xfId="1" applyNumberFormat="1" applyFont="1" applyFill="1" applyAlignment="1">
      <alignment horizontal="center"/>
    </xf>
    <xf numFmtId="167" fontId="86" fillId="0" borderId="0" xfId="1" applyNumberFormat="1" applyFont="1" applyFill="1" applyAlignment="1">
      <alignment horizontal="center"/>
    </xf>
    <xf numFmtId="0" fontId="80" fillId="17" borderId="0" xfId="0" applyFont="1" applyFill="1" applyAlignment="1">
      <alignment horizontal="center"/>
    </xf>
    <xf numFmtId="167" fontId="98" fillId="33" borderId="84" xfId="1" applyNumberFormat="1" applyFont="1" applyFill="1" applyBorder="1" applyAlignment="1">
      <alignment horizontal="center"/>
    </xf>
    <xf numFmtId="167" fontId="84" fillId="17" borderId="0" xfId="1" applyNumberFormat="1" applyFont="1" applyFill="1" applyAlignment="1">
      <alignment horizontal="center"/>
    </xf>
    <xf numFmtId="3" fontId="79" fillId="14" borderId="0" xfId="0" applyNumberFormat="1" applyFont="1" applyFill="1" applyAlignment="1">
      <alignment horizontal="center"/>
    </xf>
    <xf numFmtId="3" fontId="79" fillId="15" borderId="0" xfId="0" applyNumberFormat="1" applyFont="1" applyFill="1" applyAlignment="1">
      <alignment horizontal="center"/>
    </xf>
    <xf numFmtId="3" fontId="101" fillId="23" borderId="0" xfId="0" applyNumberFormat="1" applyFont="1" applyFill="1" applyAlignment="1">
      <alignment horizontal="center"/>
    </xf>
    <xf numFmtId="0" fontId="56" fillId="24" borderId="0" xfId="0" applyFont="1" applyFill="1"/>
    <xf numFmtId="3" fontId="60" fillId="24" borderId="0" xfId="0" applyNumberFormat="1" applyFont="1" applyFill="1" applyAlignment="1">
      <alignment horizontal="center"/>
    </xf>
    <xf numFmtId="3" fontId="67" fillId="24" borderId="0" xfId="0" applyNumberFormat="1" applyFont="1" applyFill="1" applyAlignment="1">
      <alignment horizontal="center"/>
    </xf>
    <xf numFmtId="3" fontId="55" fillId="24" borderId="0" xfId="0" applyNumberFormat="1" applyFont="1" applyFill="1" applyAlignment="1">
      <alignment horizontal="center"/>
    </xf>
    <xf numFmtId="0" fontId="58" fillId="24" borderId="0" xfId="0" applyFont="1" applyFill="1"/>
    <xf numFmtId="0" fontId="1" fillId="24" borderId="0" xfId="0" applyFont="1" applyFill="1"/>
    <xf numFmtId="0" fontId="79" fillId="24" borderId="0" xfId="0" applyFont="1" applyFill="1" applyAlignment="1">
      <alignment vertical="center"/>
    </xf>
    <xf numFmtId="3" fontId="86" fillId="24" borderId="0" xfId="0" applyNumberFormat="1" applyFont="1" applyFill="1" applyAlignment="1">
      <alignment horizontal="center" vertical="center"/>
    </xf>
    <xf numFmtId="3" fontId="79" fillId="24" borderId="0" xfId="0" applyNumberFormat="1" applyFont="1" applyFill="1" applyAlignment="1">
      <alignment horizontal="center" vertical="center"/>
    </xf>
    <xf numFmtId="165" fontId="79" fillId="27" borderId="0" xfId="0" applyNumberFormat="1" applyFont="1" applyFill="1" applyAlignment="1">
      <alignment horizontal="center"/>
    </xf>
    <xf numFmtId="167" fontId="114" fillId="0" borderId="0" xfId="1" applyNumberFormat="1" applyFont="1" applyAlignment="1">
      <alignment horizontal="center"/>
    </xf>
    <xf numFmtId="165" fontId="79" fillId="25" borderId="0" xfId="1" applyNumberFormat="1" applyFont="1" applyFill="1" applyAlignment="1">
      <alignment horizontal="center"/>
    </xf>
    <xf numFmtId="0" fontId="19" fillId="0" borderId="0" xfId="3" applyFont="1" applyAlignment="1">
      <alignment horizontal="center"/>
    </xf>
    <xf numFmtId="0" fontId="8" fillId="0" borderId="0" xfId="3" applyFont="1" applyAlignment="1">
      <alignment horizontal="center"/>
    </xf>
    <xf numFmtId="0" fontId="21" fillId="4" borderId="0" xfId="3" applyFont="1" applyFill="1" applyAlignment="1">
      <alignment horizontal="center"/>
    </xf>
    <xf numFmtId="0" fontId="21" fillId="4" borderId="61" xfId="3" applyFont="1" applyFill="1" applyBorder="1" applyAlignment="1">
      <alignment horizontal="center"/>
    </xf>
    <xf numFmtId="0" fontId="21" fillId="4" borderId="34" xfId="3" applyFont="1" applyFill="1" applyBorder="1" applyAlignment="1">
      <alignment horizontal="center"/>
    </xf>
    <xf numFmtId="0" fontId="21" fillId="4" borderId="62" xfId="3" applyFont="1" applyFill="1" applyBorder="1" applyAlignment="1">
      <alignment horizontal="center"/>
    </xf>
    <xf numFmtId="0" fontId="21" fillId="4" borderId="1" xfId="3" applyFont="1" applyFill="1" applyBorder="1" applyAlignment="1">
      <alignment horizontal="center" wrapText="1"/>
    </xf>
    <xf numFmtId="0" fontId="21" fillId="4" borderId="63" xfId="3" applyFont="1" applyFill="1" applyBorder="1" applyAlignment="1">
      <alignment horizontal="center" wrapText="1"/>
    </xf>
    <xf numFmtId="0" fontId="21" fillId="4" borderId="0" xfId="3" applyFont="1" applyFill="1" applyAlignment="1">
      <alignment horizontal="center" wrapText="1"/>
    </xf>
    <xf numFmtId="0" fontId="21" fillId="4" borderId="1" xfId="3" applyFont="1" applyFill="1" applyBorder="1" applyAlignment="1">
      <alignment horizontal="center"/>
    </xf>
    <xf numFmtId="0" fontId="21" fillId="21" borderId="0" xfId="3" applyFont="1" applyFill="1" applyAlignment="1">
      <alignment horizontal="center" wrapText="1"/>
    </xf>
    <xf numFmtId="0" fontId="21" fillId="4" borderId="61" xfId="3" applyFont="1" applyFill="1" applyBorder="1" applyAlignment="1">
      <alignment horizontal="center" wrapText="1"/>
    </xf>
    <xf numFmtId="0" fontId="21" fillId="4" borderId="11" xfId="3" applyFont="1" applyFill="1" applyBorder="1" applyAlignment="1">
      <alignment horizontal="center" wrapText="1"/>
    </xf>
    <xf numFmtId="0" fontId="7" fillId="0" borderId="0" xfId="3" applyAlignment="1">
      <alignment horizontal="center"/>
    </xf>
    <xf numFmtId="3" fontId="7" fillId="0" borderId="0" xfId="3" applyNumberFormat="1" applyAlignment="1">
      <alignment horizontal="center"/>
    </xf>
    <xf numFmtId="0" fontId="21" fillId="4" borderId="13" xfId="3" applyFont="1" applyFill="1" applyBorder="1" applyAlignment="1">
      <alignment horizontal="center"/>
    </xf>
    <xf numFmtId="0" fontId="21" fillId="4" borderId="14" xfId="3" applyFont="1" applyFill="1" applyBorder="1" applyAlignment="1">
      <alignment horizontal="center"/>
    </xf>
    <xf numFmtId="0" fontId="21" fillId="4" borderId="15" xfId="3" applyFont="1" applyFill="1" applyBorder="1" applyAlignment="1">
      <alignment horizontal="center"/>
    </xf>
    <xf numFmtId="0" fontId="9" fillId="0" borderId="16" xfId="3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21" fillId="4" borderId="0" xfId="3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4" borderId="0" xfId="3" applyFont="1" applyFill="1" applyAlignment="1">
      <alignment wrapText="1"/>
    </xf>
    <xf numFmtId="0" fontId="28" fillId="4" borderId="0" xfId="0" applyFont="1" applyFill="1"/>
    <xf numFmtId="0" fontId="54" fillId="11" borderId="64" xfId="3" applyFont="1" applyFill="1" applyBorder="1" applyAlignment="1">
      <alignment horizontal="center" wrapText="1"/>
    </xf>
    <xf numFmtId="0" fontId="54" fillId="11" borderId="9" xfId="3" applyFont="1" applyFill="1" applyBorder="1" applyAlignment="1">
      <alignment horizontal="center" wrapText="1"/>
    </xf>
    <xf numFmtId="0" fontId="9" fillId="12" borderId="11" xfId="3" applyFont="1" applyFill="1" applyBorder="1" applyAlignment="1">
      <alignment horizontal="center"/>
    </xf>
    <xf numFmtId="0" fontId="9" fillId="12" borderId="0" xfId="3" applyFont="1" applyFill="1" applyAlignment="1">
      <alignment horizontal="center"/>
    </xf>
    <xf numFmtId="0" fontId="54" fillId="11" borderId="34" xfId="3" applyFont="1" applyFill="1" applyBorder="1" applyAlignment="1">
      <alignment horizontal="center" wrapText="1"/>
    </xf>
    <xf numFmtId="0" fontId="54" fillId="30" borderId="11" xfId="3" applyFont="1" applyFill="1" applyBorder="1" applyAlignment="1">
      <alignment horizontal="center" wrapText="1"/>
    </xf>
    <xf numFmtId="0" fontId="25" fillId="4" borderId="11" xfId="0" applyFont="1" applyFill="1" applyBorder="1" applyAlignment="1">
      <alignment horizontal="center"/>
    </xf>
    <xf numFmtId="0" fontId="25" fillId="4" borderId="34" xfId="0" applyFont="1" applyFill="1" applyBorder="1" applyAlignment="1">
      <alignment horizontal="center"/>
    </xf>
    <xf numFmtId="0" fontId="24" fillId="4" borderId="65" xfId="0" applyFont="1" applyFill="1" applyBorder="1" applyAlignment="1">
      <alignment horizontal="center"/>
    </xf>
    <xf numFmtId="0" fontId="24" fillId="4" borderId="66" xfId="0" applyFont="1" applyFill="1" applyBorder="1" applyAlignment="1">
      <alignment horizontal="center"/>
    </xf>
    <xf numFmtId="0" fontId="24" fillId="4" borderId="67" xfId="0" applyFont="1" applyFill="1" applyBorder="1" applyAlignment="1">
      <alignment horizontal="center"/>
    </xf>
    <xf numFmtId="0" fontId="28" fillId="4" borderId="27" xfId="3" applyFont="1" applyFill="1" applyBorder="1" applyAlignment="1">
      <alignment horizontal="center" vertical="center" wrapText="1"/>
    </xf>
    <xf numFmtId="0" fontId="28" fillId="4" borderId="70" xfId="0" applyFont="1" applyFill="1" applyBorder="1" applyAlignment="1">
      <alignment horizontal="center" vertical="center" wrapText="1"/>
    </xf>
    <xf numFmtId="0" fontId="28" fillId="4" borderId="19" xfId="3" applyFont="1" applyFill="1" applyBorder="1" applyAlignment="1">
      <alignment horizontal="center"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8" fillId="4" borderId="71" xfId="3" applyFont="1" applyFill="1" applyBorder="1" applyAlignment="1">
      <alignment horizontal="center" vertical="center" wrapText="1"/>
    </xf>
    <xf numFmtId="0" fontId="32" fillId="4" borderId="72" xfId="0" applyFont="1" applyFill="1" applyBorder="1" applyAlignment="1">
      <alignment horizontal="center" vertical="center" wrapText="1"/>
    </xf>
    <xf numFmtId="0" fontId="9" fillId="0" borderId="0" xfId="3" applyFont="1"/>
    <xf numFmtId="0" fontId="3" fillId="0" borderId="0" xfId="0" applyFont="1"/>
    <xf numFmtId="0" fontId="3" fillId="0" borderId="0" xfId="0" applyFont="1" applyAlignment="1">
      <alignment horizontal="center"/>
    </xf>
    <xf numFmtId="0" fontId="21" fillId="4" borderId="73" xfId="3" applyFont="1" applyFill="1" applyBorder="1" applyAlignment="1">
      <alignment horizontal="center" vertical="center" wrapText="1"/>
    </xf>
    <xf numFmtId="0" fontId="21" fillId="4" borderId="74" xfId="0" applyFont="1" applyFill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75" xfId="3" applyFont="1" applyFill="1" applyBorder="1" applyAlignment="1">
      <alignment horizontal="center" vertical="center"/>
    </xf>
    <xf numFmtId="0" fontId="21" fillId="4" borderId="42" xfId="3" applyFont="1" applyFill="1" applyBorder="1" applyAlignment="1">
      <alignment horizontal="center" vertical="center"/>
    </xf>
    <xf numFmtId="0" fontId="21" fillId="4" borderId="76" xfId="3" applyFont="1" applyFill="1" applyBorder="1" applyAlignment="1">
      <alignment horizontal="center" vertical="center" wrapText="1"/>
    </xf>
    <xf numFmtId="0" fontId="21" fillId="4" borderId="77" xfId="3" applyFont="1" applyFill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0" borderId="68" xfId="3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2" fontId="19" fillId="0" borderId="0" xfId="3" applyNumberFormat="1" applyFont="1" applyAlignment="1">
      <alignment horizontal="center"/>
    </xf>
    <xf numFmtId="171" fontId="79" fillId="0" borderId="0" xfId="0" applyNumberFormat="1" applyFont="1" applyAlignment="1">
      <alignment horizontal="left"/>
    </xf>
    <xf numFmtId="167" fontId="73" fillId="0" borderId="0" xfId="1" applyNumberFormat="1" applyFont="1" applyAlignment="1">
      <alignment horizontal="center"/>
    </xf>
    <xf numFmtId="0" fontId="81" fillId="0" borderId="0" xfId="0" applyFont="1" applyAlignment="1">
      <alignment horizontal="center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40"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A44A"/>
      <color rgb="FF0000FF"/>
      <color rgb="FF170EC2"/>
      <color rgb="FFC09200"/>
      <color rgb="FFFF3300"/>
      <color rgb="FFFF5050"/>
      <color rgb="FF99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77</xdr:row>
      <xdr:rowOff>0</xdr:rowOff>
    </xdr:from>
    <xdr:to>
      <xdr:col>37</xdr:col>
      <xdr:colOff>304800</xdr:colOff>
      <xdr:row>77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Q53"/>
  <sheetViews>
    <sheetView showGridLines="0" defaultGridColor="0" colorId="22" zoomScale="110" zoomScaleNormal="110" zoomScaleSheetLayoutView="80" workbookViewId="0">
      <pane xSplit="1" ySplit="5" topLeftCell="B26" activePane="bottomRight" state="frozen"/>
      <selection pane="topRight" activeCell="B1" sqref="B1"/>
      <selection pane="bottomLeft" activeCell="A6" sqref="A6"/>
      <selection pane="bottomRight" activeCell="N35" sqref="N35"/>
    </sheetView>
  </sheetViews>
  <sheetFormatPr defaultColWidth="16.28515625" defaultRowHeight="15" x14ac:dyDescent="0.2"/>
  <cols>
    <col min="1" max="1" width="8.28515625" style="8" customWidth="1"/>
    <col min="2" max="3" width="25" style="8" customWidth="1"/>
    <col min="4" max="4" width="18.7109375" style="8" customWidth="1"/>
    <col min="5" max="5" width="19.5703125" style="8" customWidth="1"/>
    <col min="6" max="6" width="21.5703125" style="8" customWidth="1"/>
    <col min="7" max="7" width="21.28515625" style="8" customWidth="1"/>
    <col min="8" max="8" width="20.7109375" style="8" customWidth="1"/>
    <col min="9" max="9" width="26.28515625" style="8" customWidth="1"/>
    <col min="10" max="10" width="27.28515625" style="8" customWidth="1"/>
    <col min="11" max="11" width="25.28515625" style="8" customWidth="1"/>
    <col min="12" max="12" width="30.5703125" style="8" customWidth="1"/>
    <col min="13" max="13" width="20.7109375" style="8" customWidth="1"/>
    <col min="14" max="14" width="28.28515625" style="8" customWidth="1"/>
    <col min="15" max="15" width="8.28515625" style="8" customWidth="1"/>
    <col min="16" max="16" width="19.7109375" style="8" customWidth="1"/>
    <col min="17" max="17" width="18.42578125" style="8" customWidth="1"/>
    <col min="18" max="18" width="20.28515625" style="8" customWidth="1"/>
    <col min="19" max="19" width="18.7109375" style="8" customWidth="1"/>
    <col min="20" max="20" width="21" style="8" customWidth="1"/>
    <col min="21" max="21" width="19.28515625" style="8" customWidth="1"/>
    <col min="22" max="22" width="18" style="8" customWidth="1"/>
    <col min="23" max="23" width="19.42578125" style="568" customWidth="1"/>
    <col min="24" max="24" width="15.7109375" style="8" customWidth="1"/>
    <col min="25" max="25" width="17.28515625" style="8" customWidth="1"/>
    <col min="26" max="26" width="19.5703125" style="8" customWidth="1"/>
    <col min="27" max="27" width="17.5703125" style="8" customWidth="1"/>
    <col min="28" max="28" width="19.42578125" style="8" customWidth="1"/>
    <col min="29" max="29" width="15.42578125" style="8" bestFit="1" customWidth="1"/>
    <col min="30" max="30" width="16.7109375" style="8" customWidth="1"/>
    <col min="31" max="31" width="18" style="8" customWidth="1"/>
    <col min="32" max="32" width="16.5703125" style="8" customWidth="1"/>
    <col min="33" max="34" width="19.28515625" style="8" customWidth="1"/>
    <col min="35" max="35" width="14.28515625" style="8" customWidth="1"/>
    <col min="36" max="36" width="16.28515625" style="8"/>
    <col min="37" max="37" width="17.5703125" style="8" bestFit="1" customWidth="1"/>
    <col min="38" max="39" width="16.28515625" style="8"/>
    <col min="40" max="40" width="16.28515625" style="8" customWidth="1"/>
    <col min="41" max="16384" width="16.28515625" style="8"/>
  </cols>
  <sheetData>
    <row r="1" spans="1:43" ht="18" x14ac:dyDescent="0.25">
      <c r="B1" s="694" t="s">
        <v>236</v>
      </c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51"/>
      <c r="O1" s="51"/>
      <c r="P1" s="695" t="str">
        <f>B1</f>
        <v>ENTRIES FOR DAILY CONS. MONITOR</v>
      </c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</row>
    <row r="2" spans="1:43" ht="16.5" thickBot="1" x14ac:dyDescent="0.3">
      <c r="C2" s="21" t="s">
        <v>65</v>
      </c>
      <c r="F2" s="22" t="s">
        <v>65</v>
      </c>
      <c r="G2" s="9"/>
      <c r="P2" s="707" t="s">
        <v>260</v>
      </c>
      <c r="Q2" s="707"/>
      <c r="R2" s="707"/>
      <c r="S2" s="707"/>
      <c r="T2" s="707"/>
      <c r="U2" s="707"/>
      <c r="V2" s="707"/>
      <c r="W2" s="707"/>
    </row>
    <row r="3" spans="1:43" ht="15.75" customHeight="1" x14ac:dyDescent="0.25">
      <c r="A3" s="61"/>
      <c r="B3" s="62"/>
      <c r="C3" s="63"/>
      <c r="D3" s="63" t="s">
        <v>5</v>
      </c>
      <c r="E3" s="63"/>
      <c r="F3" s="64"/>
      <c r="G3" s="64"/>
      <c r="H3" s="65"/>
      <c r="I3" s="62"/>
      <c r="J3" s="63" t="s">
        <v>23</v>
      </c>
      <c r="K3" s="66"/>
      <c r="L3" s="709" t="s">
        <v>59</v>
      </c>
      <c r="M3" s="710"/>
      <c r="N3" s="711"/>
      <c r="O3" s="61"/>
      <c r="P3" s="703" t="s">
        <v>4</v>
      </c>
      <c r="Q3" s="696"/>
      <c r="R3" s="696"/>
      <c r="S3" s="696"/>
      <c r="T3" s="696"/>
      <c r="U3" s="696"/>
      <c r="V3" s="696"/>
      <c r="W3" s="696"/>
      <c r="X3" s="696"/>
      <c r="Y3" s="696"/>
      <c r="Z3" s="696"/>
      <c r="AA3" s="696"/>
      <c r="AB3" s="696"/>
      <c r="AC3" s="696"/>
      <c r="AD3" s="696"/>
      <c r="AE3" s="69"/>
      <c r="AF3" s="220"/>
      <c r="AG3" s="223"/>
      <c r="AH3" s="722" t="s">
        <v>230</v>
      </c>
      <c r="AI3" s="718" t="s">
        <v>228</v>
      </c>
      <c r="AJ3" s="718" t="s">
        <v>229</v>
      </c>
      <c r="AK3" s="723" t="s">
        <v>263</v>
      </c>
      <c r="AL3" s="720" t="s">
        <v>197</v>
      </c>
      <c r="AM3" s="721"/>
      <c r="AN3" s="721"/>
      <c r="AO3" s="721"/>
    </row>
    <row r="4" spans="1:43" ht="16.899999999999999" customHeight="1" x14ac:dyDescent="0.25">
      <c r="A4" s="67"/>
      <c r="B4" s="68" t="s">
        <v>24</v>
      </c>
      <c r="C4" s="69" t="s">
        <v>28</v>
      </c>
      <c r="D4" s="70" t="s">
        <v>26</v>
      </c>
      <c r="E4" s="69" t="s">
        <v>27</v>
      </c>
      <c r="F4" s="70" t="s">
        <v>28</v>
      </c>
      <c r="G4" s="70" t="s">
        <v>25</v>
      </c>
      <c r="H4" s="71" t="s">
        <v>29</v>
      </c>
      <c r="I4" s="72" t="s">
        <v>30</v>
      </c>
      <c r="J4" s="70" t="s">
        <v>31</v>
      </c>
      <c r="K4" s="71" t="s">
        <v>32</v>
      </c>
      <c r="L4" s="72" t="s">
        <v>60</v>
      </c>
      <c r="M4" s="393" t="s">
        <v>61</v>
      </c>
      <c r="N4" s="712" t="s">
        <v>186</v>
      </c>
      <c r="O4" s="67"/>
      <c r="P4" s="700" t="s">
        <v>113</v>
      </c>
      <c r="Q4" s="702" t="s">
        <v>114</v>
      </c>
      <c r="R4" s="702" t="s">
        <v>179</v>
      </c>
      <c r="S4" s="702" t="s">
        <v>190</v>
      </c>
      <c r="T4" s="702" t="s">
        <v>115</v>
      </c>
      <c r="U4" s="702" t="s">
        <v>191</v>
      </c>
      <c r="V4" s="702" t="s">
        <v>116</v>
      </c>
      <c r="W4" s="704" t="s">
        <v>266</v>
      </c>
      <c r="X4" s="714" t="s">
        <v>196</v>
      </c>
      <c r="Y4" s="69" t="s">
        <v>109</v>
      </c>
      <c r="Z4" s="69" t="s">
        <v>110</v>
      </c>
      <c r="AA4" s="70" t="s">
        <v>111</v>
      </c>
      <c r="AB4" s="696" t="s">
        <v>78</v>
      </c>
      <c r="AC4" s="698" t="s">
        <v>79</v>
      </c>
      <c r="AD4" s="706" t="s">
        <v>169</v>
      </c>
      <c r="AE4" s="702" t="s">
        <v>173</v>
      </c>
      <c r="AF4" s="702" t="s">
        <v>174</v>
      </c>
      <c r="AG4" s="716" t="s">
        <v>178</v>
      </c>
      <c r="AH4" s="722"/>
      <c r="AI4" s="719"/>
      <c r="AJ4" s="719"/>
      <c r="AK4" s="723"/>
      <c r="AL4" s="12" t="s">
        <v>203</v>
      </c>
      <c r="AM4" s="12" t="s">
        <v>262</v>
      </c>
      <c r="AN4" s="12" t="s">
        <v>202</v>
      </c>
      <c r="AO4" s="12" t="s">
        <v>203</v>
      </c>
    </row>
    <row r="5" spans="1:43" ht="14.25" customHeight="1" thickBot="1" x14ac:dyDescent="0.3">
      <c r="A5" s="73" t="s">
        <v>8</v>
      </c>
      <c r="B5" s="72" t="s">
        <v>33</v>
      </c>
      <c r="C5" s="70" t="s">
        <v>33</v>
      </c>
      <c r="D5" s="70" t="s">
        <v>34</v>
      </c>
      <c r="E5" s="69" t="s">
        <v>35</v>
      </c>
      <c r="F5" s="70" t="s">
        <v>36</v>
      </c>
      <c r="G5" s="70" t="s">
        <v>36</v>
      </c>
      <c r="H5" s="71" t="s">
        <v>37</v>
      </c>
      <c r="I5" s="72" t="s">
        <v>38</v>
      </c>
      <c r="J5" s="70" t="s">
        <v>38</v>
      </c>
      <c r="K5" s="71" t="s">
        <v>38</v>
      </c>
      <c r="L5" s="72" t="s">
        <v>62</v>
      </c>
      <c r="M5" s="393" t="s">
        <v>62</v>
      </c>
      <c r="N5" s="713"/>
      <c r="O5" s="73" t="s">
        <v>8</v>
      </c>
      <c r="P5" s="701"/>
      <c r="Q5" s="702"/>
      <c r="R5" s="702"/>
      <c r="S5" s="702"/>
      <c r="T5" s="705"/>
      <c r="U5" s="705"/>
      <c r="V5" s="705"/>
      <c r="W5" s="704"/>
      <c r="X5" s="715"/>
      <c r="Y5" s="70" t="s">
        <v>117</v>
      </c>
      <c r="Z5" s="70" t="s">
        <v>117</v>
      </c>
      <c r="AA5" s="70" t="s">
        <v>117</v>
      </c>
      <c r="AB5" s="697"/>
      <c r="AC5" s="699"/>
      <c r="AD5" s="706"/>
      <c r="AE5" s="702"/>
      <c r="AF5" s="702"/>
      <c r="AG5" s="717"/>
      <c r="AH5" s="722"/>
      <c r="AI5" s="719"/>
      <c r="AJ5" s="719"/>
      <c r="AK5" s="723"/>
      <c r="AL5" s="12" t="s">
        <v>198</v>
      </c>
      <c r="AM5" s="12" t="s">
        <v>199</v>
      </c>
      <c r="AN5" s="12" t="s">
        <v>200</v>
      </c>
      <c r="AO5" s="12" t="s">
        <v>201</v>
      </c>
    </row>
    <row r="6" spans="1:43" ht="14.25" hidden="1" customHeight="1" x14ac:dyDescent="0.2">
      <c r="A6" s="10" t="s">
        <v>39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09"/>
      <c r="Q6" s="23"/>
      <c r="R6" s="23"/>
      <c r="S6" s="390">
        <v>5140</v>
      </c>
      <c r="T6" s="23"/>
      <c r="U6" s="23"/>
      <c r="V6" s="23"/>
      <c r="W6" s="565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44"/>
      <c r="AI6" s="245"/>
      <c r="AJ6" s="246"/>
      <c r="AK6" s="115"/>
    </row>
    <row r="7" spans="1:43" ht="26.1" customHeight="1" x14ac:dyDescent="0.2">
      <c r="A7" s="12">
        <v>1</v>
      </c>
      <c r="B7" s="209">
        <v>7160920</v>
      </c>
      <c r="C7" s="209"/>
      <c r="D7" s="209"/>
      <c r="E7" s="209">
        <v>70</v>
      </c>
      <c r="F7" s="209">
        <v>2366.4</v>
      </c>
      <c r="G7" s="209">
        <v>68208</v>
      </c>
      <c r="H7" s="391"/>
      <c r="I7" s="390">
        <v>212780</v>
      </c>
      <c r="J7" s="209">
        <v>791664</v>
      </c>
      <c r="K7" s="391">
        <v>466400</v>
      </c>
      <c r="L7" s="209"/>
      <c r="M7" s="639"/>
      <c r="N7" s="390">
        <v>262.89</v>
      </c>
      <c r="O7" s="209">
        <v>1</v>
      </c>
      <c r="P7" s="653">
        <v>166764</v>
      </c>
      <c r="Q7" s="630">
        <v>3348</v>
      </c>
      <c r="R7" s="209">
        <v>885472</v>
      </c>
      <c r="S7" s="209"/>
      <c r="T7" s="209">
        <v>30820</v>
      </c>
      <c r="U7" s="209"/>
      <c r="V7" s="209">
        <v>20538</v>
      </c>
      <c r="W7" s="566">
        <v>1280318</v>
      </c>
      <c r="X7" s="209"/>
      <c r="Y7" s="544">
        <v>30060</v>
      </c>
      <c r="Z7" s="209">
        <v>27709</v>
      </c>
      <c r="AA7" s="209">
        <v>4869</v>
      </c>
      <c r="AB7" s="209">
        <v>97122</v>
      </c>
      <c r="AC7" s="209"/>
      <c r="AD7" s="209">
        <v>38942</v>
      </c>
      <c r="AE7" s="209">
        <v>258494</v>
      </c>
      <c r="AF7" s="209"/>
      <c r="AG7" s="390"/>
      <c r="AH7" s="209"/>
      <c r="AI7" s="209"/>
      <c r="AJ7" s="632"/>
      <c r="AK7" s="633">
        <v>7258604.6919999998</v>
      </c>
      <c r="AL7" s="559"/>
      <c r="AM7" s="227"/>
      <c r="AN7" s="227"/>
      <c r="AO7" s="227"/>
    </row>
    <row r="8" spans="1:43" ht="26.1" customHeight="1" x14ac:dyDescent="0.2">
      <c r="A8" s="10">
        <v>2</v>
      </c>
      <c r="B8" s="209">
        <v>7161120</v>
      </c>
      <c r="C8" s="209"/>
      <c r="D8" s="209"/>
      <c r="E8" s="209">
        <v>70</v>
      </c>
      <c r="F8" s="209">
        <v>2367.6999999999998</v>
      </c>
      <c r="G8" s="209">
        <v>68208</v>
      </c>
      <c r="H8" s="391"/>
      <c r="I8" s="390">
        <v>216276</v>
      </c>
      <c r="J8" s="209">
        <v>794023</v>
      </c>
      <c r="K8" s="391">
        <v>466400</v>
      </c>
      <c r="L8" s="209"/>
      <c r="M8" s="639"/>
      <c r="N8" s="390">
        <v>262.89</v>
      </c>
      <c r="O8" s="209">
        <v>2</v>
      </c>
      <c r="P8" s="653">
        <v>166764</v>
      </c>
      <c r="Q8" s="630">
        <v>3603</v>
      </c>
      <c r="R8" s="209">
        <v>885492</v>
      </c>
      <c r="S8" s="209"/>
      <c r="T8" s="209">
        <v>30820</v>
      </c>
      <c r="U8" s="209"/>
      <c r="V8" s="209">
        <v>20538</v>
      </c>
      <c r="W8" s="566">
        <v>1280318</v>
      </c>
      <c r="X8" s="209"/>
      <c r="Y8" s="544">
        <v>30060</v>
      </c>
      <c r="Z8" s="209">
        <v>27742</v>
      </c>
      <c r="AA8" s="209">
        <v>4910</v>
      </c>
      <c r="AB8" s="209">
        <v>97122</v>
      </c>
      <c r="AC8" s="209"/>
      <c r="AD8" s="209">
        <v>38942</v>
      </c>
      <c r="AE8" s="209">
        <v>258494</v>
      </c>
      <c r="AF8" s="209"/>
      <c r="AG8" s="390"/>
      <c r="AH8" s="209"/>
      <c r="AI8" s="209"/>
      <c r="AJ8" s="632"/>
      <c r="AK8" s="633">
        <v>7258604.6919999998</v>
      </c>
      <c r="AL8" s="559"/>
      <c r="AM8" s="227"/>
      <c r="AN8" s="227"/>
      <c r="AO8" s="227"/>
    </row>
    <row r="9" spans="1:43" ht="26.1" customHeight="1" x14ac:dyDescent="0.2">
      <c r="A9" s="12">
        <v>3</v>
      </c>
      <c r="B9" s="209">
        <v>7161880</v>
      </c>
      <c r="C9" s="209"/>
      <c r="D9" s="209"/>
      <c r="E9" s="209">
        <v>70</v>
      </c>
      <c r="F9" s="209">
        <v>2372</v>
      </c>
      <c r="G9" s="209">
        <v>68208</v>
      </c>
      <c r="H9" s="391"/>
      <c r="I9" s="390">
        <v>217568</v>
      </c>
      <c r="J9" s="209">
        <v>796191</v>
      </c>
      <c r="K9" s="391">
        <v>466400</v>
      </c>
      <c r="L9" s="209"/>
      <c r="M9" s="639"/>
      <c r="N9" s="390">
        <v>262.89</v>
      </c>
      <c r="O9" s="209">
        <v>3</v>
      </c>
      <c r="P9" s="653">
        <v>166766</v>
      </c>
      <c r="Q9" s="630">
        <v>3682</v>
      </c>
      <c r="R9" s="209">
        <v>885575</v>
      </c>
      <c r="S9" s="209"/>
      <c r="T9" s="209">
        <v>30820</v>
      </c>
      <c r="U9" s="209"/>
      <c r="V9" s="209">
        <v>20538</v>
      </c>
      <c r="W9" s="566">
        <v>1280670</v>
      </c>
      <c r="X9" s="209"/>
      <c r="Y9" s="544">
        <v>30060</v>
      </c>
      <c r="Z9" s="209">
        <v>27744</v>
      </c>
      <c r="AA9" s="209">
        <v>4928</v>
      </c>
      <c r="AB9" s="209">
        <v>97122</v>
      </c>
      <c r="AC9" s="209"/>
      <c r="AD9" s="209">
        <v>38942</v>
      </c>
      <c r="AE9" s="209">
        <v>258494</v>
      </c>
      <c r="AF9" s="209"/>
      <c r="AG9" s="390"/>
      <c r="AH9" s="209"/>
      <c r="AI9" s="209"/>
      <c r="AJ9" s="632"/>
      <c r="AK9" s="633">
        <v>7258604.6919999998</v>
      </c>
      <c r="AL9" s="559"/>
      <c r="AM9" s="227"/>
      <c r="AN9" s="227"/>
      <c r="AO9" s="227"/>
    </row>
    <row r="10" spans="1:43" ht="26.1" customHeight="1" x14ac:dyDescent="0.2">
      <c r="A10" s="10">
        <v>4</v>
      </c>
      <c r="B10" s="209">
        <v>7164980</v>
      </c>
      <c r="C10" s="209"/>
      <c r="D10" s="209"/>
      <c r="E10" s="209">
        <v>70</v>
      </c>
      <c r="F10" s="209">
        <v>2393.9</v>
      </c>
      <c r="G10" s="209">
        <v>68208</v>
      </c>
      <c r="H10" s="391"/>
      <c r="I10" s="390">
        <v>221617</v>
      </c>
      <c r="J10" s="209">
        <v>800017</v>
      </c>
      <c r="K10" s="391">
        <v>466400</v>
      </c>
      <c r="L10" s="209"/>
      <c r="M10" s="639"/>
      <c r="N10" s="390">
        <v>292.23</v>
      </c>
      <c r="O10" s="209">
        <v>4</v>
      </c>
      <c r="P10" s="660">
        <v>166838</v>
      </c>
      <c r="Q10" s="630">
        <v>3870</v>
      </c>
      <c r="R10" s="209">
        <v>885824</v>
      </c>
      <c r="S10" s="209"/>
      <c r="T10" s="209">
        <v>31018</v>
      </c>
      <c r="U10" s="209"/>
      <c r="V10" s="209">
        <v>20545</v>
      </c>
      <c r="W10" s="566">
        <v>1280867</v>
      </c>
      <c r="X10" s="209"/>
      <c r="Y10" s="544">
        <v>30139</v>
      </c>
      <c r="Z10" s="209">
        <v>27825</v>
      </c>
      <c r="AA10" s="209">
        <v>4988</v>
      </c>
      <c r="AB10" s="209">
        <v>97122</v>
      </c>
      <c r="AC10" s="209"/>
      <c r="AD10" s="209">
        <v>38969</v>
      </c>
      <c r="AE10" s="209">
        <v>258494</v>
      </c>
      <c r="AF10" s="209"/>
      <c r="AG10" s="390"/>
      <c r="AH10" s="209"/>
      <c r="AI10" s="209"/>
      <c r="AJ10" s="632"/>
      <c r="AK10" s="633">
        <v>7258886.5690000001</v>
      </c>
      <c r="AL10" s="559"/>
      <c r="AM10" s="227"/>
      <c r="AN10" s="227"/>
      <c r="AO10" s="227"/>
    </row>
    <row r="11" spans="1:43" ht="26.1" customHeight="1" x14ac:dyDescent="0.2">
      <c r="A11" s="12">
        <v>5</v>
      </c>
      <c r="B11" s="209">
        <v>7168010</v>
      </c>
      <c r="C11" s="209"/>
      <c r="D11" s="209"/>
      <c r="E11" s="209">
        <v>70</v>
      </c>
      <c r="F11" s="209">
        <v>2413.4</v>
      </c>
      <c r="G11" s="209">
        <v>68208</v>
      </c>
      <c r="H11" s="391"/>
      <c r="I11" s="390">
        <v>225604</v>
      </c>
      <c r="J11" s="209">
        <v>803786</v>
      </c>
      <c r="K11" s="391">
        <v>466400</v>
      </c>
      <c r="L11" s="209"/>
      <c r="M11" s="639"/>
      <c r="N11" s="390">
        <v>335.28</v>
      </c>
      <c r="O11" s="209">
        <v>5</v>
      </c>
      <c r="P11" s="653">
        <v>166991</v>
      </c>
      <c r="Q11" s="630">
        <v>4077</v>
      </c>
      <c r="R11" s="209">
        <v>886034</v>
      </c>
      <c r="S11" s="209"/>
      <c r="T11" s="209">
        <v>31199</v>
      </c>
      <c r="U11" s="209"/>
      <c r="V11" s="209">
        <v>20548</v>
      </c>
      <c r="W11" s="566">
        <v>1281086</v>
      </c>
      <c r="X11" s="209"/>
      <c r="Y11" s="544">
        <v>30183</v>
      </c>
      <c r="Z11" s="209">
        <v>27895</v>
      </c>
      <c r="AA11" s="209">
        <v>5039</v>
      </c>
      <c r="AB11" s="209">
        <v>97122</v>
      </c>
      <c r="AC11" s="209"/>
      <c r="AD11" s="209">
        <v>38993</v>
      </c>
      <c r="AE11" s="209">
        <v>258494</v>
      </c>
      <c r="AF11" s="209"/>
      <c r="AG11" s="390"/>
      <c r="AH11" s="209"/>
      <c r="AI11" s="209"/>
      <c r="AJ11" s="632"/>
      <c r="AK11" s="633">
        <v>7258886.5690000001</v>
      </c>
      <c r="AL11" s="559"/>
      <c r="AM11" s="227"/>
      <c r="AN11" s="227"/>
      <c r="AO11" s="227"/>
    </row>
    <row r="12" spans="1:43" ht="25.15" customHeight="1" x14ac:dyDescent="0.2">
      <c r="A12" s="10">
        <v>6</v>
      </c>
      <c r="B12" s="209">
        <v>7171410</v>
      </c>
      <c r="C12" s="209"/>
      <c r="D12" s="209"/>
      <c r="E12" s="209">
        <v>70</v>
      </c>
      <c r="F12" s="209">
        <v>2435.6999999999998</v>
      </c>
      <c r="G12" s="209">
        <v>68208</v>
      </c>
      <c r="H12" s="391"/>
      <c r="I12" s="390">
        <v>229962</v>
      </c>
      <c r="J12" s="209">
        <v>807905</v>
      </c>
      <c r="K12" s="391">
        <v>466400</v>
      </c>
      <c r="L12" s="209"/>
      <c r="M12" s="639"/>
      <c r="N12" s="390">
        <v>376</v>
      </c>
      <c r="O12" s="209">
        <f>'Entries Feb.''25'!A12</f>
        <v>6</v>
      </c>
      <c r="P12" s="653">
        <v>167279</v>
      </c>
      <c r="Q12" s="630">
        <v>4219</v>
      </c>
      <c r="R12" s="209">
        <v>886287</v>
      </c>
      <c r="S12" s="209"/>
      <c r="T12" s="209">
        <v>31477</v>
      </c>
      <c r="U12" s="209"/>
      <c r="V12" s="209">
        <v>20553</v>
      </c>
      <c r="W12" s="566">
        <v>1281235</v>
      </c>
      <c r="X12" s="209"/>
      <c r="Y12" s="544">
        <v>30244</v>
      </c>
      <c r="Z12" s="209">
        <v>27986</v>
      </c>
      <c r="AA12" s="209">
        <v>5081</v>
      </c>
      <c r="AB12" s="209">
        <v>97122</v>
      </c>
      <c r="AC12" s="209"/>
      <c r="AD12" s="209">
        <v>39017</v>
      </c>
      <c r="AE12" s="209">
        <v>258494</v>
      </c>
      <c r="AF12" s="209"/>
      <c r="AG12" s="390"/>
      <c r="AH12" s="209"/>
      <c r="AI12" s="209"/>
      <c r="AJ12" s="632"/>
      <c r="AK12" s="633">
        <v>7258886.5690000001</v>
      </c>
      <c r="AL12" s="559"/>
      <c r="AM12" s="227"/>
      <c r="AN12" s="227"/>
      <c r="AO12" s="227"/>
    </row>
    <row r="13" spans="1:43" ht="26.25" customHeight="1" x14ac:dyDescent="0.2">
      <c r="A13" s="12">
        <v>7</v>
      </c>
      <c r="B13" s="209">
        <v>7174330</v>
      </c>
      <c r="C13" s="209"/>
      <c r="D13" s="209"/>
      <c r="E13" s="209">
        <v>70</v>
      </c>
      <c r="F13" s="209">
        <v>2456.1999999999998</v>
      </c>
      <c r="G13" s="209">
        <v>68208</v>
      </c>
      <c r="H13" s="391"/>
      <c r="I13" s="390">
        <v>233971</v>
      </c>
      <c r="J13" s="209">
        <v>811693</v>
      </c>
      <c r="K13" s="391">
        <v>466400</v>
      </c>
      <c r="L13" s="209"/>
      <c r="M13" s="639"/>
      <c r="N13" s="390">
        <v>380.39</v>
      </c>
      <c r="O13" s="209">
        <f>'Entries Feb.''25'!A13</f>
        <v>7</v>
      </c>
      <c r="P13" s="653">
        <v>167426</v>
      </c>
      <c r="Q13" s="630">
        <v>4432</v>
      </c>
      <c r="R13" s="209">
        <v>886495</v>
      </c>
      <c r="S13" s="209"/>
      <c r="T13" s="209">
        <v>31695</v>
      </c>
      <c r="U13" s="209"/>
      <c r="V13" s="209">
        <v>20553</v>
      </c>
      <c r="W13" s="566">
        <v>1281459</v>
      </c>
      <c r="X13" s="209"/>
      <c r="Y13" s="544">
        <v>30295</v>
      </c>
      <c r="Z13" s="209">
        <v>28046</v>
      </c>
      <c r="AA13" s="209">
        <v>5113</v>
      </c>
      <c r="AB13" s="209">
        <v>97122</v>
      </c>
      <c r="AC13" s="209"/>
      <c r="AD13" s="209">
        <v>39037</v>
      </c>
      <c r="AE13" s="209">
        <v>258494</v>
      </c>
      <c r="AF13" s="209"/>
      <c r="AG13" s="390"/>
      <c r="AH13" s="209"/>
      <c r="AI13" s="209"/>
      <c r="AJ13" s="632"/>
      <c r="AK13" s="633">
        <v>7258887.233</v>
      </c>
      <c r="AL13" s="559"/>
      <c r="AM13" s="227"/>
      <c r="AN13" s="227"/>
      <c r="AO13" s="227"/>
    </row>
    <row r="14" spans="1:43" ht="27" customHeight="1" x14ac:dyDescent="0.2">
      <c r="A14" s="10">
        <v>8</v>
      </c>
      <c r="B14" s="209">
        <v>7174330</v>
      </c>
      <c r="C14" s="209"/>
      <c r="D14" s="209"/>
      <c r="E14" s="209">
        <v>70</v>
      </c>
      <c r="F14" s="209">
        <v>2456.1999999999998</v>
      </c>
      <c r="G14" s="209">
        <v>68208</v>
      </c>
      <c r="H14" s="391"/>
      <c r="I14" s="390">
        <v>235871</v>
      </c>
      <c r="J14" s="209">
        <v>813490</v>
      </c>
      <c r="K14" s="391">
        <v>466400</v>
      </c>
      <c r="L14" s="209"/>
      <c r="M14" s="639"/>
      <c r="N14" s="390">
        <v>380.39</v>
      </c>
      <c r="O14" s="209">
        <f>'Entries Feb.''25'!A14</f>
        <v>8</v>
      </c>
      <c r="P14" s="653">
        <v>167725</v>
      </c>
      <c r="Q14" s="630">
        <v>4432</v>
      </c>
      <c r="R14" s="209">
        <v>886507</v>
      </c>
      <c r="S14" s="209"/>
      <c r="T14" s="209">
        <v>31695</v>
      </c>
      <c r="U14" s="209"/>
      <c r="V14" s="209">
        <v>20553</v>
      </c>
      <c r="W14" s="566">
        <v>1281459</v>
      </c>
      <c r="X14" s="209"/>
      <c r="Y14" s="544">
        <v>30295</v>
      </c>
      <c r="Z14" s="209">
        <v>28046</v>
      </c>
      <c r="AA14" s="209">
        <v>5113</v>
      </c>
      <c r="AB14" s="209">
        <v>97122</v>
      </c>
      <c r="AC14" s="209"/>
      <c r="AD14" s="209">
        <v>39037</v>
      </c>
      <c r="AE14" s="209">
        <v>258494</v>
      </c>
      <c r="AF14" s="209"/>
      <c r="AG14" s="390"/>
      <c r="AH14" s="209"/>
      <c r="AI14" s="209"/>
      <c r="AJ14" s="632"/>
      <c r="AK14" s="633">
        <v>7258887.233</v>
      </c>
      <c r="AL14" s="559"/>
      <c r="AM14" s="227"/>
      <c r="AN14" s="227"/>
      <c r="AO14" s="227"/>
    </row>
    <row r="15" spans="1:43" s="623" customFormat="1" ht="26.1" customHeight="1" x14ac:dyDescent="0.2">
      <c r="A15" s="10">
        <v>9</v>
      </c>
      <c r="B15" s="209">
        <v>7174740</v>
      </c>
      <c r="C15" s="209"/>
      <c r="D15" s="209"/>
      <c r="E15" s="209">
        <v>70</v>
      </c>
      <c r="F15" s="209">
        <v>2459.9</v>
      </c>
      <c r="G15" s="209">
        <v>68209</v>
      </c>
      <c r="H15" s="391"/>
      <c r="I15" s="390">
        <v>238265</v>
      </c>
      <c r="J15" s="209">
        <v>815755</v>
      </c>
      <c r="K15" s="391">
        <v>466400</v>
      </c>
      <c r="L15" s="209"/>
      <c r="M15" s="639"/>
      <c r="N15" s="390">
        <v>380.39</v>
      </c>
      <c r="O15" s="209">
        <f>'Entries Feb.''25'!A15</f>
        <v>9</v>
      </c>
      <c r="P15" s="653">
        <v>167780</v>
      </c>
      <c r="Q15" s="630">
        <v>4432</v>
      </c>
      <c r="R15" s="209">
        <v>886579</v>
      </c>
      <c r="S15" s="209"/>
      <c r="T15" s="209">
        <v>31700</v>
      </c>
      <c r="U15" s="209"/>
      <c r="V15" s="209">
        <v>20553</v>
      </c>
      <c r="W15" s="566">
        <v>1281495</v>
      </c>
      <c r="X15" s="209"/>
      <c r="Y15" s="544">
        <v>30295</v>
      </c>
      <c r="Z15" s="209">
        <v>28046</v>
      </c>
      <c r="AA15" s="209">
        <v>5121</v>
      </c>
      <c r="AB15" s="209">
        <v>97122</v>
      </c>
      <c r="AC15" s="209"/>
      <c r="AD15" s="209">
        <v>39037</v>
      </c>
      <c r="AE15" s="209">
        <v>258494</v>
      </c>
      <c r="AF15" s="209"/>
      <c r="AG15" s="390"/>
      <c r="AH15" s="209"/>
      <c r="AI15" s="209"/>
      <c r="AJ15" s="632"/>
      <c r="AK15" s="633">
        <v>7258887.233</v>
      </c>
      <c r="AL15" s="559"/>
      <c r="AM15" s="227"/>
      <c r="AN15" s="227"/>
      <c r="AO15" s="227"/>
      <c r="AP15" s="8"/>
      <c r="AQ15" s="8"/>
    </row>
    <row r="16" spans="1:43" ht="26.1" customHeight="1" x14ac:dyDescent="0.2">
      <c r="A16" s="10">
        <v>10</v>
      </c>
      <c r="B16" s="209">
        <v>7175840</v>
      </c>
      <c r="C16" s="209"/>
      <c r="D16" s="209"/>
      <c r="E16" s="209">
        <v>70</v>
      </c>
      <c r="F16" s="209">
        <v>2467</v>
      </c>
      <c r="G16" s="209">
        <v>68209</v>
      </c>
      <c r="H16" s="391"/>
      <c r="I16" s="390">
        <v>241040</v>
      </c>
      <c r="J16" s="209">
        <v>818387</v>
      </c>
      <c r="K16" s="391">
        <v>466400</v>
      </c>
      <c r="L16" s="209"/>
      <c r="M16" s="639"/>
      <c r="N16" s="390">
        <v>380.39</v>
      </c>
      <c r="O16" s="209">
        <f>'Entries Feb.''25'!A16</f>
        <v>10</v>
      </c>
      <c r="P16" s="653">
        <v>167897</v>
      </c>
      <c r="Q16" s="630">
        <v>4432</v>
      </c>
      <c r="R16" s="209">
        <v>886597</v>
      </c>
      <c r="S16" s="209"/>
      <c r="T16" s="209">
        <v>31700</v>
      </c>
      <c r="U16" s="209"/>
      <c r="V16" s="209">
        <v>20553</v>
      </c>
      <c r="W16" s="566">
        <v>1281495</v>
      </c>
      <c r="X16" s="209"/>
      <c r="Y16" s="544">
        <v>30295</v>
      </c>
      <c r="Z16" s="209">
        <v>28078</v>
      </c>
      <c r="AA16" s="209">
        <v>5129</v>
      </c>
      <c r="AB16" s="209">
        <v>97122</v>
      </c>
      <c r="AC16" s="209"/>
      <c r="AD16" s="209">
        <v>39037</v>
      </c>
      <c r="AE16" s="209">
        <v>258494</v>
      </c>
      <c r="AF16" s="209"/>
      <c r="AG16" s="390"/>
      <c r="AH16" s="209"/>
      <c r="AI16" s="209"/>
      <c r="AJ16" s="632"/>
      <c r="AK16" s="633">
        <v>7258923.6349999998</v>
      </c>
      <c r="AL16" s="559"/>
      <c r="AM16" s="227"/>
      <c r="AN16" s="227"/>
      <c r="AO16" s="227"/>
    </row>
    <row r="17" spans="1:41" ht="26.1" customHeight="1" x14ac:dyDescent="0.2">
      <c r="A17" s="12">
        <v>11</v>
      </c>
      <c r="B17" s="209">
        <v>7178550</v>
      </c>
      <c r="C17" s="209"/>
      <c r="D17" s="209"/>
      <c r="E17" s="209">
        <v>70</v>
      </c>
      <c r="F17" s="209">
        <v>2485</v>
      </c>
      <c r="G17" s="209">
        <v>68209</v>
      </c>
      <c r="H17" s="391"/>
      <c r="I17" s="390">
        <v>244511</v>
      </c>
      <c r="J17" s="209">
        <v>821671</v>
      </c>
      <c r="K17" s="391">
        <v>466400</v>
      </c>
      <c r="L17" s="209"/>
      <c r="M17" s="639"/>
      <c r="N17" s="390">
        <v>400.39</v>
      </c>
      <c r="O17" s="209">
        <f>'Entries Feb.''25'!A17</f>
        <v>11</v>
      </c>
      <c r="P17" s="653">
        <v>168104</v>
      </c>
      <c r="Q17" s="630">
        <v>4538</v>
      </c>
      <c r="R17" s="209">
        <v>886820</v>
      </c>
      <c r="S17" s="209"/>
      <c r="T17" s="209">
        <v>31885</v>
      </c>
      <c r="U17" s="209"/>
      <c r="V17" s="209">
        <v>20567</v>
      </c>
      <c r="W17" s="566">
        <v>1281570</v>
      </c>
      <c r="X17" s="209"/>
      <c r="Y17" s="544">
        <v>30360</v>
      </c>
      <c r="Z17" s="209">
        <v>28153</v>
      </c>
      <c r="AA17" s="209">
        <v>5151</v>
      </c>
      <c r="AB17" s="209">
        <v>97122</v>
      </c>
      <c r="AC17" s="209"/>
      <c r="AD17" s="209">
        <v>39060</v>
      </c>
      <c r="AE17" s="209">
        <v>258494</v>
      </c>
      <c r="AF17" s="209"/>
      <c r="AG17" s="390"/>
      <c r="AH17" s="209"/>
      <c r="AI17" s="209"/>
      <c r="AJ17" s="632"/>
      <c r="AK17" s="633">
        <v>7258937</v>
      </c>
      <c r="AL17" s="559"/>
      <c r="AM17" s="227"/>
      <c r="AN17" s="227"/>
      <c r="AO17" s="227"/>
    </row>
    <row r="18" spans="1:41" ht="26.1" customHeight="1" x14ac:dyDescent="0.2">
      <c r="A18" s="10">
        <v>12</v>
      </c>
      <c r="B18" s="209">
        <v>7181770</v>
      </c>
      <c r="C18" s="209"/>
      <c r="D18" s="209"/>
      <c r="E18" s="209">
        <v>70</v>
      </c>
      <c r="F18" s="209">
        <v>2505.9</v>
      </c>
      <c r="G18" s="209">
        <v>68209</v>
      </c>
      <c r="H18" s="391"/>
      <c r="I18" s="390">
        <v>248842</v>
      </c>
      <c r="J18" s="209">
        <v>825769</v>
      </c>
      <c r="K18" s="391">
        <v>466400</v>
      </c>
      <c r="L18" s="209"/>
      <c r="M18" s="639"/>
      <c r="N18" s="390">
        <v>434.97</v>
      </c>
      <c r="O18" s="209">
        <f>'Entries Feb.''25'!A18</f>
        <v>12</v>
      </c>
      <c r="P18" s="653">
        <v>168260</v>
      </c>
      <c r="Q18" s="630">
        <v>4756</v>
      </c>
      <c r="R18" s="209">
        <v>887095</v>
      </c>
      <c r="S18" s="209"/>
      <c r="T18" s="209">
        <v>32150</v>
      </c>
      <c r="U18" s="209"/>
      <c r="V18" s="209">
        <v>20577</v>
      </c>
      <c r="W18" s="566">
        <v>1281800</v>
      </c>
      <c r="X18" s="209"/>
      <c r="Y18" s="544">
        <v>30415</v>
      </c>
      <c r="Z18" s="209">
        <v>28250</v>
      </c>
      <c r="AA18" s="209">
        <v>5178</v>
      </c>
      <c r="AB18" s="209">
        <v>97122</v>
      </c>
      <c r="AC18" s="209"/>
      <c r="AD18" s="209">
        <v>39086</v>
      </c>
      <c r="AE18" s="209">
        <v>258494</v>
      </c>
      <c r="AF18" s="209"/>
      <c r="AG18" s="390"/>
      <c r="AH18" s="209"/>
      <c r="AI18" s="209"/>
      <c r="AJ18" s="632"/>
      <c r="AK18" s="633">
        <v>7258954.898</v>
      </c>
      <c r="AL18" s="559"/>
      <c r="AM18" s="227"/>
      <c r="AN18" s="227"/>
      <c r="AO18" s="227"/>
    </row>
    <row r="19" spans="1:41" ht="26.1" customHeight="1" x14ac:dyDescent="0.2">
      <c r="A19" s="12">
        <v>13</v>
      </c>
      <c r="B19" s="209">
        <v>7185050</v>
      </c>
      <c r="C19" s="209"/>
      <c r="D19" s="209"/>
      <c r="E19" s="209">
        <v>70</v>
      </c>
      <c r="F19" s="209">
        <v>2526.6</v>
      </c>
      <c r="G19" s="209">
        <v>68209</v>
      </c>
      <c r="H19" s="391"/>
      <c r="I19" s="390">
        <v>253095</v>
      </c>
      <c r="J19" s="390">
        <v>829789</v>
      </c>
      <c r="K19" s="391">
        <v>466400</v>
      </c>
      <c r="L19" s="209"/>
      <c r="M19" s="639"/>
      <c r="N19" s="390">
        <v>466.37</v>
      </c>
      <c r="O19" s="209">
        <f>'Entries Feb.''25'!A19</f>
        <v>13</v>
      </c>
      <c r="P19" s="653">
        <v>168537</v>
      </c>
      <c r="Q19" s="630">
        <v>4924</v>
      </c>
      <c r="R19" s="209">
        <v>887294</v>
      </c>
      <c r="S19" s="209"/>
      <c r="T19" s="209">
        <v>32365</v>
      </c>
      <c r="U19" s="209"/>
      <c r="V19" s="209">
        <v>20577</v>
      </c>
      <c r="W19" s="566">
        <v>1281977</v>
      </c>
      <c r="X19" s="209"/>
      <c r="Y19" s="544">
        <v>30444</v>
      </c>
      <c r="Z19" s="209">
        <v>28336</v>
      </c>
      <c r="AA19" s="209">
        <v>5209</v>
      </c>
      <c r="AB19" s="209">
        <v>97122</v>
      </c>
      <c r="AC19" s="209"/>
      <c r="AD19" s="209">
        <v>39110</v>
      </c>
      <c r="AE19" s="209">
        <v>258494</v>
      </c>
      <c r="AF19" s="209"/>
      <c r="AG19" s="390"/>
      <c r="AH19" s="209"/>
      <c r="AI19" s="209"/>
      <c r="AJ19" s="632"/>
      <c r="AK19" s="633">
        <v>7258954.898</v>
      </c>
      <c r="AL19" s="559"/>
      <c r="AM19" s="227"/>
      <c r="AN19" s="227"/>
      <c r="AO19" s="227"/>
    </row>
    <row r="20" spans="1:41" ht="26.1" customHeight="1" x14ac:dyDescent="0.2">
      <c r="A20" s="10">
        <v>14</v>
      </c>
      <c r="B20" s="209">
        <v>7188620</v>
      </c>
      <c r="C20" s="209"/>
      <c r="D20" s="209"/>
      <c r="E20" s="209">
        <v>70</v>
      </c>
      <c r="F20" s="209">
        <v>2548.9</v>
      </c>
      <c r="G20" s="209">
        <v>68209</v>
      </c>
      <c r="H20" s="391"/>
      <c r="I20" s="390">
        <v>257441</v>
      </c>
      <c r="J20" s="209">
        <v>833895</v>
      </c>
      <c r="K20" s="391">
        <v>466400</v>
      </c>
      <c r="L20" s="209"/>
      <c r="M20" s="639"/>
      <c r="N20" s="390">
        <v>503.51</v>
      </c>
      <c r="O20" s="209">
        <f>'Entries Feb.''25'!A20</f>
        <v>14</v>
      </c>
      <c r="P20" s="653">
        <v>168708</v>
      </c>
      <c r="Q20" s="630">
        <v>5180</v>
      </c>
      <c r="R20" s="209">
        <v>887530</v>
      </c>
      <c r="S20" s="209"/>
      <c r="T20" s="209">
        <v>32623</v>
      </c>
      <c r="U20" s="209"/>
      <c r="V20" s="209">
        <v>20582</v>
      </c>
      <c r="W20" s="566">
        <v>1282247</v>
      </c>
      <c r="X20" s="209"/>
      <c r="Y20" s="544">
        <v>30506</v>
      </c>
      <c r="Z20" s="209">
        <v>28421</v>
      </c>
      <c r="AA20" s="209">
        <v>5237</v>
      </c>
      <c r="AB20" s="209">
        <v>97122</v>
      </c>
      <c r="AC20" s="209"/>
      <c r="AD20" s="209">
        <v>39133</v>
      </c>
      <c r="AE20" s="209">
        <v>258494</v>
      </c>
      <c r="AF20" s="209"/>
      <c r="AG20" s="390"/>
      <c r="AH20" s="209"/>
      <c r="AI20" s="209"/>
      <c r="AJ20" s="632"/>
      <c r="AK20" s="633">
        <v>7258954.898</v>
      </c>
      <c r="AL20" s="243"/>
      <c r="AM20" s="227"/>
      <c r="AN20" s="227"/>
      <c r="AO20" s="227"/>
    </row>
    <row r="21" spans="1:41" ht="26.1" customHeight="1" x14ac:dyDescent="0.2">
      <c r="A21" s="12">
        <v>15</v>
      </c>
      <c r="B21" s="209">
        <v>7191430</v>
      </c>
      <c r="C21" s="209"/>
      <c r="D21" s="209"/>
      <c r="E21" s="209">
        <v>70</v>
      </c>
      <c r="F21" s="209">
        <v>2568.4</v>
      </c>
      <c r="G21" s="209">
        <v>68209</v>
      </c>
      <c r="H21" s="391"/>
      <c r="I21" s="390">
        <v>261216</v>
      </c>
      <c r="J21" s="209">
        <v>837460</v>
      </c>
      <c r="K21" s="391">
        <v>466400</v>
      </c>
      <c r="L21" s="209"/>
      <c r="M21" s="639"/>
      <c r="N21" s="390">
        <v>526.71</v>
      </c>
      <c r="O21" s="209">
        <f>'Entries Feb.''25'!A21</f>
        <v>15</v>
      </c>
      <c r="P21" s="653">
        <v>168922</v>
      </c>
      <c r="Q21" s="630">
        <v>5436</v>
      </c>
      <c r="R21" s="209">
        <v>887699</v>
      </c>
      <c r="S21" s="209"/>
      <c r="T21" s="209">
        <v>32832</v>
      </c>
      <c r="U21" s="209"/>
      <c r="V21" s="209">
        <v>20586</v>
      </c>
      <c r="W21" s="566">
        <v>1282516</v>
      </c>
      <c r="X21" s="209"/>
      <c r="Y21" s="544">
        <v>30544</v>
      </c>
      <c r="Z21" s="209">
        <v>28478</v>
      </c>
      <c r="AA21" s="209">
        <v>5259</v>
      </c>
      <c r="AB21" s="209">
        <v>97122</v>
      </c>
      <c r="AC21" s="209"/>
      <c r="AD21" s="209">
        <v>39150</v>
      </c>
      <c r="AE21" s="209">
        <v>258494</v>
      </c>
      <c r="AF21" s="209"/>
      <c r="AG21" s="390"/>
      <c r="AH21" s="209"/>
      <c r="AI21" s="209"/>
      <c r="AJ21" s="632"/>
      <c r="AK21" s="633">
        <v>7258954.898</v>
      </c>
      <c r="AL21" s="243"/>
      <c r="AM21" s="227"/>
      <c r="AN21" s="227"/>
      <c r="AO21" s="227"/>
    </row>
    <row r="22" spans="1:41" ht="26.1" customHeight="1" x14ac:dyDescent="0.2">
      <c r="A22" s="10">
        <v>16</v>
      </c>
      <c r="B22" s="209">
        <v>7191810</v>
      </c>
      <c r="C22" s="209"/>
      <c r="D22" s="209"/>
      <c r="E22" s="209">
        <v>70</v>
      </c>
      <c r="F22" s="209">
        <v>2572.1</v>
      </c>
      <c r="G22" s="209">
        <v>68209</v>
      </c>
      <c r="H22" s="391"/>
      <c r="I22" s="390">
        <v>263327</v>
      </c>
      <c r="J22" s="209">
        <v>839449</v>
      </c>
      <c r="K22" s="391">
        <v>466400</v>
      </c>
      <c r="L22" s="209"/>
      <c r="M22" s="639"/>
      <c r="N22" s="390">
        <v>526.71</v>
      </c>
      <c r="O22" s="209">
        <f>'Entries Feb.''25'!A22</f>
        <v>16</v>
      </c>
      <c r="P22" s="653">
        <v>168922</v>
      </c>
      <c r="Q22" s="630">
        <v>5626</v>
      </c>
      <c r="R22" s="209">
        <v>887760</v>
      </c>
      <c r="S22" s="209"/>
      <c r="T22" s="209">
        <v>32832</v>
      </c>
      <c r="U22" s="209"/>
      <c r="V22" s="209">
        <v>20586</v>
      </c>
      <c r="W22" s="566">
        <v>1282716</v>
      </c>
      <c r="X22" s="209"/>
      <c r="Y22" s="544">
        <v>30544</v>
      </c>
      <c r="Z22" s="209">
        <v>28501</v>
      </c>
      <c r="AA22" s="209">
        <v>5267</v>
      </c>
      <c r="AB22" s="209">
        <v>97122</v>
      </c>
      <c r="AC22" s="209"/>
      <c r="AD22" s="209">
        <v>39152</v>
      </c>
      <c r="AE22" s="209">
        <v>258494</v>
      </c>
      <c r="AF22" s="209"/>
      <c r="AG22" s="390"/>
      <c r="AH22" s="209"/>
      <c r="AI22" s="209"/>
      <c r="AJ22" s="632"/>
      <c r="AK22" s="633">
        <v>7258954.898</v>
      </c>
      <c r="AL22" s="243"/>
      <c r="AM22" s="227"/>
      <c r="AN22" s="227"/>
      <c r="AO22" s="227"/>
    </row>
    <row r="23" spans="1:41" ht="26.1" customHeight="1" x14ac:dyDescent="0.2">
      <c r="A23" s="12">
        <v>17</v>
      </c>
      <c r="B23" s="209">
        <v>7192460</v>
      </c>
      <c r="C23" s="209"/>
      <c r="D23" s="209"/>
      <c r="E23" s="209">
        <v>70</v>
      </c>
      <c r="F23" s="209">
        <v>2577.3000000000002</v>
      </c>
      <c r="G23" s="209">
        <v>68209</v>
      </c>
      <c r="H23" s="391"/>
      <c r="I23" s="390">
        <v>265516</v>
      </c>
      <c r="J23" s="209">
        <v>841516</v>
      </c>
      <c r="K23" s="391">
        <v>466400</v>
      </c>
      <c r="L23" s="209"/>
      <c r="M23" s="639"/>
      <c r="N23" s="390">
        <v>526.71</v>
      </c>
      <c r="O23" s="209">
        <f>'Entries Feb.''25'!A23</f>
        <v>17</v>
      </c>
      <c r="P23" s="653">
        <v>168972</v>
      </c>
      <c r="Q23" s="630">
        <v>5626</v>
      </c>
      <c r="R23" s="209">
        <v>887786</v>
      </c>
      <c r="S23" s="209"/>
      <c r="T23" s="209">
        <v>32832</v>
      </c>
      <c r="U23" s="209"/>
      <c r="V23" s="209">
        <v>20586</v>
      </c>
      <c r="W23" s="566">
        <v>1282716</v>
      </c>
      <c r="X23" s="209"/>
      <c r="Y23" s="544">
        <v>30546</v>
      </c>
      <c r="Z23" s="209">
        <v>28508</v>
      </c>
      <c r="AA23" s="209">
        <v>5278</v>
      </c>
      <c r="AB23" s="209">
        <v>97122</v>
      </c>
      <c r="AC23" s="209"/>
      <c r="AD23" s="209">
        <v>39152</v>
      </c>
      <c r="AE23" s="209">
        <v>258496</v>
      </c>
      <c r="AF23" s="209"/>
      <c r="AG23" s="390"/>
      <c r="AH23" s="209"/>
      <c r="AI23" s="209"/>
      <c r="AJ23" s="632"/>
      <c r="AK23" s="633">
        <v>7258954.898</v>
      </c>
      <c r="AL23" s="243"/>
      <c r="AM23" s="227"/>
      <c r="AN23" s="227"/>
      <c r="AO23" s="227"/>
    </row>
    <row r="24" spans="1:41" ht="26.1" customHeight="1" x14ac:dyDescent="0.2">
      <c r="A24" s="10">
        <v>18</v>
      </c>
      <c r="B24" s="209">
        <v>7195310</v>
      </c>
      <c r="C24" s="209"/>
      <c r="D24" s="209"/>
      <c r="E24" s="209">
        <v>70</v>
      </c>
      <c r="F24" s="209">
        <v>2598.6</v>
      </c>
      <c r="G24" s="209">
        <v>68209</v>
      </c>
      <c r="H24" s="391"/>
      <c r="I24" s="390">
        <v>269576</v>
      </c>
      <c r="J24" s="209">
        <v>845353</v>
      </c>
      <c r="K24" s="391">
        <v>466400</v>
      </c>
      <c r="L24" s="209"/>
      <c r="M24" s="639"/>
      <c r="N24" s="390">
        <v>547.79999999999995</v>
      </c>
      <c r="O24" s="209">
        <f>'Entries Feb.''25'!A24</f>
        <v>18</v>
      </c>
      <c r="P24" s="653">
        <v>169108</v>
      </c>
      <c r="Q24" s="630">
        <v>5826</v>
      </c>
      <c r="R24" s="209">
        <v>887983</v>
      </c>
      <c r="S24" s="209"/>
      <c r="T24" s="209">
        <v>33059</v>
      </c>
      <c r="U24" s="209"/>
      <c r="V24" s="209">
        <v>20586</v>
      </c>
      <c r="W24" s="566">
        <v>1282927</v>
      </c>
      <c r="X24" s="209"/>
      <c r="Y24" s="544">
        <v>30583</v>
      </c>
      <c r="Z24" s="209">
        <v>28565</v>
      </c>
      <c r="AA24" s="209">
        <v>5301</v>
      </c>
      <c r="AB24" s="209">
        <v>97122</v>
      </c>
      <c r="AC24" s="209"/>
      <c r="AD24" s="209">
        <v>39175</v>
      </c>
      <c r="AE24" s="209">
        <v>258508</v>
      </c>
      <c r="AF24" s="209"/>
      <c r="AG24" s="390"/>
      <c r="AH24" s="209"/>
      <c r="AI24" s="209"/>
      <c r="AJ24" s="632"/>
      <c r="AK24" s="633">
        <v>7266143.2460000003</v>
      </c>
      <c r="AL24" s="243"/>
      <c r="AM24" s="227"/>
      <c r="AN24" s="227"/>
      <c r="AO24" s="227"/>
    </row>
    <row r="25" spans="1:41" ht="26.1" customHeight="1" x14ac:dyDescent="0.2">
      <c r="A25" s="12">
        <v>19</v>
      </c>
      <c r="B25" s="209">
        <v>7198330</v>
      </c>
      <c r="C25" s="209"/>
      <c r="D25" s="209"/>
      <c r="E25" s="209">
        <v>70</v>
      </c>
      <c r="F25" s="209">
        <v>2619.1999999999998</v>
      </c>
      <c r="G25" s="209">
        <v>68209</v>
      </c>
      <c r="H25" s="391"/>
      <c r="I25" s="390">
        <v>274042</v>
      </c>
      <c r="J25" s="209">
        <v>849573</v>
      </c>
      <c r="K25" s="391">
        <v>466400</v>
      </c>
      <c r="L25" s="209"/>
      <c r="M25" s="639"/>
      <c r="N25" s="390">
        <v>568.09</v>
      </c>
      <c r="O25" s="209">
        <f>'Entries Feb.''25'!A25</f>
        <v>19</v>
      </c>
      <c r="P25" s="653">
        <v>169369</v>
      </c>
      <c r="Q25" s="630">
        <v>5959</v>
      </c>
      <c r="R25" s="209">
        <v>888192</v>
      </c>
      <c r="S25" s="209"/>
      <c r="T25" s="209">
        <v>33268</v>
      </c>
      <c r="U25" s="209"/>
      <c r="V25" s="209">
        <v>20586</v>
      </c>
      <c r="W25" s="566">
        <v>1283067</v>
      </c>
      <c r="X25" s="209"/>
      <c r="Y25" s="544">
        <v>30647</v>
      </c>
      <c r="Z25" s="209">
        <v>28625</v>
      </c>
      <c r="AA25" s="209">
        <v>5327</v>
      </c>
      <c r="AB25" s="209">
        <v>97122</v>
      </c>
      <c r="AC25" s="209"/>
      <c r="AD25" s="209">
        <v>39194</v>
      </c>
      <c r="AE25" s="209">
        <v>258575</v>
      </c>
      <c r="AF25" s="209"/>
      <c r="AG25" s="390"/>
      <c r="AH25" s="209"/>
      <c r="AI25" s="209"/>
      <c r="AJ25" s="632"/>
      <c r="AK25" s="633">
        <v>7266601.4840000002</v>
      </c>
      <c r="AL25" s="243"/>
      <c r="AM25" s="227"/>
      <c r="AN25" s="227"/>
      <c r="AO25" s="227"/>
    </row>
    <row r="26" spans="1:41" ht="26.1" customHeight="1" x14ac:dyDescent="0.2">
      <c r="A26" s="10">
        <v>20</v>
      </c>
      <c r="B26" s="209">
        <v>7201490</v>
      </c>
      <c r="C26" s="209"/>
      <c r="D26" s="209"/>
      <c r="E26" s="209">
        <v>70</v>
      </c>
      <c r="F26" s="209">
        <v>2640.6</v>
      </c>
      <c r="G26" s="209">
        <v>68209</v>
      </c>
      <c r="H26" s="391"/>
      <c r="I26" s="390">
        <v>278581</v>
      </c>
      <c r="J26" s="209">
        <v>853860</v>
      </c>
      <c r="K26" s="391">
        <v>466400</v>
      </c>
      <c r="L26" s="209"/>
      <c r="M26" s="639"/>
      <c r="N26" s="390">
        <v>592.42999999999995</v>
      </c>
      <c r="O26" s="209">
        <f>'Entries Feb.''25'!A26</f>
        <v>20</v>
      </c>
      <c r="P26" s="653">
        <v>169549</v>
      </c>
      <c r="Q26" s="630">
        <v>6197</v>
      </c>
      <c r="R26" s="209">
        <v>888391</v>
      </c>
      <c r="S26" s="209"/>
      <c r="T26" s="209">
        <v>33454</v>
      </c>
      <c r="U26" s="209"/>
      <c r="V26" s="209">
        <v>20587</v>
      </c>
      <c r="W26" s="566">
        <v>1283318</v>
      </c>
      <c r="X26" s="209"/>
      <c r="Y26" s="544">
        <v>30701</v>
      </c>
      <c r="Z26" s="209">
        <v>28689</v>
      </c>
      <c r="AA26" s="209">
        <v>5360</v>
      </c>
      <c r="AB26" s="209">
        <v>97122</v>
      </c>
      <c r="AC26" s="209"/>
      <c r="AD26" s="209">
        <v>39216</v>
      </c>
      <c r="AE26" s="209">
        <v>258669</v>
      </c>
      <c r="AF26" s="209"/>
      <c r="AG26" s="390"/>
      <c r="AH26" s="209"/>
      <c r="AI26" s="209"/>
      <c r="AJ26" s="632"/>
      <c r="AK26" s="633">
        <v>7266601.4840000002</v>
      </c>
      <c r="AL26" s="559"/>
      <c r="AM26" s="227"/>
      <c r="AN26" s="227"/>
      <c r="AO26" s="227"/>
    </row>
    <row r="27" spans="1:41" ht="26.1" customHeight="1" x14ac:dyDescent="0.2">
      <c r="A27" s="12">
        <v>21</v>
      </c>
      <c r="B27" s="209">
        <v>7204460</v>
      </c>
      <c r="C27" s="209"/>
      <c r="D27" s="209"/>
      <c r="E27" s="209">
        <v>70</v>
      </c>
      <c r="F27" s="209">
        <v>2662</v>
      </c>
      <c r="G27" s="209">
        <v>68209</v>
      </c>
      <c r="H27" s="391"/>
      <c r="I27" s="390">
        <v>283010</v>
      </c>
      <c r="J27" s="209">
        <v>858046</v>
      </c>
      <c r="K27" s="391">
        <v>466400</v>
      </c>
      <c r="L27" s="209"/>
      <c r="M27" s="639"/>
      <c r="N27" s="390">
        <v>610.87</v>
      </c>
      <c r="O27" s="209">
        <f>'Entries Feb.''25'!A27</f>
        <v>21</v>
      </c>
      <c r="P27" s="653">
        <v>169712</v>
      </c>
      <c r="Q27" s="630">
        <v>6457</v>
      </c>
      <c r="R27" s="209">
        <v>888623</v>
      </c>
      <c r="S27" s="209"/>
      <c r="T27" s="209">
        <v>33668</v>
      </c>
      <c r="U27" s="209"/>
      <c r="V27" s="209">
        <v>20590</v>
      </c>
      <c r="W27" s="566">
        <v>1283592</v>
      </c>
      <c r="X27" s="209"/>
      <c r="Y27" s="544">
        <v>30773</v>
      </c>
      <c r="Z27" s="209">
        <v>28750</v>
      </c>
      <c r="AA27" s="209">
        <v>5384</v>
      </c>
      <c r="AB27" s="209">
        <v>97122</v>
      </c>
      <c r="AC27" s="209"/>
      <c r="AD27" s="209">
        <v>39228</v>
      </c>
      <c r="AE27" s="209">
        <v>258711</v>
      </c>
      <c r="AF27" s="209"/>
      <c r="AG27" s="390"/>
      <c r="AH27" s="209"/>
      <c r="AI27" s="209"/>
      <c r="AJ27" s="632"/>
      <c r="AK27" s="633">
        <v>7266602.392</v>
      </c>
      <c r="AL27" s="243"/>
      <c r="AM27" s="227"/>
      <c r="AN27" s="227"/>
      <c r="AO27" s="227"/>
    </row>
    <row r="28" spans="1:41" ht="26.1" customHeight="1" x14ac:dyDescent="0.2">
      <c r="A28" s="10">
        <v>22</v>
      </c>
      <c r="B28" s="209">
        <v>7206870</v>
      </c>
      <c r="C28" s="209"/>
      <c r="D28" s="209"/>
      <c r="E28" s="209">
        <v>70</v>
      </c>
      <c r="F28" s="209">
        <v>2679.9</v>
      </c>
      <c r="G28" s="209">
        <v>68209</v>
      </c>
      <c r="H28" s="391"/>
      <c r="I28" s="390">
        <v>287163</v>
      </c>
      <c r="J28" s="209">
        <v>861967</v>
      </c>
      <c r="K28" s="391">
        <v>466400</v>
      </c>
      <c r="L28" s="209"/>
      <c r="M28" s="639"/>
      <c r="N28" s="390">
        <v>625.79</v>
      </c>
      <c r="O28" s="209">
        <f>'Entries Feb.''25'!A28</f>
        <v>22</v>
      </c>
      <c r="P28" s="653">
        <v>169866</v>
      </c>
      <c r="Q28" s="630">
        <v>6705</v>
      </c>
      <c r="R28" s="209">
        <v>888778</v>
      </c>
      <c r="S28" s="209"/>
      <c r="T28" s="209">
        <v>33870</v>
      </c>
      <c r="U28" s="209"/>
      <c r="V28" s="209">
        <v>20590</v>
      </c>
      <c r="W28" s="566">
        <v>1283854</v>
      </c>
      <c r="X28" s="209"/>
      <c r="Y28" s="544">
        <v>30805</v>
      </c>
      <c r="Z28" s="209">
        <v>28814</v>
      </c>
      <c r="AA28" s="209">
        <v>5405</v>
      </c>
      <c r="AB28" s="209">
        <v>97122</v>
      </c>
      <c r="AC28" s="209"/>
      <c r="AD28" s="209">
        <v>39239</v>
      </c>
      <c r="AE28" s="209">
        <v>258778</v>
      </c>
      <c r="AF28" s="209"/>
      <c r="AG28" s="390"/>
      <c r="AH28" s="209"/>
      <c r="AI28" s="209"/>
      <c r="AJ28" s="632"/>
      <c r="AK28" s="633">
        <v>7266602.392</v>
      </c>
      <c r="AL28" s="559"/>
      <c r="AM28" s="227"/>
      <c r="AN28" s="227"/>
      <c r="AO28" s="227"/>
    </row>
    <row r="29" spans="1:41" ht="26.1" customHeight="1" x14ac:dyDescent="0.2">
      <c r="A29" s="10">
        <v>23</v>
      </c>
      <c r="B29" s="209">
        <v>7207210</v>
      </c>
      <c r="C29" s="209"/>
      <c r="D29" s="209"/>
      <c r="E29" s="209">
        <v>70</v>
      </c>
      <c r="F29" s="209">
        <v>2682</v>
      </c>
      <c r="G29" s="209">
        <v>68209</v>
      </c>
      <c r="H29" s="391"/>
      <c r="I29" s="390">
        <v>289403</v>
      </c>
      <c r="J29" s="209">
        <v>864082</v>
      </c>
      <c r="K29" s="391">
        <v>466400</v>
      </c>
      <c r="L29" s="209"/>
      <c r="M29" s="639"/>
      <c r="N29" s="390">
        <v>625.79</v>
      </c>
      <c r="O29" s="209">
        <f>'Entries Feb.''25'!A29</f>
        <v>23</v>
      </c>
      <c r="P29" s="653">
        <v>169981</v>
      </c>
      <c r="Q29" s="630">
        <v>6712</v>
      </c>
      <c r="R29" s="209">
        <v>888817</v>
      </c>
      <c r="S29" s="209"/>
      <c r="T29" s="209">
        <v>33870</v>
      </c>
      <c r="U29" s="209"/>
      <c r="V29" s="209">
        <v>20590</v>
      </c>
      <c r="W29" s="566">
        <v>1283861</v>
      </c>
      <c r="X29" s="209"/>
      <c r="Y29" s="544">
        <v>30805</v>
      </c>
      <c r="Z29" s="209">
        <v>28825</v>
      </c>
      <c r="AA29" s="209">
        <v>5410</v>
      </c>
      <c r="AB29" s="209">
        <v>97122</v>
      </c>
      <c r="AC29" s="209"/>
      <c r="AD29" s="209">
        <v>39239</v>
      </c>
      <c r="AE29" s="209">
        <v>258778</v>
      </c>
      <c r="AF29" s="209"/>
      <c r="AG29" s="390"/>
      <c r="AH29" s="209"/>
      <c r="AI29" s="209"/>
      <c r="AJ29" s="632"/>
      <c r="AK29" s="633">
        <v>7266602.392</v>
      </c>
      <c r="AL29" s="559"/>
      <c r="AM29" s="227"/>
      <c r="AN29" s="227"/>
      <c r="AO29" s="227"/>
    </row>
    <row r="30" spans="1:41" ht="26.1" customHeight="1" x14ac:dyDescent="0.2">
      <c r="A30" s="10">
        <v>24</v>
      </c>
      <c r="B30" s="209">
        <v>7208220</v>
      </c>
      <c r="C30" s="209"/>
      <c r="D30" s="209"/>
      <c r="E30" s="209">
        <v>70</v>
      </c>
      <c r="F30" s="209">
        <v>2689.2</v>
      </c>
      <c r="G30" s="209">
        <v>68209</v>
      </c>
      <c r="H30" s="391"/>
      <c r="I30" s="390">
        <v>291909</v>
      </c>
      <c r="J30" s="209">
        <v>866456</v>
      </c>
      <c r="K30" s="391">
        <v>466400</v>
      </c>
      <c r="L30" s="209"/>
      <c r="M30" s="639"/>
      <c r="N30" s="390">
        <v>625.99</v>
      </c>
      <c r="O30" s="209">
        <f>'Entries Feb.''25'!A30</f>
        <v>24</v>
      </c>
      <c r="P30" s="653">
        <v>169981</v>
      </c>
      <c r="Q30" s="630">
        <v>6795</v>
      </c>
      <c r="R30" s="209">
        <v>888883</v>
      </c>
      <c r="S30" s="209"/>
      <c r="T30" s="209">
        <v>33923</v>
      </c>
      <c r="U30" s="209"/>
      <c r="V30" s="209">
        <v>20590</v>
      </c>
      <c r="W30" s="566">
        <v>1283948</v>
      </c>
      <c r="X30" s="209"/>
      <c r="Y30" s="544">
        <v>30825</v>
      </c>
      <c r="Z30" s="209">
        <v>28825</v>
      </c>
      <c r="AA30" s="209">
        <v>5420</v>
      </c>
      <c r="AB30" s="209">
        <v>97122</v>
      </c>
      <c r="AC30" s="209"/>
      <c r="AD30" s="209">
        <v>39239</v>
      </c>
      <c r="AE30" s="209">
        <v>258778</v>
      </c>
      <c r="AF30" s="209"/>
      <c r="AG30" s="390"/>
      <c r="AH30" s="209"/>
      <c r="AI30" s="209"/>
      <c r="AJ30" s="632"/>
      <c r="AK30" s="633">
        <v>7266602.392</v>
      </c>
      <c r="AL30" s="559"/>
      <c r="AM30" s="227"/>
      <c r="AN30" s="227"/>
      <c r="AO30" s="227"/>
    </row>
    <row r="31" spans="1:41" ht="26.1" customHeight="1" x14ac:dyDescent="0.2">
      <c r="A31" s="12">
        <v>25</v>
      </c>
      <c r="B31" s="209">
        <v>7211330</v>
      </c>
      <c r="C31" s="209"/>
      <c r="D31" s="209"/>
      <c r="E31" s="209">
        <v>70</v>
      </c>
      <c r="F31" s="209">
        <v>2710.2</v>
      </c>
      <c r="G31" s="209">
        <v>68209</v>
      </c>
      <c r="H31" s="391"/>
      <c r="I31" s="390">
        <v>295949</v>
      </c>
      <c r="J31" s="209">
        <v>870273</v>
      </c>
      <c r="K31" s="391">
        <v>466400</v>
      </c>
      <c r="L31" s="209"/>
      <c r="M31" s="639"/>
      <c r="N31" s="390">
        <v>640.33000000000004</v>
      </c>
      <c r="O31" s="209">
        <f>'Entries Feb.''25'!A31</f>
        <v>25</v>
      </c>
      <c r="P31" s="653">
        <v>170027</v>
      </c>
      <c r="Q31" s="630">
        <v>7022</v>
      </c>
      <c r="R31" s="209">
        <v>889123</v>
      </c>
      <c r="S31" s="209"/>
      <c r="T31" s="209">
        <v>34139</v>
      </c>
      <c r="U31" s="209"/>
      <c r="V31" s="209">
        <v>20622</v>
      </c>
      <c r="W31" s="566">
        <v>1284189</v>
      </c>
      <c r="X31" s="209"/>
      <c r="Y31" s="544">
        <v>30889</v>
      </c>
      <c r="Z31" s="209">
        <v>28905</v>
      </c>
      <c r="AA31" s="209">
        <v>5437</v>
      </c>
      <c r="AB31" s="209">
        <v>97122</v>
      </c>
      <c r="AC31" s="209"/>
      <c r="AD31" s="209">
        <v>39257</v>
      </c>
      <c r="AE31" s="209">
        <v>258781</v>
      </c>
      <c r="AF31" s="209"/>
      <c r="AG31" s="390"/>
      <c r="AH31" s="209"/>
      <c r="AI31" s="209"/>
      <c r="AJ31" s="632"/>
      <c r="AK31" s="633">
        <v>7266604.9380000001</v>
      </c>
      <c r="AL31" s="559"/>
      <c r="AM31" s="227"/>
      <c r="AN31" s="227"/>
      <c r="AO31" s="227"/>
    </row>
    <row r="32" spans="1:41" ht="26.1" customHeight="1" x14ac:dyDescent="0.2">
      <c r="A32" s="10">
        <v>26</v>
      </c>
      <c r="B32" s="209">
        <v>7214580</v>
      </c>
      <c r="C32" s="209"/>
      <c r="D32" s="209"/>
      <c r="E32" s="209">
        <v>70</v>
      </c>
      <c r="F32" s="209">
        <v>2731.5</v>
      </c>
      <c r="G32" s="209">
        <v>68209</v>
      </c>
      <c r="H32" s="391"/>
      <c r="I32" s="390">
        <v>300220</v>
      </c>
      <c r="J32" s="209">
        <v>874308</v>
      </c>
      <c r="K32" s="391">
        <v>466400</v>
      </c>
      <c r="L32" s="209"/>
      <c r="M32" s="639"/>
      <c r="N32" s="390">
        <v>659.34</v>
      </c>
      <c r="O32" s="209">
        <f>'Entries Feb.''25'!A32</f>
        <v>26</v>
      </c>
      <c r="P32" s="653">
        <v>170027</v>
      </c>
      <c r="Q32" s="630">
        <v>7296</v>
      </c>
      <c r="R32" s="209">
        <v>889312</v>
      </c>
      <c r="S32" s="209"/>
      <c r="T32" s="209">
        <v>34382</v>
      </c>
      <c r="U32" s="209"/>
      <c r="V32" s="209">
        <v>20627</v>
      </c>
      <c r="W32" s="566">
        <v>1284476</v>
      </c>
      <c r="X32" s="209"/>
      <c r="Y32" s="544">
        <v>30919</v>
      </c>
      <c r="Z32" s="209">
        <v>28982</v>
      </c>
      <c r="AA32" s="209">
        <v>5453</v>
      </c>
      <c r="AB32" s="209">
        <v>97122</v>
      </c>
      <c r="AC32" s="209"/>
      <c r="AD32" s="209">
        <v>39280</v>
      </c>
      <c r="AE32" s="209">
        <v>258781</v>
      </c>
      <c r="AF32" s="209"/>
      <c r="AG32" s="390"/>
      <c r="AH32" s="209"/>
      <c r="AI32" s="209"/>
      <c r="AJ32" s="632"/>
      <c r="AK32" s="633">
        <v>7266612.9730000002</v>
      </c>
      <c r="AL32" s="559"/>
      <c r="AM32" s="634"/>
      <c r="AN32" s="227"/>
      <c r="AO32" s="227"/>
    </row>
    <row r="33" spans="1:41" ht="26.1" customHeight="1" x14ac:dyDescent="0.2">
      <c r="A33" s="12">
        <v>27</v>
      </c>
      <c r="B33" s="209">
        <v>7217390</v>
      </c>
      <c r="C33" s="209"/>
      <c r="D33" s="209"/>
      <c r="E33" s="209">
        <v>70</v>
      </c>
      <c r="F33" s="209">
        <v>2750.4</v>
      </c>
      <c r="G33" s="209">
        <v>68209</v>
      </c>
      <c r="H33" s="391"/>
      <c r="I33" s="390">
        <v>304284</v>
      </c>
      <c r="J33" s="209">
        <v>878150</v>
      </c>
      <c r="K33" s="391">
        <v>466400</v>
      </c>
      <c r="L33" s="209"/>
      <c r="M33" s="639"/>
      <c r="N33" s="390">
        <v>687.43</v>
      </c>
      <c r="O33" s="209">
        <f>'Entries Feb.''25'!A33</f>
        <v>27</v>
      </c>
      <c r="P33" s="653">
        <v>170385</v>
      </c>
      <c r="Q33" s="630">
        <v>7558</v>
      </c>
      <c r="R33" s="209">
        <v>889488</v>
      </c>
      <c r="S33" s="209"/>
      <c r="T33" s="209">
        <v>34626</v>
      </c>
      <c r="U33" s="209"/>
      <c r="V33" s="209">
        <v>20627</v>
      </c>
      <c r="W33" s="566">
        <v>1284732</v>
      </c>
      <c r="X33" s="209"/>
      <c r="Y33" s="544">
        <v>30964</v>
      </c>
      <c r="Z33" s="209">
        <v>29045</v>
      </c>
      <c r="AA33" s="209">
        <v>5465</v>
      </c>
      <c r="AB33" s="209">
        <v>97122</v>
      </c>
      <c r="AC33" s="209"/>
      <c r="AD33" s="209">
        <v>39297</v>
      </c>
      <c r="AE33" s="209">
        <v>258781</v>
      </c>
      <c r="AF33" s="209"/>
      <c r="AG33" s="390"/>
      <c r="AH33" s="209"/>
      <c r="AI33" s="209"/>
      <c r="AJ33" s="632"/>
      <c r="AK33" s="633">
        <v>7266612.9730000002</v>
      </c>
      <c r="AL33" s="559"/>
      <c r="AM33" s="227"/>
      <c r="AN33" s="227"/>
      <c r="AO33" s="227"/>
    </row>
    <row r="34" spans="1:41" ht="26.1" customHeight="1" x14ac:dyDescent="0.2">
      <c r="A34" s="10">
        <v>28</v>
      </c>
      <c r="B34" s="209">
        <v>7220330</v>
      </c>
      <c r="C34" s="209"/>
      <c r="D34" s="209"/>
      <c r="E34" s="209">
        <v>70</v>
      </c>
      <c r="F34" s="209">
        <v>2772.4</v>
      </c>
      <c r="G34" s="209">
        <v>68209</v>
      </c>
      <c r="H34" s="391"/>
      <c r="I34" s="390">
        <v>308594</v>
      </c>
      <c r="J34" s="209">
        <v>882226</v>
      </c>
      <c r="K34" s="391">
        <v>466400</v>
      </c>
      <c r="L34" s="209"/>
      <c r="M34" s="639"/>
      <c r="N34" s="390">
        <v>694</v>
      </c>
      <c r="O34" s="209">
        <f>'Entries Feb.''25'!A34</f>
        <v>28</v>
      </c>
      <c r="P34" s="653">
        <v>170538</v>
      </c>
      <c r="Q34" s="630">
        <v>7748</v>
      </c>
      <c r="R34" s="209">
        <v>889677</v>
      </c>
      <c r="S34" s="209"/>
      <c r="T34" s="209">
        <v>34865</v>
      </c>
      <c r="U34" s="209"/>
      <c r="V34" s="209">
        <v>20633</v>
      </c>
      <c r="W34" s="566">
        <v>1284954</v>
      </c>
      <c r="X34" s="209"/>
      <c r="Y34" s="544">
        <v>31006</v>
      </c>
      <c r="Z34" s="209">
        <v>29106</v>
      </c>
      <c r="AA34" s="209">
        <v>5476</v>
      </c>
      <c r="AB34" s="209">
        <v>97122</v>
      </c>
      <c r="AC34" s="209"/>
      <c r="AD34" s="209">
        <v>39320</v>
      </c>
      <c r="AE34" s="209">
        <v>258781</v>
      </c>
      <c r="AF34" s="209"/>
      <c r="AG34" s="390"/>
      <c r="AH34" s="209"/>
      <c r="AI34" s="209"/>
      <c r="AJ34" s="632"/>
      <c r="AK34" s="633">
        <v>7266612.9730000002</v>
      </c>
      <c r="AL34" s="559"/>
      <c r="AM34" s="227"/>
      <c r="AN34" s="227"/>
      <c r="AO34" s="227"/>
    </row>
    <row r="35" spans="1:41" ht="26.1" customHeight="1" x14ac:dyDescent="0.2">
      <c r="A35" s="12">
        <v>29</v>
      </c>
      <c r="B35" s="209">
        <v>7222980</v>
      </c>
      <c r="C35" s="209"/>
      <c r="D35" s="209"/>
      <c r="E35" s="209">
        <v>70</v>
      </c>
      <c r="F35" s="209">
        <v>2791</v>
      </c>
      <c r="G35" s="209">
        <v>68209</v>
      </c>
      <c r="H35" s="391"/>
      <c r="I35" s="390">
        <v>312699</v>
      </c>
      <c r="J35" s="209">
        <v>886109</v>
      </c>
      <c r="K35" s="391">
        <v>466400</v>
      </c>
      <c r="L35" s="209"/>
      <c r="M35" s="639"/>
      <c r="N35" s="390">
        <v>710</v>
      </c>
      <c r="O35" s="209">
        <v>29</v>
      </c>
      <c r="P35" s="653">
        <v>170538</v>
      </c>
      <c r="Q35" s="630">
        <v>8010</v>
      </c>
      <c r="R35" s="209">
        <v>889883</v>
      </c>
      <c r="S35" s="209"/>
      <c r="T35" s="209">
        <v>35099</v>
      </c>
      <c r="U35" s="209"/>
      <c r="V35" s="209">
        <v>20636</v>
      </c>
      <c r="W35" s="566">
        <v>1285230</v>
      </c>
      <c r="X35" s="209"/>
      <c r="Y35" s="544">
        <v>31073</v>
      </c>
      <c r="Z35" s="209">
        <v>29173</v>
      </c>
      <c r="AA35" s="209">
        <v>5490</v>
      </c>
      <c r="AB35" s="209">
        <v>97122</v>
      </c>
      <c r="AC35" s="209"/>
      <c r="AD35" s="209">
        <v>39340</v>
      </c>
      <c r="AE35" s="209">
        <v>258781</v>
      </c>
      <c r="AF35" s="209"/>
      <c r="AG35" s="390"/>
      <c r="AH35" s="209"/>
      <c r="AI35" s="209"/>
      <c r="AJ35" s="632"/>
      <c r="AK35" s="633">
        <v>7266613</v>
      </c>
      <c r="AL35" s="559"/>
      <c r="AM35" s="227"/>
      <c r="AN35" s="227"/>
      <c r="AO35" s="227"/>
    </row>
    <row r="36" spans="1:41" ht="26.1" customHeight="1" x14ac:dyDescent="0.2">
      <c r="A36" s="10">
        <v>1</v>
      </c>
      <c r="B36" s="209"/>
      <c r="C36" s="209"/>
      <c r="D36" s="209"/>
      <c r="E36" s="209"/>
      <c r="F36" s="209"/>
      <c r="G36" s="209"/>
      <c r="H36" s="391"/>
      <c r="I36" s="390"/>
      <c r="J36" s="209"/>
      <c r="K36" s="391"/>
      <c r="L36" s="209"/>
      <c r="M36" s="639"/>
      <c r="N36" s="390"/>
      <c r="O36" s="209">
        <f>'Entries Feb.''25'!A36</f>
        <v>1</v>
      </c>
      <c r="P36" s="653"/>
      <c r="Q36" s="630"/>
      <c r="R36" s="209"/>
      <c r="S36" s="209"/>
      <c r="T36" s="209"/>
      <c r="U36" s="209"/>
      <c r="V36" s="209"/>
      <c r="W36" s="566"/>
      <c r="X36" s="209"/>
      <c r="Y36" s="544"/>
      <c r="Z36" s="209"/>
      <c r="AA36" s="209"/>
      <c r="AB36" s="209"/>
      <c r="AC36" s="209"/>
      <c r="AD36" s="390"/>
      <c r="AE36" s="209"/>
      <c r="AF36" s="209"/>
      <c r="AG36" s="390"/>
      <c r="AH36" s="209"/>
      <c r="AI36" s="209"/>
      <c r="AJ36" s="632"/>
      <c r="AK36" s="633"/>
      <c r="AL36" s="559"/>
      <c r="AM36" s="227"/>
      <c r="AN36" s="227"/>
      <c r="AO36" s="227"/>
    </row>
    <row r="37" spans="1:41" ht="26.1" customHeight="1" x14ac:dyDescent="0.2">
      <c r="A37" s="10">
        <v>2</v>
      </c>
      <c r="B37" s="209"/>
      <c r="C37" s="209"/>
      <c r="D37" s="209"/>
      <c r="E37" s="209"/>
      <c r="F37" s="209"/>
      <c r="G37" s="209"/>
      <c r="H37" s="391"/>
      <c r="I37" s="390"/>
      <c r="J37" s="209"/>
      <c r="K37" s="391"/>
      <c r="L37" s="209"/>
      <c r="M37" s="639"/>
      <c r="N37" s="390"/>
      <c r="O37" s="209">
        <f>'Entries Feb.''25'!A37</f>
        <v>2</v>
      </c>
      <c r="P37" s="653"/>
      <c r="Q37" s="630"/>
      <c r="R37" s="209"/>
      <c r="S37" s="209"/>
      <c r="T37" s="209"/>
      <c r="U37" s="209"/>
      <c r="V37" s="209"/>
      <c r="W37" s="566"/>
      <c r="X37" s="209"/>
      <c r="Y37" s="544"/>
      <c r="Z37" s="209"/>
      <c r="AA37" s="209"/>
      <c r="AB37" s="209"/>
      <c r="AC37" s="209"/>
      <c r="AD37" s="390"/>
      <c r="AE37" s="209"/>
      <c r="AF37" s="209"/>
      <c r="AG37" s="390"/>
      <c r="AH37" s="209"/>
      <c r="AI37" s="209"/>
      <c r="AJ37" s="632"/>
      <c r="AK37" s="633"/>
      <c r="AL37" s="243"/>
      <c r="AM37" s="227"/>
      <c r="AN37" s="227"/>
      <c r="AO37" s="227"/>
    </row>
    <row r="38" spans="1:41" ht="26.1" customHeight="1" x14ac:dyDescent="0.2">
      <c r="A38" s="12">
        <v>3</v>
      </c>
      <c r="B38" s="209"/>
      <c r="C38" s="209"/>
      <c r="D38" s="209"/>
      <c r="E38" s="209"/>
      <c r="F38" s="209"/>
      <c r="G38" s="209"/>
      <c r="H38" s="391"/>
      <c r="I38" s="390"/>
      <c r="J38" s="209"/>
      <c r="K38" s="391"/>
      <c r="L38" s="209"/>
      <c r="M38" s="639"/>
      <c r="N38" s="390"/>
      <c r="O38" s="209">
        <f>'Entries Feb.''25'!A38</f>
        <v>3</v>
      </c>
      <c r="P38" s="209"/>
      <c r="Q38" s="630"/>
      <c r="R38" s="209"/>
      <c r="S38" s="209"/>
      <c r="T38" s="209"/>
      <c r="U38" s="209"/>
      <c r="V38" s="209"/>
      <c r="W38" s="566"/>
      <c r="X38" s="209"/>
      <c r="Y38" s="544"/>
      <c r="Z38" s="209"/>
      <c r="AA38" s="209"/>
      <c r="AB38" s="209"/>
      <c r="AC38" s="209"/>
      <c r="AD38" s="390"/>
      <c r="AE38" s="209"/>
      <c r="AF38" s="209"/>
      <c r="AG38" s="390"/>
      <c r="AH38" s="209"/>
      <c r="AI38" s="209"/>
      <c r="AJ38" s="632"/>
      <c r="AK38" s="662"/>
      <c r="AL38" s="242"/>
      <c r="AM38" s="208"/>
      <c r="AN38" s="208"/>
      <c r="AO38" s="224"/>
    </row>
    <row r="39" spans="1:41" x14ac:dyDescent="0.2">
      <c r="B39" s="26">
        <f>B35-B7</f>
        <v>62060</v>
      </c>
      <c r="C39" s="26">
        <f t="shared" ref="C39:H39" si="0">C35-C7</f>
        <v>0</v>
      </c>
      <c r="D39" s="26">
        <f t="shared" si="0"/>
        <v>0</v>
      </c>
      <c r="E39" s="26">
        <f t="shared" si="0"/>
        <v>0</v>
      </c>
      <c r="F39" s="26">
        <f t="shared" si="0"/>
        <v>424.59999999999991</v>
      </c>
      <c r="G39" s="26">
        <f t="shared" si="0"/>
        <v>1</v>
      </c>
      <c r="H39" s="26">
        <f t="shared" si="0"/>
        <v>0</v>
      </c>
      <c r="I39" s="26">
        <f>I35-I7</f>
        <v>99919</v>
      </c>
      <c r="J39" s="26">
        <f>J35-J7</f>
        <v>94445</v>
      </c>
      <c r="K39" s="26">
        <f t="shared" ref="K39:AO39" si="1">K35-K7</f>
        <v>0</v>
      </c>
      <c r="L39" s="26">
        <f t="shared" si="1"/>
        <v>0</v>
      </c>
      <c r="M39" s="26">
        <f t="shared" si="1"/>
        <v>0</v>
      </c>
      <c r="N39" s="26">
        <f t="shared" si="1"/>
        <v>447.11</v>
      </c>
      <c r="O39" s="26">
        <f t="shared" si="1"/>
        <v>28</v>
      </c>
      <c r="P39" s="26">
        <f t="shared" si="1"/>
        <v>3774</v>
      </c>
      <c r="Q39" s="26">
        <f t="shared" si="1"/>
        <v>4662</v>
      </c>
      <c r="R39" s="26">
        <f t="shared" si="1"/>
        <v>4411</v>
      </c>
      <c r="S39" s="26">
        <f t="shared" si="1"/>
        <v>0</v>
      </c>
      <c r="T39" s="26">
        <f t="shared" si="1"/>
        <v>4279</v>
      </c>
      <c r="U39" s="26">
        <f t="shared" si="1"/>
        <v>0</v>
      </c>
      <c r="V39" s="26">
        <f t="shared" si="1"/>
        <v>98</v>
      </c>
      <c r="W39" s="26">
        <f t="shared" si="1"/>
        <v>4912</v>
      </c>
      <c r="X39" s="26">
        <f t="shared" si="1"/>
        <v>0</v>
      </c>
      <c r="Y39" s="26">
        <f t="shared" si="1"/>
        <v>1013</v>
      </c>
      <c r="Z39" s="26">
        <f t="shared" si="1"/>
        <v>1464</v>
      </c>
      <c r="AA39" s="26">
        <f t="shared" si="1"/>
        <v>621</v>
      </c>
      <c r="AB39" s="26">
        <f t="shared" si="1"/>
        <v>0</v>
      </c>
      <c r="AC39" s="26">
        <f t="shared" si="1"/>
        <v>0</v>
      </c>
      <c r="AD39" s="26">
        <f t="shared" si="1"/>
        <v>398</v>
      </c>
      <c r="AE39" s="26">
        <f t="shared" si="1"/>
        <v>287</v>
      </c>
      <c r="AF39" s="26">
        <f t="shared" si="1"/>
        <v>0</v>
      </c>
      <c r="AG39" s="26">
        <f t="shared" si="1"/>
        <v>0</v>
      </c>
      <c r="AH39" s="26">
        <f t="shared" si="1"/>
        <v>0</v>
      </c>
      <c r="AI39" s="26">
        <f t="shared" si="1"/>
        <v>0</v>
      </c>
      <c r="AJ39" s="26">
        <f t="shared" si="1"/>
        <v>0</v>
      </c>
      <c r="AK39" s="26">
        <f t="shared" si="1"/>
        <v>8008.3080000001937</v>
      </c>
      <c r="AL39" s="26">
        <f t="shared" si="1"/>
        <v>0</v>
      </c>
      <c r="AM39" s="26">
        <f t="shared" si="1"/>
        <v>0</v>
      </c>
      <c r="AN39" s="26">
        <f t="shared" si="1"/>
        <v>0</v>
      </c>
      <c r="AO39" s="26">
        <f t="shared" si="1"/>
        <v>0</v>
      </c>
    </row>
    <row r="40" spans="1:41" x14ac:dyDescent="0.2">
      <c r="B40" s="26">
        <f>B16-B12</f>
        <v>4430</v>
      </c>
      <c r="C40" s="26">
        <f>C16-C13</f>
        <v>0</v>
      </c>
      <c r="G40" s="26"/>
      <c r="I40" s="708"/>
      <c r="J40" s="707"/>
      <c r="S40" s="26"/>
      <c r="T40" s="26"/>
      <c r="U40" s="26"/>
      <c r="V40" s="26"/>
      <c r="W40" s="567"/>
      <c r="X40" s="26"/>
      <c r="AA40" s="26"/>
      <c r="AB40" s="708"/>
      <c r="AC40" s="708"/>
      <c r="AD40" s="26"/>
      <c r="AE40" s="26"/>
      <c r="AJ40" s="247"/>
      <c r="AK40" s="631"/>
    </row>
    <row r="41" spans="1:41" x14ac:dyDescent="0.2">
      <c r="G41" s="26"/>
      <c r="J41" s="26"/>
      <c r="AA41" s="26"/>
      <c r="AB41" s="26"/>
      <c r="AD41" s="26"/>
      <c r="AG41" s="26"/>
      <c r="AH41" s="26"/>
      <c r="AI41" s="26"/>
    </row>
    <row r="42" spans="1:41" x14ac:dyDescent="0.2">
      <c r="B42" s="26"/>
      <c r="G42" s="26"/>
      <c r="I42" s="26"/>
      <c r="J42" s="26"/>
      <c r="K42" s="26">
        <f>J42+I42</f>
        <v>0</v>
      </c>
      <c r="M42" s="26"/>
      <c r="P42" s="26"/>
      <c r="Q42" s="26"/>
      <c r="R42" s="26"/>
      <c r="Z42" s="26"/>
      <c r="AA42" s="26"/>
    </row>
    <row r="43" spans="1:41" x14ac:dyDescent="0.2">
      <c r="B43" s="26"/>
    </row>
    <row r="44" spans="1:41" x14ac:dyDescent="0.2">
      <c r="B44" s="26"/>
      <c r="J44" s="46"/>
    </row>
    <row r="45" spans="1:41" x14ac:dyDescent="0.2">
      <c r="H45" s="46"/>
      <c r="J45" s="46"/>
    </row>
    <row r="47" spans="1:41" x14ac:dyDescent="0.2">
      <c r="I47" s="26">
        <f>I31-I30</f>
        <v>4040</v>
      </c>
      <c r="J47" s="26">
        <f>J31-J30</f>
        <v>3817</v>
      </c>
    </row>
    <row r="50" spans="14:14" x14ac:dyDescent="0.2">
      <c r="N50" s="8">
        <v>2339980.75</v>
      </c>
    </row>
    <row r="51" spans="14:14" x14ac:dyDescent="0.2">
      <c r="N51" s="8">
        <v>2339980.75</v>
      </c>
    </row>
    <row r="52" spans="14:14" x14ac:dyDescent="0.2">
      <c r="N52" s="8">
        <v>2354366.5</v>
      </c>
    </row>
    <row r="53" spans="14:14" x14ac:dyDescent="0.2">
      <c r="N53" s="8">
        <v>2373680.25</v>
      </c>
    </row>
  </sheetData>
  <mergeCells count="28">
    <mergeCell ref="AG4:AG5"/>
    <mergeCell ref="AF4:AF5"/>
    <mergeCell ref="AE4:AE5"/>
    <mergeCell ref="AI3:AI5"/>
    <mergeCell ref="AL3:AO3"/>
    <mergeCell ref="AH3:AH5"/>
    <mergeCell ref="AJ3:AJ5"/>
    <mergeCell ref="AK3:AK5"/>
    <mergeCell ref="I40:J40"/>
    <mergeCell ref="AB40:AC40"/>
    <mergeCell ref="L3:N3"/>
    <mergeCell ref="N4:N5"/>
    <mergeCell ref="T4:T5"/>
    <mergeCell ref="V4:V5"/>
    <mergeCell ref="Q4:Q5"/>
    <mergeCell ref="X4:X5"/>
    <mergeCell ref="B1:M1"/>
    <mergeCell ref="P1:AC1"/>
    <mergeCell ref="AB4:AB5"/>
    <mergeCell ref="AC4:AC5"/>
    <mergeCell ref="P4:P5"/>
    <mergeCell ref="S4:S5"/>
    <mergeCell ref="P3:AD3"/>
    <mergeCell ref="W4:W5"/>
    <mergeCell ref="R4:R5"/>
    <mergeCell ref="U4:U5"/>
    <mergeCell ref="AD4:AD5"/>
    <mergeCell ref="P2:W2"/>
  </mergeCells>
  <phoneticPr fontId="0" type="noConversion"/>
  <conditionalFormatting sqref="B7:E38">
    <cfRule type="expression" dxfId="39" priority="33">
      <formula>B7&lt;B6</formula>
    </cfRule>
  </conditionalFormatting>
  <conditionalFormatting sqref="F7:F38">
    <cfRule type="expression" dxfId="38" priority="29">
      <formula>F7&lt;#REF!</formula>
    </cfRule>
  </conditionalFormatting>
  <conditionalFormatting sqref="G7:O38">
    <cfRule type="expression" dxfId="37" priority="27">
      <formula>G7&lt;G6</formula>
    </cfRule>
  </conditionalFormatting>
  <conditionalFormatting sqref="P6:P38">
    <cfRule type="expression" dxfId="36" priority="1">
      <formula>P6&lt;P5</formula>
    </cfRule>
  </conditionalFormatting>
  <conditionalFormatting sqref="Q7:R38">
    <cfRule type="expression" dxfId="35" priority="20">
      <formula>Q7&lt;Q6</formula>
    </cfRule>
  </conditionalFormatting>
  <conditionalFormatting sqref="S6:S38">
    <cfRule type="expression" dxfId="34" priority="26">
      <formula>S6&lt;S5</formula>
    </cfRule>
  </conditionalFormatting>
  <conditionalFormatting sqref="T7:AK38">
    <cfRule type="expression" dxfId="33" priority="2">
      <formula>T7&lt;T6</formula>
    </cfRule>
  </conditionalFormatting>
  <conditionalFormatting sqref="AB7:AB37">
    <cfRule type="expression" dxfId="32" priority="38">
      <formula>AB7&lt;#REF!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40" max="38" man="1"/>
  </rowBreaks>
  <colBreaks count="2" manualBreakCount="2">
    <brk id="14" max="1048575" man="1"/>
    <brk id="38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S45"/>
  <sheetViews>
    <sheetView showGridLines="0" topLeftCell="A7" zoomScale="8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10" sqref="E10"/>
    </sheetView>
  </sheetViews>
  <sheetFormatPr defaultRowHeight="12.75" x14ac:dyDescent="0.2"/>
  <cols>
    <col min="1" max="1" width="8.28515625" bestFit="1" customWidth="1"/>
    <col min="2" max="2" width="15.5703125" customWidth="1"/>
    <col min="3" max="3" width="13.5703125" customWidth="1"/>
    <col min="4" max="4" width="13.42578125" customWidth="1"/>
    <col min="5" max="5" width="13.5703125" customWidth="1"/>
    <col min="7" max="7" width="13.5703125" customWidth="1"/>
  </cols>
  <sheetData>
    <row r="2" spans="1:19" x14ac:dyDescent="0.2">
      <c r="D2" s="20" t="s">
        <v>1</v>
      </c>
    </row>
    <row r="3" spans="1:19" x14ac:dyDescent="0.2">
      <c r="D3" s="1" t="s">
        <v>0</v>
      </c>
    </row>
    <row r="5" spans="1:19" x14ac:dyDescent="0.2">
      <c r="A5" s="1" t="s">
        <v>2</v>
      </c>
      <c r="C5" s="3">
        <v>39295</v>
      </c>
      <c r="E5" s="3"/>
    </row>
    <row r="6" spans="1:19" ht="13.5" thickBot="1" x14ac:dyDescent="0.25"/>
    <row r="7" spans="1:19" ht="13.5" thickBot="1" x14ac:dyDescent="0.25">
      <c r="A7" s="90" t="s">
        <v>8</v>
      </c>
      <c r="B7" s="92" t="s">
        <v>3</v>
      </c>
      <c r="C7" s="92" t="s">
        <v>4</v>
      </c>
      <c r="D7" s="92" t="s">
        <v>5</v>
      </c>
      <c r="E7" s="92" t="s">
        <v>59</v>
      </c>
      <c r="F7" s="96" t="s">
        <v>18</v>
      </c>
      <c r="G7" s="97"/>
      <c r="H7" s="98"/>
      <c r="I7" s="98"/>
      <c r="J7" s="99"/>
      <c r="K7" s="726" t="s">
        <v>12</v>
      </c>
      <c r="L7" s="727"/>
      <c r="M7" s="727"/>
      <c r="N7" s="728"/>
      <c r="O7" s="106"/>
      <c r="P7" s="107"/>
      <c r="Q7" s="2"/>
      <c r="R7" s="2"/>
      <c r="S7" s="2"/>
    </row>
    <row r="8" spans="1:19" x14ac:dyDescent="0.2">
      <c r="A8" s="93"/>
      <c r="B8" s="92"/>
      <c r="C8" s="92"/>
      <c r="D8" s="92"/>
      <c r="E8" s="92"/>
      <c r="F8" s="100"/>
      <c r="G8" s="101"/>
      <c r="H8" s="101"/>
      <c r="I8" s="101"/>
      <c r="J8" s="92"/>
      <c r="K8" s="100" t="s">
        <v>15</v>
      </c>
      <c r="L8" s="101" t="s">
        <v>16</v>
      </c>
      <c r="M8" s="97" t="s">
        <v>10</v>
      </c>
      <c r="N8" s="101" t="s">
        <v>73</v>
      </c>
      <c r="O8" s="724" t="s">
        <v>57</v>
      </c>
      <c r="P8" s="725"/>
      <c r="Q8" s="2"/>
      <c r="R8" s="2"/>
      <c r="S8" s="2"/>
    </row>
    <row r="9" spans="1:19" ht="13.5" thickBot="1" x14ac:dyDescent="0.25">
      <c r="A9" s="94"/>
      <c r="B9" s="95" t="s">
        <v>66</v>
      </c>
      <c r="C9" s="95" t="s">
        <v>67</v>
      </c>
      <c r="D9" s="95" t="s">
        <v>68</v>
      </c>
      <c r="E9" s="95" t="s">
        <v>72</v>
      </c>
      <c r="F9" s="102" t="s">
        <v>6</v>
      </c>
      <c r="G9" s="103" t="s">
        <v>7</v>
      </c>
      <c r="H9" s="103" t="s">
        <v>9</v>
      </c>
      <c r="I9" s="103" t="s">
        <v>11</v>
      </c>
      <c r="J9" s="104" t="s">
        <v>13</v>
      </c>
      <c r="K9" s="102" t="s">
        <v>14</v>
      </c>
      <c r="L9" s="103" t="s">
        <v>71</v>
      </c>
      <c r="M9" s="105" t="s">
        <v>17</v>
      </c>
      <c r="N9" s="103" t="s">
        <v>74</v>
      </c>
      <c r="O9" s="91"/>
      <c r="P9" s="108"/>
      <c r="Q9" s="2"/>
      <c r="R9" s="2"/>
      <c r="S9" s="2"/>
    </row>
    <row r="10" spans="1:19" s="82" customFormat="1" ht="15" x14ac:dyDescent="0.2">
      <c r="A10" s="74">
        <v>1</v>
      </c>
      <c r="B10" s="75">
        <f>IF(('Entries Feb.''25'!I8-'Entries Feb.''25'!I7)+('Entries Feb.''25'!J8-'Entries Feb.''25'!J7)&lt;1,"0",('Entries Feb.''25'!I8-'Entries Feb.''25'!I7)+('Entries Feb.''25'!J8-'Entries Feb.''25'!J7))</f>
        <v>5855</v>
      </c>
      <c r="C10" s="76">
        <f>'Water '!$R$7</f>
        <v>2550</v>
      </c>
      <c r="D10" s="77">
        <f>IF('Entries Feb.''25'!B8-'Entries Feb.''25'!B7&lt;1,"0",'Entries Feb.''25'!B8-'Entries Feb.''25'!B7)</f>
        <v>200</v>
      </c>
      <c r="E10" s="78">
        <f>'Co2 '!B7</f>
        <v>0</v>
      </c>
      <c r="F10" s="79">
        <f>+'PROD.FIG. '!F5</f>
        <v>0</v>
      </c>
      <c r="G10" s="79">
        <f>+'PROD.FIG. '!C5</f>
        <v>0</v>
      </c>
      <c r="H10" s="79">
        <f>+'PROD.FIG. '!D5</f>
        <v>0</v>
      </c>
      <c r="I10" s="79">
        <f>+'PROD.FIG. '!E5</f>
        <v>0</v>
      </c>
      <c r="J10" s="74"/>
      <c r="K10" s="80">
        <f>IF(SUM($G10:$H10)&lt;1,0,B10/SUM($G10:$H10))</f>
        <v>0</v>
      </c>
      <c r="L10" s="80">
        <f t="shared" ref="L10:L40" si="0">IF(SUM($G10:$H10)&lt;1,0,C10/SUM($G10:$H10))</f>
        <v>0</v>
      </c>
      <c r="M10" s="80">
        <f t="shared" ref="M10:M40" si="1">IF(SUM($G10:$H10)&lt;1,0,D10/SUM($G10:$H10))</f>
        <v>0</v>
      </c>
      <c r="N10" s="80">
        <f t="shared" ref="N10:N40" si="2">IF(SUM($G10:$H10)&lt;1,0,E10/SUM($G10:$H10))</f>
        <v>0</v>
      </c>
      <c r="O10" s="109"/>
      <c r="P10" s="110"/>
      <c r="Q10" s="81"/>
      <c r="R10" s="81"/>
      <c r="S10" s="81"/>
    </row>
    <row r="11" spans="1:19" ht="15" x14ac:dyDescent="0.2">
      <c r="A11" s="52">
        <v>2</v>
      </c>
      <c r="B11" s="75">
        <f>IF(('Entries Feb.''25'!I9-'Entries Feb.''25'!I8)+('Entries Feb.''25'!J9-'Entries Feb.''25'!J8)&lt;1,"0",('Entries Feb.''25'!I9-'Entries Feb.''25'!I8)+('Entries Feb.''25'!J9-'Entries Feb.''25'!J8))</f>
        <v>3460</v>
      </c>
      <c r="C11" s="60">
        <f>'Water '!$R$8</f>
        <v>-2710</v>
      </c>
      <c r="D11" s="59">
        <f>IF('Entries Feb.''25'!B9-'Entries Feb.''25'!B8&lt;1,"0",'Entries Feb.''25'!B9-'Entries Feb.''25'!B8)</f>
        <v>760</v>
      </c>
      <c r="E11" s="78">
        <f>'Co2 '!B8</f>
        <v>0</v>
      </c>
      <c r="F11" s="38">
        <f>+'PROD.FIG. '!F6</f>
        <v>0</v>
      </c>
      <c r="G11" s="38">
        <f>+'PROD.FIG. '!C6</f>
        <v>0</v>
      </c>
      <c r="H11" s="38">
        <f>+'PROD.FIG. '!D6</f>
        <v>0</v>
      </c>
      <c r="I11" s="38">
        <f>+'PROD.FIG. '!E6</f>
        <v>0</v>
      </c>
      <c r="J11" s="40"/>
      <c r="K11" s="38">
        <f t="shared" ref="K11:K40" si="3">IF(SUM($G11:$H11)&lt;1,0,B11/SUM($G11:$H11))</f>
        <v>0</v>
      </c>
      <c r="L11" s="38">
        <f t="shared" si="0"/>
        <v>0</v>
      </c>
      <c r="M11" s="38">
        <f t="shared" si="1"/>
        <v>0</v>
      </c>
      <c r="N11" s="38">
        <f t="shared" si="2"/>
        <v>0</v>
      </c>
      <c r="O11" s="111"/>
      <c r="P11" s="112"/>
      <c r="Q11" s="2"/>
      <c r="R11" s="2"/>
      <c r="S11" s="2"/>
    </row>
    <row r="12" spans="1:19" s="82" customFormat="1" ht="15" x14ac:dyDescent="0.2">
      <c r="A12" s="83">
        <v>3</v>
      </c>
      <c r="B12" s="75">
        <f>IF(('Entries Feb.''25'!I10-'Entries Feb.''25'!I9)+('Entries Feb.''25'!J10-'Entries Feb.''25'!J9)&lt;1,"0",('Entries Feb.''25'!I10-'Entries Feb.''25'!I9)+('Entries Feb.''25'!J10-'Entries Feb.''25'!J9))</f>
        <v>7875</v>
      </c>
      <c r="C12" s="76">
        <f>'Water '!$R$9</f>
        <v>630</v>
      </c>
      <c r="D12" s="77">
        <f>IF('Entries Feb.''25'!B10-'Entries Feb.''25'!B9&lt;1,"0",'Entries Feb.''25'!B10-'Entries Feb.''25'!B9)</f>
        <v>3100</v>
      </c>
      <c r="E12" s="78">
        <f>'Co2 '!B9</f>
        <v>29.340000000000032</v>
      </c>
      <c r="F12" s="80">
        <f>+'PROD.FIG. '!F7</f>
        <v>0</v>
      </c>
      <c r="G12" s="38">
        <f>+'PROD.FIG. '!C7</f>
        <v>0</v>
      </c>
      <c r="H12" s="80">
        <f>+'PROD.FIG. '!D7</f>
        <v>0</v>
      </c>
      <c r="I12" s="80">
        <f>+'PROD.FIG. '!E7</f>
        <v>0</v>
      </c>
      <c r="J12" s="84"/>
      <c r="K12" s="80">
        <f t="shared" si="3"/>
        <v>0</v>
      </c>
      <c r="L12" s="80">
        <f t="shared" si="0"/>
        <v>0</v>
      </c>
      <c r="M12" s="80">
        <f t="shared" si="1"/>
        <v>0</v>
      </c>
      <c r="N12" s="80">
        <f t="shared" si="2"/>
        <v>0</v>
      </c>
      <c r="O12" s="109"/>
      <c r="P12" s="110"/>
      <c r="Q12" s="81"/>
      <c r="R12" s="81"/>
      <c r="S12" s="81"/>
    </row>
    <row r="13" spans="1:19" ht="15" x14ac:dyDescent="0.2">
      <c r="A13" s="37">
        <v>4</v>
      </c>
      <c r="B13" s="75">
        <f>IF(('Entries Feb.''25'!I11-'Entries Feb.''25'!I10)+('Entries Feb.''25'!J11-'Entries Feb.''25'!J10)&lt;1,"0",('Entries Feb.''25'!I11-'Entries Feb.''25'!I10)+('Entries Feb.''25'!J11-'Entries Feb.''25'!J10))</f>
        <v>7756</v>
      </c>
      <c r="C13" s="60">
        <f>'Water '!$R$10</f>
        <v>1410</v>
      </c>
      <c r="D13" s="59">
        <f>IF('Entries Feb.''25'!B11-'Entries Feb.''25'!B10&lt;1,"0",'Entries Feb.''25'!B11-'Entries Feb.''25'!B10)</f>
        <v>3030</v>
      </c>
      <c r="E13" s="78">
        <f>'Co2 '!B10</f>
        <v>43.049999999999955</v>
      </c>
      <c r="F13" s="38">
        <f>+'PROD.FIG. '!F8</f>
        <v>0</v>
      </c>
      <c r="G13" s="80">
        <f>+'PROD.FIG. '!C8</f>
        <v>0</v>
      </c>
      <c r="H13" s="38">
        <f>+'PROD.FIG. '!D8</f>
        <v>0</v>
      </c>
      <c r="I13" s="38">
        <f>+'PROD.FIG. '!E8</f>
        <v>0</v>
      </c>
      <c r="J13" s="39"/>
      <c r="K13" s="38">
        <f t="shared" si="3"/>
        <v>0</v>
      </c>
      <c r="L13" s="38">
        <f t="shared" si="0"/>
        <v>0</v>
      </c>
      <c r="M13" s="38">
        <f t="shared" si="1"/>
        <v>0</v>
      </c>
      <c r="N13" s="38">
        <f t="shared" si="2"/>
        <v>0</v>
      </c>
      <c r="O13" s="111"/>
      <c r="P13" s="112"/>
      <c r="Q13" s="2"/>
      <c r="R13" s="2"/>
      <c r="S13" s="2"/>
    </row>
    <row r="14" spans="1:19" s="82" customFormat="1" ht="15" x14ac:dyDescent="0.2">
      <c r="A14" s="84">
        <v>5</v>
      </c>
      <c r="B14" s="75">
        <f>IF(('Entries Feb.''25'!I12-'Entries Feb.''25'!I11)+('Entries Feb.''25'!J12-'Entries Feb.''25'!J11)&lt;1,"0",('Entries Feb.''25'!I12-'Entries Feb.''25'!I11)+('Entries Feb.''25'!J12-'Entries Feb.''25'!J11))</f>
        <v>8477</v>
      </c>
      <c r="C14" s="76">
        <f>'Water '!$R$11</f>
        <v>2810</v>
      </c>
      <c r="D14" s="77">
        <f>IF('Entries Feb.''25'!B12-'Entries Feb.''25'!B11&lt;1,"0",'Entries Feb.''25'!B12-'Entries Feb.''25'!B11)</f>
        <v>3400</v>
      </c>
      <c r="E14" s="78">
        <f>'Co2 '!B11</f>
        <v>40.720000000000027</v>
      </c>
      <c r="F14" s="80">
        <f>+'PROD.FIG. '!F9</f>
        <v>0</v>
      </c>
      <c r="G14" s="38">
        <f>+'PROD.FIG. '!C9</f>
        <v>0</v>
      </c>
      <c r="H14" s="80">
        <f>+'PROD.FIG. '!D9</f>
        <v>0</v>
      </c>
      <c r="I14" s="80">
        <f>+'PROD.FIG. '!E9</f>
        <v>0</v>
      </c>
      <c r="J14" s="84"/>
      <c r="K14" s="80">
        <f t="shared" si="3"/>
        <v>0</v>
      </c>
      <c r="L14" s="80">
        <f t="shared" si="0"/>
        <v>0</v>
      </c>
      <c r="M14" s="80">
        <f t="shared" si="1"/>
        <v>0</v>
      </c>
      <c r="N14" s="80">
        <f t="shared" si="2"/>
        <v>0</v>
      </c>
      <c r="O14" s="109"/>
      <c r="P14" s="110"/>
      <c r="Q14" s="81"/>
      <c r="R14" s="81"/>
      <c r="S14" s="81"/>
    </row>
    <row r="15" spans="1:19" ht="15" x14ac:dyDescent="0.2">
      <c r="A15" s="39">
        <v>6</v>
      </c>
      <c r="B15" s="75">
        <f>IF(('Entries Feb.''25'!I13-'Entries Feb.''25'!I12)+('Entries Feb.''25'!J13-'Entries Feb.''25'!J12)&lt;1,"0",('Entries Feb.''25'!I13-'Entries Feb.''25'!I12)+('Entries Feb.''25'!J13-'Entries Feb.''25'!J12))</f>
        <v>7797</v>
      </c>
      <c r="C15" s="60">
        <f>'Water '!$R$12</f>
        <v>1360</v>
      </c>
      <c r="D15" s="58">
        <f>IF('Entries Feb.''25'!B13-'Entries Feb.''25'!B12&lt;1,"0",'Entries Feb.''25'!B13-'Entries Feb.''25'!B12)</f>
        <v>2920</v>
      </c>
      <c r="E15" s="78">
        <f>'Co2 '!B12</f>
        <v>4.3899999999999864</v>
      </c>
      <c r="F15" s="38">
        <f>+'PROD.FIG. '!F10</f>
        <v>0</v>
      </c>
      <c r="G15" s="80">
        <f>+'PROD.FIG. '!C10</f>
        <v>0</v>
      </c>
      <c r="H15" s="38">
        <f>+'PROD.FIG. '!D10</f>
        <v>0</v>
      </c>
      <c r="I15" s="38">
        <f>+'PROD.FIG. '!E10</f>
        <v>0</v>
      </c>
      <c r="J15" s="39"/>
      <c r="K15" s="38">
        <f t="shared" si="3"/>
        <v>0</v>
      </c>
      <c r="L15" s="38">
        <f t="shared" si="0"/>
        <v>0</v>
      </c>
      <c r="M15" s="38">
        <f t="shared" si="1"/>
        <v>0</v>
      </c>
      <c r="N15" s="38">
        <f t="shared" si="2"/>
        <v>0</v>
      </c>
      <c r="O15" s="111"/>
      <c r="P15" s="112"/>
      <c r="Q15" s="2"/>
      <c r="R15" s="2"/>
      <c r="S15" s="2"/>
    </row>
    <row r="16" spans="1:19" s="82" customFormat="1" ht="15" x14ac:dyDescent="0.2">
      <c r="A16" s="84">
        <v>7</v>
      </c>
      <c r="B16" s="75">
        <f>IF(('Entries Feb.''25'!I14-'Entries Feb.''25'!I13)+('Entries Feb.''25'!J14-'Entries Feb.''25'!J13)&lt;1,"0",('Entries Feb.''25'!I14-'Entries Feb.''25'!I13)+('Entries Feb.''25'!J14-'Entries Feb.''25'!J13))</f>
        <v>3697</v>
      </c>
      <c r="C16" s="76">
        <f>'Water '!$R$13</f>
        <v>2990</v>
      </c>
      <c r="D16" s="77" t="str">
        <f>IF('Entries Feb.''25'!B14-'Entries Feb.''25'!B13&lt;1,"0",'Entries Feb.''25'!B14-'Entries Feb.''25'!B13)</f>
        <v>0</v>
      </c>
      <c r="E16" s="78">
        <f>'Co2 '!B13</f>
        <v>0</v>
      </c>
      <c r="F16" s="80">
        <f>+'PROD.FIG. '!F11</f>
        <v>0</v>
      </c>
      <c r="G16" s="80">
        <f>+'PROD.FIG. '!C11</f>
        <v>0</v>
      </c>
      <c r="H16" s="80">
        <f>+'PROD.FIG. '!D11</f>
        <v>0</v>
      </c>
      <c r="I16" s="80">
        <f>+'PROD.FIG. '!E11</f>
        <v>0</v>
      </c>
      <c r="J16" s="84"/>
      <c r="K16" s="80">
        <f t="shared" si="3"/>
        <v>0</v>
      </c>
      <c r="L16" s="80">
        <f t="shared" si="0"/>
        <v>0</v>
      </c>
      <c r="M16" s="80">
        <f t="shared" si="1"/>
        <v>0</v>
      </c>
      <c r="N16" s="80">
        <f t="shared" si="2"/>
        <v>0</v>
      </c>
      <c r="O16" s="109"/>
      <c r="P16" s="110"/>
      <c r="Q16" s="81"/>
      <c r="R16" s="81"/>
      <c r="S16" s="81"/>
    </row>
    <row r="17" spans="1:19" ht="15" x14ac:dyDescent="0.2">
      <c r="A17" s="39">
        <v>8</v>
      </c>
      <c r="B17" s="75">
        <f>IF(('Entries Feb.''25'!I15-'Entries Feb.''25'!I14)+('Entries Feb.''25'!J15-'Entries Feb.''25'!J14)&lt;1,"0",('Entries Feb.''25'!I15-'Entries Feb.''25'!I14)+('Entries Feb.''25'!J15-'Entries Feb.''25'!J14))</f>
        <v>4659</v>
      </c>
      <c r="C17" s="56">
        <f>'Water '!$R$14</f>
        <v>190</v>
      </c>
      <c r="D17" s="56">
        <f>IF('Entries Feb.''25'!B15-'Entries Feb.''25'!B14&lt;1,"0",'Entries Feb.''25'!B15-'Entries Feb.''25'!B14)</f>
        <v>410</v>
      </c>
      <c r="E17" s="78">
        <f>'Co2 '!B14</f>
        <v>0</v>
      </c>
      <c r="F17" s="38">
        <f>+'PROD.FIG. '!F12</f>
        <v>0</v>
      </c>
      <c r="G17" s="80">
        <f>+'PROD.FIG. '!C12</f>
        <v>0</v>
      </c>
      <c r="H17" s="38">
        <f>+'PROD.FIG. '!D12</f>
        <v>0</v>
      </c>
      <c r="I17" s="38">
        <f>+'PROD.FIG. '!E12</f>
        <v>0</v>
      </c>
      <c r="J17" s="39"/>
      <c r="K17" s="38">
        <f t="shared" si="3"/>
        <v>0</v>
      </c>
      <c r="L17" s="38">
        <f t="shared" si="0"/>
        <v>0</v>
      </c>
      <c r="M17" s="38">
        <f t="shared" si="1"/>
        <v>0</v>
      </c>
      <c r="N17" s="38">
        <f t="shared" si="2"/>
        <v>0</v>
      </c>
      <c r="O17" s="111"/>
      <c r="P17" s="112"/>
      <c r="Q17" s="2"/>
      <c r="R17" s="2"/>
      <c r="S17" s="2"/>
    </row>
    <row r="18" spans="1:19" s="82" customFormat="1" ht="15" x14ac:dyDescent="0.2">
      <c r="A18" s="84">
        <v>9</v>
      </c>
      <c r="B18" s="75">
        <f>IF(('Entries Feb.''25'!I16-'Entries Feb.''25'!I15)+('Entries Feb.''25'!J16-'Entries Feb.''25'!J15)&lt;1,"0",('Entries Feb.''25'!I16-'Entries Feb.''25'!I15)+('Entries Feb.''25'!J16-'Entries Feb.''25'!J15))</f>
        <v>5407</v>
      </c>
      <c r="C18" s="85">
        <f>'Water '!$R$15</f>
        <v>1170</v>
      </c>
      <c r="D18" s="77">
        <f>IF('Entries Feb.''25'!B16-'Entries Feb.''25'!B15&lt;1,"0",'Entries Feb.''25'!B16-'Entries Feb.''25'!B15)</f>
        <v>1100</v>
      </c>
      <c r="E18" s="78">
        <f>'Co2 '!B15</f>
        <v>0</v>
      </c>
      <c r="F18" s="80">
        <f>+'PROD.FIG. '!F13</f>
        <v>0</v>
      </c>
      <c r="G18" s="80">
        <f>+'PROD.FIG. '!C13</f>
        <v>0</v>
      </c>
      <c r="H18" s="80">
        <f>+'PROD.FIG. '!D13</f>
        <v>0</v>
      </c>
      <c r="I18" s="80">
        <f>+'PROD.FIG. '!E13</f>
        <v>0</v>
      </c>
      <c r="J18" s="84"/>
      <c r="K18" s="80">
        <f t="shared" si="3"/>
        <v>0</v>
      </c>
      <c r="L18" s="80">
        <f t="shared" si="0"/>
        <v>0</v>
      </c>
      <c r="M18" s="80">
        <f t="shared" si="1"/>
        <v>0</v>
      </c>
      <c r="N18" s="80">
        <f t="shared" si="2"/>
        <v>0</v>
      </c>
      <c r="O18" s="109"/>
      <c r="P18" s="110"/>
      <c r="Q18" s="81"/>
      <c r="R18" s="81"/>
      <c r="S18" s="81"/>
    </row>
    <row r="19" spans="1:19" ht="15" x14ac:dyDescent="0.2">
      <c r="A19" s="37">
        <v>10</v>
      </c>
      <c r="B19" s="75">
        <f>IF(('Entries Feb.''25'!I17-'Entries Feb.''25'!I16)+('Entries Feb.''25'!J17-'Entries Feb.''25'!J16)&lt;1,"0",('Entries Feb.''25'!I17-'Entries Feb.''25'!I16)+('Entries Feb.''25'!J17-'Entries Feb.''25'!J16))</f>
        <v>6755</v>
      </c>
      <c r="C19" s="56">
        <f>'Water '!$R$16</f>
        <v>2380</v>
      </c>
      <c r="D19" s="56">
        <f>IF('Entries Feb.''25'!B17-'Entries Feb.''25'!B16&lt;1,"0",'Entries Feb.''25'!B17-'Entries Feb.''25'!B16)</f>
        <v>2710</v>
      </c>
      <c r="E19" s="78">
        <f>'Co2 '!B16</f>
        <v>20</v>
      </c>
      <c r="F19" s="38">
        <f>+'PROD.FIG. '!F14</f>
        <v>0</v>
      </c>
      <c r="G19" s="80">
        <f>+'PROD.FIG. '!C14</f>
        <v>0</v>
      </c>
      <c r="H19" s="38">
        <f>+'PROD.FIG. '!D14</f>
        <v>0</v>
      </c>
      <c r="I19" s="38">
        <f>+'PROD.FIG. '!E14</f>
        <v>0</v>
      </c>
      <c r="J19" s="39"/>
      <c r="K19" s="38">
        <f t="shared" si="3"/>
        <v>0</v>
      </c>
      <c r="L19" s="38">
        <f t="shared" si="0"/>
        <v>0</v>
      </c>
      <c r="M19" s="38">
        <f t="shared" si="1"/>
        <v>0</v>
      </c>
      <c r="N19" s="38">
        <f t="shared" si="2"/>
        <v>0</v>
      </c>
      <c r="O19" s="111"/>
      <c r="P19" s="112"/>
      <c r="Q19" s="2"/>
      <c r="R19" s="2"/>
      <c r="S19" s="2"/>
    </row>
    <row r="20" spans="1:19" s="82" customFormat="1" ht="15" x14ac:dyDescent="0.2">
      <c r="A20" s="83">
        <v>11</v>
      </c>
      <c r="B20" s="75">
        <f>IF(('Entries Feb.''25'!I18-'Entries Feb.''25'!I17)+('Entries Feb.''25'!J18-'Entries Feb.''25'!J17)&lt;1,"0",('Entries Feb.''25'!I18-'Entries Feb.''25'!I17)+('Entries Feb.''25'!J18-'Entries Feb.''25'!J17))</f>
        <v>8429</v>
      </c>
      <c r="C20" s="85">
        <f>'Water '!$R$17</f>
        <v>1440</v>
      </c>
      <c r="D20" s="77">
        <f>IF('Entries Feb.''25'!B18-'Entries Feb.''25'!B17&lt;1,"0",'Entries Feb.''25'!B18-'Entries Feb.''25'!B17)</f>
        <v>3220</v>
      </c>
      <c r="E20" s="78">
        <f>'Co2 '!B17</f>
        <v>34.580000000000041</v>
      </c>
      <c r="F20" s="80">
        <f>+'PROD.FIG. '!F15</f>
        <v>0</v>
      </c>
      <c r="G20" s="80">
        <f>+'PROD.FIG. '!C15</f>
        <v>0</v>
      </c>
      <c r="H20" s="80">
        <f>+'PROD.FIG. '!D15</f>
        <v>0</v>
      </c>
      <c r="I20" s="80">
        <f>+'PROD.FIG. '!E15</f>
        <v>0</v>
      </c>
      <c r="J20" s="84"/>
      <c r="K20" s="80">
        <f t="shared" si="3"/>
        <v>0</v>
      </c>
      <c r="L20" s="80">
        <f t="shared" si="0"/>
        <v>0</v>
      </c>
      <c r="M20" s="80">
        <f t="shared" si="1"/>
        <v>0</v>
      </c>
      <c r="N20" s="80">
        <f t="shared" si="2"/>
        <v>0</v>
      </c>
      <c r="O20" s="109"/>
      <c r="P20" s="110"/>
      <c r="Q20" s="81"/>
      <c r="R20" s="81"/>
      <c r="S20" s="81"/>
    </row>
    <row r="21" spans="1:19" ht="15" x14ac:dyDescent="0.2">
      <c r="A21" s="39">
        <v>12</v>
      </c>
      <c r="B21" s="75">
        <f>IF(('Entries Feb.''25'!I19-'Entries Feb.''25'!I18)+('Entries Feb.''25'!J19-'Entries Feb.''25'!J18)&lt;1,"0",('Entries Feb.''25'!I19-'Entries Feb.''25'!I18)+('Entries Feb.''25'!J19-'Entries Feb.''25'!J18))</f>
        <v>8273</v>
      </c>
      <c r="C21" s="56">
        <f>'Water '!$R$18</f>
        <v>2680</v>
      </c>
      <c r="D21" s="58">
        <f>IF('Entries Feb.''25'!B19-'Entries Feb.''25'!B18&lt;1,"0",'Entries Feb.''25'!B19-'Entries Feb.''25'!B18)</f>
        <v>3280</v>
      </c>
      <c r="E21" s="78">
        <f>'Co2 '!B18</f>
        <v>31.399999999999977</v>
      </c>
      <c r="F21" s="38">
        <f>+'PROD.FIG. '!F16</f>
        <v>0</v>
      </c>
      <c r="G21" s="80">
        <f>+'PROD.FIG. '!C16</f>
        <v>0</v>
      </c>
      <c r="H21" s="38">
        <f>+'PROD.FIG. '!D16</f>
        <v>0</v>
      </c>
      <c r="I21" s="38">
        <f>+'PROD.FIG. '!E16</f>
        <v>0</v>
      </c>
      <c r="J21" s="39"/>
      <c r="K21" s="38">
        <f t="shared" si="3"/>
        <v>0</v>
      </c>
      <c r="L21" s="38">
        <f t="shared" si="0"/>
        <v>0</v>
      </c>
      <c r="M21" s="38">
        <f t="shared" si="1"/>
        <v>0</v>
      </c>
      <c r="N21" s="38">
        <f t="shared" si="2"/>
        <v>0</v>
      </c>
      <c r="O21" s="111"/>
      <c r="P21" s="112"/>
      <c r="Q21" s="2"/>
      <c r="R21" s="2"/>
      <c r="S21" s="2"/>
    </row>
    <row r="22" spans="1:19" s="82" customFormat="1" ht="15" x14ac:dyDescent="0.2">
      <c r="A22" s="84">
        <v>13</v>
      </c>
      <c r="B22" s="75">
        <f>IF(('Entries Feb.''25'!I20-'Entries Feb.''25'!I19)+('Entries Feb.''25'!J20-'Entries Feb.''25'!J19)&lt;1,"0",('Entries Feb.''25'!I20-'Entries Feb.''25'!I19)+('Entries Feb.''25'!J20-'Entries Feb.''25'!J19))</f>
        <v>8452</v>
      </c>
      <c r="C22" s="85">
        <f>'Water '!$R$19</f>
        <v>1570</v>
      </c>
      <c r="D22" s="77">
        <f>IF('Entries Feb.''25'!B20-'Entries Feb.''25'!B19&lt;1,"0",'Entries Feb.''25'!B20-'Entries Feb.''25'!B19)</f>
        <v>3570</v>
      </c>
      <c r="E22" s="78">
        <f>'Co2 '!B19</f>
        <v>37.139999999999986</v>
      </c>
      <c r="F22" s="80">
        <f>+'PROD.FIG. '!F17</f>
        <v>0</v>
      </c>
      <c r="G22" s="80">
        <f>+'PROD.FIG. '!C17</f>
        <v>0</v>
      </c>
      <c r="H22" s="80">
        <f>+'PROD.FIG. '!D17</f>
        <v>0</v>
      </c>
      <c r="I22" s="80">
        <f>+'PROD.FIG. '!E17</f>
        <v>0</v>
      </c>
      <c r="J22" s="84"/>
      <c r="K22" s="80">
        <f t="shared" si="3"/>
        <v>0</v>
      </c>
      <c r="L22" s="80">
        <f t="shared" si="0"/>
        <v>0</v>
      </c>
      <c r="M22" s="80">
        <f t="shared" si="1"/>
        <v>0</v>
      </c>
      <c r="N22" s="80">
        <f t="shared" si="2"/>
        <v>0</v>
      </c>
      <c r="O22" s="109"/>
      <c r="P22" s="110"/>
      <c r="Q22" s="81"/>
      <c r="R22" s="81"/>
      <c r="S22" s="81"/>
    </row>
    <row r="23" spans="1:19" ht="15" x14ac:dyDescent="0.2">
      <c r="A23" s="39">
        <v>14</v>
      </c>
      <c r="B23" s="75">
        <f>IF(('Entries Feb.''25'!I21-'Entries Feb.''25'!I20)+('Entries Feb.''25'!J21-'Entries Feb.''25'!J20)&lt;1,"0",('Entries Feb.''25'!I21-'Entries Feb.''25'!I20)+('Entries Feb.''25'!J21-'Entries Feb.''25'!J20))</f>
        <v>7340</v>
      </c>
      <c r="C23" s="56">
        <f>'Water '!$R$20</f>
        <v>2010</v>
      </c>
      <c r="D23" s="58">
        <f>IF('Entries Feb.''25'!B21-'Entries Feb.''25'!B20&lt;1,"0",'Entries Feb.''25'!B21-'Entries Feb.''25'!B20)</f>
        <v>2810</v>
      </c>
      <c r="E23" s="78">
        <f>'Co2 '!B20</f>
        <v>23.200000000000045</v>
      </c>
      <c r="F23" s="38">
        <f>+'PROD.FIG. '!F18</f>
        <v>0</v>
      </c>
      <c r="G23" s="80">
        <f>+'PROD.FIG. '!C18</f>
        <v>0</v>
      </c>
      <c r="H23" s="38">
        <f>+'PROD.FIG. '!D18</f>
        <v>0</v>
      </c>
      <c r="I23" s="38">
        <f>+'PROD.FIG. '!E18</f>
        <v>0</v>
      </c>
      <c r="J23" s="39"/>
      <c r="K23" s="38">
        <f t="shared" si="3"/>
        <v>0</v>
      </c>
      <c r="L23" s="38">
        <f t="shared" si="0"/>
        <v>0</v>
      </c>
      <c r="M23" s="38">
        <f t="shared" si="1"/>
        <v>0</v>
      </c>
      <c r="N23" s="38">
        <f t="shared" si="2"/>
        <v>0</v>
      </c>
      <c r="O23" s="111"/>
      <c r="P23" s="112"/>
      <c r="Q23" s="2"/>
      <c r="R23" s="2"/>
      <c r="S23" s="2"/>
    </row>
    <row r="24" spans="1:19" s="82" customFormat="1" ht="15" x14ac:dyDescent="0.2">
      <c r="A24" s="84">
        <v>15</v>
      </c>
      <c r="B24" s="75">
        <f>IF(('Entries Feb.''25'!I22-'Entries Feb.''25'!I21)+('Entries Feb.''25'!J22-'Entries Feb.''25'!J21)&lt;1,"0",('Entries Feb.''25'!I22-'Entries Feb.''25'!I21)+('Entries Feb.''25'!J22-'Entries Feb.''25'!J21))</f>
        <v>4100</v>
      </c>
      <c r="C24" s="85">
        <f>'Water '!$R$21</f>
        <v>-100</v>
      </c>
      <c r="D24" s="77">
        <f>IF('Entries Feb.''25'!B22-'Entries Feb.''25'!B21&lt;1,"0",'Entries Feb.''25'!B22-'Entries Feb.''25'!B21)</f>
        <v>380</v>
      </c>
      <c r="E24" s="78">
        <f>'Co2 '!B21</f>
        <v>0</v>
      </c>
      <c r="F24" s="80">
        <f>+'PROD.FIG. '!F19</f>
        <v>0</v>
      </c>
      <c r="G24" s="80">
        <f>+'PROD.FIG. '!C19</f>
        <v>0</v>
      </c>
      <c r="H24" s="80">
        <f>+'PROD.FIG. '!D19</f>
        <v>0</v>
      </c>
      <c r="I24" s="80">
        <f>+'PROD.FIG. '!E19</f>
        <v>0</v>
      </c>
      <c r="J24" s="84"/>
      <c r="K24" s="80">
        <f t="shared" si="3"/>
        <v>0</v>
      </c>
      <c r="L24" s="80">
        <f t="shared" si="0"/>
        <v>0</v>
      </c>
      <c r="M24" s="80">
        <f t="shared" si="1"/>
        <v>0</v>
      </c>
      <c r="N24" s="80">
        <f t="shared" si="2"/>
        <v>0</v>
      </c>
      <c r="O24" s="109"/>
      <c r="P24" s="110"/>
      <c r="Q24" s="81"/>
      <c r="R24" s="81"/>
      <c r="S24" s="81"/>
    </row>
    <row r="25" spans="1:19" ht="15" x14ac:dyDescent="0.2">
      <c r="A25" s="39">
        <v>16</v>
      </c>
      <c r="B25" s="75">
        <f>IF(('Entries Feb.''25'!I23-'Entries Feb.''25'!I22)+('Entries Feb.''25'!J23-'Entries Feb.''25'!J22)&lt;1,"0",('Entries Feb.''25'!I23-'Entries Feb.''25'!I22)+('Entries Feb.''25'!J23-'Entries Feb.''25'!J22))</f>
        <v>4256</v>
      </c>
      <c r="C25" s="41">
        <f>'Water '!$R$22</f>
        <v>500</v>
      </c>
      <c r="D25" s="53">
        <f>IF('Entries Feb.''25'!B23-'Entries Feb.''25'!B22&lt;1,"0",'Entries Feb.''25'!B23-'Entries Feb.''25'!B22)</f>
        <v>650</v>
      </c>
      <c r="E25" s="78">
        <f>'Co2 '!B22</f>
        <v>0</v>
      </c>
      <c r="F25" s="38">
        <f>+'PROD.FIG. '!F20</f>
        <v>0</v>
      </c>
      <c r="G25" s="80">
        <f>+'PROD.FIG. '!C20</f>
        <v>0</v>
      </c>
      <c r="H25" s="38">
        <f>+'PROD.FIG. '!D20</f>
        <v>0</v>
      </c>
      <c r="I25" s="38">
        <f>+'PROD.FIG. '!E20</f>
        <v>0</v>
      </c>
      <c r="J25" s="39"/>
      <c r="K25" s="38">
        <f t="shared" si="3"/>
        <v>0</v>
      </c>
      <c r="L25" s="38">
        <f t="shared" si="0"/>
        <v>0</v>
      </c>
      <c r="M25" s="38">
        <f t="shared" si="1"/>
        <v>0</v>
      </c>
      <c r="N25" s="38">
        <f t="shared" si="2"/>
        <v>0</v>
      </c>
      <c r="O25" s="111"/>
      <c r="P25" s="112"/>
      <c r="Q25" s="2"/>
      <c r="R25" s="2"/>
      <c r="S25" s="2"/>
    </row>
    <row r="26" spans="1:19" s="82" customFormat="1" ht="15" x14ac:dyDescent="0.2">
      <c r="A26" s="86">
        <v>17</v>
      </c>
      <c r="B26" s="75">
        <f>IF(('Entries Feb.''25'!I24-'Entries Feb.''25'!I23)+('Entries Feb.''25'!J24-'Entries Feb.''25'!J23)&lt;1,"0",('Entries Feb.''25'!I24-'Entries Feb.''25'!I23)+('Entries Feb.''25'!J24-'Entries Feb.''25'!J23))</f>
        <v>7897</v>
      </c>
      <c r="C26" s="85">
        <f>'Water '!$R$23</f>
        <v>1250</v>
      </c>
      <c r="D26" s="77">
        <f>IF('Entries Feb.''25'!B24-'Entries Feb.''25'!B23&lt;1,"0",'Entries Feb.''25'!B24-'Entries Feb.''25'!B23)</f>
        <v>2850</v>
      </c>
      <c r="E26" s="78">
        <f>'Co2 '!B23</f>
        <v>21.089999999999918</v>
      </c>
      <c r="F26" s="77">
        <f>+'PROD.FIG. '!F21</f>
        <v>0</v>
      </c>
      <c r="G26" s="80">
        <f>+'PROD.FIG. '!C21</f>
        <v>0</v>
      </c>
      <c r="H26" s="80">
        <f>+'PROD.FIG. '!D21</f>
        <v>0</v>
      </c>
      <c r="I26" s="80">
        <f>+'PROD.FIG. '!E21</f>
        <v>0</v>
      </c>
      <c r="J26" s="84"/>
      <c r="K26" s="80">
        <f t="shared" si="3"/>
        <v>0</v>
      </c>
      <c r="L26" s="80">
        <f t="shared" si="0"/>
        <v>0</v>
      </c>
      <c r="M26" s="80">
        <f t="shared" si="1"/>
        <v>0</v>
      </c>
      <c r="N26" s="80">
        <f t="shared" si="2"/>
        <v>0</v>
      </c>
      <c r="O26" s="109"/>
      <c r="P26" s="110"/>
      <c r="Q26" s="81"/>
      <c r="R26" s="81"/>
      <c r="S26" s="81"/>
    </row>
    <row r="27" spans="1:19" ht="15" x14ac:dyDescent="0.2">
      <c r="A27" s="54">
        <v>18</v>
      </c>
      <c r="B27" s="75">
        <f>IF(('Entries Feb.''25'!I25-'Entries Feb.''25'!I24)+('Entries Feb.''25'!J25-'Entries Feb.''25'!J24)&lt;1,"0",('Entries Feb.''25'!I25-'Entries Feb.''25'!I24)+('Entries Feb.''25'!J25-'Entries Feb.''25'!J24))</f>
        <v>8686</v>
      </c>
      <c r="C27" s="57">
        <f>'Water '!$R$24</f>
        <v>2540</v>
      </c>
      <c r="D27" s="59">
        <f>IF('Entries Feb.''25'!B25-'Entries Feb.''25'!B24&lt;1,"0",'Entries Feb.''25'!B25-'Entries Feb.''25'!B24)</f>
        <v>3020</v>
      </c>
      <c r="E27" s="78">
        <f>'Co2 '!B24</f>
        <v>20.290000000000077</v>
      </c>
      <c r="F27" s="59">
        <f>+'PROD.FIG. '!F22</f>
        <v>0</v>
      </c>
      <c r="G27" s="80">
        <f>+'PROD.FIG. '!C22</f>
        <v>0</v>
      </c>
      <c r="H27" s="38">
        <f>+'PROD.FIG. '!D22</f>
        <v>0</v>
      </c>
      <c r="I27" s="38">
        <f>+'PROD.FIG. '!E22</f>
        <v>0</v>
      </c>
      <c r="J27" s="39"/>
      <c r="K27" s="38">
        <f t="shared" si="3"/>
        <v>0</v>
      </c>
      <c r="L27" s="38">
        <f t="shared" si="0"/>
        <v>0</v>
      </c>
      <c r="M27" s="38">
        <f t="shared" si="1"/>
        <v>0</v>
      </c>
      <c r="N27" s="38">
        <f t="shared" si="2"/>
        <v>0</v>
      </c>
      <c r="O27" s="111"/>
      <c r="P27" s="112"/>
      <c r="Q27" s="2"/>
      <c r="R27" s="2"/>
      <c r="S27" s="2"/>
    </row>
    <row r="28" spans="1:19" s="82" customFormat="1" ht="15" x14ac:dyDescent="0.2">
      <c r="A28" s="87">
        <v>19</v>
      </c>
      <c r="B28" s="75">
        <f>IF(('Entries Feb.''25'!I26-'Entries Feb.''25'!I25)+('Entries Feb.''25'!J26-'Entries Feb.''25'!J25)&lt;1,"0",('Entries Feb.''25'!I26-'Entries Feb.''25'!I25)+('Entries Feb.''25'!J26-'Entries Feb.''25'!J25))</f>
        <v>8826</v>
      </c>
      <c r="C28" s="85">
        <f>'Water '!$R$25</f>
        <v>1670</v>
      </c>
      <c r="D28" s="77">
        <f>IF('Entries Feb.''25'!B26-'Entries Feb.''25'!B25&lt;1,"0",'Entries Feb.''25'!B26-'Entries Feb.''25'!B25)</f>
        <v>3160</v>
      </c>
      <c r="E28" s="78">
        <f>'Co2 '!B25</f>
        <v>24.339999999999918</v>
      </c>
      <c r="F28" s="77">
        <f>+'PROD.FIG. '!F23</f>
        <v>0</v>
      </c>
      <c r="G28" s="80">
        <f>+'PROD.FIG. '!C23</f>
        <v>0</v>
      </c>
      <c r="H28" s="80">
        <f>+'PROD.FIG. '!D23</f>
        <v>0</v>
      </c>
      <c r="I28" s="80">
        <f>+'PROD.FIG. '!E23</f>
        <v>0</v>
      </c>
      <c r="J28" s="84"/>
      <c r="K28" s="80">
        <f t="shared" si="3"/>
        <v>0</v>
      </c>
      <c r="L28" s="80">
        <f t="shared" si="0"/>
        <v>0</v>
      </c>
      <c r="M28" s="80">
        <f t="shared" si="1"/>
        <v>0</v>
      </c>
      <c r="N28" s="80">
        <f t="shared" si="2"/>
        <v>0</v>
      </c>
      <c r="O28" s="109"/>
      <c r="P28" s="110"/>
      <c r="Q28" s="81"/>
      <c r="R28" s="81"/>
      <c r="S28" s="81"/>
    </row>
    <row r="29" spans="1:19" ht="15" x14ac:dyDescent="0.2">
      <c r="A29" s="55">
        <v>20</v>
      </c>
      <c r="B29" s="75">
        <f>IF(('Entries Feb.''25'!I27-'Entries Feb.''25'!I26)+('Entries Feb.''25'!J27-'Entries Feb.''25'!J26)&lt;1,"0",('Entries Feb.''25'!I27-'Entries Feb.''25'!I26)+('Entries Feb.''25'!J27-'Entries Feb.''25'!J26))</f>
        <v>8615</v>
      </c>
      <c r="C29" s="57">
        <f>'Water '!$R$26</f>
        <v>1490</v>
      </c>
      <c r="D29" s="59">
        <f>IF('Entries Feb.''25'!B27-'Entries Feb.''25'!B26&lt;1,"0",'Entries Feb.''25'!B27-'Entries Feb.''25'!B26)</f>
        <v>2970</v>
      </c>
      <c r="E29" s="78">
        <f>'Co2 '!B26</f>
        <v>18.440000000000055</v>
      </c>
      <c r="F29" s="59">
        <f>+'PROD.FIG. '!F24</f>
        <v>0</v>
      </c>
      <c r="G29" s="80">
        <f>+'PROD.FIG. '!C24</f>
        <v>0</v>
      </c>
      <c r="H29" s="38">
        <f>+'PROD.FIG. '!D24</f>
        <v>0</v>
      </c>
      <c r="I29" s="38">
        <f>+'PROD.FIG. '!E24</f>
        <v>0</v>
      </c>
      <c r="J29" s="39"/>
      <c r="K29" s="38">
        <f t="shared" si="3"/>
        <v>0</v>
      </c>
      <c r="L29" s="38">
        <f t="shared" si="0"/>
        <v>0</v>
      </c>
      <c r="M29" s="38">
        <f t="shared" si="1"/>
        <v>0</v>
      </c>
      <c r="N29" s="38">
        <f t="shared" si="2"/>
        <v>0</v>
      </c>
      <c r="O29" s="111"/>
      <c r="P29" s="112"/>
      <c r="Q29" s="2"/>
      <c r="R29" s="2"/>
      <c r="S29" s="2"/>
    </row>
    <row r="30" spans="1:19" s="82" customFormat="1" ht="15" x14ac:dyDescent="0.2">
      <c r="A30" s="87">
        <v>21</v>
      </c>
      <c r="B30" s="75">
        <f>IF(('Entries Feb.''25'!I28-'Entries Feb.''25'!I27)+('Entries Feb.''25'!J28-'Entries Feb.''25'!J27)&lt;1,"0",('Entries Feb.''25'!I28-'Entries Feb.''25'!I27)+('Entries Feb.''25'!J28-'Entries Feb.''25'!J27))</f>
        <v>8074</v>
      </c>
      <c r="C30" s="85">
        <f>'Water '!$R$27</f>
        <v>1400</v>
      </c>
      <c r="D30" s="77">
        <f>IF('Entries Feb.''25'!B28-'Entries Feb.''25'!B27&lt;1,"0",'Entries Feb.''25'!B28-'Entries Feb.''25'!B27)</f>
        <v>2410</v>
      </c>
      <c r="E30" s="78">
        <f>'Co2 '!B27</f>
        <v>14.919999999999959</v>
      </c>
      <c r="F30" s="77">
        <f>+'PROD.FIG. '!F25</f>
        <v>0</v>
      </c>
      <c r="G30" s="80">
        <f>+'PROD.FIG. '!C25</f>
        <v>0</v>
      </c>
      <c r="H30" s="80">
        <f>+'PROD.FIG. '!D25</f>
        <v>0</v>
      </c>
      <c r="I30" s="80">
        <f>+'PROD.FIG. '!E25</f>
        <v>0</v>
      </c>
      <c r="J30" s="84"/>
      <c r="K30" s="80">
        <f t="shared" si="3"/>
        <v>0</v>
      </c>
      <c r="L30" s="80">
        <f t="shared" si="0"/>
        <v>0</v>
      </c>
      <c r="M30" s="80">
        <f t="shared" si="1"/>
        <v>0</v>
      </c>
      <c r="N30" s="80">
        <f t="shared" si="2"/>
        <v>0</v>
      </c>
      <c r="O30" s="109"/>
      <c r="P30" s="110"/>
      <c r="Q30" s="81"/>
      <c r="R30" s="81"/>
      <c r="S30" s="81"/>
    </row>
    <row r="31" spans="1:19" ht="15" x14ac:dyDescent="0.2">
      <c r="A31" s="55">
        <v>22</v>
      </c>
      <c r="B31" s="75">
        <f>IF(('Entries Feb.''25'!I29-'Entries Feb.''25'!I28)+('Entries Feb.''25'!J29-'Entries Feb.''25'!J28)&lt;1,"0",('Entries Feb.''25'!I29-'Entries Feb.''25'!I28)+('Entries Feb.''25'!J29-'Entries Feb.''25'!J28))</f>
        <v>4355</v>
      </c>
      <c r="C31" s="57">
        <f>'Water '!$R$28</f>
        <v>1150</v>
      </c>
      <c r="D31" s="58">
        <f>IF('Entries Feb.''25'!B29-'Entries Feb.''25'!B28&lt;1,"0",'Entries Feb.''25'!B29-'Entries Feb.''25'!B28)</f>
        <v>340</v>
      </c>
      <c r="E31" s="78">
        <f>'Co2 '!B28</f>
        <v>0</v>
      </c>
      <c r="F31" s="59">
        <f>+'PROD.FIG. '!F26</f>
        <v>0</v>
      </c>
      <c r="G31" s="80">
        <f>+'PROD.FIG. '!C26</f>
        <v>0</v>
      </c>
      <c r="H31" s="38">
        <f>+'PROD.FIG. '!D26</f>
        <v>0</v>
      </c>
      <c r="I31" s="38">
        <f>+'PROD.FIG. '!E26</f>
        <v>0</v>
      </c>
      <c r="J31" s="39"/>
      <c r="K31" s="38">
        <f t="shared" si="3"/>
        <v>0</v>
      </c>
      <c r="L31" s="38">
        <f t="shared" si="0"/>
        <v>0</v>
      </c>
      <c r="M31" s="38">
        <f t="shared" si="1"/>
        <v>0</v>
      </c>
      <c r="N31" s="38">
        <f t="shared" si="2"/>
        <v>0</v>
      </c>
      <c r="O31" s="111"/>
      <c r="P31" s="112"/>
      <c r="Q31" s="2"/>
      <c r="R31" s="2"/>
      <c r="S31" s="2"/>
    </row>
    <row r="32" spans="1:19" s="82" customFormat="1" ht="15" x14ac:dyDescent="0.2">
      <c r="A32" s="87">
        <v>23</v>
      </c>
      <c r="B32" s="75">
        <f>IF(('Entries Feb.''25'!I30-'Entries Feb.''25'!I29)+('Entries Feb.''25'!J30-'Entries Feb.''25'!J29)&lt;1,"0",('Entries Feb.''25'!I30-'Entries Feb.''25'!I29)+('Entries Feb.''25'!J30-'Entries Feb.''25'!J29))</f>
        <v>4880</v>
      </c>
      <c r="C32" s="85">
        <f>'Water '!$R$29</f>
        <v>-40</v>
      </c>
      <c r="D32" s="77">
        <f>IF('Entries Feb.''25'!B31-'Entries Feb.''25'!B29&lt;1,"0",'Entries Feb.''25'!B31-'Entries Feb.''25'!B29)</f>
        <v>4120</v>
      </c>
      <c r="E32" s="78">
        <f>'Co2 '!B29</f>
        <v>0.20000000000004547</v>
      </c>
      <c r="F32" s="77">
        <f>+'PROD.FIG. '!F27</f>
        <v>0</v>
      </c>
      <c r="G32" s="80">
        <f>+'PROD.FIG. '!C27</f>
        <v>0</v>
      </c>
      <c r="H32" s="80">
        <f>+'PROD.FIG. '!D27</f>
        <v>0</v>
      </c>
      <c r="I32" s="80">
        <f>+'PROD.FIG. '!E27</f>
        <v>0</v>
      </c>
      <c r="J32" s="84"/>
      <c r="K32" s="80">
        <f t="shared" si="3"/>
        <v>0</v>
      </c>
      <c r="L32" s="80">
        <f t="shared" si="0"/>
        <v>0</v>
      </c>
      <c r="M32" s="80">
        <f t="shared" si="1"/>
        <v>0</v>
      </c>
      <c r="N32" s="80">
        <f t="shared" si="2"/>
        <v>0</v>
      </c>
      <c r="O32" s="109"/>
      <c r="P32" s="110"/>
      <c r="Q32" s="81"/>
      <c r="R32" s="81"/>
      <c r="S32" s="81"/>
    </row>
    <row r="33" spans="1:19" ht="15" x14ac:dyDescent="0.2">
      <c r="A33" s="54">
        <v>24</v>
      </c>
      <c r="B33" s="75">
        <f>IF(('Entries Feb.''25'!I31-'Entries Feb.''25'!I30)+('Entries Feb.''25'!J31-'Entries Feb.''25'!J30)&lt;1,"0",('Entries Feb.''25'!I31-'Entries Feb.''25'!I30)+('Entries Feb.''25'!J31-'Entries Feb.''25'!J30))</f>
        <v>7857</v>
      </c>
      <c r="C33" s="57">
        <f>'Water '!$R$30</f>
        <v>320</v>
      </c>
      <c r="D33" s="58">
        <f>IF('Entries Feb.''25'!B32-'Entries Feb.''25'!B31&lt;1,"0",'Entries Feb.''25'!B32-'Entries Feb.''25'!B31)</f>
        <v>3250</v>
      </c>
      <c r="E33" s="78">
        <f>'Co2 '!B30</f>
        <v>14.340000000000032</v>
      </c>
      <c r="F33" s="59">
        <f>+'PROD.FIG. '!F28</f>
        <v>0</v>
      </c>
      <c r="G33" s="80">
        <f>+'PROD.FIG. '!C28</f>
        <v>0</v>
      </c>
      <c r="H33" s="38">
        <f>+'PROD.FIG. '!D28</f>
        <v>0</v>
      </c>
      <c r="I33" s="38">
        <f>+'PROD.FIG. '!E28</f>
        <v>0</v>
      </c>
      <c r="J33" s="39"/>
      <c r="K33" s="38">
        <f t="shared" si="3"/>
        <v>0</v>
      </c>
      <c r="L33" s="38">
        <f t="shared" si="0"/>
        <v>0</v>
      </c>
      <c r="M33" s="38">
        <f t="shared" si="1"/>
        <v>0</v>
      </c>
      <c r="N33" s="38">
        <f t="shared" si="2"/>
        <v>0</v>
      </c>
      <c r="O33" s="111"/>
      <c r="P33" s="112"/>
      <c r="Q33" s="2"/>
      <c r="R33" s="2"/>
      <c r="S33" s="2"/>
    </row>
    <row r="34" spans="1:19" s="82" customFormat="1" ht="15" x14ac:dyDescent="0.2">
      <c r="A34" s="86">
        <v>25</v>
      </c>
      <c r="B34" s="75">
        <f>IF(('Entries Feb.''25'!I32-'Entries Feb.''25'!I31)+('Entries Feb.''25'!J32-'Entries Feb.''25'!J31)&lt;1,"0",('Entries Feb.''25'!I32-'Entries Feb.''25'!I31)+('Entries Feb.''25'!J32-'Entries Feb.''25'!J31))</f>
        <v>8306</v>
      </c>
      <c r="C34" s="85">
        <f>'Water '!$R$31</f>
        <v>-130</v>
      </c>
      <c r="D34" s="77">
        <f>IF('Entries Feb.''25'!B33-'Entries Feb.''25'!B32&lt;1,"0",'Entries Feb.''25'!B33-'Entries Feb.''25'!B32)</f>
        <v>2810</v>
      </c>
      <c r="E34" s="78">
        <f>'Co2 '!B31</f>
        <v>19.009999999999991</v>
      </c>
      <c r="F34" s="77">
        <f>+'PROD.FIG. '!F29</f>
        <v>0</v>
      </c>
      <c r="G34" s="80">
        <f>+'PROD.FIG. '!C29</f>
        <v>0</v>
      </c>
      <c r="H34" s="80">
        <f>+'PROD.FIG. '!D29</f>
        <v>0</v>
      </c>
      <c r="I34" s="80">
        <f>+'PROD.FIG. '!E29</f>
        <v>0</v>
      </c>
      <c r="J34" s="84"/>
      <c r="K34" s="80">
        <f t="shared" si="3"/>
        <v>0</v>
      </c>
      <c r="L34" s="80">
        <f t="shared" si="0"/>
        <v>0</v>
      </c>
      <c r="M34" s="80">
        <f t="shared" si="1"/>
        <v>0</v>
      </c>
      <c r="N34" s="80">
        <f t="shared" si="2"/>
        <v>0</v>
      </c>
      <c r="O34" s="109"/>
      <c r="P34" s="110"/>
      <c r="Q34" s="81"/>
      <c r="R34" s="81"/>
      <c r="S34" s="81"/>
    </row>
    <row r="35" spans="1:19" ht="15" x14ac:dyDescent="0.2">
      <c r="A35" s="55">
        <v>26</v>
      </c>
      <c r="B35" s="75">
        <f>IF(('Entries Feb.''25'!I33-'Entries Feb.''25'!I32)+('Entries Feb.''25'!J33-'Entries Feb.''25'!J32)&lt;1,"0",('Entries Feb.''25'!I33-'Entries Feb.''25'!I32)+('Entries Feb.''25'!J33-'Entries Feb.''25'!J32))</f>
        <v>7906</v>
      </c>
      <c r="C35" s="57">
        <f>'Water '!$R$32</f>
        <v>3640</v>
      </c>
      <c r="D35" s="58">
        <f>IF('Entries Feb.''25'!B34-'Entries Feb.''25'!B33&lt;1,"0",'Entries Feb.''25'!B34-'Entries Feb.''25'!B33)</f>
        <v>2940</v>
      </c>
      <c r="E35" s="78">
        <f>'Co2 '!B32</f>
        <v>28.089999999999918</v>
      </c>
      <c r="F35" s="59">
        <f>+'PROD.FIG. '!F30</f>
        <v>0</v>
      </c>
      <c r="G35" s="38">
        <f>+'PROD.FIG. '!C30</f>
        <v>0</v>
      </c>
      <c r="H35" s="38">
        <f>+'PROD.FIG. '!D30</f>
        <v>0</v>
      </c>
      <c r="I35" s="38">
        <f>+'PROD.FIG. '!E30</f>
        <v>0</v>
      </c>
      <c r="J35" s="39"/>
      <c r="K35" s="38">
        <f t="shared" si="3"/>
        <v>0</v>
      </c>
      <c r="L35" s="38">
        <f t="shared" si="0"/>
        <v>0</v>
      </c>
      <c r="M35" s="38">
        <f t="shared" si="1"/>
        <v>0</v>
      </c>
      <c r="N35" s="38">
        <f t="shared" si="2"/>
        <v>0</v>
      </c>
      <c r="O35" s="111"/>
      <c r="P35" s="112"/>
      <c r="Q35" s="2"/>
      <c r="R35" s="2"/>
      <c r="S35" s="2"/>
    </row>
    <row r="36" spans="1:19" s="82" customFormat="1" ht="15" x14ac:dyDescent="0.2">
      <c r="A36" s="87">
        <v>27</v>
      </c>
      <c r="B36" s="75">
        <f>IF(('Entries Feb.''25'!I34-'Entries Feb.''25'!I33)+('Entries Feb.''25'!J34-'Entries Feb.''25'!J33)&lt;1,"0",('Entries Feb.''25'!I34-'Entries Feb.''25'!I33)+('Entries Feb.''25'!J34-'Entries Feb.''25'!J33))</f>
        <v>8386</v>
      </c>
      <c r="C36" s="85">
        <f>'Water '!$R$33</f>
        <v>1210</v>
      </c>
      <c r="D36" s="77">
        <f>IF('Entries Feb.''25'!B35-'Entries Feb.''25'!B34&lt;1,"0",'Entries Feb.''25'!B35-'Entries Feb.''25'!B34)</f>
        <v>2650</v>
      </c>
      <c r="E36" s="78">
        <f>'Co2 '!B33</f>
        <v>6.57000000000005</v>
      </c>
      <c r="F36" s="77">
        <f>+'PROD.FIG. '!F31</f>
        <v>0</v>
      </c>
      <c r="G36" s="80">
        <f>+'PROD.FIG. '!C31</f>
        <v>0</v>
      </c>
      <c r="H36" s="80">
        <f>+'PROD.FIG. '!D31</f>
        <v>0</v>
      </c>
      <c r="I36" s="80">
        <f>+'PROD.FIG. '!E31</f>
        <v>0</v>
      </c>
      <c r="J36" s="84"/>
      <c r="K36" s="80">
        <f t="shared" si="3"/>
        <v>0</v>
      </c>
      <c r="L36" s="80">
        <f t="shared" si="0"/>
        <v>0</v>
      </c>
      <c r="M36" s="80">
        <f t="shared" si="1"/>
        <v>0</v>
      </c>
      <c r="N36" s="80">
        <f t="shared" si="2"/>
        <v>0</v>
      </c>
      <c r="O36" s="109"/>
      <c r="P36" s="110"/>
      <c r="Q36" s="81"/>
      <c r="R36" s="81"/>
      <c r="S36" s="81"/>
    </row>
    <row r="37" spans="1:19" ht="15" x14ac:dyDescent="0.2">
      <c r="A37" s="55">
        <v>28</v>
      </c>
      <c r="B37" s="75">
        <f>IF(('Entries Feb.''25'!I35-'Entries Feb.''25'!I34)+('Entries Feb.''25'!J35-'Entries Feb.''25'!J34)&lt;1,"0",('Entries Feb.''25'!I35-'Entries Feb.''25'!I34)+('Entries Feb.''25'!J35-'Entries Feb.''25'!J34))</f>
        <v>7988</v>
      </c>
      <c r="C37" s="57">
        <f>'Water '!$R$34</f>
        <v>-140</v>
      </c>
      <c r="D37" s="58" t="str">
        <f>IF('Entries Feb.''25'!B36-'Entries Feb.''25'!B35&lt;1,"0",'Entries Feb.''25'!B36-'Entries Feb.''25'!B35)</f>
        <v>0</v>
      </c>
      <c r="E37" s="78">
        <f>'Co2 '!B34</f>
        <v>16</v>
      </c>
      <c r="F37" s="59">
        <f>+'PROD.FIG. '!F32</f>
        <v>0</v>
      </c>
      <c r="G37" s="38">
        <f>+'PROD.FIG. '!C32</f>
        <v>0</v>
      </c>
      <c r="H37" s="38">
        <f>+'PROD.FIG. '!D32</f>
        <v>0</v>
      </c>
      <c r="I37" s="38">
        <f>+'PROD.FIG. '!E32</f>
        <v>0</v>
      </c>
      <c r="J37" s="39"/>
      <c r="K37" s="38">
        <f t="shared" si="3"/>
        <v>0</v>
      </c>
      <c r="L37" s="38">
        <f t="shared" si="0"/>
        <v>0</v>
      </c>
      <c r="M37" s="38">
        <f t="shared" si="1"/>
        <v>0</v>
      </c>
      <c r="N37" s="38">
        <f t="shared" si="2"/>
        <v>0</v>
      </c>
      <c r="O37" s="111"/>
      <c r="P37" s="112"/>
      <c r="Q37" s="2"/>
      <c r="R37" s="2"/>
      <c r="S37" s="2"/>
    </row>
    <row r="38" spans="1:19" s="82" customFormat="1" ht="15" x14ac:dyDescent="0.2">
      <c r="A38" s="87">
        <v>29</v>
      </c>
      <c r="B38" s="75" t="str">
        <f>IF(('Entries Feb.''25'!I36-'Entries Feb.''25'!I35)+('Entries Feb.''25'!J36-'Entries Feb.''25'!J35)&lt;1,"0",('Entries Feb.''25'!I36-'Entries Feb.''25'!I35)+('Entries Feb.''25'!J36-'Entries Feb.''25'!J35))</f>
        <v>0</v>
      </c>
      <c r="C38" s="85">
        <f>'Water '!$R$35</f>
        <v>0</v>
      </c>
      <c r="D38" s="77" t="str">
        <f>IF('Entries Feb.''25'!B37-'Entries Feb.''25'!B36&lt;1,"0",'Entries Feb.''25'!B37-'Entries Feb.''25'!B36)</f>
        <v>0</v>
      </c>
      <c r="E38" s="78">
        <f>'Co2 '!B35</f>
        <v>0</v>
      </c>
      <c r="F38" s="77">
        <f>+'PROD.FIG. '!F33</f>
        <v>0</v>
      </c>
      <c r="G38" s="80">
        <f>+'PROD.FIG. '!C33</f>
        <v>0</v>
      </c>
      <c r="H38" s="80">
        <f>+'PROD.FIG. '!D33</f>
        <v>0</v>
      </c>
      <c r="I38" s="80">
        <f>+'PROD.FIG. '!E33</f>
        <v>0</v>
      </c>
      <c r="J38" s="84"/>
      <c r="K38" s="80">
        <f t="shared" si="3"/>
        <v>0</v>
      </c>
      <c r="L38" s="80">
        <f t="shared" si="0"/>
        <v>0</v>
      </c>
      <c r="M38" s="80">
        <f t="shared" si="1"/>
        <v>0</v>
      </c>
      <c r="N38" s="80">
        <f t="shared" si="2"/>
        <v>0</v>
      </c>
      <c r="O38" s="109"/>
      <c r="P38" s="110"/>
      <c r="Q38" s="81"/>
      <c r="R38" s="81"/>
      <c r="S38" s="81"/>
    </row>
    <row r="39" spans="1:19" ht="15" x14ac:dyDescent="0.2">
      <c r="A39" s="55">
        <v>30</v>
      </c>
      <c r="B39" s="75" t="str">
        <f>IF(('Entries Feb.''25'!AD37-'Entries Feb.''25'!AD36)+('Entries Feb.''25'!AE37-'Entries Feb.''25'!AE36)&lt;1,"0",('Entries Feb.''25'!AD37-'Entries Feb.''25'!AD36)+('Entries Feb.''25'!AE37-'Entries Feb.''25'!AE36))</f>
        <v>0</v>
      </c>
      <c r="C39" s="57">
        <f>'Water '!$R$36</f>
        <v>0</v>
      </c>
      <c r="D39" s="58" t="str">
        <f>IF('Entries Feb.''25'!B38-'Entries Feb.''25'!B37&lt;1,"0",'Entries Feb.''25'!B38-'Entries Feb.''25'!B37)</f>
        <v>0</v>
      </c>
      <c r="E39" s="78">
        <f>'Co2 '!B36</f>
        <v>0</v>
      </c>
      <c r="F39" s="59">
        <f>+'PROD.FIG. '!F34</f>
        <v>0</v>
      </c>
      <c r="G39" s="38">
        <f>+'PROD.FIG. '!C34</f>
        <v>0</v>
      </c>
      <c r="H39" s="38">
        <f>+'PROD.FIG. '!D34</f>
        <v>0</v>
      </c>
      <c r="I39" s="38">
        <f>+'PROD.FIG. '!E34</f>
        <v>0</v>
      </c>
      <c r="J39" s="39"/>
      <c r="K39" s="38">
        <f t="shared" si="3"/>
        <v>0</v>
      </c>
      <c r="L39" s="38">
        <f t="shared" si="0"/>
        <v>0</v>
      </c>
      <c r="M39" s="38">
        <f t="shared" si="1"/>
        <v>0</v>
      </c>
      <c r="N39" s="38">
        <f t="shared" si="2"/>
        <v>0</v>
      </c>
      <c r="O39" s="111"/>
      <c r="P39" s="112"/>
      <c r="Q39" s="2"/>
      <c r="R39" s="2"/>
      <c r="S39" s="2"/>
    </row>
    <row r="40" spans="1:19" s="82" customFormat="1" ht="15" x14ac:dyDescent="0.2">
      <c r="A40" s="83">
        <v>31</v>
      </c>
      <c r="B40" s="75">
        <f>'Elec.Feb''25'!B37</f>
        <v>0</v>
      </c>
      <c r="C40" s="85">
        <f>'Water '!$R$37</f>
        <v>0</v>
      </c>
      <c r="D40" s="77">
        <f>IF('Entries Feb.''25'!B39-'Entries Feb.''25'!B38&lt;1,"0",'Entries Feb.''25'!B39-'Entries Feb.''25'!B38)</f>
        <v>62060</v>
      </c>
      <c r="E40" s="78">
        <f>'Co2 '!B37</f>
        <v>0</v>
      </c>
      <c r="F40" s="88">
        <f>+'PROD.FIG. '!F35</f>
        <v>0</v>
      </c>
      <c r="G40" s="88">
        <f>+'PROD.FIG. '!C35</f>
        <v>0</v>
      </c>
      <c r="H40" s="88">
        <f>+'PROD.FIG. '!D35</f>
        <v>0</v>
      </c>
      <c r="I40" s="88">
        <f>+'PROD.FIG. '!E35</f>
        <v>0</v>
      </c>
      <c r="J40" s="89"/>
      <c r="K40" s="88">
        <f t="shared" si="3"/>
        <v>0</v>
      </c>
      <c r="L40" s="88">
        <f t="shared" si="0"/>
        <v>0</v>
      </c>
      <c r="M40" s="88">
        <f t="shared" si="1"/>
        <v>0</v>
      </c>
      <c r="N40" s="88">
        <f t="shared" si="2"/>
        <v>0</v>
      </c>
      <c r="O40" s="113"/>
      <c r="P40" s="114"/>
      <c r="Q40" s="81"/>
      <c r="R40" s="81"/>
      <c r="S40" s="81"/>
    </row>
    <row r="41" spans="1:19" ht="15" x14ac:dyDescent="0.2">
      <c r="A41" s="37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2"/>
      <c r="P41" s="2"/>
      <c r="Q41" s="2"/>
      <c r="R41" s="2"/>
      <c r="S41" s="2"/>
    </row>
    <row r="42" spans="1:19" ht="15" x14ac:dyDescent="0.2">
      <c r="A42" s="6"/>
      <c r="B42" s="43" t="s">
        <v>22</v>
      </c>
      <c r="C42" s="43" t="s">
        <v>93</v>
      </c>
      <c r="D42" s="43" t="s">
        <v>94</v>
      </c>
      <c r="E42" s="43" t="s">
        <v>101</v>
      </c>
      <c r="F42" s="43" t="s">
        <v>21</v>
      </c>
      <c r="G42" s="43" t="s">
        <v>21</v>
      </c>
      <c r="H42" s="43" t="s">
        <v>21</v>
      </c>
      <c r="I42" s="43" t="s">
        <v>21</v>
      </c>
      <c r="J42" s="43" t="s">
        <v>21</v>
      </c>
      <c r="K42" s="43" t="s">
        <v>14</v>
      </c>
      <c r="L42" s="43" t="s">
        <v>71</v>
      </c>
      <c r="M42" s="43" t="s">
        <v>17</v>
      </c>
      <c r="N42" s="43" t="s">
        <v>74</v>
      </c>
      <c r="O42" s="2"/>
      <c r="P42" s="2"/>
      <c r="Q42" s="2"/>
      <c r="R42" s="2"/>
      <c r="S42" s="2"/>
    </row>
    <row r="43" spans="1:19" ht="15.75" x14ac:dyDescent="0.25">
      <c r="A43" s="31" t="s">
        <v>20</v>
      </c>
      <c r="B43" s="32">
        <f>SUM(B10:B40)</f>
        <v>194364</v>
      </c>
      <c r="C43" s="32">
        <f>SUM(C10:C40)</f>
        <v>35240</v>
      </c>
      <c r="D43" s="32">
        <f>SUM(D10:D37)</f>
        <v>62060</v>
      </c>
      <c r="E43" s="32">
        <f>SUM(E10:E37)</f>
        <v>447.11</v>
      </c>
      <c r="F43" s="32">
        <f>SUM(F10:F41)</f>
        <v>0</v>
      </c>
      <c r="G43" s="32">
        <f>SUM(G10:G42)</f>
        <v>0</v>
      </c>
      <c r="H43" s="32">
        <f>SUM(H10:H42)</f>
        <v>0</v>
      </c>
      <c r="I43" s="32">
        <f>SUM(I10:I42)</f>
        <v>0</v>
      </c>
      <c r="J43" s="32">
        <f>SUM(J10:J42)</f>
        <v>0</v>
      </c>
      <c r="K43" s="32">
        <f>IF(SUM($G43:$H43)&lt;1,0,B43/SUM($G43:$H43))</f>
        <v>0</v>
      </c>
      <c r="L43" s="32">
        <f>IF(SUM($G43:$H43)&lt;1,0,C43/SUM($G43:$H43))</f>
        <v>0</v>
      </c>
      <c r="M43" s="32">
        <f>IF(SUM($G43:$H43)&lt;1,0,D43/SUM($G43:$H43))</f>
        <v>0</v>
      </c>
      <c r="N43" s="32">
        <f>IF(SUM($G43:$H43)&lt;1,0,E43/SUM($G43:$H43))</f>
        <v>0</v>
      </c>
      <c r="O43" s="2"/>
      <c r="P43" s="2"/>
      <c r="Q43" s="2"/>
      <c r="R43" s="2"/>
      <c r="S43" s="2"/>
    </row>
    <row r="44" spans="1:19" ht="16.5" x14ac:dyDescent="0.25">
      <c r="A44" s="4"/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"/>
      <c r="O44" s="2"/>
      <c r="P44" s="2"/>
      <c r="Q44" s="2"/>
      <c r="R44" s="2"/>
      <c r="S44" s="2"/>
    </row>
    <row r="45" spans="1:1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</sheetData>
  <mergeCells count="2">
    <mergeCell ref="O8:P8"/>
    <mergeCell ref="K7:N7"/>
  </mergeCells>
  <phoneticPr fontId="0" type="noConversion"/>
  <conditionalFormatting sqref="K10:K40">
    <cfRule type="cellIs" dxfId="31" priority="2" stopIfTrue="1" operator="greaterThan">
      <formula>35</formula>
    </cfRule>
  </conditionalFormatting>
  <conditionalFormatting sqref="L10:L40">
    <cfRule type="cellIs" dxfId="30" priority="1" stopIfTrue="1" operator="greaterThan">
      <formula>11</formula>
    </cfRule>
  </conditionalFormatting>
  <conditionalFormatting sqref="M10:M40">
    <cfRule type="cellIs" dxfId="29" priority="3" stopIfTrue="1" operator="greaterThan">
      <formula>9</formula>
    </cfRule>
  </conditionalFormatting>
  <conditionalFormatting sqref="N10:N40">
    <cfRule type="cellIs" dxfId="28" priority="4" stopIfTrue="1" operator="greaterThan">
      <formula>4</formula>
    </cfRule>
  </conditionalFormatting>
  <pageMargins left="0.56000000000000005" right="0" top="0" bottom="0" header="0.5" footer="0.5"/>
  <pageSetup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B39"/>
  <sheetViews>
    <sheetView workbookViewId="0">
      <selection activeCell="B6" sqref="B6"/>
    </sheetView>
  </sheetViews>
  <sheetFormatPr defaultRowHeight="12.75" x14ac:dyDescent="0.2"/>
  <cols>
    <col min="2" max="2" width="13.28515625" customWidth="1"/>
  </cols>
  <sheetData>
    <row r="1" spans="1:2" ht="15" x14ac:dyDescent="0.2">
      <c r="A1" s="8"/>
      <c r="B1" s="8"/>
    </row>
    <row r="2" spans="1:2" ht="15.75" thickBot="1" x14ac:dyDescent="0.25">
      <c r="A2" s="8"/>
      <c r="B2" s="8"/>
    </row>
    <row r="3" spans="1:2" x14ac:dyDescent="0.2">
      <c r="A3" s="729" t="s">
        <v>8</v>
      </c>
      <c r="B3" s="731" t="s">
        <v>265</v>
      </c>
    </row>
    <row r="4" spans="1:2" ht="15" customHeight="1" x14ac:dyDescent="0.2">
      <c r="A4" s="730"/>
      <c r="B4" s="732"/>
    </row>
    <row r="5" spans="1:2" ht="15" x14ac:dyDescent="0.2">
      <c r="A5" s="115">
        <v>1</v>
      </c>
      <c r="B5" s="137">
        <f>IF('Entries Feb.''25'!AK8-'Entries Feb.''25'!AK7&lt;1,0,'Entries Feb.''25'!AK8-'Entries Feb.''25'!AK7)</f>
        <v>0</v>
      </c>
    </row>
    <row r="6" spans="1:2" ht="15" x14ac:dyDescent="0.2">
      <c r="A6" s="115">
        <v>2</v>
      </c>
      <c r="B6" s="137">
        <f>IF('Entries Feb.''25'!AK9-'Entries Feb.''25'!AK8&lt;1,0,'Entries Feb.''25'!AK9-'Entries Feb.''25'!AK8)</f>
        <v>0</v>
      </c>
    </row>
    <row r="7" spans="1:2" ht="15" x14ac:dyDescent="0.2">
      <c r="A7" s="115">
        <v>3</v>
      </c>
      <c r="B7" s="137">
        <f>IF('Entries Feb.''25'!AK10-'Entries Feb.''25'!AK9&lt;1,0,'Entries Feb.''25'!AK10-'Entries Feb.''25'!AK9)</f>
        <v>281.87700000032783</v>
      </c>
    </row>
    <row r="8" spans="1:2" ht="15" x14ac:dyDescent="0.2">
      <c r="A8" s="115">
        <v>4</v>
      </c>
      <c r="B8" s="137">
        <f>IF('Entries Feb.''25'!AK11-'Entries Feb.''25'!AK10&lt;1,0,'Entries Feb.''25'!AK11-'Entries Feb.''25'!AK10)</f>
        <v>0</v>
      </c>
    </row>
    <row r="9" spans="1:2" ht="15" x14ac:dyDescent="0.2">
      <c r="A9" s="115">
        <v>5</v>
      </c>
      <c r="B9" s="137">
        <f>IF('Entries Feb.''25'!AK12-'Entries Feb.''25'!AK11&lt;1,0,'Entries Feb.''25'!AK12-'Entries Feb.''25'!AK11)</f>
        <v>0</v>
      </c>
    </row>
    <row r="10" spans="1:2" ht="15" x14ac:dyDescent="0.2">
      <c r="A10" s="115">
        <v>6</v>
      </c>
      <c r="B10" s="137">
        <f>IF('Entries Feb.''25'!AK13-'Entries Feb.''25'!AK12&lt;1,0,'Entries Feb.''25'!AK13-'Entries Feb.''25'!AK12)</f>
        <v>0</v>
      </c>
    </row>
    <row r="11" spans="1:2" ht="15" x14ac:dyDescent="0.2">
      <c r="A11" s="115">
        <v>7</v>
      </c>
      <c r="B11" s="137">
        <f>IF('Entries Feb.''25'!AK14-'Entries Feb.''25'!AK13&lt;1,0,'Entries Feb.''25'!AK14-'Entries Feb.''25'!AK13)</f>
        <v>0</v>
      </c>
    </row>
    <row r="12" spans="1:2" ht="15" x14ac:dyDescent="0.2">
      <c r="A12" s="115">
        <v>8</v>
      </c>
      <c r="B12" s="137">
        <f>IF('Entries Feb.''25'!AK15-'Entries Feb.''25'!AK14&lt;1,0,'Entries Feb.''25'!AK15-'Entries Feb.''25'!AK14)</f>
        <v>0</v>
      </c>
    </row>
    <row r="13" spans="1:2" ht="15" x14ac:dyDescent="0.2">
      <c r="A13" s="115">
        <v>9</v>
      </c>
      <c r="B13" s="137">
        <f>IF('Entries Feb.''25'!AK16-'Entries Feb.''25'!AK15&lt;1,0,'Entries Feb.''25'!AK16-'Entries Feb.''25'!AK15)</f>
        <v>36.401999999769032</v>
      </c>
    </row>
    <row r="14" spans="1:2" ht="15" x14ac:dyDescent="0.2">
      <c r="A14" s="115">
        <v>10</v>
      </c>
      <c r="B14" s="137">
        <f>IF('Entries Feb.''25'!AK17-'Entries Feb.''25'!AK16&lt;1,0,'Entries Feb.''25'!AK17-'Entries Feb.''25'!AK16)</f>
        <v>13.365000000223517</v>
      </c>
    </row>
    <row r="15" spans="1:2" ht="15" x14ac:dyDescent="0.2">
      <c r="A15" s="115">
        <v>11</v>
      </c>
      <c r="B15" s="137">
        <f>IF('Entries Feb.''25'!AK18-'Entries Feb.''25'!AK17&lt;1,0,'Entries Feb.''25'!AK18-'Entries Feb.''25'!AK17)</f>
        <v>17.898000000044703</v>
      </c>
    </row>
    <row r="16" spans="1:2" ht="15" x14ac:dyDescent="0.2">
      <c r="A16" s="115">
        <v>12</v>
      </c>
      <c r="B16" s="137">
        <f>IF('Entries Feb.''25'!AK19-'Entries Feb.''25'!AK18&lt;1,0,'Entries Feb.''25'!AK19-'Entries Feb.''25'!AK18)</f>
        <v>0</v>
      </c>
    </row>
    <row r="17" spans="1:2" ht="15" x14ac:dyDescent="0.2">
      <c r="A17" s="115">
        <v>13</v>
      </c>
      <c r="B17" s="137">
        <f>IF('Entries Feb.''25'!AK20-'Entries Feb.''25'!AK19&lt;1,0,'Entries Feb.''25'!AK20-'Entries Feb.''25'!AK19)</f>
        <v>0</v>
      </c>
    </row>
    <row r="18" spans="1:2" ht="15" x14ac:dyDescent="0.2">
      <c r="A18" s="115">
        <v>14</v>
      </c>
      <c r="B18" s="137">
        <f>IF('Entries Feb.''25'!AK21-'Entries Feb.''25'!AK20&lt;1,0,'Entries Feb.''25'!AK21-'Entries Feb.''25'!AK20)</f>
        <v>0</v>
      </c>
    </row>
    <row r="19" spans="1:2" ht="15" x14ac:dyDescent="0.2">
      <c r="A19" s="115">
        <v>15</v>
      </c>
      <c r="B19" s="137">
        <f>IF('Entries Feb.''25'!AK22-'Entries Feb.''25'!AK21&lt;1,0,'Entries Feb.''25'!AK22-'Entries Feb.''25'!AK21)</f>
        <v>0</v>
      </c>
    </row>
    <row r="20" spans="1:2" ht="15" x14ac:dyDescent="0.2">
      <c r="A20" s="115">
        <v>16</v>
      </c>
      <c r="B20" s="137">
        <f>IF('Entries Feb.''25'!AK23-'Entries Feb.''25'!AK22&lt;1,0,'Entries Feb.''25'!AK23-'Entries Feb.''25'!AK22)</f>
        <v>0</v>
      </c>
    </row>
    <row r="21" spans="1:2" ht="15" x14ac:dyDescent="0.2">
      <c r="A21" s="115">
        <v>17</v>
      </c>
      <c r="B21" s="137">
        <f>IF('Entries Feb.''25'!AK24-'Entries Feb.''25'!AK23&lt;1,0,'Entries Feb.''25'!AK24-'Entries Feb.''25'!AK23)</f>
        <v>7188.348000000231</v>
      </c>
    </row>
    <row r="22" spans="1:2" ht="15" x14ac:dyDescent="0.2">
      <c r="A22" s="115">
        <v>18</v>
      </c>
      <c r="B22" s="137">
        <f>IF('Entries Feb.''25'!AK25-'Entries Feb.''25'!AK24&lt;1,0,'Entries Feb.''25'!AK25-'Entries Feb.''25'!AK24)</f>
        <v>458.23799999989569</v>
      </c>
    </row>
    <row r="23" spans="1:2" ht="15" x14ac:dyDescent="0.2">
      <c r="A23" s="115">
        <v>19</v>
      </c>
      <c r="B23" s="137">
        <f>IF('Entries Feb.''25'!AK26-'Entries Feb.''25'!AK25&lt;1,0,'Entries Feb.''25'!AK26-'Entries Feb.''25'!AK25)</f>
        <v>0</v>
      </c>
    </row>
    <row r="24" spans="1:2" ht="15" x14ac:dyDescent="0.2">
      <c r="A24" s="115">
        <v>20</v>
      </c>
      <c r="B24" s="137">
        <f>IF('Entries Feb.''25'!AK27-'Entries Feb.''25'!AK26&lt;1,0,'Entries Feb.''25'!AK27-'Entries Feb.''25'!AK26)</f>
        <v>0</v>
      </c>
    </row>
    <row r="25" spans="1:2" ht="15" x14ac:dyDescent="0.2">
      <c r="A25" s="115">
        <v>21</v>
      </c>
      <c r="B25" s="137">
        <f>IF('Entries Feb.''25'!AK28-'Entries Feb.''25'!AK27&lt;1,0,'Entries Feb.''25'!AK28-'Entries Feb.''25'!AK27)</f>
        <v>0</v>
      </c>
    </row>
    <row r="26" spans="1:2" ht="15" x14ac:dyDescent="0.2">
      <c r="A26" s="115">
        <v>22</v>
      </c>
      <c r="B26" s="137">
        <f>IF('Entries Feb.''25'!AK29-'Entries Feb.''25'!AK28&lt;1,0,'Entries Feb.''25'!AK29-'Entries Feb.''25'!AK28)</f>
        <v>0</v>
      </c>
    </row>
    <row r="27" spans="1:2" ht="15" x14ac:dyDescent="0.2">
      <c r="A27" s="115">
        <v>23</v>
      </c>
      <c r="B27" s="137">
        <f>IF('Entries Feb.''25'!AK30-'Entries Feb.''25'!AK29&lt;1,0,'Entries Feb.''25'!AK30-'Entries Feb.''25'!AK29)</f>
        <v>0</v>
      </c>
    </row>
    <row r="28" spans="1:2" ht="15" x14ac:dyDescent="0.2">
      <c r="A28" s="115">
        <v>24</v>
      </c>
      <c r="B28" s="137">
        <f>IF('Entries Feb.''25'!AK31-'Entries Feb.''25'!AK30&lt;1,0,'Entries Feb.''25'!AK31-'Entries Feb.''25'!AK30)</f>
        <v>2.546000000089407</v>
      </c>
    </row>
    <row r="29" spans="1:2" ht="15" x14ac:dyDescent="0.2">
      <c r="A29" s="115">
        <v>25</v>
      </c>
      <c r="B29" s="137">
        <f>IF('Entries Feb.''25'!AK32-'Entries Feb.''25'!AK31&lt;1,0,'Entries Feb.''25'!AK32-'Entries Feb.''25'!AK31)</f>
        <v>8.0350000001490116</v>
      </c>
    </row>
    <row r="30" spans="1:2" ht="15" x14ac:dyDescent="0.2">
      <c r="A30" s="115">
        <v>26</v>
      </c>
      <c r="B30" s="137">
        <f>IF('Entries Feb.''25'!AK33-'Entries Feb.''25'!AK32&lt;1,0,'Entries Feb.''25'!AK33-'Entries Feb.''25'!AK32)</f>
        <v>0</v>
      </c>
    </row>
    <row r="31" spans="1:2" ht="15" x14ac:dyDescent="0.2">
      <c r="A31" s="115">
        <v>27</v>
      </c>
      <c r="B31" s="137">
        <f>IF('Entries Feb.''25'!AK34-'Entries Feb.''25'!AK33&lt;1,0,'Entries Feb.''25'!AK34-'Entries Feb.''25'!AK33)</f>
        <v>0</v>
      </c>
    </row>
    <row r="32" spans="1:2" ht="15" x14ac:dyDescent="0.2">
      <c r="A32" s="115">
        <v>28</v>
      </c>
      <c r="B32" s="137">
        <f>IF('Entries Feb.''25'!AK35-'Entries Feb.''25'!AK34&lt;1,0,'Entries Feb.''25'!AK35-'Entries Feb.''25'!AK34)</f>
        <v>0</v>
      </c>
    </row>
    <row r="33" spans="1:2" ht="15" x14ac:dyDescent="0.2">
      <c r="A33" s="115">
        <v>29</v>
      </c>
      <c r="B33" s="137">
        <f>IF('Entries Feb.''25'!AK36-'Entries Feb.''25'!AK35&lt;1,0,'Entries Feb.''25'!AK36-'Entries Feb.''25'!AK35)</f>
        <v>0</v>
      </c>
    </row>
    <row r="34" spans="1:2" ht="15" x14ac:dyDescent="0.2">
      <c r="A34" s="115">
        <v>30</v>
      </c>
      <c r="B34" s="137">
        <f>IF('Entries Feb.''25'!AK37-'Entries Feb.''25'!AK36&lt;1,0,'Entries Feb.''25'!AK37-'Entries Feb.''25'!AK36)</f>
        <v>0</v>
      </c>
    </row>
    <row r="35" spans="1:2" ht="15" x14ac:dyDescent="0.2">
      <c r="A35" s="115">
        <v>31</v>
      </c>
      <c r="B35" s="137">
        <f>IF('Entries Feb.''25'!AK38-'Entries Feb.''25'!AK37&lt;1,0,'Entries Feb.''25'!AK38-'Entries Feb.''25'!AK37)</f>
        <v>0</v>
      </c>
    </row>
    <row r="36" spans="1:2" ht="15.75" x14ac:dyDescent="0.25">
      <c r="A36" s="134"/>
      <c r="B36" s="137"/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CY41"/>
  <sheetViews>
    <sheetView topLeftCell="A11" workbookViewId="0">
      <selection activeCell="B7" sqref="B7:B34"/>
    </sheetView>
  </sheetViews>
  <sheetFormatPr defaultRowHeight="12.75" x14ac:dyDescent="0.2"/>
  <cols>
    <col min="2" max="2" width="13.28515625" customWidth="1"/>
    <col min="3" max="3" width="19.28515625" customWidth="1"/>
    <col min="12" max="12" width="10.7109375" customWidth="1"/>
  </cols>
  <sheetData>
    <row r="1" spans="1:103" ht="15" x14ac:dyDescent="0.2">
      <c r="A1" s="8"/>
      <c r="B1" s="8"/>
      <c r="C1" s="8"/>
    </row>
    <row r="2" spans="1:103" ht="15" x14ac:dyDescent="0.2">
      <c r="A2" s="8"/>
      <c r="B2" s="8"/>
      <c r="C2" s="8"/>
    </row>
    <row r="3" spans="1:103" ht="15.75" x14ac:dyDescent="0.25">
      <c r="A3" s="735" t="s">
        <v>233</v>
      </c>
      <c r="B3" s="736"/>
      <c r="C3" s="736"/>
    </row>
    <row r="4" spans="1:103" ht="15.75" thickBot="1" x14ac:dyDescent="0.25">
      <c r="A4" s="8"/>
      <c r="B4" s="8"/>
      <c r="C4" s="8"/>
    </row>
    <row r="5" spans="1:103" x14ac:dyDescent="0.2">
      <c r="A5" s="729" t="s">
        <v>8</v>
      </c>
      <c r="B5" s="731" t="s">
        <v>91</v>
      </c>
      <c r="C5" s="733" t="s">
        <v>90</v>
      </c>
      <c r="I5" t="s">
        <v>204</v>
      </c>
      <c r="J5" t="s">
        <v>205</v>
      </c>
      <c r="K5" t="s">
        <v>206</v>
      </c>
      <c r="L5" t="s">
        <v>201</v>
      </c>
      <c r="R5">
        <v>4</v>
      </c>
      <c r="S5" t="s">
        <v>167</v>
      </c>
      <c r="T5" t="s">
        <v>166</v>
      </c>
      <c r="U5">
        <v>5</v>
      </c>
      <c r="V5" t="s">
        <v>167</v>
      </c>
      <c r="W5" t="s">
        <v>168</v>
      </c>
      <c r="X5">
        <v>6</v>
      </c>
      <c r="Y5" t="s">
        <v>167</v>
      </c>
      <c r="Z5" t="s">
        <v>166</v>
      </c>
      <c r="AA5">
        <v>7</v>
      </c>
      <c r="AB5" t="s">
        <v>167</v>
      </c>
      <c r="AC5" t="s">
        <v>168</v>
      </c>
      <c r="AD5">
        <v>8</v>
      </c>
      <c r="AE5" t="s">
        <v>167</v>
      </c>
      <c r="AF5" t="s">
        <v>166</v>
      </c>
      <c r="AG5">
        <v>9</v>
      </c>
      <c r="AH5" t="s">
        <v>167</v>
      </c>
      <c r="AI5" t="s">
        <v>168</v>
      </c>
      <c r="AJ5">
        <v>10</v>
      </c>
      <c r="AK5" t="s">
        <v>167</v>
      </c>
      <c r="AL5" t="s">
        <v>166</v>
      </c>
      <c r="AM5">
        <v>11</v>
      </c>
      <c r="AN5" t="s">
        <v>167</v>
      </c>
      <c r="AO5" t="s">
        <v>168</v>
      </c>
      <c r="AP5">
        <v>12</v>
      </c>
      <c r="AQ5" t="s">
        <v>167</v>
      </c>
      <c r="AR5" t="s">
        <v>166</v>
      </c>
      <c r="AS5">
        <v>13</v>
      </c>
      <c r="AT5" t="s">
        <v>167</v>
      </c>
      <c r="AU5" t="s">
        <v>168</v>
      </c>
      <c r="AV5">
        <v>14</v>
      </c>
      <c r="AW5" t="s">
        <v>167</v>
      </c>
      <c r="AX5" t="s">
        <v>166</v>
      </c>
      <c r="AY5">
        <v>15</v>
      </c>
      <c r="AZ5" t="s">
        <v>167</v>
      </c>
      <c r="BA5" t="s">
        <v>168</v>
      </c>
      <c r="BB5">
        <v>16</v>
      </c>
      <c r="BC5" t="s">
        <v>167</v>
      </c>
      <c r="BD5" t="s">
        <v>166</v>
      </c>
      <c r="BE5">
        <v>17</v>
      </c>
      <c r="BF5" t="s">
        <v>167</v>
      </c>
      <c r="BG5" t="s">
        <v>168</v>
      </c>
      <c r="BH5">
        <v>18</v>
      </c>
      <c r="BI5" t="s">
        <v>167</v>
      </c>
      <c r="BJ5" t="s">
        <v>166</v>
      </c>
      <c r="BK5">
        <v>19</v>
      </c>
      <c r="BL5" t="s">
        <v>167</v>
      </c>
      <c r="BM5" t="s">
        <v>168</v>
      </c>
      <c r="BN5">
        <v>20</v>
      </c>
      <c r="BO5" t="s">
        <v>167</v>
      </c>
      <c r="BP5" t="s">
        <v>166</v>
      </c>
      <c r="BQ5">
        <v>21</v>
      </c>
      <c r="BR5" t="s">
        <v>167</v>
      </c>
      <c r="BS5" t="s">
        <v>168</v>
      </c>
      <c r="BT5">
        <v>22</v>
      </c>
      <c r="BU5" t="s">
        <v>167</v>
      </c>
      <c r="BV5" t="s">
        <v>166</v>
      </c>
      <c r="BW5">
        <v>23</v>
      </c>
      <c r="BX5" t="s">
        <v>167</v>
      </c>
      <c r="BY5" t="s">
        <v>168</v>
      </c>
      <c r="BZ5">
        <v>24</v>
      </c>
      <c r="CA5" t="s">
        <v>167</v>
      </c>
      <c r="CB5" t="s">
        <v>166</v>
      </c>
      <c r="CC5">
        <v>25</v>
      </c>
      <c r="CD5" t="s">
        <v>167</v>
      </c>
      <c r="CE5" t="s">
        <v>168</v>
      </c>
      <c r="CF5">
        <v>26</v>
      </c>
      <c r="CG5" t="s">
        <v>167</v>
      </c>
      <c r="CH5" t="s">
        <v>166</v>
      </c>
      <c r="CI5">
        <v>27</v>
      </c>
      <c r="CJ5" t="s">
        <v>167</v>
      </c>
      <c r="CK5" t="s">
        <v>168</v>
      </c>
      <c r="CL5">
        <v>28</v>
      </c>
      <c r="CM5" t="s">
        <v>167</v>
      </c>
      <c r="CN5" t="s">
        <v>166</v>
      </c>
      <c r="CO5">
        <v>29</v>
      </c>
      <c r="CP5" t="s">
        <v>167</v>
      </c>
      <c r="CQ5" t="s">
        <v>168</v>
      </c>
      <c r="CR5">
        <v>30</v>
      </c>
      <c r="CS5" t="s">
        <v>167</v>
      </c>
      <c r="CT5" t="s">
        <v>166</v>
      </c>
      <c r="CU5">
        <v>31</v>
      </c>
      <c r="CV5" t="s">
        <v>167</v>
      </c>
      <c r="CW5" t="s">
        <v>168</v>
      </c>
      <c r="CX5">
        <v>2</v>
      </c>
      <c r="CY5" t="s">
        <v>167</v>
      </c>
    </row>
    <row r="6" spans="1:103" ht="15" customHeight="1" x14ac:dyDescent="0.2">
      <c r="A6" s="730"/>
      <c r="B6" s="732"/>
      <c r="C6" s="734"/>
      <c r="E6" t="s">
        <v>172</v>
      </c>
      <c r="T6">
        <v>630</v>
      </c>
      <c r="Z6">
        <v>630</v>
      </c>
      <c r="AF6">
        <v>630</v>
      </c>
      <c r="AL6">
        <v>630</v>
      </c>
      <c r="AR6">
        <v>630</v>
      </c>
      <c r="AX6">
        <v>630</v>
      </c>
      <c r="BD6">
        <v>630</v>
      </c>
      <c r="BJ6">
        <v>630</v>
      </c>
      <c r="BP6">
        <v>630</v>
      </c>
      <c r="BV6">
        <v>630</v>
      </c>
      <c r="CB6">
        <v>630</v>
      </c>
      <c r="CH6">
        <v>630</v>
      </c>
      <c r="CN6">
        <v>630</v>
      </c>
      <c r="CT6">
        <v>630</v>
      </c>
    </row>
    <row r="7" spans="1:103" ht="15" x14ac:dyDescent="0.2">
      <c r="A7" s="115">
        <v>1</v>
      </c>
      <c r="B7" s="144">
        <f>'Entries Feb.''25'!N8-'Entries Feb.''25'!N7</f>
        <v>0</v>
      </c>
      <c r="C7" s="116" t="e">
        <f>IF(B7/'PROD.FIG. '!H5&lt;1,0,B7/'PROD.FIG. '!H5)</f>
        <v>#DIV/0!</v>
      </c>
      <c r="E7" s="219">
        <f>'Entries Feb.''25'!L8-'Entries Feb.''25'!L7</f>
        <v>0</v>
      </c>
      <c r="F7" s="197">
        <f>+$B7</f>
        <v>0</v>
      </c>
      <c r="I7">
        <f>IF((('Entries Feb.''25'!AL7-'Entries Feb.''25'!AL8)/10)*5455&lt;0,"0",(('Entries Feb.''25'!AL7-'Entries Feb.''25'!AL8)/10)*5455)</f>
        <v>0</v>
      </c>
      <c r="J7">
        <f>IF((('Entries Feb.''25'!AM7-'Entries Feb.''25'!AM8)/10)*5455&lt;0,"0",(('Entries Feb.''25'!AM7-'Entries Feb.''25'!AM8)/10)*5455)</f>
        <v>0</v>
      </c>
      <c r="K7">
        <f>IF(('Entries Feb.''25'!AN7-'Entries Feb.''25'!AN8)/2.2&lt;0,"0",('Entries Feb.''25'!AN7-'Entries Feb.''25'!AN8)/2.2)</f>
        <v>0</v>
      </c>
      <c r="L7" s="219">
        <f>IF(('Entries Feb.''25'!AO7-'Entries Feb.''25'!AO8)&lt;0,"0",('Entries Feb.''25'!AO7-'Entries Feb.''25'!AO8))</f>
        <v>0</v>
      </c>
      <c r="M7" s="43"/>
      <c r="S7">
        <f>R7-R6</f>
        <v>0</v>
      </c>
      <c r="T7">
        <v>730</v>
      </c>
      <c r="V7">
        <f t="shared" ref="V7:V30" si="0">U7-U6</f>
        <v>0</v>
      </c>
      <c r="Y7">
        <f>X7-X6</f>
        <v>0</v>
      </c>
      <c r="Z7">
        <v>730</v>
      </c>
      <c r="AB7">
        <f t="shared" ref="AB7:AB30" si="1">AA7-AA6</f>
        <v>0</v>
      </c>
      <c r="AE7">
        <f>AD7-AD6</f>
        <v>0</v>
      </c>
      <c r="AF7">
        <v>730</v>
      </c>
      <c r="AH7">
        <f t="shared" ref="AH7:AH30" si="2">AG7-AG6</f>
        <v>0</v>
      </c>
      <c r="AK7">
        <f>AJ7-AJ6</f>
        <v>0</v>
      </c>
      <c r="AL7">
        <v>730</v>
      </c>
      <c r="AN7">
        <f t="shared" ref="AN7:AN30" si="3">AM7-AM6</f>
        <v>0</v>
      </c>
      <c r="AQ7">
        <f>AP7-AP6</f>
        <v>0</v>
      </c>
      <c r="AR7">
        <v>730</v>
      </c>
      <c r="AT7">
        <f t="shared" ref="AT7:AT30" si="4">AS7-AS6</f>
        <v>0</v>
      </c>
      <c r="AW7">
        <f>AV7-AV6</f>
        <v>0</v>
      </c>
      <c r="AX7">
        <v>730</v>
      </c>
      <c r="AZ7">
        <f t="shared" ref="AZ7:AZ30" si="5">AY7-AY6</f>
        <v>0</v>
      </c>
      <c r="BC7">
        <f>BB7-BB6</f>
        <v>0</v>
      </c>
      <c r="BD7">
        <v>730</v>
      </c>
      <c r="BF7">
        <f t="shared" ref="BF7:BF30" si="6">BE7-BE6</f>
        <v>0</v>
      </c>
      <c r="BI7">
        <f>BH7-BH6</f>
        <v>0</v>
      </c>
      <c r="BJ7">
        <v>730</v>
      </c>
      <c r="BL7">
        <f t="shared" ref="BL7:BL30" si="7">BK7-BK6</f>
        <v>0</v>
      </c>
      <c r="BO7">
        <f>BN7-BN6</f>
        <v>0</v>
      </c>
      <c r="BP7">
        <v>730</v>
      </c>
      <c r="BR7">
        <f t="shared" ref="BR7:BR30" si="8">BQ7-BQ6</f>
        <v>0</v>
      </c>
      <c r="BU7">
        <f>BT7-BT6</f>
        <v>0</v>
      </c>
      <c r="BV7">
        <v>730</v>
      </c>
      <c r="BX7">
        <f t="shared" ref="BX7:BX30" si="9">BW7-BW6</f>
        <v>0</v>
      </c>
      <c r="CA7">
        <f>BZ7-BZ6</f>
        <v>0</v>
      </c>
      <c r="CB7">
        <v>730</v>
      </c>
      <c r="CD7">
        <f t="shared" ref="CD7:CD30" si="10">CC7-CC6</f>
        <v>0</v>
      </c>
      <c r="CG7">
        <f>CF7-CF6</f>
        <v>0</v>
      </c>
      <c r="CH7">
        <v>730</v>
      </c>
      <c r="CJ7">
        <f t="shared" ref="CJ7:CJ30" si="11">CI7-CI6</f>
        <v>0</v>
      </c>
      <c r="CM7">
        <f>CL7-CL6</f>
        <v>0</v>
      </c>
      <c r="CN7">
        <v>730</v>
      </c>
      <c r="CP7">
        <f t="shared" ref="CP7:CP30" si="12">CO7-CO6</f>
        <v>0</v>
      </c>
      <c r="CS7">
        <f>CR7-CR6</f>
        <v>0</v>
      </c>
      <c r="CT7">
        <v>730</v>
      </c>
      <c r="CV7">
        <f t="shared" ref="CV7:CV30" si="13">CU7-CU6</f>
        <v>0</v>
      </c>
      <c r="CY7">
        <f>CX7-CX6</f>
        <v>0</v>
      </c>
    </row>
    <row r="8" spans="1:103" ht="15" x14ac:dyDescent="0.2">
      <c r="A8" s="115">
        <v>2</v>
      </c>
      <c r="B8" s="144">
        <f>'Entries Feb.''25'!N9-'Entries Feb.''25'!N8</f>
        <v>0</v>
      </c>
      <c r="C8" s="116" t="e">
        <f>IF(B8/'PROD.FIG. '!H6&lt;1,0,B8/'PROD.FIG. '!H6)</f>
        <v>#DIV/0!</v>
      </c>
      <c r="E8" s="219">
        <f>'Entries Feb.''25'!L9-'Entries Feb.''25'!L8</f>
        <v>0</v>
      </c>
      <c r="F8" s="197">
        <f t="shared" ref="F8:F37" si="14">+$B8</f>
        <v>0</v>
      </c>
      <c r="I8">
        <f>IF((('Entries Feb.''25'!AL8-'Entries Feb.''25'!AL9)/10)*5455&lt;0,"0",(('Entries Feb.''25'!AL8-'Entries Feb.''25'!AL9)/10)*5455)</f>
        <v>0</v>
      </c>
      <c r="J8">
        <f>IF((('Entries Feb.''25'!AM8-'Entries Feb.''25'!AM9)/10)*5455&lt;0,"0",(('Entries Feb.''25'!AM8-'Entries Feb.''25'!AM9)/10)*5455)</f>
        <v>0</v>
      </c>
      <c r="K8">
        <f>IF(('Entries Feb.''25'!AN8-'Entries Feb.''25'!AN9)/2.2&lt;0,"0",('Entries Feb.''25'!AN8-'Entries Feb.''25'!AN9)/2.2)</f>
        <v>0</v>
      </c>
      <c r="L8" s="219">
        <f>IF(('Entries Feb.''25'!AO8-'Entries Feb.''25'!AO9)&lt;0,"0",('Entries Feb.''25'!AO8-'Entries Feb.''25'!AO9))</f>
        <v>0</v>
      </c>
      <c r="S8">
        <f>R8-R7</f>
        <v>0</v>
      </c>
      <c r="V8">
        <f t="shared" si="0"/>
        <v>0</v>
      </c>
      <c r="Y8">
        <f>X8-X7</f>
        <v>0</v>
      </c>
      <c r="AB8">
        <f t="shared" si="1"/>
        <v>0</v>
      </c>
      <c r="AE8">
        <f>AD8-AD7</f>
        <v>0</v>
      </c>
      <c r="AH8">
        <f t="shared" si="2"/>
        <v>0</v>
      </c>
      <c r="AK8">
        <f>AJ8-AJ7</f>
        <v>0</v>
      </c>
      <c r="AN8">
        <f t="shared" si="3"/>
        <v>0</v>
      </c>
      <c r="AQ8">
        <f>AP8-AP7</f>
        <v>0</v>
      </c>
      <c r="AT8">
        <f t="shared" si="4"/>
        <v>0</v>
      </c>
      <c r="AW8">
        <f>AV8-AV7</f>
        <v>0</v>
      </c>
      <c r="AZ8">
        <f t="shared" si="5"/>
        <v>0</v>
      </c>
      <c r="BC8">
        <f>BB8-BB7</f>
        <v>0</v>
      </c>
      <c r="BF8">
        <f t="shared" si="6"/>
        <v>0</v>
      </c>
      <c r="BI8">
        <f>BH8-BH7</f>
        <v>0</v>
      </c>
      <c r="BL8">
        <f t="shared" si="7"/>
        <v>0</v>
      </c>
      <c r="BO8">
        <f>BN8-BN7</f>
        <v>0</v>
      </c>
      <c r="BR8">
        <f t="shared" si="8"/>
        <v>0</v>
      </c>
      <c r="BU8">
        <f>BT8-BT7</f>
        <v>0</v>
      </c>
      <c r="BX8">
        <f t="shared" si="9"/>
        <v>0</v>
      </c>
      <c r="CA8">
        <f>BZ8-BZ7</f>
        <v>0</v>
      </c>
      <c r="CD8">
        <f t="shared" si="10"/>
        <v>0</v>
      </c>
      <c r="CG8">
        <f>CF8-CF7</f>
        <v>0</v>
      </c>
      <c r="CJ8">
        <f t="shared" si="11"/>
        <v>0</v>
      </c>
      <c r="CM8">
        <f>CL8-CL7</f>
        <v>0</v>
      </c>
      <c r="CP8">
        <f t="shared" si="12"/>
        <v>0</v>
      </c>
      <c r="CS8">
        <f>CR8-CR7</f>
        <v>0</v>
      </c>
      <c r="CV8">
        <f t="shared" si="13"/>
        <v>0</v>
      </c>
      <c r="CY8">
        <f>CX8-CX7</f>
        <v>0</v>
      </c>
    </row>
    <row r="9" spans="1:103" ht="15" x14ac:dyDescent="0.2">
      <c r="A9" s="115">
        <v>3</v>
      </c>
      <c r="B9" s="144">
        <f>'Entries Feb.''25'!N10-'Entries Feb.''25'!N9</f>
        <v>29.340000000000032</v>
      </c>
      <c r="C9" s="116" t="e">
        <f>IF(B9/'PROD.FIG. '!H7&lt;1,0,B9/'PROD.FIG. '!H7)</f>
        <v>#DIV/0!</v>
      </c>
      <c r="E9" s="219">
        <f>'Entries Feb.''25'!L10-'Entries Feb.''25'!L9</f>
        <v>0</v>
      </c>
      <c r="F9" s="197">
        <f t="shared" si="14"/>
        <v>29.340000000000032</v>
      </c>
      <c r="I9">
        <f>IF((('Entries Feb.''25'!AL9-'Entries Feb.''25'!AL10)/10)*5455&lt;0,"0",(('Entries Feb.''25'!AL9-'Entries Feb.''25'!AL10)/10)*5455)</f>
        <v>0</v>
      </c>
      <c r="J9">
        <f>IF((('Entries Feb.''25'!AM9-'Entries Feb.''25'!AM10)/10)*5455&lt;0,"0",(('Entries Feb.''25'!AM9-'Entries Feb.''25'!AM10)/10)*5455)</f>
        <v>0</v>
      </c>
      <c r="K9">
        <f>IF(('Entries Feb.''25'!AN9-'Entries Feb.''25'!AN10)/2.2&lt;0,"0",('Entries Feb.''25'!AN9-'Entries Feb.''25'!AN10)/2.2)</f>
        <v>0</v>
      </c>
      <c r="L9" s="219">
        <f>IF(('Entries Feb.''25'!AO9-'Entries Feb.''25'!AO10)&lt;0,"0",('Entries Feb.''25'!AO9-'Entries Feb.''25'!AO10))</f>
        <v>0</v>
      </c>
      <c r="S9">
        <f t="shared" ref="S9:S30" si="15">R9-R8</f>
        <v>0</v>
      </c>
      <c r="V9">
        <f t="shared" si="0"/>
        <v>0</v>
      </c>
      <c r="Y9">
        <f t="shared" ref="Y9:Y30" si="16">X9-X8</f>
        <v>0</v>
      </c>
      <c r="AB9">
        <f t="shared" si="1"/>
        <v>0</v>
      </c>
      <c r="AE9">
        <f t="shared" ref="AE9:AE30" si="17">AD9-AD8</f>
        <v>0</v>
      </c>
      <c r="AH9">
        <f t="shared" si="2"/>
        <v>0</v>
      </c>
      <c r="AK9">
        <f t="shared" ref="AK9:AK30" si="18">AJ9-AJ8</f>
        <v>0</v>
      </c>
      <c r="AN9">
        <f t="shared" si="3"/>
        <v>0</v>
      </c>
      <c r="AQ9">
        <f t="shared" ref="AQ9:AQ30" si="19">AP9-AP8</f>
        <v>0</v>
      </c>
      <c r="AT9">
        <f t="shared" si="4"/>
        <v>0</v>
      </c>
      <c r="AW9">
        <f t="shared" ref="AW9:AW30" si="20">AV9-AV8</f>
        <v>0</v>
      </c>
      <c r="AZ9">
        <f t="shared" si="5"/>
        <v>0</v>
      </c>
      <c r="BC9">
        <f t="shared" ref="BC9:BC30" si="21">BB9-BB8</f>
        <v>0</v>
      </c>
      <c r="BF9">
        <f t="shared" si="6"/>
        <v>0</v>
      </c>
      <c r="BI9">
        <f t="shared" ref="BI9:BI30" si="22">BH9-BH8</f>
        <v>0</v>
      </c>
      <c r="BL9">
        <f t="shared" si="7"/>
        <v>0</v>
      </c>
      <c r="BO9">
        <f t="shared" ref="BO9:BO30" si="23">BN9-BN8</f>
        <v>0</v>
      </c>
      <c r="BR9">
        <f t="shared" si="8"/>
        <v>0</v>
      </c>
      <c r="BU9">
        <f t="shared" ref="BU9:BU30" si="24">BT9-BT8</f>
        <v>0</v>
      </c>
      <c r="BX9">
        <f t="shared" si="9"/>
        <v>0</v>
      </c>
      <c r="CA9">
        <f t="shared" ref="CA9:CA30" si="25">BZ9-BZ8</f>
        <v>0</v>
      </c>
      <c r="CD9">
        <f t="shared" si="10"/>
        <v>0</v>
      </c>
      <c r="CG9">
        <f t="shared" ref="CG9:CG30" si="26">CF9-CF8</f>
        <v>0</v>
      </c>
      <c r="CJ9">
        <f t="shared" si="11"/>
        <v>0</v>
      </c>
      <c r="CM9">
        <f t="shared" ref="CM9:CM30" si="27">CL9-CL8</f>
        <v>0</v>
      </c>
      <c r="CP9">
        <f t="shared" si="12"/>
        <v>0</v>
      </c>
      <c r="CS9">
        <f t="shared" ref="CS9:CS30" si="28">CR9-CR8</f>
        <v>0</v>
      </c>
      <c r="CV9">
        <f t="shared" si="13"/>
        <v>0</v>
      </c>
      <c r="CY9">
        <f t="shared" ref="CY9:CY30" si="29">CX9-CX8</f>
        <v>0</v>
      </c>
    </row>
    <row r="10" spans="1:103" ht="15" x14ac:dyDescent="0.2">
      <c r="A10" s="115">
        <v>4</v>
      </c>
      <c r="B10" s="144">
        <f>'Entries Feb.''25'!N11-'Entries Feb.''25'!N10</f>
        <v>43.049999999999955</v>
      </c>
      <c r="C10" s="116" t="e">
        <f>IF(B10/'PROD.FIG. '!H8&lt;1,0,B10/'PROD.FIG. '!H8)</f>
        <v>#DIV/0!</v>
      </c>
      <c r="E10" s="219">
        <f>'Entries Feb.''25'!L11-'Entries Feb.''25'!L10</f>
        <v>0</v>
      </c>
      <c r="F10" s="197">
        <f t="shared" si="14"/>
        <v>43.049999999999955</v>
      </c>
      <c r="I10">
        <f>IF((('Entries Feb.''25'!AL10-'Entries Feb.''25'!AL11)/10)*5455&lt;0,"0",(('Entries Feb.''25'!AL10-'Entries Feb.''25'!AL11)/10)*5455)</f>
        <v>0</v>
      </c>
      <c r="J10">
        <f>IF((('Entries Feb.''25'!AM10-'Entries Feb.''25'!AM11)/10)*5455&lt;0,"0",(('Entries Feb.''25'!AM10-'Entries Feb.''25'!AM11)/10)*5455)</f>
        <v>0</v>
      </c>
      <c r="K10">
        <f>IF(('Entries Feb.''25'!AN10-'Entries Feb.''25'!AN11)/2.2&lt;0,"0",('Entries Feb.''25'!AN10-'Entries Feb.''25'!AN11)/2.2)</f>
        <v>0</v>
      </c>
      <c r="L10" s="219">
        <f>IF(('Entries Feb.''25'!AO10-'Entries Feb.''25'!AO11)&lt;0,"0",('Entries Feb.''25'!AO10-'Entries Feb.''25'!AO11))</f>
        <v>0</v>
      </c>
      <c r="S10">
        <f t="shared" si="15"/>
        <v>0</v>
      </c>
      <c r="V10">
        <f t="shared" si="0"/>
        <v>0</v>
      </c>
      <c r="Y10">
        <f t="shared" si="16"/>
        <v>0</v>
      </c>
      <c r="AB10">
        <f t="shared" si="1"/>
        <v>0</v>
      </c>
      <c r="AE10">
        <f t="shared" si="17"/>
        <v>0</v>
      </c>
      <c r="AH10">
        <f t="shared" si="2"/>
        <v>0</v>
      </c>
      <c r="AK10">
        <f t="shared" si="18"/>
        <v>0</v>
      </c>
      <c r="AN10">
        <f t="shared" si="3"/>
        <v>0</v>
      </c>
      <c r="AQ10">
        <f t="shared" si="19"/>
        <v>0</v>
      </c>
      <c r="AT10">
        <f t="shared" si="4"/>
        <v>0</v>
      </c>
      <c r="AW10">
        <f t="shared" si="20"/>
        <v>0</v>
      </c>
      <c r="AZ10">
        <f t="shared" si="5"/>
        <v>0</v>
      </c>
      <c r="BC10">
        <f t="shared" si="21"/>
        <v>0</v>
      </c>
      <c r="BF10">
        <f t="shared" si="6"/>
        <v>0</v>
      </c>
      <c r="BI10">
        <f t="shared" si="22"/>
        <v>0</v>
      </c>
      <c r="BL10">
        <f t="shared" si="7"/>
        <v>0</v>
      </c>
      <c r="BO10">
        <f t="shared" si="23"/>
        <v>0</v>
      </c>
      <c r="BR10">
        <f t="shared" si="8"/>
        <v>0</v>
      </c>
      <c r="BU10">
        <f t="shared" si="24"/>
        <v>0</v>
      </c>
      <c r="BX10">
        <f t="shared" si="9"/>
        <v>0</v>
      </c>
      <c r="CA10">
        <f t="shared" si="25"/>
        <v>0</v>
      </c>
      <c r="CD10">
        <f t="shared" si="10"/>
        <v>0</v>
      </c>
      <c r="CG10">
        <f t="shared" si="26"/>
        <v>0</v>
      </c>
      <c r="CJ10">
        <f t="shared" si="11"/>
        <v>0</v>
      </c>
      <c r="CM10">
        <f t="shared" si="27"/>
        <v>0</v>
      </c>
      <c r="CP10">
        <f t="shared" si="12"/>
        <v>0</v>
      </c>
      <c r="CS10">
        <f t="shared" si="28"/>
        <v>0</v>
      </c>
      <c r="CV10">
        <f t="shared" si="13"/>
        <v>0</v>
      </c>
      <c r="CY10">
        <f t="shared" si="29"/>
        <v>0</v>
      </c>
    </row>
    <row r="11" spans="1:103" ht="15" x14ac:dyDescent="0.2">
      <c r="A11" s="115">
        <v>5</v>
      </c>
      <c r="B11" s="144">
        <f>'Entries Feb.''25'!N12-'Entries Feb.''25'!N11</f>
        <v>40.720000000000027</v>
      </c>
      <c r="C11" s="116" t="e">
        <f>IF(B11/'PROD.FIG. '!H9&lt;1,0,B11/'PROD.FIG. '!H9)</f>
        <v>#DIV/0!</v>
      </c>
      <c r="E11" s="219">
        <f>'Entries Feb.''25'!L12-'Entries Feb.''25'!L11</f>
        <v>0</v>
      </c>
      <c r="F11" s="197">
        <f t="shared" si="14"/>
        <v>40.720000000000027</v>
      </c>
      <c r="I11">
        <f>IF((('Entries Feb.''25'!AL11-'Entries Feb.''25'!AL12)/10)*5455&lt;0,"0",(('Entries Feb.''25'!AL11-'Entries Feb.''25'!AL12)/10)*5455)</f>
        <v>0</v>
      </c>
      <c r="J11">
        <f>IF((('Entries Feb.''25'!AM11-'Entries Feb.''25'!AM12)/10)*5455&lt;0,"0",(('Entries Feb.''25'!AM11-'Entries Feb.''25'!AM12)/10)*5455)</f>
        <v>0</v>
      </c>
      <c r="K11">
        <f>IF(('Entries Feb.''25'!AN11-'Entries Feb.''25'!AN12)/2.2&lt;0,"0",('Entries Feb.''25'!AN11-'Entries Feb.''25'!AN12)/2.2)</f>
        <v>0</v>
      </c>
      <c r="L11" s="219">
        <f>IF(('Entries Feb.''25'!AO11-'Entries Feb.''25'!AO12)&lt;0,"0",('Entries Feb.''25'!AO11-'Entries Feb.''25'!AO12))</f>
        <v>0</v>
      </c>
      <c r="S11">
        <f t="shared" si="15"/>
        <v>0</v>
      </c>
      <c r="V11">
        <f t="shared" si="0"/>
        <v>0</v>
      </c>
      <c r="Y11">
        <f t="shared" si="16"/>
        <v>0</v>
      </c>
      <c r="AB11">
        <f t="shared" si="1"/>
        <v>0</v>
      </c>
      <c r="AE11">
        <f t="shared" si="17"/>
        <v>0</v>
      </c>
      <c r="AH11">
        <f t="shared" si="2"/>
        <v>0</v>
      </c>
      <c r="AK11">
        <f t="shared" si="18"/>
        <v>0</v>
      </c>
      <c r="AN11">
        <f t="shared" si="3"/>
        <v>0</v>
      </c>
      <c r="AQ11">
        <f t="shared" si="19"/>
        <v>0</v>
      </c>
      <c r="AT11">
        <f t="shared" si="4"/>
        <v>0</v>
      </c>
      <c r="AW11">
        <f t="shared" si="20"/>
        <v>0</v>
      </c>
      <c r="AZ11">
        <f t="shared" si="5"/>
        <v>0</v>
      </c>
      <c r="BC11">
        <f t="shared" si="21"/>
        <v>0</v>
      </c>
      <c r="BF11">
        <f t="shared" si="6"/>
        <v>0</v>
      </c>
      <c r="BI11">
        <f t="shared" si="22"/>
        <v>0</v>
      </c>
      <c r="BL11">
        <f t="shared" si="7"/>
        <v>0</v>
      </c>
      <c r="BO11">
        <f t="shared" si="23"/>
        <v>0</v>
      </c>
      <c r="BR11">
        <f t="shared" si="8"/>
        <v>0</v>
      </c>
      <c r="BU11">
        <f t="shared" si="24"/>
        <v>0</v>
      </c>
      <c r="BX11">
        <f t="shared" si="9"/>
        <v>0</v>
      </c>
      <c r="CA11">
        <f t="shared" si="25"/>
        <v>0</v>
      </c>
      <c r="CD11">
        <f t="shared" si="10"/>
        <v>0</v>
      </c>
      <c r="CG11">
        <f t="shared" si="26"/>
        <v>0</v>
      </c>
      <c r="CJ11">
        <f t="shared" si="11"/>
        <v>0</v>
      </c>
      <c r="CM11">
        <f t="shared" si="27"/>
        <v>0</v>
      </c>
      <c r="CP11">
        <f t="shared" si="12"/>
        <v>0</v>
      </c>
      <c r="CS11">
        <f t="shared" si="28"/>
        <v>0</v>
      </c>
      <c r="CV11">
        <f t="shared" si="13"/>
        <v>0</v>
      </c>
      <c r="CY11">
        <f t="shared" si="29"/>
        <v>0</v>
      </c>
    </row>
    <row r="12" spans="1:103" ht="15" x14ac:dyDescent="0.2">
      <c r="A12" s="115">
        <v>6</v>
      </c>
      <c r="B12" s="144">
        <f>'Entries Feb.''25'!N13-'Entries Feb.''25'!N12</f>
        <v>4.3899999999999864</v>
      </c>
      <c r="C12" s="116" t="e">
        <f>IF(B12/'PROD.FIG. '!H10&lt;1,0,B12/'PROD.FIG. '!H10)</f>
        <v>#DIV/0!</v>
      </c>
      <c r="D12" t="s">
        <v>64</v>
      </c>
      <c r="E12" s="219">
        <f>'Entries Feb.''25'!L13-'Entries Feb.''25'!L12</f>
        <v>0</v>
      </c>
      <c r="F12" s="197">
        <f t="shared" si="14"/>
        <v>4.3899999999999864</v>
      </c>
      <c r="I12">
        <f>IF((('Entries Feb.''25'!AL12-'Entries Feb.''25'!AL13)/10)*5455&lt;0,"0",(('Entries Feb.''25'!AL12-'Entries Feb.''25'!AL13)/10)*5455)</f>
        <v>0</v>
      </c>
      <c r="J12">
        <f>IF((('Entries Feb.''25'!AM12-'Entries Feb.''25'!AM13)/10)*5455&lt;0,"0",(('Entries Feb.''25'!AM12-'Entries Feb.''25'!AM13)/10)*5455)</f>
        <v>0</v>
      </c>
      <c r="K12">
        <f>IF(('Entries Feb.''25'!AN12-'Entries Feb.''25'!AN13)/2.2&lt;0,"0",('Entries Feb.''25'!AN12-'Entries Feb.''25'!AN13)/2.2)</f>
        <v>0</v>
      </c>
      <c r="L12" s="219">
        <f>IF(('Entries Feb.''25'!AO12-'Entries Feb.''25'!AO13)&lt;0,"0",('Entries Feb.''25'!AO12-'Entries Feb.''25'!AO13))</f>
        <v>0</v>
      </c>
      <c r="S12">
        <f t="shared" si="15"/>
        <v>0</v>
      </c>
      <c r="V12">
        <f t="shared" si="0"/>
        <v>0</v>
      </c>
      <c r="Y12">
        <f t="shared" si="16"/>
        <v>0</v>
      </c>
      <c r="AB12">
        <f t="shared" si="1"/>
        <v>0</v>
      </c>
      <c r="AE12">
        <f t="shared" si="17"/>
        <v>0</v>
      </c>
      <c r="AH12">
        <f t="shared" si="2"/>
        <v>0</v>
      </c>
      <c r="AK12">
        <f t="shared" si="18"/>
        <v>0</v>
      </c>
      <c r="AN12">
        <f t="shared" si="3"/>
        <v>0</v>
      </c>
      <c r="AQ12">
        <f t="shared" si="19"/>
        <v>0</v>
      </c>
      <c r="AT12">
        <f t="shared" si="4"/>
        <v>0</v>
      </c>
      <c r="AW12">
        <f t="shared" si="20"/>
        <v>0</v>
      </c>
      <c r="AZ12">
        <f t="shared" si="5"/>
        <v>0</v>
      </c>
      <c r="BC12">
        <f t="shared" si="21"/>
        <v>0</v>
      </c>
      <c r="BF12">
        <f t="shared" si="6"/>
        <v>0</v>
      </c>
      <c r="BI12">
        <f t="shared" si="22"/>
        <v>0</v>
      </c>
      <c r="BL12">
        <f t="shared" si="7"/>
        <v>0</v>
      </c>
      <c r="BO12">
        <f t="shared" si="23"/>
        <v>0</v>
      </c>
      <c r="BR12">
        <f t="shared" si="8"/>
        <v>0</v>
      </c>
      <c r="BU12">
        <f t="shared" si="24"/>
        <v>0</v>
      </c>
      <c r="BX12">
        <f t="shared" si="9"/>
        <v>0</v>
      </c>
      <c r="CA12">
        <f t="shared" si="25"/>
        <v>0</v>
      </c>
      <c r="CD12">
        <f t="shared" si="10"/>
        <v>0</v>
      </c>
      <c r="CG12">
        <f t="shared" si="26"/>
        <v>0</v>
      </c>
      <c r="CJ12">
        <f t="shared" si="11"/>
        <v>0</v>
      </c>
      <c r="CM12">
        <f t="shared" si="27"/>
        <v>0</v>
      </c>
      <c r="CP12">
        <f t="shared" si="12"/>
        <v>0</v>
      </c>
      <c r="CS12">
        <f t="shared" si="28"/>
        <v>0</v>
      </c>
      <c r="CV12">
        <f t="shared" si="13"/>
        <v>0</v>
      </c>
      <c r="CY12">
        <f t="shared" si="29"/>
        <v>0</v>
      </c>
    </row>
    <row r="13" spans="1:103" ht="15" x14ac:dyDescent="0.2">
      <c r="A13" s="115">
        <v>7</v>
      </c>
      <c r="B13" s="144">
        <f>'Entries Feb.''25'!N14-'Entries Feb.''25'!N13</f>
        <v>0</v>
      </c>
      <c r="C13" s="116" t="e">
        <f>IF(B13/'PROD.FIG. '!H11&lt;1,0,B13/'PROD.FIG. '!H11)</f>
        <v>#DIV/0!</v>
      </c>
      <c r="E13" s="219">
        <f>'Entries Feb.''25'!L14-'Entries Feb.''25'!L13</f>
        <v>0</v>
      </c>
      <c r="F13" s="197">
        <f t="shared" si="14"/>
        <v>0</v>
      </c>
      <c r="I13">
        <f>IF((('Entries Feb.''25'!AL13-'Entries Feb.''25'!AL14)/10)*5455&lt;0,"0",(('Entries Feb.''25'!AL13-'Entries Feb.''25'!AL14)/10)*5455)</f>
        <v>0</v>
      </c>
      <c r="J13">
        <f>IF((('Entries Feb.''25'!AM13-'Entries Feb.''25'!AM14)/10)*5455&lt;0,"0",(('Entries Feb.''25'!AM13-'Entries Feb.''25'!AM14)/10)*5455)</f>
        <v>0</v>
      </c>
      <c r="K13">
        <f>IF(('Entries Feb.''25'!AN13-'Entries Feb.''25'!AN14)/2.2&lt;0,"0",('Entries Feb.''25'!AN13-'Entries Feb.''25'!AN14)/2.2)</f>
        <v>0</v>
      </c>
      <c r="L13" s="219">
        <f>IF(('Entries Feb.''25'!AO13-'Entries Feb.''25'!AO14)&lt;0,"0",('Entries Feb.''25'!AO13-'Entries Feb.''25'!AO14))</f>
        <v>0</v>
      </c>
      <c r="S13">
        <f t="shared" si="15"/>
        <v>0</v>
      </c>
      <c r="V13">
        <f t="shared" si="0"/>
        <v>0</v>
      </c>
      <c r="Y13">
        <f t="shared" si="16"/>
        <v>0</v>
      </c>
      <c r="AB13">
        <f t="shared" si="1"/>
        <v>0</v>
      </c>
      <c r="AE13">
        <f t="shared" si="17"/>
        <v>0</v>
      </c>
      <c r="AH13">
        <f t="shared" si="2"/>
        <v>0</v>
      </c>
      <c r="AK13">
        <f t="shared" si="18"/>
        <v>0</v>
      </c>
      <c r="AN13">
        <f t="shared" si="3"/>
        <v>0</v>
      </c>
      <c r="AQ13">
        <f t="shared" si="19"/>
        <v>0</v>
      </c>
      <c r="AT13">
        <f t="shared" si="4"/>
        <v>0</v>
      </c>
      <c r="AW13">
        <f t="shared" si="20"/>
        <v>0</v>
      </c>
      <c r="AZ13">
        <f t="shared" si="5"/>
        <v>0</v>
      </c>
      <c r="BC13">
        <f t="shared" si="21"/>
        <v>0</v>
      </c>
      <c r="BF13">
        <f t="shared" si="6"/>
        <v>0</v>
      </c>
      <c r="BI13">
        <f t="shared" si="22"/>
        <v>0</v>
      </c>
      <c r="BL13">
        <f t="shared" si="7"/>
        <v>0</v>
      </c>
      <c r="BO13">
        <f t="shared" si="23"/>
        <v>0</v>
      </c>
      <c r="BR13">
        <f t="shared" si="8"/>
        <v>0</v>
      </c>
      <c r="BU13">
        <f t="shared" si="24"/>
        <v>0</v>
      </c>
      <c r="BX13">
        <f t="shared" si="9"/>
        <v>0</v>
      </c>
      <c r="CA13">
        <f t="shared" si="25"/>
        <v>0</v>
      </c>
      <c r="CD13">
        <f t="shared" si="10"/>
        <v>0</v>
      </c>
      <c r="CG13">
        <f t="shared" si="26"/>
        <v>0</v>
      </c>
      <c r="CJ13">
        <f t="shared" si="11"/>
        <v>0</v>
      </c>
      <c r="CM13">
        <f t="shared" si="27"/>
        <v>0</v>
      </c>
      <c r="CP13">
        <f t="shared" si="12"/>
        <v>0</v>
      </c>
      <c r="CS13">
        <f t="shared" si="28"/>
        <v>0</v>
      </c>
      <c r="CV13">
        <f t="shared" si="13"/>
        <v>0</v>
      </c>
      <c r="CY13">
        <f t="shared" si="29"/>
        <v>0</v>
      </c>
    </row>
    <row r="14" spans="1:103" ht="15" x14ac:dyDescent="0.2">
      <c r="A14" s="115">
        <v>8</v>
      </c>
      <c r="B14" s="144">
        <f>'Entries Feb.''25'!N15-'Entries Feb.''25'!N14</f>
        <v>0</v>
      </c>
      <c r="C14" s="116" t="e">
        <f>IF(B14/'PROD.FIG. '!H12&lt;1,0,B14/'PROD.FIG. '!H12)</f>
        <v>#DIV/0!</v>
      </c>
      <c r="E14" s="219">
        <f>'Entries Feb.''25'!L15-'Entries Feb.''25'!L14</f>
        <v>0</v>
      </c>
      <c r="F14" s="197">
        <f t="shared" si="14"/>
        <v>0</v>
      </c>
      <c r="I14">
        <f>IF((('Entries Feb.''25'!AL14-'Entries Feb.''25'!AL15)/10)*5455&lt;0,"0",(('Entries Feb.''25'!AL14-'Entries Feb.''25'!AL15)/10)*5455)</f>
        <v>0</v>
      </c>
      <c r="J14">
        <f>IF((('Entries Feb.''25'!AM14-'Entries Feb.''25'!AM15)/10)*5455&lt;0,"0",(('Entries Feb.''25'!AM14-'Entries Feb.''25'!AM15)/10)*5455)</f>
        <v>0</v>
      </c>
      <c r="K14">
        <f>IF(('Entries Feb.''25'!AN14-'Entries Feb.''25'!AN15)/2.2&lt;0,"0",('Entries Feb.''25'!AN14-'Entries Feb.''25'!AN15)/2.2)</f>
        <v>0</v>
      </c>
      <c r="L14" s="219">
        <f>IF(('Entries Feb.''25'!AO14-'Entries Feb.''25'!AO15)&lt;0,"0",('Entries Feb.''25'!AO14-'Entries Feb.''25'!AO15))</f>
        <v>0</v>
      </c>
      <c r="S14">
        <f t="shared" si="15"/>
        <v>0</v>
      </c>
      <c r="V14">
        <f t="shared" si="0"/>
        <v>0</v>
      </c>
      <c r="Y14">
        <f t="shared" si="16"/>
        <v>0</v>
      </c>
      <c r="AB14">
        <f t="shared" si="1"/>
        <v>0</v>
      </c>
      <c r="AE14">
        <f t="shared" si="17"/>
        <v>0</v>
      </c>
      <c r="AH14">
        <f t="shared" si="2"/>
        <v>0</v>
      </c>
      <c r="AK14">
        <f t="shared" si="18"/>
        <v>0</v>
      </c>
      <c r="AN14">
        <f t="shared" si="3"/>
        <v>0</v>
      </c>
      <c r="AQ14">
        <f t="shared" si="19"/>
        <v>0</v>
      </c>
      <c r="AT14">
        <f t="shared" si="4"/>
        <v>0</v>
      </c>
      <c r="AW14">
        <f t="shared" si="20"/>
        <v>0</v>
      </c>
      <c r="AZ14">
        <f t="shared" si="5"/>
        <v>0</v>
      </c>
      <c r="BC14">
        <f t="shared" si="21"/>
        <v>0</v>
      </c>
      <c r="BF14">
        <f t="shared" si="6"/>
        <v>0</v>
      </c>
      <c r="BI14">
        <f t="shared" si="22"/>
        <v>0</v>
      </c>
      <c r="BL14">
        <f t="shared" si="7"/>
        <v>0</v>
      </c>
      <c r="BO14">
        <f t="shared" si="23"/>
        <v>0</v>
      </c>
      <c r="BR14">
        <f t="shared" si="8"/>
        <v>0</v>
      </c>
      <c r="BU14">
        <f t="shared" si="24"/>
        <v>0</v>
      </c>
      <c r="BX14">
        <f t="shared" si="9"/>
        <v>0</v>
      </c>
      <c r="CA14">
        <f t="shared" si="25"/>
        <v>0</v>
      </c>
      <c r="CD14">
        <f t="shared" si="10"/>
        <v>0</v>
      </c>
      <c r="CG14">
        <f t="shared" si="26"/>
        <v>0</v>
      </c>
      <c r="CJ14">
        <f t="shared" si="11"/>
        <v>0</v>
      </c>
      <c r="CM14">
        <f t="shared" si="27"/>
        <v>0</v>
      </c>
      <c r="CP14">
        <f t="shared" si="12"/>
        <v>0</v>
      </c>
      <c r="CS14">
        <f t="shared" si="28"/>
        <v>0</v>
      </c>
      <c r="CV14">
        <f t="shared" si="13"/>
        <v>0</v>
      </c>
      <c r="CY14">
        <f t="shared" si="29"/>
        <v>0</v>
      </c>
    </row>
    <row r="15" spans="1:103" ht="15" x14ac:dyDescent="0.2">
      <c r="A15" s="115">
        <v>9</v>
      </c>
      <c r="B15" s="144">
        <f>'Entries Feb.''25'!N16-'Entries Feb.''25'!N15</f>
        <v>0</v>
      </c>
      <c r="C15" s="116" t="e">
        <f>IF(B15/'PROD.FIG. '!H13&lt;1,0,B15/'PROD.FIG. '!H13)</f>
        <v>#DIV/0!</v>
      </c>
      <c r="E15" s="219">
        <f>'Entries Feb.''25'!L16-'Entries Feb.''25'!L15</f>
        <v>0</v>
      </c>
      <c r="F15" s="197">
        <f t="shared" si="14"/>
        <v>0</v>
      </c>
      <c r="I15">
        <f>IF((('Entries Feb.''25'!AL15-'Entries Feb.''25'!AL16)/10)*5455&lt;0,"0",(('Entries Feb.''25'!AL15-'Entries Feb.''25'!AL16)/10)*5455)</f>
        <v>0</v>
      </c>
      <c r="J15">
        <f>IF((('Entries Feb.''25'!AM15-'Entries Feb.''25'!AM16)/10)*5455&lt;0,"0",(('Entries Feb.''25'!AM15-'Entries Feb.''25'!AM16)/10)*5455)</f>
        <v>0</v>
      </c>
      <c r="K15">
        <f>IF(('Entries Feb.''25'!AN15-'Entries Feb.''25'!AN16)/2.2&lt;0,"0",('Entries Feb.''25'!AN15-'Entries Feb.''25'!AN16)/2.2)</f>
        <v>0</v>
      </c>
      <c r="L15" s="219">
        <f>IF(('Entries Feb.''25'!AO15-'Entries Feb.''25'!AO16)&lt;0,"0",('Entries Feb.''25'!AO15-'Entries Feb.''25'!AO16))</f>
        <v>0</v>
      </c>
      <c r="S15">
        <f t="shared" si="15"/>
        <v>0</v>
      </c>
      <c r="V15">
        <f t="shared" si="0"/>
        <v>0</v>
      </c>
      <c r="Y15">
        <f t="shared" si="16"/>
        <v>0</v>
      </c>
      <c r="AB15">
        <f t="shared" si="1"/>
        <v>0</v>
      </c>
      <c r="AE15">
        <f t="shared" si="17"/>
        <v>0</v>
      </c>
      <c r="AH15">
        <f t="shared" si="2"/>
        <v>0</v>
      </c>
      <c r="AK15">
        <f t="shared" si="18"/>
        <v>0</v>
      </c>
      <c r="AN15">
        <f t="shared" si="3"/>
        <v>0</v>
      </c>
      <c r="AQ15">
        <f t="shared" si="19"/>
        <v>0</v>
      </c>
      <c r="AT15">
        <f t="shared" si="4"/>
        <v>0</v>
      </c>
      <c r="AW15">
        <f t="shared" si="20"/>
        <v>0</v>
      </c>
      <c r="AZ15">
        <f t="shared" si="5"/>
        <v>0</v>
      </c>
      <c r="BC15">
        <f t="shared" si="21"/>
        <v>0</v>
      </c>
      <c r="BF15">
        <f t="shared" si="6"/>
        <v>0</v>
      </c>
      <c r="BI15">
        <f t="shared" si="22"/>
        <v>0</v>
      </c>
      <c r="BL15">
        <f t="shared" si="7"/>
        <v>0</v>
      </c>
      <c r="BO15">
        <f t="shared" si="23"/>
        <v>0</v>
      </c>
      <c r="BR15">
        <f t="shared" si="8"/>
        <v>0</v>
      </c>
      <c r="BU15">
        <f t="shared" si="24"/>
        <v>0</v>
      </c>
      <c r="BX15">
        <f t="shared" si="9"/>
        <v>0</v>
      </c>
      <c r="CA15">
        <f t="shared" si="25"/>
        <v>0</v>
      </c>
      <c r="CD15">
        <f t="shared" si="10"/>
        <v>0</v>
      </c>
      <c r="CG15">
        <f t="shared" si="26"/>
        <v>0</v>
      </c>
      <c r="CJ15">
        <f t="shared" si="11"/>
        <v>0</v>
      </c>
      <c r="CM15">
        <f t="shared" si="27"/>
        <v>0</v>
      </c>
      <c r="CP15">
        <f t="shared" si="12"/>
        <v>0</v>
      </c>
      <c r="CS15">
        <f t="shared" si="28"/>
        <v>0</v>
      </c>
      <c r="CV15">
        <f t="shared" si="13"/>
        <v>0</v>
      </c>
      <c r="CY15">
        <f t="shared" si="29"/>
        <v>0</v>
      </c>
    </row>
    <row r="16" spans="1:103" ht="15" x14ac:dyDescent="0.2">
      <c r="A16" s="115">
        <v>10</v>
      </c>
      <c r="B16" s="144">
        <f>'Entries Feb.''25'!N17-'Entries Feb.''25'!N16</f>
        <v>20</v>
      </c>
      <c r="C16" s="116" t="e">
        <f>IF(B16/'PROD.FIG. '!H14&lt;1,0,B16/'PROD.FIG. '!H14)</f>
        <v>#DIV/0!</v>
      </c>
      <c r="E16" s="219">
        <f>'Entries Feb.''25'!L17-'Entries Feb.''25'!L16</f>
        <v>0</v>
      </c>
      <c r="F16" s="197">
        <f t="shared" si="14"/>
        <v>20</v>
      </c>
      <c r="I16">
        <f>IF((('Entries Feb.''25'!AL16-'Entries Feb.''25'!AL17)/10)*5455&lt;0,"0",(('Entries Feb.''25'!AL16-'Entries Feb.''25'!AL17)/10)*5455)</f>
        <v>0</v>
      </c>
      <c r="J16">
        <f>IF((('Entries Feb.''25'!AM16-'Entries Feb.''25'!AM17)/10)*5455&lt;0,"0",(('Entries Feb.''25'!AM16-'Entries Feb.''25'!AM17)/10)*5455)</f>
        <v>0</v>
      </c>
      <c r="K16">
        <f>IF(('Entries Feb.''25'!AN16-'Entries Feb.''25'!AN17)/2.2&lt;0,"0",('Entries Feb.''25'!AN16-'Entries Feb.''25'!AN17)/2.2)</f>
        <v>0</v>
      </c>
      <c r="L16" s="219">
        <f>IF(('Entries Feb.''25'!AO16-'Entries Feb.''25'!AO17)&lt;0,"0",('Entries Feb.''25'!AO16-'Entries Feb.''25'!AO17))</f>
        <v>0</v>
      </c>
      <c r="S16">
        <f t="shared" si="15"/>
        <v>0</v>
      </c>
      <c r="V16">
        <f t="shared" si="0"/>
        <v>0</v>
      </c>
      <c r="Y16">
        <f t="shared" si="16"/>
        <v>0</v>
      </c>
      <c r="AB16">
        <f t="shared" si="1"/>
        <v>0</v>
      </c>
      <c r="AE16">
        <f t="shared" si="17"/>
        <v>0</v>
      </c>
      <c r="AH16">
        <f t="shared" si="2"/>
        <v>0</v>
      </c>
      <c r="AK16">
        <f t="shared" si="18"/>
        <v>0</v>
      </c>
      <c r="AN16">
        <f t="shared" si="3"/>
        <v>0</v>
      </c>
      <c r="AQ16">
        <f t="shared" si="19"/>
        <v>0</v>
      </c>
      <c r="AT16">
        <f t="shared" si="4"/>
        <v>0</v>
      </c>
      <c r="AW16">
        <f t="shared" si="20"/>
        <v>0</v>
      </c>
      <c r="AZ16">
        <f t="shared" si="5"/>
        <v>0</v>
      </c>
      <c r="BC16">
        <f t="shared" si="21"/>
        <v>0</v>
      </c>
      <c r="BF16">
        <f t="shared" si="6"/>
        <v>0</v>
      </c>
      <c r="BI16">
        <f t="shared" si="22"/>
        <v>0</v>
      </c>
      <c r="BL16">
        <f t="shared" si="7"/>
        <v>0</v>
      </c>
      <c r="BO16">
        <f t="shared" si="23"/>
        <v>0</v>
      </c>
      <c r="BR16">
        <f t="shared" si="8"/>
        <v>0</v>
      </c>
      <c r="BU16">
        <f t="shared" si="24"/>
        <v>0</v>
      </c>
      <c r="BX16">
        <f t="shared" si="9"/>
        <v>0</v>
      </c>
      <c r="CA16">
        <f t="shared" si="25"/>
        <v>0</v>
      </c>
      <c r="CD16">
        <f t="shared" si="10"/>
        <v>0</v>
      </c>
      <c r="CG16">
        <f t="shared" si="26"/>
        <v>0</v>
      </c>
      <c r="CJ16">
        <f t="shared" si="11"/>
        <v>0</v>
      </c>
      <c r="CM16">
        <f t="shared" si="27"/>
        <v>0</v>
      </c>
      <c r="CP16">
        <f t="shared" si="12"/>
        <v>0</v>
      </c>
      <c r="CS16">
        <f t="shared" si="28"/>
        <v>0</v>
      </c>
      <c r="CV16">
        <f t="shared" si="13"/>
        <v>0</v>
      </c>
      <c r="CY16">
        <f t="shared" si="29"/>
        <v>0</v>
      </c>
    </row>
    <row r="17" spans="1:103" ht="15" x14ac:dyDescent="0.2">
      <c r="A17" s="115">
        <v>11</v>
      </c>
      <c r="B17" s="144">
        <f>'Entries Feb.''25'!N18-'Entries Feb.''25'!N17</f>
        <v>34.580000000000041</v>
      </c>
      <c r="C17" s="116" t="e">
        <f>IF(B17/'PROD.FIG. '!H15&lt;1,0,B17/'PROD.FIG. '!H15)</f>
        <v>#DIV/0!</v>
      </c>
      <c r="E17" s="219">
        <f>'Entries Feb.''25'!L18-'Entries Feb.''25'!L17</f>
        <v>0</v>
      </c>
      <c r="F17" s="197">
        <f t="shared" si="14"/>
        <v>34.580000000000041</v>
      </c>
      <c r="I17">
        <f>IF((('Entries Feb.''25'!AL17-'Entries Feb.''25'!AL18)/10)*5455&lt;0,"0",(('Entries Feb.''25'!AL17-'Entries Feb.''25'!AL18)/10)*5455)</f>
        <v>0</v>
      </c>
      <c r="J17">
        <f>IF((('Entries Feb.''25'!AM17-'Entries Feb.''25'!AM18)/10)*5455&lt;0,"0",(('Entries Feb.''25'!AM17-'Entries Feb.''25'!AM18)/10)*5455)</f>
        <v>0</v>
      </c>
      <c r="K17">
        <f>IF(('Entries Feb.''25'!AN17-'Entries Feb.''25'!AN18)/2.2&lt;0,"0",('Entries Feb.''25'!AN17-'Entries Feb.''25'!AN18)/2.2)</f>
        <v>0</v>
      </c>
      <c r="L17" s="219">
        <f>IF(('Entries Feb.''25'!AO17-'Entries Feb.''25'!AO18)&lt;0,"0",('Entries Feb.''25'!AO17-'Entries Feb.''25'!AO18))</f>
        <v>0</v>
      </c>
      <c r="S17">
        <f t="shared" si="15"/>
        <v>0</v>
      </c>
      <c r="V17">
        <f t="shared" si="0"/>
        <v>0</v>
      </c>
      <c r="Y17">
        <f t="shared" si="16"/>
        <v>0</v>
      </c>
      <c r="AB17">
        <f t="shared" si="1"/>
        <v>0</v>
      </c>
      <c r="AE17">
        <f t="shared" si="17"/>
        <v>0</v>
      </c>
      <c r="AH17">
        <f t="shared" si="2"/>
        <v>0</v>
      </c>
      <c r="AK17">
        <f t="shared" si="18"/>
        <v>0</v>
      </c>
      <c r="AN17">
        <f t="shared" si="3"/>
        <v>0</v>
      </c>
      <c r="AQ17">
        <f t="shared" si="19"/>
        <v>0</v>
      </c>
      <c r="AT17">
        <f t="shared" si="4"/>
        <v>0</v>
      </c>
      <c r="AW17">
        <f t="shared" si="20"/>
        <v>0</v>
      </c>
      <c r="AZ17">
        <f t="shared" si="5"/>
        <v>0</v>
      </c>
      <c r="BC17">
        <f t="shared" si="21"/>
        <v>0</v>
      </c>
      <c r="BF17">
        <f t="shared" si="6"/>
        <v>0</v>
      </c>
      <c r="BI17">
        <f t="shared" si="22"/>
        <v>0</v>
      </c>
      <c r="BL17">
        <f t="shared" si="7"/>
        <v>0</v>
      </c>
      <c r="BO17">
        <f t="shared" si="23"/>
        <v>0</v>
      </c>
      <c r="BR17">
        <f t="shared" si="8"/>
        <v>0</v>
      </c>
      <c r="BU17">
        <f t="shared" si="24"/>
        <v>0</v>
      </c>
      <c r="BX17">
        <f t="shared" si="9"/>
        <v>0</v>
      </c>
      <c r="CA17">
        <f t="shared" si="25"/>
        <v>0</v>
      </c>
      <c r="CD17">
        <f t="shared" si="10"/>
        <v>0</v>
      </c>
      <c r="CG17">
        <f t="shared" si="26"/>
        <v>0</v>
      </c>
      <c r="CJ17">
        <f t="shared" si="11"/>
        <v>0</v>
      </c>
      <c r="CM17">
        <f t="shared" si="27"/>
        <v>0</v>
      </c>
      <c r="CP17">
        <f t="shared" si="12"/>
        <v>0</v>
      </c>
      <c r="CS17">
        <f t="shared" si="28"/>
        <v>0</v>
      </c>
      <c r="CV17">
        <f t="shared" si="13"/>
        <v>0</v>
      </c>
      <c r="CY17">
        <f t="shared" si="29"/>
        <v>0</v>
      </c>
    </row>
    <row r="18" spans="1:103" ht="15" x14ac:dyDescent="0.2">
      <c r="A18" s="115">
        <v>12</v>
      </c>
      <c r="B18" s="144">
        <f>'Entries Feb.''25'!N19-'Entries Feb.''25'!N18</f>
        <v>31.399999999999977</v>
      </c>
      <c r="C18" s="116" t="e">
        <f>IF(B18/'PROD.FIG. '!H16&lt;1,0,B18/'PROD.FIG. '!H16)</f>
        <v>#DIV/0!</v>
      </c>
      <c r="E18" s="219">
        <f>'Entries Feb.''25'!L19-'Entries Feb.''25'!L18</f>
        <v>0</v>
      </c>
      <c r="F18" s="197">
        <f t="shared" si="14"/>
        <v>31.399999999999977</v>
      </c>
      <c r="I18">
        <f>IF((('Entries Feb.''25'!AL18-'Entries Feb.''25'!AL19)/10)*5455&lt;0,"0",(('Entries Feb.''25'!AL18-'Entries Feb.''25'!AL19)/10)*5455)</f>
        <v>0</v>
      </c>
      <c r="J18">
        <f>IF((('Entries Feb.''25'!AM18-'Entries Feb.''25'!AM19)/10)*5455&lt;0,"0",(('Entries Feb.''25'!AM18-'Entries Feb.''25'!AM19)/10)*5455)</f>
        <v>0</v>
      </c>
      <c r="K18">
        <f>IF(('Entries Feb.''25'!AN18-'Entries Feb.''25'!AN19)/2.2&lt;0,"0",('Entries Feb.''25'!AN18-'Entries Feb.''25'!AN19)/2.2)</f>
        <v>0</v>
      </c>
      <c r="L18" s="219">
        <f>IF(('Entries Feb.''25'!AO18-'Entries Feb.''25'!AO19)&lt;0,"0",('Entries Feb.''25'!AO18-'Entries Feb.''25'!AO19))</f>
        <v>0</v>
      </c>
      <c r="S18">
        <f t="shared" si="15"/>
        <v>0</v>
      </c>
      <c r="V18">
        <f t="shared" si="0"/>
        <v>0</v>
      </c>
      <c r="Y18">
        <f t="shared" si="16"/>
        <v>0</v>
      </c>
      <c r="AB18">
        <f t="shared" si="1"/>
        <v>0</v>
      </c>
      <c r="AE18">
        <f t="shared" si="17"/>
        <v>0</v>
      </c>
      <c r="AH18">
        <f t="shared" si="2"/>
        <v>0</v>
      </c>
      <c r="AK18">
        <f t="shared" si="18"/>
        <v>0</v>
      </c>
      <c r="AN18">
        <f t="shared" si="3"/>
        <v>0</v>
      </c>
      <c r="AQ18">
        <f t="shared" si="19"/>
        <v>0</v>
      </c>
      <c r="AT18">
        <f t="shared" si="4"/>
        <v>0</v>
      </c>
      <c r="AW18">
        <f t="shared" si="20"/>
        <v>0</v>
      </c>
      <c r="AZ18">
        <f t="shared" si="5"/>
        <v>0</v>
      </c>
      <c r="BC18">
        <f t="shared" si="21"/>
        <v>0</v>
      </c>
      <c r="BF18">
        <f t="shared" si="6"/>
        <v>0</v>
      </c>
      <c r="BI18">
        <f t="shared" si="22"/>
        <v>0</v>
      </c>
      <c r="BL18">
        <f t="shared" si="7"/>
        <v>0</v>
      </c>
      <c r="BO18">
        <f t="shared" si="23"/>
        <v>0</v>
      </c>
      <c r="BR18">
        <f t="shared" si="8"/>
        <v>0</v>
      </c>
      <c r="BU18">
        <f t="shared" si="24"/>
        <v>0</v>
      </c>
      <c r="BX18">
        <f t="shared" si="9"/>
        <v>0</v>
      </c>
      <c r="CA18">
        <f t="shared" si="25"/>
        <v>0</v>
      </c>
      <c r="CD18">
        <f t="shared" si="10"/>
        <v>0</v>
      </c>
      <c r="CG18">
        <f t="shared" si="26"/>
        <v>0</v>
      </c>
      <c r="CJ18">
        <f t="shared" si="11"/>
        <v>0</v>
      </c>
      <c r="CM18">
        <f t="shared" si="27"/>
        <v>0</v>
      </c>
      <c r="CP18">
        <f t="shared" si="12"/>
        <v>0</v>
      </c>
      <c r="CS18">
        <f t="shared" si="28"/>
        <v>0</v>
      </c>
      <c r="CV18">
        <f t="shared" si="13"/>
        <v>0</v>
      </c>
      <c r="CY18">
        <f t="shared" si="29"/>
        <v>0</v>
      </c>
    </row>
    <row r="19" spans="1:103" ht="15" x14ac:dyDescent="0.2">
      <c r="A19" s="115">
        <v>13</v>
      </c>
      <c r="B19" s="144">
        <f>'Entries Feb.''25'!N20-'Entries Feb.''25'!N19</f>
        <v>37.139999999999986</v>
      </c>
      <c r="C19" s="116" t="e">
        <f>IF(B19/'PROD.FIG. '!H17&lt;1,0,B19/'PROD.FIG. '!H17)</f>
        <v>#DIV/0!</v>
      </c>
      <c r="E19" s="219">
        <f>'Entries Feb.''25'!L20-'Entries Feb.''25'!L19</f>
        <v>0</v>
      </c>
      <c r="F19" s="197">
        <f t="shared" si="14"/>
        <v>37.139999999999986</v>
      </c>
      <c r="I19">
        <f>IF((('Entries Feb.''25'!AL19-'Entries Feb.''25'!AL20)/10)*5455&lt;0,"0",(('Entries Feb.''25'!AL19-'Entries Feb.''25'!AL20)/10)*5455)</f>
        <v>0</v>
      </c>
      <c r="J19">
        <f>IF((('Entries Feb.''25'!AM19-'Entries Feb.''25'!AM20)/10)*5455&lt;0,"0",(('Entries Feb.''25'!AM19-'Entries Feb.''25'!AM20)/10)*5455)</f>
        <v>0</v>
      </c>
      <c r="K19">
        <f>IF(('Entries Feb.''25'!AN19-'Entries Feb.''25'!AN20)/2.2&lt;0,"0",('Entries Feb.''25'!AN19-'Entries Feb.''25'!AN20)/2.2)</f>
        <v>0</v>
      </c>
      <c r="L19" s="219">
        <f>IF(('Entries Feb.''25'!AO19-'Entries Feb.''25'!AO20)&lt;0,"0",('Entries Feb.''25'!AO19-'Entries Feb.''25'!AO20))</f>
        <v>0</v>
      </c>
      <c r="S19">
        <f t="shared" si="15"/>
        <v>0</v>
      </c>
      <c r="V19">
        <f t="shared" si="0"/>
        <v>0</v>
      </c>
      <c r="Y19">
        <f t="shared" si="16"/>
        <v>0</v>
      </c>
      <c r="AB19">
        <f t="shared" si="1"/>
        <v>0</v>
      </c>
      <c r="AE19">
        <f t="shared" si="17"/>
        <v>0</v>
      </c>
      <c r="AH19">
        <f t="shared" si="2"/>
        <v>0</v>
      </c>
      <c r="AK19">
        <f t="shared" si="18"/>
        <v>0</v>
      </c>
      <c r="AN19">
        <f t="shared" si="3"/>
        <v>0</v>
      </c>
      <c r="AQ19">
        <f t="shared" si="19"/>
        <v>0</v>
      </c>
      <c r="AT19">
        <f t="shared" si="4"/>
        <v>0</v>
      </c>
      <c r="AW19">
        <f t="shared" si="20"/>
        <v>0</v>
      </c>
      <c r="AZ19">
        <f t="shared" si="5"/>
        <v>0</v>
      </c>
      <c r="BC19">
        <f t="shared" si="21"/>
        <v>0</v>
      </c>
      <c r="BF19">
        <f t="shared" si="6"/>
        <v>0</v>
      </c>
      <c r="BI19">
        <f t="shared" si="22"/>
        <v>0</v>
      </c>
      <c r="BL19">
        <f t="shared" si="7"/>
        <v>0</v>
      </c>
      <c r="BO19">
        <f t="shared" si="23"/>
        <v>0</v>
      </c>
      <c r="BR19">
        <f t="shared" si="8"/>
        <v>0</v>
      </c>
      <c r="BU19">
        <f t="shared" si="24"/>
        <v>0</v>
      </c>
      <c r="BX19">
        <f t="shared" si="9"/>
        <v>0</v>
      </c>
      <c r="CA19">
        <f t="shared" si="25"/>
        <v>0</v>
      </c>
      <c r="CD19">
        <f t="shared" si="10"/>
        <v>0</v>
      </c>
      <c r="CG19">
        <f t="shared" si="26"/>
        <v>0</v>
      </c>
      <c r="CJ19">
        <f t="shared" si="11"/>
        <v>0</v>
      </c>
      <c r="CM19">
        <f t="shared" si="27"/>
        <v>0</v>
      </c>
      <c r="CP19">
        <f t="shared" si="12"/>
        <v>0</v>
      </c>
      <c r="CS19">
        <f t="shared" si="28"/>
        <v>0</v>
      </c>
      <c r="CV19">
        <f t="shared" si="13"/>
        <v>0</v>
      </c>
      <c r="CY19">
        <f t="shared" si="29"/>
        <v>0</v>
      </c>
    </row>
    <row r="20" spans="1:103" ht="15" x14ac:dyDescent="0.2">
      <c r="A20" s="115">
        <v>14</v>
      </c>
      <c r="B20" s="144">
        <f>'Entries Feb.''25'!N21-'Entries Feb.''25'!N20</f>
        <v>23.200000000000045</v>
      </c>
      <c r="C20" s="116" t="e">
        <f>IF(B20/'PROD.FIG. '!H18&lt;1,0,B20/'PROD.FIG. '!H18)</f>
        <v>#DIV/0!</v>
      </c>
      <c r="E20" s="219">
        <f>'Entries Feb.''25'!L21-'Entries Feb.''25'!L20</f>
        <v>0</v>
      </c>
      <c r="F20" s="197">
        <f t="shared" si="14"/>
        <v>23.200000000000045</v>
      </c>
      <c r="I20">
        <f>IF((('Entries Feb.''25'!AL20-'Entries Feb.''25'!AL21)/10)*5455&lt;0,"0",(('Entries Feb.''25'!AL20-'Entries Feb.''25'!AL21)/10)*5455)</f>
        <v>0</v>
      </c>
      <c r="J20" s="225">
        <f>IF((('Entries Feb.''25'!AM20-'Entries Feb.''25'!AM21)/10)*5455&lt;0,"0",(('Entries Feb.''25'!AM20-'Entries Feb.''25'!AM21)/10)*5455)</f>
        <v>0</v>
      </c>
      <c r="K20">
        <f>IF(('Entries Feb.''25'!AN20-'Entries Feb.''25'!AN21)/2.2&lt;0,"0",('Entries Feb.''25'!AN20-'Entries Feb.''25'!AN21)/2.2)</f>
        <v>0</v>
      </c>
      <c r="L20" s="219">
        <f>IF(('Entries Feb.''25'!AO20-'Entries Feb.''25'!AO21)&lt;0,"0",('Entries Feb.''25'!AO20-'Entries Feb.''25'!AO21))</f>
        <v>0</v>
      </c>
      <c r="S20">
        <f t="shared" si="15"/>
        <v>0</v>
      </c>
      <c r="V20">
        <f t="shared" si="0"/>
        <v>0</v>
      </c>
      <c r="Y20">
        <f t="shared" si="16"/>
        <v>0</v>
      </c>
      <c r="AB20">
        <f t="shared" si="1"/>
        <v>0</v>
      </c>
      <c r="AE20">
        <f t="shared" si="17"/>
        <v>0</v>
      </c>
      <c r="AH20">
        <f t="shared" si="2"/>
        <v>0</v>
      </c>
      <c r="AK20">
        <f t="shared" si="18"/>
        <v>0</v>
      </c>
      <c r="AN20">
        <f t="shared" si="3"/>
        <v>0</v>
      </c>
      <c r="AQ20">
        <f t="shared" si="19"/>
        <v>0</v>
      </c>
      <c r="AT20">
        <f t="shared" si="4"/>
        <v>0</v>
      </c>
      <c r="AW20">
        <f t="shared" si="20"/>
        <v>0</v>
      </c>
      <c r="AZ20">
        <f t="shared" si="5"/>
        <v>0</v>
      </c>
      <c r="BC20">
        <f t="shared" si="21"/>
        <v>0</v>
      </c>
      <c r="BF20">
        <f t="shared" si="6"/>
        <v>0</v>
      </c>
      <c r="BI20">
        <f t="shared" si="22"/>
        <v>0</v>
      </c>
      <c r="BL20">
        <f t="shared" si="7"/>
        <v>0</v>
      </c>
      <c r="BO20">
        <f t="shared" si="23"/>
        <v>0</v>
      </c>
      <c r="BR20">
        <f t="shared" si="8"/>
        <v>0</v>
      </c>
      <c r="BU20">
        <f t="shared" si="24"/>
        <v>0</v>
      </c>
      <c r="BX20">
        <f t="shared" si="9"/>
        <v>0</v>
      </c>
      <c r="CA20">
        <f t="shared" si="25"/>
        <v>0</v>
      </c>
      <c r="CD20">
        <f t="shared" si="10"/>
        <v>0</v>
      </c>
      <c r="CG20">
        <f t="shared" si="26"/>
        <v>0</v>
      </c>
      <c r="CJ20">
        <f t="shared" si="11"/>
        <v>0</v>
      </c>
      <c r="CM20">
        <f t="shared" si="27"/>
        <v>0</v>
      </c>
      <c r="CP20">
        <f t="shared" si="12"/>
        <v>0</v>
      </c>
      <c r="CS20">
        <f t="shared" si="28"/>
        <v>0</v>
      </c>
      <c r="CV20">
        <f t="shared" si="13"/>
        <v>0</v>
      </c>
      <c r="CY20">
        <f t="shared" si="29"/>
        <v>0</v>
      </c>
    </row>
    <row r="21" spans="1:103" ht="15" x14ac:dyDescent="0.2">
      <c r="A21" s="115">
        <v>15</v>
      </c>
      <c r="B21" s="144">
        <f>'Entries Feb.''25'!N22-'Entries Feb.''25'!N21</f>
        <v>0</v>
      </c>
      <c r="C21" s="116" t="e">
        <f>IF(B21/'PROD.FIG. '!H19&lt;1,0,B21/'PROD.FIG. '!H19)</f>
        <v>#DIV/0!</v>
      </c>
      <c r="E21" s="219">
        <f>'Entries Feb.''25'!L22-'Entries Feb.''25'!L21</f>
        <v>0</v>
      </c>
      <c r="F21" s="197">
        <f t="shared" si="14"/>
        <v>0</v>
      </c>
      <c r="I21" s="225">
        <f>IF((('Entries Feb.''25'!AL21-'Entries Feb.''25'!AL22)/10)*5455&lt;0,"0",(('Entries Feb.''25'!AL21-'Entries Feb.''25'!AL22)/10)*5455)</f>
        <v>0</v>
      </c>
      <c r="J21" s="225">
        <f>IF((('Entries Feb.''25'!AM21-'Entries Feb.''25'!AM22)/10)*5455&lt;0,"0",(('Entries Feb.''25'!AM21-'Entries Feb.''25'!AM22)/10)*5455)</f>
        <v>0</v>
      </c>
      <c r="K21">
        <f>IF(('Entries Feb.''25'!AN21-'Entries Feb.''25'!AN22)/2.2&lt;0,"0",('Entries Feb.''25'!AN21-'Entries Feb.''25'!AN22)/2.2)</f>
        <v>0</v>
      </c>
      <c r="L21" s="226">
        <f>IF(('Entries Feb.''25'!AO21-'Entries Feb.''25'!AO22)&lt;0,"0",('Entries Feb.''25'!AO21-'Entries Feb.''25'!AO22))</f>
        <v>0</v>
      </c>
      <c r="S21">
        <f t="shared" si="15"/>
        <v>0</v>
      </c>
      <c r="V21">
        <f t="shared" si="0"/>
        <v>0</v>
      </c>
      <c r="Y21">
        <f t="shared" si="16"/>
        <v>0</v>
      </c>
      <c r="AB21">
        <f t="shared" si="1"/>
        <v>0</v>
      </c>
      <c r="AE21">
        <f t="shared" si="17"/>
        <v>0</v>
      </c>
      <c r="AH21">
        <f t="shared" si="2"/>
        <v>0</v>
      </c>
      <c r="AK21">
        <f t="shared" si="18"/>
        <v>0</v>
      </c>
      <c r="AN21">
        <f t="shared" si="3"/>
        <v>0</v>
      </c>
      <c r="AQ21">
        <f t="shared" si="19"/>
        <v>0</v>
      </c>
      <c r="AT21">
        <f t="shared" si="4"/>
        <v>0</v>
      </c>
      <c r="AW21">
        <f t="shared" si="20"/>
        <v>0</v>
      </c>
      <c r="AZ21">
        <f t="shared" si="5"/>
        <v>0</v>
      </c>
      <c r="BC21">
        <f t="shared" si="21"/>
        <v>0</v>
      </c>
      <c r="BF21">
        <f t="shared" si="6"/>
        <v>0</v>
      </c>
      <c r="BI21">
        <f t="shared" si="22"/>
        <v>0</v>
      </c>
      <c r="BL21">
        <f t="shared" si="7"/>
        <v>0</v>
      </c>
      <c r="BO21">
        <f t="shared" si="23"/>
        <v>0</v>
      </c>
      <c r="BR21">
        <f t="shared" si="8"/>
        <v>0</v>
      </c>
      <c r="BU21">
        <f t="shared" si="24"/>
        <v>0</v>
      </c>
      <c r="BX21">
        <f t="shared" si="9"/>
        <v>0</v>
      </c>
      <c r="CA21">
        <f t="shared" si="25"/>
        <v>0</v>
      </c>
      <c r="CD21">
        <f t="shared" si="10"/>
        <v>0</v>
      </c>
      <c r="CG21">
        <f t="shared" si="26"/>
        <v>0</v>
      </c>
      <c r="CJ21">
        <f t="shared" si="11"/>
        <v>0</v>
      </c>
      <c r="CM21">
        <f t="shared" si="27"/>
        <v>0</v>
      </c>
      <c r="CP21">
        <f t="shared" si="12"/>
        <v>0</v>
      </c>
      <c r="CS21">
        <f t="shared" si="28"/>
        <v>0</v>
      </c>
      <c r="CV21">
        <f t="shared" si="13"/>
        <v>0</v>
      </c>
      <c r="CY21">
        <f t="shared" si="29"/>
        <v>0</v>
      </c>
    </row>
    <row r="22" spans="1:103" ht="15" x14ac:dyDescent="0.2">
      <c r="A22" s="115">
        <v>16</v>
      </c>
      <c r="B22" s="144">
        <f>'Entries Feb.''25'!N23-'Entries Feb.''25'!N22</f>
        <v>0</v>
      </c>
      <c r="C22" s="116" t="e">
        <f>IF(B22/'PROD.FIG. '!H20&lt;1,0,B22/'PROD.FIG. '!H20)</f>
        <v>#DIV/0!</v>
      </c>
      <c r="E22" s="219">
        <f>'Entries Feb.''25'!L23-'Entries Feb.''25'!L22</f>
        <v>0</v>
      </c>
      <c r="F22" s="197">
        <f t="shared" si="14"/>
        <v>0</v>
      </c>
      <c r="I22">
        <f>IF((('Entries Feb.''25'!AL22-'Entries Feb.''25'!AL23)/10)*5455&lt;0,"0",(('Entries Feb.''25'!AL22-'Entries Feb.''25'!AL23)/10)*5455)</f>
        <v>0</v>
      </c>
      <c r="J22">
        <f>IF((('Entries Feb.''25'!AM22-'Entries Feb.''25'!AM23)/10)*5455&lt;0,"0",(('Entries Feb.''25'!AM22-'Entries Feb.''25'!AM23)/10)*5455)</f>
        <v>0</v>
      </c>
      <c r="K22">
        <f>IF(('Entries Feb.''25'!AN22-'Entries Feb.''25'!AN23)/2.2&lt;0,"0",('Entries Feb.''25'!AN22-'Entries Feb.''25'!AN23)/2.2)</f>
        <v>0</v>
      </c>
      <c r="L22" s="226">
        <f>IF(('Entries Feb.''25'!AO22-'Entries Feb.''25'!AO23)&lt;0,"0",('Entries Feb.''25'!AO22-'Entries Feb.''25'!AO23))</f>
        <v>0</v>
      </c>
      <c r="S22">
        <f t="shared" si="15"/>
        <v>0</v>
      </c>
      <c r="V22">
        <f t="shared" si="0"/>
        <v>0</v>
      </c>
      <c r="Y22">
        <f t="shared" si="16"/>
        <v>0</v>
      </c>
      <c r="AB22">
        <f t="shared" si="1"/>
        <v>0</v>
      </c>
      <c r="AE22">
        <f t="shared" si="17"/>
        <v>0</v>
      </c>
      <c r="AH22">
        <f t="shared" si="2"/>
        <v>0</v>
      </c>
      <c r="AK22">
        <f t="shared" si="18"/>
        <v>0</v>
      </c>
      <c r="AN22">
        <f t="shared" si="3"/>
        <v>0</v>
      </c>
      <c r="AQ22">
        <f t="shared" si="19"/>
        <v>0</v>
      </c>
      <c r="AT22">
        <f t="shared" si="4"/>
        <v>0</v>
      </c>
      <c r="AW22">
        <f t="shared" si="20"/>
        <v>0</v>
      </c>
      <c r="AZ22">
        <f t="shared" si="5"/>
        <v>0</v>
      </c>
      <c r="BC22">
        <f t="shared" si="21"/>
        <v>0</v>
      </c>
      <c r="BF22">
        <f t="shared" si="6"/>
        <v>0</v>
      </c>
      <c r="BI22">
        <f t="shared" si="22"/>
        <v>0</v>
      </c>
      <c r="BL22">
        <f t="shared" si="7"/>
        <v>0</v>
      </c>
      <c r="BO22">
        <f t="shared" si="23"/>
        <v>0</v>
      </c>
      <c r="BR22">
        <f t="shared" si="8"/>
        <v>0</v>
      </c>
      <c r="BU22">
        <f t="shared" si="24"/>
        <v>0</v>
      </c>
      <c r="BX22">
        <f t="shared" si="9"/>
        <v>0</v>
      </c>
      <c r="CA22">
        <f t="shared" si="25"/>
        <v>0</v>
      </c>
      <c r="CD22">
        <f t="shared" si="10"/>
        <v>0</v>
      </c>
      <c r="CG22">
        <f t="shared" si="26"/>
        <v>0</v>
      </c>
      <c r="CJ22">
        <f t="shared" si="11"/>
        <v>0</v>
      </c>
      <c r="CM22">
        <f t="shared" si="27"/>
        <v>0</v>
      </c>
      <c r="CP22">
        <f t="shared" si="12"/>
        <v>0</v>
      </c>
      <c r="CS22">
        <f t="shared" si="28"/>
        <v>0</v>
      </c>
      <c r="CV22">
        <f t="shared" si="13"/>
        <v>0</v>
      </c>
      <c r="CY22">
        <f t="shared" si="29"/>
        <v>0</v>
      </c>
    </row>
    <row r="23" spans="1:103" ht="15" x14ac:dyDescent="0.2">
      <c r="A23" s="115">
        <v>17</v>
      </c>
      <c r="B23" s="144">
        <f>'Entries Feb.''25'!N24-'Entries Feb.''25'!N23</f>
        <v>21.089999999999918</v>
      </c>
      <c r="C23" s="116" t="e">
        <f>IF(B23/'PROD.FIG. '!H21&lt;1,0,B23/'PROD.FIG. '!H21)</f>
        <v>#DIV/0!</v>
      </c>
      <c r="E23" s="219">
        <f>'Entries Feb.''25'!L24-'Entries Feb.''25'!L23</f>
        <v>0</v>
      </c>
      <c r="F23" s="197">
        <f t="shared" si="14"/>
        <v>21.089999999999918</v>
      </c>
      <c r="I23">
        <f>IF((('Entries Feb.''25'!AL23-'Entries Feb.''25'!AL24)/10)*5455&lt;0,"0",(('Entries Feb.''25'!AL23-'Entries Feb.''25'!AL24)/10)*5455)</f>
        <v>0</v>
      </c>
      <c r="J23">
        <f>IF((('Entries Feb.''25'!AM23-'Entries Feb.''25'!AM24)/10)*5455&lt;0,"0",(('Entries Feb.''25'!AM23-'Entries Feb.''25'!AM24)/10)*5455)</f>
        <v>0</v>
      </c>
      <c r="K23">
        <f>IF(('Entries Feb.''25'!AN23-'Entries Feb.''25'!AN24)/2.2&lt;0,"0",('Entries Feb.''25'!AN23-'Entries Feb.''25'!AN24)/2.2)</f>
        <v>0</v>
      </c>
      <c r="L23" s="226">
        <f>IF(('Entries Feb.''25'!AO23-'Entries Feb.''25'!AO24)&lt;0,"0",('Entries Feb.''25'!AO23-'Entries Feb.''25'!AO24))</f>
        <v>0</v>
      </c>
      <c r="S23">
        <f t="shared" si="15"/>
        <v>0</v>
      </c>
      <c r="V23">
        <f t="shared" si="0"/>
        <v>0</v>
      </c>
      <c r="Y23">
        <f t="shared" si="16"/>
        <v>0</v>
      </c>
      <c r="AB23">
        <f t="shared" si="1"/>
        <v>0</v>
      </c>
      <c r="AE23">
        <f t="shared" si="17"/>
        <v>0</v>
      </c>
      <c r="AH23">
        <f t="shared" si="2"/>
        <v>0</v>
      </c>
      <c r="AK23">
        <f t="shared" si="18"/>
        <v>0</v>
      </c>
      <c r="AN23">
        <f t="shared" si="3"/>
        <v>0</v>
      </c>
      <c r="AQ23">
        <f t="shared" si="19"/>
        <v>0</v>
      </c>
      <c r="AT23">
        <f t="shared" si="4"/>
        <v>0</v>
      </c>
      <c r="AW23">
        <f t="shared" si="20"/>
        <v>0</v>
      </c>
      <c r="AZ23">
        <f t="shared" si="5"/>
        <v>0</v>
      </c>
      <c r="BC23">
        <f t="shared" si="21"/>
        <v>0</v>
      </c>
      <c r="BF23">
        <f t="shared" si="6"/>
        <v>0</v>
      </c>
      <c r="BI23">
        <f t="shared" si="22"/>
        <v>0</v>
      </c>
      <c r="BL23">
        <f t="shared" si="7"/>
        <v>0</v>
      </c>
      <c r="BO23">
        <f t="shared" si="23"/>
        <v>0</v>
      </c>
      <c r="BR23">
        <f t="shared" si="8"/>
        <v>0</v>
      </c>
      <c r="BU23">
        <f t="shared" si="24"/>
        <v>0</v>
      </c>
      <c r="BX23">
        <f t="shared" si="9"/>
        <v>0</v>
      </c>
      <c r="CA23">
        <f t="shared" si="25"/>
        <v>0</v>
      </c>
      <c r="CD23">
        <f t="shared" si="10"/>
        <v>0</v>
      </c>
      <c r="CG23">
        <f t="shared" si="26"/>
        <v>0</v>
      </c>
      <c r="CJ23">
        <f t="shared" si="11"/>
        <v>0</v>
      </c>
      <c r="CM23">
        <f t="shared" si="27"/>
        <v>0</v>
      </c>
      <c r="CP23">
        <f t="shared" si="12"/>
        <v>0</v>
      </c>
      <c r="CS23">
        <f t="shared" si="28"/>
        <v>0</v>
      </c>
      <c r="CV23">
        <f t="shared" si="13"/>
        <v>0</v>
      </c>
      <c r="CY23">
        <f t="shared" si="29"/>
        <v>0</v>
      </c>
    </row>
    <row r="24" spans="1:103" ht="15" x14ac:dyDescent="0.2">
      <c r="A24" s="115">
        <v>18</v>
      </c>
      <c r="B24" s="144">
        <f>'Entries Feb.''25'!N25-'Entries Feb.''25'!N24</f>
        <v>20.290000000000077</v>
      </c>
      <c r="C24" s="116" t="e">
        <f>IF(B24/'PROD.FIG. '!H22&lt;1,0,B24/'PROD.FIG. '!H22)</f>
        <v>#DIV/0!</v>
      </c>
      <c r="E24" s="219">
        <f>'Entries Feb.''25'!L25-'Entries Feb.''25'!L24</f>
        <v>0</v>
      </c>
      <c r="F24" s="197">
        <f t="shared" si="14"/>
        <v>20.290000000000077</v>
      </c>
      <c r="I24">
        <f>IF((('Entries Feb.''25'!AL24-'Entries Feb.''25'!AL25)/10)*5455&lt;0,"0",(('Entries Feb.''25'!AL24-'Entries Feb.''25'!AL25)/10)*5455)</f>
        <v>0</v>
      </c>
      <c r="J24">
        <f>IF((('Entries Feb.''25'!AM24-'Entries Feb.''25'!AM25)/10)*5455&lt;0,"0",(('Entries Feb.''25'!AM24-'Entries Feb.''25'!AM25)/10)*5455)</f>
        <v>0</v>
      </c>
      <c r="K24">
        <f>IF(('Entries Feb.''25'!AN24-'Entries Feb.''25'!AN25)/2.2&lt;0,"0",('Entries Feb.''25'!AN24-'Entries Feb.''25'!AN25)/2.2)</f>
        <v>0</v>
      </c>
      <c r="L24" s="226">
        <f>IF(('Entries Feb.''25'!AO24-'Entries Feb.''25'!AO25)&lt;0,"0",('Entries Feb.''25'!AO24-'Entries Feb.''25'!AO25))</f>
        <v>0</v>
      </c>
      <c r="S24">
        <f t="shared" si="15"/>
        <v>0</v>
      </c>
      <c r="V24">
        <f t="shared" si="0"/>
        <v>0</v>
      </c>
      <c r="Y24">
        <f t="shared" si="16"/>
        <v>0</v>
      </c>
      <c r="AB24">
        <f t="shared" si="1"/>
        <v>0</v>
      </c>
      <c r="AE24">
        <f t="shared" si="17"/>
        <v>0</v>
      </c>
      <c r="AH24">
        <f t="shared" si="2"/>
        <v>0</v>
      </c>
      <c r="AK24">
        <f t="shared" si="18"/>
        <v>0</v>
      </c>
      <c r="AN24">
        <f t="shared" si="3"/>
        <v>0</v>
      </c>
      <c r="AQ24">
        <f t="shared" si="19"/>
        <v>0</v>
      </c>
      <c r="AT24">
        <f t="shared" si="4"/>
        <v>0</v>
      </c>
      <c r="AW24">
        <f t="shared" si="20"/>
        <v>0</v>
      </c>
      <c r="AZ24">
        <f t="shared" si="5"/>
        <v>0</v>
      </c>
      <c r="BC24">
        <f t="shared" si="21"/>
        <v>0</v>
      </c>
      <c r="BF24">
        <f t="shared" si="6"/>
        <v>0</v>
      </c>
      <c r="BI24">
        <f t="shared" si="22"/>
        <v>0</v>
      </c>
      <c r="BL24">
        <f t="shared" si="7"/>
        <v>0</v>
      </c>
      <c r="BO24">
        <f t="shared" si="23"/>
        <v>0</v>
      </c>
      <c r="BR24">
        <f t="shared" si="8"/>
        <v>0</v>
      </c>
      <c r="BU24">
        <f t="shared" si="24"/>
        <v>0</v>
      </c>
      <c r="BX24">
        <f t="shared" si="9"/>
        <v>0</v>
      </c>
      <c r="CA24">
        <f t="shared" si="25"/>
        <v>0</v>
      </c>
      <c r="CD24">
        <f t="shared" si="10"/>
        <v>0</v>
      </c>
      <c r="CG24">
        <f t="shared" si="26"/>
        <v>0</v>
      </c>
      <c r="CJ24">
        <f t="shared" si="11"/>
        <v>0</v>
      </c>
      <c r="CM24">
        <f t="shared" si="27"/>
        <v>0</v>
      </c>
      <c r="CP24">
        <f t="shared" si="12"/>
        <v>0</v>
      </c>
      <c r="CS24">
        <f t="shared" si="28"/>
        <v>0</v>
      </c>
      <c r="CV24">
        <f t="shared" si="13"/>
        <v>0</v>
      </c>
      <c r="CY24">
        <f t="shared" si="29"/>
        <v>0</v>
      </c>
    </row>
    <row r="25" spans="1:103" ht="15" x14ac:dyDescent="0.2">
      <c r="A25" s="115">
        <v>19</v>
      </c>
      <c r="B25" s="144">
        <f>'Entries Feb.''25'!N26-'Entries Feb.''25'!N25</f>
        <v>24.339999999999918</v>
      </c>
      <c r="C25" s="116" t="e">
        <f>IF(B25/'PROD.FIG. '!H23&lt;1,0,B25/'PROD.FIG. '!H23)</f>
        <v>#DIV/0!</v>
      </c>
      <c r="E25" s="219">
        <f>'Entries Feb.''25'!L26-'Entries Feb.''25'!L25</f>
        <v>0</v>
      </c>
      <c r="F25" s="197">
        <f t="shared" si="14"/>
        <v>24.339999999999918</v>
      </c>
      <c r="I25">
        <f>IF((('Entries Feb.''25'!AL25-'Entries Feb.''25'!AL26)/10)*5455&lt;0,"0",(('Entries Feb.''25'!AL25-'Entries Feb.''25'!AL26)/10)*5455)</f>
        <v>0</v>
      </c>
      <c r="J25">
        <f>IF((('Entries Feb.''25'!AM25-'Entries Feb.''25'!AM26)/10)*5455&lt;0,"0",(('Entries Feb.''25'!AM25-'Entries Feb.''25'!AM26)/10)*5455)</f>
        <v>0</v>
      </c>
      <c r="K25">
        <f>IF(('Entries Feb.''25'!AN25-'Entries Feb.''25'!AN26)/2.2&lt;0,"0",('Entries Feb.''25'!AN25-'Entries Feb.''25'!AN26)/2.2)</f>
        <v>0</v>
      </c>
      <c r="L25" s="219">
        <f>IF(('Entries Feb.''25'!AO25-'Entries Feb.''25'!AO26)&lt;0,"0",('Entries Feb.''25'!AO25-'Entries Feb.''25'!AO26))</f>
        <v>0</v>
      </c>
      <c r="S25">
        <f t="shared" si="15"/>
        <v>0</v>
      </c>
      <c r="V25">
        <f t="shared" si="0"/>
        <v>0</v>
      </c>
      <c r="Y25">
        <f t="shared" si="16"/>
        <v>0</v>
      </c>
      <c r="AB25">
        <f t="shared" si="1"/>
        <v>0</v>
      </c>
      <c r="AE25">
        <f t="shared" si="17"/>
        <v>0</v>
      </c>
      <c r="AH25">
        <f t="shared" si="2"/>
        <v>0</v>
      </c>
      <c r="AK25">
        <f t="shared" si="18"/>
        <v>0</v>
      </c>
      <c r="AN25">
        <f t="shared" si="3"/>
        <v>0</v>
      </c>
      <c r="AQ25">
        <f t="shared" si="19"/>
        <v>0</v>
      </c>
      <c r="AT25">
        <f t="shared" si="4"/>
        <v>0</v>
      </c>
      <c r="AW25">
        <f t="shared" si="20"/>
        <v>0</v>
      </c>
      <c r="AZ25">
        <f t="shared" si="5"/>
        <v>0</v>
      </c>
      <c r="BC25">
        <f t="shared" si="21"/>
        <v>0</v>
      </c>
      <c r="BF25">
        <f t="shared" si="6"/>
        <v>0</v>
      </c>
      <c r="BI25">
        <f t="shared" si="22"/>
        <v>0</v>
      </c>
      <c r="BL25">
        <f t="shared" si="7"/>
        <v>0</v>
      </c>
      <c r="BO25">
        <f t="shared" si="23"/>
        <v>0</v>
      </c>
      <c r="BR25">
        <f t="shared" si="8"/>
        <v>0</v>
      </c>
      <c r="BU25">
        <f t="shared" si="24"/>
        <v>0</v>
      </c>
      <c r="BX25">
        <f t="shared" si="9"/>
        <v>0</v>
      </c>
      <c r="CA25">
        <f t="shared" si="25"/>
        <v>0</v>
      </c>
      <c r="CD25">
        <f t="shared" si="10"/>
        <v>0</v>
      </c>
      <c r="CG25">
        <f t="shared" si="26"/>
        <v>0</v>
      </c>
      <c r="CJ25">
        <f t="shared" si="11"/>
        <v>0</v>
      </c>
      <c r="CM25">
        <f t="shared" si="27"/>
        <v>0</v>
      </c>
      <c r="CP25">
        <f t="shared" si="12"/>
        <v>0</v>
      </c>
      <c r="CS25">
        <f t="shared" si="28"/>
        <v>0</v>
      </c>
      <c r="CV25">
        <f t="shared" si="13"/>
        <v>0</v>
      </c>
      <c r="CY25">
        <f t="shared" si="29"/>
        <v>0</v>
      </c>
    </row>
    <row r="26" spans="1:103" ht="15" x14ac:dyDescent="0.2">
      <c r="A26" s="115">
        <v>20</v>
      </c>
      <c r="B26" s="144">
        <f>'Entries Feb.''25'!N27-'Entries Feb.''25'!N26</f>
        <v>18.440000000000055</v>
      </c>
      <c r="C26" s="116" t="e">
        <f>IF(B26/'PROD.FIG. '!H24&lt;1,0,B26/'PROD.FIG. '!H24)</f>
        <v>#DIV/0!</v>
      </c>
      <c r="E26" s="219">
        <f>'Entries Feb.''25'!L27-'Entries Feb.''25'!L26</f>
        <v>0</v>
      </c>
      <c r="F26" s="197">
        <f t="shared" si="14"/>
        <v>18.440000000000055</v>
      </c>
      <c r="I26">
        <f>IF((('Entries Feb.''25'!AL26-'Entries Feb.''25'!AL27)/10)*5455&lt;0,"0",(('Entries Feb.''25'!AL26-'Entries Feb.''25'!AL27)/10)*5455)</f>
        <v>0</v>
      </c>
      <c r="J26">
        <f>IF((('Entries Feb.''25'!AM26-'Entries Feb.''25'!AM27)/10)*5455&lt;0,"0",(('Entries Feb.''25'!AM26-'Entries Feb.''25'!AM27)/10)*5455)</f>
        <v>0</v>
      </c>
      <c r="K26">
        <f>IF(('Entries Feb.''25'!AN26-'Entries Feb.''25'!AN27)/2.2&lt;0,"0",('Entries Feb.''25'!AN26-'Entries Feb.''25'!AN27)/2.2)</f>
        <v>0</v>
      </c>
      <c r="L26" s="219">
        <f>IF(('Entries Feb.''25'!AO26-'Entries Feb.''25'!AO27)&lt;0,"0",('Entries Feb.''25'!AO26-'Entries Feb.''25'!AO27))</f>
        <v>0</v>
      </c>
      <c r="S26">
        <f t="shared" si="15"/>
        <v>0</v>
      </c>
      <c r="V26">
        <f t="shared" si="0"/>
        <v>0</v>
      </c>
      <c r="Y26">
        <f t="shared" si="16"/>
        <v>0</v>
      </c>
      <c r="AB26">
        <f t="shared" si="1"/>
        <v>0</v>
      </c>
      <c r="AE26">
        <f t="shared" si="17"/>
        <v>0</v>
      </c>
      <c r="AH26">
        <f t="shared" si="2"/>
        <v>0</v>
      </c>
      <c r="AK26">
        <f t="shared" si="18"/>
        <v>0</v>
      </c>
      <c r="AN26">
        <f t="shared" si="3"/>
        <v>0</v>
      </c>
      <c r="AQ26">
        <f t="shared" si="19"/>
        <v>0</v>
      </c>
      <c r="AT26">
        <f t="shared" si="4"/>
        <v>0</v>
      </c>
      <c r="AW26">
        <f t="shared" si="20"/>
        <v>0</v>
      </c>
      <c r="AZ26">
        <f t="shared" si="5"/>
        <v>0</v>
      </c>
      <c r="BC26">
        <f t="shared" si="21"/>
        <v>0</v>
      </c>
      <c r="BF26">
        <f t="shared" si="6"/>
        <v>0</v>
      </c>
      <c r="BI26">
        <f t="shared" si="22"/>
        <v>0</v>
      </c>
      <c r="BL26">
        <f t="shared" si="7"/>
        <v>0</v>
      </c>
      <c r="BO26">
        <f t="shared" si="23"/>
        <v>0</v>
      </c>
      <c r="BR26">
        <f t="shared" si="8"/>
        <v>0</v>
      </c>
      <c r="BU26">
        <f t="shared" si="24"/>
        <v>0</v>
      </c>
      <c r="BX26">
        <f t="shared" si="9"/>
        <v>0</v>
      </c>
      <c r="CA26">
        <f t="shared" si="25"/>
        <v>0</v>
      </c>
      <c r="CD26">
        <f t="shared" si="10"/>
        <v>0</v>
      </c>
      <c r="CG26">
        <f t="shared" si="26"/>
        <v>0</v>
      </c>
      <c r="CJ26">
        <f t="shared" si="11"/>
        <v>0</v>
      </c>
      <c r="CM26">
        <f t="shared" si="27"/>
        <v>0</v>
      </c>
      <c r="CP26">
        <f t="shared" si="12"/>
        <v>0</v>
      </c>
      <c r="CS26">
        <f t="shared" si="28"/>
        <v>0</v>
      </c>
      <c r="CV26">
        <f t="shared" si="13"/>
        <v>0</v>
      </c>
      <c r="CY26">
        <f t="shared" si="29"/>
        <v>0</v>
      </c>
    </row>
    <row r="27" spans="1:103" ht="15" x14ac:dyDescent="0.2">
      <c r="A27" s="115">
        <v>21</v>
      </c>
      <c r="B27" s="144">
        <f>'Entries Feb.''25'!N28-'Entries Feb.''25'!N27</f>
        <v>14.919999999999959</v>
      </c>
      <c r="C27" s="116" t="e">
        <f>IF(B27/'PROD.FIG. '!H25&lt;1,0,B27/'PROD.FIG. '!H25)</f>
        <v>#DIV/0!</v>
      </c>
      <c r="E27" s="219">
        <f>'Entries Feb.''25'!L28-'Entries Feb.''25'!L27</f>
        <v>0</v>
      </c>
      <c r="F27" s="197">
        <f t="shared" si="14"/>
        <v>14.919999999999959</v>
      </c>
      <c r="I27">
        <f>IF((('Entries Feb.''25'!AL27-'Entries Feb.''25'!AL28)/10)*5455&lt;0,"0",(('Entries Feb.''25'!AL27-'Entries Feb.''25'!AL28)/10)*5455)</f>
        <v>0</v>
      </c>
      <c r="J27">
        <f>IF((('Entries Feb.''25'!AM27-'Entries Feb.''25'!AM28)/10)*5455&lt;0,"0",(('Entries Feb.''25'!AM27-'Entries Feb.''25'!AM28)/10)*5455)</f>
        <v>0</v>
      </c>
      <c r="K27">
        <f>IF(('Entries Feb.''25'!AN27-'Entries Feb.''25'!AN28)/2.2&lt;0,"0",('Entries Feb.''25'!AN27-'Entries Feb.''25'!AN28)/2.2)</f>
        <v>0</v>
      </c>
      <c r="L27" s="219">
        <f>IF(('Entries Feb.''25'!AO27-'Entries Feb.''25'!AO28)&lt;0,"0",('Entries Feb.''25'!AO27-'Entries Feb.''25'!AO28))</f>
        <v>0</v>
      </c>
      <c r="S27">
        <f t="shared" si="15"/>
        <v>0</v>
      </c>
      <c r="V27">
        <f t="shared" si="0"/>
        <v>0</v>
      </c>
      <c r="Y27">
        <f t="shared" si="16"/>
        <v>0</v>
      </c>
      <c r="AB27">
        <f t="shared" si="1"/>
        <v>0</v>
      </c>
      <c r="AE27">
        <f t="shared" si="17"/>
        <v>0</v>
      </c>
      <c r="AH27">
        <f t="shared" si="2"/>
        <v>0</v>
      </c>
      <c r="AK27">
        <f t="shared" si="18"/>
        <v>0</v>
      </c>
      <c r="AN27">
        <f t="shared" si="3"/>
        <v>0</v>
      </c>
      <c r="AQ27">
        <f t="shared" si="19"/>
        <v>0</v>
      </c>
      <c r="AT27">
        <f t="shared" si="4"/>
        <v>0</v>
      </c>
      <c r="AW27">
        <f t="shared" si="20"/>
        <v>0</v>
      </c>
      <c r="AZ27">
        <f t="shared" si="5"/>
        <v>0</v>
      </c>
      <c r="BC27">
        <f t="shared" si="21"/>
        <v>0</v>
      </c>
      <c r="BF27">
        <f t="shared" si="6"/>
        <v>0</v>
      </c>
      <c r="BI27">
        <f t="shared" si="22"/>
        <v>0</v>
      </c>
      <c r="BL27">
        <f t="shared" si="7"/>
        <v>0</v>
      </c>
      <c r="BO27">
        <f t="shared" si="23"/>
        <v>0</v>
      </c>
      <c r="BR27">
        <f t="shared" si="8"/>
        <v>0</v>
      </c>
      <c r="BU27">
        <f t="shared" si="24"/>
        <v>0</v>
      </c>
      <c r="BX27">
        <f t="shared" si="9"/>
        <v>0</v>
      </c>
      <c r="CA27">
        <f t="shared" si="25"/>
        <v>0</v>
      </c>
      <c r="CD27">
        <f t="shared" si="10"/>
        <v>0</v>
      </c>
      <c r="CG27">
        <f t="shared" si="26"/>
        <v>0</v>
      </c>
      <c r="CJ27">
        <f t="shared" si="11"/>
        <v>0</v>
      </c>
      <c r="CM27">
        <f t="shared" si="27"/>
        <v>0</v>
      </c>
      <c r="CP27">
        <f t="shared" si="12"/>
        <v>0</v>
      </c>
      <c r="CS27">
        <f t="shared" si="28"/>
        <v>0</v>
      </c>
      <c r="CV27">
        <f t="shared" si="13"/>
        <v>0</v>
      </c>
      <c r="CY27">
        <f t="shared" si="29"/>
        <v>0</v>
      </c>
    </row>
    <row r="28" spans="1:103" ht="15" x14ac:dyDescent="0.2">
      <c r="A28" s="115">
        <v>22</v>
      </c>
      <c r="B28" s="144">
        <f>'Entries Feb.''25'!N29-'Entries Feb.''25'!N28</f>
        <v>0</v>
      </c>
      <c r="C28" s="116" t="e">
        <f>IF(B28/'PROD.FIG. '!H26&lt;1,0,B28/'PROD.FIG. '!H26)</f>
        <v>#DIV/0!</v>
      </c>
      <c r="E28" s="219">
        <f>'Entries Feb.''25'!L29-'Entries Feb.''25'!L28</f>
        <v>0</v>
      </c>
      <c r="F28" s="197">
        <f t="shared" si="14"/>
        <v>0</v>
      </c>
      <c r="I28">
        <f>IF((('Entries Feb.''25'!AL28-'Entries Feb.''25'!AL29)/10)*5455&lt;0,"0",(('Entries Feb.''25'!AL28-'Entries Feb.''25'!AL29)/10)*5455)</f>
        <v>0</v>
      </c>
      <c r="J28">
        <f>IF((('Entries Feb.''25'!AM28-'Entries Feb.''25'!AM29)/10)*5455&lt;0,"0",(('Entries Feb.''25'!AM28-'Entries Feb.''25'!AM29)/10)*5455)</f>
        <v>0</v>
      </c>
      <c r="K28">
        <f>IF(('Entries Feb.''25'!AN28-'Entries Feb.''25'!AN29)/2.2&lt;0,"0",('Entries Feb.''25'!AN28-'Entries Feb.''25'!AN29)/2.2)</f>
        <v>0</v>
      </c>
      <c r="L28" s="219">
        <f>IF(('Entries Feb.''25'!AO28-'Entries Feb.''25'!AO29)&lt;0,"0",('Entries Feb.''25'!AO28-'Entries Feb.''25'!AO29))</f>
        <v>0</v>
      </c>
      <c r="S28">
        <f t="shared" si="15"/>
        <v>0</v>
      </c>
      <c r="V28">
        <f t="shared" si="0"/>
        <v>0</v>
      </c>
      <c r="Y28">
        <f t="shared" si="16"/>
        <v>0</v>
      </c>
      <c r="AB28">
        <f t="shared" si="1"/>
        <v>0</v>
      </c>
      <c r="AE28">
        <f t="shared" si="17"/>
        <v>0</v>
      </c>
      <c r="AH28">
        <f t="shared" si="2"/>
        <v>0</v>
      </c>
      <c r="AK28">
        <f t="shared" si="18"/>
        <v>0</v>
      </c>
      <c r="AN28">
        <f t="shared" si="3"/>
        <v>0</v>
      </c>
      <c r="AQ28">
        <f t="shared" si="19"/>
        <v>0</v>
      </c>
      <c r="AT28">
        <f t="shared" si="4"/>
        <v>0</v>
      </c>
      <c r="AW28">
        <f t="shared" si="20"/>
        <v>0</v>
      </c>
      <c r="AZ28">
        <f t="shared" si="5"/>
        <v>0</v>
      </c>
      <c r="BC28">
        <f t="shared" si="21"/>
        <v>0</v>
      </c>
      <c r="BF28">
        <f t="shared" si="6"/>
        <v>0</v>
      </c>
      <c r="BI28">
        <f t="shared" si="22"/>
        <v>0</v>
      </c>
      <c r="BL28">
        <f t="shared" si="7"/>
        <v>0</v>
      </c>
      <c r="BO28">
        <f t="shared" si="23"/>
        <v>0</v>
      </c>
      <c r="BR28">
        <f t="shared" si="8"/>
        <v>0</v>
      </c>
      <c r="BU28">
        <f t="shared" si="24"/>
        <v>0</v>
      </c>
      <c r="BX28">
        <f t="shared" si="9"/>
        <v>0</v>
      </c>
      <c r="CA28">
        <f t="shared" si="25"/>
        <v>0</v>
      </c>
      <c r="CD28">
        <f t="shared" si="10"/>
        <v>0</v>
      </c>
      <c r="CG28">
        <f t="shared" si="26"/>
        <v>0</v>
      </c>
      <c r="CJ28">
        <f t="shared" si="11"/>
        <v>0</v>
      </c>
      <c r="CM28">
        <f t="shared" si="27"/>
        <v>0</v>
      </c>
      <c r="CP28">
        <f t="shared" si="12"/>
        <v>0</v>
      </c>
      <c r="CS28">
        <f t="shared" si="28"/>
        <v>0</v>
      </c>
      <c r="CV28">
        <f t="shared" si="13"/>
        <v>0</v>
      </c>
      <c r="CY28">
        <f t="shared" si="29"/>
        <v>0</v>
      </c>
    </row>
    <row r="29" spans="1:103" ht="15" x14ac:dyDescent="0.2">
      <c r="A29" s="115">
        <v>23</v>
      </c>
      <c r="B29" s="144">
        <f>'Entries Feb.''25'!N30-'Entries Feb.''25'!N29</f>
        <v>0.20000000000004547</v>
      </c>
      <c r="C29" s="116" t="e">
        <f>IF(B29/'PROD.FIG. '!H27&lt;1,0,B29/'PROD.FIG. '!H27)</f>
        <v>#DIV/0!</v>
      </c>
      <c r="E29" s="219">
        <f>'Entries Feb.''25'!L30-'Entries Feb.''25'!L29</f>
        <v>0</v>
      </c>
      <c r="F29" s="197">
        <f>+$B29</f>
        <v>0.20000000000004547</v>
      </c>
      <c r="I29">
        <f>IF((('Entries Feb.''25'!AL29-'Entries Feb.''25'!AL30)/10)*5455&lt;0,"0",(('Entries Feb.''25'!AL29-'Entries Feb.''25'!AL30)/10)*5455)</f>
        <v>0</v>
      </c>
      <c r="J29">
        <f>IF((('Entries Feb.''25'!AM29-'Entries Feb.''25'!AM30)/10)*5455&lt;0,"0",(('Entries Feb.''25'!AM29-'Entries Feb.''25'!AM30)/10)*5455)</f>
        <v>0</v>
      </c>
      <c r="K29">
        <f>IF(('Entries Feb.''25'!AN29-'Entries Feb.''25'!AN30)/2.2&lt;0,"0",('Entries Feb.''25'!AN29-'Entries Feb.''25'!AN30)/2.2)</f>
        <v>0</v>
      </c>
      <c r="L29" s="219">
        <f>IF(('Entries Feb.''25'!AO29-'Entries Feb.''25'!AO30)&lt;0,"0",('Entries Feb.''25'!AO29-'Entries Feb.''25'!AO30))</f>
        <v>0</v>
      </c>
      <c r="S29">
        <f t="shared" si="15"/>
        <v>0</v>
      </c>
      <c r="V29">
        <f t="shared" si="0"/>
        <v>0</v>
      </c>
      <c r="Y29">
        <f t="shared" si="16"/>
        <v>0</v>
      </c>
      <c r="AB29">
        <f t="shared" si="1"/>
        <v>0</v>
      </c>
      <c r="AE29">
        <f t="shared" si="17"/>
        <v>0</v>
      </c>
      <c r="AH29">
        <f t="shared" si="2"/>
        <v>0</v>
      </c>
      <c r="AK29">
        <f t="shared" si="18"/>
        <v>0</v>
      </c>
      <c r="AN29">
        <f t="shared" si="3"/>
        <v>0</v>
      </c>
      <c r="AQ29">
        <f t="shared" si="19"/>
        <v>0</v>
      </c>
      <c r="AT29">
        <f t="shared" si="4"/>
        <v>0</v>
      </c>
      <c r="AW29">
        <f t="shared" si="20"/>
        <v>0</v>
      </c>
      <c r="AZ29">
        <f t="shared" si="5"/>
        <v>0</v>
      </c>
      <c r="BC29">
        <f t="shared" si="21"/>
        <v>0</v>
      </c>
      <c r="BF29">
        <f t="shared" si="6"/>
        <v>0</v>
      </c>
      <c r="BI29">
        <f t="shared" si="22"/>
        <v>0</v>
      </c>
      <c r="BL29">
        <f t="shared" si="7"/>
        <v>0</v>
      </c>
      <c r="BO29">
        <f t="shared" si="23"/>
        <v>0</v>
      </c>
      <c r="BR29">
        <f t="shared" si="8"/>
        <v>0</v>
      </c>
      <c r="BU29">
        <f t="shared" si="24"/>
        <v>0</v>
      </c>
      <c r="BX29">
        <f t="shared" si="9"/>
        <v>0</v>
      </c>
      <c r="CA29">
        <f t="shared" si="25"/>
        <v>0</v>
      </c>
      <c r="CD29">
        <f t="shared" si="10"/>
        <v>0</v>
      </c>
      <c r="CG29">
        <f t="shared" si="26"/>
        <v>0</v>
      </c>
      <c r="CJ29">
        <f t="shared" si="11"/>
        <v>0</v>
      </c>
      <c r="CM29">
        <f t="shared" si="27"/>
        <v>0</v>
      </c>
      <c r="CP29">
        <f t="shared" si="12"/>
        <v>0</v>
      </c>
      <c r="CS29">
        <f t="shared" si="28"/>
        <v>0</v>
      </c>
      <c r="CV29">
        <f t="shared" si="13"/>
        <v>0</v>
      </c>
      <c r="CY29">
        <f t="shared" si="29"/>
        <v>0</v>
      </c>
    </row>
    <row r="30" spans="1:103" ht="15.75" thickBot="1" x14ac:dyDescent="0.25">
      <c r="A30" s="115">
        <v>24</v>
      </c>
      <c r="B30" s="144">
        <f>'Entries Feb.''25'!N31-'Entries Feb.''25'!N30</f>
        <v>14.340000000000032</v>
      </c>
      <c r="C30" s="116" t="e">
        <f>IF(B30/'PROD.FIG. '!H28&lt;1,0,B30/'PROD.FIG. '!H28)</f>
        <v>#DIV/0!</v>
      </c>
      <c r="E30" s="219">
        <f>'Entries Feb.''25'!L31-'Entries Feb.''25'!L30</f>
        <v>0</v>
      </c>
      <c r="F30" s="197">
        <f t="shared" si="14"/>
        <v>14.340000000000032</v>
      </c>
      <c r="I30">
        <f>IF((('Entries Feb.''25'!AL30-'Entries Feb.''25'!AL31)/10)*5455&lt;0,"0",(('Entries Feb.''25'!AL30-'Entries Feb.''25'!AL31)/10)*5455)</f>
        <v>0</v>
      </c>
      <c r="J30">
        <f>IF((('Entries Feb.''25'!AM30-'Entries Feb.''25'!AM31)/10)*5455&lt;0,"0",(('Entries Feb.''25'!AM30-'Entries Feb.''25'!AM31)/10)*5455)</f>
        <v>0</v>
      </c>
      <c r="K30">
        <f>IF(('Entries Feb.''25'!AN30-'Entries Feb.''25'!AN31)/2.2&lt;0,"0",('Entries Feb.''25'!AN30-'Entries Feb.''25'!AN31)/2.2)</f>
        <v>0</v>
      </c>
      <c r="L30" s="219">
        <f>IF(('Entries Feb.''25'!AO30-'Entries Feb.''25'!AO31)&lt;0,"0",('Entries Feb.''25'!AO30-'Entries Feb.''25'!AO31))</f>
        <v>0</v>
      </c>
      <c r="S30">
        <f t="shared" si="15"/>
        <v>0</v>
      </c>
      <c r="V30">
        <f t="shared" si="0"/>
        <v>0</v>
      </c>
      <c r="Y30">
        <f t="shared" si="16"/>
        <v>0</v>
      </c>
      <c r="AB30">
        <f t="shared" si="1"/>
        <v>0</v>
      </c>
      <c r="AE30">
        <f t="shared" si="17"/>
        <v>0</v>
      </c>
      <c r="AH30">
        <f t="shared" si="2"/>
        <v>0</v>
      </c>
      <c r="AK30">
        <f t="shared" si="18"/>
        <v>0</v>
      </c>
      <c r="AN30">
        <f t="shared" si="3"/>
        <v>0</v>
      </c>
      <c r="AQ30">
        <f t="shared" si="19"/>
        <v>0</v>
      </c>
      <c r="AT30">
        <f t="shared" si="4"/>
        <v>0</v>
      </c>
      <c r="AW30">
        <f t="shared" si="20"/>
        <v>0</v>
      </c>
      <c r="AZ30">
        <f t="shared" si="5"/>
        <v>0</v>
      </c>
      <c r="BC30">
        <f t="shared" si="21"/>
        <v>0</v>
      </c>
      <c r="BF30">
        <f t="shared" si="6"/>
        <v>0</v>
      </c>
      <c r="BI30">
        <f t="shared" si="22"/>
        <v>0</v>
      </c>
      <c r="BL30">
        <f t="shared" si="7"/>
        <v>0</v>
      </c>
      <c r="BO30">
        <f t="shared" si="23"/>
        <v>0</v>
      </c>
      <c r="BR30">
        <f t="shared" si="8"/>
        <v>0</v>
      </c>
      <c r="BU30">
        <f t="shared" si="24"/>
        <v>0</v>
      </c>
      <c r="BX30">
        <f t="shared" si="9"/>
        <v>0</v>
      </c>
      <c r="CA30">
        <f t="shared" si="25"/>
        <v>0</v>
      </c>
      <c r="CD30">
        <f t="shared" si="10"/>
        <v>0</v>
      </c>
      <c r="CG30">
        <f t="shared" si="26"/>
        <v>0</v>
      </c>
      <c r="CJ30">
        <f t="shared" si="11"/>
        <v>0</v>
      </c>
      <c r="CM30">
        <f t="shared" si="27"/>
        <v>0</v>
      </c>
      <c r="CP30">
        <f t="shared" si="12"/>
        <v>0</v>
      </c>
      <c r="CS30">
        <f t="shared" si="28"/>
        <v>0</v>
      </c>
      <c r="CV30">
        <f t="shared" si="13"/>
        <v>0</v>
      </c>
      <c r="CY30">
        <f t="shared" si="29"/>
        <v>0</v>
      </c>
    </row>
    <row r="31" spans="1:103" ht="15.75" thickBot="1" x14ac:dyDescent="0.25">
      <c r="A31" s="115">
        <v>25</v>
      </c>
      <c r="B31" s="144">
        <f>'Entries Feb.''25'!N32-'Entries Feb.''25'!N31</f>
        <v>19.009999999999991</v>
      </c>
      <c r="C31" s="116" t="e">
        <f>IF(B31/'PROD.FIG. '!H29&lt;1,0,B31/'PROD.FIG. '!H29)</f>
        <v>#DIV/0!</v>
      </c>
      <c r="E31" s="219">
        <f>'Entries Feb.''25'!L32-'Entries Feb.''25'!L31</f>
        <v>0</v>
      </c>
      <c r="F31" s="197">
        <f t="shared" si="14"/>
        <v>19.009999999999991</v>
      </c>
      <c r="I31">
        <f>IF((('Entries Feb.''25'!AL31-'Entries Feb.''25'!AL32)/10)*5455&lt;0,"0",(('Entries Feb.''25'!AL31-'Entries Feb.''25'!AL32)/10)*5455)</f>
        <v>0</v>
      </c>
      <c r="J31">
        <f>IF((('Entries Feb.''25'!AM31-'Entries Feb.''25'!AM32)/10)*5455&lt;0,"0",(('Entries Feb.''25'!AM31-'Entries Feb.''25'!AM32)/10)*5455)</f>
        <v>0</v>
      </c>
      <c r="K31">
        <f>IF(('Entries Feb.''25'!AN31-'Entries Feb.''25'!AN32)/2.2&lt;0,"0",('Entries Feb.''25'!AN31-'Entries Feb.''25'!AN32)/2.2)</f>
        <v>0</v>
      </c>
      <c r="L31" s="219">
        <f>IF(('Entries Feb.''25'!AO31-'Entries Feb.''25'!AO32)&lt;0,"0",('Entries Feb.''25'!AO31-'Entries Feb.''25'!AO32))</f>
        <v>0</v>
      </c>
      <c r="S31" s="217">
        <f>SUM(S6:S29)</f>
        <v>0</v>
      </c>
      <c r="V31" s="217">
        <f>SUM(V6:V29)</f>
        <v>0</v>
      </c>
      <c r="Y31" s="217">
        <f>SUM(Y6:Y29)</f>
        <v>0</v>
      </c>
      <c r="AB31" s="217">
        <f>SUM(AB6:AB29)</f>
        <v>0</v>
      </c>
      <c r="AE31" s="217">
        <f>SUM(AE6:AE29)</f>
        <v>0</v>
      </c>
      <c r="AH31" s="217">
        <f>SUM(AH6:AH29)</f>
        <v>0</v>
      </c>
      <c r="AK31" s="217">
        <f>SUM(AK6:AK29)</f>
        <v>0</v>
      </c>
      <c r="AN31" s="217">
        <f>SUM(AN6:AN29)</f>
        <v>0</v>
      </c>
      <c r="AQ31" s="217">
        <f>SUM(AQ6:AQ29)</f>
        <v>0</v>
      </c>
      <c r="AT31" s="217">
        <f>SUM(AT6:AT29)</f>
        <v>0</v>
      </c>
      <c r="AW31" s="217">
        <f>SUM(AW6:AW29)</f>
        <v>0</v>
      </c>
      <c r="AZ31" s="217">
        <f>SUM(AZ6:AZ29)</f>
        <v>0</v>
      </c>
      <c r="BC31" s="217">
        <f>SUM(BC6:BC29)</f>
        <v>0</v>
      </c>
      <c r="BF31" s="217">
        <f>SUM(BF6:BF29)</f>
        <v>0</v>
      </c>
      <c r="BI31" s="217">
        <f>SUM(BI6:BI29)</f>
        <v>0</v>
      </c>
      <c r="BL31" s="217">
        <f>SUM(BL6:BL29)</f>
        <v>0</v>
      </c>
      <c r="BO31" s="217">
        <f>SUM(BO6:BO29)</f>
        <v>0</v>
      </c>
      <c r="BR31" s="217">
        <f>SUM(BR6:BR29)</f>
        <v>0</v>
      </c>
      <c r="BU31" s="217">
        <f>SUM(BU6:BU29)</f>
        <v>0</v>
      </c>
      <c r="BX31" s="217">
        <f>SUM(BX6:BX29)</f>
        <v>0</v>
      </c>
      <c r="CA31" s="217">
        <f>SUM(CA6:CA29)</f>
        <v>0</v>
      </c>
      <c r="CD31" s="217">
        <f>SUM(CD6:CD29)</f>
        <v>0</v>
      </c>
      <c r="CG31" s="217">
        <f>SUM(CG6:CG29)</f>
        <v>0</v>
      </c>
      <c r="CJ31" s="217">
        <f>SUM(CJ6:CJ29)</f>
        <v>0</v>
      </c>
      <c r="CM31" s="217">
        <f>SUM(CM6:CM29)</f>
        <v>0</v>
      </c>
      <c r="CP31" s="217">
        <f>SUM(CP6:CP29)</f>
        <v>0</v>
      </c>
      <c r="CS31" s="217">
        <f>SUM(CS6:CS29)</f>
        <v>0</v>
      </c>
      <c r="CV31" s="217">
        <f>SUM(CV6:CV29)</f>
        <v>0</v>
      </c>
      <c r="CY31" s="218">
        <f>SUM(CY6:CY29)</f>
        <v>0</v>
      </c>
    </row>
    <row r="32" spans="1:103" ht="15" x14ac:dyDescent="0.2">
      <c r="A32" s="115">
        <v>26</v>
      </c>
      <c r="B32" s="144">
        <f>'Entries Feb.''25'!N33-'Entries Feb.''25'!N32</f>
        <v>28.089999999999918</v>
      </c>
      <c r="C32" s="116" t="e">
        <f>IF(B32/'PROD.FIG. '!H30&lt;1,0,B32/'PROD.FIG. '!H30)</f>
        <v>#DIV/0!</v>
      </c>
      <c r="E32" s="219">
        <f>'Entries Feb.''25'!L33-'Entries Feb.''25'!L32</f>
        <v>0</v>
      </c>
      <c r="F32" s="197">
        <f t="shared" si="14"/>
        <v>28.089999999999918</v>
      </c>
      <c r="I32">
        <f>IF((('Entries Feb.''25'!AL32-'Entries Feb.''25'!AL33)/10)*5455&lt;0,"0",(('Entries Feb.''25'!AL32-'Entries Feb.''25'!AL33)/10)*5455)</f>
        <v>0</v>
      </c>
      <c r="J32">
        <f>IF((('Entries Feb.''25'!AM32-'Entries Feb.''25'!AM33)/10)*5455&lt;0,"0",(('Entries Feb.''25'!AM32-'Entries Feb.''25'!AM33)/10)*5455)</f>
        <v>0</v>
      </c>
      <c r="K32">
        <f>IF(('Entries Feb.''25'!AN32-'Entries Feb.''25'!AN33)/2.2&lt;0,"0",('Entries Feb.''25'!AN32-'Entries Feb.''25'!AN33)/2.2)</f>
        <v>0</v>
      </c>
      <c r="L32" s="219">
        <f>IF(('Entries Feb.''25'!AO32-'Entries Feb.''25'!AO33)&lt;0,"0",('Entries Feb.''25'!AO32-'Entries Feb.''25'!AO33))</f>
        <v>0</v>
      </c>
    </row>
    <row r="33" spans="1:12" ht="15" x14ac:dyDescent="0.2">
      <c r="A33" s="115">
        <v>27</v>
      </c>
      <c r="B33" s="144">
        <f>'Entries Feb.''25'!N34-'Entries Feb.''25'!N33</f>
        <v>6.57000000000005</v>
      </c>
      <c r="C33" s="116" t="e">
        <f>IF(B33/'PROD.FIG. '!H31&lt;1,0,B33/'PROD.FIG. '!H31)</f>
        <v>#DIV/0!</v>
      </c>
      <c r="E33" s="219">
        <f>'Entries Feb.''25'!L34-'Entries Feb.''25'!L33</f>
        <v>0</v>
      </c>
      <c r="F33" s="197">
        <f t="shared" si="14"/>
        <v>6.57000000000005</v>
      </c>
      <c r="I33">
        <f>IF((('Entries Feb.''25'!AL33-'Entries Feb.''25'!AL34)/10)*5455&lt;0,"0",(('Entries Feb.''25'!AL33-'Entries Feb.''25'!AL34)/10)*5455)</f>
        <v>0</v>
      </c>
      <c r="J33">
        <f>IF((('Entries Feb.''25'!AM33-'Entries Feb.''25'!AM34)/10)*5455&lt;0,"0",(('Entries Feb.''25'!AM33-'Entries Feb.''25'!AM34)/10)*5455)</f>
        <v>0</v>
      </c>
      <c r="K33">
        <f>IF(('Entries Feb.''25'!AN33-'Entries Feb.''25'!AN34)/2.2&lt;0,"0",('Entries Feb.''25'!AN33-'Entries Feb.''25'!AN34)/2.2)</f>
        <v>0</v>
      </c>
      <c r="L33" s="219">
        <f>IF(('Entries Feb.''25'!AO33-'Entries Feb.''25'!AO34)&lt;0,"0",('Entries Feb.''25'!AO33-'Entries Feb.''25'!AO34))</f>
        <v>0</v>
      </c>
    </row>
    <row r="34" spans="1:12" ht="15" x14ac:dyDescent="0.2">
      <c r="A34" s="115">
        <v>28</v>
      </c>
      <c r="B34" s="144">
        <f>'Entries Feb.''25'!N35-'Entries Feb.''25'!N34</f>
        <v>16</v>
      </c>
      <c r="C34" s="116" t="e">
        <f>IF(B34/'PROD.FIG. '!H32&lt;1,0,B34/'PROD.FIG. '!H32)</f>
        <v>#DIV/0!</v>
      </c>
      <c r="E34" s="219">
        <f>'Entries Feb.''25'!L35-'Entries Feb.''25'!L34</f>
        <v>0</v>
      </c>
      <c r="F34" s="197">
        <f t="shared" si="14"/>
        <v>16</v>
      </c>
      <c r="I34">
        <f>IF((('Entries Feb.''25'!AL34-'Entries Feb.''25'!AL35)/10)*5455&lt;0,"0",(('Entries Feb.''25'!AL34-'Entries Feb.''25'!AL35)/10)*5455)</f>
        <v>0</v>
      </c>
      <c r="J34">
        <f>IF((('Entries Feb.''25'!AM34-'Entries Feb.''25'!AM35)/10)*5455&lt;0,"0",(('Entries Feb.''25'!AM34-'Entries Feb.''25'!AM35)/10)*5455)</f>
        <v>0</v>
      </c>
      <c r="K34">
        <f>IF(('Entries Feb.''25'!AN34-'Entries Feb.''25'!AN35)/2.2&lt;0,"0",('Entries Feb.''25'!AN34-'Entries Feb.''25'!AN35)/2.2)</f>
        <v>0</v>
      </c>
      <c r="L34" s="219">
        <f>IF(('Entries Feb.''25'!AO34-'Entries Feb.''25'!AO35)&lt;0,"0",('Entries Feb.''25'!AO34-'Entries Feb.''25'!AO35))</f>
        <v>0</v>
      </c>
    </row>
    <row r="35" spans="1:12" ht="15" x14ac:dyDescent="0.2">
      <c r="A35" s="115">
        <v>29</v>
      </c>
      <c r="B35" s="144"/>
      <c r="C35" s="116" t="e">
        <f>IF(B35/'PROD.FIG. '!H33&lt;1,0,B35/'PROD.FIG. '!H33)</f>
        <v>#DIV/0!</v>
      </c>
      <c r="E35" s="219">
        <f>'Entries Feb.''25'!L36-'Entries Feb.''25'!L35</f>
        <v>0</v>
      </c>
      <c r="F35" s="197">
        <f t="shared" si="14"/>
        <v>0</v>
      </c>
      <c r="I35">
        <f>IF((('Entries Feb.''25'!AL35-'Entries Feb.''25'!AL36)/10)*5455&lt;0,"0",(('Entries Feb.''25'!AL35-'Entries Feb.''25'!AL36)/10)*5455)</f>
        <v>0</v>
      </c>
      <c r="J35">
        <f>IF((('Entries Feb.''25'!AM35-'Entries Feb.''25'!AM36)/10)*5455&lt;0,"0",(('Entries Feb.''25'!AM35-'Entries Feb.''25'!AM36)/10)*5455)</f>
        <v>0</v>
      </c>
      <c r="K35">
        <f>IF(('Entries Feb.''25'!AN35-'Entries Feb.''25'!AN36)/2.2&lt;0,"0",('Entries Feb.''25'!AN35-'Entries Feb.''25'!AN36)/2.2)</f>
        <v>0</v>
      </c>
      <c r="L35" s="219">
        <f>IF(('Entries Feb.''25'!AO35-'Entries Feb.''25'!AO36)&lt;0,"0",('Entries Feb.''25'!AO35-'Entries Feb.''25'!AO36))</f>
        <v>0</v>
      </c>
    </row>
    <row r="36" spans="1:12" ht="15" x14ac:dyDescent="0.2">
      <c r="A36" s="115">
        <v>30</v>
      </c>
      <c r="B36" s="144"/>
      <c r="C36" s="116" t="e">
        <f>IF(B36/'PROD.FIG. '!H34&lt;1,0,B36/'PROD.FIG. '!H34)</f>
        <v>#DIV/0!</v>
      </c>
      <c r="E36" s="219">
        <f>'Entries Feb.''25'!L37-'Entries Feb.''25'!L36</f>
        <v>0</v>
      </c>
      <c r="F36" s="197">
        <f t="shared" si="14"/>
        <v>0</v>
      </c>
      <c r="I36">
        <f>IF((('Entries Feb.''25'!AL36-'Entries Feb.''25'!AL37)/10)*5455&lt;0,"0",(('Entries Feb.''25'!AL36-'Entries Feb.''25'!AL37)/10)*5455)</f>
        <v>0</v>
      </c>
      <c r="J36">
        <f>IF((('Entries Feb.''25'!AM36-'Entries Feb.''25'!AM37)/10)*5455&lt;0,"0",(('Entries Feb.''25'!AM36-'Entries Feb.''25'!AM37)/10)*5455)</f>
        <v>0</v>
      </c>
      <c r="K36">
        <f>IF(('Entries Feb.''25'!AN36-'Entries Feb.''25'!AN37)/2.2&lt;0,"0",('Entries Feb.''25'!AN36-'Entries Feb.''25'!AN37)/2.2)</f>
        <v>0</v>
      </c>
      <c r="L36" s="219">
        <f>IF(('Entries Feb.''25'!AO36-'Entries Feb.''25'!AO37)&lt;0,"0",('Entries Feb.''25'!AO36-'Entries Feb.''25'!AO37))</f>
        <v>0</v>
      </c>
    </row>
    <row r="37" spans="1:12" ht="15" x14ac:dyDescent="0.2">
      <c r="A37" s="115">
        <v>31</v>
      </c>
      <c r="B37" s="144"/>
      <c r="C37" s="116" t="e">
        <f>IF(B37/'PROD.FIG. '!H35&lt;1,0,B37/'PROD.FIG. '!H35)</f>
        <v>#DIV/0!</v>
      </c>
      <c r="E37" s="219">
        <f>'Entries Feb.''25'!L38-'Entries Feb.''25'!L37</f>
        <v>0</v>
      </c>
      <c r="F37" s="197">
        <f t="shared" si="14"/>
        <v>0</v>
      </c>
      <c r="I37">
        <f>IF((('Entries Feb.''25'!AL37-'Entries Feb.''25'!AL38)/10)*5455&lt;0,"0",(('Entries Feb.''25'!AL37-'Entries Feb.''25'!AL38)/10)*5455)</f>
        <v>0</v>
      </c>
      <c r="J37">
        <f>IF((('Entries Feb.''25'!AM37-'Entries Feb.''25'!AM38)/10)*5455&lt;0,"0",(('Entries Feb.''25'!AM37-'Entries Feb.''25'!AM38)/10)*5455)</f>
        <v>0</v>
      </c>
      <c r="K37">
        <f>IF(('Entries Feb.''25'!AN37-'Entries Feb.''25'!AN38)/2.2&lt;0,"0",('Entries Feb.''25'!AN37-'Entries Feb.''25'!AN38)/2.2)</f>
        <v>0</v>
      </c>
      <c r="L37" s="219">
        <f>IF(('Entries Feb.''25'!AO37-'Entries Feb.''25'!AO38)&lt;0,"0",('Entries Feb.''25'!AO37-'Entries Feb.''25'!AO38))</f>
        <v>0</v>
      </c>
    </row>
    <row r="38" spans="1:12" ht="15.75" x14ac:dyDescent="0.25">
      <c r="A38" s="134"/>
      <c r="B38" s="145">
        <f>SUM(B7:B37)</f>
        <v>447.11</v>
      </c>
      <c r="C38" s="134"/>
    </row>
    <row r="39" spans="1:12" ht="15" x14ac:dyDescent="0.2">
      <c r="A39" s="8"/>
      <c r="B39" s="8"/>
      <c r="C39" s="8"/>
    </row>
    <row r="40" spans="1:12" ht="15" x14ac:dyDescent="0.2">
      <c r="A40" s="8"/>
      <c r="B40" s="8"/>
      <c r="C40" s="8"/>
    </row>
    <row r="41" spans="1:12" ht="15" x14ac:dyDescent="0.2">
      <c r="A41" s="8"/>
      <c r="B41" s="8"/>
      <c r="C41" s="8"/>
    </row>
  </sheetData>
  <mergeCells count="4">
    <mergeCell ref="A5:A6"/>
    <mergeCell ref="C5:C6"/>
    <mergeCell ref="B5:B6"/>
    <mergeCell ref="A3:C3"/>
  </mergeCells>
  <phoneticPr fontId="0" type="noConversion"/>
  <pageMargins left="0.75" right="0.75" top="1" bottom="1" header="0.5" footer="0.5"/>
  <pageSetup orientation="portrait" horizontalDpi="4294967294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O70"/>
  <sheetViews>
    <sheetView showZeros="0" defaultGridColor="0" topLeftCell="A15" colorId="22" zoomScaleNormal="100" workbookViewId="0">
      <selection activeCell="B38" sqref="B38:E38"/>
    </sheetView>
  </sheetViews>
  <sheetFormatPr defaultColWidth="12.5703125" defaultRowHeight="15" x14ac:dyDescent="0.2"/>
  <cols>
    <col min="1" max="1" width="7.7109375" style="8" customWidth="1"/>
    <col min="2" max="2" width="13.42578125" style="45" bestFit="1" customWidth="1"/>
    <col min="3" max="3" width="14" style="8" customWidth="1"/>
    <col min="4" max="4" width="14.7109375" style="45" customWidth="1"/>
    <col min="5" max="5" width="11.28515625" style="8" bestFit="1" customWidth="1"/>
    <col min="6" max="6" width="10.7109375" style="8" customWidth="1"/>
    <col min="7" max="7" width="9.7109375" style="8" customWidth="1"/>
    <col min="8" max="11" width="13.7109375" style="8" customWidth="1"/>
    <col min="12" max="12" width="12" style="8" customWidth="1"/>
    <col min="13" max="13" width="15.5703125" style="8" bestFit="1" customWidth="1"/>
    <col min="14" max="16384" width="12.5703125" style="8"/>
  </cols>
  <sheetData>
    <row r="1" spans="1:15" ht="15.75" x14ac:dyDescent="0.25">
      <c r="A1" s="694" t="s">
        <v>232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</row>
    <row r="2" spans="1:15" x14ac:dyDescent="0.2">
      <c r="F2" s="9"/>
    </row>
    <row r="3" spans="1:15" x14ac:dyDescent="0.2">
      <c r="F3" s="9"/>
    </row>
    <row r="4" spans="1:15" s="202" customFormat="1" ht="15.75" x14ac:dyDescent="0.25">
      <c r="A4" s="361"/>
      <c r="B4" s="362" t="s">
        <v>28</v>
      </c>
      <c r="C4" s="362" t="s">
        <v>28</v>
      </c>
      <c r="D4" s="362" t="s">
        <v>25</v>
      </c>
      <c r="E4" s="362" t="s">
        <v>25</v>
      </c>
      <c r="F4" s="362" t="s">
        <v>40</v>
      </c>
      <c r="G4" s="362" t="s">
        <v>41</v>
      </c>
      <c r="H4" s="362" t="s">
        <v>42</v>
      </c>
      <c r="I4" s="362" t="s">
        <v>43</v>
      </c>
      <c r="J4" s="362" t="s">
        <v>44</v>
      </c>
      <c r="K4" s="362" t="s">
        <v>45</v>
      </c>
      <c r="L4" s="363" t="s">
        <v>46</v>
      </c>
      <c r="M4" s="364" t="s">
        <v>10</v>
      </c>
    </row>
    <row r="5" spans="1:15" s="202" customFormat="1" ht="15.75" x14ac:dyDescent="0.25">
      <c r="A5" s="365" t="s">
        <v>8</v>
      </c>
      <c r="B5" s="366" t="s">
        <v>47</v>
      </c>
      <c r="C5" s="366" t="s">
        <v>36</v>
      </c>
      <c r="D5" s="366" t="s">
        <v>47</v>
      </c>
      <c r="E5" s="366" t="s">
        <v>36</v>
      </c>
      <c r="F5" s="366" t="s">
        <v>47</v>
      </c>
      <c r="G5" s="366" t="s">
        <v>36</v>
      </c>
      <c r="H5" s="366" t="s">
        <v>48</v>
      </c>
      <c r="I5" s="366" t="s">
        <v>48</v>
      </c>
      <c r="J5" s="366" t="s">
        <v>49</v>
      </c>
      <c r="K5" s="366" t="s">
        <v>50</v>
      </c>
      <c r="L5" s="367" t="s">
        <v>51</v>
      </c>
      <c r="M5" s="368" t="s">
        <v>17</v>
      </c>
    </row>
    <row r="6" spans="1:15" x14ac:dyDescent="0.2">
      <c r="A6" s="132" t="s">
        <v>39</v>
      </c>
      <c r="B6" s="198">
        <f>IF('Entries Feb.''25'!B6=0,0,+'Entries Feb.''25'!B6-'Entries Feb.''25'!B5)</f>
        <v>0</v>
      </c>
      <c r="C6" s="24"/>
      <c r="D6" s="199"/>
      <c r="E6" s="24"/>
      <c r="F6" s="24"/>
      <c r="G6" s="24"/>
      <c r="H6" s="24"/>
      <c r="I6" s="24"/>
      <c r="J6" s="24"/>
      <c r="K6" s="133"/>
      <c r="L6" s="12"/>
      <c r="M6" s="14"/>
    </row>
    <row r="7" spans="1:15" x14ac:dyDescent="0.2">
      <c r="A7" s="135">
        <v>1</v>
      </c>
      <c r="B7" s="198">
        <f>IF('Entries Feb.''25'!B7=0,0,+'Entries Feb.''25'!B8-'Entries Feb.''25'!B7)</f>
        <v>200</v>
      </c>
      <c r="C7" s="136">
        <f>IF('Entries Feb.''25'!F8-'Entries Feb.''25'!F7&lt;1,"0",'Entries Feb.''25'!F8-'Entries Feb.''25'!F7)</f>
        <v>1.2999999999997272</v>
      </c>
      <c r="D7" s="200">
        <f>IF('Entries Feb.''25'!C7=0,0,+'Entries Feb.''25'!C7-'Entries Feb.''25'!C6)</f>
        <v>0</v>
      </c>
      <c r="E7" s="136" t="str">
        <f>IF('Entries Feb.''25'!G8-'Entries Feb.''25'!G7&lt;1,"0",'Entries Feb.''25'!G8-'Entries Feb.''25'!G7)</f>
        <v>0</v>
      </c>
      <c r="F7" s="136">
        <f>SUM(B8,D8)-SUM(B7,D7)</f>
        <v>560</v>
      </c>
      <c r="G7" s="136" t="e">
        <v>#REF!</v>
      </c>
      <c r="H7" s="136">
        <f>IF((B7/C7)&lt;1,0,(B7/C7))</f>
        <v>153.84615384618613</v>
      </c>
      <c r="I7" s="136" t="e">
        <f>IF((D7/E7)&lt;1,0,(D7/E7))</f>
        <v>#DIV/0!</v>
      </c>
      <c r="J7" s="136" t="e">
        <f t="shared" ref="J7:J37" si="0">IF((OR(F7=0,G7=0))," ",+(F7/G7))</f>
        <v>#REF!</v>
      </c>
      <c r="K7" s="137">
        <f>IF('Entries Feb.''25'!B8-'Entries Feb.''25'!B7&lt;1,0,'Entries Feb.''25'!B8-'Entries Feb.''25'!B7)</f>
        <v>200</v>
      </c>
      <c r="L7" s="135"/>
      <c r="M7" s="138" t="e">
        <f t="shared" ref="M7:M37" si="1">SUM(K7/L7)</f>
        <v>#DIV/0!</v>
      </c>
      <c r="O7" s="46">
        <f>+$K7</f>
        <v>200</v>
      </c>
    </row>
    <row r="8" spans="1:15" x14ac:dyDescent="0.2">
      <c r="A8" s="135">
        <v>2</v>
      </c>
      <c r="B8" s="198">
        <f>IF('Entries Feb.''25'!B8=0,0,+'Entries Feb.''25'!B9-'Entries Feb.''25'!B8)</f>
        <v>760</v>
      </c>
      <c r="C8" s="136">
        <f>IF('Entries Feb.''25'!F9-'Entries Feb.''25'!F8&lt;1,"0",'Entries Feb.''25'!F9-'Entries Feb.''25'!F8)</f>
        <v>4.3000000000001819</v>
      </c>
      <c r="D8" s="200">
        <f>IF('Entries Feb.''25'!C8=0,0,+'Entries Feb.''25'!C8-'Entries Feb.''25'!C7)</f>
        <v>0</v>
      </c>
      <c r="E8" s="136" t="str">
        <f>IF('Entries Feb.''25'!G9-'Entries Feb.''25'!G8&lt;1,"0",'Entries Feb.''25'!G9-'Entries Feb.''25'!G8)</f>
        <v>0</v>
      </c>
      <c r="F8" s="136">
        <f t="shared" ref="F8:F37" si="2">SUM(B9,D9)-SUM(B8,D8)</f>
        <v>2340</v>
      </c>
      <c r="G8" s="136" t="e">
        <v>#REF!</v>
      </c>
      <c r="H8" s="136">
        <f t="shared" ref="H8:H37" si="3">IF((B8/C8)&lt;1,0,(B8/C8))</f>
        <v>176.74418604650415</v>
      </c>
      <c r="I8" s="136" t="e">
        <f t="shared" ref="I8:I37" si="4">IF((D8/E8)&lt;1,0,(D8/E8))</f>
        <v>#DIV/0!</v>
      </c>
      <c r="J8" s="136" t="e">
        <f t="shared" si="0"/>
        <v>#REF!</v>
      </c>
      <c r="K8" s="137">
        <f>IF('Entries Feb.''25'!B9-'Entries Feb.''25'!B8&lt;1,0,'Entries Feb.''25'!B9-'Entries Feb.''25'!B8)</f>
        <v>760</v>
      </c>
      <c r="L8" s="135"/>
      <c r="M8" s="138" t="e">
        <f t="shared" si="1"/>
        <v>#DIV/0!</v>
      </c>
      <c r="O8" s="46">
        <f t="shared" ref="O8:O37" si="5">+$K8</f>
        <v>760</v>
      </c>
    </row>
    <row r="9" spans="1:15" x14ac:dyDescent="0.2">
      <c r="A9" s="135">
        <v>3</v>
      </c>
      <c r="B9" s="198">
        <f>IF('Entries Feb.''25'!B9=0,0,+'Entries Feb.''25'!B10-'Entries Feb.''25'!B9)</f>
        <v>3100</v>
      </c>
      <c r="C9" s="136">
        <f>IF('Entries Feb.''25'!F10-'Entries Feb.''25'!F9&lt;1,"0",'Entries Feb.''25'!F10-'Entries Feb.''25'!F9)</f>
        <v>21.900000000000091</v>
      </c>
      <c r="D9" s="200">
        <f>IF('Entries Feb.''25'!C9=0,0,+'Entries Feb.''25'!C9-'Entries Feb.''25'!C8)</f>
        <v>0</v>
      </c>
      <c r="E9" s="136" t="str">
        <f>IF('Entries Feb.''25'!G10-'Entries Feb.''25'!G9&lt;1,"0",'Entries Feb.''25'!G10-'Entries Feb.''25'!G9)</f>
        <v>0</v>
      </c>
      <c r="F9" s="136">
        <f t="shared" si="2"/>
        <v>-70</v>
      </c>
      <c r="G9" s="136" t="e">
        <v>#REF!</v>
      </c>
      <c r="H9" s="136">
        <f t="shared" si="3"/>
        <v>141.55251141552452</v>
      </c>
      <c r="I9" s="136" t="e">
        <f t="shared" si="4"/>
        <v>#DIV/0!</v>
      </c>
      <c r="J9" s="136" t="e">
        <f t="shared" si="0"/>
        <v>#REF!</v>
      </c>
      <c r="K9" s="137">
        <f>IF('Entries Feb.''25'!B10-'Entries Feb.''25'!B9&lt;1,0,'Entries Feb.''25'!B10-'Entries Feb.''25'!B9)</f>
        <v>3100</v>
      </c>
      <c r="L9" s="135"/>
      <c r="M9" s="138" t="e">
        <f t="shared" si="1"/>
        <v>#DIV/0!</v>
      </c>
      <c r="O9" s="46">
        <f t="shared" si="5"/>
        <v>3100</v>
      </c>
    </row>
    <row r="10" spans="1:15" x14ac:dyDescent="0.2">
      <c r="A10" s="135">
        <v>4</v>
      </c>
      <c r="B10" s="198">
        <f>IF('Entries Feb.''25'!B10=0,0,+'Entries Feb.''25'!B11-'Entries Feb.''25'!B10)</f>
        <v>3030</v>
      </c>
      <c r="C10" s="136">
        <f>IF('Entries Feb.''25'!F11-'Entries Feb.''25'!F10&lt;1,"0",'Entries Feb.''25'!F11-'Entries Feb.''25'!F10)</f>
        <v>19.5</v>
      </c>
      <c r="D10" s="200">
        <f>IF('Entries Feb.''25'!C12=0,0,+'Entries Feb.''25'!C12-'Entries Feb.''25'!C9)</f>
        <v>0</v>
      </c>
      <c r="E10" s="136" t="str">
        <f>IF('Entries Feb.''25'!G11-'Entries Feb.''25'!G10&lt;1,"0",'Entries Feb.''25'!G11-'Entries Feb.''25'!G10)</f>
        <v>0</v>
      </c>
      <c r="F10" s="136">
        <f t="shared" si="2"/>
        <v>370</v>
      </c>
      <c r="G10" s="136" t="e">
        <v>#REF!</v>
      </c>
      <c r="H10" s="136">
        <f t="shared" si="3"/>
        <v>155.38461538461539</v>
      </c>
      <c r="I10" s="136" t="e">
        <f t="shared" si="4"/>
        <v>#DIV/0!</v>
      </c>
      <c r="J10" s="136" t="e">
        <f t="shared" si="0"/>
        <v>#REF!</v>
      </c>
      <c r="K10" s="137">
        <f>IF('Entries Feb.''25'!B11-'Entries Feb.''25'!B10&lt;1,0,'Entries Feb.''25'!B11-'Entries Feb.''25'!B10)</f>
        <v>3030</v>
      </c>
      <c r="L10" s="135">
        <f>'Utility Analysis Feb. 2025'!$J$13</f>
        <v>0</v>
      </c>
      <c r="M10" s="138" t="e">
        <f t="shared" si="1"/>
        <v>#DIV/0!</v>
      </c>
      <c r="O10" s="46">
        <f t="shared" si="5"/>
        <v>3030</v>
      </c>
    </row>
    <row r="11" spans="1:15" x14ac:dyDescent="0.2">
      <c r="A11" s="135">
        <v>5</v>
      </c>
      <c r="B11" s="198">
        <f>IF('Entries Feb.''25'!B11=0,0,+'Entries Feb.''25'!B12-'Entries Feb.''25'!B11)</f>
        <v>3400</v>
      </c>
      <c r="C11" s="136">
        <f>IF('Entries Feb.''25'!F12-'Entries Feb.''25'!F11&lt;1,"0",'Entries Feb.''25'!F12-'Entries Feb.''25'!F11)</f>
        <v>22.299999999999727</v>
      </c>
      <c r="D11" s="200">
        <f>IF('Entries Feb.''25'!C11=0,0,+'Entries Feb.''25'!C11-'Entries Feb.''25'!C12)</f>
        <v>0</v>
      </c>
      <c r="E11" s="136" t="str">
        <f>IF('Entries Feb.''25'!G12-'Entries Feb.''25'!G11&lt;1,"0",'Entries Feb.''25'!G12-'Entries Feb.''25'!G11)</f>
        <v>0</v>
      </c>
      <c r="F11" s="136">
        <f t="shared" si="2"/>
        <v>-480</v>
      </c>
      <c r="G11" s="136" t="e">
        <v>#REF!</v>
      </c>
      <c r="H11" s="136">
        <f t="shared" si="3"/>
        <v>152.46636771300635</v>
      </c>
      <c r="I11" s="136" t="e">
        <f t="shared" si="4"/>
        <v>#DIV/0!</v>
      </c>
      <c r="J11" s="136" t="e">
        <f t="shared" si="0"/>
        <v>#REF!</v>
      </c>
      <c r="K11" s="137">
        <f>IF('Entries Feb.''25'!B12-'Entries Feb.''25'!B11&lt;1,0,'Entries Feb.''25'!B12-'Entries Feb.''25'!B11)</f>
        <v>3400</v>
      </c>
      <c r="L11" s="139">
        <f>'PROD.FIG. '!$H$9</f>
        <v>0</v>
      </c>
      <c r="M11" s="138" t="e">
        <f t="shared" si="1"/>
        <v>#DIV/0!</v>
      </c>
      <c r="O11" s="46">
        <f t="shared" si="5"/>
        <v>3400</v>
      </c>
    </row>
    <row r="12" spans="1:15" x14ac:dyDescent="0.2">
      <c r="A12" s="135">
        <v>6</v>
      </c>
      <c r="B12" s="198">
        <f>IF('Entries Feb.''25'!B12=0,0,+'Entries Feb.''25'!B13-'Entries Feb.''25'!B12)</f>
        <v>2920</v>
      </c>
      <c r="C12" s="136">
        <f>IF('Entries Feb.''25'!F13-'Entries Feb.''25'!F12&lt;1,"0",'Entries Feb.''25'!F13-'Entries Feb.''25'!F12)</f>
        <v>20.5</v>
      </c>
      <c r="D12" s="200">
        <f>IF('Entries Feb.''25'!C13=0,0,+'Entries Feb.''25'!C13-'Entries Feb.''25'!C11)</f>
        <v>0</v>
      </c>
      <c r="E12" s="136" t="str">
        <f>IF('Entries Feb.''25'!G13-'Entries Feb.''25'!G12&lt;1,"0",'Entries Feb.''25'!G13-'Entries Feb.''25'!G12)</f>
        <v>0</v>
      </c>
      <c r="F12" s="136">
        <f t="shared" si="2"/>
        <v>-2920</v>
      </c>
      <c r="G12" s="136" t="e">
        <v>#REF!</v>
      </c>
      <c r="H12" s="136">
        <f t="shared" si="3"/>
        <v>142.4390243902439</v>
      </c>
      <c r="I12" s="136" t="e">
        <f t="shared" si="4"/>
        <v>#DIV/0!</v>
      </c>
      <c r="J12" s="136" t="e">
        <f t="shared" si="0"/>
        <v>#REF!</v>
      </c>
      <c r="K12" s="137">
        <f>IF('Entries Feb.''25'!B13-'Entries Feb.''25'!B12&lt;1,0,'Entries Feb.''25'!B13-'Entries Feb.''25'!B12)</f>
        <v>2920</v>
      </c>
      <c r="L12" s="139">
        <f>'PROD.FIG. '!$H$10</f>
        <v>0</v>
      </c>
      <c r="M12" s="138" t="e">
        <f t="shared" si="1"/>
        <v>#DIV/0!</v>
      </c>
      <c r="O12" s="46">
        <f t="shared" si="5"/>
        <v>2920</v>
      </c>
    </row>
    <row r="13" spans="1:15" x14ac:dyDescent="0.2">
      <c r="A13" s="135">
        <v>7</v>
      </c>
      <c r="B13" s="198">
        <f>IF('Entries Feb.''25'!B13=0,0,+'Entries Feb.''25'!B14-'Entries Feb.''25'!B13)</f>
        <v>0</v>
      </c>
      <c r="C13" s="136" t="str">
        <f>IF('Entries Feb.''25'!F14-'Entries Feb.''25'!F13&lt;1,"0",'Entries Feb.''25'!F14-'Entries Feb.''25'!F13)</f>
        <v>0</v>
      </c>
      <c r="D13" s="200">
        <f>IF('Entries Feb.''25'!C14=0,0,+'Entries Feb.''25'!C14-'Entries Feb.''25'!C12)</f>
        <v>0</v>
      </c>
      <c r="E13" s="136" t="str">
        <f>IF('Entries Feb.''25'!G14-'Entries Feb.''25'!G13&lt;1,"0",'Entries Feb.''25'!G14-'Entries Feb.''25'!G13)</f>
        <v>0</v>
      </c>
      <c r="F13" s="136">
        <f t="shared" si="2"/>
        <v>410</v>
      </c>
      <c r="G13" s="136" t="e">
        <v>#REF!</v>
      </c>
      <c r="H13" s="136" t="e">
        <f t="shared" si="3"/>
        <v>#DIV/0!</v>
      </c>
      <c r="I13" s="136" t="e">
        <f t="shared" si="4"/>
        <v>#DIV/0!</v>
      </c>
      <c r="J13" s="136" t="e">
        <f t="shared" si="0"/>
        <v>#REF!</v>
      </c>
      <c r="K13" s="137">
        <f>IF('Entries Feb.''25'!B14-'Entries Feb.''25'!B13&lt;1,0,'Entries Feb.''25'!B14-'Entries Feb.''25'!B13)</f>
        <v>0</v>
      </c>
      <c r="L13" s="139"/>
      <c r="M13" s="138" t="e">
        <f t="shared" si="1"/>
        <v>#DIV/0!</v>
      </c>
      <c r="O13" s="46">
        <f t="shared" si="5"/>
        <v>0</v>
      </c>
    </row>
    <row r="14" spans="1:15" x14ac:dyDescent="0.2">
      <c r="A14" s="135">
        <v>8</v>
      </c>
      <c r="B14" s="198">
        <f>IF('Entries Feb.''25'!B14=0,0,+'Entries Feb.''25'!B15-'Entries Feb.''25'!B14)</f>
        <v>410</v>
      </c>
      <c r="C14" s="136">
        <f>IF('Entries Feb.''25'!F15-'Entries Feb.''25'!F14&lt;1,"0",'Entries Feb.''25'!F15-'Entries Feb.''25'!F14)</f>
        <v>3.7000000000002728</v>
      </c>
      <c r="D14" s="200">
        <f>IF('Entries Feb.''25'!C14=0,0,+'Entries Feb.''25'!C14-'Entries Feb.''25'!#REF!)</f>
        <v>0</v>
      </c>
      <c r="E14" s="136">
        <f>IF('Entries Feb.''25'!G15-'Entries Feb.''25'!G14&lt;1,"0",'Entries Feb.''25'!G15-'Entries Feb.''25'!G14)</f>
        <v>1</v>
      </c>
      <c r="F14" s="136">
        <f t="shared" si="2"/>
        <v>690</v>
      </c>
      <c r="G14" s="136" t="e">
        <v>#REF!</v>
      </c>
      <c r="H14" s="136">
        <f t="shared" si="3"/>
        <v>110.81081081080264</v>
      </c>
      <c r="I14" s="136">
        <f t="shared" si="4"/>
        <v>0</v>
      </c>
      <c r="J14" s="136" t="e">
        <f t="shared" si="0"/>
        <v>#REF!</v>
      </c>
      <c r="K14" s="137">
        <f>IF('Entries Feb.''25'!B15-'Entries Feb.''25'!B14&lt;1,0,'Entries Feb.''25'!B15-'Entries Feb.''25'!B14)</f>
        <v>410</v>
      </c>
      <c r="L14" s="139"/>
      <c r="M14" s="138" t="e">
        <f t="shared" si="1"/>
        <v>#DIV/0!</v>
      </c>
      <c r="O14" s="46">
        <f t="shared" si="5"/>
        <v>410</v>
      </c>
    </row>
    <row r="15" spans="1:15" x14ac:dyDescent="0.2">
      <c r="A15" s="135">
        <v>9</v>
      </c>
      <c r="B15" s="198">
        <f>IF('Entries Feb.''25'!B15=0,0,+'Entries Feb.''25'!B16-'Entries Feb.''25'!B15)</f>
        <v>1100</v>
      </c>
      <c r="C15" s="136">
        <f>IF('Entries Feb.''25'!F16-'Entries Feb.''25'!F15&lt;1,"0",'Entries Feb.''25'!F16-'Entries Feb.''25'!F15)</f>
        <v>7.0999999999999091</v>
      </c>
      <c r="D15" s="200">
        <f>IF('Entries Feb.''25'!C15=0,0,+'Entries Feb.''25'!C15-'Entries Feb.''25'!C14)</f>
        <v>0</v>
      </c>
      <c r="E15" s="136" t="str">
        <f>IF('Entries Feb.''25'!G16-'Entries Feb.''25'!G15&lt;1,"0",'Entries Feb.''25'!G16-'Entries Feb.''25'!G15)</f>
        <v>0</v>
      </c>
      <c r="F15" s="136">
        <f t="shared" si="2"/>
        <v>1610</v>
      </c>
      <c r="G15" s="136" t="e">
        <v>#REF!</v>
      </c>
      <c r="H15" s="136">
        <f t="shared" si="3"/>
        <v>154.92957746479073</v>
      </c>
      <c r="I15" s="136" t="e">
        <f t="shared" si="4"/>
        <v>#DIV/0!</v>
      </c>
      <c r="J15" s="136" t="e">
        <f t="shared" si="0"/>
        <v>#REF!</v>
      </c>
      <c r="K15" s="137">
        <f>IF('Entries Feb.''25'!B16-'Entries Feb.''25'!B15&lt;1,0,'Entries Feb.''25'!B16-'Entries Feb.''25'!B15)</f>
        <v>1100</v>
      </c>
      <c r="L15" s="139"/>
      <c r="M15" s="138" t="e">
        <f t="shared" si="1"/>
        <v>#DIV/0!</v>
      </c>
      <c r="O15" s="46">
        <f t="shared" si="5"/>
        <v>1100</v>
      </c>
    </row>
    <row r="16" spans="1:15" x14ac:dyDescent="0.2">
      <c r="A16" s="135">
        <v>10</v>
      </c>
      <c r="B16" s="198">
        <f>IF('Entries Feb.''25'!B16=0,0,+'Entries Feb.''25'!B17-'Entries Feb.''25'!B16)</f>
        <v>2710</v>
      </c>
      <c r="C16" s="136">
        <f>IF('Entries Feb.''25'!F17-'Entries Feb.''25'!F16&lt;1,"0",'Entries Feb.''25'!F17-'Entries Feb.''25'!F16)</f>
        <v>18</v>
      </c>
      <c r="D16" s="200">
        <f>IF('Entries Feb.''25'!C16=0,0,+'Entries Feb.''25'!C16-'Entries Feb.''25'!C15)</f>
        <v>0</v>
      </c>
      <c r="E16" s="136" t="str">
        <f>IF('Entries Feb.''25'!G17-'Entries Feb.''25'!G16&lt;1,"0",'Entries Feb.''25'!G17-'Entries Feb.''25'!G16)</f>
        <v>0</v>
      </c>
      <c r="F16" s="136">
        <f t="shared" si="2"/>
        <v>510</v>
      </c>
      <c r="G16" s="136" t="e">
        <v>#REF!</v>
      </c>
      <c r="H16" s="136">
        <f t="shared" si="3"/>
        <v>150.55555555555554</v>
      </c>
      <c r="I16" s="136" t="e">
        <f t="shared" si="4"/>
        <v>#DIV/0!</v>
      </c>
      <c r="J16" s="136" t="e">
        <f t="shared" si="0"/>
        <v>#REF!</v>
      </c>
      <c r="K16" s="137">
        <f>IF('Entries Feb.''25'!B17-'Entries Feb.''25'!B16&lt;1,0,'Entries Feb.''25'!B17-'Entries Feb.''25'!B16)</f>
        <v>2710</v>
      </c>
      <c r="L16" s="139"/>
      <c r="M16" s="138" t="e">
        <f t="shared" si="1"/>
        <v>#DIV/0!</v>
      </c>
      <c r="O16" s="46">
        <f t="shared" si="5"/>
        <v>2710</v>
      </c>
    </row>
    <row r="17" spans="1:15" x14ac:dyDescent="0.2">
      <c r="A17" s="135">
        <v>11</v>
      </c>
      <c r="B17" s="198">
        <f>IF('Entries Feb.''25'!B17=0,0,+'Entries Feb.''25'!B18-'Entries Feb.''25'!B17)</f>
        <v>3220</v>
      </c>
      <c r="C17" s="136">
        <f>IF('Entries Feb.''25'!F18-'Entries Feb.''25'!F17&lt;1,"0",'Entries Feb.''25'!F18-'Entries Feb.''25'!F17)</f>
        <v>20.900000000000091</v>
      </c>
      <c r="D17" s="200">
        <f>IF('Entries Feb.''25'!C17=0,0,+'Entries Feb.''25'!C17-'Entries Feb.''25'!C16)</f>
        <v>0</v>
      </c>
      <c r="E17" s="136" t="str">
        <f>IF('Entries Feb.''25'!G18-'Entries Feb.''25'!G17&lt;1,"0",'Entries Feb.''25'!G18-'Entries Feb.''25'!G17)</f>
        <v>0</v>
      </c>
      <c r="F17" s="136">
        <f t="shared" si="2"/>
        <v>60</v>
      </c>
      <c r="G17" s="136" t="e">
        <v>#REF!</v>
      </c>
      <c r="H17" s="136">
        <f t="shared" si="3"/>
        <v>154.06698564593233</v>
      </c>
      <c r="I17" s="136" t="e">
        <f t="shared" si="4"/>
        <v>#DIV/0!</v>
      </c>
      <c r="J17" s="136" t="e">
        <f t="shared" si="0"/>
        <v>#REF!</v>
      </c>
      <c r="K17" s="137">
        <f>IF('Entries Feb.''25'!B18-'Entries Feb.''25'!B17&lt;1,0,'Entries Feb.''25'!B18-'Entries Feb.''25'!B17)</f>
        <v>3220</v>
      </c>
      <c r="L17" s="139"/>
      <c r="M17" s="138" t="e">
        <f t="shared" si="1"/>
        <v>#DIV/0!</v>
      </c>
      <c r="O17" s="46">
        <f t="shared" si="5"/>
        <v>3220</v>
      </c>
    </row>
    <row r="18" spans="1:15" x14ac:dyDescent="0.2">
      <c r="A18" s="135">
        <v>12</v>
      </c>
      <c r="B18" s="198">
        <f>IF('Entries Feb.''25'!B18=0,0,+'Entries Feb.''25'!B19-'Entries Feb.''25'!B18)</f>
        <v>3280</v>
      </c>
      <c r="C18" s="136">
        <f>IF('Entries Feb.''25'!F19-'Entries Feb.''25'!F18&lt;1,"0",'Entries Feb.''25'!F19-'Entries Feb.''25'!F18)</f>
        <v>20.699999999999818</v>
      </c>
      <c r="D18" s="200">
        <f>IF('Entries Feb.''25'!C18=0,0,+'Entries Feb.''25'!C18-'Entries Feb.''25'!C17)</f>
        <v>0</v>
      </c>
      <c r="E18" s="136" t="str">
        <f>IF('Entries Feb.''25'!G19-'Entries Feb.''25'!G18&lt;1,"0",'Entries Feb.''25'!G19-'Entries Feb.''25'!G18)</f>
        <v>0</v>
      </c>
      <c r="F18" s="136">
        <f t="shared" si="2"/>
        <v>290</v>
      </c>
      <c r="G18" s="136" t="e">
        <v>#REF!</v>
      </c>
      <c r="H18" s="136">
        <f t="shared" si="3"/>
        <v>158.45410628019462</v>
      </c>
      <c r="I18" s="136" t="e">
        <f t="shared" si="4"/>
        <v>#DIV/0!</v>
      </c>
      <c r="J18" s="136" t="e">
        <f t="shared" si="0"/>
        <v>#REF!</v>
      </c>
      <c r="K18" s="137">
        <f>IF('Entries Feb.''25'!B19-'Entries Feb.''25'!B18&lt;1,0,'Entries Feb.''25'!B19-'Entries Feb.''25'!B18)</f>
        <v>3280</v>
      </c>
      <c r="L18" s="139"/>
      <c r="M18" s="138" t="e">
        <f t="shared" si="1"/>
        <v>#DIV/0!</v>
      </c>
      <c r="O18" s="46">
        <f t="shared" si="5"/>
        <v>3280</v>
      </c>
    </row>
    <row r="19" spans="1:15" x14ac:dyDescent="0.2">
      <c r="A19" s="135">
        <v>13</v>
      </c>
      <c r="B19" s="198">
        <f>IF('Entries Feb.''25'!B19=0,0,+'Entries Feb.''25'!B20-'Entries Feb.''25'!B19)</f>
        <v>3570</v>
      </c>
      <c r="C19" s="136">
        <f>IF('Entries Feb.''25'!F20-'Entries Feb.''25'!F19&lt;1,"0",'Entries Feb.''25'!F20-'Entries Feb.''25'!F19)</f>
        <v>22.300000000000182</v>
      </c>
      <c r="D19" s="200">
        <f>IF('Entries Feb.''25'!C19=0,0,+'Entries Feb.''25'!C19-'Entries Feb.''25'!C18)</f>
        <v>0</v>
      </c>
      <c r="E19" s="136" t="str">
        <f>IF('Entries Feb.''25'!G20-'Entries Feb.''25'!G19&lt;1,"0",'Entries Feb.''25'!G20-'Entries Feb.''25'!G19)</f>
        <v>0</v>
      </c>
      <c r="F19" s="136">
        <f t="shared" si="2"/>
        <v>-760</v>
      </c>
      <c r="G19" s="136" t="e">
        <v>#REF!</v>
      </c>
      <c r="H19" s="136">
        <f t="shared" si="3"/>
        <v>160.0896860986534</v>
      </c>
      <c r="I19" s="136" t="e">
        <f t="shared" si="4"/>
        <v>#DIV/0!</v>
      </c>
      <c r="J19" s="136" t="e">
        <f t="shared" si="0"/>
        <v>#REF!</v>
      </c>
      <c r="K19" s="137">
        <f>IF('Entries Feb.''25'!B20-'Entries Feb.''25'!B19&lt;1,0,'Entries Feb.''25'!B20-'Entries Feb.''25'!B19)</f>
        <v>3570</v>
      </c>
      <c r="L19" s="139"/>
      <c r="M19" s="138" t="e">
        <f t="shared" si="1"/>
        <v>#DIV/0!</v>
      </c>
      <c r="O19" s="46">
        <f t="shared" si="5"/>
        <v>3570</v>
      </c>
    </row>
    <row r="20" spans="1:15" x14ac:dyDescent="0.2">
      <c r="A20" s="135">
        <v>14</v>
      </c>
      <c r="B20" s="198">
        <f>IF('Entries Feb.''25'!B20=0,0,+'Entries Feb.''25'!B21-'Entries Feb.''25'!B20)</f>
        <v>2810</v>
      </c>
      <c r="C20" s="136">
        <f>IF('Entries Feb.''25'!F22-'Entries Feb.''25'!F20&lt;1,"0",'Entries Feb.''25'!F22-'Entries Feb.''25'!F20)</f>
        <v>23.199999999999818</v>
      </c>
      <c r="D20" s="200">
        <f>IF('Entries Feb.''25'!C20=0,0,+'Entries Feb.''25'!C20-'Entries Feb.''25'!C19)</f>
        <v>0</v>
      </c>
      <c r="E20" s="136" t="str">
        <f>IF('Entries Feb.''25'!G21-'Entries Feb.''25'!G20&lt;1,"0",'Entries Feb.''25'!G21-'Entries Feb.''25'!G20)</f>
        <v>0</v>
      </c>
      <c r="F20" s="136">
        <f t="shared" si="2"/>
        <v>-2430</v>
      </c>
      <c r="G20" s="136" t="e">
        <v>#REF!</v>
      </c>
      <c r="H20" s="136">
        <f t="shared" si="3"/>
        <v>121.12068965517336</v>
      </c>
      <c r="I20" s="136" t="e">
        <f t="shared" si="4"/>
        <v>#DIV/0!</v>
      </c>
      <c r="J20" s="136" t="e">
        <f t="shared" si="0"/>
        <v>#REF!</v>
      </c>
      <c r="K20" s="137">
        <f>IF('Entries Feb.''25'!B21-'Entries Feb.''25'!B20&lt;1,0,'Entries Feb.''25'!B21-'Entries Feb.''25'!B20)</f>
        <v>2810</v>
      </c>
      <c r="L20" s="139"/>
      <c r="M20" s="138" t="e">
        <f t="shared" si="1"/>
        <v>#DIV/0!</v>
      </c>
      <c r="O20" s="46">
        <f t="shared" si="5"/>
        <v>2810</v>
      </c>
    </row>
    <row r="21" spans="1:15" x14ac:dyDescent="0.2">
      <c r="A21" s="135">
        <v>15</v>
      </c>
      <c r="B21" s="198">
        <f>IF('Entries Feb.''25'!B21=0,0,+'Entries Feb.''25'!B22-'Entries Feb.''25'!B21)</f>
        <v>380</v>
      </c>
      <c r="C21" s="136">
        <f>IF('Entries Feb.''25'!F24-'Entries Feb.''25'!F21&lt;1,"0",'Entries Feb.''25'!F24-'Entries Feb.''25'!F21)</f>
        <v>30.199999999999818</v>
      </c>
      <c r="D21" s="200">
        <f>IF('Entries Feb.''25'!C21=0,0,+'Entries Feb.''25'!C21-'Entries Feb.''25'!C20)</f>
        <v>0</v>
      </c>
      <c r="E21" s="136" t="str">
        <f>IF('Entries Feb.''25'!G22-'Entries Feb.''25'!G21&lt;1,"0",'Entries Feb.''25'!G22-'Entries Feb.''25'!G21)</f>
        <v>0</v>
      </c>
      <c r="F21" s="136">
        <f t="shared" si="2"/>
        <v>270</v>
      </c>
      <c r="G21" s="136" t="e">
        <v>#REF!</v>
      </c>
      <c r="H21" s="136">
        <f t="shared" si="3"/>
        <v>12.582781456953718</v>
      </c>
      <c r="I21" s="136" t="e">
        <f t="shared" si="4"/>
        <v>#DIV/0!</v>
      </c>
      <c r="J21" s="136" t="e">
        <f t="shared" si="0"/>
        <v>#REF!</v>
      </c>
      <c r="K21" s="137">
        <f>IF('Entries Feb.''25'!B22-'Entries Feb.''25'!B21&lt;1,0,'Entries Feb.''25'!B22-'Entries Feb.''25'!B21)</f>
        <v>380</v>
      </c>
      <c r="L21" s="139"/>
      <c r="M21" s="138" t="e">
        <f t="shared" si="1"/>
        <v>#DIV/0!</v>
      </c>
      <c r="O21" s="46">
        <f t="shared" si="5"/>
        <v>380</v>
      </c>
    </row>
    <row r="22" spans="1:15" x14ac:dyDescent="0.2">
      <c r="A22" s="135">
        <v>16</v>
      </c>
      <c r="B22" s="198">
        <f>IF('Entries Feb.''25'!B22=0,0,+'Entries Feb.''25'!B23-'Entries Feb.''25'!B22)</f>
        <v>650</v>
      </c>
      <c r="C22" s="136">
        <f>IF('Entries Feb.''25'!F25-'Entries Feb.''25'!F22&lt;1,"0",'Entries Feb.''25'!F25-'Entries Feb.''25'!F22)</f>
        <v>47.099999999999909</v>
      </c>
      <c r="D22" s="200">
        <f>IF('Entries Feb.''25'!C22=0,0,+'Entries Feb.''25'!C22-'Entries Feb.''25'!C21)</f>
        <v>0</v>
      </c>
      <c r="E22" s="136" t="str">
        <f>IF('Entries Feb.''25'!G23-'Entries Feb.''25'!G22&lt;1,"0",'Entries Feb.''25'!G23-'Entries Feb.''25'!G22)</f>
        <v>0</v>
      </c>
      <c r="F22" s="136">
        <f>SUM(B23,D23)-SUM(B22,D22)</f>
        <v>2200</v>
      </c>
      <c r="G22" s="136" t="e">
        <v>#REF!</v>
      </c>
      <c r="H22" s="136">
        <f t="shared" si="3"/>
        <v>13.800424628450132</v>
      </c>
      <c r="I22" s="136" t="e">
        <f t="shared" si="4"/>
        <v>#DIV/0!</v>
      </c>
      <c r="J22" s="136" t="e">
        <f t="shared" si="0"/>
        <v>#REF!</v>
      </c>
      <c r="K22" s="137">
        <f>IF('Entries Feb.''25'!B23-'Entries Feb.''25'!B22&lt;1,0,'Entries Feb.''25'!B23-'Entries Feb.''25'!B22)</f>
        <v>650</v>
      </c>
      <c r="L22" s="139"/>
      <c r="M22" s="138" t="e">
        <f t="shared" si="1"/>
        <v>#DIV/0!</v>
      </c>
      <c r="O22" s="46">
        <f t="shared" si="5"/>
        <v>650</v>
      </c>
    </row>
    <row r="23" spans="1:15" x14ac:dyDescent="0.2">
      <c r="A23" s="135">
        <v>17</v>
      </c>
      <c r="B23" s="198">
        <f>IF('Entries Feb.''25'!B23=0,0,+'Entries Feb.''25'!B24-'Entries Feb.''25'!B23)</f>
        <v>2850</v>
      </c>
      <c r="C23" s="136">
        <f>IF('Entries Feb.''25'!F26-'Entries Feb.''25'!F23&lt;1,"0",'Entries Feb.''25'!F26-'Entries Feb.''25'!F23)</f>
        <v>63.299999999999727</v>
      </c>
      <c r="D23" s="200">
        <f>IF('Entries Feb.''25'!C23=0,0,+'Entries Feb.''25'!C23-'Entries Feb.''25'!C22)</f>
        <v>0</v>
      </c>
      <c r="E23" s="136" t="str">
        <f>IF('Entries Feb.''25'!G24-'Entries Feb.''25'!G23&lt;1,"0",'Entries Feb.''25'!G24-'Entries Feb.''25'!G23)</f>
        <v>0</v>
      </c>
      <c r="F23" s="136">
        <f t="shared" si="2"/>
        <v>170</v>
      </c>
      <c r="G23" s="136" t="e">
        <v>#REF!</v>
      </c>
      <c r="H23" s="136">
        <f t="shared" si="3"/>
        <v>45.023696682464646</v>
      </c>
      <c r="I23" s="136" t="e">
        <f t="shared" si="4"/>
        <v>#DIV/0!</v>
      </c>
      <c r="J23" s="136" t="e">
        <f t="shared" si="0"/>
        <v>#REF!</v>
      </c>
      <c r="K23" s="137">
        <f>IF('Entries Feb.''25'!B24-'Entries Feb.''25'!B23&lt;1,0,'Entries Feb.''25'!B24-'Entries Feb.''25'!B23)</f>
        <v>2850</v>
      </c>
      <c r="L23" s="139"/>
      <c r="M23" s="138" t="e">
        <f t="shared" si="1"/>
        <v>#DIV/0!</v>
      </c>
      <c r="O23" s="46">
        <f t="shared" si="5"/>
        <v>2850</v>
      </c>
    </row>
    <row r="24" spans="1:15" x14ac:dyDescent="0.2">
      <c r="A24" s="135">
        <v>18</v>
      </c>
      <c r="B24" s="198">
        <f>IF('Entries Feb.''25'!B24=0,0,+'Entries Feb.''25'!B25-'Entries Feb.''25'!B24)</f>
        <v>3020</v>
      </c>
      <c r="C24" s="136">
        <f>IF('Entries Feb.''25'!F27-'Entries Feb.''25'!F24&lt;1,"0",'Entries Feb.''25'!F27-'Entries Feb.''25'!F24)</f>
        <v>63.400000000000091</v>
      </c>
      <c r="D24" s="200">
        <f>IF('Entries Feb.''25'!C24=0,0,+'Entries Feb.''25'!C24-'Entries Feb.''25'!C23)</f>
        <v>0</v>
      </c>
      <c r="E24" s="136" t="str">
        <f>IF('Entries Feb.''25'!G25-'Entries Feb.''25'!G24&lt;1,"0",'Entries Feb.''25'!G25-'Entries Feb.''25'!G24)</f>
        <v>0</v>
      </c>
      <c r="F24" s="136">
        <f t="shared" si="2"/>
        <v>140</v>
      </c>
      <c r="G24" s="136" t="e">
        <v>#REF!</v>
      </c>
      <c r="H24" s="136">
        <f t="shared" si="3"/>
        <v>47.63406940063085</v>
      </c>
      <c r="I24" s="136" t="e">
        <f t="shared" si="4"/>
        <v>#DIV/0!</v>
      </c>
      <c r="J24" s="136" t="e">
        <f t="shared" si="0"/>
        <v>#REF!</v>
      </c>
      <c r="K24" s="137">
        <f>IF('Entries Feb.''25'!B25-'Entries Feb.''25'!B24&lt;1,0,'Entries Feb.''25'!B25-'Entries Feb.''25'!B24)</f>
        <v>3020</v>
      </c>
      <c r="L24" s="139"/>
      <c r="M24" s="138" t="e">
        <f t="shared" si="1"/>
        <v>#DIV/0!</v>
      </c>
      <c r="O24" s="46">
        <f t="shared" si="5"/>
        <v>3020</v>
      </c>
    </row>
    <row r="25" spans="1:15" x14ac:dyDescent="0.2">
      <c r="A25" s="135">
        <v>19</v>
      </c>
      <c r="B25" s="198">
        <f>IF('Entries Feb.''25'!B25=0,0,+'Entries Feb.''25'!B26-'Entries Feb.''25'!B25)</f>
        <v>3160</v>
      </c>
      <c r="C25" s="136">
        <f>IF('Entries Feb.''25'!F28-'Entries Feb.''25'!F25&lt;1,"0",'Entries Feb.''25'!F28-'Entries Feb.''25'!F25)</f>
        <v>60.700000000000273</v>
      </c>
      <c r="D25" s="200">
        <f>IF('Entries Feb.''25'!C25=0,0,+'Entries Feb.''25'!C25-'Entries Feb.''25'!C24)</f>
        <v>0</v>
      </c>
      <c r="E25" s="136" t="str">
        <f>IF('Entries Feb.''25'!G26-'Entries Feb.''25'!G25&lt;1,"0",'Entries Feb.''25'!G26-'Entries Feb.''25'!G25)</f>
        <v>0</v>
      </c>
      <c r="F25" s="136">
        <f t="shared" si="2"/>
        <v>-190</v>
      </c>
      <c r="G25" s="136" t="e">
        <v>#REF!</v>
      </c>
      <c r="H25" s="136">
        <f t="shared" si="3"/>
        <v>52.059308072487411</v>
      </c>
      <c r="I25" s="136" t="e">
        <f t="shared" si="4"/>
        <v>#DIV/0!</v>
      </c>
      <c r="J25" s="136" t="e">
        <f t="shared" si="0"/>
        <v>#REF!</v>
      </c>
      <c r="K25" s="137">
        <f>IF('Entries Feb.''25'!B26-'Entries Feb.''25'!B25&lt;1,0,'Entries Feb.''25'!B26-'Entries Feb.''25'!B25)</f>
        <v>3160</v>
      </c>
      <c r="L25" s="139"/>
      <c r="M25" s="138" t="e">
        <f t="shared" si="1"/>
        <v>#DIV/0!</v>
      </c>
      <c r="O25" s="46">
        <f t="shared" si="5"/>
        <v>3160</v>
      </c>
    </row>
    <row r="26" spans="1:15" x14ac:dyDescent="0.2">
      <c r="A26" s="135">
        <v>20</v>
      </c>
      <c r="B26" s="198">
        <f>IF('Entries Feb.''25'!B26=0,0,+'Entries Feb.''25'!B27-'Entries Feb.''25'!B26)</f>
        <v>2970</v>
      </c>
      <c r="C26" s="136">
        <f>IF('Entries Feb.''25'!F29-'Entries Feb.''25'!F26&lt;1,"0",'Entries Feb.''25'!F29-'Entries Feb.''25'!F26)</f>
        <v>41.400000000000091</v>
      </c>
      <c r="D26" s="200">
        <f>IF('Entries Feb.''25'!C26=0,0,+'Entries Feb.''25'!C26-'Entries Feb.''25'!C25)</f>
        <v>0</v>
      </c>
      <c r="E26" s="136" t="str">
        <f>IF('Entries Feb.''25'!G27-'Entries Feb.''25'!G26&lt;1,"0",'Entries Feb.''25'!G27-'Entries Feb.''25'!G26)</f>
        <v>0</v>
      </c>
      <c r="F26" s="136">
        <f t="shared" si="2"/>
        <v>-560</v>
      </c>
      <c r="G26" s="136" t="e">
        <v>#REF!</v>
      </c>
      <c r="H26" s="136">
        <f t="shared" si="3"/>
        <v>71.739130434782453</v>
      </c>
      <c r="I26" s="136" t="e">
        <f t="shared" si="4"/>
        <v>#DIV/0!</v>
      </c>
      <c r="J26" s="136" t="e">
        <f t="shared" si="0"/>
        <v>#REF!</v>
      </c>
      <c r="K26" s="137">
        <f>IF('Entries Feb.''25'!B27-'Entries Feb.''25'!B26&lt;1,0,'Entries Feb.''25'!B27-'Entries Feb.''25'!B26)</f>
        <v>2970</v>
      </c>
      <c r="L26" s="139"/>
      <c r="M26" s="138" t="e">
        <f t="shared" si="1"/>
        <v>#DIV/0!</v>
      </c>
      <c r="O26" s="46">
        <f t="shared" si="5"/>
        <v>2970</v>
      </c>
    </row>
    <row r="27" spans="1:15" x14ac:dyDescent="0.2">
      <c r="A27" s="135">
        <v>21</v>
      </c>
      <c r="B27" s="198">
        <f>IF('Entries Feb.''25'!B27=0,0,+'Entries Feb.''25'!B28-'Entries Feb.''25'!B27)</f>
        <v>2410</v>
      </c>
      <c r="C27" s="136">
        <f>IF('Entries Feb.''25'!F28-'Entries Feb.''25'!F27&lt;1,"0",'Entries Feb.''25'!F28-'Entries Feb.''25'!F27)</f>
        <v>17.900000000000091</v>
      </c>
      <c r="D27" s="200">
        <f>IF('Entries Feb.''25'!C27=0,0,+'Entries Feb.''25'!C27-'Entries Feb.''25'!C26)</f>
        <v>0</v>
      </c>
      <c r="E27" s="136" t="str">
        <f>IF('Entries Feb.''25'!G28-'Entries Feb.''25'!G27&lt;1,"0",'Entries Feb.''25'!G28-'Entries Feb.''25'!G27)</f>
        <v>0</v>
      </c>
      <c r="F27" s="136">
        <f t="shared" si="2"/>
        <v>-2070</v>
      </c>
      <c r="G27" s="136" t="e">
        <v>#REF!</v>
      </c>
      <c r="H27" s="136">
        <f t="shared" si="3"/>
        <v>134.63687150837922</v>
      </c>
      <c r="I27" s="136" t="e">
        <f t="shared" si="4"/>
        <v>#DIV/0!</v>
      </c>
      <c r="J27" s="136" t="e">
        <f t="shared" si="0"/>
        <v>#REF!</v>
      </c>
      <c r="K27" s="137">
        <f>IF('Entries Feb.''25'!B28-'Entries Feb.''25'!B27&lt;1,0,'Entries Feb.''25'!B28-'Entries Feb.''25'!B27)</f>
        <v>2410</v>
      </c>
      <c r="L27" s="139"/>
      <c r="M27" s="138" t="e">
        <f t="shared" si="1"/>
        <v>#DIV/0!</v>
      </c>
      <c r="O27" s="46">
        <f t="shared" si="5"/>
        <v>2410</v>
      </c>
    </row>
    <row r="28" spans="1:15" x14ac:dyDescent="0.2">
      <c r="A28" s="135">
        <v>22</v>
      </c>
      <c r="B28" s="198">
        <f>IF('Entries Feb.''25'!B28=0,0,+'Entries Feb.''25'!B29-'Entries Feb.''25'!B28)</f>
        <v>340</v>
      </c>
      <c r="C28" s="136">
        <f>IF('Entries Feb.''25'!F29-'Entries Feb.''25'!F28&lt;1,"0",'Entries Feb.''25'!F29-'Entries Feb.''25'!F28)</f>
        <v>2.0999999999999091</v>
      </c>
      <c r="D28" s="200">
        <f>IF('Entries Feb.''25'!C28=0,0,+'Entries Feb.''25'!C28-'Entries Feb.''25'!C27)</f>
        <v>0</v>
      </c>
      <c r="E28" s="136" t="str">
        <f>IF('Entries Feb.''25'!G29-'Entries Feb.''25'!G28&lt;1,"0",'Entries Feb.''25'!G29-'Entries Feb.''25'!G28)</f>
        <v>0</v>
      </c>
      <c r="F28" s="136">
        <f t="shared" si="2"/>
        <v>670</v>
      </c>
      <c r="G28" s="136" t="e">
        <v>#REF!</v>
      </c>
      <c r="H28" s="136">
        <f t="shared" si="3"/>
        <v>161.90476190476892</v>
      </c>
      <c r="I28" s="136" t="e">
        <f t="shared" si="4"/>
        <v>#DIV/0!</v>
      </c>
      <c r="J28" s="136" t="e">
        <f t="shared" si="0"/>
        <v>#REF!</v>
      </c>
      <c r="K28" s="137">
        <f>IF('Entries Feb.''25'!B29-'Entries Feb.''25'!B28&lt;1,0,'Entries Feb.''25'!B29-'Entries Feb.''25'!B28)</f>
        <v>340</v>
      </c>
      <c r="L28" s="139"/>
      <c r="M28" s="138" t="e">
        <f t="shared" si="1"/>
        <v>#DIV/0!</v>
      </c>
      <c r="O28" s="46">
        <f t="shared" si="5"/>
        <v>340</v>
      </c>
    </row>
    <row r="29" spans="1:15" x14ac:dyDescent="0.2">
      <c r="A29" s="135">
        <v>23</v>
      </c>
      <c r="B29" s="198">
        <f>IF('Entries Feb.''25'!B29=0,0,+'Entries Feb.''25'!B30-'Entries Feb.''25'!B29)</f>
        <v>1010</v>
      </c>
      <c r="C29" s="136">
        <f>IF('Entries Feb.''25'!F30-'Entries Feb.''25'!F29&lt;1,"0",'Entries Feb.''25'!F30-'Entries Feb.''25'!F29)</f>
        <v>7.1999999999998181</v>
      </c>
      <c r="D29" s="200">
        <f>IF('Entries Feb.''25'!C29=0,0,+'Entries Feb.''25'!C29-'Entries Feb.''25'!C28)</f>
        <v>0</v>
      </c>
      <c r="E29" s="136" t="str">
        <f>IF('Entries Feb.''25'!G30-'Entries Feb.''25'!G29&lt;1,"0",'Entries Feb.''25'!G30-'Entries Feb.''25'!G29)</f>
        <v>0</v>
      </c>
      <c r="F29" s="136">
        <f t="shared" si="2"/>
        <v>2100</v>
      </c>
      <c r="G29" s="136" t="e">
        <v>#REF!</v>
      </c>
      <c r="H29" s="136">
        <f t="shared" si="3"/>
        <v>140.27777777778132</v>
      </c>
      <c r="I29" s="136" t="e">
        <f t="shared" si="4"/>
        <v>#DIV/0!</v>
      </c>
      <c r="J29" s="136" t="e">
        <f t="shared" si="0"/>
        <v>#REF!</v>
      </c>
      <c r="K29" s="137">
        <f>IF('Entries Feb.''25'!B30-'Entries Feb.''25'!B29&lt;1,0,'Entries Feb.''25'!B30-'Entries Feb.''25'!B29)</f>
        <v>1010</v>
      </c>
      <c r="L29" s="139"/>
      <c r="M29" s="138" t="e">
        <f t="shared" si="1"/>
        <v>#DIV/0!</v>
      </c>
      <c r="O29" s="46">
        <f t="shared" si="5"/>
        <v>1010</v>
      </c>
    </row>
    <row r="30" spans="1:15" x14ac:dyDescent="0.2">
      <c r="A30" s="135">
        <v>24</v>
      </c>
      <c r="B30" s="198">
        <f>IF('Entries Feb.''25'!B30=0,0,+'Entries Feb.''25'!B31-'Entries Feb.''25'!B30)</f>
        <v>3110</v>
      </c>
      <c r="C30" s="136">
        <f>IF('Entries Feb.''25'!F31-'Entries Feb.''25'!F30&lt;1,"0",'Entries Feb.''25'!F31-'Entries Feb.''25'!F30)</f>
        <v>21</v>
      </c>
      <c r="D30" s="200">
        <f>IF('Entries Feb.''25'!C30=0,0,+'Entries Feb.''25'!C30-'Entries Feb.''25'!C29)</f>
        <v>0</v>
      </c>
      <c r="E30" s="136" t="str">
        <f>IF('Entries Feb.''25'!G31-'Entries Feb.''25'!G30&lt;1,"0",'Entries Feb.''25'!G31-'Entries Feb.''25'!G30)</f>
        <v>0</v>
      </c>
      <c r="F30" s="136">
        <f t="shared" si="2"/>
        <v>140</v>
      </c>
      <c r="G30" s="136" t="e">
        <v>#REF!</v>
      </c>
      <c r="H30" s="136">
        <f t="shared" si="3"/>
        <v>148.0952380952381</v>
      </c>
      <c r="I30" s="136" t="e">
        <f t="shared" si="4"/>
        <v>#DIV/0!</v>
      </c>
      <c r="J30" s="136" t="e">
        <f t="shared" si="0"/>
        <v>#REF!</v>
      </c>
      <c r="K30" s="137">
        <f>IF('Entries Feb.''25'!B31-'Entries Feb.''25'!B30&lt;1,0,'Entries Feb.''25'!B31-'Entries Feb.''25'!B30)</f>
        <v>3110</v>
      </c>
      <c r="L30" s="139"/>
      <c r="M30" s="138" t="e">
        <f t="shared" si="1"/>
        <v>#DIV/0!</v>
      </c>
      <c r="O30" s="46">
        <f t="shared" si="5"/>
        <v>3110</v>
      </c>
    </row>
    <row r="31" spans="1:15" x14ac:dyDescent="0.2">
      <c r="A31" s="135">
        <v>25</v>
      </c>
      <c r="B31" s="198">
        <f>IF('Entries Feb.''25'!B31=0,0,+'Entries Feb.''25'!B32-'Entries Feb.''25'!B31)</f>
        <v>3250</v>
      </c>
      <c r="C31" s="136">
        <f>IF('Entries Feb.''25'!F32-'Entries Feb.''25'!F31&lt;1,"0",'Entries Feb.''25'!F32-'Entries Feb.''25'!F31)</f>
        <v>21.300000000000182</v>
      </c>
      <c r="D31" s="200">
        <f>IF('Entries Feb.''25'!C31=0,0,+'Entries Feb.''25'!C31-'Entries Feb.''25'!C30)</f>
        <v>0</v>
      </c>
      <c r="E31" s="136" t="str">
        <f>IF('Entries Feb.''25'!G32-'Entries Feb.''25'!G31&lt;1,"0",'Entries Feb.''25'!G32-'Entries Feb.''25'!G31)</f>
        <v>0</v>
      </c>
      <c r="F31" s="136">
        <f t="shared" si="2"/>
        <v>-440</v>
      </c>
      <c r="G31" s="136" t="e">
        <v>#REF!</v>
      </c>
      <c r="H31" s="136">
        <f t="shared" si="3"/>
        <v>152.58215962441184</v>
      </c>
      <c r="I31" s="136" t="e">
        <f t="shared" si="4"/>
        <v>#DIV/0!</v>
      </c>
      <c r="J31" s="136" t="e">
        <f t="shared" si="0"/>
        <v>#REF!</v>
      </c>
      <c r="K31" s="137">
        <f>IF('Entries Feb.''25'!B32-'Entries Feb.''25'!B31&lt;1,0,'Entries Feb.''25'!B32-'Entries Feb.''25'!B31)</f>
        <v>3250</v>
      </c>
      <c r="L31" s="139"/>
      <c r="M31" s="138" t="e">
        <f t="shared" si="1"/>
        <v>#DIV/0!</v>
      </c>
      <c r="O31" s="46">
        <f t="shared" si="5"/>
        <v>3250</v>
      </c>
    </row>
    <row r="32" spans="1:15" x14ac:dyDescent="0.2">
      <c r="A32" s="135">
        <v>26</v>
      </c>
      <c r="B32" s="198">
        <f>IF('Entries Feb.''25'!B32=0,0,+'Entries Feb.''25'!B33-'Entries Feb.''25'!B32)</f>
        <v>2810</v>
      </c>
      <c r="C32" s="136">
        <f>IF('Entries Feb.''25'!F33-'Entries Feb.''25'!F32&lt;1,"0",'Entries Feb.''25'!F33-'Entries Feb.''25'!F32)</f>
        <v>18.900000000000091</v>
      </c>
      <c r="D32" s="200">
        <f>IF('Entries Feb.''25'!C32=0,0,+'Entries Feb.''25'!C32-'Entries Feb.''25'!C31)</f>
        <v>0</v>
      </c>
      <c r="E32" s="136" t="str">
        <f>IF('Entries Feb.''25'!G33-'Entries Feb.''25'!G32&lt;1,"0",'Entries Feb.''25'!G33-'Entries Feb.''25'!G32)</f>
        <v>0</v>
      </c>
      <c r="F32" s="136">
        <f t="shared" si="2"/>
        <v>130</v>
      </c>
      <c r="G32" s="136" t="e">
        <v>#REF!</v>
      </c>
      <c r="H32" s="136">
        <f t="shared" si="3"/>
        <v>148.67724867724797</v>
      </c>
      <c r="I32" s="136" t="e">
        <f t="shared" si="4"/>
        <v>#DIV/0!</v>
      </c>
      <c r="J32" s="136" t="e">
        <f t="shared" si="0"/>
        <v>#REF!</v>
      </c>
      <c r="K32" s="137">
        <f>IF('Entries Feb.''25'!B33-'Entries Feb.''25'!B32&lt;1,0,'Entries Feb.''25'!B33-'Entries Feb.''25'!B32)</f>
        <v>2810</v>
      </c>
      <c r="L32" s="139"/>
      <c r="M32" s="138" t="e">
        <f t="shared" si="1"/>
        <v>#DIV/0!</v>
      </c>
      <c r="O32" s="46">
        <f t="shared" si="5"/>
        <v>2810</v>
      </c>
    </row>
    <row r="33" spans="1:15" x14ac:dyDescent="0.2">
      <c r="A33" s="135">
        <v>27</v>
      </c>
      <c r="B33" s="198">
        <f>IF('Entries Feb.''25'!B33=0,0,+'Entries Feb.''25'!B34-'Entries Feb.''25'!B33)</f>
        <v>2940</v>
      </c>
      <c r="C33" s="136">
        <f>IF('Entries Feb.''25'!F34-'Entries Feb.''25'!F33&lt;1,"0",'Entries Feb.''25'!F34-'Entries Feb.''25'!F33)</f>
        <v>22</v>
      </c>
      <c r="D33" s="200">
        <f>IF('Entries Feb.''25'!C33=0,0,+'Entries Feb.''25'!C33-'Entries Feb.''25'!C32)</f>
        <v>0</v>
      </c>
      <c r="E33" s="136" t="str">
        <f>IF('Entries Feb.''25'!G34-'Entries Feb.''25'!G33&lt;1,"0",'Entries Feb.''25'!G34-'Entries Feb.''25'!G33)</f>
        <v>0</v>
      </c>
      <c r="F33" s="136">
        <f t="shared" si="2"/>
        <v>-290</v>
      </c>
      <c r="G33" s="136" t="e">
        <v>#REF!</v>
      </c>
      <c r="H33" s="136">
        <f t="shared" si="3"/>
        <v>133.63636363636363</v>
      </c>
      <c r="I33" s="136" t="e">
        <f t="shared" si="4"/>
        <v>#DIV/0!</v>
      </c>
      <c r="J33" s="136" t="e">
        <f t="shared" si="0"/>
        <v>#REF!</v>
      </c>
      <c r="K33" s="652">
        <f>IF('Entries Feb.''25'!B34-'Entries Feb.''25'!B33&lt;1,0,'Entries Feb.''25'!B34-'Entries Feb.''25'!B33)</f>
        <v>2940</v>
      </c>
      <c r="L33" s="139"/>
      <c r="M33" s="138" t="e">
        <f t="shared" si="1"/>
        <v>#DIV/0!</v>
      </c>
      <c r="O33" s="46">
        <f t="shared" si="5"/>
        <v>2940</v>
      </c>
    </row>
    <row r="34" spans="1:15" x14ac:dyDescent="0.2">
      <c r="A34" s="135">
        <v>28</v>
      </c>
      <c r="B34" s="198">
        <f>IF('Entries Feb.''25'!B34=0,0,+'Entries Feb.''25'!B35-'Entries Feb.''25'!B34)</f>
        <v>2650</v>
      </c>
      <c r="C34" s="136">
        <f>IF('Entries Feb.''25'!F35-'Entries Feb.''25'!F34&lt;1,"0",'Entries Feb.''25'!F35-'Entries Feb.''25'!F34)</f>
        <v>18.599999999999909</v>
      </c>
      <c r="D34" s="200">
        <f>IF('Entries Feb.''25'!C34=0,0,+'Entries Feb.''25'!C34-'Entries Feb.''25'!C33)</f>
        <v>0</v>
      </c>
      <c r="E34" s="136" t="str">
        <f>IF('Entries Feb.''25'!G35-'Entries Feb.''25'!G34&lt;1,"0",'Entries Feb.''25'!G35-'Entries Feb.''25'!G34)</f>
        <v>0</v>
      </c>
      <c r="F34" s="136">
        <f t="shared" si="2"/>
        <v>-2650</v>
      </c>
      <c r="G34" s="136" t="e">
        <v>#REF!</v>
      </c>
      <c r="H34" s="136">
        <f t="shared" si="3"/>
        <v>142.4731182795706</v>
      </c>
      <c r="I34" s="136" t="e">
        <f t="shared" si="4"/>
        <v>#DIV/0!</v>
      </c>
      <c r="J34" s="136" t="e">
        <f t="shared" si="0"/>
        <v>#REF!</v>
      </c>
      <c r="K34" s="137">
        <f>IF('Entries Feb.''25'!B35-'Entries Feb.''25'!B34&lt;1,0,'Entries Feb.''25'!B35-'Entries Feb.''25'!B34)</f>
        <v>2650</v>
      </c>
      <c r="L34" s="139"/>
      <c r="M34" s="138" t="e">
        <f t="shared" si="1"/>
        <v>#DIV/0!</v>
      </c>
      <c r="O34" s="46">
        <f t="shared" si="5"/>
        <v>2650</v>
      </c>
    </row>
    <row r="35" spans="1:15" x14ac:dyDescent="0.2">
      <c r="A35" s="135">
        <v>29</v>
      </c>
      <c r="B35" s="198"/>
      <c r="C35" s="136" t="str">
        <f>IF('Entries Feb.''25'!F36-'Entries Feb.''25'!F35&lt;1,"0",'Entries Feb.''25'!F36-'Entries Feb.''25'!F35)</f>
        <v>0</v>
      </c>
      <c r="D35" s="200">
        <f>IF('Entries Feb.''25'!C35=0,0,+'Entries Feb.''25'!C35-'Entries Feb.''25'!C34)</f>
        <v>0</v>
      </c>
      <c r="E35" s="136" t="str">
        <f>IF('Entries Feb.''25'!G36-'Entries Feb.''25'!G35&lt;1,"0",'Entries Feb.''25'!G36-'Entries Feb.''25'!G35)</f>
        <v>0</v>
      </c>
      <c r="F35" s="136">
        <f t="shared" si="2"/>
        <v>0</v>
      </c>
      <c r="G35" s="136" t="e">
        <v>#REF!</v>
      </c>
      <c r="H35" s="136" t="e">
        <f t="shared" si="3"/>
        <v>#DIV/0!</v>
      </c>
      <c r="I35" s="136" t="e">
        <f t="shared" si="4"/>
        <v>#DIV/0!</v>
      </c>
      <c r="J35" s="136" t="e">
        <f t="shared" si="0"/>
        <v>#REF!</v>
      </c>
      <c r="K35" s="137">
        <f>IF('Entries Feb.''25'!B36-'Entries Feb.''25'!B35&lt;1,0,'Entries Feb.''25'!B36-'Entries Feb.''25'!B35)</f>
        <v>0</v>
      </c>
      <c r="L35" s="139"/>
      <c r="M35" s="138" t="e">
        <f t="shared" si="1"/>
        <v>#DIV/0!</v>
      </c>
      <c r="O35" s="46">
        <f t="shared" si="5"/>
        <v>0</v>
      </c>
    </row>
    <row r="36" spans="1:15" x14ac:dyDescent="0.2">
      <c r="A36" s="135">
        <v>30</v>
      </c>
      <c r="B36" s="198">
        <f>IF('Entries Feb.''25'!B36=0,0,+'Entries Feb.''25'!B36-'Entries Feb.''25'!#REF!)</f>
        <v>0</v>
      </c>
      <c r="C36" s="136" t="str">
        <f>IF('Entries Feb.''25'!F37-'Entries Feb.''25'!F36&lt;1,"0",'Entries Feb.''25'!F37-'Entries Feb.''25'!F36)</f>
        <v>0</v>
      </c>
      <c r="D36" s="200">
        <f>IF('Entries Feb.''25'!C36=0,0,+'Entries Feb.''25'!C36-'Entries Feb.''25'!C35)</f>
        <v>0</v>
      </c>
      <c r="E36" s="136" t="str">
        <f>IF('Entries Feb.''25'!G37-'Entries Feb.''25'!G36&lt;1,"0",'Entries Feb.''25'!G37-'Entries Feb.''25'!G36)</f>
        <v>0</v>
      </c>
      <c r="F36" s="136">
        <f t="shared" si="2"/>
        <v>0</v>
      </c>
      <c r="G36" s="136" t="e">
        <v>#REF!</v>
      </c>
      <c r="H36" s="136" t="e">
        <f t="shared" si="3"/>
        <v>#DIV/0!</v>
      </c>
      <c r="I36" s="136" t="e">
        <f t="shared" si="4"/>
        <v>#DIV/0!</v>
      </c>
      <c r="J36" s="136" t="e">
        <f t="shared" si="0"/>
        <v>#REF!</v>
      </c>
      <c r="K36" s="137">
        <f>IF('Entries Feb.''25'!B37-'Entries Feb.''25'!B36&lt;1,0,'Entries Feb.''25'!B37-'Entries Feb.''25'!B36)</f>
        <v>0</v>
      </c>
      <c r="L36" s="139"/>
      <c r="M36" s="138" t="e">
        <f t="shared" si="1"/>
        <v>#DIV/0!</v>
      </c>
      <c r="O36" s="46">
        <f t="shared" si="5"/>
        <v>0</v>
      </c>
    </row>
    <row r="37" spans="1:15" x14ac:dyDescent="0.2">
      <c r="A37" s="135">
        <v>31</v>
      </c>
      <c r="B37" s="198">
        <f>IF('Entries Feb.''25'!B37=0,0,+'Entries Feb.''25'!B37-'Entries Feb.''25'!B36)</f>
        <v>0</v>
      </c>
      <c r="C37" s="136" t="str">
        <f>IF('Entries Feb.''25'!F38-'Entries Feb.''25'!F37&lt;1,"0",'Entries Feb.''25'!F38-'Entries Feb.''25'!F37)</f>
        <v>0</v>
      </c>
      <c r="D37" s="200">
        <f>IF('Entries Feb.''25'!C37=0,0,+'Entries Feb.''25'!C37-'Entries Feb.''25'!C36)</f>
        <v>0</v>
      </c>
      <c r="E37" s="136" t="str">
        <f>IF('Entries Feb.''25'!G38-'Entries Feb.''25'!G37&lt;1,"0",'Entries Feb.''25'!G38-'Entries Feb.''25'!G37)</f>
        <v>0</v>
      </c>
      <c r="F37" s="136">
        <f t="shared" si="2"/>
        <v>62060</v>
      </c>
      <c r="G37" s="136" t="e">
        <v>#REF!</v>
      </c>
      <c r="H37" s="136" t="e">
        <f t="shared" si="3"/>
        <v>#DIV/0!</v>
      </c>
      <c r="I37" s="136" t="e">
        <f t="shared" si="4"/>
        <v>#DIV/0!</v>
      </c>
      <c r="J37" s="136" t="e">
        <f t="shared" si="0"/>
        <v>#REF!</v>
      </c>
      <c r="K37" s="137">
        <f>IF('Entries Feb.''25'!B38-'Entries Feb.''25'!B37&lt;1,0,'Entries Feb.''25'!B38-'Entries Feb.''25'!B37)</f>
        <v>0</v>
      </c>
      <c r="L37" s="139"/>
      <c r="M37" s="138" t="e">
        <f t="shared" si="1"/>
        <v>#DIV/0!</v>
      </c>
      <c r="O37" s="46">
        <f t="shared" si="5"/>
        <v>0</v>
      </c>
    </row>
    <row r="38" spans="1:15" ht="15.75" x14ac:dyDescent="0.25">
      <c r="A38" s="142"/>
      <c r="B38" s="141">
        <f>SUM(B7:B34)</f>
        <v>62060</v>
      </c>
      <c r="C38" s="141">
        <f>SUM(C7:C34)</f>
        <v>640.79999999999973</v>
      </c>
      <c r="D38" s="141">
        <f>SUM(D7:D34)</f>
        <v>0</v>
      </c>
      <c r="E38" s="141">
        <f>SUM(E7:E34)</f>
        <v>1</v>
      </c>
      <c r="F38" s="142"/>
      <c r="G38" s="143"/>
      <c r="H38" s="143"/>
      <c r="I38" s="143"/>
      <c r="J38" s="143"/>
      <c r="K38" s="141">
        <f>SUM(K7:K34)</f>
        <v>62060</v>
      </c>
      <c r="L38" s="142"/>
      <c r="M38" s="142"/>
    </row>
    <row r="39" spans="1:15" x14ac:dyDescent="0.2">
      <c r="C39" s="135">
        <v>1</v>
      </c>
      <c r="D39" s="201">
        <f t="shared" ref="D39:D70" si="6">+$B7+$D7</f>
        <v>200</v>
      </c>
    </row>
    <row r="40" spans="1:15" x14ac:dyDescent="0.2">
      <c r="C40" s="135">
        <v>2</v>
      </c>
      <c r="D40" s="201">
        <f t="shared" si="6"/>
        <v>760</v>
      </c>
    </row>
    <row r="41" spans="1:15" x14ac:dyDescent="0.2">
      <c r="C41" s="135">
        <v>3</v>
      </c>
      <c r="D41" s="201">
        <f t="shared" si="6"/>
        <v>3100</v>
      </c>
    </row>
    <row r="42" spans="1:15" x14ac:dyDescent="0.2">
      <c r="C42" s="135">
        <v>4</v>
      </c>
      <c r="D42" s="201">
        <f t="shared" si="6"/>
        <v>3030</v>
      </c>
    </row>
    <row r="43" spans="1:15" x14ac:dyDescent="0.2">
      <c r="C43" s="135">
        <v>5</v>
      </c>
      <c r="D43" s="201">
        <f t="shared" si="6"/>
        <v>3400</v>
      </c>
    </row>
    <row r="44" spans="1:15" x14ac:dyDescent="0.2">
      <c r="C44" s="135">
        <v>6</v>
      </c>
      <c r="D44" s="201">
        <f t="shared" si="6"/>
        <v>2920</v>
      </c>
    </row>
    <row r="45" spans="1:15" x14ac:dyDescent="0.2">
      <c r="C45" s="135">
        <v>7</v>
      </c>
      <c r="D45" s="201">
        <f t="shared" si="6"/>
        <v>0</v>
      </c>
    </row>
    <row r="46" spans="1:15" x14ac:dyDescent="0.2">
      <c r="C46" s="135">
        <v>8</v>
      </c>
      <c r="D46" s="201">
        <f t="shared" si="6"/>
        <v>410</v>
      </c>
    </row>
    <row r="47" spans="1:15" x14ac:dyDescent="0.2">
      <c r="C47" s="135">
        <v>9</v>
      </c>
      <c r="D47" s="201">
        <f t="shared" si="6"/>
        <v>1100</v>
      </c>
    </row>
    <row r="48" spans="1:15" x14ac:dyDescent="0.2">
      <c r="C48" s="135">
        <v>10</v>
      </c>
      <c r="D48" s="201">
        <f t="shared" si="6"/>
        <v>2710</v>
      </c>
    </row>
    <row r="49" spans="3:4" x14ac:dyDescent="0.2">
      <c r="C49" s="135">
        <v>11</v>
      </c>
      <c r="D49" s="201">
        <f t="shared" si="6"/>
        <v>3220</v>
      </c>
    </row>
    <row r="50" spans="3:4" x14ac:dyDescent="0.2">
      <c r="C50" s="135">
        <v>12</v>
      </c>
      <c r="D50" s="201">
        <f t="shared" si="6"/>
        <v>3280</v>
      </c>
    </row>
    <row r="51" spans="3:4" x14ac:dyDescent="0.2">
      <c r="C51" s="135">
        <v>13</v>
      </c>
      <c r="D51" s="201">
        <f t="shared" si="6"/>
        <v>3570</v>
      </c>
    </row>
    <row r="52" spans="3:4" x14ac:dyDescent="0.2">
      <c r="C52" s="135">
        <v>14</v>
      </c>
      <c r="D52" s="201">
        <f t="shared" si="6"/>
        <v>2810</v>
      </c>
    </row>
    <row r="53" spans="3:4" x14ac:dyDescent="0.2">
      <c r="C53" s="135">
        <v>15</v>
      </c>
      <c r="D53" s="201">
        <f t="shared" si="6"/>
        <v>380</v>
      </c>
    </row>
    <row r="54" spans="3:4" x14ac:dyDescent="0.2">
      <c r="C54" s="135">
        <v>16</v>
      </c>
      <c r="D54" s="201">
        <f t="shared" si="6"/>
        <v>650</v>
      </c>
    </row>
    <row r="55" spans="3:4" x14ac:dyDescent="0.2">
      <c r="C55" s="135">
        <v>17</v>
      </c>
      <c r="D55" s="201">
        <f t="shared" si="6"/>
        <v>2850</v>
      </c>
    </row>
    <row r="56" spans="3:4" x14ac:dyDescent="0.2">
      <c r="C56" s="135">
        <v>18</v>
      </c>
      <c r="D56" s="201">
        <f t="shared" si="6"/>
        <v>3020</v>
      </c>
    </row>
    <row r="57" spans="3:4" x14ac:dyDescent="0.2">
      <c r="C57" s="135">
        <v>19</v>
      </c>
      <c r="D57" s="201">
        <f t="shared" si="6"/>
        <v>3160</v>
      </c>
    </row>
    <row r="58" spans="3:4" x14ac:dyDescent="0.2">
      <c r="C58" s="135">
        <v>20</v>
      </c>
      <c r="D58" s="201">
        <f t="shared" si="6"/>
        <v>2970</v>
      </c>
    </row>
    <row r="59" spans="3:4" x14ac:dyDescent="0.2">
      <c r="C59" s="135">
        <v>21</v>
      </c>
      <c r="D59" s="201">
        <f t="shared" si="6"/>
        <v>2410</v>
      </c>
    </row>
    <row r="60" spans="3:4" x14ac:dyDescent="0.2">
      <c r="C60" s="135">
        <v>22</v>
      </c>
      <c r="D60" s="201">
        <f t="shared" si="6"/>
        <v>340</v>
      </c>
    </row>
    <row r="61" spans="3:4" x14ac:dyDescent="0.2">
      <c r="C61" s="135">
        <v>23</v>
      </c>
      <c r="D61" s="201">
        <f t="shared" si="6"/>
        <v>1010</v>
      </c>
    </row>
    <row r="62" spans="3:4" x14ac:dyDescent="0.2">
      <c r="C62" s="135">
        <v>24</v>
      </c>
      <c r="D62" s="201">
        <f t="shared" si="6"/>
        <v>3110</v>
      </c>
    </row>
    <row r="63" spans="3:4" x14ac:dyDescent="0.2">
      <c r="C63" s="135">
        <v>25</v>
      </c>
      <c r="D63" s="201">
        <f t="shared" si="6"/>
        <v>3250</v>
      </c>
    </row>
    <row r="64" spans="3:4" x14ac:dyDescent="0.2">
      <c r="C64" s="135">
        <v>26</v>
      </c>
      <c r="D64" s="201">
        <f t="shared" si="6"/>
        <v>2810</v>
      </c>
    </row>
    <row r="65" spans="3:4" x14ac:dyDescent="0.2">
      <c r="C65" s="135">
        <v>27</v>
      </c>
      <c r="D65" s="201">
        <f t="shared" si="6"/>
        <v>2940</v>
      </c>
    </row>
    <row r="66" spans="3:4" x14ac:dyDescent="0.2">
      <c r="C66" s="135">
        <v>28</v>
      </c>
      <c r="D66" s="201">
        <f t="shared" si="6"/>
        <v>2650</v>
      </c>
    </row>
    <row r="67" spans="3:4" x14ac:dyDescent="0.2">
      <c r="C67" s="135">
        <v>29</v>
      </c>
      <c r="D67" s="201">
        <f t="shared" si="6"/>
        <v>0</v>
      </c>
    </row>
    <row r="68" spans="3:4" x14ac:dyDescent="0.2">
      <c r="C68" s="135">
        <v>30</v>
      </c>
      <c r="D68" s="201">
        <f t="shared" si="6"/>
        <v>0</v>
      </c>
    </row>
    <row r="69" spans="3:4" x14ac:dyDescent="0.2">
      <c r="C69" s="135">
        <v>31</v>
      </c>
      <c r="D69" s="201">
        <f t="shared" si="6"/>
        <v>0</v>
      </c>
    </row>
    <row r="70" spans="3:4" x14ac:dyDescent="0.2">
      <c r="D70" s="201">
        <f t="shared" si="6"/>
        <v>62060</v>
      </c>
    </row>
  </sheetData>
  <mergeCells count="1">
    <mergeCell ref="A1:M1"/>
  </mergeCells>
  <phoneticPr fontId="0" type="noConversion"/>
  <pageMargins left="0.25" right="0.25" top="0.25" bottom="0.25" header="0.5" footer="0.5"/>
  <pageSetup scale="7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selection activeCell="Q33" sqref="Q33:Q34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9" width="12.5703125" style="8"/>
    <col min="30" max="30" width="12.42578125" style="8" customWidth="1"/>
    <col min="31" max="16384" width="12.5703125" style="8"/>
  </cols>
  <sheetData>
    <row r="1" spans="1:27" ht="15.75" x14ac:dyDescent="0.25">
      <c r="A1" s="694"/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</row>
    <row r="2" spans="1:27" x14ac:dyDescent="0.2">
      <c r="C2" s="26"/>
    </row>
    <row r="3" spans="1:27" ht="4.5" customHeight="1" thickBot="1" x14ac:dyDescent="0.25"/>
    <row r="4" spans="1:27" ht="15.75" customHeight="1" x14ac:dyDescent="0.2">
      <c r="B4" s="742" t="s">
        <v>8</v>
      </c>
      <c r="C4" s="740" t="s">
        <v>119</v>
      </c>
      <c r="D4" s="738" t="s">
        <v>120</v>
      </c>
      <c r="E4" s="740" t="s">
        <v>121</v>
      </c>
      <c r="F4" s="738" t="s">
        <v>122</v>
      </c>
      <c r="G4" s="738" t="s">
        <v>123</v>
      </c>
      <c r="H4" s="738" t="s">
        <v>180</v>
      </c>
      <c r="I4" s="740" t="s">
        <v>231</v>
      </c>
      <c r="J4" s="740" t="s">
        <v>124</v>
      </c>
      <c r="K4" s="740" t="s">
        <v>193</v>
      </c>
      <c r="L4" s="740" t="s">
        <v>192</v>
      </c>
      <c r="M4" s="740" t="s">
        <v>116</v>
      </c>
      <c r="N4" s="146"/>
      <c r="O4" s="146"/>
      <c r="P4" s="146"/>
      <c r="Q4" s="738" t="s">
        <v>125</v>
      </c>
      <c r="R4" s="738" t="s">
        <v>86</v>
      </c>
      <c r="S4" s="146"/>
      <c r="T4" s="740" t="s">
        <v>171</v>
      </c>
      <c r="U4" s="146"/>
      <c r="V4" s="146"/>
      <c r="W4" s="740" t="s">
        <v>194</v>
      </c>
      <c r="X4" s="740" t="s">
        <v>195</v>
      </c>
      <c r="Y4" s="746" t="s">
        <v>57</v>
      </c>
      <c r="Z4" s="746" t="s">
        <v>51</v>
      </c>
      <c r="AA4" s="744" t="s">
        <v>87</v>
      </c>
    </row>
    <row r="5" spans="1:27" ht="47.25" customHeight="1" x14ac:dyDescent="0.2">
      <c r="B5" s="743"/>
      <c r="C5" s="741"/>
      <c r="D5" s="739"/>
      <c r="E5" s="748"/>
      <c r="F5" s="739"/>
      <c r="G5" s="739"/>
      <c r="H5" s="739"/>
      <c r="I5" s="748"/>
      <c r="J5" s="748"/>
      <c r="K5" s="748"/>
      <c r="L5" s="748"/>
      <c r="M5" s="748"/>
      <c r="N5" s="148" t="s">
        <v>126</v>
      </c>
      <c r="O5" s="148" t="s">
        <v>127</v>
      </c>
      <c r="P5" s="148" t="s">
        <v>128</v>
      </c>
      <c r="Q5" s="739"/>
      <c r="R5" s="739"/>
      <c r="S5" s="147" t="s">
        <v>112</v>
      </c>
      <c r="T5" s="749"/>
      <c r="U5" s="222" t="s">
        <v>175</v>
      </c>
      <c r="V5" s="222" t="s">
        <v>176</v>
      </c>
      <c r="W5" s="748"/>
      <c r="X5" s="748"/>
      <c r="Y5" s="747"/>
      <c r="Z5" s="747"/>
      <c r="AA5" s="745"/>
    </row>
    <row r="6" spans="1:27" x14ac:dyDescent="0.2">
      <c r="B6" s="33" t="s">
        <v>39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47">
        <f>IF('Entries Feb.''25'!Z7-'Entries Feb.''25'!Z6&lt;1,"0",'Entries Feb.''25'!Z7-'Entries Feb.''25'!Z6)</f>
        <v>27709</v>
      </c>
      <c r="P6" s="47">
        <f>IF('Entries Feb.''25'!AA7-'Entries Feb.''25'!AA6&lt;1,"0",'Entries Feb.''25'!AA7-'Entries Feb.''25'!AA6)</f>
        <v>4869</v>
      </c>
      <c r="Q6" s="47">
        <f>IF(('Entries Feb.''25'!AB7-'Entries Feb.''25'!AB6)+('Entries Feb.''25'!AC7-'Entries Feb.''25'!AC6)&lt;1,"0",('Entries Feb.''25'!AB7-'Entries Feb.''25'!AB6)+('Entries Feb.''25'!AC7-'Entries Feb.''25'!AC6))</f>
        <v>97122</v>
      </c>
      <c r="R6" s="27"/>
      <c r="S6" s="27"/>
      <c r="T6" s="47" t="str">
        <f>IF('Entries Feb.''25'!AD8-'Entries Feb.''25'!AD7&lt;1,"0",'Entries Feb.''25'!AD8-'Entries Feb.''25'!AD7)</f>
        <v>0</v>
      </c>
      <c r="U6" s="221">
        <f>'Entries Feb.''25'!AE7-'Entries Feb.''25'!AE6</f>
        <v>258494</v>
      </c>
      <c r="V6" s="47"/>
      <c r="W6" s="47"/>
      <c r="X6" s="47"/>
      <c r="Y6" s="27"/>
      <c r="Z6" s="27"/>
      <c r="AA6" s="28"/>
    </row>
    <row r="7" spans="1:27" x14ac:dyDescent="0.2">
      <c r="B7" s="149">
        <v>1</v>
      </c>
      <c r="C7" s="150" t="str">
        <f>IF('Entries Feb.''25'!X8-'Entries Feb.''25'!X7&lt;1,"0",'Entries Feb.''25'!X8-'Entries Feb.''25'!X7)</f>
        <v>0</v>
      </c>
      <c r="D7" s="47" t="str">
        <f>IF('Entries Feb.''25'!P8-'Entries Feb.''25'!P7&lt;1,"0",'Entries Feb.''25'!P8-'Entries Feb.''25'!P7)</f>
        <v>0</v>
      </c>
      <c r="E7" s="47">
        <f>IF('Entries Feb.''25'!Q8-'Entries Feb.''25'!Q7&lt;1,"0",'Entries Feb.''25'!Q8-'Entries Feb.''25'!Q7)</f>
        <v>255</v>
      </c>
      <c r="F7" s="47" t="str">
        <f>IF('Entries Feb.''25'!W8-'Entries Feb.''25'!W7&lt;1,"0",'Entries Feb.''25'!W8-'Entries Feb.''25'!W7)</f>
        <v>0</v>
      </c>
      <c r="G7" s="47">
        <f>(D7+E7)-F7</f>
        <v>255</v>
      </c>
      <c r="H7" s="47">
        <f>IF('Entries Feb.''25'!R8-'Entries Feb.''25'!R7&lt;1,0,'Entries Feb.''25'!R8-'Entries Feb.''25'!R7)</f>
        <v>20</v>
      </c>
      <c r="I7" s="47">
        <f>IF('Entries Feb.''25'!AH8-'Entries Feb.''25'!AH7&lt;1,0,'Entries Feb.''25'!AH8-'Entries Feb.''25'!AH7)</f>
        <v>0</v>
      </c>
      <c r="J7" s="47" t="str">
        <f>IF('Entries Feb.''25'!T8-'Entries Feb.''25'!T7&lt;1,"0",'Entries Feb.''25'!T8-'Entries Feb.''25'!T7)</f>
        <v>0</v>
      </c>
      <c r="K7" s="47" t="str">
        <f>IF('Entries Feb.''25'!S8-'Entries Feb.''25'!S7&lt;1,"0",'Entries Feb.''25'!S8-'Entries Feb.''25'!S7)</f>
        <v>0</v>
      </c>
      <c r="L7" s="47" t="str">
        <f>IF('Entries Feb.''25'!U8-'Entries Feb.''25'!W7&lt;1,"0",'Entries Feb.''25'!U8-'Entries Feb.''25'!W7)</f>
        <v>0</v>
      </c>
      <c r="M7" s="47" t="str">
        <f>IF('Entries Feb.''25'!V8-'Entries Feb.''25'!V7&lt;1,"0",'Entries Feb.''25'!V8-'Entries Feb.''25'!V7)</f>
        <v>0</v>
      </c>
      <c r="N7" s="47" t="str">
        <f>IF('Entries Feb.''25'!Y8-'Entries Feb.''25'!Y7&lt;1,"0",'Entries Feb.''25'!Y8-'Entries Feb.''25'!Y7)</f>
        <v>0</v>
      </c>
      <c r="O7" s="47">
        <f>IF('Entries Feb.''25'!Z8-'Entries Feb.''25'!Z7&lt;1,"0",'Entries Feb.''25'!Z8-'Entries Feb.''25'!Z7)</f>
        <v>33</v>
      </c>
      <c r="P7" s="47">
        <f>IF('Entries Feb.''25'!AA8-'Entries Feb.''25'!AA7&lt;1,"0",'Entries Feb.''25'!AA8-'Entries Feb.''25'!AA7)</f>
        <v>41</v>
      </c>
      <c r="Q7" s="47" t="str">
        <f>IF(('Entries Feb.''25'!AB8-'Entries Feb.''25'!AB7)+('Entries Feb.''25'!AC8-'Entries Feb.''25'!AC7)&lt;1,"0",('Entries Feb.''25'!AB8-'Entries Feb.''25'!AB7)+('Entries Feb.''25'!AC8-'Entries Feb.''25'!AC7))</f>
        <v>0</v>
      </c>
      <c r="R7" s="150">
        <f>(Q7+G7)*10</f>
        <v>2550</v>
      </c>
      <c r="S7" s="150">
        <f>O7+N7+M7+L7</f>
        <v>33</v>
      </c>
      <c r="T7" s="47" t="str">
        <f>IF('Entries Feb.''25'!AD8-'Entries Feb.''25'!AD7&lt;1,"0",'Entries Feb.''25'!AD8-'Entries Feb.''25'!AD7)</f>
        <v>0</v>
      </c>
      <c r="U7" s="221">
        <f>'Entries Feb.''25'!AE8-'Entries Feb.''25'!AE7</f>
        <v>0</v>
      </c>
      <c r="V7" s="221">
        <f>'Entries Feb.''25'!AF9-'Entries Feb.''25'!AF7</f>
        <v>0</v>
      </c>
      <c r="W7" s="221" t="str">
        <f>IF('Entries Feb.''25'!AI8-'Entries Feb.''25'!AI7&lt;1,"0",'Entries Feb.''25'!AI8-'Entries Feb.''25'!AI7)</f>
        <v>0</v>
      </c>
      <c r="X7" s="221" t="str">
        <f>IF('Entries Feb.''25'!AJ8-'Entries Feb.''25'!AJ7&lt;1,"0",'Entries Feb.''25'!AJ8-'Entries Feb.''25'!AJ7)</f>
        <v>0</v>
      </c>
      <c r="Y7" s="151"/>
      <c r="Z7" s="150"/>
      <c r="AA7" s="152" t="e">
        <f t="shared" ref="AA7:AA37" si="0">R7/Z7</f>
        <v>#DIV/0!</v>
      </c>
    </row>
    <row r="8" spans="1:27" x14ac:dyDescent="0.2">
      <c r="B8" s="149">
        <v>2</v>
      </c>
      <c r="C8" s="150" t="str">
        <f>IF('Entries Feb.''25'!X9-'Entries Feb.''25'!X8&lt;1,"0",'Entries Feb.''25'!X9-'Entries Feb.''25'!X8)</f>
        <v>0</v>
      </c>
      <c r="D8" s="47">
        <f>IF('Entries Feb.''25'!P9-'Entries Feb.''25'!P8&lt;1,"0",'Entries Feb.''25'!P9-'Entries Feb.''25'!P8)</f>
        <v>2</v>
      </c>
      <c r="E8" s="47">
        <f>IF('Entries Feb.''25'!Q9-'Entries Feb.''25'!Q8&lt;1,"0",'Entries Feb.''25'!Q9-'Entries Feb.''25'!Q8)</f>
        <v>79</v>
      </c>
      <c r="F8" s="47">
        <f>IF('Entries Feb.''25'!W9-'Entries Feb.''25'!W8&lt;1,"0",'Entries Feb.''25'!W9-'Entries Feb.''25'!W8)</f>
        <v>352</v>
      </c>
      <c r="G8" s="47">
        <f t="shared" ref="G8:G37" si="1">(D8+E8)-F8</f>
        <v>-271</v>
      </c>
      <c r="H8" s="47">
        <f>IF('Entries Feb.''25'!R9-'Entries Feb.''25'!R8&lt;1,0,'Entries Feb.''25'!R9-'Entries Feb.''25'!R8)</f>
        <v>83</v>
      </c>
      <c r="I8" s="47">
        <f>IF('Entries Feb.''25'!AH9-'Entries Feb.''25'!AH8&lt;1,0,'Entries Feb.''25'!AH9-'Entries Feb.''25'!AH8)</f>
        <v>0</v>
      </c>
      <c r="J8" s="47" t="str">
        <f>IF('Entries Feb.''25'!T9-'Entries Feb.''25'!T8&lt;1,"0",'Entries Feb.''25'!T9-'Entries Feb.''25'!T8)</f>
        <v>0</v>
      </c>
      <c r="K8" s="47" t="str">
        <f>IF('Entries Feb.''25'!S9-'Entries Feb.''25'!S8&lt;1,"0",'Entries Feb.''25'!S9-'Entries Feb.''25'!S8)</f>
        <v>0</v>
      </c>
      <c r="L8" s="47" t="str">
        <f>IF('Entries Feb.''25'!U9-'Entries Feb.''25'!U8&lt;1,"0",'Entries Feb.''25'!U9-'Entries Feb.''25'!U8)</f>
        <v>0</v>
      </c>
      <c r="M8" s="47" t="str">
        <f>IF('Entries Feb.''25'!V9-'Entries Feb.''25'!V8&lt;1,"0",'Entries Feb.''25'!V9-'Entries Feb.''25'!V8)</f>
        <v>0</v>
      </c>
      <c r="N8" s="47" t="str">
        <f>IF('Entries Feb.''25'!Y9-'Entries Feb.''25'!Y8&lt;1,"0",'Entries Feb.''25'!Y9-'Entries Feb.''25'!Y8)</f>
        <v>0</v>
      </c>
      <c r="O8" s="47">
        <f>IF('Entries Feb.''25'!Z9-'Entries Feb.''25'!Z8&lt;1,"0",'Entries Feb.''25'!Z9-'Entries Feb.''25'!Z8)</f>
        <v>2</v>
      </c>
      <c r="P8" s="47">
        <f>IF('Entries Feb.''25'!AA9-'Entries Feb.''25'!AA8&lt;1,"0",'Entries Feb.''25'!AA9-'Entries Feb.''25'!AA8)</f>
        <v>18</v>
      </c>
      <c r="Q8" s="47" t="str">
        <f>IF(('Entries Feb.''25'!AB9-'Entries Feb.''25'!AB8)+('Entries Feb.''25'!AC9-'Entries Feb.''25'!AC8)&lt;1,"0",('Entries Feb.''25'!AB9-'Entries Feb.''25'!AB8)+('Entries Feb.''25'!AC9-'Entries Feb.''25'!AC8))</f>
        <v>0</v>
      </c>
      <c r="R8" s="47">
        <f t="shared" ref="R8:R37" si="2">(Q8+G8)*10</f>
        <v>-2710</v>
      </c>
      <c r="S8" s="150">
        <f t="shared" ref="S8:S37" si="3">O8+N8+M8+L8</f>
        <v>2</v>
      </c>
      <c r="T8" s="47" t="str">
        <f>IF('Entries Feb.''25'!AD9-'Entries Feb.''25'!AD8&lt;1,"0",'Entries Feb.''25'!AD9-'Entries Feb.''25'!AD8)</f>
        <v>0</v>
      </c>
      <c r="U8" s="221">
        <f>'Entries Feb.''25'!AE9-'Entries Feb.''25'!AE8</f>
        <v>0</v>
      </c>
      <c r="V8" s="221" t="e">
        <f>'Entries Feb.''25'!#REF!-'Entries Feb.''25'!AF9</f>
        <v>#REF!</v>
      </c>
      <c r="W8" s="221" t="str">
        <f>IF('Entries Feb.''25'!AI9-'Entries Feb.''25'!AI8&lt;1,"0",'Entries Feb.''25'!AI9-'Entries Feb.''25'!AI8)</f>
        <v>0</v>
      </c>
      <c r="X8" s="221" t="str">
        <f>IF('Entries Feb.''25'!AJ9-'Entries Feb.''25'!AJ8&lt;1,"0",'Entries Feb.''25'!AJ9-'Entries Feb.''25'!AJ8)</f>
        <v>0</v>
      </c>
      <c r="Y8" s="153"/>
      <c r="Z8" s="150">
        <f>'PROD.FIG. '!H6</f>
        <v>0</v>
      </c>
      <c r="AA8" s="152" t="e">
        <f t="shared" si="0"/>
        <v>#DIV/0!</v>
      </c>
    </row>
    <row r="9" spans="1:27" x14ac:dyDescent="0.2">
      <c r="B9" s="149">
        <v>3</v>
      </c>
      <c r="C9" s="150" t="str">
        <f>IF('Entries Feb.''25'!X10-'Entries Feb.''25'!X9&lt;1,"0",'Entries Feb.''25'!X10-'Entries Feb.''25'!X9)</f>
        <v>0</v>
      </c>
      <c r="D9" s="47">
        <f>IF('Entries Feb.''25'!P10-'Entries Feb.''25'!P9&lt;1,"0",'Entries Feb.''25'!P10-'Entries Feb.''25'!P9)</f>
        <v>72</v>
      </c>
      <c r="E9" s="47">
        <f>IF('Entries Feb.''25'!Q10-'Entries Feb.''25'!Q9&lt;1,"0",'Entries Feb.''25'!Q10-'Entries Feb.''25'!Q9)</f>
        <v>188</v>
      </c>
      <c r="F9" s="47">
        <f>IF('Entries Feb.''25'!W10-'Entries Feb.''25'!W9&lt;1,"0",'Entries Feb.''25'!W10-'Entries Feb.''25'!W9)</f>
        <v>197</v>
      </c>
      <c r="G9" s="47">
        <f t="shared" si="1"/>
        <v>63</v>
      </c>
      <c r="H9" s="47">
        <f>IF('Entries Feb.''25'!R10-'Entries Feb.''25'!R9&lt;1,0,'Entries Feb.''25'!R10-'Entries Feb.''25'!R9)</f>
        <v>249</v>
      </c>
      <c r="I9" s="47">
        <f>IF('Entries Feb.''25'!AH10-'Entries Feb.''25'!AH9&lt;1,0,'Entries Feb.''25'!AH10-'Entries Feb.''25'!AH9)</f>
        <v>0</v>
      </c>
      <c r="J9" s="47">
        <f>IF('Entries Feb.''25'!T10-'Entries Feb.''25'!T9&lt;1,"0",'Entries Feb.''25'!T10-'Entries Feb.''25'!T9)</f>
        <v>198</v>
      </c>
      <c r="K9" s="47" t="str">
        <f>IF('Entries Feb.''25'!S10-'Entries Feb.''25'!S9&lt;1,"0",'Entries Feb.''25'!S10-'Entries Feb.''25'!S9)</f>
        <v>0</v>
      </c>
      <c r="L9" s="47" t="str">
        <f>IF('Entries Feb.''25'!U10-'Entries Feb.''25'!U9&lt;1,"0",'Entries Feb.''25'!U10-'Entries Feb.''25'!U9)</f>
        <v>0</v>
      </c>
      <c r="M9" s="47">
        <f>IF('Entries Feb.''25'!V10-'Entries Feb.''25'!V9&lt;1,"0",'Entries Feb.''25'!V10-'Entries Feb.''25'!V9)</f>
        <v>7</v>
      </c>
      <c r="N9" s="47">
        <f>IF('Entries Feb.''25'!Y10-'Entries Feb.''25'!Y9&lt;1,"0",'Entries Feb.''25'!Y10-'Entries Feb.''25'!Y9)</f>
        <v>79</v>
      </c>
      <c r="O9" s="47">
        <f>IF('Entries Feb.''25'!Z10-'Entries Feb.''25'!Z9&lt;1,"0",'Entries Feb.''25'!Z10-'Entries Feb.''25'!Z9)</f>
        <v>81</v>
      </c>
      <c r="P9" s="47">
        <f>IF('Entries Feb.''25'!AA10-'Entries Feb.''25'!AA9&lt;1,"0",'Entries Feb.''25'!AA10-'Entries Feb.''25'!AA9)</f>
        <v>60</v>
      </c>
      <c r="Q9" s="47" t="str">
        <f>IF(('Entries Feb.''25'!AB10-'Entries Feb.''25'!AB9)+('Entries Feb.''25'!AC10-'Entries Feb.''25'!AC9)&lt;1,"0",('Entries Feb.''25'!AB10-'Entries Feb.''25'!AB9)+('Entries Feb.''25'!AC10-'Entries Feb.''25'!AC9))</f>
        <v>0</v>
      </c>
      <c r="R9" s="47">
        <f t="shared" si="2"/>
        <v>630</v>
      </c>
      <c r="S9" s="150">
        <f t="shared" si="3"/>
        <v>167</v>
      </c>
      <c r="T9" s="47">
        <f>IF('Entries Feb.''25'!AD10-'Entries Feb.''25'!AD9&lt;1,"0",'Entries Feb.''25'!AD10-'Entries Feb.''25'!AD9)</f>
        <v>27</v>
      </c>
      <c r="U9" s="221">
        <f>'Entries Feb.''25'!AE10-'Entries Feb.''25'!AE9</f>
        <v>0</v>
      </c>
      <c r="V9" s="221" t="e">
        <f>'Entries Feb.''25'!AF10-'Entries Feb.''25'!#REF!</f>
        <v>#REF!</v>
      </c>
      <c r="W9" s="221" t="str">
        <f>IF('Entries Feb.''25'!AI10-'Entries Feb.''25'!AI9&lt;1,"0",'Entries Feb.''25'!AI10-'Entries Feb.''25'!AI9)</f>
        <v>0</v>
      </c>
      <c r="X9" s="221" t="str">
        <f>IF('Entries Feb.''25'!AJ10-'Entries Feb.''25'!AJ9&lt;1,"0",'Entries Feb.''25'!AJ10-'Entries Feb.''25'!AJ9)</f>
        <v>0</v>
      </c>
      <c r="Y9" s="153"/>
      <c r="Z9" s="150">
        <f>'PROD.FIG. '!H7</f>
        <v>0</v>
      </c>
      <c r="AA9" s="152" t="e">
        <f t="shared" si="0"/>
        <v>#DIV/0!</v>
      </c>
    </row>
    <row r="10" spans="1:27" x14ac:dyDescent="0.2">
      <c r="B10" s="149">
        <v>4</v>
      </c>
      <c r="C10" s="150" t="str">
        <f>IF('Entries Feb.''25'!X11-'Entries Feb.''25'!X10&lt;1,"0",'Entries Feb.''25'!X11-'Entries Feb.''25'!X10)</f>
        <v>0</v>
      </c>
      <c r="D10" s="47">
        <f>IF('Entries Feb.''25'!P11-'Entries Feb.''25'!P10&lt;1,"0",'Entries Feb.''25'!P11-'Entries Feb.''25'!P10)</f>
        <v>153</v>
      </c>
      <c r="E10" s="47">
        <f>IF('Entries Feb.''25'!Q11-'Entries Feb.''25'!Q10&lt;1,"0",'Entries Feb.''25'!Q11-'Entries Feb.''25'!Q10)</f>
        <v>207</v>
      </c>
      <c r="F10" s="47">
        <f>IF('Entries Feb.''25'!W11-'Entries Feb.''25'!W10&lt;1,"0",'Entries Feb.''25'!W11-'Entries Feb.''25'!W10)</f>
        <v>219</v>
      </c>
      <c r="G10" s="47">
        <f t="shared" si="1"/>
        <v>141</v>
      </c>
      <c r="H10" s="47">
        <f>IF('Entries Feb.''25'!R11-'Entries Feb.''25'!R10&lt;1,0,'Entries Feb.''25'!R11-'Entries Feb.''25'!R10)</f>
        <v>210</v>
      </c>
      <c r="I10" s="47">
        <f>IF('Entries Feb.''25'!AH11-'Entries Feb.''25'!AH10&lt;1,0,'Entries Feb.''25'!AH11-'Entries Feb.''25'!AH10)</f>
        <v>0</v>
      </c>
      <c r="J10" s="47">
        <f>IF('Entries Feb.''25'!T11-'Entries Feb.''25'!T10&lt;1,"0",'Entries Feb.''25'!T11-'Entries Feb.''25'!T10)</f>
        <v>181</v>
      </c>
      <c r="K10" s="47" t="str">
        <f>IF('Entries Feb.''25'!S11-'Entries Feb.''25'!S10&lt;1,"0",'Entries Feb.''25'!S11-'Entries Feb.''25'!S10)</f>
        <v>0</v>
      </c>
      <c r="L10" s="47" t="str">
        <f>IF('Entries Feb.''25'!U11-'Entries Feb.''25'!U10&lt;1,"0",'Entries Feb.''25'!U11-'Entries Feb.''25'!U10)</f>
        <v>0</v>
      </c>
      <c r="M10" s="47">
        <f>IF('Entries Feb.''25'!V11-'Entries Feb.''25'!V10&lt;1,"0",'Entries Feb.''25'!V11-'Entries Feb.''25'!V10)</f>
        <v>3</v>
      </c>
      <c r="N10" s="47">
        <f>IF('Entries Feb.''25'!Y11-'Entries Feb.''25'!Y10&lt;1,"0",'Entries Feb.''25'!Y11-'Entries Feb.''25'!Y10)</f>
        <v>44</v>
      </c>
      <c r="O10" s="47">
        <f>IF('Entries Feb.''25'!Z11-'Entries Feb.''25'!Z10&lt;1,"0",'Entries Feb.''25'!Z11-'Entries Feb.''25'!Z10)</f>
        <v>70</v>
      </c>
      <c r="P10" s="47">
        <f>IF('Entries Feb.''25'!AA11-'Entries Feb.''25'!AA10&lt;1,"0",'Entries Feb.''25'!AA11-'Entries Feb.''25'!AA10)</f>
        <v>51</v>
      </c>
      <c r="Q10" s="47" t="str">
        <f>IF(('Entries Feb.''25'!AB11-'Entries Feb.''25'!AB10)+('Entries Feb.''25'!AC11-'Entries Feb.''25'!AC10)&lt;1,"0",('Entries Feb.''25'!AB11-'Entries Feb.''25'!AB10)+('Entries Feb.''25'!AC11-'Entries Feb.''25'!AC10))</f>
        <v>0</v>
      </c>
      <c r="R10" s="47">
        <f t="shared" si="2"/>
        <v>1410</v>
      </c>
      <c r="S10" s="150">
        <f t="shared" si="3"/>
        <v>117</v>
      </c>
      <c r="T10" s="47">
        <f>IF('Entries Feb.''25'!AD11-'Entries Feb.''25'!AD10&lt;1,"0",'Entries Feb.''25'!AD11-'Entries Feb.''25'!AD10)</f>
        <v>24</v>
      </c>
      <c r="U10" s="221">
        <f>'Entries Feb.''25'!AE11-'Entries Feb.''25'!AE10</f>
        <v>0</v>
      </c>
      <c r="V10" s="221">
        <f>'Entries Feb.''25'!AF11-'Entries Feb.''25'!AF10</f>
        <v>0</v>
      </c>
      <c r="W10" s="221" t="str">
        <f>IF('Entries Feb.''25'!AI11-'Entries Feb.''25'!AI10&lt;1,"0",'Entries Feb.''25'!AI11-'Entries Feb.''25'!AI10)</f>
        <v>0</v>
      </c>
      <c r="X10" s="221" t="str">
        <f>IF('Entries Feb.''25'!AJ11-'Entries Feb.''25'!AJ10&lt;1,"0",'Entries Feb.''25'!AJ11-'Entries Feb.''25'!AJ10)</f>
        <v>0</v>
      </c>
      <c r="Y10" s="153"/>
      <c r="Z10" s="150">
        <f>'PROD.FIG. '!H8</f>
        <v>0</v>
      </c>
      <c r="AA10" s="152" t="e">
        <f t="shared" si="0"/>
        <v>#DIV/0!</v>
      </c>
    </row>
    <row r="11" spans="1:27" x14ac:dyDescent="0.2">
      <c r="B11" s="149">
        <v>5</v>
      </c>
      <c r="C11" s="150" t="str">
        <f>IF('Entries Feb.''25'!X12-'Entries Feb.''25'!X11&lt;1,"0",'Entries Feb.''25'!X12-'Entries Feb.''25'!X11)</f>
        <v>0</v>
      </c>
      <c r="D11" s="47">
        <f>IF('Entries Feb.''25'!P12-'Entries Feb.''25'!P11&lt;1,"0",'Entries Feb.''25'!P12-'Entries Feb.''25'!P11)</f>
        <v>288</v>
      </c>
      <c r="E11" s="47">
        <f>IF('Entries Feb.''25'!Q12-'Entries Feb.''25'!Q11&lt;1,"0",'Entries Feb.''25'!Q12-'Entries Feb.''25'!Q11)</f>
        <v>142</v>
      </c>
      <c r="F11" s="47">
        <f>IF('Entries Feb.''25'!W12-'Entries Feb.''25'!W11&lt;1,"0",'Entries Feb.''25'!W12-'Entries Feb.''25'!W11)</f>
        <v>149</v>
      </c>
      <c r="G11" s="47">
        <f t="shared" si="1"/>
        <v>281</v>
      </c>
      <c r="H11" s="47">
        <f>IF('Entries Feb.''25'!R12-'Entries Feb.''25'!R11&lt;1,0,'Entries Feb.''25'!R12-'Entries Feb.''25'!R11)</f>
        <v>253</v>
      </c>
      <c r="I11" s="47">
        <f>IF('Entries Feb.''25'!AH12-'Entries Feb.''25'!AH11&lt;1,0,'Entries Feb.''25'!AH12-'Entries Feb.''25'!AH11)</f>
        <v>0</v>
      </c>
      <c r="J11" s="47">
        <f>IF('Entries Feb.''25'!T12-'Entries Feb.''25'!T11&lt;1,"0",'Entries Feb.''25'!T12-'Entries Feb.''25'!T11)</f>
        <v>278</v>
      </c>
      <c r="K11" s="47" t="str">
        <f>IF('Entries Feb.''25'!S12-'Entries Feb.''25'!S11&lt;1,"0",'Entries Feb.''25'!S12-'Entries Feb.''25'!S11)</f>
        <v>0</v>
      </c>
      <c r="L11" s="47" t="str">
        <f>IF('Entries Feb.''25'!U12-'Entries Feb.''25'!U11&lt;1,"0",'Entries Feb.''25'!U12-'Entries Feb.''25'!U11)</f>
        <v>0</v>
      </c>
      <c r="M11" s="47">
        <f>IF('Entries Feb.''25'!V12-'Entries Feb.''25'!V11&lt;1,"0",'Entries Feb.''25'!V12-'Entries Feb.''25'!V11)</f>
        <v>5</v>
      </c>
      <c r="N11" s="47">
        <f>IF('Entries Feb.''25'!Y12-'Entries Feb.''25'!Y11&lt;1,"0",'Entries Feb.''25'!Y12-'Entries Feb.''25'!Y11)</f>
        <v>61</v>
      </c>
      <c r="O11" s="47">
        <f>IF('Entries Feb.''25'!Z12-'Entries Feb.''25'!Z11&lt;1,"0",'Entries Feb.''25'!Z12-'Entries Feb.''25'!Z11)</f>
        <v>91</v>
      </c>
      <c r="P11" s="47">
        <f>IF('Entries Feb.''25'!AA12-'Entries Feb.''25'!AA11&lt;1,"0",'Entries Feb.''25'!AA12-'Entries Feb.''25'!AA11)</f>
        <v>42</v>
      </c>
      <c r="Q11" s="47" t="str">
        <f>IF(('Entries Feb.''25'!AB12-'Entries Feb.''25'!AB11)+('Entries Feb.''25'!AC12-'Entries Feb.''25'!AC11)&lt;1,"0",('Entries Feb.''25'!AB12-'Entries Feb.''25'!AB11)+('Entries Feb.''25'!AC12-'Entries Feb.''25'!AC11))</f>
        <v>0</v>
      </c>
      <c r="R11" s="47">
        <f t="shared" si="2"/>
        <v>2810</v>
      </c>
      <c r="S11" s="150">
        <f t="shared" si="3"/>
        <v>157</v>
      </c>
      <c r="T11" s="47">
        <f>IF('Entries Feb.''25'!AD12-'Entries Feb.''25'!AD11&lt;1,"0",'Entries Feb.''25'!AD12-'Entries Feb.''25'!AD11)</f>
        <v>24</v>
      </c>
      <c r="U11" s="221">
        <f>'Entries Feb.''25'!AE12-'Entries Feb.''25'!AE11</f>
        <v>0</v>
      </c>
      <c r="V11" s="221">
        <f>'Entries Feb.''25'!AF12-'Entries Feb.''25'!AF11</f>
        <v>0</v>
      </c>
      <c r="W11" s="221" t="str">
        <f>IF('Entries Feb.''25'!AI12-'Entries Feb.''25'!AI11&lt;1,"0",'Entries Feb.''25'!AI12-'Entries Feb.''25'!AI11)</f>
        <v>0</v>
      </c>
      <c r="X11" s="221" t="str">
        <f>IF('Entries Feb.''25'!AJ12-'Entries Feb.''25'!AJ11&lt;1,"0",'Entries Feb.''25'!AJ12-'Entries Feb.''25'!AJ11)</f>
        <v>0</v>
      </c>
      <c r="Y11" s="153"/>
      <c r="Z11" s="150">
        <f>'PROD.FIG. '!H9</f>
        <v>0</v>
      </c>
      <c r="AA11" s="152" t="e">
        <f t="shared" si="0"/>
        <v>#DIV/0!</v>
      </c>
    </row>
    <row r="12" spans="1:27" x14ac:dyDescent="0.2">
      <c r="A12" s="45"/>
      <c r="B12" s="149">
        <v>6</v>
      </c>
      <c r="C12" s="150" t="str">
        <f>IF('Entries Feb.''25'!X13-'Entries Feb.''25'!X12&lt;1,"0",'Entries Feb.''25'!X13-'Entries Feb.''25'!X12)</f>
        <v>0</v>
      </c>
      <c r="D12" s="47">
        <f>IF('Entries Feb.''25'!P13-'Entries Feb.''25'!P12&lt;1,"0",'Entries Feb.''25'!P13-'Entries Feb.''25'!P12)</f>
        <v>147</v>
      </c>
      <c r="E12" s="47">
        <f>IF('Entries Feb.''25'!Q13-'Entries Feb.''25'!Q12&lt;1,"0",'Entries Feb.''25'!Q13-'Entries Feb.''25'!Q12)</f>
        <v>213</v>
      </c>
      <c r="F12" s="47">
        <f>IF('Entries Feb.''25'!W13-'Entries Feb.''25'!W12&lt;1,"0",'Entries Feb.''25'!W13-'Entries Feb.''25'!W12)</f>
        <v>224</v>
      </c>
      <c r="G12" s="47">
        <f t="shared" si="1"/>
        <v>136</v>
      </c>
      <c r="H12" s="47">
        <f>IF('Entries Feb.''25'!R13-'Entries Feb.''25'!R12&lt;1,0,'Entries Feb.''25'!R13-'Entries Feb.''25'!R12)</f>
        <v>208</v>
      </c>
      <c r="I12" s="47">
        <f>IF('Entries Feb.''25'!AH13-'Entries Feb.''25'!AH12&lt;1,0,'Entries Feb.''25'!AH13-'Entries Feb.''25'!AH12)</f>
        <v>0</v>
      </c>
      <c r="J12" s="47">
        <f>IF('Entries Feb.''25'!T13-'Entries Feb.''25'!T12&lt;1,"0",'Entries Feb.''25'!T13-'Entries Feb.''25'!T12)</f>
        <v>218</v>
      </c>
      <c r="K12" s="47" t="str">
        <f>IF('Entries Feb.''25'!S13-'Entries Feb.''25'!S12&lt;1,"0",'Entries Feb.''25'!S13-'Entries Feb.''25'!S12)</f>
        <v>0</v>
      </c>
      <c r="L12" s="47" t="str">
        <f>IF('Entries Feb.''25'!U13-'Entries Feb.''25'!U12&lt;1,"0",'Entries Feb.''25'!U13-'Entries Feb.''25'!U12)</f>
        <v>0</v>
      </c>
      <c r="M12" s="47" t="str">
        <f>IF('Entries Feb.''25'!V13-'Entries Feb.''25'!V12&lt;1,"0",'Entries Feb.''25'!V13-'Entries Feb.''25'!V12)</f>
        <v>0</v>
      </c>
      <c r="N12" s="47">
        <f>IF('Entries Feb.''25'!Y13-'Entries Feb.''25'!Y12&lt;1,"0",'Entries Feb.''25'!Y13-'Entries Feb.''25'!Y12)</f>
        <v>51</v>
      </c>
      <c r="O12" s="47">
        <f>IF('Entries Feb.''25'!Z13-'Entries Feb.''25'!Z12&lt;1,"0",'Entries Feb.''25'!Z13-'Entries Feb.''25'!Z12)</f>
        <v>60</v>
      </c>
      <c r="P12" s="47">
        <f>IF('Entries Feb.''25'!AA13-'Entries Feb.''25'!AA12&lt;1,"0",'Entries Feb.''25'!AA13-'Entries Feb.''25'!AA12)</f>
        <v>32</v>
      </c>
      <c r="Q12" s="47" t="str">
        <f>IF(('Entries Feb.''25'!AB13-'Entries Feb.''25'!AB12)+('Entries Feb.''25'!AC13-'Entries Feb.''25'!AC12)&lt;1,"0",('Entries Feb.''25'!AB13-'Entries Feb.''25'!AB12)+('Entries Feb.''25'!AC13-'Entries Feb.''25'!AC12))</f>
        <v>0</v>
      </c>
      <c r="R12" s="47">
        <f t="shared" si="2"/>
        <v>1360</v>
      </c>
      <c r="S12" s="150">
        <f t="shared" si="3"/>
        <v>111</v>
      </c>
      <c r="T12" s="47">
        <f>IF('Entries Feb.''25'!AD13-'Entries Feb.''25'!AD12&lt;1,"0",'Entries Feb.''25'!AD13-'Entries Feb.''25'!AD12)</f>
        <v>20</v>
      </c>
      <c r="U12" s="221">
        <f>'Entries Feb.''25'!AE13-'Entries Feb.''25'!AE12</f>
        <v>0</v>
      </c>
      <c r="V12" s="221">
        <f>'Entries Feb.''25'!AF13-'Entries Feb.''25'!AF12</f>
        <v>0</v>
      </c>
      <c r="W12" s="221" t="str">
        <f>IF('Entries Feb.''25'!AI13-'Entries Feb.''25'!AI12&lt;1,"0",'Entries Feb.''25'!AI13-'Entries Feb.''25'!AI12)</f>
        <v>0</v>
      </c>
      <c r="X12" s="221" t="str">
        <f>IF('Entries Feb.''25'!AJ13-'Entries Feb.''25'!AJ12&lt;1,"0",'Entries Feb.''25'!AJ13-'Entries Feb.''25'!AJ12)</f>
        <v>0</v>
      </c>
      <c r="Y12" s="153"/>
      <c r="Z12" s="150">
        <f>'PROD.FIG. '!H10</f>
        <v>0</v>
      </c>
      <c r="AA12" s="152" t="e">
        <f t="shared" si="0"/>
        <v>#DIV/0!</v>
      </c>
    </row>
    <row r="13" spans="1:27" x14ac:dyDescent="0.2">
      <c r="A13" s="45"/>
      <c r="B13" s="149">
        <v>7</v>
      </c>
      <c r="C13" s="150" t="str">
        <f>IF('Entries Feb.''25'!X14-'Entries Feb.''25'!X13&lt;1,"0",'Entries Feb.''25'!X14-'Entries Feb.''25'!X13)</f>
        <v>0</v>
      </c>
      <c r="D13" s="47">
        <f>IF('Entries Feb.''25'!P14-'Entries Feb.''25'!P13&lt;1,"0",'Entries Feb.''25'!P14-'Entries Feb.''25'!P13)</f>
        <v>299</v>
      </c>
      <c r="E13" s="47" t="str">
        <f>IF('Entries Feb.''25'!Q14-'Entries Feb.''25'!Q13&lt;1,"0",'Entries Feb.''25'!Q14-'Entries Feb.''25'!Q13)</f>
        <v>0</v>
      </c>
      <c r="F13" s="47" t="str">
        <f>IF('Entries Feb.''25'!W14-'Entries Feb.''25'!W13&lt;1,"0",'Entries Feb.''25'!W14-'Entries Feb.''25'!W13)</f>
        <v>0</v>
      </c>
      <c r="G13" s="47">
        <f t="shared" si="1"/>
        <v>299</v>
      </c>
      <c r="H13" s="47">
        <f>IF('Entries Feb.''25'!R14-'Entries Feb.''25'!R13&lt;1,0,'Entries Feb.''25'!R14-'Entries Feb.''25'!R13)</f>
        <v>12</v>
      </c>
      <c r="I13" s="47"/>
      <c r="J13" s="47" t="str">
        <f>IF('Entries Feb.''25'!T14-'Entries Feb.''25'!T13&lt;1,"0",'Entries Feb.''25'!T14-'Entries Feb.''25'!T13)</f>
        <v>0</v>
      </c>
      <c r="K13" s="47" t="str">
        <f>IF('Entries Feb.''25'!S14-'Entries Feb.''25'!S13&lt;1,"0",'Entries Feb.''25'!S14-'Entries Feb.''25'!S13)</f>
        <v>0</v>
      </c>
      <c r="L13" s="47" t="str">
        <f>IF('Entries Feb.''25'!U14-'Entries Feb.''25'!V13&lt;1,"0",'Entries Feb.''25'!U14-'Entries Feb.''25'!V13)</f>
        <v>0</v>
      </c>
      <c r="M13" s="47" t="str">
        <f>IF('Entries Feb.''25'!V14-'Entries Feb.''25'!W13&lt;1,"0",'Entries Feb.''25'!V14-'Entries Feb.''25'!W13)</f>
        <v>0</v>
      </c>
      <c r="N13" s="47" t="str">
        <f>IF('Entries Feb.''25'!Y14-'Entries Feb.''25'!Y13&lt;1,"0",'Entries Feb.''25'!Y14-'Entries Feb.''25'!Y13)</f>
        <v>0</v>
      </c>
      <c r="O13" s="47" t="str">
        <f>IF('Entries Feb.''25'!Z14-'Entries Feb.''25'!Z13&lt;1,"0",'Entries Feb.''25'!Z14-'Entries Feb.''25'!Z13)</f>
        <v>0</v>
      </c>
      <c r="P13" s="47" t="str">
        <f>IF('Entries Feb.''25'!AA14-'Entries Feb.''25'!AA13&lt;1,"0",'Entries Feb.''25'!AA14-'Entries Feb.''25'!AA13)</f>
        <v>0</v>
      </c>
      <c r="Q13" s="47" t="str">
        <f>IF(('Entries Feb.''25'!AB14-'Entries Feb.''25'!AB13)+('Entries Feb.''25'!AC14-'Entries Feb.''25'!AC13)&lt;1,"0",('Entries Feb.''25'!AB14-'Entries Feb.''25'!AB13)+('Entries Feb.''25'!AC14-'Entries Feb.''25'!AC13))</f>
        <v>0</v>
      </c>
      <c r="R13" s="47">
        <f t="shared" si="2"/>
        <v>2990</v>
      </c>
      <c r="S13" s="150">
        <f t="shared" si="3"/>
        <v>0</v>
      </c>
      <c r="T13" s="47" t="str">
        <f>IF('Entries Feb.''25'!AD14-'Entries Feb.''25'!AD13&lt;1,"0",'Entries Feb.''25'!AD14-'Entries Feb.''25'!AD13)</f>
        <v>0</v>
      </c>
      <c r="U13" s="221">
        <f>'Entries Feb.''25'!AE14-'Entries Feb.''25'!AE13</f>
        <v>0</v>
      </c>
      <c r="V13" s="221">
        <f>'Entries Feb.''25'!AF14-'Entries Feb.''25'!AF13</f>
        <v>0</v>
      </c>
      <c r="W13" s="221" t="str">
        <f>IF('Entries Feb.''25'!AI14-'Entries Feb.''25'!AI13&lt;1,"0",'Entries Feb.''25'!AI14-'Entries Feb.''25'!AI13)</f>
        <v>0</v>
      </c>
      <c r="X13" s="221" t="str">
        <f>IF('Entries Feb.''25'!AJ14-'Entries Feb.''25'!AJ13&lt;1,"0",'Entries Feb.''25'!AJ14-'Entries Feb.''25'!AJ13)</f>
        <v>0</v>
      </c>
      <c r="Y13" s="153"/>
      <c r="Z13" s="150">
        <f>'PROD.FIG. '!H11</f>
        <v>0</v>
      </c>
      <c r="AA13" s="152" t="e">
        <f t="shared" si="0"/>
        <v>#DIV/0!</v>
      </c>
    </row>
    <row r="14" spans="1:27" x14ac:dyDescent="0.2">
      <c r="B14" s="149">
        <v>8</v>
      </c>
      <c r="C14" s="150" t="str">
        <f>IF('Entries Feb.''25'!X15-'Entries Feb.''25'!X14&lt;1,"0",'Entries Feb.''25'!X15-'Entries Feb.''25'!X14)</f>
        <v>0</v>
      </c>
      <c r="D14" s="47">
        <f>IF('Entries Feb.''25'!P15-'Entries Feb.''25'!P14&lt;1,"0",'Entries Feb.''25'!P15-'Entries Feb.''25'!P14)</f>
        <v>55</v>
      </c>
      <c r="E14" s="47" t="str">
        <f>IF('Entries Feb.''25'!Q15-'Entries Feb.''25'!Q14&lt;1,"0",'Entries Feb.''25'!Q15-'Entries Feb.''25'!Q14)</f>
        <v>0</v>
      </c>
      <c r="F14" s="47">
        <f>IF('Entries Feb.''25'!W15-'Entries Feb.''25'!W14&lt;1,"0",'Entries Feb.''25'!W15-'Entries Feb.''25'!W14)</f>
        <v>36</v>
      </c>
      <c r="G14" s="47">
        <f t="shared" si="1"/>
        <v>19</v>
      </c>
      <c r="H14" s="47">
        <f>IF('Entries Feb.''25'!R15-'Entries Feb.''25'!R14&lt;1,0,'Entries Feb.''25'!R15-'Entries Feb.''25'!R14)</f>
        <v>72</v>
      </c>
      <c r="I14" s="47">
        <f>IF('Entries Feb.''25'!AH15-'Entries Feb.''25'!AH14&lt;1,0,'Entries Feb.''25'!AH15-'Entries Feb.''25'!AH14)</f>
        <v>0</v>
      </c>
      <c r="J14" s="47">
        <f>IF('Entries Feb.''25'!T15-'Entries Feb.''25'!T14&lt;1,"0",'Entries Feb.''25'!T15-'Entries Feb.''25'!T14)</f>
        <v>5</v>
      </c>
      <c r="K14" s="47" t="str">
        <f>IF('Entries Feb.''25'!S15-'Entries Feb.''25'!S14&lt;1,"0",'Entries Feb.''25'!S15-'Entries Feb.''25'!S14)</f>
        <v>0</v>
      </c>
      <c r="L14" s="47" t="str">
        <f>IF('Entries Feb.''25'!U15-'Entries Feb.''25'!U14&lt;1,"0",'Entries Feb.''25'!U15-'Entries Feb.''25'!U14)</f>
        <v>0</v>
      </c>
      <c r="M14" s="47" t="str">
        <f>IF('Entries Feb.''25'!V15-'Entries Feb.''25'!V14&lt;1,"0",'Entries Feb.''25'!V15-'Entries Feb.''25'!V14)</f>
        <v>0</v>
      </c>
      <c r="N14" s="47" t="str">
        <f>IF('Entries Feb.''25'!Y15-'Entries Feb.''25'!Y14&lt;1,"0",'Entries Feb.''25'!Y15-'Entries Feb.''25'!Y14)</f>
        <v>0</v>
      </c>
      <c r="O14" s="47" t="str">
        <f>IF('Entries Feb.''25'!Z15-'Entries Feb.''25'!Z14&lt;1,"0",'Entries Feb.''25'!Z15-'Entries Feb.''25'!Z14)</f>
        <v>0</v>
      </c>
      <c r="P14" s="47">
        <f>IF('Entries Feb.''25'!AA15-'Entries Feb.''25'!AA14&lt;1,"0",'Entries Feb.''25'!AA15-'Entries Feb.''25'!AA14)</f>
        <v>8</v>
      </c>
      <c r="Q14" s="47" t="str">
        <f>IF(('Entries Feb.''25'!AB15-'Entries Feb.''25'!AB14)+('Entries Feb.''25'!AC15-'Entries Feb.''25'!AC14)&lt;1,"0",('Entries Feb.''25'!AB15-'Entries Feb.''25'!AB14)+('Entries Feb.''25'!AC15-'Entries Feb.''25'!AC14))</f>
        <v>0</v>
      </c>
      <c r="R14" s="47">
        <f t="shared" si="2"/>
        <v>190</v>
      </c>
      <c r="S14" s="150">
        <f t="shared" si="3"/>
        <v>0</v>
      </c>
      <c r="T14" s="47" t="str">
        <f>IF('Entries Feb.''25'!AD15-'Entries Feb.''25'!AD14&lt;1,"0",'Entries Feb.''25'!AD15-'Entries Feb.''25'!AD14)</f>
        <v>0</v>
      </c>
      <c r="U14" s="221">
        <f>'Entries Feb.''25'!AE15-'Entries Feb.''25'!AE14</f>
        <v>0</v>
      </c>
      <c r="V14" s="221">
        <f>'Entries Feb.''25'!AF15-'Entries Feb.''25'!AF14</f>
        <v>0</v>
      </c>
      <c r="W14" s="221" t="str">
        <f>IF('Entries Feb.''25'!AI15-'Entries Feb.''25'!AI14&lt;1,"0",'Entries Feb.''25'!AI15-'Entries Feb.''25'!AI14)</f>
        <v>0</v>
      </c>
      <c r="X14" s="221" t="str">
        <f>IF('Entries Feb.''25'!AJ15-'Entries Feb.''25'!AJ14&lt;1,"0",'Entries Feb.''25'!AJ15-'Entries Feb.''25'!AJ14)</f>
        <v>0</v>
      </c>
      <c r="Y14" s="153"/>
      <c r="Z14" s="150">
        <f>'PROD.FIG. '!H12</f>
        <v>0</v>
      </c>
      <c r="AA14" s="152" t="e">
        <f t="shared" si="0"/>
        <v>#DIV/0!</v>
      </c>
    </row>
    <row r="15" spans="1:27" x14ac:dyDescent="0.2">
      <c r="B15" s="149">
        <v>9</v>
      </c>
      <c r="C15" s="150" t="str">
        <f>IF('Entries Feb.''25'!X16-'Entries Feb.''25'!X15&lt;1,"0",'Entries Feb.''25'!X16-'Entries Feb.''25'!X15)</f>
        <v>0</v>
      </c>
      <c r="D15" s="47">
        <f>IF('Entries Feb.''25'!P16-'Entries Feb.''25'!P15&lt;1,"0",'Entries Feb.''25'!P16-'Entries Feb.''25'!P15)</f>
        <v>117</v>
      </c>
      <c r="E15" s="47" t="str">
        <f>IF('Entries Feb.''25'!Q16-'Entries Feb.''25'!Q15&lt;1,"0",'Entries Feb.''25'!Q16-'Entries Feb.''25'!Q15)</f>
        <v>0</v>
      </c>
      <c r="F15" s="47" t="str">
        <f>IF('Entries Feb.''25'!W16-'Entries Feb.''25'!W15&lt;1,"0",'Entries Feb.''25'!W16-'Entries Feb.''25'!W15)</f>
        <v>0</v>
      </c>
      <c r="G15" s="47">
        <f t="shared" si="1"/>
        <v>117</v>
      </c>
      <c r="H15" s="47">
        <f>IF('Entries Feb.''25'!R16-'Entries Feb.''25'!R15&lt;1,0,'Entries Feb.''25'!R16-'Entries Feb.''25'!R15)</f>
        <v>18</v>
      </c>
      <c r="I15" s="47">
        <f>IF('Entries Feb.''25'!AH16-'Entries Feb.''25'!AH15&lt;1,0,'Entries Feb.''25'!AH16-'Entries Feb.''25'!AH15)</f>
        <v>0</v>
      </c>
      <c r="J15" s="47" t="str">
        <f>IF('Entries Feb.''25'!T16-'Entries Feb.''25'!T15&lt;1,"0",'Entries Feb.''25'!T16-'Entries Feb.''25'!T15)</f>
        <v>0</v>
      </c>
      <c r="K15" s="47" t="str">
        <f>IF('Entries Feb.''25'!S16-'Entries Feb.''25'!S15&lt;1,"0",'Entries Feb.''25'!S16-'Entries Feb.''25'!S15)</f>
        <v>0</v>
      </c>
      <c r="L15" s="47" t="str">
        <f>IF('Entries Feb.''25'!U16-'Entries Feb.''25'!U15&lt;1,"0",'Entries Feb.''25'!U16-'Entries Feb.''25'!U15)</f>
        <v>0</v>
      </c>
      <c r="M15" s="47" t="str">
        <f>IF('Entries Feb.''25'!V16-'Entries Feb.''25'!V15&lt;1,"0",'Entries Feb.''25'!V16-'Entries Feb.''25'!V15)</f>
        <v>0</v>
      </c>
      <c r="N15" s="47" t="str">
        <f>IF('Entries Feb.''25'!Y16-'Entries Feb.''25'!Y15&lt;1,"0",'Entries Feb.''25'!Y16-'Entries Feb.''25'!Y15)</f>
        <v>0</v>
      </c>
      <c r="O15" s="47">
        <f>IF('Entries Feb.''25'!Z16-'Entries Feb.''25'!Z15&lt;1,"0",'Entries Feb.''25'!Z16-'Entries Feb.''25'!Z15)</f>
        <v>32</v>
      </c>
      <c r="P15" s="47">
        <f>IF('Entries Feb.''25'!AA16-'Entries Feb.''25'!AA15&lt;1,"0",'Entries Feb.''25'!AA16-'Entries Feb.''25'!AA15)</f>
        <v>8</v>
      </c>
      <c r="Q15" s="47" t="str">
        <f>IF(('Entries Feb.''25'!AB16-'Entries Feb.''25'!AB15)+('Entries Feb.''25'!AC17-'Entries Feb.''25'!AC15)&lt;1,"0",('Entries Feb.''25'!AB16-'Entries Feb.''25'!AB15)+('Entries Feb.''25'!AC17-'Entries Feb.''25'!AC15))</f>
        <v>0</v>
      </c>
      <c r="R15" s="47">
        <f t="shared" si="2"/>
        <v>1170</v>
      </c>
      <c r="S15" s="150">
        <f t="shared" si="3"/>
        <v>32</v>
      </c>
      <c r="T15" s="47" t="str">
        <f>IF('Entries Feb.''25'!AD16-'Entries Feb.''25'!AD15&lt;1,"0",'Entries Feb.''25'!AD16-'Entries Feb.''25'!AD15)</f>
        <v>0</v>
      </c>
      <c r="U15" s="221">
        <f>'Entries Feb.''25'!AE16-'Entries Feb.''25'!AE15</f>
        <v>0</v>
      </c>
      <c r="V15" s="221">
        <f>'Entries Feb.''25'!AF16-'Entries Feb.''25'!AF15</f>
        <v>0</v>
      </c>
      <c r="W15" s="221" t="str">
        <f>IF('Entries Feb.''25'!AI16-'Entries Feb.''25'!AI15&lt;1,"0",'Entries Feb.''25'!AI16-'Entries Feb.''25'!AI15)</f>
        <v>0</v>
      </c>
      <c r="X15" s="221" t="str">
        <f>IF('Entries Feb.''25'!AJ16-'Entries Feb.''25'!AJ15&lt;1,"0",'Entries Feb.''25'!AJ16-'Entries Feb.''25'!AJ15)</f>
        <v>0</v>
      </c>
      <c r="Y15" s="153"/>
      <c r="Z15" s="150">
        <f>'PROD.FIG. '!H13</f>
        <v>0</v>
      </c>
      <c r="AA15" s="152" t="e">
        <f t="shared" si="0"/>
        <v>#DIV/0!</v>
      </c>
    </row>
    <row r="16" spans="1:27" x14ac:dyDescent="0.2">
      <c r="B16" s="149">
        <v>10</v>
      </c>
      <c r="C16" s="150" t="str">
        <f>IF('Entries Feb.''25'!X17-'Entries Feb.''25'!X16&lt;1,"0",'Entries Feb.''25'!X17-'Entries Feb.''25'!X16)</f>
        <v>0</v>
      </c>
      <c r="D16" s="47">
        <f>IF('Entries Feb.''25'!P17-'Entries Feb.''25'!P16&lt;1,"0",'Entries Feb.''25'!P17-'Entries Feb.''25'!P16)</f>
        <v>207</v>
      </c>
      <c r="E16" s="47">
        <f>IF('Entries Feb.''25'!Q17-'Entries Feb.''25'!Q16&lt;1,"0",'Entries Feb.''25'!Q17-'Entries Feb.''25'!Q16)</f>
        <v>106</v>
      </c>
      <c r="F16" s="47">
        <f>IF('Entries Feb.''25'!W17-'Entries Feb.''25'!W16&lt;1,"0",'Entries Feb.''25'!W17-'Entries Feb.''25'!W16)</f>
        <v>75</v>
      </c>
      <c r="G16" s="47">
        <f t="shared" si="1"/>
        <v>238</v>
      </c>
      <c r="H16" s="47">
        <f>IF('Entries Feb.''25'!R17-'Entries Feb.''25'!R16&lt;1,0,'Entries Feb.''25'!R17-'Entries Feb.''25'!R16)</f>
        <v>223</v>
      </c>
      <c r="I16" s="47">
        <f>IF('Entries Feb.''25'!AH17-'Entries Feb.''25'!AH16&lt;1,0,'Entries Feb.''25'!AH17-'Entries Feb.''25'!AH16)</f>
        <v>0</v>
      </c>
      <c r="J16" s="47">
        <f>IF('Entries Feb.''25'!T17-'Entries Feb.''25'!T16&lt;1,"0",'Entries Feb.''25'!T17-'Entries Feb.''25'!T16)</f>
        <v>185</v>
      </c>
      <c r="K16" s="47" t="str">
        <f>IF('Entries Feb.''25'!S17-'Entries Feb.''25'!S16&lt;1,"0",'Entries Feb.''25'!S17-'Entries Feb.''25'!S16)</f>
        <v>0</v>
      </c>
      <c r="L16" s="47" t="str">
        <f>IF('Entries Feb.''25'!U17-'Entries Feb.''25'!U16&lt;1,"0",'Entries Feb.''25'!U17-'Entries Feb.''25'!U16)</f>
        <v>0</v>
      </c>
      <c r="M16" s="47">
        <f>IF('Entries Feb.''25'!V17-'Entries Feb.''25'!V16&lt;1,"0",'Entries Feb.''25'!V17-'Entries Feb.''25'!V16)</f>
        <v>14</v>
      </c>
      <c r="N16" s="47">
        <f>IF('Entries Feb.''25'!Y17-'Entries Feb.''25'!Y16&lt;1,"0",'Entries Feb.''25'!Y17-'Entries Feb.''25'!Y16)</f>
        <v>65</v>
      </c>
      <c r="O16" s="47">
        <f>IF('Entries Feb.''25'!Z17-'Entries Feb.''25'!Z16&lt;1,"0",'Entries Feb.''25'!Z17-'Entries Feb.''25'!Z16)</f>
        <v>75</v>
      </c>
      <c r="P16" s="47">
        <f>IF('Entries Feb.''25'!AA17-'Entries Feb.''25'!AA16&lt;1,"0",'Entries Feb.''25'!AA17-'Entries Feb.''25'!AA16)</f>
        <v>22</v>
      </c>
      <c r="Q16" s="47" t="str">
        <f>IF(('Entries Feb.''25'!AB17-'Entries Feb.''25'!AB16)+('Entries Feb.''25'!AC18-'Entries Feb.''25'!AC17)&lt;1,"0",('Entries Feb.''25'!AB17-'Entries Feb.''25'!AB16)+('Entries Feb.''25'!AC18-'Entries Feb.''25'!AC17))</f>
        <v>0</v>
      </c>
      <c r="R16" s="47">
        <f t="shared" si="2"/>
        <v>2380</v>
      </c>
      <c r="S16" s="150">
        <f t="shared" si="3"/>
        <v>154</v>
      </c>
      <c r="T16" s="47">
        <f>IF('Entries Feb.''25'!AD17-'Entries Feb.''25'!AD16&lt;1,"0",'Entries Feb.''25'!AD17-'Entries Feb.''25'!AD16)</f>
        <v>23</v>
      </c>
      <c r="U16" s="221">
        <f>'Entries Feb.''25'!AE17-'Entries Feb.''25'!AE16</f>
        <v>0</v>
      </c>
      <c r="V16" s="221">
        <f>'Entries Feb.''25'!AF17-'Entries Feb.''25'!AF16</f>
        <v>0</v>
      </c>
      <c r="W16" s="221" t="str">
        <f>IF('Entries Feb.''25'!AI17-'Entries Feb.''25'!AI16&lt;1,"0",'Entries Feb.''25'!AI17-'Entries Feb.''25'!AI16)</f>
        <v>0</v>
      </c>
      <c r="X16" s="221" t="str">
        <f>IF('Entries Feb.''25'!AJ17-'Entries Feb.''25'!AJ16&lt;1,"0",'Entries Feb.''25'!AJ17-'Entries Feb.''25'!AJ16)</f>
        <v>0</v>
      </c>
      <c r="Y16" s="153"/>
      <c r="Z16" s="150">
        <f>'PROD.FIG. '!H14</f>
        <v>0</v>
      </c>
      <c r="AA16" s="152" t="e">
        <f t="shared" si="0"/>
        <v>#DIV/0!</v>
      </c>
    </row>
    <row r="17" spans="1:27" x14ac:dyDescent="0.2">
      <c r="B17" s="149">
        <v>11</v>
      </c>
      <c r="C17" s="150" t="str">
        <f>IF('Entries Feb.''25'!X18-'Entries Feb.''25'!X17&lt;1,"0",'Entries Feb.''25'!X18-'Entries Feb.''25'!X17)</f>
        <v>0</v>
      </c>
      <c r="D17" s="47">
        <f>IF('Entries Feb.''25'!P18-'Entries Feb.''25'!P17&lt;1,"0",'Entries Feb.''25'!P18-'Entries Feb.''25'!P17)</f>
        <v>156</v>
      </c>
      <c r="E17" s="47">
        <f>IF('Entries Feb.''25'!Q18-'Entries Feb.''25'!Q17&lt;1,"0",'Entries Feb.''25'!Q18-'Entries Feb.''25'!Q17)</f>
        <v>218</v>
      </c>
      <c r="F17" s="47">
        <f>IF('Entries Feb.''25'!W18-'Entries Feb.''25'!W17&lt;1,"0",'Entries Feb.''25'!W18-'Entries Feb.''25'!W17)</f>
        <v>230</v>
      </c>
      <c r="G17" s="47">
        <f t="shared" si="1"/>
        <v>144</v>
      </c>
      <c r="H17" s="47">
        <f>IF('Entries Feb.''25'!R18-'Entries Feb.''25'!R17&lt;1,0,'Entries Feb.''25'!R18-'Entries Feb.''25'!R17)</f>
        <v>275</v>
      </c>
      <c r="I17" s="47">
        <f>IF('Entries Feb.''25'!AH18-'Entries Feb.''25'!AH17&lt;1,0,'Entries Feb.''25'!AH18-'Entries Feb.''25'!AH17)</f>
        <v>0</v>
      </c>
      <c r="J17" s="47">
        <f>IF('Entries Feb.''25'!T18-'Entries Feb.''25'!T17&lt;1,"0",'Entries Feb.''25'!T18-'Entries Feb.''25'!T17)</f>
        <v>265</v>
      </c>
      <c r="K17" s="47" t="str">
        <f>IF('Entries Feb.''25'!S18-'Entries Feb.''25'!S17&lt;1,"0",'Entries Feb.''25'!S18-'Entries Feb.''25'!S17)</f>
        <v>0</v>
      </c>
      <c r="L17" s="47" t="str">
        <f>IF('Entries Feb.''25'!U18-'Entries Feb.''25'!U17&lt;1,"0",'Entries Feb.''25'!U18-'Entries Feb.''25'!U17)</f>
        <v>0</v>
      </c>
      <c r="M17" s="47">
        <f>IF('Entries Feb.''25'!V18-'Entries Feb.''25'!V17&lt;1,"0",'Entries Feb.''25'!V18-'Entries Feb.''25'!V17)</f>
        <v>10</v>
      </c>
      <c r="N17" s="47">
        <f>IF('Entries Feb.''25'!Y18-'Entries Feb.''25'!Y17&lt;1,"0",'Entries Feb.''25'!Y18-'Entries Feb.''25'!Y17)</f>
        <v>55</v>
      </c>
      <c r="O17" s="47">
        <f>IF('Entries Feb.''25'!Z18-'Entries Feb.''25'!Z17&lt;1,"0",'Entries Feb.''25'!Z18-'Entries Feb.''25'!Z17)</f>
        <v>97</v>
      </c>
      <c r="P17" s="47">
        <f>IF('Entries Feb.''25'!AA18-'Entries Feb.''25'!AA17&lt;1,"0",'Entries Feb.''25'!AA18-'Entries Feb.''25'!AA17)</f>
        <v>27</v>
      </c>
      <c r="Q17" s="47" t="str">
        <f>IF(('Entries Feb.''25'!AB18-'Entries Feb.''25'!AB17)+('Entries Feb.''25'!AC19-'Entries Feb.''25'!AC18)&lt;1,"0",('Entries Feb.''25'!AB18-'Entries Feb.''25'!AB17)+('Entries Feb.''25'!AC19-'Entries Feb.''25'!AC18))</f>
        <v>0</v>
      </c>
      <c r="R17" s="47">
        <f t="shared" si="2"/>
        <v>1440</v>
      </c>
      <c r="S17" s="150">
        <f t="shared" si="3"/>
        <v>162</v>
      </c>
      <c r="T17" s="47">
        <f>IF('Entries Feb.''25'!AD18-'Entries Feb.''25'!AD17&lt;1,"0",'Entries Feb.''25'!AD18-'Entries Feb.''25'!AD17)</f>
        <v>26</v>
      </c>
      <c r="U17" s="221">
        <f>'Entries Feb.''25'!AE18-'Entries Feb.''25'!AE17</f>
        <v>0</v>
      </c>
      <c r="V17" s="221">
        <f>'Entries Feb.''25'!AF18-'Entries Feb.''25'!AF17</f>
        <v>0</v>
      </c>
      <c r="W17" s="221" t="str">
        <f>IF('Entries Feb.''25'!AI18-'Entries Feb.''25'!AI17&lt;1,"0",'Entries Feb.''25'!AI18-'Entries Feb.''25'!AI17)</f>
        <v>0</v>
      </c>
      <c r="X17" s="221" t="str">
        <f>IF('Entries Feb.''25'!AJ18-'Entries Feb.''25'!AJ17&lt;1,"0",'Entries Feb.''25'!AJ18-'Entries Feb.''25'!AJ17)</f>
        <v>0</v>
      </c>
      <c r="Y17" s="153"/>
      <c r="Z17" s="150">
        <f>'PROD.FIG. '!H15</f>
        <v>0</v>
      </c>
      <c r="AA17" s="152" t="e">
        <f t="shared" si="0"/>
        <v>#DIV/0!</v>
      </c>
    </row>
    <row r="18" spans="1:27" x14ac:dyDescent="0.2">
      <c r="B18" s="149">
        <v>12</v>
      </c>
      <c r="C18" s="150" t="str">
        <f>IF('Entries Feb.''25'!X19-'Entries Feb.''25'!X18&lt;1,"0",'Entries Feb.''25'!X19-'Entries Feb.''25'!X18)</f>
        <v>0</v>
      </c>
      <c r="D18" s="47">
        <f>IF('Entries Feb.''25'!P19-'Entries Feb.''25'!P18&lt;1,"0",'Entries Feb.''25'!P19-'Entries Feb.''25'!P18)</f>
        <v>277</v>
      </c>
      <c r="E18" s="47">
        <f>IF('Entries Feb.''25'!Q19-'Entries Feb.''25'!Q18&lt;1,"0",'Entries Feb.''25'!Q19-'Entries Feb.''25'!Q18)</f>
        <v>168</v>
      </c>
      <c r="F18" s="47">
        <f>IF('Entries Feb.''25'!W19-'Entries Feb.''25'!W18&lt;1,"0",'Entries Feb.''25'!W19-'Entries Feb.''25'!W18)</f>
        <v>177</v>
      </c>
      <c r="G18" s="47">
        <f t="shared" si="1"/>
        <v>268</v>
      </c>
      <c r="H18" s="47">
        <f>IF('Entries Feb.''25'!R19-'Entries Feb.''25'!R18&lt;1,0,'Entries Feb.''25'!R19-'Entries Feb.''25'!R18)</f>
        <v>199</v>
      </c>
      <c r="I18" s="47">
        <f>IF('Entries Feb.''25'!AH19-'Entries Feb.''25'!AH18&lt;1,0,'Entries Feb.''25'!AH19-'Entries Feb.''25'!AH18)</f>
        <v>0</v>
      </c>
      <c r="J18" s="47">
        <f>IF('Entries Feb.''25'!T19-'Entries Feb.''25'!T18&lt;1,"0",'Entries Feb.''25'!T19-'Entries Feb.''25'!T18)</f>
        <v>215</v>
      </c>
      <c r="K18" s="47" t="str">
        <f>IF('Entries Feb.''25'!S19-'Entries Feb.''25'!S18&lt;1,"0",'Entries Feb.''25'!S19-'Entries Feb.''25'!S18)</f>
        <v>0</v>
      </c>
      <c r="L18" s="47" t="str">
        <f>IF('Entries Feb.''25'!U19-'Entries Feb.''25'!U18&lt;1,"0",'Entries Feb.''25'!U19-'Entries Feb.''25'!U18)</f>
        <v>0</v>
      </c>
      <c r="M18" s="47" t="str">
        <f>IF('Entries Feb.''25'!V19-'Entries Feb.''25'!V18&lt;1,"0",'Entries Feb.''25'!V19-'Entries Feb.''25'!V18)</f>
        <v>0</v>
      </c>
      <c r="N18" s="47">
        <f>IF('Entries Feb.''25'!Y19-'Entries Feb.''25'!Y18&lt;1,"0",'Entries Feb.''25'!Y19-'Entries Feb.''25'!Y18)</f>
        <v>29</v>
      </c>
      <c r="O18" s="47">
        <f>IF('Entries Feb.''25'!Z19-'Entries Feb.''25'!Z18&lt;1,"0",'Entries Feb.''25'!Z19-'Entries Feb.''25'!Z18)</f>
        <v>86</v>
      </c>
      <c r="P18" s="47">
        <f>IF('Entries Feb.''25'!AA19-'Entries Feb.''25'!AA18&lt;1,"0",'Entries Feb.''25'!AA19-'Entries Feb.''25'!AA18)</f>
        <v>31</v>
      </c>
      <c r="Q18" s="47" t="str">
        <f>IF(('Entries Feb.''25'!AB19-'Entries Feb.''25'!AB18)+('Entries Feb.''25'!AC20-'Entries Feb.''25'!AC19)&lt;1,"0",('Entries Feb.''25'!AB19-'Entries Feb.''25'!AB18)+('Entries Feb.''25'!AC20-'Entries Feb.''25'!AC19))</f>
        <v>0</v>
      </c>
      <c r="R18" s="47">
        <f t="shared" si="2"/>
        <v>2680</v>
      </c>
      <c r="S18" s="150">
        <f t="shared" si="3"/>
        <v>115</v>
      </c>
      <c r="T18" s="47">
        <f>IF('Entries Feb.''25'!AD19-'Entries Feb.''25'!AD18&lt;1,"0",'Entries Feb.''25'!AD19-'Entries Feb.''25'!AD18)</f>
        <v>24</v>
      </c>
      <c r="U18" s="221">
        <f>'Entries Feb.''25'!AE19-'Entries Feb.''25'!AE18</f>
        <v>0</v>
      </c>
      <c r="V18" s="221">
        <f>'Entries Feb.''25'!AF19-'Entries Feb.''25'!AF18</f>
        <v>0</v>
      </c>
      <c r="W18" s="221" t="str">
        <f>IF('Entries Feb.''25'!AI19-'Entries Feb.''25'!AI18&lt;1,"0",'Entries Feb.''25'!AI19-'Entries Feb.''25'!AI18)</f>
        <v>0</v>
      </c>
      <c r="X18" s="221" t="str">
        <f>IF('Entries Feb.''25'!AJ19-'Entries Feb.''25'!AJ18&lt;1,"0",'Entries Feb.''25'!AJ19-'Entries Feb.''25'!AJ18)</f>
        <v>0</v>
      </c>
      <c r="Y18" s="153"/>
      <c r="Z18" s="150">
        <f>'PROD.FIG. '!H16</f>
        <v>0</v>
      </c>
      <c r="AA18" s="152" t="e">
        <f t="shared" si="0"/>
        <v>#DIV/0!</v>
      </c>
    </row>
    <row r="19" spans="1:27" x14ac:dyDescent="0.2">
      <c r="A19" s="45"/>
      <c r="B19" s="149">
        <v>13</v>
      </c>
      <c r="C19" s="150" t="str">
        <f>IF('Entries Feb.''25'!X20-'Entries Feb.''25'!X19&lt;1,"0",'Entries Feb.''25'!X20-'Entries Feb.''25'!X19)</f>
        <v>0</v>
      </c>
      <c r="D19" s="47">
        <f>IF('Entries Feb.''25'!P20-'Entries Feb.''25'!P19&lt;1,"0",'Entries Feb.''25'!P20-'Entries Feb.''25'!P19)</f>
        <v>171</v>
      </c>
      <c r="E19" s="47">
        <f>IF('Entries Feb.''25'!Q20-'Entries Feb.''25'!Q19&lt;1,"0",'Entries Feb.''25'!Q20-'Entries Feb.''25'!Q19)</f>
        <v>256</v>
      </c>
      <c r="F19" s="47">
        <f>IF('Entries Feb.''25'!W20-'Entries Feb.''25'!W19&lt;1,"0",'Entries Feb.''25'!W20-'Entries Feb.''25'!W19)</f>
        <v>270</v>
      </c>
      <c r="G19" s="47">
        <f t="shared" si="1"/>
        <v>157</v>
      </c>
      <c r="H19" s="47">
        <f>IF('Entries Feb.''25'!R20-'Entries Feb.''25'!R19&lt;1,0,'Entries Feb.''25'!R20-'Entries Feb.''25'!R19)</f>
        <v>236</v>
      </c>
      <c r="I19" s="47">
        <f>IF('Entries Feb.''25'!AH20-'Entries Feb.''25'!AH19&lt;1,0,'Entries Feb.''25'!AH20-'Entries Feb.''25'!AH19)</f>
        <v>0</v>
      </c>
      <c r="J19" s="47">
        <f>IF('Entries Feb.''25'!T20-'Entries Feb.''25'!T19&lt;1,"0",'Entries Feb.''25'!T20-'Entries Feb.''25'!T19)</f>
        <v>258</v>
      </c>
      <c r="K19" s="47" t="str">
        <f>IF('Entries Feb.''25'!S20-'Entries Feb.''25'!S19&lt;1,"0",'Entries Feb.''25'!S20-'Entries Feb.''25'!S19)</f>
        <v>0</v>
      </c>
      <c r="L19" s="47" t="str">
        <f>IF('Entries Feb.''25'!U20-'Entries Feb.''25'!U19&lt;1,"0",'Entries Feb.''25'!U20-'Entries Feb.''25'!U19)</f>
        <v>0</v>
      </c>
      <c r="M19" s="47">
        <f>IF('Entries Feb.''25'!V20-'Entries Feb.''25'!V19&lt;1,"0",'Entries Feb.''25'!V20-'Entries Feb.''25'!V19)</f>
        <v>5</v>
      </c>
      <c r="N19" s="47">
        <f>IF('Entries Feb.''25'!Y20-'Entries Feb.''25'!Y19&lt;1,"0",'Entries Feb.''25'!Y20-'Entries Feb.''25'!Y19)</f>
        <v>62</v>
      </c>
      <c r="O19" s="47">
        <f>IF('Entries Feb.''25'!Z20-'Entries Feb.''25'!Z19&lt;1,"0",'Entries Feb.''25'!Z20-'Entries Feb.''25'!Z19)</f>
        <v>85</v>
      </c>
      <c r="P19" s="47">
        <f>IF('Entries Feb.''25'!AA20-'Entries Feb.''25'!AA19&lt;1,"0",'Entries Feb.''25'!AA20-'Entries Feb.''25'!AA19)</f>
        <v>28</v>
      </c>
      <c r="Q19" s="47" t="str">
        <f>IF(('Entries Feb.''25'!AB20-'Entries Feb.''25'!AB19)+('Entries Feb.''25'!AC20-'Entries Feb.''25'!AC19)&lt;1,"0",('Entries Feb.''25'!AB20-'Entries Feb.''25'!AB19)+('Entries Feb.''25'!AC20-'Entries Feb.''25'!AC19))</f>
        <v>0</v>
      </c>
      <c r="R19" s="47">
        <f t="shared" si="2"/>
        <v>1570</v>
      </c>
      <c r="S19" s="150">
        <f t="shared" si="3"/>
        <v>152</v>
      </c>
      <c r="T19" s="47">
        <f>IF('Entries Feb.''25'!AD20-'Entries Feb.''25'!AD19&lt;1,"0",'Entries Feb.''25'!AD20-'Entries Feb.''25'!AD19)</f>
        <v>23</v>
      </c>
      <c r="U19" s="221">
        <f>'Entries Feb.''25'!AE20-'Entries Feb.''25'!AE19</f>
        <v>0</v>
      </c>
      <c r="V19" s="221">
        <f>'Entries Feb.''25'!AF20-'Entries Feb.''25'!AF19</f>
        <v>0</v>
      </c>
      <c r="W19" s="221" t="str">
        <f>IF('Entries Feb.''25'!AI20-'Entries Feb.''25'!AI19&lt;1,"0",'Entries Feb.''25'!AI20-'Entries Feb.''25'!AI19)</f>
        <v>0</v>
      </c>
      <c r="X19" s="221" t="str">
        <f>IF('Entries Feb.''25'!AJ20-'Entries Feb.''25'!AJ19&lt;1,"0",'Entries Feb.''25'!AJ20-'Entries Feb.''25'!AJ19)</f>
        <v>0</v>
      </c>
      <c r="Y19" s="153"/>
      <c r="Z19" s="150">
        <f>'PROD.FIG. '!H17</f>
        <v>0</v>
      </c>
      <c r="AA19" s="152" t="e">
        <f t="shared" si="0"/>
        <v>#DIV/0!</v>
      </c>
    </row>
    <row r="20" spans="1:27" x14ac:dyDescent="0.2">
      <c r="A20" s="45"/>
      <c r="B20" s="149">
        <v>14</v>
      </c>
      <c r="C20" s="150" t="str">
        <f>IF('Entries Feb.''25'!X21-'Entries Feb.''25'!X20&lt;1,"0",'Entries Feb.''25'!X21-'Entries Feb.''25'!X20)</f>
        <v>0</v>
      </c>
      <c r="D20" s="47">
        <f>IF('Entries Feb.''25'!P21-'Entries Feb.''25'!P20&lt;1,"0",'Entries Feb.''25'!P21-'Entries Feb.''25'!P20)</f>
        <v>214</v>
      </c>
      <c r="E20" s="47">
        <f>IF('Entries Feb.''25'!Q21-'Entries Feb.''25'!Q20&lt;1,"0",'Entries Feb.''25'!Q21-'Entries Feb.''25'!Q20)</f>
        <v>256</v>
      </c>
      <c r="F20" s="47">
        <f>IF('Entries Feb.''25'!W21-'Entries Feb.''25'!W20&lt;1,"0",'Entries Feb.''25'!W21-'Entries Feb.''25'!W20)</f>
        <v>269</v>
      </c>
      <c r="G20" s="47">
        <f t="shared" si="1"/>
        <v>201</v>
      </c>
      <c r="H20" s="47">
        <f>IF('Entries Feb.''25'!R21-'Entries Feb.''25'!R20&lt;1,0,'Entries Feb.''25'!R21-'Entries Feb.''25'!R20)</f>
        <v>169</v>
      </c>
      <c r="I20" s="47">
        <f>IF('Entries Feb.''25'!AH21-'Entries Feb.''25'!AH20&lt;1,0,'Entries Feb.''25'!AH21-'Entries Feb.''25'!AH20)</f>
        <v>0</v>
      </c>
      <c r="J20" s="47">
        <f>IF('Entries Feb.''25'!T21-'Entries Feb.''25'!T20&lt;1,"0",'Entries Feb.''25'!T21-'Entries Feb.''25'!T20)</f>
        <v>209</v>
      </c>
      <c r="K20" s="47" t="str">
        <f>IF('Entries Feb.''25'!S21-'Entries Feb.''25'!S20&lt;1,"0",'Entries Feb.''25'!S21-'Entries Feb.''25'!S20)</f>
        <v>0</v>
      </c>
      <c r="L20" s="47" t="str">
        <f>IF('Entries Feb.''25'!U21-'Entries Feb.''25'!U20&lt;1,"0",'Entries Feb.''25'!U21-'Entries Feb.''25'!U20)</f>
        <v>0</v>
      </c>
      <c r="M20" s="47">
        <f>IF('Entries Feb.''25'!V21-'Entries Feb.''25'!V20&lt;1,"0",'Entries Feb.''25'!V21-'Entries Feb.''25'!V20)</f>
        <v>4</v>
      </c>
      <c r="N20" s="47">
        <f>IF('Entries Feb.''25'!Y21-'Entries Feb.''25'!Y20&lt;1,"0",'Entries Feb.''25'!Y21-'Entries Feb.''25'!Y20)</f>
        <v>38</v>
      </c>
      <c r="O20" s="47">
        <f>IF('Entries Feb.''25'!Z21-'Entries Feb.''25'!Z20&lt;1,"0",'Entries Feb.''25'!Z21-'Entries Feb.''25'!Z20)</f>
        <v>57</v>
      </c>
      <c r="P20" s="47">
        <f>IF('Entries Feb.''25'!AA21-'Entries Feb.''25'!AA20&lt;1,"0",'Entries Feb.''25'!AA21-'Entries Feb.''25'!AA20)</f>
        <v>22</v>
      </c>
      <c r="Q20" s="47" t="str">
        <f>IF(('Entries Feb.''25'!AB21-'Entries Feb.''25'!AB20)+('Entries Feb.''25'!AC21-'Entries Feb.''25'!AC20)&lt;1,"0",('Entries Feb.''25'!AB21-'Entries Feb.''25'!AB20)+('Entries Feb.''25'!AC21-'Entries Feb.''25'!AC20))</f>
        <v>0</v>
      </c>
      <c r="R20" s="47">
        <f t="shared" si="2"/>
        <v>2010</v>
      </c>
      <c r="S20" s="150">
        <f t="shared" si="3"/>
        <v>99</v>
      </c>
      <c r="T20" s="47">
        <f>IF('Entries Feb.''25'!AD21-'Entries Feb.''25'!AD20&lt;1,"0",'Entries Feb.''25'!AD21-'Entries Feb.''25'!AD20)</f>
        <v>17</v>
      </c>
      <c r="U20" s="221">
        <f>'Entries Feb.''25'!AE21-'Entries Feb.''25'!AE20</f>
        <v>0</v>
      </c>
      <c r="V20" s="221">
        <f>'Entries Feb.''25'!AF21-'Entries Feb.''25'!AF20</f>
        <v>0</v>
      </c>
      <c r="W20" s="221" t="str">
        <f>IF('Entries Feb.''25'!AI21-'Entries Feb.''25'!AI20&lt;1,"0",'Entries Feb.''25'!AI21-'Entries Feb.''25'!AI20)</f>
        <v>0</v>
      </c>
      <c r="X20" s="221" t="str">
        <f>IF('Entries Feb.''25'!AJ21-'Entries Feb.''25'!AJ20&lt;1,"0",'Entries Feb.''25'!AJ21-'Entries Feb.''25'!AJ20)</f>
        <v>0</v>
      </c>
      <c r="Y20" s="153"/>
      <c r="Z20" s="150">
        <f>'PROD.FIG. '!H18</f>
        <v>0</v>
      </c>
      <c r="AA20" s="152" t="e">
        <f t="shared" si="0"/>
        <v>#DIV/0!</v>
      </c>
    </row>
    <row r="21" spans="1:27" ht="14.25" customHeight="1" x14ac:dyDescent="0.2">
      <c r="B21" s="149">
        <v>15</v>
      </c>
      <c r="C21" s="150" t="str">
        <f>IF('Entries Feb.''25'!X22-'Entries Feb.''25'!X21&lt;1,"0",'Entries Feb.''25'!X22-'Entries Feb.''25'!X21)</f>
        <v>0</v>
      </c>
      <c r="D21" s="47" t="str">
        <f>IF('Entries Feb.''25'!P22-'Entries Feb.''25'!P21&lt;1,"0",'Entries Feb.''25'!P22-'Entries Feb.''25'!P21)</f>
        <v>0</v>
      </c>
      <c r="E21" s="47">
        <f>IF('Entries Feb.''25'!Q22-'Entries Feb.''25'!Q21&lt;1,"0",'Entries Feb.''25'!Q22-'Entries Feb.''25'!Q21)</f>
        <v>190</v>
      </c>
      <c r="F21" s="47">
        <f>IF('Entries Feb.''25'!W22-'Entries Feb.''25'!W21&lt;1,"0",'Entries Feb.''25'!W22-'Entries Feb.''25'!W21)</f>
        <v>200</v>
      </c>
      <c r="G21" s="47">
        <f t="shared" si="1"/>
        <v>-10</v>
      </c>
      <c r="H21" s="47">
        <f>IF('Entries Feb.''25'!R22-'Entries Feb.''25'!R21&lt;1,0,'Entries Feb.''25'!R22-'Entries Feb.''25'!R21)</f>
        <v>61</v>
      </c>
      <c r="I21" s="47">
        <f>IF('Entries Feb.''25'!AH22-'Entries Feb.''25'!AH21&lt;1,0,'Entries Feb.''25'!AH22-'Entries Feb.''25'!AH21)</f>
        <v>0</v>
      </c>
      <c r="J21" s="47" t="str">
        <f>IF('Entries Feb.''25'!T22-'Entries Feb.''25'!T21&lt;1,"0",'Entries Feb.''25'!T22-'Entries Feb.''25'!T21)</f>
        <v>0</v>
      </c>
      <c r="K21" s="47" t="str">
        <f>IF('Entries Feb.''25'!S22-'Entries Feb.''25'!S21&lt;1,"0",'Entries Feb.''25'!S22-'Entries Feb.''25'!S21)</f>
        <v>0</v>
      </c>
      <c r="L21" s="47" t="str">
        <f>IF('Entries Feb.''25'!U22-'Entries Feb.''25'!U21&lt;1,"0",'Entries Feb.''25'!U22-'Entries Feb.''25'!U21)</f>
        <v>0</v>
      </c>
      <c r="M21" s="47" t="str">
        <f>IF('Entries Feb.''25'!V22-'Entries Feb.''25'!V21&lt;1,"0",'Entries Feb.''25'!V22-'Entries Feb.''25'!V21)</f>
        <v>0</v>
      </c>
      <c r="N21" s="47" t="str">
        <f>IF('Entries Feb.''25'!Y22-'Entries Feb.''25'!Y21&lt;1,"0",'Entries Feb.''25'!Y22-'Entries Feb.''25'!Y21)</f>
        <v>0</v>
      </c>
      <c r="O21" s="47">
        <f>IF('Entries Feb.''25'!Z22-'Entries Feb.''25'!Z21&lt;1,"0",'Entries Feb.''25'!Z22-'Entries Feb.''25'!Z21)</f>
        <v>23</v>
      </c>
      <c r="P21" s="47">
        <f>IF('Entries Feb.''25'!AA22-'Entries Feb.''25'!AA21&lt;1,"0",'Entries Feb.''25'!AA22-'Entries Feb.''25'!AA21)</f>
        <v>8</v>
      </c>
      <c r="Q21" s="47" t="str">
        <f>IF(('Entries Feb.''25'!AB22-'Entries Feb.''25'!AB21)+('Entries Feb.''25'!AC22-'Entries Feb.''25'!AC21)&lt;1,"0",('Entries Feb.''25'!AB22-'Entries Feb.''25'!AB21)+('Entries Feb.''25'!AC22-'Entries Feb.''25'!AC21))</f>
        <v>0</v>
      </c>
      <c r="R21" s="47">
        <f t="shared" si="2"/>
        <v>-100</v>
      </c>
      <c r="S21" s="150">
        <f t="shared" si="3"/>
        <v>23</v>
      </c>
      <c r="T21" s="47">
        <f>IF('Entries Feb.''25'!AD22-'Entries Feb.''25'!AD21&lt;1,"0",'Entries Feb.''25'!AD22-'Entries Feb.''25'!AD21)</f>
        <v>2</v>
      </c>
      <c r="U21" s="221">
        <f>'Entries Feb.''25'!AE22-'Entries Feb.''25'!AE21</f>
        <v>0</v>
      </c>
      <c r="V21" s="221">
        <f>'Entries Feb.''25'!AF22-'Entries Feb.''25'!AF21</f>
        <v>0</v>
      </c>
      <c r="W21" s="221" t="str">
        <f>IF('Entries Feb.''25'!AI22-'Entries Feb.''25'!AI21&lt;1,"0",'Entries Feb.''25'!AI22-'Entries Feb.''25'!AI21)</f>
        <v>0</v>
      </c>
      <c r="X21" s="221" t="str">
        <f>IF('Entries Feb.''25'!AJ22-'Entries Feb.''25'!AJ21&lt;1,"0",'Entries Feb.''25'!AJ22-'Entries Feb.''25'!AJ21)</f>
        <v>0</v>
      </c>
      <c r="Y21" s="153"/>
      <c r="Z21" s="150">
        <f>'PROD.FIG. '!H19</f>
        <v>0</v>
      </c>
      <c r="AA21" s="152" t="e">
        <f t="shared" si="0"/>
        <v>#DIV/0!</v>
      </c>
    </row>
    <row r="22" spans="1:27" x14ac:dyDescent="0.2">
      <c r="B22" s="149">
        <v>16</v>
      </c>
      <c r="C22" s="150" t="str">
        <f>IF('Entries Feb.''25'!X23-'Entries Feb.''25'!X22&lt;1,"0",'Entries Feb.''25'!X23-'Entries Feb.''25'!X22)</f>
        <v>0</v>
      </c>
      <c r="D22" s="47">
        <f>IF('Entries Feb.''25'!P23-'Entries Feb.''25'!P22&lt;1,"0",'Entries Feb.''25'!P23-'Entries Feb.''25'!P22)</f>
        <v>50</v>
      </c>
      <c r="E22" s="47" t="str">
        <f>IF('Entries Feb.''25'!Q23-'Entries Feb.''25'!Q22&lt;1,"0",'Entries Feb.''25'!Q23-'Entries Feb.''25'!Q22)</f>
        <v>0</v>
      </c>
      <c r="F22" s="47" t="str">
        <f>IF('Entries Feb.''25'!W23-'Entries Feb.''25'!W22&lt;1,"0",'Entries Feb.''25'!W23-'Entries Feb.''25'!W22)</f>
        <v>0</v>
      </c>
      <c r="G22" s="47">
        <f t="shared" si="1"/>
        <v>50</v>
      </c>
      <c r="H22" s="47">
        <f>IF('Entries Feb.''25'!R23-'Entries Feb.''25'!R22&lt;1,0,'Entries Feb.''25'!R23-'Entries Feb.''25'!R22)</f>
        <v>26</v>
      </c>
      <c r="I22" s="47">
        <f>IF('Entries Feb.''25'!AH23-'Entries Feb.''25'!AH22&lt;1,0,'Entries Feb.''25'!AH23-'Entries Feb.''25'!AH22)</f>
        <v>0</v>
      </c>
      <c r="J22" s="47" t="str">
        <f>IF('Entries Feb.''25'!T23-'Entries Feb.''25'!T22&lt;1,"0",'Entries Feb.''25'!T23-'Entries Feb.''25'!T22)</f>
        <v>0</v>
      </c>
      <c r="K22" s="47" t="str">
        <f>IF('Entries Feb.''25'!S23-'Entries Feb.''25'!S22&lt;1,"0",'Entries Feb.''25'!S23-'Entries Feb.''25'!S22)</f>
        <v>0</v>
      </c>
      <c r="L22" s="47" t="str">
        <f>IF('Entries Feb.''25'!U23-'Entries Feb.''25'!U22&lt;1,"0",'Entries Feb.''25'!U23-'Entries Feb.''25'!U22)</f>
        <v>0</v>
      </c>
      <c r="M22" s="47" t="str">
        <f>IF('Entries Feb.''25'!V23-'Entries Feb.''25'!V22&lt;1,"0",'Entries Feb.''25'!V23-'Entries Feb.''25'!V22)</f>
        <v>0</v>
      </c>
      <c r="N22" s="47">
        <f>IF('Entries Feb.''25'!Y23-'Entries Feb.''25'!Y22&lt;1,"0",'Entries Feb.''25'!Y23-'Entries Feb.''25'!Y22)</f>
        <v>2</v>
      </c>
      <c r="O22" s="47">
        <f>IF('Entries Feb.''25'!Z23-'Entries Feb.''25'!Z22&lt;1,"0",'Entries Feb.''25'!Z23-'Entries Feb.''25'!Z22)</f>
        <v>7</v>
      </c>
      <c r="P22" s="47">
        <f>IF('Entries Feb.''25'!AA23-'Entries Feb.''25'!AA22&lt;1,"0",'Entries Feb.''25'!AA23-'Entries Feb.''25'!AA22)</f>
        <v>11</v>
      </c>
      <c r="Q22" s="47" t="str">
        <f>IF(('Entries Feb.''25'!AB23-'Entries Feb.''25'!AB22)+('Entries Feb.''25'!AC23-'Entries Feb.''25'!AC22)&lt;1,"0",('Entries Feb.''25'!AB23-'Entries Feb.''25'!AB22)+('Entries Feb.''25'!AC23-'Entries Feb.''25'!AC22))</f>
        <v>0</v>
      </c>
      <c r="R22" s="47">
        <f t="shared" si="2"/>
        <v>500</v>
      </c>
      <c r="S22" s="150">
        <f t="shared" si="3"/>
        <v>9</v>
      </c>
      <c r="T22" s="47" t="str">
        <f>IF('Entries Feb.''25'!AD23-'Entries Feb.''25'!AD22&lt;1,"0",'Entries Feb.''25'!AD23-'Entries Feb.''25'!AD22)</f>
        <v>0</v>
      </c>
      <c r="U22" s="221">
        <f>'Entries Feb.''25'!AE23-'Entries Feb.''25'!AE22</f>
        <v>2</v>
      </c>
      <c r="V22" s="221">
        <f>'Entries Feb.''25'!AF23-'Entries Feb.''25'!AF22</f>
        <v>0</v>
      </c>
      <c r="W22" s="221" t="str">
        <f>IF('Entries Feb.''25'!AI23-'Entries Feb.''25'!AI22&lt;1,"0",'Entries Feb.''25'!AI23-'Entries Feb.''25'!AI22)</f>
        <v>0</v>
      </c>
      <c r="X22" s="221" t="str">
        <f>IF('Entries Feb.''25'!AJ23-'Entries Feb.''25'!AJ22&lt;1,"0",'Entries Feb.''25'!AJ23-'Entries Feb.''25'!AJ22)</f>
        <v>0</v>
      </c>
      <c r="Y22" s="153"/>
      <c r="Z22" s="150">
        <f>'PROD.FIG. '!H20</f>
        <v>0</v>
      </c>
      <c r="AA22" s="152" t="e">
        <f t="shared" si="0"/>
        <v>#DIV/0!</v>
      </c>
    </row>
    <row r="23" spans="1:27" x14ac:dyDescent="0.2">
      <c r="B23" s="149">
        <v>17</v>
      </c>
      <c r="C23" s="150" t="str">
        <f>IF('Entries Feb.''25'!X24-'Entries Feb.''25'!X23&lt;1,"0",'Entries Feb.''25'!X24-'Entries Feb.''25'!X23)</f>
        <v>0</v>
      </c>
      <c r="D23" s="47">
        <f>IF('Entries Feb.''25'!P24-'Entries Feb.''25'!P23&lt;1,"0",'Entries Feb.''25'!P24-'Entries Feb.''25'!P23)</f>
        <v>136</v>
      </c>
      <c r="E23" s="47">
        <f>IF('Entries Feb.''25'!Q24-'Entries Feb.''25'!Q23&lt;1,"0",'Entries Feb.''25'!Q24-'Entries Feb.''25'!Q23)</f>
        <v>200</v>
      </c>
      <c r="F23" s="47">
        <f>IF('Entries Feb.''25'!W24-'Entries Feb.''25'!W23&lt;1,"0",'Entries Feb.''25'!W24-'Entries Feb.''25'!W23)</f>
        <v>211</v>
      </c>
      <c r="G23" s="47">
        <f t="shared" si="1"/>
        <v>125</v>
      </c>
      <c r="H23" s="47">
        <f>IF('Entries Feb.''25'!R24-'Entries Feb.''25'!R23&lt;1,0,'Entries Feb.''25'!R24-'Entries Feb.''25'!R23)</f>
        <v>197</v>
      </c>
      <c r="I23" s="47">
        <f>IF('Entries Feb.''25'!AH24-'Entries Feb.''25'!AH23&lt;1,0,'Entries Feb.''25'!AH24-'Entries Feb.''25'!AH23)</f>
        <v>0</v>
      </c>
      <c r="J23" s="47">
        <f>IF('Entries Feb.''25'!T24-'Entries Feb.''25'!T23&lt;1,"0",'Entries Feb.''25'!T24-'Entries Feb.''25'!T23)</f>
        <v>227</v>
      </c>
      <c r="K23" s="47" t="str">
        <f>IF('Entries Feb.''25'!S24-'Entries Feb.''25'!S23&lt;1,"0",'Entries Feb.''25'!S24-'Entries Feb.''25'!S23)</f>
        <v>0</v>
      </c>
      <c r="L23" s="47" t="str">
        <f>IF('Entries Feb.''25'!U24-'Entries Feb.''25'!U23&lt;1,"0",'Entries Feb.''25'!U24-'Entries Feb.''25'!U23)</f>
        <v>0</v>
      </c>
      <c r="M23" s="47" t="str">
        <f>IF('Entries Feb.''25'!V24-'Entries Feb.''25'!V23&lt;1,"0",'Entries Feb.''25'!V24-'Entries Feb.''25'!V23)</f>
        <v>0</v>
      </c>
      <c r="N23" s="47">
        <f>IF('Entries Feb.''25'!Y24-'Entries Feb.''25'!Y23&lt;1,"0",'Entries Feb.''25'!Y24-'Entries Feb.''25'!Y23)</f>
        <v>37</v>
      </c>
      <c r="O23" s="47">
        <f>IF('Entries Feb.''25'!Z24-'Entries Feb.''25'!Z23&lt;1,"0",'Entries Feb.''25'!Z24-'Entries Feb.''25'!Z23)</f>
        <v>57</v>
      </c>
      <c r="P23" s="47">
        <f>IF('Entries Feb.''25'!AA24-'Entries Feb.''25'!AA23&lt;1,"0",'Entries Feb.''25'!AA24-'Entries Feb.''25'!AA23)</f>
        <v>23</v>
      </c>
      <c r="Q23" s="47" t="str">
        <f>IF(('Entries Feb.''25'!AB24-'Entries Feb.''25'!AB23)+('Entries Feb.''25'!AC24-'Entries Feb.''25'!AC23)&lt;1,"0",('Entries Feb.''25'!AB24-'Entries Feb.''25'!AB23)+('Entries Feb.''25'!AC24-'Entries Feb.''25'!AC23))</f>
        <v>0</v>
      </c>
      <c r="R23" s="47">
        <f t="shared" si="2"/>
        <v>1250</v>
      </c>
      <c r="S23" s="150">
        <f t="shared" si="3"/>
        <v>94</v>
      </c>
      <c r="T23" s="47">
        <f>IF('Entries Feb.''25'!AD24-'Entries Feb.''25'!AD23&lt;1,"0",'Entries Feb.''25'!AD24-'Entries Feb.''25'!AD23)</f>
        <v>23</v>
      </c>
      <c r="U23" s="221">
        <f>'Entries Feb.''25'!AE24-'Entries Feb.''25'!AE23</f>
        <v>12</v>
      </c>
      <c r="V23" s="221">
        <f>'Entries Feb.''25'!AF24-'Entries Feb.''25'!AF23</f>
        <v>0</v>
      </c>
      <c r="W23" s="221" t="str">
        <f>IF('Entries Feb.''25'!AI24-'Entries Feb.''25'!AI23&lt;1,"0",'Entries Feb.''25'!AI24-'Entries Feb.''25'!AI23)</f>
        <v>0</v>
      </c>
      <c r="X23" s="221" t="str">
        <f>IF('Entries Feb.''25'!AJ24-'Entries Feb.''25'!AJ23&lt;1,"0",'Entries Feb.''25'!AJ24-'Entries Feb.''25'!AJ23)</f>
        <v>0</v>
      </c>
      <c r="Y23" s="153"/>
      <c r="Z23" s="150">
        <f>'PROD.FIG. '!H21</f>
        <v>0</v>
      </c>
      <c r="AA23" s="152" t="e">
        <f t="shared" si="0"/>
        <v>#DIV/0!</v>
      </c>
    </row>
    <row r="24" spans="1:27" x14ac:dyDescent="0.2">
      <c r="B24" s="149">
        <v>18</v>
      </c>
      <c r="C24" s="150" t="str">
        <f>IF('Entries Feb.''25'!X25-'Entries Feb.''25'!X24&lt;1,"0",'Entries Feb.''25'!X25-'Entries Feb.''25'!X24)</f>
        <v>0</v>
      </c>
      <c r="D24" s="47">
        <f>IF('Entries Feb.''25'!P25-'Entries Feb.''25'!P24&lt;1,"0",'Entries Feb.''25'!P25-'Entries Feb.''25'!P24)</f>
        <v>261</v>
      </c>
      <c r="E24" s="47">
        <f>IF('Entries Feb.''25'!Q25-'Entries Feb.''25'!Q24&lt;1,"0",'Entries Feb.''25'!Q25-'Entries Feb.''25'!Q24)</f>
        <v>133</v>
      </c>
      <c r="F24" s="47">
        <f>IF('Entries Feb.''25'!W25-'Entries Feb.''25'!W24&lt;1,"0",'Entries Feb.''25'!W25-'Entries Feb.''25'!W24)</f>
        <v>140</v>
      </c>
      <c r="G24" s="47">
        <f t="shared" si="1"/>
        <v>254</v>
      </c>
      <c r="H24" s="47">
        <f>IF('Entries Feb.''25'!R25-'Entries Feb.''25'!R24&lt;1,0,'Entries Feb.''25'!R25-'Entries Feb.''25'!R24)</f>
        <v>209</v>
      </c>
      <c r="I24" s="47">
        <f>IF('Entries Feb.''25'!AH25-'Entries Feb.''25'!AH24&lt;1,0,'Entries Feb.''25'!AH25-'Entries Feb.''25'!AH24)</f>
        <v>0</v>
      </c>
      <c r="J24" s="47">
        <f>IF('Entries Feb.''25'!T25-'Entries Feb.''25'!T24&lt;1,"0",'Entries Feb.''25'!T25-'Entries Feb.''25'!T24)</f>
        <v>209</v>
      </c>
      <c r="K24" s="47" t="str">
        <f>IF('Entries Feb.''25'!S25-'Entries Feb.''25'!S24&lt;1,"0",'Entries Feb.''25'!S25-'Entries Feb.''25'!S24)</f>
        <v>0</v>
      </c>
      <c r="L24" s="47" t="str">
        <f>IF('Entries Feb.''25'!U25-'Entries Feb.''25'!U24&lt;1,"0",'Entries Feb.''25'!U25-'Entries Feb.''25'!U24)</f>
        <v>0</v>
      </c>
      <c r="M24" s="47" t="str">
        <f>IF('Entries Feb.''25'!V25-'Entries Feb.''25'!V24&lt;1,"0",'Entries Feb.''25'!V25-'Entries Feb.''25'!V24)</f>
        <v>0</v>
      </c>
      <c r="N24" s="47">
        <f>IF('Entries Feb.''25'!Y25-'Entries Feb.''25'!Y24&lt;1,"0",'Entries Feb.''25'!Y25-'Entries Feb.''25'!Y24)</f>
        <v>64</v>
      </c>
      <c r="O24" s="47">
        <f>IF('Entries Feb.''25'!Z25-'Entries Feb.''25'!Z24&lt;1,"0",'Entries Feb.''25'!Z25-'Entries Feb.''25'!Z24)</f>
        <v>60</v>
      </c>
      <c r="P24" s="47">
        <f>IF('Entries Feb.''25'!AA25-'Entries Feb.''25'!AA24&lt;1,"0",'Entries Feb.''25'!AA25-'Entries Feb.''25'!AA24)</f>
        <v>26</v>
      </c>
      <c r="Q24" s="47" t="str">
        <f>IF(('Entries Feb.''25'!AB25-'Entries Feb.''25'!AB24)+('Entries Feb.''25'!AC25-'Entries Feb.''25'!AC24)&lt;1,"0",('Entries Feb.''25'!AB25-'Entries Feb.''25'!AB24)+('Entries Feb.''25'!AC25-'Entries Feb.''25'!AC24))</f>
        <v>0</v>
      </c>
      <c r="R24" s="47">
        <f t="shared" si="2"/>
        <v>2540</v>
      </c>
      <c r="S24" s="150">
        <f t="shared" si="3"/>
        <v>124</v>
      </c>
      <c r="T24" s="47">
        <f>IF('Entries Feb.''25'!AD25-'Entries Feb.''25'!AD24&lt;1,"0",'Entries Feb.''25'!AD25-'Entries Feb.''25'!AD24)</f>
        <v>19</v>
      </c>
      <c r="U24" s="221">
        <f>'Entries Feb.''25'!AE26-'Entries Feb.''25'!AE24</f>
        <v>161</v>
      </c>
      <c r="V24" s="221">
        <f>'Entries Feb.''25'!AF25-'Entries Feb.''25'!AF24</f>
        <v>0</v>
      </c>
      <c r="W24" s="221" t="str">
        <f>IF('Entries Feb.''25'!AI25-'Entries Feb.''25'!AI24&lt;1,"0",'Entries Feb.''25'!AI25-'Entries Feb.''25'!AI24)</f>
        <v>0</v>
      </c>
      <c r="X24" s="221" t="str">
        <f>IF('Entries Feb.''25'!AJ25-'Entries Feb.''25'!AJ24&lt;1,"0",'Entries Feb.''25'!AJ25-'Entries Feb.''25'!AJ24)</f>
        <v>0</v>
      </c>
      <c r="Y24" s="153"/>
      <c r="Z24" s="150">
        <f>'PROD.FIG. '!H22</f>
        <v>0</v>
      </c>
      <c r="AA24" s="152" t="e">
        <f t="shared" si="0"/>
        <v>#DIV/0!</v>
      </c>
    </row>
    <row r="25" spans="1:27" x14ac:dyDescent="0.2">
      <c r="B25" s="149">
        <v>19</v>
      </c>
      <c r="C25" s="150" t="str">
        <f>IF('Entries Feb.''25'!X26-'Entries Feb.''25'!X25&lt;1,"0",'Entries Feb.''25'!X26-'Entries Feb.''25'!X25)</f>
        <v>0</v>
      </c>
      <c r="D25" s="47">
        <f>IF('Entries Feb.''25'!P26-'Entries Feb.''25'!P25&lt;1,"0",'Entries Feb.''25'!P26-'Entries Feb.''25'!P25)</f>
        <v>180</v>
      </c>
      <c r="E25" s="47">
        <f>IF('Entries Feb.''25'!Q26-'Entries Feb.''25'!Q25&lt;1,"0",'Entries Feb.''25'!Q26-'Entries Feb.''25'!Q25)</f>
        <v>238</v>
      </c>
      <c r="F25" s="47">
        <f>IF('Entries Feb.''25'!W26-'Entries Feb.''25'!W25&lt;1,"0",'Entries Feb.''25'!W26-'Entries Feb.''25'!W25)</f>
        <v>251</v>
      </c>
      <c r="G25" s="47">
        <f t="shared" si="1"/>
        <v>167</v>
      </c>
      <c r="H25" s="47">
        <f>IF('Entries Feb.''25'!R26-'Entries Feb.''25'!R25&lt;1,0,'Entries Feb.''25'!R26-'Entries Feb.''25'!R25)</f>
        <v>199</v>
      </c>
      <c r="I25" s="47">
        <f>IF('Entries Feb.''25'!AH26-'Entries Feb.''25'!AH25&lt;1,0,'Entries Feb.''25'!AH26-'Entries Feb.''25'!AH25)</f>
        <v>0</v>
      </c>
      <c r="J25" s="47">
        <f>IF('Entries Feb.''25'!T26-'Entries Feb.''25'!T25&lt;1,"0",'Entries Feb.''25'!T26-'Entries Feb.''25'!T25)</f>
        <v>186</v>
      </c>
      <c r="K25" s="47" t="str">
        <f>IF('Entries Feb.''25'!S26-'Entries Feb.''25'!S25&lt;1,"0",'Entries Feb.''25'!S26-'Entries Feb.''25'!S25)</f>
        <v>0</v>
      </c>
      <c r="L25" s="47" t="str">
        <f>IF('Entries Feb.''25'!U26-'Entries Feb.''25'!U25&lt;1,"0",'Entries Feb.''25'!U26-'Entries Feb.''25'!U25)</f>
        <v>0</v>
      </c>
      <c r="M25" s="47">
        <f>IF('Entries Feb.''25'!V26-'Entries Feb.''25'!V25&lt;1,"0",'Entries Feb.''25'!V26-'Entries Feb.''25'!V25)</f>
        <v>1</v>
      </c>
      <c r="N25" s="47">
        <f>IF('Entries Feb.''25'!Y26-'Entries Feb.''25'!Y25&lt;1,"0",'Entries Feb.''25'!Y26-'Entries Feb.''25'!Y25)</f>
        <v>54</v>
      </c>
      <c r="O25" s="47">
        <f>IF('Entries Feb.''25'!Z26-'Entries Feb.''25'!Z25&lt;1,"0",'Entries Feb.''25'!Z26-'Entries Feb.''25'!Z25)</f>
        <v>64</v>
      </c>
      <c r="P25" s="47">
        <f>IF('Entries Feb.''25'!AA26-'Entries Feb.''25'!AA25&lt;1,"0",'Entries Feb.''25'!AA26-'Entries Feb.''25'!AA25)</f>
        <v>33</v>
      </c>
      <c r="Q25" s="47" t="str">
        <f>IF(('Entries Feb.''25'!AB26-'Entries Feb.''25'!AB25)+('Entries Feb.''25'!AC26-'Entries Feb.''25'!AC25)&lt;1,"0",('Entries Feb.''25'!AB26-'Entries Feb.''25'!AB25)+('Entries Feb.''25'!AC26-'Entries Feb.''25'!AC25))</f>
        <v>0</v>
      </c>
      <c r="R25" s="47">
        <f t="shared" si="2"/>
        <v>1670</v>
      </c>
      <c r="S25" s="150">
        <f t="shared" si="3"/>
        <v>119</v>
      </c>
      <c r="T25" s="47">
        <f>IF('Entries Feb.''25'!AD26-'Entries Feb.''25'!AD25&lt;1,"0",'Entries Feb.''25'!AD26-'Entries Feb.''25'!AD25)</f>
        <v>22</v>
      </c>
      <c r="U25" s="221" t="e">
        <f>'Entries Feb.''25'!#REF!-'Entries Feb.''25'!AE26</f>
        <v>#REF!</v>
      </c>
      <c r="V25" s="221">
        <f>'Entries Feb.''25'!AF26-'Entries Feb.''25'!AF25</f>
        <v>0</v>
      </c>
      <c r="W25" s="221" t="str">
        <f>IF('Entries Feb.''25'!AI26-'Entries Feb.''25'!AI25&lt;1,"0",'Entries Feb.''25'!AI26-'Entries Feb.''25'!AI25)</f>
        <v>0</v>
      </c>
      <c r="X25" s="221" t="str">
        <f>IF('Entries Feb.''25'!AJ26-'Entries Feb.''25'!AJ25&lt;1,"0",'Entries Feb.''25'!AJ26-'Entries Feb.''25'!AJ25)</f>
        <v>0</v>
      </c>
      <c r="Y25" s="153"/>
      <c r="Z25" s="150">
        <f>'PROD.FIG. '!H23</f>
        <v>0</v>
      </c>
      <c r="AA25" s="152" t="e">
        <f t="shared" si="0"/>
        <v>#DIV/0!</v>
      </c>
    </row>
    <row r="26" spans="1:27" x14ac:dyDescent="0.2">
      <c r="A26" s="45"/>
      <c r="B26" s="149">
        <v>20</v>
      </c>
      <c r="C26" s="150" t="str">
        <f>IF('Entries Feb.''25'!X27-'Entries Feb.''25'!X26&lt;1,"0",'Entries Feb.''25'!X27-'Entries Feb.''25'!X26)</f>
        <v>0</v>
      </c>
      <c r="D26" s="47">
        <f>IF('Entries Feb.''25'!P27-'Entries Feb.''25'!P26&lt;1,"0",'Entries Feb.''25'!P27-'Entries Feb.''25'!P26)</f>
        <v>163</v>
      </c>
      <c r="E26" s="47">
        <f>IF('Entries Feb.''25'!Q27-'Entries Feb.''25'!Q26&lt;1,"0",'Entries Feb.''25'!Q27-'Entries Feb.''25'!Q26)</f>
        <v>260</v>
      </c>
      <c r="F26" s="47">
        <f>IF('Entries Feb.''25'!W27-'Entries Feb.''25'!W26&lt;1,"0",'Entries Feb.''25'!W27-'Entries Feb.''25'!W26)</f>
        <v>274</v>
      </c>
      <c r="G26" s="47">
        <f t="shared" si="1"/>
        <v>149</v>
      </c>
      <c r="H26" s="47">
        <f>IF('Entries Feb.''25'!R27-'Entries Feb.''25'!R26&lt;1,0,'Entries Feb.''25'!R27-'Entries Feb.''25'!R26)</f>
        <v>232</v>
      </c>
      <c r="I26" s="47">
        <f>IF('Entries Feb.''25'!AH27-'Entries Feb.''25'!AH26&lt;1,0,'Entries Feb.''25'!AH27-'Entries Feb.''25'!AH26)</f>
        <v>0</v>
      </c>
      <c r="J26" s="47">
        <f>IF('Entries Feb.''25'!T27-'Entries Feb.''25'!T26&lt;1,"0",'Entries Feb.''25'!T27-'Entries Feb.''25'!T26)</f>
        <v>214</v>
      </c>
      <c r="K26" s="47" t="str">
        <f>IF('Entries Feb.''25'!S27-'Entries Feb.''25'!S26&lt;1,"0",'Entries Feb.''25'!S27-'Entries Feb.''25'!S26)</f>
        <v>0</v>
      </c>
      <c r="L26" s="47" t="str">
        <f>IF('Entries Feb.''25'!U27-'Entries Feb.''25'!U26&lt;1,"0",'Entries Feb.''25'!U27-'Entries Feb.''25'!U26)</f>
        <v>0</v>
      </c>
      <c r="M26" s="47">
        <f>IF('Entries Feb.''25'!V27-'Entries Feb.''25'!V26&lt;1,"0",'Entries Feb.''25'!V27-'Entries Feb.''25'!V26)</f>
        <v>3</v>
      </c>
      <c r="N26" s="47">
        <f>IF('Entries Feb.''25'!Y27-'Entries Feb.''25'!Y26&lt;1,"0",'Entries Feb.''25'!Y27-'Entries Feb.''25'!Y26)</f>
        <v>72</v>
      </c>
      <c r="O26" s="47">
        <f>IF('Entries Feb.''25'!Z27-'Entries Feb.''25'!Z26&lt;1,"0",'Entries Feb.''25'!Z27-'Entries Feb.''25'!Z26)</f>
        <v>61</v>
      </c>
      <c r="P26" s="47">
        <f>IF('Entries Feb.''25'!AA27-'Entries Feb.''25'!AA26&lt;1,"0",'Entries Feb.''25'!AA27-'Entries Feb.''25'!AA26)</f>
        <v>24</v>
      </c>
      <c r="Q26" s="47" t="str">
        <f>IF(('Entries Feb.''25'!AB27-'Entries Feb.''25'!AB26)+('Entries Feb.''25'!AC27-'Entries Feb.''25'!AC26)&lt;1,"0",('Entries Feb.''25'!AB27-'Entries Feb.''25'!AB26)+('Entries Feb.''25'!AC27-'Entries Feb.''25'!AC26))</f>
        <v>0</v>
      </c>
      <c r="R26" s="47">
        <f t="shared" si="2"/>
        <v>1490</v>
      </c>
      <c r="S26" s="150">
        <f t="shared" si="3"/>
        <v>136</v>
      </c>
      <c r="T26" s="47">
        <f>IF('Entries Feb.''25'!AD27-'Entries Feb.''25'!AD26&lt;1,"0",'Entries Feb.''25'!AD27-'Entries Feb.''25'!AD26)</f>
        <v>12</v>
      </c>
      <c r="U26" s="221" t="e">
        <f>'Entries Feb.''25'!AE27-'Entries Feb.''25'!#REF!</f>
        <v>#REF!</v>
      </c>
      <c r="V26" s="221">
        <f>'Entries Feb.''25'!AF27-'Entries Feb.''25'!AF26</f>
        <v>0</v>
      </c>
      <c r="W26" s="221" t="str">
        <f>IF('Entries Feb.''25'!AI27-'Entries Feb.''25'!AI26&lt;1,"0",'Entries Feb.''25'!AI27-'Entries Feb.''25'!AI26)</f>
        <v>0</v>
      </c>
      <c r="X26" s="221" t="str">
        <f>IF('Entries Feb.''25'!AJ27-'Entries Feb.''25'!AJ26&lt;1,"0",'Entries Feb.''25'!AJ27-'Entries Feb.''25'!AJ26)</f>
        <v>0</v>
      </c>
      <c r="Y26" s="153"/>
      <c r="Z26" s="150">
        <f>'PROD.FIG. '!H24</f>
        <v>0</v>
      </c>
      <c r="AA26" s="152" t="e">
        <f t="shared" si="0"/>
        <v>#DIV/0!</v>
      </c>
    </row>
    <row r="27" spans="1:27" x14ac:dyDescent="0.2">
      <c r="A27" s="45"/>
      <c r="B27" s="149">
        <v>21</v>
      </c>
      <c r="C27" s="150" t="str">
        <f>IF('Entries Feb.''25'!X28-'Entries Feb.''25'!X27&lt;1,"0",'Entries Feb.''25'!X28-'Entries Feb.''25'!X27)</f>
        <v>0</v>
      </c>
      <c r="D27" s="47">
        <f>IF('Entries Feb.''25'!P28-'Entries Feb.''25'!P27&lt;1,"0",'Entries Feb.''25'!P28-'Entries Feb.''25'!P27)</f>
        <v>154</v>
      </c>
      <c r="E27" s="47">
        <f>IF('Entries Feb.''25'!Q28-'Entries Feb.''25'!Q27&lt;1,"0",'Entries Feb.''25'!Q28-'Entries Feb.''25'!Q27)</f>
        <v>248</v>
      </c>
      <c r="F27" s="47">
        <f>IF('Entries Feb.''25'!W28-'Entries Feb.''25'!W27&lt;1,"0",'Entries Feb.''25'!W28-'Entries Feb.''25'!W27)</f>
        <v>262</v>
      </c>
      <c r="G27" s="47">
        <f t="shared" si="1"/>
        <v>140</v>
      </c>
      <c r="H27" s="47">
        <f>IF('Entries Feb.''25'!R28-'Entries Feb.''25'!R27&lt;1,0,'Entries Feb.''25'!R28-'Entries Feb.''25'!R27)</f>
        <v>155</v>
      </c>
      <c r="I27" s="47">
        <f>IF('Entries Feb.''25'!AH28-'Entries Feb.''25'!AH27&lt;1,0,'Entries Feb.''25'!AH28-'Entries Feb.''25'!AH27)</f>
        <v>0</v>
      </c>
      <c r="J27" s="47">
        <f>IF('Entries Feb.''25'!T28-'Entries Feb.''25'!T27&lt;1,"0",'Entries Feb.''25'!T28-'Entries Feb.''25'!T27)</f>
        <v>202</v>
      </c>
      <c r="K27" s="47" t="str">
        <f>IF('Entries Feb.''25'!S28-'Entries Feb.''25'!S27&lt;1,"0",'Entries Feb.''25'!S28-'Entries Feb.''25'!S27)</f>
        <v>0</v>
      </c>
      <c r="L27" s="47" t="str">
        <f>IF('Entries Feb.''25'!U28-'Entries Feb.''25'!U27&lt;1,"0",'Entries Feb.''25'!U28-'Entries Feb.''25'!U27)</f>
        <v>0</v>
      </c>
      <c r="M27" s="47" t="str">
        <f>IF('Entries Feb.''25'!V28-'Entries Feb.''25'!V27&lt;1,"0",'Entries Feb.''25'!V28-'Entries Feb.''25'!V27)</f>
        <v>0</v>
      </c>
      <c r="N27" s="47">
        <f>IF('Entries Feb.''25'!Y28-'Entries Feb.''25'!Y27&lt;1,"0",'Entries Feb.''25'!Y28-'Entries Feb.''25'!Y27)</f>
        <v>32</v>
      </c>
      <c r="O27" s="47">
        <f>IF('Entries Feb.''25'!Z28-'Entries Feb.''25'!Z27&lt;1,"0",'Entries Feb.''25'!Z28-'Entries Feb.''25'!Z27)</f>
        <v>64</v>
      </c>
      <c r="P27" s="47">
        <f>IF('Entries Feb.''25'!AA28-'Entries Feb.''25'!AA27&lt;1,"0",'Entries Feb.''25'!AA28-'Entries Feb.''25'!AA27)</f>
        <v>21</v>
      </c>
      <c r="Q27" s="47" t="str">
        <f>IF(('Entries Feb.''25'!AB28-'Entries Feb.''25'!AB27)+('Entries Feb.''25'!AC28-'Entries Feb.''25'!AC27)&lt;1,"0",('Entries Feb.''25'!AB28-'Entries Feb.''25'!AB27)+('Entries Feb.''25'!AC28-'Entries Feb.''25'!AC27))</f>
        <v>0</v>
      </c>
      <c r="R27" s="47">
        <f t="shared" si="2"/>
        <v>1400</v>
      </c>
      <c r="S27" s="150">
        <f t="shared" si="3"/>
        <v>96</v>
      </c>
      <c r="T27" s="47">
        <f>IF('Entries Feb.''25'!AD28-'Entries Feb.''25'!AD27&lt;1,"0",'Entries Feb.''25'!AD28-'Entries Feb.''25'!AD27)</f>
        <v>11</v>
      </c>
      <c r="U27" s="221">
        <f>'Entries Feb.''25'!AE28-'Entries Feb.''25'!AE27</f>
        <v>67</v>
      </c>
      <c r="V27" s="221">
        <f>'Entries Feb.''25'!AF28-'Entries Feb.''25'!AF27</f>
        <v>0</v>
      </c>
      <c r="W27" s="221" t="str">
        <f>IF('Entries Feb.''25'!AI28-'Entries Feb.''25'!AI27&lt;1,"0",'Entries Feb.''25'!AI28-'Entries Feb.''25'!AI27)</f>
        <v>0</v>
      </c>
      <c r="X27" s="221" t="str">
        <f>IF('Entries Feb.''25'!AJ28-'Entries Feb.''25'!AJ27&lt;1,"0",'Entries Feb.''25'!AJ28-'Entries Feb.''25'!AJ27)</f>
        <v>0</v>
      </c>
      <c r="Y27" s="153"/>
      <c r="Z27" s="150">
        <f>'PROD.FIG. '!H25</f>
        <v>0</v>
      </c>
      <c r="AA27" s="152" t="e">
        <f t="shared" si="0"/>
        <v>#DIV/0!</v>
      </c>
    </row>
    <row r="28" spans="1:27" x14ac:dyDescent="0.2">
      <c r="B28" s="149">
        <v>22</v>
      </c>
      <c r="C28" s="150" t="str">
        <f>IF('Entries Feb.''25'!X29-'Entries Feb.''25'!X28&lt;1,"0",'Entries Feb.''25'!X29-'Entries Feb.''25'!X28)</f>
        <v>0</v>
      </c>
      <c r="D28" s="47">
        <f>IF('Entries Feb.''25'!P29-'Entries Feb.''25'!P28&lt;1,"0",'Entries Feb.''25'!P29-'Entries Feb.''25'!P28)</f>
        <v>115</v>
      </c>
      <c r="E28" s="47">
        <f>IF('Entries Feb.''25'!Q29-'Entries Feb.''25'!Q28&lt;1,"0",'Entries Feb.''25'!Q29-'Entries Feb.''25'!Q28)</f>
        <v>7</v>
      </c>
      <c r="F28" s="47">
        <f>IF('Entries Feb.''25'!W29-'Entries Feb.''25'!W28&lt;1,"0",'Entries Feb.''25'!W29-'Entries Feb.''25'!W28)</f>
        <v>7</v>
      </c>
      <c r="G28" s="47">
        <f t="shared" si="1"/>
        <v>115</v>
      </c>
      <c r="H28" s="47">
        <f>IF('Entries Feb.''25'!R29-'Entries Feb.''25'!R28&lt;1,0,'Entries Feb.''25'!R29-'Entries Feb.''25'!R28)</f>
        <v>39</v>
      </c>
      <c r="I28" s="47">
        <f>IF('Entries Feb.''25'!AH29-'Entries Feb.''25'!AH28&lt;1,0,'Entries Feb.''25'!AH29-'Entries Feb.''25'!AH28)</f>
        <v>0</v>
      </c>
      <c r="J28" s="47" t="str">
        <f>IF('Entries Feb.''25'!T29-'Entries Feb.''25'!T28&lt;1,"0",'Entries Feb.''25'!T29-'Entries Feb.''25'!T28)</f>
        <v>0</v>
      </c>
      <c r="K28" s="47" t="str">
        <f>IF('Entries Feb.''25'!S29-'Entries Feb.''25'!S28&lt;1,"0",'Entries Feb.''25'!S29-'Entries Feb.''25'!S28)</f>
        <v>0</v>
      </c>
      <c r="L28" s="47" t="str">
        <f>IF('Entries Feb.''25'!U29-'Entries Feb.''25'!U28&lt;1,"0",'Entries Feb.''25'!U29-'Entries Feb.''25'!U28)</f>
        <v>0</v>
      </c>
      <c r="M28" s="47" t="str">
        <f>IF('Entries Feb.''25'!V29-'Entries Feb.''25'!V28&lt;1,"0",'Entries Feb.''25'!V29-'Entries Feb.''25'!V28)</f>
        <v>0</v>
      </c>
      <c r="N28" s="47" t="str">
        <f>IF('Entries Feb.''25'!Y29-'Entries Feb.''25'!Y28&lt;1,"0",'Entries Feb.''25'!Y29-'Entries Feb.''25'!Y28)</f>
        <v>0</v>
      </c>
      <c r="O28" s="47">
        <f>IF('Entries Feb.''25'!Z29-'Entries Feb.''25'!Z28&lt;1,"0",'Entries Feb.''25'!Z29-'Entries Feb.''25'!Z28)</f>
        <v>11</v>
      </c>
      <c r="P28" s="47">
        <f>IF('Entries Feb.''25'!AA29-'Entries Feb.''25'!AA28&lt;1,"0",'Entries Feb.''25'!AA29-'Entries Feb.''25'!AA28)</f>
        <v>5</v>
      </c>
      <c r="Q28" s="47" t="str">
        <f>IF(('Entries Feb.''25'!AB29-'Entries Feb.''25'!AB28)+('Entries Feb.''25'!AC29-'Entries Feb.''25'!AC28)&lt;1,"0",('Entries Feb.''25'!AB29-'Entries Feb.''25'!AB28)+('Entries Feb.''25'!AC29-'Entries Feb.''25'!AC28))</f>
        <v>0</v>
      </c>
      <c r="R28" s="47">
        <f t="shared" si="2"/>
        <v>1150</v>
      </c>
      <c r="S28" s="150">
        <f t="shared" si="3"/>
        <v>11</v>
      </c>
      <c r="T28" s="47" t="str">
        <f>IF('Entries Feb.''25'!AD29-'Entries Feb.''25'!AD28&lt;1,"0",'Entries Feb.''25'!AD29-'Entries Feb.''25'!AD28)</f>
        <v>0</v>
      </c>
      <c r="U28" s="221">
        <f>'Entries Feb.''25'!AE29-'Entries Feb.''25'!AE28</f>
        <v>0</v>
      </c>
      <c r="V28" s="221">
        <f>'Entries Feb.''25'!AF29-'Entries Feb.''25'!AF28</f>
        <v>0</v>
      </c>
      <c r="W28" s="221" t="str">
        <f>IF('Entries Feb.''25'!AI29-'Entries Feb.''25'!AI28&lt;1,"0",'Entries Feb.''25'!AI29-'Entries Feb.''25'!AI28)</f>
        <v>0</v>
      </c>
      <c r="X28" s="221" t="str">
        <f>IF('Entries Feb.''25'!AJ29-'Entries Feb.''25'!AJ28&lt;1,"0",'Entries Feb.''25'!AJ29-'Entries Feb.''25'!AJ28)</f>
        <v>0</v>
      </c>
      <c r="Y28" s="153"/>
      <c r="Z28" s="150">
        <f>'PROD.FIG. '!H26</f>
        <v>0</v>
      </c>
      <c r="AA28" s="152" t="e">
        <f t="shared" si="0"/>
        <v>#DIV/0!</v>
      </c>
    </row>
    <row r="29" spans="1:27" x14ac:dyDescent="0.2">
      <c r="B29" s="149">
        <v>23</v>
      </c>
      <c r="C29" s="150" t="str">
        <f>IF('Entries Feb.''25'!X30-'Entries Feb.''25'!X29&lt;1,"0",'Entries Feb.''25'!X30-'Entries Feb.''25'!X29)</f>
        <v>0</v>
      </c>
      <c r="D29" s="47" t="str">
        <f>IF('Entries Feb.''25'!P30-'Entries Feb.''25'!P29&lt;1,"0",'Entries Feb.''25'!P30-'Entries Feb.''25'!P29)</f>
        <v>0</v>
      </c>
      <c r="E29" s="47">
        <f>IF('Entries Feb.''25'!Q30-'Entries Feb.''25'!Q29&lt;1,"0",'Entries Feb.''25'!Q30-'Entries Feb.''25'!Q29)</f>
        <v>83</v>
      </c>
      <c r="F29" s="47">
        <f>IF('Entries Feb.''25'!W30-'Entries Feb.''25'!W29&lt;1,"0",'Entries Feb.''25'!W30-'Entries Feb.''25'!W29)</f>
        <v>87</v>
      </c>
      <c r="G29" s="47">
        <f t="shared" si="1"/>
        <v>-4</v>
      </c>
      <c r="H29" s="47">
        <f>IF('Entries Feb.''25'!R30-'Entries Feb.''25'!R29&lt;1,0,'Entries Feb.''25'!R30-'Entries Feb.''25'!R29)</f>
        <v>66</v>
      </c>
      <c r="I29" s="47">
        <f>IF('Entries Feb.''25'!AH30-'Entries Feb.''25'!AH29&lt;1,0,'Entries Feb.''25'!AH30-'Entries Feb.''25'!AH29)</f>
        <v>0</v>
      </c>
      <c r="J29" s="47">
        <f>IF('Entries Feb.''25'!T30-'Entries Feb.''25'!T29&lt;1,"0",'Entries Feb.''25'!T30-'Entries Feb.''25'!T29)</f>
        <v>53</v>
      </c>
      <c r="K29" s="47" t="str">
        <f>IF('Entries Feb.''25'!S30-'Entries Feb.''25'!S29&lt;1,"0",'Entries Feb.''25'!S30-'Entries Feb.''25'!S29)</f>
        <v>0</v>
      </c>
      <c r="L29" s="47" t="str">
        <f>IF('Entries Feb.''25'!U30-'Entries Feb.''25'!U29&lt;1,"0",'Entries Feb.''25'!U30-'Entries Feb.''25'!U29)</f>
        <v>0</v>
      </c>
      <c r="M29" s="47" t="str">
        <f>IF('Entries Feb.''25'!V30-'Entries Feb.''25'!V29&lt;1,"0",'Entries Feb.''25'!V30-'Entries Feb.''25'!V29)</f>
        <v>0</v>
      </c>
      <c r="N29" s="47">
        <f>IF('Entries Feb.''25'!Y30-'Entries Feb.''25'!Y29&lt;1,"0",'Entries Feb.''25'!Y30-'Entries Feb.''25'!Y29)</f>
        <v>20</v>
      </c>
      <c r="O29" s="47" t="str">
        <f>IF('Entries Feb.''25'!Z30-'Entries Feb.''25'!Z29&lt;1,"0",'Entries Feb.''25'!Z30-'Entries Feb.''25'!Z29)</f>
        <v>0</v>
      </c>
      <c r="P29" s="47">
        <f>IF('Entries Feb.''25'!AA30-'Entries Feb.''25'!AA29&lt;1,"0",'Entries Feb.''25'!AA30-'Entries Feb.''25'!AA29)</f>
        <v>10</v>
      </c>
      <c r="Q29" s="47" t="str">
        <f>IF(('Entries Feb.''25'!AB30-'Entries Feb.''25'!AB29)+('Entries Feb.''25'!AC30-'Entries Feb.''25'!AC29)&lt;1,"0",('Entries Feb.''25'!AB30-'Entries Feb.''25'!AB29)+('Entries Feb.''25'!AC30-'Entries Feb.''25'!AC29))</f>
        <v>0</v>
      </c>
      <c r="R29" s="47">
        <f t="shared" si="2"/>
        <v>-40</v>
      </c>
      <c r="S29" s="150">
        <f t="shared" si="3"/>
        <v>20</v>
      </c>
      <c r="T29" s="47" t="str">
        <f>IF('Entries Feb.''25'!AD30-'Entries Feb.''25'!AD29&lt;1,"0",'Entries Feb.''25'!AD30-'Entries Feb.''25'!AD29)</f>
        <v>0</v>
      </c>
      <c r="U29" s="221">
        <f>'Entries Feb.''25'!AE30-'Entries Feb.''25'!AE29</f>
        <v>0</v>
      </c>
      <c r="V29" s="221">
        <f>'Entries Feb.''25'!AF30-'Entries Feb.''25'!AF29</f>
        <v>0</v>
      </c>
      <c r="W29" s="221" t="str">
        <f>IF('Entries Feb.''25'!AI30-'Entries Feb.''25'!AI29&lt;1,"0",'Entries Feb.''25'!AI30-'Entries Feb.''25'!AI29)</f>
        <v>0</v>
      </c>
      <c r="X29" s="221" t="str">
        <f>IF('Entries Feb.''25'!AJ30-'Entries Feb.''25'!AJ29&lt;1,"0",'Entries Feb.''25'!AJ30-'Entries Feb.''25'!AJ29)</f>
        <v>0</v>
      </c>
      <c r="Y29" s="153"/>
      <c r="Z29" s="150">
        <f>'PROD.FIG. '!H27</f>
        <v>0</v>
      </c>
      <c r="AA29" s="152" t="e">
        <f t="shared" si="0"/>
        <v>#DIV/0!</v>
      </c>
    </row>
    <row r="30" spans="1:27" x14ac:dyDescent="0.2">
      <c r="B30" s="149">
        <v>24</v>
      </c>
      <c r="C30" s="150" t="str">
        <f>IF('Entries Feb.''25'!X31-'Entries Feb.''25'!X30&lt;1,"0",'Entries Feb.''25'!X31-'Entries Feb.''25'!X30)</f>
        <v>0</v>
      </c>
      <c r="D30" s="47">
        <f>IF('Entries Feb.''25'!P31-'Entries Feb.''25'!P30&lt;1,"0",'Entries Feb.''25'!P31-'Entries Feb.''25'!P30)</f>
        <v>46</v>
      </c>
      <c r="E30" s="47">
        <f>IF('Entries Feb.''25'!Q31-'Entries Feb.''25'!Q30&lt;1,"0",'Entries Feb.''25'!Q31-'Entries Feb.''25'!Q30)</f>
        <v>227</v>
      </c>
      <c r="F30" s="47">
        <f>IF('Entries Feb.''25'!W31-'Entries Feb.''25'!W30&lt;1,"0",'Entries Feb.''25'!W31-'Entries Feb.''25'!W30)</f>
        <v>241</v>
      </c>
      <c r="G30" s="47">
        <f t="shared" si="1"/>
        <v>32</v>
      </c>
      <c r="H30" s="47">
        <f>IF('Entries Feb.''25'!R31-'Entries Feb.''25'!R30&lt;1,0,'Entries Feb.''25'!R31-'Entries Feb.''25'!R30)</f>
        <v>240</v>
      </c>
      <c r="I30" s="47">
        <f>IF('Entries Feb.''25'!AH31-'Entries Feb.''25'!AH30&lt;1,0,'Entries Feb.''25'!AH31-'Entries Feb.''25'!AH30)</f>
        <v>0</v>
      </c>
      <c r="J30" s="47">
        <f>IF('Entries Feb.''25'!T31-'Entries Feb.''25'!T30&lt;1,"0",'Entries Feb.''25'!T31-'Entries Feb.''25'!T30)</f>
        <v>216</v>
      </c>
      <c r="K30" s="47" t="str">
        <f>IF('Entries Feb.''25'!S31-'Entries Feb.''25'!S30&lt;1,"0",'Entries Feb.''25'!S31-'Entries Feb.''25'!S30)</f>
        <v>0</v>
      </c>
      <c r="L30" s="47" t="str">
        <f>IF('Entries Feb.''25'!U31-'Entries Feb.''25'!U30&lt;1,"0",'Entries Feb.''25'!U31-'Entries Feb.''25'!U30)</f>
        <v>0</v>
      </c>
      <c r="M30" s="47">
        <f>IF('Entries Feb.''25'!V31-'Entries Feb.''25'!V30&lt;1,"0",'Entries Feb.''25'!V31-'Entries Feb.''25'!V30)</f>
        <v>32</v>
      </c>
      <c r="N30" s="47">
        <f>IF('Entries Feb.''25'!Y31-'Entries Feb.''25'!Y30&lt;1,"0",'Entries Feb.''25'!Y31-'Entries Feb.''25'!Y30)</f>
        <v>64</v>
      </c>
      <c r="O30" s="47">
        <f>IF('Entries Feb.''25'!Z31-'Entries Feb.''25'!Z30&lt;1,"0",'Entries Feb.''25'!Z31-'Entries Feb.''25'!Z30)</f>
        <v>80</v>
      </c>
      <c r="P30" s="47">
        <f>IF('Entries Feb.''25'!AA31-'Entries Feb.''25'!AA30&lt;1,"0",'Entries Feb.''25'!AA31-'Entries Feb.''25'!AA30)</f>
        <v>17</v>
      </c>
      <c r="Q30" s="47" t="str">
        <f>IF(('Entries Feb.''25'!AB31-'Entries Feb.''25'!AB30)+('Entries Feb.''25'!AC31-'Entries Feb.''25'!AC30)&lt;1,"0",('Entries Feb.''25'!AB31-'Entries Feb.''25'!AB30)+('Entries Feb.''25'!AC31-'Entries Feb.''25'!AC30))</f>
        <v>0</v>
      </c>
      <c r="R30" s="47">
        <f t="shared" si="2"/>
        <v>320</v>
      </c>
      <c r="S30" s="150">
        <f t="shared" si="3"/>
        <v>176</v>
      </c>
      <c r="T30" s="47">
        <f>IF('Entries Feb.''25'!AD31-'Entries Feb.''25'!AD30&lt;1,"0",'Entries Feb.''25'!AD31-'Entries Feb.''25'!AD30)</f>
        <v>18</v>
      </c>
      <c r="U30" s="221">
        <f>'Entries Feb.''25'!AE31-'Entries Feb.''25'!AE30</f>
        <v>3</v>
      </c>
      <c r="V30" s="221">
        <f>'Entries Feb.''25'!AF31-'Entries Feb.''25'!AF30</f>
        <v>0</v>
      </c>
      <c r="W30" s="221" t="str">
        <f>IF('Entries Feb.''25'!AI31-'Entries Feb.''25'!AI30&lt;1,"0",'Entries Feb.''25'!AI31-'Entries Feb.''25'!AI30)</f>
        <v>0</v>
      </c>
      <c r="X30" s="221" t="str">
        <f>IF('Entries Feb.''25'!AJ31-'Entries Feb.''25'!AJ30&lt;1,"0",'Entries Feb.''25'!AJ31-'Entries Feb.''25'!AJ30)</f>
        <v>0</v>
      </c>
      <c r="Y30" s="153"/>
      <c r="Z30" s="150">
        <f>'PROD.FIG. '!H28</f>
        <v>0</v>
      </c>
      <c r="AA30" s="152" t="e">
        <f t="shared" si="0"/>
        <v>#DIV/0!</v>
      </c>
    </row>
    <row r="31" spans="1:27" x14ac:dyDescent="0.2">
      <c r="B31" s="149">
        <v>25</v>
      </c>
      <c r="C31" s="150" t="str">
        <f>IF('Entries Feb.''25'!X32-'Entries Feb.''25'!X31&lt;1,"0",'Entries Feb.''25'!X32-'Entries Feb.''25'!X31)</f>
        <v>0</v>
      </c>
      <c r="D31" s="47" t="str">
        <f>IF('Entries Feb.''25'!P32-'Entries Feb.''25'!P31&lt;1,"0",'Entries Feb.''25'!P32-'Entries Feb.''25'!P31)</f>
        <v>0</v>
      </c>
      <c r="E31" s="47">
        <f>IF('Entries Feb.''25'!Q32-'Entries Feb.''25'!Q31&lt;1,"0",'Entries Feb.''25'!Q32-'Entries Feb.''25'!Q31)</f>
        <v>274</v>
      </c>
      <c r="F31" s="47">
        <f>IF('Entries Feb.''25'!W32-'Entries Feb.''25'!W31&lt;1,"0",'Entries Feb.''25'!W32-'Entries Feb.''25'!W31)</f>
        <v>287</v>
      </c>
      <c r="G31" s="47">
        <f t="shared" si="1"/>
        <v>-13</v>
      </c>
      <c r="H31" s="47">
        <f>IF('Entries Feb.''25'!R32-'Entries Feb.''25'!R31&lt;1,0,'Entries Feb.''25'!R32-'Entries Feb.''25'!R31)</f>
        <v>189</v>
      </c>
      <c r="I31" s="47">
        <f>IF('Entries Feb.''25'!AH32-'Entries Feb.''25'!AH31&lt;1,0,'Entries Feb.''25'!AH32-'Entries Feb.''25'!AH31)</f>
        <v>0</v>
      </c>
      <c r="J31" s="47">
        <f>IF('Entries Feb.''25'!T32-'Entries Feb.''25'!T31&lt;1,"0",'Entries Feb.''25'!T32-'Entries Feb.''25'!T31)</f>
        <v>243</v>
      </c>
      <c r="K31" s="47" t="str">
        <f>IF('Entries Feb.''25'!S32-'Entries Feb.''25'!S31&lt;1,"0",'Entries Feb.''25'!S32-'Entries Feb.''25'!S31)</f>
        <v>0</v>
      </c>
      <c r="L31" s="47" t="str">
        <f>IF('Entries Feb.''25'!U32-'Entries Feb.''25'!U31&lt;1,"0",'Entries Feb.''25'!U32-'Entries Feb.''25'!U31)</f>
        <v>0</v>
      </c>
      <c r="M31" s="47">
        <f>IF('Entries Feb.''25'!V32-'Entries Feb.''25'!V31&lt;1,"0",'Entries Feb.''25'!V32-'Entries Feb.''25'!V31)</f>
        <v>5</v>
      </c>
      <c r="N31" s="47">
        <f>IF('Entries Feb.''25'!Y32-'Entries Feb.''25'!Y31&lt;1,"0",'Entries Feb.''25'!Y32-'Entries Feb.''25'!Y31)</f>
        <v>30</v>
      </c>
      <c r="O31" s="47">
        <f>IF('Entries Feb.''25'!Z32-'Entries Feb.''25'!Z31&lt;1,"0",'Entries Feb.''25'!Z32-'Entries Feb.''25'!Z31)</f>
        <v>77</v>
      </c>
      <c r="P31" s="47">
        <f>IF('Entries Feb.''25'!AA32-'Entries Feb.''25'!AA31&lt;1,"0",'Entries Feb.''25'!AA32-'Entries Feb.''25'!AA31)</f>
        <v>16</v>
      </c>
      <c r="Q31" s="47" t="str">
        <f>IF(('Entries Feb.''25'!AB34-'Entries Feb.''25'!AB31)+('Entries Feb.''25'!AC32-'Entries Feb.''25'!AC31)&lt;1,"0",('Entries Feb.''25'!AB34-'Entries Feb.''25'!AB31)+('Entries Feb.''25'!AC32-'Entries Feb.''25'!AC31))</f>
        <v>0</v>
      </c>
      <c r="R31" s="47">
        <f t="shared" si="2"/>
        <v>-130</v>
      </c>
      <c r="S31" s="150">
        <f t="shared" si="3"/>
        <v>112</v>
      </c>
      <c r="T31" s="47">
        <f>IF('Entries Feb.''25'!AD32-'Entries Feb.''25'!AD31&lt;1,"0",'Entries Feb.''25'!AD32-'Entries Feb.''25'!AD31)</f>
        <v>23</v>
      </c>
      <c r="U31" s="221">
        <f>'Entries Feb.''25'!AE32-'Entries Feb.''25'!AE31</f>
        <v>0</v>
      </c>
      <c r="V31" s="221">
        <f>'Entries Feb.''25'!AF32-'Entries Feb.''25'!AF31</f>
        <v>0</v>
      </c>
      <c r="W31" s="221" t="str">
        <f>IF('Entries Feb.''25'!AI32-'Entries Feb.''25'!AI31&lt;1,"0",'Entries Feb.''25'!AI32-'Entries Feb.''25'!AI31)</f>
        <v>0</v>
      </c>
      <c r="X31" s="221" t="str">
        <f>IF('Entries Feb.''25'!AJ32-'Entries Feb.''25'!AJ31&lt;1,"0",'Entries Feb.''25'!AJ32-'Entries Feb.''25'!AJ31)</f>
        <v>0</v>
      </c>
      <c r="Y31" s="153"/>
      <c r="Z31" s="150">
        <f>'PROD.FIG. '!H29</f>
        <v>0</v>
      </c>
      <c r="AA31" s="152" t="e">
        <f t="shared" si="0"/>
        <v>#DIV/0!</v>
      </c>
    </row>
    <row r="32" spans="1:27" x14ac:dyDescent="0.2">
      <c r="B32" s="149">
        <v>26</v>
      </c>
      <c r="C32" s="150" t="str">
        <f>IF('Entries Feb.''25'!X33-'Entries Feb.''25'!X32&lt;1,"0",'Entries Feb.''25'!X33-'Entries Feb.''25'!X32)</f>
        <v>0</v>
      </c>
      <c r="D32" s="651">
        <f>IF('Entries Feb.''25'!P33-'Entries Feb.''25'!P32&lt;1,"0",'Entries Feb.''25'!P33-'Entries Feb.''25'!P32)</f>
        <v>358</v>
      </c>
      <c r="E32" s="47">
        <f>IF('Entries Feb.''25'!Q33-'Entries Feb.''25'!Q32&lt;1,"0",'Entries Feb.''25'!Q33-'Entries Feb.''25'!Q32)</f>
        <v>262</v>
      </c>
      <c r="F32" s="47">
        <f>IF('Entries Feb.''25'!W33-'Entries Feb.''25'!W32&lt;1,"0",'Entries Feb.''25'!W33-'Entries Feb.''25'!W32)</f>
        <v>256</v>
      </c>
      <c r="G32" s="47">
        <f t="shared" si="1"/>
        <v>364</v>
      </c>
      <c r="H32" s="47">
        <f>IF('Entries Feb.''25'!R33-'Entries Feb.''25'!R32&lt;1,0,'Entries Feb.''25'!R33-'Entries Feb.''25'!R32)</f>
        <v>176</v>
      </c>
      <c r="I32" s="47">
        <f>IF('Entries Feb.''25'!AH33-'Entries Feb.''25'!AH32&lt;1,0,'Entries Feb.''25'!AH33-'Entries Feb.''25'!AH32)</f>
        <v>0</v>
      </c>
      <c r="J32" s="47">
        <f>IF('Entries Feb.''25'!T33-'Entries Feb.''25'!T32&lt;1,"0",'Entries Feb.''25'!T33-'Entries Feb.''25'!T32)</f>
        <v>244</v>
      </c>
      <c r="K32" s="47" t="str">
        <f>IF('Entries Feb.''25'!S33-'Entries Feb.''25'!S32&lt;1,"0",'Entries Feb.''25'!S33-'Entries Feb.''25'!S32)</f>
        <v>0</v>
      </c>
      <c r="L32" s="47" t="str">
        <f>IF('Entries Feb.''25'!U33-'Entries Feb.''25'!U32&lt;1,"0",'Entries Feb.''25'!U33-'Entries Feb.''25'!U32)</f>
        <v>0</v>
      </c>
      <c r="M32" s="47" t="str">
        <f>IF('Entries Feb.''25'!V33-'Entries Feb.''25'!V32&lt;1,"0",'Entries Feb.''25'!V33-'Entries Feb.''25'!V32)</f>
        <v>0</v>
      </c>
      <c r="N32" s="47">
        <f>IF('Entries Feb.''25'!Y33-'Entries Feb.''25'!Y32&lt;1,"0",'Entries Feb.''25'!Y33-'Entries Feb.''25'!Y32)</f>
        <v>45</v>
      </c>
      <c r="O32" s="47">
        <f>IF('Entries Feb.''25'!Z33-'Entries Feb.''25'!Z32&lt;1,"0",'Entries Feb.''25'!Z33-'Entries Feb.''25'!Z32)</f>
        <v>63</v>
      </c>
      <c r="P32" s="47">
        <f>IF('Entries Feb.''25'!AA33-'Entries Feb.''25'!AA32&lt;1,"0",'Entries Feb.''25'!AA33-'Entries Feb.''25'!AA32)</f>
        <v>12</v>
      </c>
      <c r="Q32" s="47" t="str">
        <f>IF(('Entries Feb.''25'!AB36-'Entries Feb.''25'!AB32)+('Entries Feb.''25'!AC33-'Entries Feb.''25'!AC32)&lt;1,"0",('Entries Feb.''25'!AB36-'Entries Feb.''25'!AB32)+('Entries Feb.''25'!AC33-'Entries Feb.''25'!AC32))</f>
        <v>0</v>
      </c>
      <c r="R32" s="47">
        <f t="shared" si="2"/>
        <v>3640</v>
      </c>
      <c r="S32" s="150">
        <f t="shared" si="3"/>
        <v>108</v>
      </c>
      <c r="T32" s="47">
        <f>IF('Entries Feb.''25'!AD33-'Entries Feb.''25'!AD32&lt;1,"0",'Entries Feb.''25'!AD33-'Entries Feb.''25'!AD32)</f>
        <v>17</v>
      </c>
      <c r="U32" s="221">
        <f>'Entries Feb.''25'!AE33-'Entries Feb.''25'!AE32</f>
        <v>0</v>
      </c>
      <c r="V32" s="221">
        <f>'Entries Feb.''25'!AF33-'Entries Feb.''25'!AF32</f>
        <v>0</v>
      </c>
      <c r="W32" s="221" t="str">
        <f>IF('Entries Feb.''25'!AI33-'Entries Feb.''25'!AI32&lt;1,"0",'Entries Feb.''25'!AI33-'Entries Feb.''25'!AI32)</f>
        <v>0</v>
      </c>
      <c r="X32" s="221" t="str">
        <f>IF('Entries Feb.''25'!AJ33-'Entries Feb.''25'!AJ32&lt;1,"0",'Entries Feb.''25'!AJ33-'Entries Feb.''25'!AJ32)</f>
        <v>0</v>
      </c>
      <c r="Y32" s="153"/>
      <c r="Z32" s="150">
        <f>'PROD.FIG. '!H30</f>
        <v>0</v>
      </c>
      <c r="AA32" s="152" t="e">
        <f t="shared" si="0"/>
        <v>#DIV/0!</v>
      </c>
    </row>
    <row r="33" spans="1:36" x14ac:dyDescent="0.2">
      <c r="A33" s="45"/>
      <c r="B33" s="149">
        <v>27</v>
      </c>
      <c r="C33" s="150" t="str">
        <f>IF('Entries Feb.''25'!X34-'Entries Feb.''25'!X33&lt;1,"0",'Entries Feb.''25'!X34-'Entries Feb.''25'!X33)</f>
        <v>0</v>
      </c>
      <c r="D33" s="47">
        <f>IF('Entries Feb.''25'!P34-'Entries Feb.''25'!P33&lt;1,"0",'Entries Feb.''25'!P34-'Entries Feb.''25'!P33)</f>
        <v>153</v>
      </c>
      <c r="E33" s="47">
        <f>IF('Entries Feb.''25'!Q34-'Entries Feb.''25'!Q33&lt;1,"0",'Entries Feb.''25'!Q34-'Entries Feb.''25'!Q33)</f>
        <v>190</v>
      </c>
      <c r="F33" s="47">
        <f>IF('Entries Feb.''25'!W34-'Entries Feb.''25'!W33&lt;1,"0",'Entries Feb.''25'!W34-'Entries Feb.''25'!W33)</f>
        <v>222</v>
      </c>
      <c r="G33" s="47">
        <f t="shared" si="1"/>
        <v>121</v>
      </c>
      <c r="H33" s="47">
        <f>IF('Entries Feb.''25'!R34-'Entries Feb.''25'!R33&lt;1,0,'Entries Feb.''25'!R34-'Entries Feb.''25'!R33)</f>
        <v>189</v>
      </c>
      <c r="I33" s="47">
        <f>IF('Entries Feb.''25'!AH34-'Entries Feb.''25'!AH33&lt;1,0,'Entries Feb.''25'!AH34-'Entries Feb.''25'!AH33)</f>
        <v>0</v>
      </c>
      <c r="J33" s="47">
        <f>IF('Entries Feb.''25'!T34-'Entries Feb.''25'!T33&lt;1,"0",'Entries Feb.''25'!T34-'Entries Feb.''25'!T33)</f>
        <v>239</v>
      </c>
      <c r="K33" s="47" t="str">
        <f>IF('Entries Feb.''25'!S34-'Entries Feb.''25'!S33&lt;1,"0",'Entries Feb.''25'!S34-'Entries Feb.''25'!S33)</f>
        <v>0</v>
      </c>
      <c r="L33" s="47" t="str">
        <f>IF('Entries Feb.''25'!U34-'Entries Feb.''25'!U33&lt;1,"0",'Entries Feb.''25'!U34-'Entries Feb.''25'!U33)</f>
        <v>0</v>
      </c>
      <c r="M33" s="47">
        <f>IF('Entries Feb.''25'!V34-'Entries Feb.''25'!V33&lt;1,"0",'Entries Feb.''25'!V34-'Entries Feb.''25'!V33)</f>
        <v>6</v>
      </c>
      <c r="N33" s="47">
        <f>IF('Entries Feb.''25'!Y34-'Entries Feb.''25'!Y33&lt;1,"0",'Entries Feb.''25'!Y34-'Entries Feb.''25'!Y33)</f>
        <v>42</v>
      </c>
      <c r="O33" s="47">
        <f>IF('Entries Feb.''25'!Z34-'Entries Feb.''25'!Z33&lt;1,"0",'Entries Feb.''25'!Z34-'Entries Feb.''25'!Z33)</f>
        <v>61</v>
      </c>
      <c r="P33" s="47">
        <f>IF('Entries Feb.''25'!AA34-'Entries Feb.''25'!AA33&lt;1,"0",'Entries Feb.''25'!AA34-'Entries Feb.''25'!AA33)</f>
        <v>11</v>
      </c>
      <c r="Q33" s="47" t="str">
        <f>IF(('Entries Feb.''25'!AB37-'Entries Feb.''25'!AB33)+('Entries Feb.''25'!AC34-'Entries Feb.''25'!AC33)&lt;1,"0",('Entries Feb.''25'!AB37-'Entries Feb.''25'!AB33)+('Entries Feb.''25'!AC34-'Entries Feb.''25'!AC33))</f>
        <v>0</v>
      </c>
      <c r="R33" s="47">
        <f t="shared" si="2"/>
        <v>1210</v>
      </c>
      <c r="S33" s="150">
        <f t="shared" si="3"/>
        <v>109</v>
      </c>
      <c r="T33" s="47">
        <f>IF('Entries Feb.''25'!AD34-'Entries Feb.''25'!AD33&lt;1,"0",'Entries Feb.''25'!AD34-'Entries Feb.''25'!AD33)</f>
        <v>23</v>
      </c>
      <c r="U33" s="221">
        <f>'Entries Feb.''25'!AE34-'Entries Feb.''25'!AE33</f>
        <v>0</v>
      </c>
      <c r="V33" s="221">
        <f>'Entries Feb.''25'!AF34-'Entries Feb.''25'!AF33</f>
        <v>0</v>
      </c>
      <c r="W33" s="221" t="str">
        <f>IF('Entries Feb.''25'!AI34-'Entries Feb.''25'!AI33&lt;1,"0",'Entries Feb.''25'!AI34-'Entries Feb.''25'!AI33)</f>
        <v>0</v>
      </c>
      <c r="X33" s="221" t="str">
        <f>IF('Entries Feb.''25'!AJ34-'Entries Feb.''25'!AJ33&lt;1,"0",'Entries Feb.''25'!AJ34-'Entries Feb.''25'!AJ33)</f>
        <v>0</v>
      </c>
      <c r="Y33" s="153"/>
      <c r="Z33" s="150">
        <f>'PROD.FIG. '!H31</f>
        <v>0</v>
      </c>
      <c r="AA33" s="152" t="e">
        <f t="shared" si="0"/>
        <v>#DIV/0!</v>
      </c>
    </row>
    <row r="34" spans="1:36" x14ac:dyDescent="0.2">
      <c r="A34" s="45"/>
      <c r="B34" s="149">
        <v>28</v>
      </c>
      <c r="C34" s="150" t="str">
        <f>IF('Entries Feb.''25'!X35-'Entries Feb.''25'!X34&lt;1,"0",'Entries Feb.''25'!X35-'Entries Feb.''25'!X34)</f>
        <v>0</v>
      </c>
      <c r="D34" s="47" t="str">
        <f>IF('Entries Feb.''25'!P35-'Entries Feb.''25'!P34&lt;1,"0",'Entries Feb.''25'!P35-'Entries Feb.''25'!P34)</f>
        <v>0</v>
      </c>
      <c r="E34" s="47">
        <f>IF('Entries Feb.''25'!Q35-'Entries Feb.''25'!Q34&lt;1,"0",'Entries Feb.''25'!Q35-'Entries Feb.''25'!Q34)</f>
        <v>262</v>
      </c>
      <c r="F34" s="47">
        <f>IF('Entries Feb.''25'!W35-'Entries Feb.''25'!W34&lt;1,"0",'Entries Feb.''25'!W35-'Entries Feb.''25'!W34)</f>
        <v>276</v>
      </c>
      <c r="G34" s="47">
        <f t="shared" si="1"/>
        <v>-14</v>
      </c>
      <c r="H34" s="47">
        <f>IF('Entries Feb.''25'!R35-'Entries Feb.''25'!R34&lt;1,0,'Entries Feb.''25'!R35-'Entries Feb.''25'!R34)</f>
        <v>206</v>
      </c>
      <c r="I34" s="47">
        <f>IF('Entries Feb.''25'!AH35-'Entries Feb.''25'!AH34&lt;1,0,'Entries Feb.''25'!AH35-'Entries Feb.''25'!AH34)</f>
        <v>0</v>
      </c>
      <c r="J34" s="47">
        <f>IF('Entries Feb.''25'!T35-'Entries Feb.''25'!T34&lt;1,"0",'Entries Feb.''25'!T35-'Entries Feb.''25'!T34)</f>
        <v>234</v>
      </c>
      <c r="K34" s="47" t="str">
        <f>IF('Entries Feb.''25'!S35-'Entries Feb.''25'!S34&lt;1,"0",'Entries Feb.''25'!S35-'Entries Feb.''25'!S34)</f>
        <v>0</v>
      </c>
      <c r="L34" s="47" t="str">
        <f>IF('Entries Feb.''25'!U35-'Entries Feb.''25'!U34&lt;1,"0",'Entries Feb.''25'!U35-'Entries Feb.''25'!U34)</f>
        <v>0</v>
      </c>
      <c r="M34" s="47">
        <f>IF('Entries Feb.''25'!V35-'Entries Feb.''25'!V34&lt;1,"0",'Entries Feb.''25'!V35-'Entries Feb.''25'!V34)</f>
        <v>3</v>
      </c>
      <c r="N34" s="47">
        <f>IF('Entries Feb.''25'!Y35-'Entries Feb.''25'!Y34&lt;1,"0",'Entries Feb.''25'!Y35-'Entries Feb.''25'!Y34)</f>
        <v>67</v>
      </c>
      <c r="O34" s="47">
        <f>IF('Entries Feb.''25'!Z35-'Entries Feb.''25'!Z34&lt;1,"0",'Entries Feb.''25'!Z35-'Entries Feb.''25'!Z34)</f>
        <v>67</v>
      </c>
      <c r="P34" s="47">
        <f>IF('Entries Feb.''25'!AA35-'Entries Feb.''25'!AA34&lt;1,"0",'Entries Feb.''25'!AA35-'Entries Feb.''25'!AA34)</f>
        <v>14</v>
      </c>
      <c r="Q34" s="47" t="str">
        <f>IF(('Entries Feb.''25'!AB38-'Entries Feb.''25'!AB34)+('Entries Feb.''25'!AC35-'Entries Feb.''25'!AC34)&lt;1,"0",('Entries Feb.''25'!AB38-'Entries Feb.''25'!AB34)+('Entries Feb.''25'!AC35-'Entries Feb.''25'!AC34))</f>
        <v>0</v>
      </c>
      <c r="R34" s="47">
        <f t="shared" si="2"/>
        <v>-140</v>
      </c>
      <c r="S34" s="150">
        <f t="shared" si="3"/>
        <v>137</v>
      </c>
      <c r="T34" s="47">
        <f>IF('Entries Feb.''25'!AD35-'Entries Feb.''25'!AD34&lt;1,"0",'Entries Feb.''25'!AD35-'Entries Feb.''25'!AD34)</f>
        <v>20</v>
      </c>
      <c r="U34" s="221">
        <f>'Entries Feb.''25'!AE35-'Entries Feb.''25'!AE34</f>
        <v>0</v>
      </c>
      <c r="V34" s="221">
        <f>'Entries Feb.''25'!AF35-'Entries Feb.''25'!AF34</f>
        <v>0</v>
      </c>
      <c r="W34" s="221" t="str">
        <f>IF('Entries Feb.''25'!AI35-'Entries Feb.''25'!AI34&lt;1,"0",'Entries Feb.''25'!AI35-'Entries Feb.''25'!AI34)</f>
        <v>0</v>
      </c>
      <c r="X34" s="221" t="str">
        <f>IF('Entries Feb.''25'!AJ35-'Entries Feb.''25'!AJ34&lt;1,"0",'Entries Feb.''25'!AJ35-'Entries Feb.''25'!AJ34)</f>
        <v>0</v>
      </c>
      <c r="Y34" s="153"/>
      <c r="Z34" s="150">
        <f>'PROD.FIG. '!H32</f>
        <v>0</v>
      </c>
      <c r="AA34" s="152" t="e">
        <f t="shared" si="0"/>
        <v>#DIV/0!</v>
      </c>
    </row>
    <row r="35" spans="1:36" x14ac:dyDescent="0.2">
      <c r="B35" s="149">
        <v>29</v>
      </c>
      <c r="C35" s="150" t="str">
        <f>IF('Entries Feb.''25'!X36-'Entries Feb.''25'!X35&lt;1,"0",'Entries Feb.''25'!X36-'Entries Feb.''25'!X35)</f>
        <v>0</v>
      </c>
      <c r="D35" s="47" t="str">
        <f>IF('Entries Feb.''25'!P36-'Entries Feb.''25'!P35&lt;1,"0",'Entries Feb.''25'!P36-'Entries Feb.''25'!P35)</f>
        <v>0</v>
      </c>
      <c r="E35" s="47" t="str">
        <f>IF('Entries Feb.''25'!Q36-'Entries Feb.''25'!Q35&lt;1,"0",'Entries Feb.''25'!Q36-'Entries Feb.''25'!Q35)</f>
        <v>0</v>
      </c>
      <c r="F35" s="47" t="str">
        <f>IF('Entries Feb.''25'!W36-'Entries Feb.''25'!W35&lt;1,"0",'Entries Feb.''25'!W36-'Entries Feb.''25'!W35)</f>
        <v>0</v>
      </c>
      <c r="G35" s="47">
        <f t="shared" si="1"/>
        <v>0</v>
      </c>
      <c r="H35" s="47">
        <f>IF('Entries Feb.''25'!R36-'Entries Feb.''25'!R35&lt;1,0,'Entries Feb.''25'!R36-'Entries Feb.''25'!R35)</f>
        <v>0</v>
      </c>
      <c r="I35" s="47">
        <f>IF('Entries Feb.''25'!AH36-'Entries Feb.''25'!AH35&lt;1,0,'Entries Feb.''25'!AH36-'Entries Feb.''25'!AH35)</f>
        <v>0</v>
      </c>
      <c r="J35" s="47" t="str">
        <f>IF('Entries Feb.''25'!T36-'Entries Feb.''25'!T35&lt;1,"0",'Entries Feb.''25'!T36-'Entries Feb.''25'!T35)</f>
        <v>0</v>
      </c>
      <c r="K35" s="47" t="str">
        <f>IF('Entries Feb.''25'!S36-'Entries Feb.''25'!S35&lt;1,"0",'Entries Feb.''25'!S36-'Entries Feb.''25'!S35)</f>
        <v>0</v>
      </c>
      <c r="L35" s="47" t="str">
        <f>IF('Entries Feb.''25'!U36-'Entries Feb.''25'!U35&lt;1,"0",'Entries Feb.''25'!U36-'Entries Feb.''25'!U35)</f>
        <v>0</v>
      </c>
      <c r="M35" s="47" t="str">
        <f>IF('Entries Feb.''25'!V36-'Entries Feb.''25'!V35&lt;1,"0",'Entries Feb.''25'!V36-'Entries Feb.''25'!V35)</f>
        <v>0</v>
      </c>
      <c r="N35" s="47" t="str">
        <f>IF('Entries Feb.''25'!Y36-'Entries Feb.''25'!Y35&lt;1,"0",'Entries Feb.''25'!Y36-'Entries Feb.''25'!Y35)</f>
        <v>0</v>
      </c>
      <c r="O35" s="47" t="str">
        <f>IF('Entries Feb.''25'!Z36-'Entries Feb.''25'!Z35&lt;1,"0",'Entries Feb.''25'!Z36-'Entries Feb.''25'!Z35)</f>
        <v>0</v>
      </c>
      <c r="P35" s="47" t="str">
        <f>IF('Entries Feb.''25'!AA36-'Entries Feb.''25'!AA35&lt;1,"0",'Entries Feb.''25'!AA36-'Entries Feb.''25'!AA35)</f>
        <v>0</v>
      </c>
      <c r="Q35" s="47" t="str">
        <f>IF(('Entries Feb.''25'!AB39-'Entries Feb.''25'!AB34)+('Entries Feb.''25'!AC36-'Entries Feb.''25'!AC35)&lt;1,"0",('Entries Feb.''25'!AB39-'Entries Feb.''25'!AB34)+('Entries Feb.''25'!AC36-'Entries Feb.''25'!AC35))</f>
        <v>0</v>
      </c>
      <c r="R35" s="47">
        <f t="shared" si="2"/>
        <v>0</v>
      </c>
      <c r="S35" s="150">
        <f t="shared" si="3"/>
        <v>0</v>
      </c>
      <c r="T35" s="47" t="str">
        <f>IF('Entries Feb.''25'!AD36-'Entries Feb.''25'!AD35&lt;1,"0",'Entries Feb.''25'!AD36-'Entries Feb.''25'!AD35)</f>
        <v>0</v>
      </c>
      <c r="U35" s="221">
        <f>'Entries Feb.''25'!AE36-'Entries Feb.''25'!AE35</f>
        <v>-258781</v>
      </c>
      <c r="V35" s="221">
        <f>'Entries Feb.''25'!AF36-'Entries Feb.''25'!AF35</f>
        <v>0</v>
      </c>
      <c r="W35" s="221" t="str">
        <f>IF('Entries Feb.''25'!AI37-'Entries Feb.''25'!AI35&lt;1,"0",'Entries Feb.''25'!AI37-'Entries Feb.''25'!AI35)</f>
        <v>0</v>
      </c>
      <c r="X35" s="221" t="str">
        <f>IF('Entries Feb.''25'!AJ36-'Entries Feb.''25'!AJ35&lt;1,"0",'Entries Feb.''25'!AJ36-'Entries Feb.''25'!AJ35)</f>
        <v>0</v>
      </c>
      <c r="Y35" s="153"/>
      <c r="Z35" s="150">
        <f>'PROD.FIG. '!H33</f>
        <v>0</v>
      </c>
      <c r="AA35" s="152" t="e">
        <f t="shared" si="0"/>
        <v>#DIV/0!</v>
      </c>
    </row>
    <row r="36" spans="1:36" x14ac:dyDescent="0.2">
      <c r="B36" s="149">
        <v>30</v>
      </c>
      <c r="C36" s="150" t="str">
        <f>IF('Entries Feb.''25'!X37-'Entries Feb.''25'!X36&lt;1,"0",'Entries Feb.''25'!X37-'Entries Feb.''25'!X36)</f>
        <v>0</v>
      </c>
      <c r="D36" s="47" t="str">
        <f>IF('Entries Feb.''25'!P37-'Entries Feb.''25'!P36&lt;1,"0",'Entries Feb.''25'!P37-'Entries Feb.''25'!P36)</f>
        <v>0</v>
      </c>
      <c r="E36" s="47" t="str">
        <f>IF('Entries Feb.''25'!Q37-'Entries Feb.''25'!Q36&lt;1,"0",'Entries Feb.''25'!Q37-'Entries Feb.''25'!Q36)</f>
        <v>0</v>
      </c>
      <c r="F36" s="47" t="str">
        <f>IF('Entries Feb.''25'!W37-'Entries Feb.''25'!W36&lt;1,"0",'Entries Feb.''25'!W37-'Entries Feb.''25'!W36)</f>
        <v>0</v>
      </c>
      <c r="G36" s="47">
        <f t="shared" si="1"/>
        <v>0</v>
      </c>
      <c r="H36" s="47">
        <f>IF('Entries Feb.''25'!R37-'Entries Feb.''25'!R36&lt;1,0,'Entries Feb.''25'!R37-'Entries Feb.''25'!R36)</f>
        <v>0</v>
      </c>
      <c r="I36" s="47">
        <f>IF('Entries Feb.''25'!AH37-'Entries Feb.''25'!AH36&lt;1,0,'Entries Feb.''25'!AH37-'Entries Feb.''25'!AH36)</f>
        <v>0</v>
      </c>
      <c r="J36" s="47" t="str">
        <f>IF('Entries Feb.''25'!T37-'Entries Feb.''25'!T36&lt;1,"0",'Entries Feb.''25'!T37-'Entries Feb.''25'!T36)</f>
        <v>0</v>
      </c>
      <c r="K36" s="47" t="str">
        <f>IF('Entries Feb.''25'!S37-'Entries Feb.''25'!S36&lt;1,"0",'Entries Feb.''25'!S37-'Entries Feb.''25'!S36)</f>
        <v>0</v>
      </c>
      <c r="L36" s="47" t="str">
        <f>IF('Entries Feb.''25'!U37-'Entries Feb.''25'!U36&lt;1,"0",'Entries Feb.''25'!U37-'Entries Feb.''25'!U36)</f>
        <v>0</v>
      </c>
      <c r="M36" s="47" t="str">
        <f>IF('Entries Feb.''25'!V37-'Entries Feb.''25'!V36&lt;1,"0",'Entries Feb.''25'!V37-'Entries Feb.''25'!V36)</f>
        <v>0</v>
      </c>
      <c r="N36" s="47" t="str">
        <f>IF('Entries Feb.''25'!Y37-'Entries Feb.''25'!Y36&lt;1,"0",'Entries Feb.''25'!Y37-'Entries Feb.''25'!Y36)</f>
        <v>0</v>
      </c>
      <c r="O36" s="47" t="str">
        <f>IF('Entries Feb.''25'!Z37-'Entries Feb.''25'!Z36&lt;1,"0",'Entries Feb.''25'!Z37-'Entries Feb.''25'!Z36)</f>
        <v>0</v>
      </c>
      <c r="P36" s="47" t="str">
        <f>IF('Entries Feb.''25'!AA37-'Entries Feb.''25'!AA36&lt;1,"0",'Entries Feb.''25'!AA37-'Entries Feb.''25'!AA36)</f>
        <v>0</v>
      </c>
      <c r="Q36" s="47" t="str">
        <f>IF(('Entries Feb.''25'!AB40-'Entries Feb.''25'!AB36)+('Entries Feb.''25'!AC37-'Entries Feb.''25'!AC36)&lt;1,"0",('Entries Feb.''25'!AB40-'Entries Feb.''25'!AB36)+('Entries Feb.''25'!AC37-'Entries Feb.''25'!AC36))</f>
        <v>0</v>
      </c>
      <c r="R36" s="47">
        <f t="shared" si="2"/>
        <v>0</v>
      </c>
      <c r="S36" s="150">
        <f t="shared" si="3"/>
        <v>0</v>
      </c>
      <c r="T36" s="47" t="str">
        <f>IF('Entries Feb.''25'!AD37-'Entries Feb.''25'!AD36&lt;1,"0",'Entries Feb.''25'!AD37-'Entries Feb.''25'!AD36)</f>
        <v>0</v>
      </c>
      <c r="U36" s="221">
        <f>'Entries Feb.''25'!AE37-'Entries Feb.''25'!AE36</f>
        <v>0</v>
      </c>
      <c r="V36" s="221">
        <f>'Entries Feb.''25'!AF37-'Entries Feb.''25'!AF36</f>
        <v>0</v>
      </c>
      <c r="W36" s="221" t="e">
        <f>IF('Entries Feb.''25'!#REF!-'Entries Feb.''25'!AI37&lt;1,"0",'Entries Feb.''25'!#REF!-'Entries Feb.''25'!AI37)</f>
        <v>#REF!</v>
      </c>
      <c r="X36" s="221" t="str">
        <f>IF('Entries Feb.''25'!AJ37-'Entries Feb.''25'!AJ36&lt;1,"0",'Entries Feb.''25'!AJ37-'Entries Feb.''25'!AJ36)</f>
        <v>0</v>
      </c>
      <c r="Y36" s="153"/>
      <c r="Z36" s="150">
        <f>'PROD.FIG. '!H34</f>
        <v>0</v>
      </c>
      <c r="AA36" s="152" t="e">
        <f t="shared" si="0"/>
        <v>#DIV/0!</v>
      </c>
    </row>
    <row r="37" spans="1:36" x14ac:dyDescent="0.2">
      <c r="B37" s="154">
        <v>31</v>
      </c>
      <c r="C37" s="150" t="str">
        <f>IF('Entries Feb.''25'!X38-'Entries Feb.''25'!X37&lt;1,"0",'Entries Feb.''25'!X38-'Entries Feb.''25'!X37)</f>
        <v>0</v>
      </c>
      <c r="D37" s="47" t="str">
        <f>IF('Entries Feb.''25'!P38-'Entries Feb.''25'!P37&lt;1,"0",'Entries Feb.''25'!P38-'Entries Feb.''25'!P37)</f>
        <v>0</v>
      </c>
      <c r="E37" s="47" t="str">
        <f>IF('Entries Feb.''25'!Q38-'Entries Feb.''25'!Q37&lt;1,"0",'Entries Feb.''25'!Q38-'Entries Feb.''25'!Q37)</f>
        <v>0</v>
      </c>
      <c r="F37" s="47" t="str">
        <f>IF('Entries Feb.''25'!W38-'Entries Feb.''25'!W37&lt;1,"0",'Entries Feb.''25'!W38-'Entries Feb.''25'!W37)</f>
        <v>0</v>
      </c>
      <c r="G37" s="47">
        <f t="shared" si="1"/>
        <v>0</v>
      </c>
      <c r="H37" s="47">
        <f>IF('Entries Feb.''25'!R38-'Entries Feb.''25'!R37&lt;1,0,'Entries Feb.''25'!R38-'Entries Feb.''25'!R37)</f>
        <v>0</v>
      </c>
      <c r="I37" s="47">
        <f>IF('Entries Feb.''25'!AH38-'Entries Feb.''25'!AH37&lt;1,0,'Entries Feb.''25'!AH38-'Entries Feb.''25'!AH37)</f>
        <v>0</v>
      </c>
      <c r="J37" s="47" t="str">
        <f>IF('Entries Feb.''25'!T38-'Entries Feb.''25'!T37&lt;1,"0",'Entries Feb.''25'!T38-'Entries Feb.''25'!T37)</f>
        <v>0</v>
      </c>
      <c r="K37" s="47" t="str">
        <f>IF('Entries Feb.''25'!S38-'Entries Feb.''25'!S37&lt;1,"0",'Entries Feb.''25'!S38-'Entries Feb.''25'!S37)</f>
        <v>0</v>
      </c>
      <c r="L37" s="47" t="str">
        <f>IF('Entries Feb.''25'!U38-'Entries Feb.''25'!U37&lt;1,"0",'Entries Feb.''25'!U38-'Entries Feb.''25'!U37)</f>
        <v>0</v>
      </c>
      <c r="M37" s="47" t="str">
        <f>IF('Entries Feb.''25'!V38-'Entries Feb.''25'!V37&lt;1,"0",'Entries Feb.''25'!V38-'Entries Feb.''25'!V37)</f>
        <v>0</v>
      </c>
      <c r="N37" s="47" t="str">
        <f>IF('Entries Feb.''25'!Y38-'Entries Feb.''25'!Y37&lt;1,"0",'Entries Feb.''25'!Y38-'Entries Feb.''25'!Y37)</f>
        <v>0</v>
      </c>
      <c r="O37" s="47" t="str">
        <f>IF('Entries Feb.''25'!Z38-'Entries Feb.''25'!Z37&lt;1,"0",'Entries Feb.''25'!Z38-'Entries Feb.''25'!Z37)</f>
        <v>0</v>
      </c>
      <c r="P37" s="47" t="str">
        <f>IF('Entries Feb.''25'!AA38-'Entries Feb.''25'!AA37&lt;1,"0",'Entries Feb.''25'!AA38-'Entries Feb.''25'!AA37)</f>
        <v>0</v>
      </c>
      <c r="Q37" s="47" t="str">
        <f>IF(('Entries Feb.''25'!AB41-'Entries Feb.''25'!AB37)+('Entries Feb.''25'!AC38-'Entries Feb.''25'!AC37)&lt;1,"0",('Entries Feb.''25'!AB41-'Entries Feb.''25'!AB37)+('Entries Feb.''25'!AC38-'Entries Feb.''25'!AC37))</f>
        <v>0</v>
      </c>
      <c r="R37" s="47">
        <f t="shared" si="2"/>
        <v>0</v>
      </c>
      <c r="S37" s="150">
        <f t="shared" si="3"/>
        <v>0</v>
      </c>
      <c r="T37" s="47" t="str">
        <f>IF('Entries Feb.''25'!AD38-'Entries Feb.''25'!AD37&lt;1,"0",'Entries Feb.''25'!AD38-'Entries Feb.''25'!AD37)</f>
        <v>0</v>
      </c>
      <c r="U37" s="221">
        <f>'Entries Feb.''25'!AE38-'Entries Feb.''25'!AE37</f>
        <v>0</v>
      </c>
      <c r="V37" s="221">
        <f>'Entries Feb.''25'!AF38-'Entries Feb.''25'!AF37</f>
        <v>0</v>
      </c>
      <c r="W37" s="221" t="e">
        <f>IF('Entries Feb.''25'!AI38-'Entries Feb.''25'!#REF!&lt;1,"0",'Entries Feb.''25'!AI38-'Entries Feb.''25'!#REF!)</f>
        <v>#REF!</v>
      </c>
      <c r="X37" s="221" t="str">
        <f>IF('Entries Feb.''25'!AJ38-'Entries Feb.''25'!AJ37&lt;1,"0",'Entries Feb.''25'!AJ38-'Entries Feb.''25'!AJ37)</f>
        <v>0</v>
      </c>
      <c r="Y37" s="153"/>
      <c r="Z37" s="150">
        <f>'PROD.FIG. '!H35</f>
        <v>0</v>
      </c>
      <c r="AA37" s="152" t="e">
        <f t="shared" si="0"/>
        <v>#DIV/0!</v>
      </c>
    </row>
    <row r="38" spans="1:36" x14ac:dyDescent="0.2">
      <c r="A38" s="8" t="s">
        <v>95</v>
      </c>
      <c r="B38" s="115" t="s">
        <v>58</v>
      </c>
      <c r="C38" s="155">
        <f t="shared" ref="C38:S38" si="4">SUM(C7:C37)</f>
        <v>0</v>
      </c>
      <c r="D38" s="155">
        <f t="shared" si="4"/>
        <v>3774</v>
      </c>
      <c r="E38" s="155">
        <f t="shared" si="4"/>
        <v>4662</v>
      </c>
      <c r="F38" s="155">
        <f t="shared" si="4"/>
        <v>4912</v>
      </c>
      <c r="G38" s="155">
        <f t="shared" si="4"/>
        <v>3524</v>
      </c>
      <c r="H38" s="155"/>
      <c r="I38" s="155"/>
      <c r="J38" s="155">
        <f t="shared" si="4"/>
        <v>4279</v>
      </c>
      <c r="K38" s="155"/>
      <c r="L38" s="155">
        <f t="shared" si="4"/>
        <v>0</v>
      </c>
      <c r="M38" s="155">
        <f t="shared" si="4"/>
        <v>98</v>
      </c>
      <c r="N38" s="155">
        <f t="shared" si="4"/>
        <v>1013</v>
      </c>
      <c r="O38" s="155">
        <f t="shared" si="4"/>
        <v>1464</v>
      </c>
      <c r="P38" s="155">
        <f t="shared" si="4"/>
        <v>621</v>
      </c>
      <c r="Q38" s="155">
        <f t="shared" si="4"/>
        <v>0</v>
      </c>
      <c r="R38" s="155">
        <f t="shared" si="4"/>
        <v>35240</v>
      </c>
      <c r="S38" s="155">
        <f t="shared" si="4"/>
        <v>2575</v>
      </c>
      <c r="T38" s="155"/>
      <c r="U38" s="155"/>
      <c r="V38" s="155"/>
      <c r="W38" s="155"/>
      <c r="X38" s="155"/>
      <c r="Y38" s="155"/>
      <c r="Z38" s="155">
        <f>SUM(Z7:Z37)</f>
        <v>0</v>
      </c>
      <c r="AA38" s="155" t="e">
        <f>SUM(AA7:AA37)</f>
        <v>#DIV/0!</v>
      </c>
    </row>
    <row r="39" spans="1:36" x14ac:dyDescent="0.2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3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36" x14ac:dyDescent="0.2">
      <c r="A40" s="26" t="s">
        <v>64</v>
      </c>
      <c r="B40" s="26" t="s">
        <v>92</v>
      </c>
      <c r="C40" s="23"/>
      <c r="D40" s="23">
        <f>D38*220</f>
        <v>830280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36" x14ac:dyDescent="0.2">
      <c r="A41" s="26"/>
      <c r="B41" s="26" t="s">
        <v>96</v>
      </c>
      <c r="C41" s="26"/>
      <c r="D41" s="34">
        <v>1.5810000000000001E-2</v>
      </c>
      <c r="E41" s="34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3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36" x14ac:dyDescent="0.2">
      <c r="A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3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36" x14ac:dyDescent="0.2">
      <c r="A43" s="26"/>
      <c r="B43" s="26" t="s">
        <v>98</v>
      </c>
      <c r="C43" s="26"/>
      <c r="D43" s="26">
        <f>+D41*D40</f>
        <v>13126.7268</v>
      </c>
      <c r="E43" s="26"/>
      <c r="F43" s="149">
        <v>1</v>
      </c>
      <c r="G43" s="26">
        <f>+$P7</f>
        <v>41</v>
      </c>
      <c r="H43" s="26"/>
      <c r="I43" s="26"/>
    </row>
    <row r="44" spans="1:36" x14ac:dyDescent="0.2">
      <c r="A44" s="26"/>
      <c r="B44" s="26" t="s">
        <v>97</v>
      </c>
      <c r="C44" s="26"/>
      <c r="D44" s="42">
        <v>278.97000000000003</v>
      </c>
      <c r="E44" s="48"/>
      <c r="F44" s="149">
        <v>2</v>
      </c>
      <c r="G44" s="26">
        <f t="shared" ref="G44:G73" si="5">+$P8</f>
        <v>18</v>
      </c>
      <c r="H44" s="26"/>
      <c r="I44" s="26"/>
      <c r="J44" s="26"/>
      <c r="K44" s="26"/>
      <c r="L44" s="47">
        <f>'Water '!$T$19</f>
        <v>23</v>
      </c>
      <c r="M44" s="47">
        <f>'Water '!$T$20</f>
        <v>17</v>
      </c>
      <c r="N44" s="47">
        <f>'Water '!$T$21</f>
        <v>2</v>
      </c>
      <c r="O44" s="47" t="str">
        <f>'Water '!$T$22</f>
        <v>0</v>
      </c>
      <c r="P44" s="47">
        <f>'Water '!$T$23</f>
        <v>23</v>
      </c>
      <c r="Q44" s="47">
        <f>'Water '!$T$24</f>
        <v>19</v>
      </c>
      <c r="R44" s="47">
        <f>'Water '!$T$23</f>
        <v>23</v>
      </c>
      <c r="S44" s="47">
        <f>'Water '!$T$23</f>
        <v>23</v>
      </c>
      <c r="T44" s="47">
        <f>'Water '!$T$25</f>
        <v>22</v>
      </c>
      <c r="U44" s="47"/>
      <c r="V44" s="47"/>
      <c r="W44" s="47"/>
      <c r="X44" s="47"/>
      <c r="Y44" s="47">
        <f>'Water '!$T$26</f>
        <v>12</v>
      </c>
      <c r="Z44" s="47">
        <f>'Water '!$T$27</f>
        <v>11</v>
      </c>
      <c r="AA44" s="47" t="str">
        <f>'Water '!$T$28</f>
        <v>0</v>
      </c>
      <c r="AB44" s="47" t="str">
        <f>'Water '!$T$29</f>
        <v>0</v>
      </c>
      <c r="AC44" s="47">
        <f>'Water '!$T$30</f>
        <v>18</v>
      </c>
      <c r="AD44" s="47">
        <f>'Water '!$T$31</f>
        <v>23</v>
      </c>
      <c r="AE44" s="47">
        <f>'Water '!$T$32</f>
        <v>17</v>
      </c>
      <c r="AF44" s="47">
        <f>'Water '!$T$33</f>
        <v>23</v>
      </c>
      <c r="AG44" s="47">
        <f>'Water '!$T$34</f>
        <v>20</v>
      </c>
      <c r="AH44" s="47" t="str">
        <f>'Water '!$T$35</f>
        <v>0</v>
      </c>
      <c r="AI44" s="47" t="str">
        <f>'Water '!$T$36</f>
        <v>0</v>
      </c>
      <c r="AJ44" s="47" t="str">
        <f>'Water '!$T$37</f>
        <v>0</v>
      </c>
    </row>
    <row r="45" spans="1:36" x14ac:dyDescent="0.2">
      <c r="D45" s="26">
        <f>SUM(D43:D44)</f>
        <v>13405.6968</v>
      </c>
      <c r="E45" s="26"/>
      <c r="F45" s="149">
        <v>3</v>
      </c>
      <c r="G45" s="26">
        <f t="shared" si="5"/>
        <v>60</v>
      </c>
      <c r="H45" s="26"/>
      <c r="I45" s="26"/>
      <c r="Q45" s="23"/>
    </row>
    <row r="46" spans="1:36" x14ac:dyDescent="0.2">
      <c r="F46" s="149">
        <v>4</v>
      </c>
      <c r="G46" s="26">
        <f t="shared" si="5"/>
        <v>51</v>
      </c>
      <c r="H46" s="26"/>
      <c r="I46" s="26"/>
      <c r="Q46" s="23"/>
    </row>
    <row r="47" spans="1:36" x14ac:dyDescent="0.2">
      <c r="B47" s="8" t="s">
        <v>99</v>
      </c>
      <c r="D47" s="35">
        <f>+D45*2/3</f>
        <v>8937.1311999999998</v>
      </c>
      <c r="E47" s="35"/>
      <c r="F47" s="149">
        <v>5</v>
      </c>
      <c r="G47" s="26">
        <f t="shared" si="5"/>
        <v>42</v>
      </c>
      <c r="H47" s="26"/>
      <c r="I47" s="26"/>
      <c r="Q47" s="23"/>
    </row>
    <row r="48" spans="1:36" x14ac:dyDescent="0.2">
      <c r="F48" s="149">
        <v>6</v>
      </c>
      <c r="G48" s="26">
        <f t="shared" si="5"/>
        <v>32</v>
      </c>
      <c r="H48" s="26"/>
      <c r="I48" s="26"/>
      <c r="Q48" s="23"/>
    </row>
    <row r="49" spans="2:17" ht="15.75" x14ac:dyDescent="0.25">
      <c r="B49" s="36" t="s">
        <v>100</v>
      </c>
      <c r="C49" s="36"/>
      <c r="D49" s="44">
        <f>SUM(D47,D45)</f>
        <v>22342.828000000001</v>
      </c>
      <c r="E49" s="44"/>
      <c r="F49" s="149">
        <v>7</v>
      </c>
      <c r="G49" s="26" t="str">
        <f t="shared" si="5"/>
        <v>0</v>
      </c>
      <c r="H49" s="26"/>
      <c r="I49" s="26"/>
      <c r="Q49" s="23"/>
    </row>
    <row r="50" spans="2:17" x14ac:dyDescent="0.2">
      <c r="F50" s="149">
        <v>8</v>
      </c>
      <c r="G50" s="26">
        <f t="shared" si="5"/>
        <v>8</v>
      </c>
      <c r="H50" s="26"/>
      <c r="I50" s="26"/>
      <c r="Q50" s="23"/>
    </row>
    <row r="51" spans="2:17" x14ac:dyDescent="0.2">
      <c r="F51" s="149">
        <v>9</v>
      </c>
      <c r="G51" s="26">
        <f t="shared" si="5"/>
        <v>8</v>
      </c>
      <c r="H51" s="26"/>
      <c r="I51" s="26"/>
      <c r="Q51" s="23"/>
    </row>
    <row r="52" spans="2:17" x14ac:dyDescent="0.2">
      <c r="F52" s="149">
        <v>10</v>
      </c>
      <c r="G52" s="26">
        <f t="shared" si="5"/>
        <v>22</v>
      </c>
      <c r="H52" s="26"/>
      <c r="I52" s="26"/>
      <c r="Q52" s="23"/>
    </row>
    <row r="53" spans="2:17" x14ac:dyDescent="0.2">
      <c r="F53" s="149">
        <v>11</v>
      </c>
      <c r="G53" s="26">
        <f t="shared" si="5"/>
        <v>27</v>
      </c>
      <c r="H53" s="26"/>
      <c r="I53" s="26"/>
      <c r="Q53" s="23"/>
    </row>
    <row r="54" spans="2:17" x14ac:dyDescent="0.2">
      <c r="F54" s="149">
        <v>12</v>
      </c>
      <c r="G54" s="26">
        <f t="shared" si="5"/>
        <v>31</v>
      </c>
      <c r="H54" s="26"/>
      <c r="I54" s="26"/>
      <c r="Q54" s="23"/>
    </row>
    <row r="55" spans="2:17" x14ac:dyDescent="0.2">
      <c r="F55" s="149">
        <v>13</v>
      </c>
      <c r="G55" s="26">
        <f t="shared" si="5"/>
        <v>28</v>
      </c>
      <c r="H55" s="26"/>
      <c r="I55" s="26"/>
      <c r="Q55" s="23"/>
    </row>
    <row r="56" spans="2:17" x14ac:dyDescent="0.2">
      <c r="F56" s="149">
        <v>14</v>
      </c>
      <c r="G56" s="26">
        <f t="shared" si="5"/>
        <v>22</v>
      </c>
      <c r="H56" s="26"/>
      <c r="I56" s="26"/>
      <c r="Q56" s="23"/>
    </row>
    <row r="57" spans="2:17" x14ac:dyDescent="0.2">
      <c r="F57" s="149">
        <v>15</v>
      </c>
      <c r="G57" s="26">
        <f t="shared" si="5"/>
        <v>8</v>
      </c>
      <c r="H57" s="26"/>
      <c r="I57" s="26"/>
      <c r="Q57" s="23"/>
    </row>
    <row r="58" spans="2:17" x14ac:dyDescent="0.2">
      <c r="F58" s="149">
        <v>16</v>
      </c>
      <c r="G58" s="26">
        <f t="shared" si="5"/>
        <v>11</v>
      </c>
      <c r="H58" s="26"/>
      <c r="I58" s="26"/>
      <c r="Q58" s="23"/>
    </row>
    <row r="59" spans="2:17" x14ac:dyDescent="0.2">
      <c r="F59" s="149">
        <v>17</v>
      </c>
      <c r="G59" s="26">
        <f t="shared" si="5"/>
        <v>23</v>
      </c>
      <c r="H59" s="26"/>
      <c r="I59" s="26"/>
      <c r="Q59" s="23"/>
    </row>
    <row r="60" spans="2:17" x14ac:dyDescent="0.2">
      <c r="F60" s="149">
        <v>18</v>
      </c>
      <c r="G60" s="26">
        <f t="shared" si="5"/>
        <v>26</v>
      </c>
      <c r="H60" s="26"/>
      <c r="I60" s="26"/>
      <c r="Q60" s="23"/>
    </row>
    <row r="61" spans="2:17" x14ac:dyDescent="0.2">
      <c r="F61" s="149">
        <v>19</v>
      </c>
      <c r="G61" s="26">
        <f t="shared" si="5"/>
        <v>33</v>
      </c>
      <c r="H61" s="26"/>
      <c r="I61" s="26"/>
      <c r="Q61" s="23"/>
    </row>
    <row r="62" spans="2:17" x14ac:dyDescent="0.2">
      <c r="F62" s="149">
        <v>20</v>
      </c>
      <c r="G62" s="26">
        <f t="shared" si="5"/>
        <v>24</v>
      </c>
      <c r="H62" s="26"/>
      <c r="I62" s="26"/>
      <c r="Q62" s="23"/>
    </row>
    <row r="63" spans="2:17" x14ac:dyDescent="0.2">
      <c r="F63" s="149">
        <v>21</v>
      </c>
      <c r="G63" s="26">
        <f t="shared" si="5"/>
        <v>21</v>
      </c>
      <c r="H63" s="26"/>
      <c r="I63" s="26"/>
      <c r="Q63" s="23"/>
    </row>
    <row r="64" spans="2:17" x14ac:dyDescent="0.2">
      <c r="F64" s="149">
        <v>22</v>
      </c>
      <c r="G64" s="26">
        <f t="shared" si="5"/>
        <v>5</v>
      </c>
      <c r="H64" s="26"/>
      <c r="I64" s="26"/>
      <c r="Q64" s="23"/>
    </row>
    <row r="65" spans="6:17" x14ac:dyDescent="0.2">
      <c r="F65" s="149">
        <v>23</v>
      </c>
      <c r="G65" s="26">
        <f t="shared" si="5"/>
        <v>10</v>
      </c>
      <c r="H65" s="26"/>
      <c r="I65" s="26"/>
      <c r="Q65" s="23"/>
    </row>
    <row r="66" spans="6:17" x14ac:dyDescent="0.2">
      <c r="F66" s="149">
        <v>24</v>
      </c>
      <c r="G66" s="26">
        <f t="shared" si="5"/>
        <v>17</v>
      </c>
      <c r="H66" s="26"/>
      <c r="I66" s="26"/>
      <c r="Q66" s="23"/>
    </row>
    <row r="67" spans="6:17" x14ac:dyDescent="0.2">
      <c r="F67" s="149">
        <v>25</v>
      </c>
      <c r="G67" s="26">
        <f t="shared" si="5"/>
        <v>16</v>
      </c>
      <c r="H67" s="26"/>
      <c r="I67" s="26"/>
      <c r="Q67" s="23"/>
    </row>
    <row r="68" spans="6:17" x14ac:dyDescent="0.2">
      <c r="F68" s="149">
        <v>26</v>
      </c>
      <c r="G68" s="26">
        <f t="shared" si="5"/>
        <v>12</v>
      </c>
      <c r="H68" s="26"/>
      <c r="I68" s="26"/>
      <c r="Q68" s="23"/>
    </row>
    <row r="69" spans="6:17" x14ac:dyDescent="0.2">
      <c r="F69" s="149">
        <v>27</v>
      </c>
      <c r="G69" s="26">
        <f t="shared" si="5"/>
        <v>11</v>
      </c>
      <c r="H69" s="26"/>
      <c r="I69" s="26"/>
    </row>
    <row r="70" spans="6:17" x14ac:dyDescent="0.2">
      <c r="F70" s="149">
        <v>28</v>
      </c>
      <c r="G70" s="26">
        <f t="shared" si="5"/>
        <v>14</v>
      </c>
      <c r="H70" s="26"/>
      <c r="I70" s="26"/>
    </row>
    <row r="71" spans="6:17" x14ac:dyDescent="0.2">
      <c r="F71" s="149">
        <v>29</v>
      </c>
      <c r="G71" s="26" t="str">
        <f t="shared" si="5"/>
        <v>0</v>
      </c>
      <c r="H71" s="26"/>
      <c r="I71" s="26"/>
    </row>
    <row r="72" spans="6:17" x14ac:dyDescent="0.2">
      <c r="F72" s="149">
        <v>30</v>
      </c>
      <c r="G72" s="26" t="str">
        <f t="shared" si="5"/>
        <v>0</v>
      </c>
      <c r="H72" s="26"/>
      <c r="I72" s="26"/>
    </row>
    <row r="73" spans="6:17" x14ac:dyDescent="0.2">
      <c r="F73" s="154">
        <v>31</v>
      </c>
      <c r="G73" s="26" t="str">
        <f t="shared" si="5"/>
        <v>0</v>
      </c>
      <c r="H73" s="26"/>
      <c r="I73" s="26"/>
    </row>
    <row r="74" spans="6:17" x14ac:dyDescent="0.2">
      <c r="G74" s="26"/>
      <c r="H74" s="26"/>
      <c r="I74" s="26"/>
    </row>
    <row r="75" spans="6:17" x14ac:dyDescent="0.2">
      <c r="F75" s="149">
        <v>1</v>
      </c>
      <c r="G75" s="196" t="str">
        <f t="shared" ref="G75:G105" si="6">J7</f>
        <v>0</v>
      </c>
      <c r="H75" s="196"/>
      <c r="I75" s="196"/>
    </row>
    <row r="76" spans="6:17" x14ac:dyDescent="0.2">
      <c r="F76" s="149">
        <v>2</v>
      </c>
      <c r="G76" s="196" t="str">
        <f t="shared" si="6"/>
        <v>0</v>
      </c>
      <c r="H76" s="196"/>
      <c r="I76" s="196"/>
    </row>
    <row r="77" spans="6:17" x14ac:dyDescent="0.2">
      <c r="F77" s="149">
        <v>3</v>
      </c>
      <c r="G77" s="196">
        <f t="shared" si="6"/>
        <v>198</v>
      </c>
      <c r="H77" s="196"/>
      <c r="I77" s="196"/>
    </row>
    <row r="78" spans="6:17" x14ac:dyDescent="0.2">
      <c r="F78" s="149">
        <v>4</v>
      </c>
      <c r="G78" s="196">
        <f t="shared" si="6"/>
        <v>181</v>
      </c>
      <c r="H78" s="196"/>
      <c r="I78" s="196"/>
    </row>
    <row r="79" spans="6:17" x14ac:dyDescent="0.2">
      <c r="F79" s="149">
        <v>5</v>
      </c>
      <c r="G79" s="196">
        <f t="shared" si="6"/>
        <v>278</v>
      </c>
      <c r="H79" s="196"/>
      <c r="I79" s="196"/>
    </row>
    <row r="80" spans="6:17" x14ac:dyDescent="0.2">
      <c r="F80" s="149">
        <v>6</v>
      </c>
      <c r="G80" s="196">
        <f t="shared" si="6"/>
        <v>218</v>
      </c>
      <c r="H80" s="196"/>
      <c r="I80" s="196"/>
    </row>
    <row r="81" spans="6:9" x14ac:dyDescent="0.2">
      <c r="F81" s="149">
        <v>7</v>
      </c>
      <c r="G81" s="196" t="str">
        <f t="shared" si="6"/>
        <v>0</v>
      </c>
      <c r="H81" s="196"/>
      <c r="I81" s="196"/>
    </row>
    <row r="82" spans="6:9" x14ac:dyDescent="0.2">
      <c r="F82" s="149">
        <v>8</v>
      </c>
      <c r="G82" s="196">
        <f t="shared" si="6"/>
        <v>5</v>
      </c>
      <c r="H82" s="196"/>
      <c r="I82" s="196"/>
    </row>
    <row r="83" spans="6:9" x14ac:dyDescent="0.2">
      <c r="F83" s="149">
        <v>9</v>
      </c>
      <c r="G83" s="196" t="str">
        <f t="shared" si="6"/>
        <v>0</v>
      </c>
      <c r="H83" s="196"/>
      <c r="I83" s="196"/>
    </row>
    <row r="84" spans="6:9" x14ac:dyDescent="0.2">
      <c r="F84" s="149">
        <v>10</v>
      </c>
      <c r="G84" s="196">
        <f t="shared" si="6"/>
        <v>185</v>
      </c>
      <c r="H84" s="196"/>
      <c r="I84" s="196"/>
    </row>
    <row r="85" spans="6:9" x14ac:dyDescent="0.2">
      <c r="F85" s="149">
        <v>11</v>
      </c>
      <c r="G85" s="196">
        <f t="shared" si="6"/>
        <v>265</v>
      </c>
      <c r="H85" s="196"/>
      <c r="I85" s="196"/>
    </row>
    <row r="86" spans="6:9" x14ac:dyDescent="0.2">
      <c r="F86" s="149">
        <v>12</v>
      </c>
      <c r="G86" s="196">
        <f t="shared" si="6"/>
        <v>215</v>
      </c>
      <c r="H86" s="196"/>
      <c r="I86" s="196"/>
    </row>
    <row r="87" spans="6:9" x14ac:dyDescent="0.2">
      <c r="F87" s="149">
        <v>13</v>
      </c>
      <c r="G87" s="196">
        <f t="shared" si="6"/>
        <v>258</v>
      </c>
      <c r="H87" s="196"/>
      <c r="I87" s="196"/>
    </row>
    <row r="88" spans="6:9" x14ac:dyDescent="0.2">
      <c r="F88" s="149">
        <v>14</v>
      </c>
      <c r="G88" s="196">
        <f t="shared" si="6"/>
        <v>209</v>
      </c>
      <c r="H88" s="196"/>
      <c r="I88" s="196"/>
    </row>
    <row r="89" spans="6:9" x14ac:dyDescent="0.2">
      <c r="F89" s="149">
        <v>15</v>
      </c>
      <c r="G89" s="196" t="str">
        <f t="shared" si="6"/>
        <v>0</v>
      </c>
      <c r="H89" s="196"/>
      <c r="I89" s="196"/>
    </row>
    <row r="90" spans="6:9" x14ac:dyDescent="0.2">
      <c r="F90" s="149">
        <v>16</v>
      </c>
      <c r="G90" s="196" t="str">
        <f t="shared" si="6"/>
        <v>0</v>
      </c>
      <c r="H90" s="196"/>
      <c r="I90" s="196"/>
    </row>
    <row r="91" spans="6:9" x14ac:dyDescent="0.2">
      <c r="F91" s="149">
        <v>17</v>
      </c>
      <c r="G91" s="196">
        <f t="shared" si="6"/>
        <v>227</v>
      </c>
      <c r="H91" s="196"/>
      <c r="I91" s="196"/>
    </row>
    <row r="92" spans="6:9" x14ac:dyDescent="0.2">
      <c r="F92" s="149">
        <v>18</v>
      </c>
      <c r="G92" s="196">
        <f t="shared" si="6"/>
        <v>209</v>
      </c>
      <c r="H92" s="196"/>
      <c r="I92" s="196"/>
    </row>
    <row r="93" spans="6:9" x14ac:dyDescent="0.2">
      <c r="F93" s="149">
        <v>19</v>
      </c>
      <c r="G93" s="196">
        <f t="shared" si="6"/>
        <v>186</v>
      </c>
      <c r="H93" s="196"/>
      <c r="I93" s="196"/>
    </row>
    <row r="94" spans="6:9" x14ac:dyDescent="0.2">
      <c r="F94" s="149">
        <v>20</v>
      </c>
      <c r="G94" s="196">
        <f t="shared" si="6"/>
        <v>214</v>
      </c>
      <c r="H94" s="196"/>
      <c r="I94" s="196"/>
    </row>
    <row r="95" spans="6:9" x14ac:dyDescent="0.2">
      <c r="F95" s="149">
        <v>21</v>
      </c>
      <c r="G95" s="196">
        <f t="shared" si="6"/>
        <v>202</v>
      </c>
      <c r="H95" s="196"/>
      <c r="I95" s="196"/>
    </row>
    <row r="96" spans="6:9" x14ac:dyDescent="0.2">
      <c r="F96" s="149">
        <v>22</v>
      </c>
      <c r="G96" s="196" t="str">
        <f t="shared" si="6"/>
        <v>0</v>
      </c>
      <c r="H96" s="196"/>
      <c r="I96" s="196"/>
    </row>
    <row r="97" spans="6:9" x14ac:dyDescent="0.2">
      <c r="F97" s="149">
        <v>23</v>
      </c>
      <c r="G97" s="196">
        <f t="shared" si="6"/>
        <v>53</v>
      </c>
      <c r="H97" s="196"/>
      <c r="I97" s="196"/>
    </row>
    <row r="98" spans="6:9" x14ac:dyDescent="0.2">
      <c r="F98" s="149">
        <v>24</v>
      </c>
      <c r="G98" s="196">
        <f t="shared" si="6"/>
        <v>216</v>
      </c>
      <c r="H98" s="196"/>
      <c r="I98" s="196"/>
    </row>
    <row r="99" spans="6:9" x14ac:dyDescent="0.2">
      <c r="F99" s="149">
        <v>25</v>
      </c>
      <c r="G99" s="196">
        <f t="shared" si="6"/>
        <v>243</v>
      </c>
      <c r="H99" s="196"/>
      <c r="I99" s="196"/>
    </row>
    <row r="100" spans="6:9" x14ac:dyDescent="0.2">
      <c r="F100" s="149">
        <v>26</v>
      </c>
      <c r="G100" s="196">
        <f t="shared" si="6"/>
        <v>244</v>
      </c>
      <c r="H100" s="196"/>
      <c r="I100" s="196"/>
    </row>
    <row r="101" spans="6:9" x14ac:dyDescent="0.2">
      <c r="F101" s="149">
        <v>27</v>
      </c>
      <c r="G101" s="196">
        <f t="shared" si="6"/>
        <v>239</v>
      </c>
      <c r="H101" s="196"/>
      <c r="I101" s="196"/>
    </row>
    <row r="102" spans="6:9" x14ac:dyDescent="0.2">
      <c r="F102" s="149">
        <v>28</v>
      </c>
      <c r="G102" s="196">
        <f t="shared" si="6"/>
        <v>234</v>
      </c>
      <c r="H102" s="196"/>
      <c r="I102" s="196"/>
    </row>
    <row r="103" spans="6:9" x14ac:dyDescent="0.2">
      <c r="F103" s="149">
        <v>29</v>
      </c>
      <c r="G103" s="196" t="str">
        <f t="shared" si="6"/>
        <v>0</v>
      </c>
      <c r="H103" s="196"/>
      <c r="I103" s="196"/>
    </row>
    <row r="104" spans="6:9" x14ac:dyDescent="0.2">
      <c r="F104" s="149">
        <v>30</v>
      </c>
      <c r="G104" s="196" t="str">
        <f t="shared" si="6"/>
        <v>0</v>
      </c>
      <c r="H104" s="196"/>
      <c r="I104" s="196"/>
    </row>
    <row r="105" spans="6:9" x14ac:dyDescent="0.2">
      <c r="F105" s="154">
        <v>31</v>
      </c>
      <c r="G105" s="196" t="str">
        <f t="shared" si="6"/>
        <v>0</v>
      </c>
      <c r="H105" s="196"/>
      <c r="I105" s="196"/>
    </row>
  </sheetData>
  <mergeCells count="21">
    <mergeCell ref="X4:X5"/>
    <mergeCell ref="R4:R5"/>
    <mergeCell ref="M4:M5"/>
    <mergeCell ref="F4:F5"/>
    <mergeCell ref="E4:E5"/>
    <mergeCell ref="A1:AA1"/>
    <mergeCell ref="G4:G5"/>
    <mergeCell ref="Q4:Q5"/>
    <mergeCell ref="C4:C5"/>
    <mergeCell ref="B4:B5"/>
    <mergeCell ref="D4:D5"/>
    <mergeCell ref="AA4:AA5"/>
    <mergeCell ref="Y4:Y5"/>
    <mergeCell ref="L4:L5"/>
    <mergeCell ref="W4:W5"/>
    <mergeCell ref="J4:J5"/>
    <mergeCell ref="H4:H5"/>
    <mergeCell ref="Z4:Z5"/>
    <mergeCell ref="I4:I5"/>
    <mergeCell ref="T4:T5"/>
    <mergeCell ref="K4:K5"/>
  </mergeCells>
  <phoneticPr fontId="0" type="noConversion"/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colorId="22" workbookViewId="0">
      <selection activeCell="E7" sqref="E7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8" bestFit="1" customWidth="1"/>
    <col min="4" max="4" width="13.5703125" style="8" bestFit="1" customWidth="1"/>
    <col min="5" max="5" width="15.7109375" style="8" bestFit="1" customWidth="1"/>
    <col min="6" max="6" width="15.7109375" style="8" customWidth="1"/>
    <col min="7" max="16384" width="12.5703125" style="8"/>
  </cols>
  <sheetData>
    <row r="1" spans="1:10" ht="15.75" x14ac:dyDescent="0.25">
      <c r="A1" s="750" t="s">
        <v>258</v>
      </c>
      <c r="B1" s="751"/>
      <c r="C1" s="751"/>
      <c r="D1" s="751"/>
      <c r="E1" s="751"/>
      <c r="F1" s="752"/>
    </row>
    <row r="2" spans="1:10" x14ac:dyDescent="0.2">
      <c r="B2" s="9"/>
      <c r="C2" s="9"/>
    </row>
    <row r="3" spans="1:10" x14ac:dyDescent="0.2">
      <c r="B3" s="9"/>
      <c r="C3" s="9"/>
    </row>
    <row r="4" spans="1:10" ht="15.75" x14ac:dyDescent="0.25">
      <c r="A4" s="122"/>
      <c r="B4" s="123" t="s">
        <v>52</v>
      </c>
      <c r="C4" s="123" t="s">
        <v>53</v>
      </c>
      <c r="D4" s="123" t="s">
        <v>118</v>
      </c>
      <c r="E4" s="123"/>
      <c r="F4" s="124"/>
    </row>
    <row r="5" spans="1:10" ht="15.75" x14ac:dyDescent="0.25">
      <c r="A5" s="125" t="s">
        <v>8</v>
      </c>
      <c r="B5" s="70" t="s">
        <v>54</v>
      </c>
      <c r="C5" s="70" t="s">
        <v>55</v>
      </c>
      <c r="D5" s="70" t="s">
        <v>38</v>
      </c>
      <c r="E5" s="126" t="s">
        <v>51</v>
      </c>
      <c r="F5" s="127" t="s">
        <v>15</v>
      </c>
    </row>
    <row r="6" spans="1:10" ht="15.75" x14ac:dyDescent="0.25">
      <c r="A6" s="128" t="s">
        <v>39</v>
      </c>
      <c r="B6" s="129"/>
      <c r="C6" s="129"/>
      <c r="D6" s="129"/>
      <c r="E6" s="130"/>
      <c r="F6" s="131" t="s">
        <v>14</v>
      </c>
    </row>
    <row r="7" spans="1:10" x14ac:dyDescent="0.2">
      <c r="A7" s="25">
        <v>1</v>
      </c>
      <c r="B7" s="117">
        <f>IF('Entries Feb.''25'!I8-'Entries Feb.''25'!I7+'Entries Feb.''25'!J8-'Entries Feb.''25'!J7&lt;0,"0",'Entries Feb.''25'!I8-'Entries Feb.''25'!I7+'Entries Feb.''25'!J8-'Entries Feb.''25'!J7)</f>
        <v>5855</v>
      </c>
      <c r="C7" s="117">
        <v>0</v>
      </c>
      <c r="D7" s="117">
        <f>B7+C7</f>
        <v>5855</v>
      </c>
      <c r="E7" s="25">
        <f>'PROD.FIG. '!H5</f>
        <v>0</v>
      </c>
      <c r="F7" s="118" t="e">
        <f t="shared" ref="F7:F37" si="0">SUM(D7/E7)</f>
        <v>#DIV/0!</v>
      </c>
    </row>
    <row r="8" spans="1:10" x14ac:dyDescent="0.2">
      <c r="A8" s="25">
        <v>2</v>
      </c>
      <c r="B8" s="117">
        <f>IF('Entries Feb.''25'!I9-'Entries Feb.''25'!I8+'Entries Feb.''25'!J9-'Entries Feb.''25'!J8&lt;0,"0",'Entries Feb.''25'!I9-'Entries Feb.''25'!I8+'Entries Feb.''25'!J9-'Entries Feb.''25'!J8)</f>
        <v>3460</v>
      </c>
      <c r="C8" s="117"/>
      <c r="D8" s="117">
        <f>B8+C8</f>
        <v>3460</v>
      </c>
      <c r="E8" s="211">
        <f>'PROD.FIG. '!C6</f>
        <v>0</v>
      </c>
      <c r="F8" s="118" t="e">
        <f t="shared" si="0"/>
        <v>#DIV/0!</v>
      </c>
      <c r="G8" s="26">
        <f>'Entries Feb.''25'!I9-'Entries Feb.''25'!I8</f>
        <v>1292</v>
      </c>
      <c r="H8" s="46">
        <f>'Entries Feb.''25'!J10-'Entries Feb.''25'!J9</f>
        <v>3826</v>
      </c>
      <c r="I8" s="26">
        <f>G8+H8</f>
        <v>5118</v>
      </c>
      <c r="J8" s="8" t="e">
        <f>I8/'PROD.FIG. '!H6</f>
        <v>#DIV/0!</v>
      </c>
    </row>
    <row r="9" spans="1:10" x14ac:dyDescent="0.2">
      <c r="A9" s="119">
        <v>3</v>
      </c>
      <c r="B9" s="117">
        <f>IF('Entries Feb.''25'!I10-'Entries Feb.''25'!I9+'Entries Feb.''25'!J10-'Entries Feb.''25'!J9&lt;0,"0",'Entries Feb.''25'!I10-'Entries Feb.''25'!I9+'Entries Feb.''25'!J10-'Entries Feb.''25'!J9)</f>
        <v>7875</v>
      </c>
      <c r="C9" s="120"/>
      <c r="D9" s="120">
        <f>B9+C9</f>
        <v>7875</v>
      </c>
      <c r="E9" s="211">
        <f>'PROD.FIG. '!C7</f>
        <v>0</v>
      </c>
      <c r="F9" s="121" t="e">
        <f t="shared" si="0"/>
        <v>#DIV/0!</v>
      </c>
    </row>
    <row r="10" spans="1:10" x14ac:dyDescent="0.2">
      <c r="A10" s="119">
        <v>4</v>
      </c>
      <c r="B10" s="117">
        <f>IF('Entries Feb.''25'!I11-'Entries Feb.''25'!I10+'Entries Feb.''25'!J11-'Entries Feb.''25'!J10&lt;0,"0",'Entries Feb.''25'!I11-'Entries Feb.''25'!I10+'Entries Feb.''25'!J11-'Entries Feb.''25'!J10)</f>
        <v>7756</v>
      </c>
      <c r="C10" s="121">
        <v>0</v>
      </c>
      <c r="D10" s="120">
        <f>B10+C10</f>
        <v>7756</v>
      </c>
      <c r="E10" s="211">
        <f>'PROD.FIG. '!C8</f>
        <v>0</v>
      </c>
      <c r="F10" s="121" t="e">
        <f t="shared" si="0"/>
        <v>#DIV/0!</v>
      </c>
    </row>
    <row r="11" spans="1:10" x14ac:dyDescent="0.2">
      <c r="A11" s="25">
        <v>5</v>
      </c>
      <c r="B11" s="117">
        <f>IF('Entries Feb.''25'!I12-'Entries Feb.''25'!I11+'Entries Feb.''25'!J12-'Entries Feb.''25'!J11&lt;0,"0",'Entries Feb.''25'!I12-'Entries Feb.''25'!I11+'Entries Feb.''25'!J12-'Entries Feb.''25'!J11)</f>
        <v>8477</v>
      </c>
      <c r="C11" s="117"/>
      <c r="D11" s="117">
        <f t="shared" ref="D11:D37" si="1">B11+C11</f>
        <v>8477</v>
      </c>
      <c r="E11" s="211">
        <f>'PROD.FIG. '!C9</f>
        <v>0</v>
      </c>
      <c r="F11" s="118" t="e">
        <f t="shared" si="0"/>
        <v>#DIV/0!</v>
      </c>
    </row>
    <row r="12" spans="1:10" x14ac:dyDescent="0.2">
      <c r="A12" s="25">
        <v>6</v>
      </c>
      <c r="B12" s="117">
        <f>IF('Entries Feb.''25'!I13-'Entries Feb.''25'!I12+'Entries Feb.''25'!J13-'Entries Feb.''25'!J12&lt;0,"0",'Entries Feb.''25'!I13-'Entries Feb.''25'!I12+'Entries Feb.''25'!J13-'Entries Feb.''25'!J12)</f>
        <v>7797</v>
      </c>
      <c r="C12" s="117"/>
      <c r="D12" s="117">
        <f t="shared" si="1"/>
        <v>7797</v>
      </c>
      <c r="E12" s="211">
        <f>'PROD.FIG. '!C10</f>
        <v>0</v>
      </c>
      <c r="F12" s="118" t="e">
        <f t="shared" si="0"/>
        <v>#DIV/0!</v>
      </c>
    </row>
    <row r="13" spans="1:10" x14ac:dyDescent="0.2">
      <c r="A13" s="25">
        <v>7</v>
      </c>
      <c r="B13" s="117">
        <f>IF('Entries Feb.''25'!I14-'Entries Feb.''25'!I13+'Entries Feb.''25'!J14-'Entries Feb.''25'!J13&lt;0,"0",'Entries Feb.''25'!I14-'Entries Feb.''25'!I13+'Entries Feb.''25'!J14-'Entries Feb.''25'!J13)</f>
        <v>3697</v>
      </c>
      <c r="C13" s="117"/>
      <c r="D13" s="117">
        <f t="shared" si="1"/>
        <v>3697</v>
      </c>
      <c r="E13" s="211">
        <f>'PROD.FIG. '!C11</f>
        <v>0</v>
      </c>
      <c r="F13" s="118" t="e">
        <f t="shared" si="0"/>
        <v>#DIV/0!</v>
      </c>
    </row>
    <row r="14" spans="1:10" x14ac:dyDescent="0.2">
      <c r="A14" s="25">
        <v>8</v>
      </c>
      <c r="B14" s="117">
        <f>IF('Entries Feb.''25'!I15-'Entries Feb.''25'!I14+'Entries Feb.''25'!J15-'Entries Feb.''25'!J14&lt;0,"0",'Entries Feb.''25'!I15-'Entries Feb.''25'!I14+'Entries Feb.''25'!J15-'Entries Feb.''25'!J14)</f>
        <v>4659</v>
      </c>
      <c r="C14" s="117"/>
      <c r="D14" s="117">
        <f t="shared" si="1"/>
        <v>4659</v>
      </c>
      <c r="E14" s="211">
        <f>'PROD.FIG. '!C12</f>
        <v>0</v>
      </c>
      <c r="F14" s="118" t="e">
        <f t="shared" si="0"/>
        <v>#DIV/0!</v>
      </c>
    </row>
    <row r="15" spans="1:10" x14ac:dyDescent="0.2">
      <c r="A15" s="25">
        <v>9</v>
      </c>
      <c r="B15" s="117">
        <f>IF('Entries Feb.''25'!I16-'Entries Feb.''25'!I15+'Entries Feb.''25'!J16-'Entries Feb.''25'!J15&lt;0,"0",'Entries Feb.''25'!I16-'Entries Feb.''25'!I15+'Entries Feb.''25'!J16-'Entries Feb.''25'!J15)</f>
        <v>5407</v>
      </c>
      <c r="C15" s="117"/>
      <c r="D15" s="117">
        <f>B15+C15</f>
        <v>5407</v>
      </c>
      <c r="E15" s="211">
        <f>'PROD.FIG. '!C13</f>
        <v>0</v>
      </c>
      <c r="F15" s="118" t="e">
        <f t="shared" si="0"/>
        <v>#DIV/0!</v>
      </c>
    </row>
    <row r="16" spans="1:10" x14ac:dyDescent="0.2">
      <c r="A16" s="119">
        <v>10</v>
      </c>
      <c r="B16" s="117">
        <f>IF('Entries Feb.''25'!I17-'Entries Feb.''25'!I16+'Entries Feb.''25'!J17-'Entries Feb.''25'!J16&lt;0,"0",'Entries Feb.''25'!I17-'Entries Feb.''25'!I16+'Entries Feb.''25'!J17-'Entries Feb.''25'!J16)</f>
        <v>6755</v>
      </c>
      <c r="C16" s="120"/>
      <c r="D16" s="120">
        <f t="shared" si="1"/>
        <v>6755</v>
      </c>
      <c r="E16" s="211">
        <f>'PROD.FIG. '!C14</f>
        <v>0</v>
      </c>
      <c r="F16" s="119" t="e">
        <f t="shared" si="0"/>
        <v>#DIV/0!</v>
      </c>
    </row>
    <row r="17" spans="1:6" x14ac:dyDescent="0.2">
      <c r="A17" s="119">
        <v>11</v>
      </c>
      <c r="B17" s="117">
        <f>IF('Entries Feb.''25'!I18-'Entries Feb.''25'!I17+'Entries Feb.''25'!J18-'Entries Feb.''25'!J17&lt;0,"0",'Entries Feb.''25'!I18-'Entries Feb.''25'!I17+'Entries Feb.''25'!J18-'Entries Feb.''25'!J17)</f>
        <v>8429</v>
      </c>
      <c r="C17" s="121"/>
      <c r="D17" s="120">
        <f>B17+C17</f>
        <v>8429</v>
      </c>
      <c r="E17" s="211">
        <f>'PROD.FIG. '!C15</f>
        <v>0</v>
      </c>
      <c r="F17" s="119" t="e">
        <f t="shared" si="0"/>
        <v>#DIV/0!</v>
      </c>
    </row>
    <row r="18" spans="1:6" x14ac:dyDescent="0.2">
      <c r="A18" s="25">
        <v>12</v>
      </c>
      <c r="B18" s="117">
        <f>IF('Entries Feb.''25'!I19-'Entries Feb.''25'!I18+'Entries Feb.''25'!J19-'Entries Feb.''25'!J18&lt;0,"0",'Entries Feb.''25'!I19-'Entries Feb.''25'!I18+'Entries Feb.''25'!J19-'Entries Feb.''25'!J18)</f>
        <v>8273</v>
      </c>
      <c r="C18" s="117"/>
      <c r="D18" s="120">
        <f>B18+C18</f>
        <v>8273</v>
      </c>
      <c r="E18" s="25">
        <f>'PROD.FIG. '!H16</f>
        <v>0</v>
      </c>
      <c r="F18" s="118" t="e">
        <f t="shared" si="0"/>
        <v>#DIV/0!</v>
      </c>
    </row>
    <row r="19" spans="1:6" x14ac:dyDescent="0.2">
      <c r="A19" s="25">
        <v>13</v>
      </c>
      <c r="B19" s="117">
        <f>IF('Entries Feb.''25'!I20-'Entries Feb.''25'!I19+'Entries Feb.''25'!J20-'Entries Feb.''25'!J19&lt;0,"0",'Entries Feb.''25'!I20-'Entries Feb.''25'!I19+'Entries Feb.''25'!J20-'Entries Feb.''25'!J19)</f>
        <v>8452</v>
      </c>
      <c r="C19" s="117"/>
      <c r="D19" s="117">
        <f t="shared" si="1"/>
        <v>8452</v>
      </c>
      <c r="E19" s="25">
        <f>'PROD.FIG. '!H17</f>
        <v>0</v>
      </c>
      <c r="F19" s="118" t="e">
        <f t="shared" si="0"/>
        <v>#DIV/0!</v>
      </c>
    </row>
    <row r="20" spans="1:6" x14ac:dyDescent="0.2">
      <c r="A20" s="25">
        <v>14</v>
      </c>
      <c r="B20" s="117">
        <f>IF('Entries Feb.''25'!I21-'Entries Feb.''25'!I20+'Entries Feb.''25'!J21-'Entries Feb.''25'!J20&lt;0,"0",'Entries Feb.''25'!I21-'Entries Feb.''25'!I20+'Entries Feb.''25'!J21-'Entries Feb.''25'!J20)</f>
        <v>7340</v>
      </c>
      <c r="C20" s="117"/>
      <c r="D20" s="117">
        <f t="shared" si="1"/>
        <v>7340</v>
      </c>
      <c r="E20" s="25">
        <f>'PROD.FIG. '!H18</f>
        <v>0</v>
      </c>
      <c r="F20" s="118" t="e">
        <f t="shared" si="0"/>
        <v>#DIV/0!</v>
      </c>
    </row>
    <row r="21" spans="1:6" x14ac:dyDescent="0.2">
      <c r="A21" s="25">
        <v>15</v>
      </c>
      <c r="B21" s="117">
        <f>IF('Entries Feb.''25'!I22-'Entries Feb.''25'!I21+'Entries Feb.''25'!J22-'Entries Feb.''25'!J21&lt;0,"0",'Entries Feb.''25'!I22-'Entries Feb.''25'!I21+'Entries Feb.''25'!J22-'Entries Feb.''25'!J21)</f>
        <v>4100</v>
      </c>
      <c r="C21" s="117"/>
      <c r="D21" s="117">
        <f t="shared" si="1"/>
        <v>4100</v>
      </c>
      <c r="E21" s="25">
        <f>'PROD.FIG. '!H19</f>
        <v>0</v>
      </c>
      <c r="F21" s="118" t="e">
        <f>SUM(D21/E21)</f>
        <v>#DIV/0!</v>
      </c>
    </row>
    <row r="22" spans="1:6" x14ac:dyDescent="0.2">
      <c r="A22" s="25">
        <v>16</v>
      </c>
      <c r="B22" s="117">
        <f>IF('Entries Feb.''25'!I23-'Entries Feb.''25'!I22+'Entries Feb.''25'!J23-'Entries Feb.''25'!J22&lt;0,"0",'Entries Feb.''25'!I23-'Entries Feb.''25'!I22+'Entries Feb.''25'!J23-'Entries Feb.''25'!J22)</f>
        <v>4256</v>
      </c>
      <c r="C22" s="117"/>
      <c r="D22" s="117">
        <f t="shared" si="1"/>
        <v>4256</v>
      </c>
      <c r="E22" s="25">
        <f>'PROD.FIG. '!H20</f>
        <v>0</v>
      </c>
      <c r="F22" s="118" t="e">
        <f t="shared" si="0"/>
        <v>#DIV/0!</v>
      </c>
    </row>
    <row r="23" spans="1:6" x14ac:dyDescent="0.2">
      <c r="A23" s="119">
        <v>17</v>
      </c>
      <c r="B23" s="117">
        <f>IF('Entries Feb.''25'!I24-'Entries Feb.''25'!I23+'Entries Feb.''25'!J24-'Entries Feb.''25'!J23&lt;0,"0",'Entries Feb.''25'!I24-'Entries Feb.''25'!I23+'Entries Feb.''25'!J24-'Entries Feb.''25'!J23)</f>
        <v>7897</v>
      </c>
      <c r="C23" s="120"/>
      <c r="D23" s="120">
        <f t="shared" si="1"/>
        <v>7897</v>
      </c>
      <c r="E23" s="119">
        <f>'PROD.FIG. '!H21</f>
        <v>0</v>
      </c>
      <c r="F23" s="119" t="e">
        <f t="shared" si="0"/>
        <v>#DIV/0!</v>
      </c>
    </row>
    <row r="24" spans="1:6" x14ac:dyDescent="0.2">
      <c r="A24" s="119">
        <v>18</v>
      </c>
      <c r="B24" s="117">
        <f>IF('Entries Feb.''25'!I25-'Entries Feb.''25'!I24+'Entries Feb.''25'!J25-'Entries Feb.''25'!J24&lt;0,"0",'Entries Feb.''25'!I25-'Entries Feb.''25'!I24+'Entries Feb.''25'!J25-'Entries Feb.''25'!J24)</f>
        <v>8686</v>
      </c>
      <c r="C24" s="121"/>
      <c r="D24" s="120">
        <f t="shared" si="1"/>
        <v>8686</v>
      </c>
      <c r="E24" s="119">
        <f>'PROD.FIG. '!H22</f>
        <v>0</v>
      </c>
      <c r="F24" s="119" t="e">
        <f t="shared" si="0"/>
        <v>#DIV/0!</v>
      </c>
    </row>
    <row r="25" spans="1:6" x14ac:dyDescent="0.2">
      <c r="A25" s="25">
        <v>19</v>
      </c>
      <c r="B25" s="117">
        <f>IF('Entries Feb.''25'!I26-'Entries Feb.''25'!I25+'Entries Feb.''25'!J26-'Entries Feb.''25'!J25&lt;0,"0",'Entries Feb.''25'!I26-'Entries Feb.''25'!I25+'Entries Feb.''25'!J26-'Entries Feb.''25'!J25)</f>
        <v>8826</v>
      </c>
      <c r="C25" s="117"/>
      <c r="D25" s="117">
        <f t="shared" si="1"/>
        <v>8826</v>
      </c>
      <c r="E25" s="25">
        <f>'PROD.FIG. '!H23</f>
        <v>0</v>
      </c>
      <c r="F25" s="118" t="e">
        <f t="shared" si="0"/>
        <v>#DIV/0!</v>
      </c>
    </row>
    <row r="26" spans="1:6" x14ac:dyDescent="0.2">
      <c r="A26" s="25">
        <v>20</v>
      </c>
      <c r="B26" s="117">
        <f>IF('Entries Feb.''25'!I27-'Entries Feb.''25'!I26+'Entries Feb.''25'!J27-'Entries Feb.''25'!J26&lt;0,"0",'Entries Feb.''25'!I27-'Entries Feb.''25'!I26+'Entries Feb.''25'!J27-'Entries Feb.''25'!J26)</f>
        <v>8615</v>
      </c>
      <c r="C26" s="117"/>
      <c r="D26" s="117">
        <f t="shared" si="1"/>
        <v>8615</v>
      </c>
      <c r="E26" s="25">
        <f>'PROD.FIG. '!H24</f>
        <v>0</v>
      </c>
      <c r="F26" s="118" t="e">
        <f t="shared" si="0"/>
        <v>#DIV/0!</v>
      </c>
    </row>
    <row r="27" spans="1:6" x14ac:dyDescent="0.2">
      <c r="A27" s="25">
        <v>21</v>
      </c>
      <c r="B27" s="117">
        <f>IF('Entries Feb.''25'!I28-'Entries Feb.''25'!I27+'Entries Feb.''25'!J28-'Entries Feb.''25'!J27&lt;0,"0",'Entries Feb.''25'!I28-'Entries Feb.''25'!I27+'Entries Feb.''25'!J28-'Entries Feb.''25'!J27)</f>
        <v>8074</v>
      </c>
      <c r="C27" s="117"/>
      <c r="D27" s="117">
        <f>B27+C27</f>
        <v>8074</v>
      </c>
      <c r="E27" s="25">
        <f>'PROD.FIG. '!H25</f>
        <v>0</v>
      </c>
      <c r="F27" s="118" t="e">
        <f t="shared" si="0"/>
        <v>#DIV/0!</v>
      </c>
    </row>
    <row r="28" spans="1:6" x14ac:dyDescent="0.2">
      <c r="A28" s="25">
        <v>22</v>
      </c>
      <c r="B28" s="117">
        <f>IF('Entries Feb.''25'!I29-'Entries Feb.''25'!I28+'Entries Feb.''25'!J29-'Entries Feb.''25'!J28&lt;0,"0",'Entries Feb.''25'!I29-'Entries Feb.''25'!I28+'Entries Feb.''25'!J29-'Entries Feb.''25'!J28)</f>
        <v>4355</v>
      </c>
      <c r="C28" s="117"/>
      <c r="D28" s="117">
        <f t="shared" si="1"/>
        <v>4355</v>
      </c>
      <c r="E28" s="25">
        <f>'PROD.FIG. '!H26</f>
        <v>0</v>
      </c>
      <c r="F28" s="118" t="e">
        <f t="shared" si="0"/>
        <v>#DIV/0!</v>
      </c>
    </row>
    <row r="29" spans="1:6" x14ac:dyDescent="0.2">
      <c r="A29" s="25">
        <v>23</v>
      </c>
      <c r="B29" s="117">
        <f>IF('Entries Feb.''25'!I30-'Entries Feb.''25'!I29+'Entries Feb.''25'!J30-'Entries Feb.''25'!J29&lt;0,"0",'Entries Feb.''25'!I30-'Entries Feb.''25'!I29+'Entries Feb.''25'!J30-'Entries Feb.''25'!J29)</f>
        <v>4880</v>
      </c>
      <c r="C29" s="117"/>
      <c r="D29" s="117">
        <f t="shared" si="1"/>
        <v>4880</v>
      </c>
      <c r="E29" s="25">
        <f>'PROD.FIG. '!H27</f>
        <v>0</v>
      </c>
      <c r="F29" s="118" t="e">
        <f t="shared" si="0"/>
        <v>#DIV/0!</v>
      </c>
    </row>
    <row r="30" spans="1:6" x14ac:dyDescent="0.2">
      <c r="A30" s="119">
        <v>24</v>
      </c>
      <c r="B30" s="117">
        <f>IF('Entries Feb.''25'!I31-'Entries Feb.''25'!I30+'Entries Feb.''25'!J31-'Entries Feb.''25'!J30&lt;0,"0",'Entries Feb.''25'!I31-'Entries Feb.''25'!I30+'Entries Feb.''25'!J31-'Entries Feb.''25'!J30)</f>
        <v>7857</v>
      </c>
      <c r="C30" s="120"/>
      <c r="D30" s="120">
        <f t="shared" si="1"/>
        <v>7857</v>
      </c>
      <c r="E30" s="119">
        <f>'PROD.FIG. '!H28</f>
        <v>0</v>
      </c>
      <c r="F30" s="119" t="e">
        <f t="shared" si="0"/>
        <v>#DIV/0!</v>
      </c>
    </row>
    <row r="31" spans="1:6" x14ac:dyDescent="0.2">
      <c r="A31" s="119">
        <v>25</v>
      </c>
      <c r="B31" s="117">
        <f>IF('Entries Feb.''25'!I32-'Entries Feb.''25'!I31+'Entries Feb.''25'!J32-'Entries Feb.''25'!J31&lt;0,"0",'Entries Feb.''25'!I32-'Entries Feb.''25'!I31+'Entries Feb.''25'!J32-'Entries Feb.''25'!J31)</f>
        <v>8306</v>
      </c>
      <c r="C31" s="121"/>
      <c r="D31" s="120">
        <f t="shared" si="1"/>
        <v>8306</v>
      </c>
      <c r="E31" s="119">
        <f>'PROD.FIG. '!H29</f>
        <v>0</v>
      </c>
      <c r="F31" s="119" t="e">
        <f t="shared" si="0"/>
        <v>#DIV/0!</v>
      </c>
    </row>
    <row r="32" spans="1:6" x14ac:dyDescent="0.2">
      <c r="A32" s="25">
        <v>26</v>
      </c>
      <c r="B32" s="117">
        <f>IF('Entries Feb.''25'!I33-'Entries Feb.''25'!I32+'Entries Feb.''25'!J33-'Entries Feb.''25'!J32&lt;0,"0",'Entries Feb.''25'!I33-'Entries Feb.''25'!I32+'Entries Feb.''25'!J33-'Entries Feb.''25'!J32)</f>
        <v>7906</v>
      </c>
      <c r="C32" s="117"/>
      <c r="D32" s="117">
        <f>B32+C32</f>
        <v>7906</v>
      </c>
      <c r="E32" s="25">
        <f>'PROD.FIG. '!H30</f>
        <v>0</v>
      </c>
      <c r="F32" s="118" t="e">
        <f t="shared" si="0"/>
        <v>#DIV/0!</v>
      </c>
    </row>
    <row r="33" spans="1:6" x14ac:dyDescent="0.2">
      <c r="A33" s="25">
        <v>27</v>
      </c>
      <c r="B33" s="117">
        <f>IF('Entries Feb.''25'!I34-'Entries Feb.''25'!I33+'Entries Feb.''25'!J34-'Entries Feb.''25'!J33&lt;0,"0",'Entries Feb.''25'!I34-'Entries Feb.''25'!I33+'Entries Feb.''25'!J34-'Entries Feb.''25'!J33)</f>
        <v>8386</v>
      </c>
      <c r="C33" s="117"/>
      <c r="D33" s="117">
        <f t="shared" si="1"/>
        <v>8386</v>
      </c>
      <c r="E33" s="25">
        <f>'PROD.FIG. '!H31</f>
        <v>0</v>
      </c>
      <c r="F33" s="118" t="e">
        <f t="shared" si="0"/>
        <v>#DIV/0!</v>
      </c>
    </row>
    <row r="34" spans="1:6" x14ac:dyDescent="0.2">
      <c r="A34" s="25">
        <v>28</v>
      </c>
      <c r="B34" s="117">
        <f>IF('Entries Feb.''25'!I35-'Entries Feb.''25'!I34+'Entries Feb.''25'!J35-'Entries Feb.''25'!J34&lt;0,"0",'Entries Feb.''25'!I35-'Entries Feb.''25'!I34+'Entries Feb.''25'!J35-'Entries Feb.''25'!J34)</f>
        <v>7988</v>
      </c>
      <c r="C34" s="117"/>
      <c r="D34" s="117">
        <f t="shared" si="1"/>
        <v>7988</v>
      </c>
      <c r="E34" s="25">
        <f>'PROD.FIG. '!H32</f>
        <v>0</v>
      </c>
      <c r="F34" s="118" t="e">
        <f t="shared" si="0"/>
        <v>#DIV/0!</v>
      </c>
    </row>
    <row r="35" spans="1:6" x14ac:dyDescent="0.2">
      <c r="A35" s="25">
        <v>29</v>
      </c>
      <c r="B35" s="117" t="str">
        <f>IF('Entries Feb.''25'!I36-'Entries Feb.''25'!I35+'Entries Feb.''25'!J36-'Entries Feb.''25'!J35&lt;0,"0",'Entries Feb.''25'!I36-'Entries Feb.''25'!I35+'Entries Feb.''25'!J36-'Entries Feb.''25'!J35)</f>
        <v>0</v>
      </c>
      <c r="C35" s="117"/>
      <c r="D35" s="117">
        <f t="shared" si="1"/>
        <v>0</v>
      </c>
      <c r="E35" s="25">
        <f>'PROD.FIG. '!H33</f>
        <v>0</v>
      </c>
      <c r="F35" s="118" t="e">
        <f t="shared" si="0"/>
        <v>#DIV/0!</v>
      </c>
    </row>
    <row r="36" spans="1:6" x14ac:dyDescent="0.2">
      <c r="A36" s="25">
        <v>30</v>
      </c>
      <c r="B36" s="117">
        <f>IF('Entries Feb.''25'!I37-'Entries Feb.''25'!I36+'Entries Feb.''25'!J37-'Entries Feb.''25'!J36&lt;0,"0",'Entries Feb.''25'!I37-'Entries Feb.''25'!I36+'Entries Feb.''25'!J37-'Entries Feb.''25'!J36)</f>
        <v>0</v>
      </c>
      <c r="C36" s="117"/>
      <c r="D36" s="117">
        <f t="shared" si="1"/>
        <v>0</v>
      </c>
      <c r="E36" s="25">
        <f>'PROD.FIG. '!H34</f>
        <v>0</v>
      </c>
      <c r="F36" s="118" t="e">
        <f t="shared" si="0"/>
        <v>#DIV/0!</v>
      </c>
    </row>
    <row r="37" spans="1:6" x14ac:dyDescent="0.2">
      <c r="A37" s="119">
        <v>31</v>
      </c>
      <c r="B37" s="117">
        <f>IF('Entries Feb.''25'!I38-'Entries Feb.''25'!I37+'Entries Feb.''25'!J38-'Entries Feb.''25'!J37&lt;0,"0",'Entries Feb.''25'!I38-'Entries Feb.''25'!I37+'Entries Feb.''25'!J38-'Entries Feb.''25'!J37)</f>
        <v>0</v>
      </c>
      <c r="C37" s="120"/>
      <c r="D37" s="120">
        <f t="shared" si="1"/>
        <v>0</v>
      </c>
      <c r="E37" s="119">
        <f>'PROD.FIG. '!H35</f>
        <v>0</v>
      </c>
      <c r="F37" s="119" t="e">
        <f t="shared" si="0"/>
        <v>#DIV/0!</v>
      </c>
    </row>
    <row r="38" spans="1:6" ht="15.75" x14ac:dyDescent="0.25">
      <c r="A38" s="30" t="s">
        <v>95</v>
      </c>
      <c r="B38" s="29">
        <f>SUM(B7:B37)</f>
        <v>194364</v>
      </c>
      <c r="C38" s="29"/>
      <c r="D38" s="29">
        <f>SUM(D7:D37)</f>
        <v>194364</v>
      </c>
      <c r="E38" s="29"/>
      <c r="F38" s="29"/>
    </row>
    <row r="39" spans="1:6" x14ac:dyDescent="0.2">
      <c r="B39" s="26"/>
      <c r="C39" s="26"/>
      <c r="D39" s="26"/>
      <c r="E39" s="26"/>
      <c r="F39" s="26"/>
    </row>
    <row r="40" spans="1:6" x14ac:dyDescent="0.2">
      <c r="B40" s="26"/>
      <c r="C40" s="26"/>
      <c r="D40" s="26">
        <f>SUM(D4:D33)</f>
        <v>186376</v>
      </c>
      <c r="E40" s="26"/>
      <c r="F40" s="26"/>
    </row>
    <row r="41" spans="1:6" x14ac:dyDescent="0.2">
      <c r="B41" s="26"/>
      <c r="C41" s="26"/>
      <c r="D41" s="26"/>
      <c r="E41" s="26"/>
      <c r="F41" s="26"/>
    </row>
    <row r="42" spans="1:6" x14ac:dyDescent="0.2">
      <c r="B42" s="26"/>
      <c r="C42" s="26"/>
      <c r="D42" s="26"/>
      <c r="E42" s="26"/>
      <c r="F42" s="26"/>
    </row>
  </sheetData>
  <mergeCells count="1">
    <mergeCell ref="A1:F1"/>
  </mergeCells>
  <phoneticPr fontId="0" type="noConversion"/>
  <pageMargins left="0.25" right="0.25" top="0.25" bottom="0.25" header="0.5" footer="0.5"/>
  <pageSetup scale="7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J38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49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8" customWidth="1"/>
    <col min="9" max="16384" width="12.5703125" style="8"/>
  </cols>
  <sheetData>
    <row r="1" spans="1:10" ht="15.75" x14ac:dyDescent="0.25">
      <c r="A1" s="753" t="s">
        <v>234</v>
      </c>
      <c r="B1" s="737"/>
      <c r="C1" s="737"/>
      <c r="D1" s="737"/>
      <c r="E1" s="737"/>
      <c r="F1" s="737"/>
      <c r="G1" s="737"/>
      <c r="H1" s="737"/>
    </row>
    <row r="2" spans="1:10" ht="15.75" thickBot="1" x14ac:dyDescent="0.25">
      <c r="D2" s="13"/>
    </row>
    <row r="3" spans="1:10" ht="15.75" x14ac:dyDescent="0.25">
      <c r="B3" s="156" t="s">
        <v>8</v>
      </c>
      <c r="C3" s="157"/>
      <c r="D3" s="158"/>
      <c r="E3" s="158"/>
      <c r="F3" s="158"/>
      <c r="G3" s="158"/>
      <c r="H3" s="159"/>
    </row>
    <row r="4" spans="1:10" ht="15.75" x14ac:dyDescent="0.25">
      <c r="B4" s="160" t="s">
        <v>39</v>
      </c>
      <c r="C4" s="215" t="s">
        <v>89</v>
      </c>
      <c r="D4" s="216" t="s">
        <v>88</v>
      </c>
      <c r="E4" s="161" t="s">
        <v>75</v>
      </c>
      <c r="F4" s="161" t="s">
        <v>77</v>
      </c>
      <c r="G4" s="161" t="s">
        <v>76</v>
      </c>
      <c r="H4" s="162" t="s">
        <v>63</v>
      </c>
    </row>
    <row r="5" spans="1:10" x14ac:dyDescent="0.2">
      <c r="A5" s="8" t="s">
        <v>105</v>
      </c>
      <c r="B5" s="212">
        <v>1</v>
      </c>
      <c r="C5" s="169"/>
      <c r="D5" s="164"/>
      <c r="E5" s="213"/>
      <c r="F5" s="164"/>
      <c r="G5" s="165"/>
      <c r="H5" s="166">
        <f>C5</f>
        <v>0</v>
      </c>
      <c r="I5" s="13"/>
      <c r="J5" s="16"/>
    </row>
    <row r="6" spans="1:10" x14ac:dyDescent="0.2">
      <c r="A6" s="8" t="s">
        <v>106</v>
      </c>
      <c r="B6" s="212">
        <v>2</v>
      </c>
      <c r="C6" s="169"/>
      <c r="D6" s="164"/>
      <c r="E6" s="210"/>
      <c r="F6" s="164"/>
      <c r="G6" s="165"/>
      <c r="H6" s="167"/>
      <c r="I6" s="12"/>
      <c r="J6" s="16"/>
    </row>
    <row r="7" spans="1:10" x14ac:dyDescent="0.2">
      <c r="A7" s="8" t="s">
        <v>107</v>
      </c>
      <c r="B7" s="212">
        <v>3</v>
      </c>
      <c r="C7" s="169"/>
      <c r="D7" s="164"/>
      <c r="E7" s="213"/>
      <c r="F7" s="164"/>
      <c r="G7" s="165"/>
      <c r="H7" s="167"/>
      <c r="I7" s="17"/>
      <c r="J7" s="18"/>
    </row>
    <row r="8" spans="1:10" x14ac:dyDescent="0.2">
      <c r="A8" s="8" t="s">
        <v>108</v>
      </c>
      <c r="B8" s="212">
        <v>4</v>
      </c>
      <c r="C8" s="169"/>
      <c r="D8" s="164"/>
      <c r="E8" s="213"/>
      <c r="F8" s="168"/>
      <c r="G8" s="165"/>
      <c r="H8" s="167"/>
      <c r="I8" s="17"/>
      <c r="J8" s="18"/>
    </row>
    <row r="9" spans="1:10" x14ac:dyDescent="0.2">
      <c r="A9" s="8" t="s">
        <v>102</v>
      </c>
      <c r="B9" s="212">
        <v>5</v>
      </c>
      <c r="C9" s="169"/>
      <c r="D9" s="164"/>
      <c r="E9" s="213"/>
      <c r="F9" s="165"/>
      <c r="G9" s="165"/>
      <c r="H9" s="167"/>
      <c r="I9" s="17"/>
      <c r="J9" s="18"/>
    </row>
    <row r="10" spans="1:10" x14ac:dyDescent="0.2">
      <c r="A10" s="8" t="s">
        <v>103</v>
      </c>
      <c r="B10" s="212">
        <v>6</v>
      </c>
      <c r="C10" s="169"/>
      <c r="D10" s="164"/>
      <c r="E10" s="213"/>
      <c r="F10" s="165"/>
      <c r="G10" s="165"/>
      <c r="H10" s="167"/>
      <c r="I10" s="17"/>
      <c r="J10" s="18"/>
    </row>
    <row r="11" spans="1:10" x14ac:dyDescent="0.2">
      <c r="A11" s="8" t="s">
        <v>104</v>
      </c>
      <c r="B11" s="212">
        <v>7</v>
      </c>
      <c r="C11" s="169"/>
      <c r="D11" s="164"/>
      <c r="E11" s="213"/>
      <c r="F11" s="168"/>
      <c r="G11" s="165"/>
      <c r="H11" s="167"/>
      <c r="I11" s="17"/>
      <c r="J11" s="18"/>
    </row>
    <row r="12" spans="1:10" x14ac:dyDescent="0.2">
      <c r="A12" s="8" t="s">
        <v>105</v>
      </c>
      <c r="B12" s="212">
        <v>8</v>
      </c>
      <c r="C12" s="169"/>
      <c r="D12" s="164"/>
      <c r="E12" s="213"/>
      <c r="F12" s="165"/>
      <c r="G12" s="165"/>
      <c r="H12" s="167"/>
      <c r="I12" s="17"/>
      <c r="J12" s="18"/>
    </row>
    <row r="13" spans="1:10" x14ac:dyDescent="0.2">
      <c r="A13" s="8" t="s">
        <v>106</v>
      </c>
      <c r="B13" s="212">
        <v>9</v>
      </c>
      <c r="C13" s="169"/>
      <c r="D13" s="164"/>
      <c r="E13" s="214"/>
      <c r="F13" s="165"/>
      <c r="G13" s="165"/>
      <c r="H13" s="167"/>
      <c r="I13" s="17"/>
      <c r="J13" s="18"/>
    </row>
    <row r="14" spans="1:10" x14ac:dyDescent="0.2">
      <c r="A14" s="8" t="s">
        <v>107</v>
      </c>
      <c r="B14" s="212">
        <v>10</v>
      </c>
      <c r="C14" s="169"/>
      <c r="D14" s="164"/>
      <c r="E14" s="213"/>
      <c r="F14" s="165"/>
      <c r="G14" s="165"/>
      <c r="H14" s="167"/>
      <c r="I14" s="17"/>
      <c r="J14" s="18"/>
    </row>
    <row r="15" spans="1:10" x14ac:dyDescent="0.2">
      <c r="A15" s="8" t="s">
        <v>108</v>
      </c>
      <c r="B15" s="212">
        <v>11</v>
      </c>
      <c r="C15" s="169"/>
      <c r="D15" s="164"/>
      <c r="E15" s="214"/>
      <c r="F15" s="165"/>
      <c r="G15" s="168"/>
      <c r="H15" s="167"/>
      <c r="I15" s="17"/>
      <c r="J15" s="18"/>
    </row>
    <row r="16" spans="1:10" x14ac:dyDescent="0.2">
      <c r="A16" s="8" t="s">
        <v>102</v>
      </c>
      <c r="B16" s="163">
        <v>12</v>
      </c>
      <c r="C16" s="169"/>
      <c r="D16" s="164"/>
      <c r="E16" s="168"/>
      <c r="F16" s="165"/>
      <c r="G16" s="165"/>
      <c r="H16" s="167"/>
      <c r="I16" s="17"/>
      <c r="J16" s="18"/>
    </row>
    <row r="17" spans="1:10" x14ac:dyDescent="0.2">
      <c r="A17" s="8" t="s">
        <v>103</v>
      </c>
      <c r="B17" s="163">
        <v>13</v>
      </c>
      <c r="C17" s="169"/>
      <c r="D17" s="164"/>
      <c r="E17" s="165"/>
      <c r="F17" s="165"/>
      <c r="G17" s="165"/>
      <c r="H17" s="167"/>
      <c r="I17" s="17"/>
      <c r="J17" s="18"/>
    </row>
    <row r="18" spans="1:10" x14ac:dyDescent="0.2">
      <c r="A18" s="8" t="s">
        <v>104</v>
      </c>
      <c r="B18" s="163">
        <v>14</v>
      </c>
      <c r="C18" s="169"/>
      <c r="D18" s="164"/>
      <c r="E18" s="165"/>
      <c r="F18" s="165"/>
      <c r="G18" s="165"/>
      <c r="H18" s="167"/>
      <c r="I18" s="17"/>
      <c r="J18" s="18"/>
    </row>
    <row r="19" spans="1:10" x14ac:dyDescent="0.2">
      <c r="A19" s="8" t="s">
        <v>105</v>
      </c>
      <c r="B19" s="163">
        <v>15</v>
      </c>
      <c r="C19" s="169"/>
      <c r="D19" s="164"/>
      <c r="E19" s="168"/>
      <c r="F19" s="165"/>
      <c r="G19" s="165"/>
      <c r="H19" s="167"/>
      <c r="I19" s="17"/>
      <c r="J19" s="18"/>
    </row>
    <row r="20" spans="1:10" x14ac:dyDescent="0.2">
      <c r="A20" s="8" t="s">
        <v>106</v>
      </c>
      <c r="B20" s="163">
        <v>16</v>
      </c>
      <c r="C20" s="169"/>
      <c r="D20" s="164"/>
      <c r="E20" s="165"/>
      <c r="F20" s="165"/>
      <c r="G20" s="165"/>
      <c r="H20" s="167"/>
      <c r="I20" s="17"/>
      <c r="J20" s="18"/>
    </row>
    <row r="21" spans="1:10" x14ac:dyDescent="0.2">
      <c r="A21" s="8" t="s">
        <v>107</v>
      </c>
      <c r="B21" s="163">
        <v>17</v>
      </c>
      <c r="C21" s="169"/>
      <c r="D21" s="164"/>
      <c r="E21" s="165"/>
      <c r="F21" s="165"/>
      <c r="G21" s="165"/>
      <c r="H21" s="167"/>
      <c r="I21" s="17"/>
      <c r="J21" s="18"/>
    </row>
    <row r="22" spans="1:10" x14ac:dyDescent="0.2">
      <c r="A22" s="8" t="s">
        <v>108</v>
      </c>
      <c r="B22" s="163">
        <v>18</v>
      </c>
      <c r="C22" s="169"/>
      <c r="D22" s="164"/>
      <c r="E22" s="168"/>
      <c r="F22" s="165"/>
      <c r="G22" s="165"/>
      <c r="H22" s="167"/>
      <c r="I22" s="17"/>
      <c r="J22" s="18"/>
    </row>
    <row r="23" spans="1:10" x14ac:dyDescent="0.2">
      <c r="A23" s="8" t="s">
        <v>102</v>
      </c>
      <c r="B23" s="163">
        <v>19</v>
      </c>
      <c r="C23" s="169"/>
      <c r="D23" s="164"/>
      <c r="E23" s="168"/>
      <c r="F23" s="165"/>
      <c r="G23" s="165"/>
      <c r="H23" s="167"/>
      <c r="I23" s="17"/>
      <c r="J23" s="18"/>
    </row>
    <row r="24" spans="1:10" x14ac:dyDescent="0.2">
      <c r="A24" s="8" t="s">
        <v>103</v>
      </c>
      <c r="B24" s="163">
        <v>20</v>
      </c>
      <c r="C24" s="169"/>
      <c r="D24" s="164"/>
      <c r="E24" s="165"/>
      <c r="F24" s="165"/>
      <c r="G24" s="165"/>
      <c r="H24" s="167"/>
      <c r="I24" s="17"/>
      <c r="J24" s="18"/>
    </row>
    <row r="25" spans="1:10" x14ac:dyDescent="0.2">
      <c r="A25" s="8" t="s">
        <v>104</v>
      </c>
      <c r="B25" s="163">
        <v>21</v>
      </c>
      <c r="C25" s="169"/>
      <c r="D25" s="164"/>
      <c r="E25" s="165"/>
      <c r="F25" s="165"/>
      <c r="G25" s="165"/>
      <c r="H25" s="167"/>
      <c r="I25" s="17"/>
      <c r="J25" s="18"/>
    </row>
    <row r="26" spans="1:10" x14ac:dyDescent="0.2">
      <c r="A26" s="8" t="s">
        <v>105</v>
      </c>
      <c r="B26" s="163">
        <v>22</v>
      </c>
      <c r="C26" s="169"/>
      <c r="D26" s="164"/>
      <c r="E26" s="165"/>
      <c r="F26" s="165"/>
      <c r="G26" s="165"/>
      <c r="H26" s="167"/>
      <c r="I26" s="17"/>
      <c r="J26" s="18"/>
    </row>
    <row r="27" spans="1:10" x14ac:dyDescent="0.2">
      <c r="A27" s="8" t="s">
        <v>106</v>
      </c>
      <c r="B27" s="163">
        <v>23</v>
      </c>
      <c r="C27" s="169"/>
      <c r="D27" s="164"/>
      <c r="E27" s="165"/>
      <c r="F27" s="165"/>
      <c r="G27" s="165"/>
      <c r="H27" s="167"/>
      <c r="I27" s="17"/>
      <c r="J27" s="18"/>
    </row>
    <row r="28" spans="1:10" x14ac:dyDescent="0.2">
      <c r="A28" s="8" t="s">
        <v>107</v>
      </c>
      <c r="B28" s="163">
        <v>24</v>
      </c>
      <c r="C28" s="169"/>
      <c r="D28" s="164"/>
      <c r="E28" s="165"/>
      <c r="F28" s="168"/>
      <c r="G28" s="165"/>
      <c r="H28" s="167"/>
      <c r="I28" s="17"/>
      <c r="J28" s="18"/>
    </row>
    <row r="29" spans="1:10" x14ac:dyDescent="0.2">
      <c r="A29" s="8" t="s">
        <v>108</v>
      </c>
      <c r="B29" s="163">
        <v>25</v>
      </c>
      <c r="C29" s="169"/>
      <c r="D29" s="164"/>
      <c r="E29" s="165"/>
      <c r="F29" s="165"/>
      <c r="G29" s="165"/>
      <c r="H29" s="167"/>
      <c r="I29" s="17"/>
      <c r="J29" s="18"/>
    </row>
    <row r="30" spans="1:10" x14ac:dyDescent="0.2">
      <c r="A30" s="8" t="s">
        <v>102</v>
      </c>
      <c r="B30" s="163">
        <v>26</v>
      </c>
      <c r="C30" s="169"/>
      <c r="D30" s="164"/>
      <c r="E30" s="165"/>
      <c r="F30" s="165"/>
      <c r="G30" s="165"/>
      <c r="H30" s="167"/>
      <c r="I30" s="17"/>
      <c r="J30" s="18"/>
    </row>
    <row r="31" spans="1:10" x14ac:dyDescent="0.2">
      <c r="A31" s="8" t="s">
        <v>103</v>
      </c>
      <c r="B31" s="163">
        <v>27</v>
      </c>
      <c r="C31" s="169"/>
      <c r="D31" s="164"/>
      <c r="E31" s="165"/>
      <c r="F31" s="165"/>
      <c r="G31" s="165"/>
      <c r="H31" s="167"/>
      <c r="I31" s="17"/>
      <c r="J31" s="18"/>
    </row>
    <row r="32" spans="1:10" x14ac:dyDescent="0.2">
      <c r="A32" s="8" t="s">
        <v>104</v>
      </c>
      <c r="B32" s="163">
        <v>28</v>
      </c>
      <c r="C32" s="169"/>
      <c r="D32" s="164"/>
      <c r="E32" s="165"/>
      <c r="F32" s="165"/>
      <c r="G32" s="165"/>
      <c r="H32" s="167"/>
      <c r="I32" s="17"/>
      <c r="J32" s="18"/>
    </row>
    <row r="33" spans="1:10" x14ac:dyDescent="0.2">
      <c r="A33" s="8" t="s">
        <v>105</v>
      </c>
      <c r="B33" s="163">
        <v>29</v>
      </c>
      <c r="C33" s="169"/>
      <c r="D33" s="164"/>
      <c r="E33" s="165"/>
      <c r="F33" s="165"/>
      <c r="G33" s="165"/>
      <c r="H33" s="167"/>
      <c r="I33" s="17"/>
      <c r="J33" s="18"/>
    </row>
    <row r="34" spans="1:10" x14ac:dyDescent="0.2">
      <c r="B34" s="163"/>
      <c r="C34" s="169"/>
      <c r="D34" s="164"/>
      <c r="E34" s="165"/>
      <c r="F34" s="165"/>
      <c r="G34" s="165"/>
      <c r="H34" s="167"/>
      <c r="I34" s="17"/>
      <c r="J34" s="18"/>
    </row>
    <row r="35" spans="1:10" ht="15.75" thickBot="1" x14ac:dyDescent="0.25">
      <c r="B35" s="163"/>
      <c r="C35" s="170"/>
      <c r="D35" s="171"/>
      <c r="E35" s="172"/>
      <c r="F35" s="172"/>
      <c r="G35" s="172"/>
      <c r="H35" s="173"/>
      <c r="I35" s="17"/>
      <c r="J35" s="18"/>
    </row>
    <row r="36" spans="1:10" x14ac:dyDescent="0.2">
      <c r="C36" s="50"/>
      <c r="D36" s="11"/>
      <c r="E36" s="11"/>
      <c r="F36" s="11"/>
      <c r="G36" s="11"/>
      <c r="H36" s="15"/>
      <c r="I36" s="17"/>
      <c r="J36" s="18"/>
    </row>
    <row r="37" spans="1:10" x14ac:dyDescent="0.2">
      <c r="C37" s="50"/>
      <c r="D37" s="11"/>
      <c r="E37" s="11"/>
      <c r="F37" s="11"/>
      <c r="G37" s="11"/>
      <c r="I37" s="17"/>
      <c r="J37" s="18"/>
    </row>
    <row r="38" spans="1:10" x14ac:dyDescent="0.2">
      <c r="D38" s="12"/>
      <c r="E38" s="19"/>
      <c r="F38" s="19"/>
      <c r="G38" s="19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K25" sqref="K25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190" t="s">
        <v>294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191"/>
      <c r="B4" s="192" t="s">
        <v>19</v>
      </c>
      <c r="C4" s="192" t="s">
        <v>84</v>
      </c>
      <c r="D4" s="193" t="s">
        <v>83</v>
      </c>
      <c r="E4" s="193" t="s">
        <v>81</v>
      </c>
      <c r="F4" s="193" t="s">
        <v>82</v>
      </c>
      <c r="G4" s="193" t="s">
        <v>82</v>
      </c>
      <c r="H4" s="192" t="s">
        <v>78</v>
      </c>
      <c r="I4" s="192" t="s">
        <v>78</v>
      </c>
      <c r="J4" s="192" t="s">
        <v>79</v>
      </c>
      <c r="K4" s="192" t="s">
        <v>79</v>
      </c>
      <c r="L4" s="192" t="s">
        <v>85</v>
      </c>
      <c r="M4" s="193" t="s">
        <v>80</v>
      </c>
      <c r="N4" s="193" t="s">
        <v>170</v>
      </c>
      <c r="O4" s="193" t="s">
        <v>56</v>
      </c>
      <c r="P4" s="193"/>
      <c r="Q4" s="193"/>
      <c r="R4" s="191"/>
    </row>
    <row r="5" spans="1:18" ht="15.75" x14ac:dyDescent="0.25">
      <c r="A5" s="194" t="s">
        <v>8</v>
      </c>
      <c r="B5" s="192" t="s">
        <v>129</v>
      </c>
      <c r="C5" s="192" t="s">
        <v>130</v>
      </c>
      <c r="D5" s="192" t="s">
        <v>131</v>
      </c>
      <c r="E5" s="192" t="s">
        <v>132</v>
      </c>
      <c r="F5" s="192" t="s">
        <v>132</v>
      </c>
      <c r="G5" s="192" t="s">
        <v>130</v>
      </c>
      <c r="H5" s="192" t="s">
        <v>133</v>
      </c>
      <c r="I5" s="192" t="s">
        <v>134</v>
      </c>
      <c r="J5" s="192" t="s">
        <v>133</v>
      </c>
      <c r="K5" s="192" t="s">
        <v>134</v>
      </c>
      <c r="L5" s="192" t="s">
        <v>134</v>
      </c>
      <c r="M5" s="192" t="s">
        <v>133</v>
      </c>
      <c r="N5" s="192" t="s">
        <v>133</v>
      </c>
      <c r="O5" s="192" t="s">
        <v>69</v>
      </c>
      <c r="P5" s="193" t="s">
        <v>57</v>
      </c>
      <c r="Q5" s="193" t="s">
        <v>51</v>
      </c>
      <c r="R5" s="195" t="s">
        <v>16</v>
      </c>
    </row>
    <row r="6" spans="1:18" ht="15.75" thickBot="1" x14ac:dyDescent="0.25">
      <c r="A6" s="175">
        <v>31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4" t="s">
        <v>70</v>
      </c>
    </row>
    <row r="7" spans="1:18" ht="15" x14ac:dyDescent="0.25">
      <c r="A7" s="142">
        <v>1</v>
      </c>
      <c r="B7" s="176">
        <f>'Entries Feb.''25'!P7</f>
        <v>166764</v>
      </c>
      <c r="C7" s="176">
        <f>B8-B7</f>
        <v>0</v>
      </c>
      <c r="D7" s="176">
        <f>C7-G7</f>
        <v>-1250258</v>
      </c>
      <c r="E7" s="177">
        <f>'Entries Feb.''25'!Z7</f>
        <v>27709</v>
      </c>
      <c r="F7" s="178">
        <f>'Entries Feb.''25'!Y7</f>
        <v>30060</v>
      </c>
      <c r="G7" s="178">
        <f>F8-F7</f>
        <v>1250258</v>
      </c>
      <c r="H7" s="178">
        <f>'Entries Feb.''25'!V7</f>
        <v>20538</v>
      </c>
      <c r="I7" s="179">
        <f>H8-H7</f>
        <v>10282</v>
      </c>
      <c r="J7" s="178">
        <f>'Entries Feb.''25'!W7</f>
        <v>1280318</v>
      </c>
      <c r="K7" s="179">
        <f>J8-J7</f>
        <v>-1280318</v>
      </c>
      <c r="L7" s="179">
        <f>K7+I7</f>
        <v>-1270036</v>
      </c>
      <c r="M7" s="178">
        <f>'Entries Feb.''25'!S7</f>
        <v>0</v>
      </c>
      <c r="N7" s="178"/>
      <c r="O7" s="178">
        <f>C7+D7+G7</f>
        <v>0</v>
      </c>
      <c r="P7" s="180"/>
      <c r="Q7" s="139"/>
      <c r="R7" s="181" t="e">
        <f t="shared" ref="R7:R37" si="0">SUM(O7/Q7)</f>
        <v>#DIV/0!</v>
      </c>
    </row>
    <row r="8" spans="1:18" ht="15" x14ac:dyDescent="0.25">
      <c r="A8" s="142">
        <v>2</v>
      </c>
      <c r="B8" s="176">
        <f>'Entries Feb.''25'!P8</f>
        <v>166764</v>
      </c>
      <c r="C8" s="182">
        <f>B9-B8</f>
        <v>2</v>
      </c>
      <c r="D8" s="182">
        <f>C8-G8</f>
        <v>-350</v>
      </c>
      <c r="E8" s="177">
        <f>'Entries Feb.''25'!X8</f>
        <v>0</v>
      </c>
      <c r="F8" s="178">
        <f>'Entries Feb.''25'!W8</f>
        <v>1280318</v>
      </c>
      <c r="G8" s="136">
        <f>F9-F8</f>
        <v>352</v>
      </c>
      <c r="H8" s="178">
        <f>'Entries Feb.''25'!T8</f>
        <v>30820</v>
      </c>
      <c r="I8" s="179">
        <f t="shared" ref="I8:I37" si="1">H9-H8</f>
        <v>0</v>
      </c>
      <c r="J8" s="178">
        <f>'Entries Feb.''25'!U8</f>
        <v>0</v>
      </c>
      <c r="K8" s="179">
        <f t="shared" ref="K8:K37" si="2">J9-J8</f>
        <v>0</v>
      </c>
      <c r="L8" s="179">
        <f>K8+I8</f>
        <v>0</v>
      </c>
      <c r="M8" s="178">
        <f>'Entries Feb.''25'!S8</f>
        <v>0</v>
      </c>
      <c r="N8" s="178"/>
      <c r="O8" s="178">
        <f t="shared" ref="O8:O37" si="3">C8+D8+G8</f>
        <v>4</v>
      </c>
      <c r="P8" s="183"/>
      <c r="Q8" s="135"/>
      <c r="R8" s="181" t="e">
        <f t="shared" si="0"/>
        <v>#DIV/0!</v>
      </c>
    </row>
    <row r="9" spans="1:18" ht="15" x14ac:dyDescent="0.25">
      <c r="A9" s="142">
        <v>3</v>
      </c>
      <c r="B9" s="176">
        <f>'Entries Feb.''25'!P9</f>
        <v>166766</v>
      </c>
      <c r="C9" s="176">
        <f t="shared" ref="C9:C37" si="4">B10-B9</f>
        <v>72</v>
      </c>
      <c r="D9" s="176">
        <f t="shared" ref="D9:D37" si="5">C9-G9</f>
        <v>-125</v>
      </c>
      <c r="E9" s="177">
        <f>'Entries Feb.''25'!X9</f>
        <v>0</v>
      </c>
      <c r="F9" s="178">
        <f>'Entries Feb.''25'!W9</f>
        <v>1280670</v>
      </c>
      <c r="G9" s="178">
        <f t="shared" ref="G9:G37" si="6">F10-F9</f>
        <v>197</v>
      </c>
      <c r="H9" s="178">
        <f>'Entries Feb.''25'!T9</f>
        <v>30820</v>
      </c>
      <c r="I9" s="179">
        <f t="shared" si="1"/>
        <v>198</v>
      </c>
      <c r="J9" s="178">
        <f>'Entries Feb.''25'!U9</f>
        <v>0</v>
      </c>
      <c r="K9" s="179">
        <f t="shared" si="2"/>
        <v>0</v>
      </c>
      <c r="L9" s="179">
        <f t="shared" ref="L9:L37" si="7">K9+I9</f>
        <v>198</v>
      </c>
      <c r="M9" s="178">
        <f>'Entries Feb.''25'!S11</f>
        <v>0</v>
      </c>
      <c r="N9" s="178"/>
      <c r="O9" s="178">
        <f t="shared" si="3"/>
        <v>144</v>
      </c>
      <c r="P9" s="183"/>
      <c r="Q9" s="135"/>
      <c r="R9" s="181" t="e">
        <f t="shared" si="0"/>
        <v>#DIV/0!</v>
      </c>
    </row>
    <row r="10" spans="1:18" ht="15" x14ac:dyDescent="0.25">
      <c r="A10" s="142">
        <v>4</v>
      </c>
      <c r="B10" s="176">
        <f>'Entries Feb.''25'!P10</f>
        <v>166838</v>
      </c>
      <c r="C10" s="182">
        <f t="shared" si="4"/>
        <v>153</v>
      </c>
      <c r="D10" s="182">
        <f t="shared" si="5"/>
        <v>-66</v>
      </c>
      <c r="E10" s="177">
        <f>'Entries Feb.''25'!X10</f>
        <v>0</v>
      </c>
      <c r="F10" s="178">
        <f>'Entries Feb.''25'!W10</f>
        <v>1280867</v>
      </c>
      <c r="G10" s="136">
        <f t="shared" si="6"/>
        <v>219</v>
      </c>
      <c r="H10" s="178">
        <f>'Entries Feb.''25'!T10</f>
        <v>31018</v>
      </c>
      <c r="I10" s="179">
        <f t="shared" si="1"/>
        <v>181</v>
      </c>
      <c r="J10" s="178">
        <f>'Entries Feb.''25'!U10</f>
        <v>0</v>
      </c>
      <c r="K10" s="179">
        <f t="shared" si="2"/>
        <v>0</v>
      </c>
      <c r="L10" s="179">
        <f t="shared" si="7"/>
        <v>181</v>
      </c>
      <c r="M10" s="178">
        <f>'Entries Feb.''25'!S10</f>
        <v>0</v>
      </c>
      <c r="N10" s="178"/>
      <c r="O10" s="178">
        <f t="shared" si="3"/>
        <v>306</v>
      </c>
      <c r="P10" s="183"/>
      <c r="Q10" s="135"/>
      <c r="R10" s="181" t="e">
        <f t="shared" si="0"/>
        <v>#DIV/0!</v>
      </c>
    </row>
    <row r="11" spans="1:18" ht="15" x14ac:dyDescent="0.25">
      <c r="A11" s="142">
        <v>5</v>
      </c>
      <c r="B11" s="176">
        <f>'Entries Feb.''25'!P11</f>
        <v>166991</v>
      </c>
      <c r="C11" s="176">
        <f t="shared" si="4"/>
        <v>288</v>
      </c>
      <c r="D11" s="182">
        <f t="shared" si="5"/>
        <v>139</v>
      </c>
      <c r="E11" s="177">
        <f>'Entries Feb.''25'!X11</f>
        <v>0</v>
      </c>
      <c r="F11" s="178">
        <f>'Entries Feb.''25'!W11</f>
        <v>1281086</v>
      </c>
      <c r="G11" s="178">
        <f t="shared" si="6"/>
        <v>149</v>
      </c>
      <c r="H11" s="178">
        <f>'Entries Feb.''25'!T11</f>
        <v>31199</v>
      </c>
      <c r="I11" s="179">
        <f t="shared" si="1"/>
        <v>278</v>
      </c>
      <c r="J11" s="178">
        <f>'Entries Feb.''25'!U11</f>
        <v>0</v>
      </c>
      <c r="K11" s="179">
        <f t="shared" si="2"/>
        <v>0</v>
      </c>
      <c r="L11" s="179">
        <f t="shared" si="7"/>
        <v>278</v>
      </c>
      <c r="M11" s="178">
        <f>'Entries Feb.''25'!S11</f>
        <v>0</v>
      </c>
      <c r="N11" s="178"/>
      <c r="O11" s="178">
        <f t="shared" si="3"/>
        <v>576</v>
      </c>
      <c r="P11" s="183"/>
      <c r="Q11" s="139"/>
      <c r="R11" s="181" t="e">
        <f t="shared" si="0"/>
        <v>#DIV/0!</v>
      </c>
    </row>
    <row r="12" spans="1:18" ht="15" x14ac:dyDescent="0.25">
      <c r="A12" s="142">
        <v>6</v>
      </c>
      <c r="B12" s="176">
        <f>'Entries Feb.''25'!P12</f>
        <v>167279</v>
      </c>
      <c r="C12" s="182">
        <f t="shared" si="4"/>
        <v>147</v>
      </c>
      <c r="D12" s="182">
        <f t="shared" si="5"/>
        <v>-77</v>
      </c>
      <c r="E12" s="177">
        <f>'Entries Feb.''25'!X12</f>
        <v>0</v>
      </c>
      <c r="F12" s="178">
        <f>'Entries Feb.''25'!W12</f>
        <v>1281235</v>
      </c>
      <c r="G12" s="178">
        <f t="shared" si="6"/>
        <v>224</v>
      </c>
      <c r="H12" s="178">
        <f>'Entries Feb.''25'!T12</f>
        <v>31477</v>
      </c>
      <c r="I12" s="179">
        <f t="shared" si="1"/>
        <v>218</v>
      </c>
      <c r="J12" s="178">
        <f>'Entries Feb.''25'!U12</f>
        <v>0</v>
      </c>
      <c r="K12" s="179">
        <f t="shared" si="2"/>
        <v>20553</v>
      </c>
      <c r="L12" s="179">
        <f t="shared" si="7"/>
        <v>20771</v>
      </c>
      <c r="M12" s="178">
        <f>'Entries Feb.''25'!S12</f>
        <v>0</v>
      </c>
      <c r="N12" s="178"/>
      <c r="O12" s="178">
        <f t="shared" si="3"/>
        <v>294</v>
      </c>
      <c r="P12" s="183"/>
      <c r="Q12" s="139"/>
      <c r="R12" s="181" t="e">
        <f t="shared" si="0"/>
        <v>#DIV/0!</v>
      </c>
    </row>
    <row r="13" spans="1:18" ht="15" x14ac:dyDescent="0.25">
      <c r="A13" s="142">
        <v>7</v>
      </c>
      <c r="B13" s="176">
        <f>'Entries Feb.''25'!P13</f>
        <v>167426</v>
      </c>
      <c r="C13" s="176">
        <f t="shared" si="4"/>
        <v>299</v>
      </c>
      <c r="D13" s="182">
        <f t="shared" si="5"/>
        <v>299</v>
      </c>
      <c r="E13" s="177">
        <f>'Entries Feb.''25'!X13</f>
        <v>0</v>
      </c>
      <c r="F13" s="178">
        <f>'Entries Feb.''25'!W13</f>
        <v>1281459</v>
      </c>
      <c r="G13" s="178">
        <f t="shared" si="6"/>
        <v>0</v>
      </c>
      <c r="H13" s="178">
        <f>'Entries Feb.''25'!T13</f>
        <v>31695</v>
      </c>
      <c r="I13" s="179">
        <f t="shared" si="1"/>
        <v>0</v>
      </c>
      <c r="J13" s="178">
        <f>'Entries Feb.''25'!V13</f>
        <v>20553</v>
      </c>
      <c r="K13" s="179">
        <f t="shared" si="2"/>
        <v>-20553</v>
      </c>
      <c r="L13" s="179">
        <f t="shared" si="7"/>
        <v>-20553</v>
      </c>
      <c r="M13" s="178">
        <f>'Entries Feb.''25'!S13</f>
        <v>0</v>
      </c>
      <c r="N13" s="178"/>
      <c r="O13" s="178">
        <f t="shared" si="3"/>
        <v>598</v>
      </c>
      <c r="P13" s="183"/>
      <c r="Q13" s="139"/>
      <c r="R13" s="181" t="e">
        <f t="shared" si="0"/>
        <v>#DIV/0!</v>
      </c>
    </row>
    <row r="14" spans="1:18" ht="15" x14ac:dyDescent="0.25">
      <c r="A14" s="142">
        <v>8</v>
      </c>
      <c r="B14" s="176">
        <f>'Entries Feb.''25'!P14</f>
        <v>167725</v>
      </c>
      <c r="C14" s="182">
        <f t="shared" si="4"/>
        <v>55</v>
      </c>
      <c r="D14" s="182">
        <f t="shared" si="5"/>
        <v>19</v>
      </c>
      <c r="E14" s="177">
        <f>'Entries Feb.''25'!X14</f>
        <v>0</v>
      </c>
      <c r="F14" s="178">
        <f>'Entries Feb.''25'!W14</f>
        <v>1281459</v>
      </c>
      <c r="G14" s="178">
        <f>F15-F14</f>
        <v>36</v>
      </c>
      <c r="H14" s="178">
        <f>'Entries Feb.''25'!T14</f>
        <v>31695</v>
      </c>
      <c r="I14" s="179">
        <f t="shared" si="1"/>
        <v>5</v>
      </c>
      <c r="J14" s="178">
        <f>'Entries Feb.''25'!U14</f>
        <v>0</v>
      </c>
      <c r="K14" s="179">
        <f t="shared" si="2"/>
        <v>0</v>
      </c>
      <c r="L14" s="179">
        <f t="shared" si="7"/>
        <v>5</v>
      </c>
      <c r="M14" s="178">
        <f>'Entries Feb.''25'!S14</f>
        <v>0</v>
      </c>
      <c r="N14" s="178"/>
      <c r="O14" s="178">
        <f t="shared" si="3"/>
        <v>110</v>
      </c>
      <c r="P14" s="183"/>
      <c r="Q14" s="139"/>
      <c r="R14" s="181" t="e">
        <f t="shared" si="0"/>
        <v>#DIV/0!</v>
      </c>
    </row>
    <row r="15" spans="1:18" ht="15" x14ac:dyDescent="0.25">
      <c r="A15" s="142">
        <v>9</v>
      </c>
      <c r="B15" s="176">
        <f>'Entries Feb.''25'!P15</f>
        <v>167780</v>
      </c>
      <c r="C15" s="176">
        <f t="shared" si="4"/>
        <v>117</v>
      </c>
      <c r="D15" s="182">
        <f t="shared" si="5"/>
        <v>117</v>
      </c>
      <c r="E15" s="177">
        <f>'Entries Feb.''25'!X15</f>
        <v>0</v>
      </c>
      <c r="F15" s="178">
        <f>'Entries Feb.''25'!W15</f>
        <v>1281495</v>
      </c>
      <c r="G15" s="178">
        <f t="shared" si="6"/>
        <v>0</v>
      </c>
      <c r="H15" s="178">
        <f>'Entries Feb.''25'!T15</f>
        <v>31700</v>
      </c>
      <c r="I15" s="179">
        <f t="shared" si="1"/>
        <v>0</v>
      </c>
      <c r="J15" s="178">
        <f>'Entries Feb.''25'!U15</f>
        <v>0</v>
      </c>
      <c r="K15" s="179">
        <f t="shared" si="2"/>
        <v>0</v>
      </c>
      <c r="L15" s="179">
        <f t="shared" si="7"/>
        <v>0</v>
      </c>
      <c r="M15" s="178">
        <f>'Entries Feb.''25'!S15</f>
        <v>0</v>
      </c>
      <c r="N15" s="178"/>
      <c r="O15" s="178">
        <f t="shared" si="3"/>
        <v>234</v>
      </c>
      <c r="P15" s="183"/>
      <c r="Q15" s="139"/>
      <c r="R15" s="181" t="e">
        <f t="shared" si="0"/>
        <v>#DIV/0!</v>
      </c>
    </row>
    <row r="16" spans="1:18" ht="15" x14ac:dyDescent="0.25">
      <c r="A16" s="142">
        <v>10</v>
      </c>
      <c r="B16" s="176">
        <f>'Entries Feb.''25'!P16</f>
        <v>167897</v>
      </c>
      <c r="C16" s="182">
        <f t="shared" si="4"/>
        <v>207</v>
      </c>
      <c r="D16" s="182">
        <f t="shared" si="5"/>
        <v>132</v>
      </c>
      <c r="E16" s="177">
        <f>'Entries Feb.''25'!X16</f>
        <v>0</v>
      </c>
      <c r="F16" s="178">
        <f>'Entries Feb.''25'!W16</f>
        <v>1281495</v>
      </c>
      <c r="G16" s="178">
        <f t="shared" si="6"/>
        <v>75</v>
      </c>
      <c r="H16" s="178">
        <f>'Entries Feb.''25'!T16</f>
        <v>31700</v>
      </c>
      <c r="I16" s="179">
        <f t="shared" si="1"/>
        <v>185</v>
      </c>
      <c r="J16" s="178">
        <f>'Entries Feb.''25'!U16</f>
        <v>0</v>
      </c>
      <c r="K16" s="179">
        <f t="shared" si="2"/>
        <v>0</v>
      </c>
      <c r="L16" s="179">
        <f t="shared" si="7"/>
        <v>185</v>
      </c>
      <c r="M16" s="178">
        <f>'Entries Feb.''25'!S16</f>
        <v>0</v>
      </c>
      <c r="N16" s="178"/>
      <c r="O16" s="178">
        <f t="shared" si="3"/>
        <v>414</v>
      </c>
      <c r="P16" s="183"/>
      <c r="Q16" s="139"/>
      <c r="R16" s="181" t="e">
        <f t="shared" si="0"/>
        <v>#DIV/0!</v>
      </c>
    </row>
    <row r="17" spans="1:18" ht="15" x14ac:dyDescent="0.25">
      <c r="A17" s="142">
        <v>11</v>
      </c>
      <c r="B17" s="176">
        <f>'Entries Feb.''25'!P17</f>
        <v>168104</v>
      </c>
      <c r="C17" s="176">
        <f t="shared" si="4"/>
        <v>156</v>
      </c>
      <c r="D17" s="182">
        <f t="shared" si="5"/>
        <v>-74</v>
      </c>
      <c r="E17" s="177">
        <f>'Entries Feb.''25'!X17</f>
        <v>0</v>
      </c>
      <c r="F17" s="178">
        <f>'Entries Feb.''25'!W17</f>
        <v>1281570</v>
      </c>
      <c r="G17" s="178">
        <f t="shared" si="6"/>
        <v>230</v>
      </c>
      <c r="H17" s="178">
        <f>'Entries Feb.''25'!T17</f>
        <v>31885</v>
      </c>
      <c r="I17" s="179">
        <f t="shared" si="1"/>
        <v>265</v>
      </c>
      <c r="J17" s="178">
        <f>'Entries Feb.''25'!U17</f>
        <v>0</v>
      </c>
      <c r="K17" s="179">
        <f t="shared" si="2"/>
        <v>0</v>
      </c>
      <c r="L17" s="179">
        <f t="shared" si="7"/>
        <v>265</v>
      </c>
      <c r="M17" s="178">
        <f>'Entries Feb.''25'!S17</f>
        <v>0</v>
      </c>
      <c r="N17" s="178"/>
      <c r="O17" s="178">
        <f t="shared" si="3"/>
        <v>312</v>
      </c>
      <c r="P17" s="183"/>
      <c r="Q17" s="139"/>
      <c r="R17" s="181" t="e">
        <f t="shared" si="0"/>
        <v>#DIV/0!</v>
      </c>
    </row>
    <row r="18" spans="1:18" ht="15" x14ac:dyDescent="0.25">
      <c r="A18" s="142">
        <v>12</v>
      </c>
      <c r="B18" s="176">
        <f>'Entries Feb.''25'!P18</f>
        <v>168260</v>
      </c>
      <c r="C18" s="182">
        <f t="shared" si="4"/>
        <v>277</v>
      </c>
      <c r="D18" s="182">
        <f t="shared" si="5"/>
        <v>100</v>
      </c>
      <c r="E18" s="177">
        <f>'Entries Feb.''25'!X18</f>
        <v>0</v>
      </c>
      <c r="F18" s="178">
        <f>'Entries Feb.''25'!W18</f>
        <v>1281800</v>
      </c>
      <c r="G18" s="178">
        <f t="shared" si="6"/>
        <v>177</v>
      </c>
      <c r="H18" s="178">
        <f>'Entries Feb.''25'!T18</f>
        <v>32150</v>
      </c>
      <c r="I18" s="179">
        <f t="shared" si="1"/>
        <v>215</v>
      </c>
      <c r="J18" s="178">
        <f>'Entries Feb.''25'!U18</f>
        <v>0</v>
      </c>
      <c r="K18" s="179">
        <f t="shared" si="2"/>
        <v>0</v>
      </c>
      <c r="L18" s="179">
        <f t="shared" si="7"/>
        <v>215</v>
      </c>
      <c r="M18" s="178">
        <f>'Entries Feb.''25'!S18</f>
        <v>0</v>
      </c>
      <c r="N18" s="178"/>
      <c r="O18" s="178">
        <f t="shared" si="3"/>
        <v>554</v>
      </c>
      <c r="P18" s="183"/>
      <c r="Q18" s="139"/>
      <c r="R18" s="181" t="e">
        <f t="shared" si="0"/>
        <v>#DIV/0!</v>
      </c>
    </row>
    <row r="19" spans="1:18" ht="15" x14ac:dyDescent="0.25">
      <c r="A19" s="142">
        <v>13</v>
      </c>
      <c r="B19" s="176">
        <f>'Entries Feb.''25'!P19</f>
        <v>168537</v>
      </c>
      <c r="C19" s="176">
        <f t="shared" si="4"/>
        <v>171</v>
      </c>
      <c r="D19" s="182">
        <f t="shared" si="5"/>
        <v>-99</v>
      </c>
      <c r="E19" s="177">
        <f>'Entries Feb.''25'!X19</f>
        <v>0</v>
      </c>
      <c r="F19" s="178">
        <f>'Entries Feb.''25'!W19</f>
        <v>1281977</v>
      </c>
      <c r="G19" s="178">
        <f t="shared" si="6"/>
        <v>270</v>
      </c>
      <c r="H19" s="178">
        <f>'Entries Feb.''25'!T19</f>
        <v>32365</v>
      </c>
      <c r="I19" s="179">
        <f t="shared" si="1"/>
        <v>258</v>
      </c>
      <c r="J19" s="178">
        <f>'Entries Feb.''25'!U19</f>
        <v>0</v>
      </c>
      <c r="K19" s="179">
        <f>J20-J19</f>
        <v>0</v>
      </c>
      <c r="L19" s="179">
        <f t="shared" si="7"/>
        <v>258</v>
      </c>
      <c r="M19" s="178">
        <f>'Entries Feb.''25'!S19</f>
        <v>0</v>
      </c>
      <c r="N19" s="178">
        <f>'Entries Feb.''25'!AD20-'Entries Feb.''25'!AD19</f>
        <v>23</v>
      </c>
      <c r="O19" s="178">
        <f t="shared" si="3"/>
        <v>342</v>
      </c>
      <c r="P19" s="183"/>
      <c r="Q19" s="139"/>
      <c r="R19" s="181" t="e">
        <f t="shared" si="0"/>
        <v>#DIV/0!</v>
      </c>
    </row>
    <row r="20" spans="1:18" ht="15" x14ac:dyDescent="0.25">
      <c r="A20" s="142">
        <v>14</v>
      </c>
      <c r="B20" s="176">
        <f>'Entries Feb.''25'!P20</f>
        <v>168708</v>
      </c>
      <c r="C20" s="182">
        <f t="shared" si="4"/>
        <v>214</v>
      </c>
      <c r="D20" s="182">
        <f t="shared" si="5"/>
        <v>-55</v>
      </c>
      <c r="E20" s="177">
        <f>'Entries Feb.''25'!X20</f>
        <v>0</v>
      </c>
      <c r="F20" s="178">
        <f>'Entries Feb.''25'!W20</f>
        <v>1282247</v>
      </c>
      <c r="G20" s="178">
        <f t="shared" si="6"/>
        <v>269</v>
      </c>
      <c r="H20" s="178">
        <f>'Entries Feb.''25'!T20</f>
        <v>32623</v>
      </c>
      <c r="I20" s="179">
        <f t="shared" si="1"/>
        <v>209</v>
      </c>
      <c r="J20" s="178">
        <f>'Entries Feb.''25'!U20</f>
        <v>0</v>
      </c>
      <c r="K20" s="179">
        <f t="shared" si="2"/>
        <v>0</v>
      </c>
      <c r="L20" s="179">
        <f t="shared" si="7"/>
        <v>209</v>
      </c>
      <c r="M20" s="178">
        <f>'Entries Feb.''25'!S20</f>
        <v>0</v>
      </c>
      <c r="N20" s="178">
        <f>'Entries Feb.''25'!AD21-'Entries Feb.''25'!AD20</f>
        <v>17</v>
      </c>
      <c r="O20" s="178">
        <f t="shared" si="3"/>
        <v>428</v>
      </c>
      <c r="P20" s="183"/>
      <c r="Q20" s="139"/>
      <c r="R20" s="181" t="e">
        <f t="shared" si="0"/>
        <v>#DIV/0!</v>
      </c>
    </row>
    <row r="21" spans="1:18" ht="15" x14ac:dyDescent="0.25">
      <c r="A21" s="142">
        <v>15</v>
      </c>
      <c r="B21" s="176">
        <f>'Entries Feb.''25'!P21</f>
        <v>168922</v>
      </c>
      <c r="C21" s="184">
        <f t="shared" si="4"/>
        <v>0</v>
      </c>
      <c r="D21" s="182">
        <f t="shared" si="5"/>
        <v>-200</v>
      </c>
      <c r="E21" s="177">
        <f>'Entries Feb.''25'!X21</f>
        <v>0</v>
      </c>
      <c r="F21" s="178">
        <f>'Entries Feb.''25'!W21</f>
        <v>1282516</v>
      </c>
      <c r="G21" s="178">
        <f t="shared" si="6"/>
        <v>200</v>
      </c>
      <c r="H21" s="178">
        <f>'Entries Feb.''25'!T21</f>
        <v>32832</v>
      </c>
      <c r="I21" s="179">
        <f t="shared" si="1"/>
        <v>0</v>
      </c>
      <c r="J21" s="178">
        <f>'Entries Feb.''25'!U21</f>
        <v>0</v>
      </c>
      <c r="K21" s="179">
        <f t="shared" si="2"/>
        <v>0</v>
      </c>
      <c r="L21" s="179">
        <f t="shared" si="7"/>
        <v>0</v>
      </c>
      <c r="M21" s="178">
        <f>'Entries Feb.''25'!S21</f>
        <v>0</v>
      </c>
      <c r="N21" s="178">
        <f>'Entries Feb.''25'!AD22-'Entries Feb.''25'!AD21</f>
        <v>2</v>
      </c>
      <c r="O21" s="178">
        <f t="shared" si="3"/>
        <v>0</v>
      </c>
      <c r="P21" s="183"/>
      <c r="Q21" s="139"/>
      <c r="R21" s="181" t="e">
        <f t="shared" si="0"/>
        <v>#DIV/0!</v>
      </c>
    </row>
    <row r="22" spans="1:18" ht="15" x14ac:dyDescent="0.25">
      <c r="A22" s="142">
        <v>16</v>
      </c>
      <c r="B22" s="176">
        <f>'Entries Feb.''25'!P22</f>
        <v>168922</v>
      </c>
      <c r="C22" s="185">
        <f t="shared" si="4"/>
        <v>50</v>
      </c>
      <c r="D22" s="182">
        <f t="shared" si="5"/>
        <v>50</v>
      </c>
      <c r="E22" s="177">
        <f>'Entries Feb.''25'!X22</f>
        <v>0</v>
      </c>
      <c r="F22" s="178">
        <f>'Entries Feb.''25'!W22</f>
        <v>1282716</v>
      </c>
      <c r="G22" s="178">
        <f t="shared" si="6"/>
        <v>0</v>
      </c>
      <c r="H22" s="178">
        <f>'Entries Feb.''25'!T22</f>
        <v>32832</v>
      </c>
      <c r="I22" s="179">
        <f t="shared" si="1"/>
        <v>0</v>
      </c>
      <c r="J22" s="178">
        <f>'Entries Feb.''25'!U22</f>
        <v>0</v>
      </c>
      <c r="K22" s="179">
        <f t="shared" si="2"/>
        <v>0</v>
      </c>
      <c r="L22" s="179">
        <f t="shared" si="7"/>
        <v>0</v>
      </c>
      <c r="M22" s="178">
        <f>'Entries Feb.''25'!S22</f>
        <v>0</v>
      </c>
      <c r="N22" s="178">
        <f>'Entries Feb.''25'!AD23-'Entries Feb.''25'!AD22</f>
        <v>0</v>
      </c>
      <c r="O22" s="178">
        <f t="shared" si="3"/>
        <v>100</v>
      </c>
      <c r="P22" s="183"/>
      <c r="Q22" s="139"/>
      <c r="R22" s="181" t="e">
        <f t="shared" si="0"/>
        <v>#DIV/0!</v>
      </c>
    </row>
    <row r="23" spans="1:18" ht="15" x14ac:dyDescent="0.25">
      <c r="A23" s="142">
        <v>17</v>
      </c>
      <c r="B23" s="176">
        <f>'Entries Feb.''25'!P23</f>
        <v>168972</v>
      </c>
      <c r="C23" s="184">
        <f t="shared" si="4"/>
        <v>136</v>
      </c>
      <c r="D23" s="182">
        <f t="shared" si="5"/>
        <v>-75</v>
      </c>
      <c r="E23" s="177">
        <f>'Entries Feb.''25'!X23</f>
        <v>0</v>
      </c>
      <c r="F23" s="178">
        <f>'Entries Feb.''25'!W23</f>
        <v>1282716</v>
      </c>
      <c r="G23" s="178">
        <f t="shared" si="6"/>
        <v>211</v>
      </c>
      <c r="H23" s="178">
        <f>'Entries Feb.''25'!T23</f>
        <v>32832</v>
      </c>
      <c r="I23" s="179">
        <f t="shared" si="1"/>
        <v>227</v>
      </c>
      <c r="J23" s="178">
        <f>'Entries Feb.''25'!U23</f>
        <v>0</v>
      </c>
      <c r="K23" s="179">
        <f t="shared" si="2"/>
        <v>0</v>
      </c>
      <c r="L23" s="179">
        <f t="shared" si="7"/>
        <v>227</v>
      </c>
      <c r="M23" s="178">
        <f>'Entries Feb.''25'!S23</f>
        <v>0</v>
      </c>
      <c r="N23" s="178">
        <f>'Entries Feb.''25'!AD24-'Entries Feb.''25'!AD23</f>
        <v>23</v>
      </c>
      <c r="O23" s="178">
        <f t="shared" si="3"/>
        <v>272</v>
      </c>
      <c r="P23" s="183"/>
      <c r="Q23" s="139"/>
      <c r="R23" s="181" t="e">
        <f t="shared" si="0"/>
        <v>#DIV/0!</v>
      </c>
    </row>
    <row r="24" spans="1:18" ht="15" x14ac:dyDescent="0.25">
      <c r="A24" s="142">
        <v>18</v>
      </c>
      <c r="B24" s="176">
        <f>'Entries Feb.''25'!P24</f>
        <v>169108</v>
      </c>
      <c r="C24" s="185">
        <f t="shared" si="4"/>
        <v>261</v>
      </c>
      <c r="D24" s="182">
        <f t="shared" si="5"/>
        <v>121</v>
      </c>
      <c r="E24" s="177">
        <f>'Entries Feb.''25'!X24</f>
        <v>0</v>
      </c>
      <c r="F24" s="178">
        <f>'Entries Feb.''25'!W24</f>
        <v>1282927</v>
      </c>
      <c r="G24" s="178">
        <f t="shared" si="6"/>
        <v>140</v>
      </c>
      <c r="H24" s="178">
        <f>'Entries Feb.''25'!T24</f>
        <v>33059</v>
      </c>
      <c r="I24" s="179">
        <f t="shared" si="1"/>
        <v>209</v>
      </c>
      <c r="J24" s="178">
        <f>'Entries Feb.''25'!U24</f>
        <v>0</v>
      </c>
      <c r="K24" s="179">
        <f t="shared" si="2"/>
        <v>0</v>
      </c>
      <c r="L24" s="179">
        <f t="shared" si="7"/>
        <v>209</v>
      </c>
      <c r="M24" s="178">
        <f>'Entries Feb.''25'!S24</f>
        <v>0</v>
      </c>
      <c r="N24" s="178">
        <f>'Entries Feb.''25'!AD25-'Entries Feb.''25'!AD24</f>
        <v>19</v>
      </c>
      <c r="O24" s="178">
        <f t="shared" si="3"/>
        <v>522</v>
      </c>
      <c r="P24" s="183"/>
      <c r="Q24" s="139"/>
      <c r="R24" s="181" t="e">
        <f t="shared" si="0"/>
        <v>#DIV/0!</v>
      </c>
    </row>
    <row r="25" spans="1:18" ht="15" x14ac:dyDescent="0.25">
      <c r="A25" s="142">
        <v>19</v>
      </c>
      <c r="B25" s="176">
        <f>'Entries Feb.''25'!P25</f>
        <v>169369</v>
      </c>
      <c r="C25" s="184">
        <f t="shared" si="4"/>
        <v>180</v>
      </c>
      <c r="D25" s="182">
        <f t="shared" si="5"/>
        <v>-71</v>
      </c>
      <c r="E25" s="177">
        <f>'Entries Feb.''25'!X25</f>
        <v>0</v>
      </c>
      <c r="F25" s="178">
        <f>'Entries Feb.''25'!W25</f>
        <v>1283067</v>
      </c>
      <c r="G25" s="178">
        <f t="shared" si="6"/>
        <v>251</v>
      </c>
      <c r="H25" s="178">
        <f>'Entries Feb.''25'!T25</f>
        <v>33268</v>
      </c>
      <c r="I25" s="179">
        <f t="shared" si="1"/>
        <v>186</v>
      </c>
      <c r="J25" s="178">
        <f>'Entries Feb.''25'!U25</f>
        <v>0</v>
      </c>
      <c r="K25" s="179">
        <f t="shared" si="2"/>
        <v>0</v>
      </c>
      <c r="L25" s="179">
        <f t="shared" si="7"/>
        <v>186</v>
      </c>
      <c r="M25" s="178">
        <f>'Entries Feb.''25'!S25</f>
        <v>0</v>
      </c>
      <c r="N25" s="178">
        <f>'Entries Feb.''25'!AD26-'Entries Feb.''25'!AD25</f>
        <v>22</v>
      </c>
      <c r="O25" s="178">
        <f t="shared" si="3"/>
        <v>360</v>
      </c>
      <c r="P25" s="183"/>
      <c r="Q25" s="139"/>
      <c r="R25" s="181" t="e">
        <f t="shared" si="0"/>
        <v>#DIV/0!</v>
      </c>
    </row>
    <row r="26" spans="1:18" ht="15" x14ac:dyDescent="0.25">
      <c r="A26" s="142">
        <v>20</v>
      </c>
      <c r="B26" s="176">
        <f>'Entries Feb.''25'!P26</f>
        <v>169549</v>
      </c>
      <c r="C26" s="185">
        <f t="shared" si="4"/>
        <v>163</v>
      </c>
      <c r="D26" s="182">
        <f t="shared" si="5"/>
        <v>-111</v>
      </c>
      <c r="E26" s="177">
        <f>'Entries Feb.''25'!X26</f>
        <v>0</v>
      </c>
      <c r="F26" s="178">
        <f>'Entries Feb.''25'!W26</f>
        <v>1283318</v>
      </c>
      <c r="G26" s="178">
        <f t="shared" si="6"/>
        <v>274</v>
      </c>
      <c r="H26" s="178">
        <f>'Entries Feb.''25'!T26</f>
        <v>33454</v>
      </c>
      <c r="I26" s="179">
        <f t="shared" si="1"/>
        <v>214</v>
      </c>
      <c r="J26" s="178">
        <f>'Entries Feb.''25'!U26</f>
        <v>0</v>
      </c>
      <c r="K26" s="179">
        <f t="shared" si="2"/>
        <v>0</v>
      </c>
      <c r="L26" s="179">
        <f t="shared" si="7"/>
        <v>214</v>
      </c>
      <c r="M26" s="178">
        <f>'Entries Feb.''25'!S26</f>
        <v>0</v>
      </c>
      <c r="N26" s="178">
        <f>'Entries Feb.''25'!AD27-'Entries Feb.''25'!AD26</f>
        <v>12</v>
      </c>
      <c r="O26" s="178">
        <f t="shared" si="3"/>
        <v>326</v>
      </c>
      <c r="P26" s="183"/>
      <c r="Q26" s="139"/>
      <c r="R26" s="181" t="e">
        <f t="shared" si="0"/>
        <v>#DIV/0!</v>
      </c>
    </row>
    <row r="27" spans="1:18" ht="15" x14ac:dyDescent="0.25">
      <c r="A27" s="142">
        <v>21</v>
      </c>
      <c r="B27" s="176">
        <f>'Entries Feb.''25'!P27</f>
        <v>169712</v>
      </c>
      <c r="C27" s="184">
        <f t="shared" si="4"/>
        <v>154</v>
      </c>
      <c r="D27" s="182">
        <f t="shared" si="5"/>
        <v>-108</v>
      </c>
      <c r="E27" s="177">
        <f>'Entries Feb.''25'!X27</f>
        <v>0</v>
      </c>
      <c r="F27" s="178">
        <f>'Entries Feb.''25'!W27</f>
        <v>1283592</v>
      </c>
      <c r="G27" s="178">
        <f t="shared" si="6"/>
        <v>262</v>
      </c>
      <c r="H27" s="178">
        <f>'Entries Feb.''25'!T27</f>
        <v>33668</v>
      </c>
      <c r="I27" s="179">
        <f t="shared" si="1"/>
        <v>202</v>
      </c>
      <c r="J27" s="178">
        <f>'Entries Feb.''25'!U27</f>
        <v>0</v>
      </c>
      <c r="K27" s="179">
        <f t="shared" si="2"/>
        <v>0</v>
      </c>
      <c r="L27" s="179">
        <f t="shared" si="7"/>
        <v>202</v>
      </c>
      <c r="M27" s="178">
        <f>'Entries Feb.''25'!S27</f>
        <v>0</v>
      </c>
      <c r="N27" s="178">
        <f>'Entries Feb.''25'!AD28-'Entries Feb.''25'!AD27</f>
        <v>11</v>
      </c>
      <c r="O27" s="178">
        <f t="shared" si="3"/>
        <v>308</v>
      </c>
      <c r="P27" s="183"/>
      <c r="Q27" s="139"/>
      <c r="R27" s="181" t="e">
        <f t="shared" si="0"/>
        <v>#DIV/0!</v>
      </c>
    </row>
    <row r="28" spans="1:18" ht="15" x14ac:dyDescent="0.25">
      <c r="A28" s="142">
        <v>22</v>
      </c>
      <c r="B28" s="176">
        <f>'Entries Feb.''25'!P28</f>
        <v>169866</v>
      </c>
      <c r="C28" s="185">
        <f t="shared" si="4"/>
        <v>115</v>
      </c>
      <c r="D28" s="182">
        <f t="shared" si="5"/>
        <v>108</v>
      </c>
      <c r="E28" s="177">
        <f>'Entries Feb.''25'!X28</f>
        <v>0</v>
      </c>
      <c r="F28" s="178">
        <f>'Entries Feb.''25'!W28</f>
        <v>1283854</v>
      </c>
      <c r="G28" s="178">
        <f t="shared" si="6"/>
        <v>7</v>
      </c>
      <c r="H28" s="178">
        <f>'Entries Feb.''25'!T28</f>
        <v>33870</v>
      </c>
      <c r="I28" s="179">
        <f t="shared" si="1"/>
        <v>0</v>
      </c>
      <c r="J28" s="178">
        <f>'Entries Feb.''25'!U28</f>
        <v>0</v>
      </c>
      <c r="K28" s="179">
        <f t="shared" si="2"/>
        <v>0</v>
      </c>
      <c r="L28" s="179">
        <f t="shared" si="7"/>
        <v>0</v>
      </c>
      <c r="M28" s="178">
        <f>'Entries Feb.''25'!S28</f>
        <v>0</v>
      </c>
      <c r="N28" s="178">
        <f>'Entries Feb.''25'!AD29-'Entries Feb.''25'!AD28</f>
        <v>0</v>
      </c>
      <c r="O28" s="178">
        <f t="shared" si="3"/>
        <v>230</v>
      </c>
      <c r="P28" s="183"/>
      <c r="Q28" s="139"/>
      <c r="R28" s="181" t="e">
        <f t="shared" si="0"/>
        <v>#DIV/0!</v>
      </c>
    </row>
    <row r="29" spans="1:18" ht="15" x14ac:dyDescent="0.25">
      <c r="A29" s="142">
        <v>23</v>
      </c>
      <c r="B29" s="176">
        <f>'Entries Feb.''25'!P29</f>
        <v>169981</v>
      </c>
      <c r="C29" s="184">
        <f t="shared" si="4"/>
        <v>0</v>
      </c>
      <c r="D29" s="182">
        <f t="shared" si="5"/>
        <v>-87</v>
      </c>
      <c r="E29" s="177">
        <f>'Entries Feb.''25'!X29</f>
        <v>0</v>
      </c>
      <c r="F29" s="178">
        <f>'Entries Feb.''25'!W29</f>
        <v>1283861</v>
      </c>
      <c r="G29" s="178">
        <f t="shared" si="6"/>
        <v>87</v>
      </c>
      <c r="H29" s="178">
        <f>'Entries Feb.''25'!T29</f>
        <v>33870</v>
      </c>
      <c r="I29" s="179">
        <f t="shared" si="1"/>
        <v>53</v>
      </c>
      <c r="J29" s="178">
        <f>'Entries Feb.''25'!U29</f>
        <v>0</v>
      </c>
      <c r="K29" s="179">
        <f t="shared" si="2"/>
        <v>0</v>
      </c>
      <c r="L29" s="179">
        <f t="shared" si="7"/>
        <v>53</v>
      </c>
      <c r="M29" s="178">
        <f>'Entries Feb.''25'!S29</f>
        <v>0</v>
      </c>
      <c r="N29" s="178">
        <f>'Entries Feb.''25'!AD30-'Entries Feb.''25'!AD29</f>
        <v>0</v>
      </c>
      <c r="O29" s="178">
        <f t="shared" si="3"/>
        <v>0</v>
      </c>
      <c r="P29" s="183"/>
      <c r="Q29" s="139"/>
      <c r="R29" s="181" t="e">
        <f t="shared" si="0"/>
        <v>#DIV/0!</v>
      </c>
    </row>
    <row r="30" spans="1:18" ht="15" x14ac:dyDescent="0.25">
      <c r="A30" s="142">
        <v>24</v>
      </c>
      <c r="B30" s="176">
        <f>'Entries Feb.''25'!P30</f>
        <v>169981</v>
      </c>
      <c r="C30" s="185">
        <f t="shared" si="4"/>
        <v>46</v>
      </c>
      <c r="D30" s="182">
        <f t="shared" si="5"/>
        <v>-195</v>
      </c>
      <c r="E30" s="177">
        <f>'Entries Feb.''25'!X30</f>
        <v>0</v>
      </c>
      <c r="F30" s="178">
        <f>'Entries Feb.''25'!W30</f>
        <v>1283948</v>
      </c>
      <c r="G30" s="178">
        <f t="shared" si="6"/>
        <v>241</v>
      </c>
      <c r="H30" s="178">
        <f>'Entries Feb.''25'!T30</f>
        <v>33923</v>
      </c>
      <c r="I30" s="179">
        <f t="shared" si="1"/>
        <v>216</v>
      </c>
      <c r="J30" s="178">
        <f>'Entries Feb.''25'!U30</f>
        <v>0</v>
      </c>
      <c r="K30" s="179">
        <f t="shared" si="2"/>
        <v>0</v>
      </c>
      <c r="L30" s="179">
        <f t="shared" si="7"/>
        <v>216</v>
      </c>
      <c r="M30" s="178">
        <f>'Entries Feb.''25'!S30</f>
        <v>0</v>
      </c>
      <c r="N30" s="178">
        <f>'Entries Feb.''25'!AD31-'Entries Feb.''25'!AD30</f>
        <v>18</v>
      </c>
      <c r="O30" s="178">
        <f t="shared" si="3"/>
        <v>92</v>
      </c>
      <c r="P30" s="183"/>
      <c r="Q30" s="139"/>
      <c r="R30" s="181" t="e">
        <f t="shared" si="0"/>
        <v>#DIV/0!</v>
      </c>
    </row>
    <row r="31" spans="1:18" ht="15" x14ac:dyDescent="0.25">
      <c r="A31" s="142">
        <v>25</v>
      </c>
      <c r="B31" s="176">
        <f>'Entries Feb.''25'!P31</f>
        <v>170027</v>
      </c>
      <c r="C31" s="184">
        <f t="shared" si="4"/>
        <v>0</v>
      </c>
      <c r="D31" s="182">
        <f t="shared" si="5"/>
        <v>-287</v>
      </c>
      <c r="E31" s="177">
        <f>'Entries Feb.''25'!X31</f>
        <v>0</v>
      </c>
      <c r="F31" s="178">
        <f>'Entries Feb.''25'!W31</f>
        <v>1284189</v>
      </c>
      <c r="G31" s="178">
        <f t="shared" si="6"/>
        <v>287</v>
      </c>
      <c r="H31" s="178">
        <f>'Entries Feb.''25'!T31</f>
        <v>34139</v>
      </c>
      <c r="I31" s="179">
        <f t="shared" si="1"/>
        <v>243</v>
      </c>
      <c r="J31" s="178">
        <f>'Entries Feb.''25'!U31</f>
        <v>0</v>
      </c>
      <c r="K31" s="179">
        <f t="shared" si="2"/>
        <v>0</v>
      </c>
      <c r="L31" s="179">
        <f t="shared" si="7"/>
        <v>243</v>
      </c>
      <c r="M31" s="178">
        <f>'Entries Feb.''25'!S31</f>
        <v>0</v>
      </c>
      <c r="N31" s="178">
        <f>'Entries Feb.''25'!AD32-'Entries Feb.''25'!AD31</f>
        <v>23</v>
      </c>
      <c r="O31" s="178">
        <f t="shared" si="3"/>
        <v>0</v>
      </c>
      <c r="P31" s="183"/>
      <c r="Q31" s="139"/>
      <c r="R31" s="181" t="e">
        <f t="shared" si="0"/>
        <v>#DIV/0!</v>
      </c>
    </row>
    <row r="32" spans="1:18" ht="15" x14ac:dyDescent="0.25">
      <c r="A32" s="142">
        <v>26</v>
      </c>
      <c r="B32" s="176">
        <f>'Entries Feb.''25'!P32</f>
        <v>170027</v>
      </c>
      <c r="C32" s="185">
        <f t="shared" si="4"/>
        <v>358</v>
      </c>
      <c r="D32" s="182">
        <f t="shared" si="5"/>
        <v>102</v>
      </c>
      <c r="E32" s="177">
        <f>'Entries Feb.''25'!X32</f>
        <v>0</v>
      </c>
      <c r="F32" s="178">
        <f>'Entries Feb.''25'!W32</f>
        <v>1284476</v>
      </c>
      <c r="G32" s="178">
        <f t="shared" si="6"/>
        <v>256</v>
      </c>
      <c r="H32" s="178">
        <f>'Entries Feb.''25'!T32</f>
        <v>34382</v>
      </c>
      <c r="I32" s="179">
        <f t="shared" si="1"/>
        <v>244</v>
      </c>
      <c r="J32" s="178">
        <f>'Entries Feb.''25'!U32</f>
        <v>0</v>
      </c>
      <c r="K32" s="179">
        <f t="shared" si="2"/>
        <v>0</v>
      </c>
      <c r="L32" s="179">
        <f t="shared" si="7"/>
        <v>244</v>
      </c>
      <c r="M32" s="178">
        <f>'Entries Feb.''25'!S32</f>
        <v>0</v>
      </c>
      <c r="N32" s="178">
        <f>'Entries Feb.''25'!AD33-'Entries Feb.''25'!AD32</f>
        <v>17</v>
      </c>
      <c r="O32" s="178">
        <f t="shared" si="3"/>
        <v>716</v>
      </c>
      <c r="P32" s="183"/>
      <c r="Q32" s="139"/>
      <c r="R32" s="181" t="e">
        <f t="shared" si="0"/>
        <v>#DIV/0!</v>
      </c>
    </row>
    <row r="33" spans="1:18" ht="15" x14ac:dyDescent="0.25">
      <c r="A33" s="142">
        <v>27</v>
      </c>
      <c r="B33" s="176">
        <f>'Entries Feb.''25'!P33</f>
        <v>170385</v>
      </c>
      <c r="C33" s="184">
        <f t="shared" si="4"/>
        <v>153</v>
      </c>
      <c r="D33" s="182">
        <f t="shared" si="5"/>
        <v>-69</v>
      </c>
      <c r="E33" s="177">
        <f>'Entries Feb.''25'!X33</f>
        <v>0</v>
      </c>
      <c r="F33" s="178">
        <f>'Entries Feb.''25'!W33</f>
        <v>1284732</v>
      </c>
      <c r="G33" s="178">
        <f t="shared" si="6"/>
        <v>222</v>
      </c>
      <c r="H33" s="178">
        <f>'Entries Feb.''25'!T33</f>
        <v>34626</v>
      </c>
      <c r="I33" s="179">
        <f t="shared" si="1"/>
        <v>239</v>
      </c>
      <c r="J33" s="178">
        <f>'Entries Feb.''25'!U33</f>
        <v>0</v>
      </c>
      <c r="K33" s="179">
        <f t="shared" si="2"/>
        <v>0</v>
      </c>
      <c r="L33" s="179">
        <f t="shared" si="7"/>
        <v>239</v>
      </c>
      <c r="M33" s="178">
        <f>'Entries Feb.''25'!S33</f>
        <v>0</v>
      </c>
      <c r="N33" s="178">
        <f>'Entries Feb.''25'!AD34-'Entries Feb.''25'!AD33</f>
        <v>23</v>
      </c>
      <c r="O33" s="178">
        <f t="shared" si="3"/>
        <v>306</v>
      </c>
      <c r="P33" s="183"/>
      <c r="Q33" s="139"/>
      <c r="R33" s="181" t="e">
        <f t="shared" si="0"/>
        <v>#DIV/0!</v>
      </c>
    </row>
    <row r="34" spans="1:18" ht="15" x14ac:dyDescent="0.25">
      <c r="A34" s="142">
        <v>28</v>
      </c>
      <c r="B34" s="176">
        <f>'Entries Feb.''25'!P34</f>
        <v>170538</v>
      </c>
      <c r="C34" s="185">
        <f t="shared" si="4"/>
        <v>0</v>
      </c>
      <c r="D34" s="182">
        <f t="shared" si="5"/>
        <v>-276</v>
      </c>
      <c r="E34" s="177">
        <f>'Entries Feb.''25'!X34</f>
        <v>0</v>
      </c>
      <c r="F34" s="178">
        <f>'Entries Feb.''25'!W34</f>
        <v>1284954</v>
      </c>
      <c r="G34" s="178">
        <f t="shared" si="6"/>
        <v>276</v>
      </c>
      <c r="H34" s="178">
        <f>'Entries Feb.''25'!T34</f>
        <v>34865</v>
      </c>
      <c r="I34" s="179">
        <f t="shared" si="1"/>
        <v>234</v>
      </c>
      <c r="J34" s="178">
        <f>'Entries Feb.''25'!U34</f>
        <v>0</v>
      </c>
      <c r="K34" s="179">
        <f t="shared" si="2"/>
        <v>0</v>
      </c>
      <c r="L34" s="179">
        <f t="shared" si="7"/>
        <v>234</v>
      </c>
      <c r="M34" s="178">
        <f>'Entries Feb.''25'!S34</f>
        <v>0</v>
      </c>
      <c r="N34" s="178">
        <f>'Entries Feb.''25'!AD35-'Entries Feb.''25'!AD34</f>
        <v>20</v>
      </c>
      <c r="O34" s="178">
        <f t="shared" si="3"/>
        <v>0</v>
      </c>
      <c r="P34" s="183"/>
      <c r="Q34" s="139"/>
      <c r="R34" s="181" t="e">
        <f t="shared" si="0"/>
        <v>#DIV/0!</v>
      </c>
    </row>
    <row r="35" spans="1:18" ht="15" x14ac:dyDescent="0.25">
      <c r="A35" s="142">
        <v>29</v>
      </c>
      <c r="B35" s="176">
        <f>'Entries Feb.''25'!P35</f>
        <v>170538</v>
      </c>
      <c r="C35" s="184">
        <f t="shared" si="4"/>
        <v>-170538</v>
      </c>
      <c r="D35" s="182">
        <f t="shared" si="5"/>
        <v>1114692</v>
      </c>
      <c r="E35" s="177">
        <f>'Entries Feb.''25'!X35</f>
        <v>0</v>
      </c>
      <c r="F35" s="178">
        <f>'Entries Feb.''25'!W35</f>
        <v>1285230</v>
      </c>
      <c r="G35" s="178">
        <f t="shared" si="6"/>
        <v>-1285230</v>
      </c>
      <c r="H35" s="178">
        <f>'Entries Feb.''25'!T35</f>
        <v>35099</v>
      </c>
      <c r="I35" s="179">
        <f t="shared" si="1"/>
        <v>-35099</v>
      </c>
      <c r="J35" s="178">
        <f>'Entries Feb.''25'!U35</f>
        <v>0</v>
      </c>
      <c r="K35" s="179">
        <f t="shared" si="2"/>
        <v>0</v>
      </c>
      <c r="L35" s="179">
        <f t="shared" si="7"/>
        <v>-35099</v>
      </c>
      <c r="M35" s="178">
        <f>'Entries Feb.''25'!S35</f>
        <v>0</v>
      </c>
      <c r="N35" s="178">
        <f>'Entries Feb.''25'!AD36-'Entries Feb.''25'!AD35</f>
        <v>-39340</v>
      </c>
      <c r="O35" s="178">
        <f t="shared" si="3"/>
        <v>-341076</v>
      </c>
      <c r="P35" s="183"/>
      <c r="Q35" s="139"/>
      <c r="R35" s="181" t="e">
        <f t="shared" si="0"/>
        <v>#DIV/0!</v>
      </c>
    </row>
    <row r="36" spans="1:18" ht="15" x14ac:dyDescent="0.25">
      <c r="A36" s="142">
        <v>30</v>
      </c>
      <c r="B36" s="176">
        <f>'Entries Feb.''25'!P36</f>
        <v>0</v>
      </c>
      <c r="C36" s="185">
        <f t="shared" si="4"/>
        <v>0</v>
      </c>
      <c r="D36" s="182">
        <f t="shared" si="5"/>
        <v>0</v>
      </c>
      <c r="E36" s="177">
        <f>'Entries Feb.''25'!X36</f>
        <v>0</v>
      </c>
      <c r="F36" s="178">
        <f>'Entries Feb.''25'!W36</f>
        <v>0</v>
      </c>
      <c r="G36" s="178">
        <f t="shared" si="6"/>
        <v>0</v>
      </c>
      <c r="H36" s="178">
        <f>'Entries Feb.''25'!T36</f>
        <v>0</v>
      </c>
      <c r="I36" s="179">
        <f t="shared" si="1"/>
        <v>0</v>
      </c>
      <c r="J36" s="178">
        <f>'Entries Feb.''25'!U36</f>
        <v>0</v>
      </c>
      <c r="K36" s="179">
        <f t="shared" si="2"/>
        <v>0</v>
      </c>
      <c r="L36" s="179">
        <f t="shared" si="7"/>
        <v>0</v>
      </c>
      <c r="M36" s="178">
        <f>'Entries Feb.''25'!S36</f>
        <v>0</v>
      </c>
      <c r="N36" s="178">
        <f>'Entries Feb.''25'!AD37-'Entries Feb.''25'!AD36</f>
        <v>0</v>
      </c>
      <c r="O36" s="178">
        <f t="shared" si="3"/>
        <v>0</v>
      </c>
      <c r="P36" s="183"/>
      <c r="Q36" s="139"/>
      <c r="R36" s="181" t="e">
        <f t="shared" si="0"/>
        <v>#DIV/0!</v>
      </c>
    </row>
    <row r="37" spans="1:18" ht="15" x14ac:dyDescent="0.25">
      <c r="A37" s="142">
        <v>31</v>
      </c>
      <c r="B37" s="176">
        <f>'Entries Feb.''25'!P37</f>
        <v>0</v>
      </c>
      <c r="C37" s="184">
        <f t="shared" si="4"/>
        <v>0</v>
      </c>
      <c r="D37" s="182">
        <f t="shared" si="5"/>
        <v>0</v>
      </c>
      <c r="E37" s="177">
        <f>'Entries Feb.''25'!X37</f>
        <v>0</v>
      </c>
      <c r="F37" s="178">
        <f>'Entries Feb.''25'!W37</f>
        <v>0</v>
      </c>
      <c r="G37" s="178">
        <f t="shared" si="6"/>
        <v>0</v>
      </c>
      <c r="H37" s="178">
        <f>'Entries Feb.''25'!T37</f>
        <v>0</v>
      </c>
      <c r="I37" s="179">
        <f t="shared" si="1"/>
        <v>0</v>
      </c>
      <c r="J37" s="178">
        <f>'Entries Feb.''25'!U37</f>
        <v>0</v>
      </c>
      <c r="K37" s="179">
        <f t="shared" si="2"/>
        <v>0</v>
      </c>
      <c r="L37" s="179">
        <f t="shared" si="7"/>
        <v>0</v>
      </c>
      <c r="M37" s="178">
        <f>'Entries Feb.''25'!S37</f>
        <v>0</v>
      </c>
      <c r="N37" s="178">
        <f>'Entries Feb.''25'!AD38-'Entries Feb.''25'!AD37</f>
        <v>0</v>
      </c>
      <c r="O37" s="178">
        <f t="shared" si="3"/>
        <v>0</v>
      </c>
      <c r="P37" s="183"/>
      <c r="Q37" s="139"/>
      <c r="R37" s="181" t="e">
        <f t="shared" si="0"/>
        <v>#DIV/0!</v>
      </c>
    </row>
    <row r="38" spans="1:18" ht="14.25" x14ac:dyDescent="0.2">
      <c r="A38" s="142" t="s">
        <v>20</v>
      </c>
      <c r="B38" s="186"/>
      <c r="C38" s="186"/>
      <c r="D38" s="186"/>
      <c r="E38" s="187"/>
      <c r="F38" s="188"/>
      <c r="G38" s="188"/>
      <c r="H38" s="188"/>
      <c r="I38" s="188"/>
      <c r="J38" s="188"/>
      <c r="K38" s="188"/>
      <c r="L38" s="188"/>
      <c r="M38" s="188"/>
      <c r="N38" s="188"/>
      <c r="O38" s="189">
        <f>SUM(O7:O37)</f>
        <v>-333528</v>
      </c>
      <c r="P38" s="140"/>
      <c r="Q38" s="140"/>
      <c r="R38" s="140"/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J143"/>
  <sheetViews>
    <sheetView showGridLines="0" topLeftCell="A4" zoomScale="80" zoomScaleNormal="80" workbookViewId="0">
      <pane xSplit="1" ySplit="7" topLeftCell="N44" activePane="bottomRight" state="frozen"/>
      <selection activeCell="A4" sqref="A4"/>
      <selection pane="topRight" activeCell="B4" sqref="B4"/>
      <selection pane="bottomLeft" activeCell="A11" sqref="A11"/>
      <selection pane="bottomRight" activeCell="P47" sqref="P47"/>
    </sheetView>
  </sheetViews>
  <sheetFormatPr defaultColWidth="9.28515625" defaultRowHeight="12.75" x14ac:dyDescent="0.2"/>
  <cols>
    <col min="1" max="1" width="46" style="228" bestFit="1" customWidth="1"/>
    <col min="2" max="8" width="14.7109375" style="229" customWidth="1"/>
    <col min="9" max="9" width="18.5703125" style="229" customWidth="1"/>
    <col min="10" max="12" width="14.7109375" style="229" customWidth="1"/>
    <col min="13" max="13" width="20.28515625" style="359" customWidth="1"/>
    <col min="14" max="15" width="14.7109375" style="229" customWidth="1"/>
    <col min="16" max="16" width="23.7109375" style="229" bestFit="1" customWidth="1"/>
    <col min="17" max="18" width="15.85546875" style="229" bestFit="1" customWidth="1"/>
    <col min="19" max="19" width="18.28515625" style="229" bestFit="1" customWidth="1"/>
    <col min="20" max="20" width="14.7109375" style="229" customWidth="1"/>
    <col min="21" max="21" width="15.85546875" style="229" bestFit="1" customWidth="1"/>
    <col min="22" max="22" width="14.7109375" style="229" customWidth="1"/>
    <col min="23" max="23" width="16.85546875" style="229" bestFit="1" customWidth="1"/>
    <col min="24" max="25" width="15.85546875" style="229" bestFit="1" customWidth="1"/>
    <col min="26" max="30" width="14.7109375" style="229" customWidth="1"/>
    <col min="31" max="32" width="14.7109375" style="229" hidden="1" customWidth="1"/>
    <col min="33" max="33" width="15.42578125" style="232" bestFit="1" customWidth="1"/>
    <col min="34" max="34" width="10" style="232" bestFit="1" customWidth="1"/>
    <col min="35" max="35" width="15.42578125" style="228" bestFit="1" customWidth="1"/>
    <col min="36" max="16384" width="9.28515625" style="228"/>
  </cols>
  <sheetData>
    <row r="1" spans="1:35" x14ac:dyDescent="0.2">
      <c r="B1" s="232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36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</row>
    <row r="2" spans="1:35" x14ac:dyDescent="0.2">
      <c r="B2" s="232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36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</row>
    <row r="3" spans="1:35" x14ac:dyDescent="0.2">
      <c r="A3" s="1" t="s">
        <v>146</v>
      </c>
      <c r="B3" s="232"/>
      <c r="C3" s="1"/>
      <c r="D3" s="228"/>
      <c r="E3" s="228"/>
      <c r="F3" s="228"/>
      <c r="G3" s="228"/>
      <c r="H3" s="228"/>
      <c r="I3" s="228"/>
      <c r="J3" s="228"/>
      <c r="K3" s="228"/>
      <c r="L3" s="228"/>
      <c r="M3" s="236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</row>
    <row r="4" spans="1:35" x14ac:dyDescent="0.2">
      <c r="A4" s="1"/>
      <c r="M4" s="248" t="s">
        <v>255</v>
      </c>
      <c r="Y4" s="229">
        <v>1364</v>
      </c>
    </row>
    <row r="5" spans="1:35" ht="26.25" x14ac:dyDescent="0.4">
      <c r="A5" s="754">
        <f>'Daily KPIs'!A6</f>
        <v>45690</v>
      </c>
      <c r="B5" s="754"/>
      <c r="C5" s="754"/>
      <c r="D5" s="754"/>
      <c r="E5" s="754"/>
      <c r="F5" s="754"/>
      <c r="G5" s="754"/>
      <c r="H5" s="754"/>
      <c r="I5" s="754"/>
      <c r="J5" s="754"/>
      <c r="K5" s="754"/>
      <c r="L5" s="754"/>
      <c r="M5" s="754"/>
      <c r="N5" s="754"/>
      <c r="O5" s="754"/>
      <c r="P5" s="754"/>
      <c r="Q5" s="754"/>
      <c r="R5" s="754"/>
      <c r="S5" s="754"/>
      <c r="T5" s="754"/>
      <c r="U5" s="754"/>
      <c r="V5" s="754"/>
      <c r="W5" s="754"/>
      <c r="X5" s="754"/>
      <c r="Y5" s="754"/>
      <c r="Z5" s="754"/>
      <c r="AA5" s="754"/>
      <c r="AB5" s="754"/>
      <c r="AC5" s="754"/>
      <c r="AD5" s="754"/>
      <c r="AE5" s="754"/>
      <c r="AF5" s="754"/>
      <c r="AG5" s="754"/>
      <c r="AH5" s="754"/>
      <c r="AI5" s="754"/>
    </row>
    <row r="6" spans="1:35" ht="18" x14ac:dyDescent="0.25">
      <c r="A6" s="230"/>
      <c r="B6" s="252">
        <v>1</v>
      </c>
      <c r="C6" s="252">
        <v>2</v>
      </c>
      <c r="D6" s="252">
        <v>3</v>
      </c>
      <c r="E6" s="252">
        <v>4</v>
      </c>
      <c r="F6" s="252">
        <v>5</v>
      </c>
      <c r="G6" s="252">
        <v>6</v>
      </c>
      <c r="H6" s="252">
        <v>7</v>
      </c>
      <c r="I6" s="252">
        <v>8</v>
      </c>
      <c r="J6" s="252">
        <v>9</v>
      </c>
      <c r="K6" s="252">
        <v>10</v>
      </c>
      <c r="L6" s="252">
        <v>11</v>
      </c>
      <c r="M6" s="252">
        <v>12</v>
      </c>
      <c r="N6" s="252">
        <v>13</v>
      </c>
      <c r="O6" s="252">
        <v>14</v>
      </c>
      <c r="P6" s="252">
        <v>15</v>
      </c>
      <c r="Q6" s="252">
        <v>16</v>
      </c>
      <c r="R6" s="252">
        <v>17</v>
      </c>
      <c r="S6" s="252">
        <v>18</v>
      </c>
      <c r="T6" s="252">
        <v>19</v>
      </c>
      <c r="U6" s="252">
        <v>20</v>
      </c>
      <c r="V6" s="252">
        <v>21</v>
      </c>
      <c r="W6" s="252">
        <v>22</v>
      </c>
      <c r="X6" s="252">
        <v>23</v>
      </c>
      <c r="Y6" s="252">
        <v>24</v>
      </c>
      <c r="Z6" s="252">
        <v>25</v>
      </c>
      <c r="AA6" s="252">
        <v>26</v>
      </c>
      <c r="AB6" s="252">
        <v>27</v>
      </c>
      <c r="AC6" s="252">
        <v>28</v>
      </c>
      <c r="AD6" s="252">
        <v>29</v>
      </c>
      <c r="AE6" s="252">
        <v>30</v>
      </c>
      <c r="AF6" s="252">
        <v>1</v>
      </c>
      <c r="AG6" s="254"/>
      <c r="AH6" s="255"/>
      <c r="AI6" s="256"/>
    </row>
    <row r="7" spans="1:35" s="203" customFormat="1" ht="18" x14ac:dyDescent="0.25">
      <c r="A7" s="257" t="s">
        <v>143</v>
      </c>
      <c r="B7" s="258" t="str">
        <f>'Daily KPIs'!B7</f>
        <v>Sat</v>
      </c>
      <c r="C7" s="258" t="str">
        <f>'Daily KPIs'!C7</f>
        <v>Sun</v>
      </c>
      <c r="D7" s="258" t="str">
        <f>'Daily KPIs'!D7</f>
        <v>Mon</v>
      </c>
      <c r="E7" s="258" t="str">
        <f>'Daily KPIs'!E7</f>
        <v>Tue</v>
      </c>
      <c r="F7" s="258" t="str">
        <f>'Daily KPIs'!F7</f>
        <v>Wed</v>
      </c>
      <c r="G7" s="258" t="str">
        <f>'Daily KPIs'!G7</f>
        <v>Thu</v>
      </c>
      <c r="H7" s="258" t="str">
        <f>'Daily KPIs'!H7</f>
        <v>Fri</v>
      </c>
      <c r="I7" s="258" t="str">
        <f>'Daily KPIs'!I7</f>
        <v>Sat</v>
      </c>
      <c r="J7" s="258" t="str">
        <f>'Daily KPIs'!J7</f>
        <v>Sun</v>
      </c>
      <c r="K7" s="258" t="str">
        <f>'Daily KPIs'!K7</f>
        <v>Mon</v>
      </c>
      <c r="L7" s="258" t="str">
        <f>'Daily KPIs'!L7</f>
        <v>Tue</v>
      </c>
      <c r="M7" s="258" t="str">
        <f>'Daily KPIs'!M7</f>
        <v>Wed</v>
      </c>
      <c r="N7" s="258" t="str">
        <f>'Daily KPIs'!N7</f>
        <v>Thu</v>
      </c>
      <c r="O7" s="258" t="str">
        <f>'Daily KPIs'!O7</f>
        <v>Fri</v>
      </c>
      <c r="P7" s="258" t="str">
        <f>'Daily KPIs'!P7</f>
        <v>Sat</v>
      </c>
      <c r="Q7" s="258" t="str">
        <f>'Daily KPIs'!Q7</f>
        <v>Sun</v>
      </c>
      <c r="R7" s="258" t="str">
        <f>'Daily KPIs'!R7</f>
        <v>Mon</v>
      </c>
      <c r="S7" s="258" t="str">
        <f>'Daily KPIs'!S7</f>
        <v>Tue</v>
      </c>
      <c r="T7" s="258" t="str">
        <f>'Daily KPIs'!T7</f>
        <v>Wed</v>
      </c>
      <c r="U7" s="258" t="str">
        <f>'Daily KPIs'!U7</f>
        <v>Thu</v>
      </c>
      <c r="V7" s="258" t="str">
        <f>'Daily KPIs'!V7</f>
        <v>Fri</v>
      </c>
      <c r="W7" s="258" t="str">
        <f>'Daily KPIs'!W7</f>
        <v>Sat</v>
      </c>
      <c r="X7" s="258" t="str">
        <f>'Daily KPIs'!X7</f>
        <v>Sun</v>
      </c>
      <c r="Y7" s="258" t="str">
        <f>'Daily KPIs'!Y7</f>
        <v>Mon</v>
      </c>
      <c r="Z7" s="258" t="str">
        <f>'Daily KPIs'!Z7</f>
        <v>Tue</v>
      </c>
      <c r="AA7" s="258" t="str">
        <f>'Daily KPIs'!AA7</f>
        <v>Wed</v>
      </c>
      <c r="AB7" s="258" t="str">
        <f>'Daily KPIs'!AB7</f>
        <v>Thu</v>
      </c>
      <c r="AC7" s="258" t="str">
        <f>'Daily KPIs'!AC7</f>
        <v>Fri</v>
      </c>
      <c r="AD7" s="258" t="str">
        <f>'Daily KPIs'!AD7</f>
        <v>Sat</v>
      </c>
      <c r="AE7" s="258" t="str">
        <f>'Daily KPIs'!AE7</f>
        <v>Sun</v>
      </c>
      <c r="AF7" s="258" t="str">
        <f>'Daily KPIs'!AF7</f>
        <v>Sat</v>
      </c>
      <c r="AG7" s="258" t="s">
        <v>20</v>
      </c>
      <c r="AH7" s="259"/>
      <c r="AI7" s="260"/>
    </row>
    <row r="8" spans="1:35" s="205" customFormat="1" ht="20.25" x14ac:dyDescent="0.3">
      <c r="A8" s="261" t="s">
        <v>148</v>
      </c>
      <c r="B8" s="262"/>
      <c r="C8" s="262">
        <f>'Daily KPIs'!C8</f>
        <v>0</v>
      </c>
      <c r="D8" s="262">
        <f>'Daily KPIs'!D8</f>
        <v>7710</v>
      </c>
      <c r="E8" s="262">
        <f>'Daily KPIs'!E8</f>
        <v>8123</v>
      </c>
      <c r="F8" s="262">
        <f>'Daily KPIs'!F8</f>
        <v>9422</v>
      </c>
      <c r="G8" s="262">
        <f>'Daily KPIs'!G8</f>
        <v>6025</v>
      </c>
      <c r="H8" s="263">
        <f>'Daily KPIs'!H8</f>
        <v>0</v>
      </c>
      <c r="I8" s="263">
        <f>'Daily KPIs'!I8</f>
        <v>0</v>
      </c>
      <c r="J8" s="262">
        <f>'Daily KPIs'!J8</f>
        <v>0</v>
      </c>
      <c r="K8" s="262">
        <f>'Daily KPIs'!K8</f>
        <v>6249</v>
      </c>
      <c r="L8" s="262">
        <f>'Daily KPIs'!L8</f>
        <v>10439</v>
      </c>
      <c r="M8" s="262">
        <f>'Daily KPIs'!M8</f>
        <v>9388</v>
      </c>
      <c r="N8" s="262">
        <f>'Daily KPIs'!N8</f>
        <v>8459</v>
      </c>
      <c r="O8" s="262">
        <f>'Daily KPIs'!O8</f>
        <v>4501</v>
      </c>
      <c r="P8" s="262">
        <f>'Daily KPIs'!P8</f>
        <v>0</v>
      </c>
      <c r="Q8" s="263">
        <f>'Daily KPIs'!Q8</f>
        <v>0</v>
      </c>
      <c r="R8" s="394">
        <f>'Daily KPIs'!R8</f>
        <v>4751</v>
      </c>
      <c r="S8" s="262">
        <f>'Daily KPIs'!S8</f>
        <v>5335</v>
      </c>
      <c r="T8" s="263">
        <f>'Daily KPIs'!T8</f>
        <v>5911</v>
      </c>
      <c r="U8" s="262">
        <f>'Daily KPIs'!U8</f>
        <v>4927</v>
      </c>
      <c r="V8" s="262">
        <f>'Daily KPIs'!V8</f>
        <v>6836</v>
      </c>
      <c r="W8" s="264">
        <f>'Daily KPIs'!W8</f>
        <v>332.75</v>
      </c>
      <c r="X8" s="264">
        <f>'Daily KPIs'!X8</f>
        <v>0</v>
      </c>
      <c r="Y8" s="262">
        <f>'Daily KPIs'!Y8</f>
        <v>4711</v>
      </c>
      <c r="Z8" s="262">
        <f>'Daily KPIs'!Z8</f>
        <v>8715</v>
      </c>
      <c r="AA8" s="262">
        <f>'Daily KPIs'!AA8</f>
        <v>6251</v>
      </c>
      <c r="AB8" s="265">
        <f>'Daily KPIs'!AB8</f>
        <v>5900</v>
      </c>
      <c r="AC8" s="265">
        <f>'Daily KPIs'!AC8</f>
        <v>7608</v>
      </c>
      <c r="AD8" s="265">
        <f>'Daily KPIs'!AD8</f>
        <v>0</v>
      </c>
      <c r="AE8" s="265">
        <f>'Daily KPIs'!AE8</f>
        <v>0</v>
      </c>
      <c r="AF8" s="265">
        <f>'Daily KPIs'!AF8</f>
        <v>0</v>
      </c>
      <c r="AG8" s="266">
        <f>SUM($B8:AF8)</f>
        <v>131593.75</v>
      </c>
      <c r="AH8" s="32"/>
      <c r="AI8" s="256"/>
    </row>
    <row r="9" spans="1:35" ht="20.25" x14ac:dyDescent="0.3">
      <c r="A9" s="261" t="s">
        <v>150</v>
      </c>
      <c r="B9" s="262">
        <f>'Daily KPIs'!B9</f>
        <v>0</v>
      </c>
      <c r="C9" s="262">
        <f>'Daily KPIs'!C9</f>
        <v>0</v>
      </c>
      <c r="D9" s="262">
        <f>'Daily KPIs'!D9</f>
        <v>522.59760000000006</v>
      </c>
      <c r="E9" s="262">
        <f>'Daily KPIs'!E9</f>
        <v>536.11800000000005</v>
      </c>
      <c r="F9" s="262">
        <f>'Daily KPIs'!F9</f>
        <v>621.85199999999998</v>
      </c>
      <c r="G9" s="262">
        <f>'Daily KPIs'!G9</f>
        <v>397.65000000000003</v>
      </c>
      <c r="H9" s="262">
        <f>'Daily KPIs'!H9</f>
        <v>0</v>
      </c>
      <c r="I9" s="262">
        <f>'Daily KPIs'!I9</f>
        <v>0</v>
      </c>
      <c r="J9" s="262">
        <f>'Daily KPIs'!J9</f>
        <v>0</v>
      </c>
      <c r="K9" s="262">
        <f>'Daily KPIs'!K9</f>
        <v>412.43400000000003</v>
      </c>
      <c r="L9" s="262">
        <f>'Daily KPIs'!L9</f>
        <v>688.97400000000005</v>
      </c>
      <c r="M9" s="262">
        <f>'Daily KPIs'!M9</f>
        <v>619.60800000000006</v>
      </c>
      <c r="N9" s="262">
        <f>'Daily KPIs'!N9</f>
        <v>558.29399999999998</v>
      </c>
      <c r="O9" s="262">
        <f>'Daily KPIs'!O9</f>
        <v>297.06600000000003</v>
      </c>
      <c r="P9" s="262">
        <f>'Daily KPIs'!P9</f>
        <v>0</v>
      </c>
      <c r="Q9" s="262">
        <f>'Daily KPIs'!Q9</f>
        <v>0</v>
      </c>
      <c r="R9" s="262">
        <f>'Daily KPIs'!R9</f>
        <v>313.56600000000003</v>
      </c>
      <c r="S9" s="262">
        <f>'Daily KPIs'!S9</f>
        <v>352.11</v>
      </c>
      <c r="T9" s="262">
        <f>'Daily KPIs'!T9</f>
        <v>390.12600000000003</v>
      </c>
      <c r="U9" s="262">
        <f>'Daily KPIs'!U9</f>
        <v>337.95960000000002</v>
      </c>
      <c r="V9" s="262">
        <f>'Daily KPIs'!V9</f>
        <v>451.17600000000004</v>
      </c>
      <c r="W9" s="262">
        <f>'Daily KPIs'!W9</f>
        <v>21.961500000000001</v>
      </c>
      <c r="X9" s="262">
        <f>'Daily KPIs'!X9</f>
        <v>0</v>
      </c>
      <c r="Y9" s="262">
        <f>'Daily KPIs'!Y9</f>
        <v>310.92599999999999</v>
      </c>
      <c r="Z9" s="262">
        <f>'Daily KPIs'!Z9</f>
        <v>575.19000000000005</v>
      </c>
      <c r="AA9" s="262">
        <f>'Daily KPIs'!AA9</f>
        <v>412.56600000000003</v>
      </c>
      <c r="AB9" s="262">
        <f>'Daily KPIs'!AB9</f>
        <v>389.40000000000003</v>
      </c>
      <c r="AC9" s="262">
        <f>'Daily KPIs'!AC9</f>
        <v>502.12800000000004</v>
      </c>
      <c r="AD9" s="262">
        <f>'Daily KPIs'!AD9</f>
        <v>0</v>
      </c>
      <c r="AE9" s="262">
        <f>'Daily KPIs'!AE9</f>
        <v>0</v>
      </c>
      <c r="AF9" s="262">
        <f>'Daily KPIs'!AF9</f>
        <v>0</v>
      </c>
      <c r="AG9" s="267">
        <f>SUM(B9:AF9)</f>
        <v>8711.7027000000016</v>
      </c>
      <c r="AH9" s="32"/>
      <c r="AI9" s="256"/>
    </row>
    <row r="10" spans="1:35" s="205" customFormat="1" ht="20.25" x14ac:dyDescent="0.3">
      <c r="A10" s="268" t="s">
        <v>147</v>
      </c>
      <c r="B10" s="360">
        <f>'Daily KPIs'!B10</f>
        <v>0</v>
      </c>
      <c r="C10" s="360">
        <f>'Daily KPIs'!C10</f>
        <v>0</v>
      </c>
      <c r="D10" s="360" t="str">
        <f>'Daily KPIs'!D10</f>
        <v>VMCl/Ginger/Stag</v>
      </c>
      <c r="E10" s="360" t="str">
        <f>'Daily KPIs'!E10</f>
        <v>Stag/Carib</v>
      </c>
      <c r="F10" s="360" t="str">
        <f>'Daily KPIs'!F10</f>
        <v>CB/GN</v>
      </c>
      <c r="G10" s="360" t="str">
        <f>'Daily KPIs'!G10</f>
        <v>GN/Pils/ST</v>
      </c>
      <c r="H10" s="360">
        <f>'Daily KPIs'!I10</f>
        <v>0</v>
      </c>
      <c r="I10" s="360">
        <f>'Daily KPIs'!J10</f>
        <v>0</v>
      </c>
      <c r="J10" s="360">
        <f>'Daily KPIs'!J10</f>
        <v>0</v>
      </c>
      <c r="K10" s="360" t="str">
        <f>'Daily KPIs'!K10</f>
        <v>ST/CB</v>
      </c>
      <c r="L10" s="360" t="str">
        <f>'Daily KPIs'!L10</f>
        <v>CB/ST/CB</v>
      </c>
      <c r="M10" s="360" t="str">
        <f>'Daily KPIs'!M10</f>
        <v>CB/ST</v>
      </c>
      <c r="N10" s="360" t="str">
        <f>'Daily KPIs'!N10</f>
        <v>SM/GN</v>
      </c>
      <c r="O10" s="360" t="str">
        <f>'Daily KPIs'!O10</f>
        <v>CB/ST</v>
      </c>
      <c r="P10" s="360">
        <f>'Daily KPIs'!P10</f>
        <v>0</v>
      </c>
      <c r="Q10" s="360">
        <f>'Daily KPIs'!Q10</f>
        <v>0</v>
      </c>
      <c r="R10" s="360" t="str">
        <f>'Daily KPIs'!R10</f>
        <v>ST/CB</v>
      </c>
      <c r="S10" s="360" t="str">
        <f>'Daily KPIs'!S10</f>
        <v>CB/CbeR/CbeP</v>
      </c>
      <c r="T10" s="360" t="str">
        <f>'Daily KPIs'!T10</f>
        <v>Sh.Gin/ Ting/ Sh. Sor</v>
      </c>
      <c r="U10" s="360" t="str">
        <f>'Daily KPIs'!U10</f>
        <v>Sh.So/VM/Jcool</v>
      </c>
      <c r="V10" s="360" t="str">
        <f>'Daily KPIs'!V10</f>
        <v>Jcool/CB</v>
      </c>
      <c r="W10" s="360" t="str">
        <f>'Daily KPIs'!W10</f>
        <v>KEGS</v>
      </c>
      <c r="X10" s="360">
        <f>'Daily KPIs'!X10</f>
        <v>0</v>
      </c>
      <c r="Y10" s="755" t="str">
        <f>'Daily KPIs'!Y10</f>
        <v>CB/ST</v>
      </c>
      <c r="Z10" s="755"/>
      <c r="AA10" s="360" t="str">
        <f>'Daily KPIs'!AA10</f>
        <v>CB</v>
      </c>
      <c r="AB10" s="360" t="str">
        <f>'Daily KPIs'!AB10</f>
        <v>CB/GUINN/CB</v>
      </c>
      <c r="AC10" s="360" t="str">
        <f>'Daily KPIs'!AC10</f>
        <v>CB/ST</v>
      </c>
      <c r="AD10" s="360">
        <f>'Daily KPIs'!AD10</f>
        <v>0</v>
      </c>
      <c r="AE10" s="360">
        <f>'Daily KPIs'!AE10</f>
        <v>0</v>
      </c>
      <c r="AF10" s="360">
        <f>'Daily KPIs'!AF10</f>
        <v>0</v>
      </c>
      <c r="AG10" s="269"/>
      <c r="AH10" s="270"/>
      <c r="AI10" s="256"/>
    </row>
    <row r="11" spans="1:35" ht="18" x14ac:dyDescent="0.25">
      <c r="A11" s="271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49"/>
      <c r="N11" s="231"/>
      <c r="O11" s="231"/>
      <c r="P11" s="231"/>
      <c r="Q11" s="231"/>
      <c r="R11" s="231"/>
      <c r="S11" s="231"/>
      <c r="U11" s="231"/>
      <c r="X11" s="228"/>
    </row>
    <row r="12" spans="1:35" ht="18" hidden="1" x14ac:dyDescent="0.25">
      <c r="A12" s="271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49"/>
      <c r="N12" s="231"/>
      <c r="O12" s="231"/>
      <c r="P12" s="231"/>
      <c r="Q12" s="231"/>
      <c r="R12" s="231"/>
      <c r="S12" s="231"/>
      <c r="U12" s="231"/>
    </row>
    <row r="13" spans="1:35" ht="18" x14ac:dyDescent="0.25">
      <c r="A13" s="272" t="s">
        <v>212</v>
      </c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50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</row>
    <row r="14" spans="1:35" s="206" customFormat="1" ht="18" x14ac:dyDescent="0.25">
      <c r="A14" s="273" t="s">
        <v>135</v>
      </c>
      <c r="B14" s="274">
        <v>1</v>
      </c>
      <c r="C14" s="274">
        <v>2</v>
      </c>
      <c r="D14" s="274">
        <v>3</v>
      </c>
      <c r="E14" s="274">
        <v>4</v>
      </c>
      <c r="F14" s="274">
        <v>5</v>
      </c>
      <c r="G14" s="274">
        <v>6</v>
      </c>
      <c r="H14" s="274">
        <v>7</v>
      </c>
      <c r="I14" s="274">
        <v>8</v>
      </c>
      <c r="J14" s="274">
        <v>9</v>
      </c>
      <c r="K14" s="274">
        <v>10</v>
      </c>
      <c r="L14" s="274">
        <v>11</v>
      </c>
      <c r="M14" s="275">
        <v>12</v>
      </c>
      <c r="N14" s="274">
        <v>13</v>
      </c>
      <c r="O14" s="274">
        <v>14</v>
      </c>
      <c r="P14" s="274">
        <v>15</v>
      </c>
      <c r="Q14" s="274">
        <v>16</v>
      </c>
      <c r="R14" s="274">
        <v>17</v>
      </c>
      <c r="S14" s="274">
        <v>18</v>
      </c>
      <c r="T14" s="274">
        <v>19</v>
      </c>
      <c r="U14" s="274">
        <v>20</v>
      </c>
      <c r="V14" s="274">
        <v>21</v>
      </c>
      <c r="W14" s="274">
        <v>22</v>
      </c>
      <c r="X14" s="274">
        <v>23</v>
      </c>
      <c r="Y14" s="274">
        <v>24</v>
      </c>
      <c r="Z14" s="274">
        <v>25</v>
      </c>
      <c r="AA14" s="274">
        <v>26</v>
      </c>
      <c r="AB14" s="274">
        <v>27</v>
      </c>
      <c r="AC14" s="274">
        <v>28</v>
      </c>
      <c r="AD14" s="274">
        <v>29</v>
      </c>
      <c r="AE14" s="274">
        <v>30</v>
      </c>
      <c r="AF14" s="274">
        <v>31</v>
      </c>
      <c r="AG14" s="276" t="s">
        <v>95</v>
      </c>
      <c r="AH14" s="233"/>
    </row>
    <row r="15" spans="1:35" ht="18" x14ac:dyDescent="0.25">
      <c r="A15" s="277" t="s">
        <v>151</v>
      </c>
      <c r="B15" s="278" t="str">
        <f>+'Water '!$C7</f>
        <v>0</v>
      </c>
      <c r="C15" s="278" t="str">
        <f>+'Water '!$C8</f>
        <v>0</v>
      </c>
      <c r="D15" s="278" t="str">
        <f>+'Water '!$C9</f>
        <v>0</v>
      </c>
      <c r="E15" s="278" t="str">
        <f>+'Water '!$C10</f>
        <v>0</v>
      </c>
      <c r="F15" s="278" t="str">
        <f>+'Water '!$C11</f>
        <v>0</v>
      </c>
      <c r="G15" s="278" t="str">
        <f>+'Water '!$C12</f>
        <v>0</v>
      </c>
      <c r="H15" s="278" t="str">
        <f>+'Water '!$C13</f>
        <v>0</v>
      </c>
      <c r="I15" s="278" t="str">
        <f>+'Water '!$C14</f>
        <v>0</v>
      </c>
      <c r="J15" s="278" t="str">
        <f>+'Water '!$C15</f>
        <v>0</v>
      </c>
      <c r="K15" s="278" t="str">
        <f>+'Water '!$C16</f>
        <v>0</v>
      </c>
      <c r="L15" s="278" t="str">
        <f>+'Water '!$C17</f>
        <v>0</v>
      </c>
      <c r="M15" s="279" t="str">
        <f>+'Water '!$C18</f>
        <v>0</v>
      </c>
      <c r="N15" s="279" t="str">
        <f>+'Water '!$C18</f>
        <v>0</v>
      </c>
      <c r="O15" s="278" t="str">
        <f>+'Water '!$C20</f>
        <v>0</v>
      </c>
      <c r="P15" s="278" t="str">
        <f>+'Water '!$C21</f>
        <v>0</v>
      </c>
      <c r="Q15" s="278" t="str">
        <f>+'Water '!$C22</f>
        <v>0</v>
      </c>
      <c r="R15" s="278" t="str">
        <f>+'Water '!$C23</f>
        <v>0</v>
      </c>
      <c r="S15" s="278" t="str">
        <f>+'Water '!$C24</f>
        <v>0</v>
      </c>
      <c r="T15" s="278" t="str">
        <f>+'Water '!$C25</f>
        <v>0</v>
      </c>
      <c r="U15" s="278" t="str">
        <f>+'Water '!$C26</f>
        <v>0</v>
      </c>
      <c r="V15" s="278" t="str">
        <f>+'Water '!$C27</f>
        <v>0</v>
      </c>
      <c r="W15" s="278" t="str">
        <f>+'Water '!$C28</f>
        <v>0</v>
      </c>
      <c r="X15" s="278" t="str">
        <f>+'Water '!$C29</f>
        <v>0</v>
      </c>
      <c r="Y15" s="278" t="str">
        <f>+'Water '!$C30</f>
        <v>0</v>
      </c>
      <c r="Z15" s="278" t="str">
        <f>+'Water '!$C31</f>
        <v>0</v>
      </c>
      <c r="AA15" s="278" t="str">
        <f>+'Water '!$C32</f>
        <v>0</v>
      </c>
      <c r="AB15" s="278" t="str">
        <f>+'Water '!$C33</f>
        <v>0</v>
      </c>
      <c r="AC15" s="278" t="str">
        <f>+'Water '!$C34</f>
        <v>0</v>
      </c>
      <c r="AD15" s="278" t="str">
        <f>+'Water '!$C35</f>
        <v>0</v>
      </c>
      <c r="AE15" s="278" t="str">
        <f>+'Water '!$C36</f>
        <v>0</v>
      </c>
      <c r="AF15" s="278" t="str">
        <f>+'Water '!$C37</f>
        <v>0</v>
      </c>
      <c r="AG15" s="280">
        <f>SUM($B15:AF15)</f>
        <v>0</v>
      </c>
      <c r="AH15" s="204"/>
    </row>
    <row r="16" spans="1:35" ht="18" x14ac:dyDescent="0.25">
      <c r="A16" s="277" t="s">
        <v>136</v>
      </c>
      <c r="B16" s="278" t="str">
        <f>+'Water '!$D7</f>
        <v>0</v>
      </c>
      <c r="C16" s="278">
        <f>+'Water '!$D8</f>
        <v>2</v>
      </c>
      <c r="D16" s="278">
        <f>+'Water '!$D9</f>
        <v>72</v>
      </c>
      <c r="E16" s="278">
        <f>+'Water '!$D10</f>
        <v>153</v>
      </c>
      <c r="F16" s="278">
        <f>+'Water '!$D11</f>
        <v>288</v>
      </c>
      <c r="G16" s="278">
        <f>+'Water '!$D12</f>
        <v>147</v>
      </c>
      <c r="H16" s="278">
        <f>+'Water '!$D13</f>
        <v>299</v>
      </c>
      <c r="I16" s="278">
        <f>+'Water '!$D14</f>
        <v>55</v>
      </c>
      <c r="J16" s="278">
        <f>+'Water '!$D15</f>
        <v>117</v>
      </c>
      <c r="K16" s="278">
        <f>+'Water '!$D16</f>
        <v>207</v>
      </c>
      <c r="L16" s="278">
        <f>+'Water '!$D17</f>
        <v>156</v>
      </c>
      <c r="M16" s="279">
        <f>+'Water '!$D18</f>
        <v>277</v>
      </c>
      <c r="N16" s="278">
        <f>+'Water '!$D19</f>
        <v>171</v>
      </c>
      <c r="O16" s="278">
        <f>+'Water '!$D20</f>
        <v>214</v>
      </c>
      <c r="P16" s="278" t="str">
        <f>+'Water '!$D21</f>
        <v>0</v>
      </c>
      <c r="Q16" s="278">
        <f>+'Water '!$D22</f>
        <v>50</v>
      </c>
      <c r="R16" s="278">
        <f>+'Water '!$D23</f>
        <v>136</v>
      </c>
      <c r="S16" s="278">
        <f>+'Water '!$D24</f>
        <v>261</v>
      </c>
      <c r="T16" s="278">
        <f>+'Water '!$D25</f>
        <v>180</v>
      </c>
      <c r="U16" s="278">
        <f>+'Water '!$D26</f>
        <v>163</v>
      </c>
      <c r="V16" s="278">
        <f>+'Water '!$D27</f>
        <v>154</v>
      </c>
      <c r="W16" s="278">
        <f>+'Water '!$D28</f>
        <v>115</v>
      </c>
      <c r="X16" s="278" t="str">
        <f>+'Water '!$D29</f>
        <v>0</v>
      </c>
      <c r="Y16" s="278">
        <f>+'Water '!$D30</f>
        <v>46</v>
      </c>
      <c r="Z16" s="278" t="str">
        <f>+'Water '!$D31</f>
        <v>0</v>
      </c>
      <c r="AA16" s="278">
        <f>+'Water '!$D32</f>
        <v>358</v>
      </c>
      <c r="AB16" s="278">
        <f>+'Water '!$D33</f>
        <v>153</v>
      </c>
      <c r="AC16" s="278" t="str">
        <f>+'Water '!$D34</f>
        <v>0</v>
      </c>
      <c r="AD16" s="278" t="str">
        <f>+'Water '!$D35</f>
        <v>0</v>
      </c>
      <c r="AE16" s="278" t="str">
        <f>+'Water '!$D36</f>
        <v>0</v>
      </c>
      <c r="AF16" s="278"/>
      <c r="AG16" s="280">
        <f>SUM($B16:AF16)</f>
        <v>3774</v>
      </c>
      <c r="AH16" s="204"/>
    </row>
    <row r="17" spans="1:36" ht="18" x14ac:dyDescent="0.25">
      <c r="A17" s="277" t="s">
        <v>137</v>
      </c>
      <c r="B17" s="281">
        <f>+'Water '!$E7</f>
        <v>255</v>
      </c>
      <c r="C17" s="282">
        <f>+'Water '!$E8</f>
        <v>79</v>
      </c>
      <c r="D17" s="281">
        <f>+'Water '!$E9</f>
        <v>188</v>
      </c>
      <c r="E17" s="281">
        <f>+'Water '!$E10</f>
        <v>207</v>
      </c>
      <c r="F17" s="281">
        <f>+'Water '!$E11</f>
        <v>142</v>
      </c>
      <c r="G17" s="281">
        <f>+'Water '!$E12</f>
        <v>213</v>
      </c>
      <c r="H17" s="283" t="str">
        <f>+'Water '!$E13</f>
        <v>0</v>
      </c>
      <c r="I17" s="282" t="str">
        <f>+'Water '!$E14</f>
        <v>0</v>
      </c>
      <c r="J17" s="283" t="str">
        <f>+'Water '!$E15</f>
        <v>0</v>
      </c>
      <c r="K17" s="283">
        <f>+'Water '!$E16</f>
        <v>106</v>
      </c>
      <c r="L17" s="283">
        <f>+'Water '!$E17</f>
        <v>218</v>
      </c>
      <c r="M17" s="284">
        <f>+'Water '!$E18</f>
        <v>168</v>
      </c>
      <c r="N17" s="281">
        <f>+'Water '!$E19</f>
        <v>256</v>
      </c>
      <c r="O17" s="283">
        <f>+'Water '!$E20</f>
        <v>256</v>
      </c>
      <c r="P17" s="283">
        <f>+'Water '!$E21</f>
        <v>190</v>
      </c>
      <c r="Q17" s="283" t="str">
        <f>+'Water '!$E22</f>
        <v>0</v>
      </c>
      <c r="R17" s="283">
        <f>+'Water '!$E23</f>
        <v>200</v>
      </c>
      <c r="S17" s="283">
        <f>+'Water '!$E24</f>
        <v>133</v>
      </c>
      <c r="T17" s="283">
        <f>+'Water '!$E25</f>
        <v>238</v>
      </c>
      <c r="U17" s="283">
        <f>+'Water '!$E26</f>
        <v>260</v>
      </c>
      <c r="V17" s="283">
        <f>+'Water '!$E27</f>
        <v>248</v>
      </c>
      <c r="W17" s="283">
        <f>+'Water '!$E28</f>
        <v>7</v>
      </c>
      <c r="X17" s="283">
        <f>+'Water '!$E29</f>
        <v>83</v>
      </c>
      <c r="Y17" s="285">
        <f>+'Water '!$E30</f>
        <v>227</v>
      </c>
      <c r="Z17" s="285">
        <f>+'Water '!$E31</f>
        <v>274</v>
      </c>
      <c r="AA17" s="281">
        <f>+'Water '!$E32</f>
        <v>262</v>
      </c>
      <c r="AB17" s="283">
        <f>+'Water '!$E33</f>
        <v>190</v>
      </c>
      <c r="AC17" s="283">
        <f>+'Water '!$E34</f>
        <v>262</v>
      </c>
      <c r="AD17" s="281" t="str">
        <f>+'Water '!$E35</f>
        <v>0</v>
      </c>
      <c r="AE17" s="281" t="str">
        <f>+'Water '!$E36</f>
        <v>0</v>
      </c>
      <c r="AF17" s="281" t="str">
        <f>+'Water '!$E37</f>
        <v>0</v>
      </c>
      <c r="AG17" s="286">
        <f>SUM($B17:AF17)</f>
        <v>4662</v>
      </c>
      <c r="AH17" s="235"/>
      <c r="AI17" s="251"/>
    </row>
    <row r="18" spans="1:36" s="207" customFormat="1" ht="20.25" x14ac:dyDescent="0.3">
      <c r="A18" s="287" t="s">
        <v>183</v>
      </c>
      <c r="B18" s="288">
        <f>SUM(B15:B17)</f>
        <v>255</v>
      </c>
      <c r="C18" s="288">
        <f t="shared" ref="C18:AF18" si="0">SUM(C15:C17)</f>
        <v>81</v>
      </c>
      <c r="D18" s="288">
        <f t="shared" si="0"/>
        <v>260</v>
      </c>
      <c r="E18" s="288">
        <f t="shared" si="0"/>
        <v>360</v>
      </c>
      <c r="F18" s="288">
        <f t="shared" si="0"/>
        <v>430</v>
      </c>
      <c r="G18" s="288">
        <f t="shared" si="0"/>
        <v>360</v>
      </c>
      <c r="H18" s="288">
        <f t="shared" si="0"/>
        <v>299</v>
      </c>
      <c r="I18" s="288">
        <f t="shared" si="0"/>
        <v>55</v>
      </c>
      <c r="J18" s="288">
        <f t="shared" si="0"/>
        <v>117</v>
      </c>
      <c r="K18" s="288">
        <f t="shared" si="0"/>
        <v>313</v>
      </c>
      <c r="L18" s="288">
        <f t="shared" si="0"/>
        <v>374</v>
      </c>
      <c r="M18" s="288">
        <f t="shared" si="0"/>
        <v>445</v>
      </c>
      <c r="N18" s="392">
        <f t="shared" si="0"/>
        <v>427</v>
      </c>
      <c r="O18" s="392">
        <f t="shared" si="0"/>
        <v>470</v>
      </c>
      <c r="P18" s="392">
        <f t="shared" si="0"/>
        <v>190</v>
      </c>
      <c r="Q18" s="392">
        <f t="shared" si="0"/>
        <v>50</v>
      </c>
      <c r="R18" s="392">
        <f t="shared" si="0"/>
        <v>336</v>
      </c>
      <c r="S18" s="392">
        <f t="shared" si="0"/>
        <v>394</v>
      </c>
      <c r="T18" s="392">
        <f t="shared" si="0"/>
        <v>418</v>
      </c>
      <c r="U18" s="392">
        <f t="shared" si="0"/>
        <v>423</v>
      </c>
      <c r="V18" s="392">
        <f t="shared" si="0"/>
        <v>402</v>
      </c>
      <c r="W18" s="392">
        <f t="shared" si="0"/>
        <v>122</v>
      </c>
      <c r="X18" s="392">
        <f t="shared" si="0"/>
        <v>83</v>
      </c>
      <c r="Y18" s="392">
        <f t="shared" si="0"/>
        <v>273</v>
      </c>
      <c r="Z18" s="392">
        <f t="shared" si="0"/>
        <v>274</v>
      </c>
      <c r="AA18" s="392">
        <f t="shared" si="0"/>
        <v>620</v>
      </c>
      <c r="AB18" s="392">
        <f t="shared" si="0"/>
        <v>343</v>
      </c>
      <c r="AC18" s="392">
        <f t="shared" si="0"/>
        <v>262</v>
      </c>
      <c r="AD18" s="392">
        <f t="shared" si="0"/>
        <v>0</v>
      </c>
      <c r="AE18" s="392">
        <f t="shared" si="0"/>
        <v>0</v>
      </c>
      <c r="AF18" s="392">
        <f t="shared" si="0"/>
        <v>0</v>
      </c>
      <c r="AG18" s="288">
        <f>SUM($B18:AF18)</f>
        <v>8436</v>
      </c>
      <c r="AH18" s="288"/>
      <c r="AI18" s="289"/>
    </row>
    <row r="19" spans="1:36" ht="18" x14ac:dyDescent="0.25">
      <c r="A19" s="271"/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1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80"/>
      <c r="AH19" s="280"/>
      <c r="AI19" s="271"/>
    </row>
    <row r="20" spans="1:36" ht="18" hidden="1" x14ac:dyDescent="0.25">
      <c r="A20" s="277"/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1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80">
        <f>SUM($B20:AE20)</f>
        <v>0</v>
      </c>
      <c r="AH20" s="280"/>
      <c r="AI20" s="271"/>
    </row>
    <row r="21" spans="1:36" ht="18" x14ac:dyDescent="0.25">
      <c r="A21" s="292" t="s">
        <v>163</v>
      </c>
      <c r="B21" s="290">
        <f>0.73*(B96+B15)</f>
        <v>0</v>
      </c>
      <c r="C21" s="290">
        <f t="shared" ref="C21:AE21" si="1">0.73*(C96+C15)</f>
        <v>256.95999999999998</v>
      </c>
      <c r="D21" s="290">
        <f t="shared" si="1"/>
        <v>143.81</v>
      </c>
      <c r="E21" s="290">
        <f>0.73*(E96+E15)</f>
        <v>159.87</v>
      </c>
      <c r="F21" s="290">
        <f t="shared" si="1"/>
        <v>108.77</v>
      </c>
      <c r="G21" s="290">
        <f t="shared" si="1"/>
        <v>163.51999999999998</v>
      </c>
      <c r="H21" s="290">
        <f t="shared" si="1"/>
        <v>0</v>
      </c>
      <c r="I21" s="290">
        <f t="shared" si="1"/>
        <v>26.28</v>
      </c>
      <c r="J21" s="290">
        <f t="shared" si="1"/>
        <v>0</v>
      </c>
      <c r="K21" s="290">
        <f t="shared" si="1"/>
        <v>54.75</v>
      </c>
      <c r="L21" s="290">
        <f t="shared" si="1"/>
        <v>167.9</v>
      </c>
      <c r="M21" s="290">
        <f t="shared" si="1"/>
        <v>129.21</v>
      </c>
      <c r="N21" s="290">
        <f>0.73*(N96+N15)</f>
        <v>197.1</v>
      </c>
      <c r="O21" s="290">
        <f>0.73*(O96+O15)</f>
        <v>197.1</v>
      </c>
      <c r="P21" s="290">
        <f t="shared" si="1"/>
        <v>197.1</v>
      </c>
      <c r="Q21" s="290">
        <f>0.73*(Q96+Q15)</f>
        <v>197.1</v>
      </c>
      <c r="R21" s="290">
        <f t="shared" si="1"/>
        <v>197.1</v>
      </c>
      <c r="S21" s="290">
        <f t="shared" si="1"/>
        <v>197.1</v>
      </c>
      <c r="T21" s="290">
        <f t="shared" si="1"/>
        <v>183.23</v>
      </c>
      <c r="U21" s="290">
        <f t="shared" si="1"/>
        <v>200.01999999999998</v>
      </c>
      <c r="V21" s="290">
        <f t="shared" si="1"/>
        <v>191.26</v>
      </c>
      <c r="W21" s="290">
        <f>0.73*(W96+W15)</f>
        <v>5.1099999999999994</v>
      </c>
      <c r="X21" s="290">
        <f t="shared" si="1"/>
        <v>63.51</v>
      </c>
      <c r="Y21" s="290">
        <f>0.73*(Y96+Y15)</f>
        <v>175.93</v>
      </c>
      <c r="Z21" s="290">
        <f t="shared" si="1"/>
        <v>209.51</v>
      </c>
      <c r="AA21" s="290">
        <f t="shared" si="1"/>
        <v>186.88</v>
      </c>
      <c r="AB21" s="290">
        <f t="shared" si="1"/>
        <v>162.06</v>
      </c>
      <c r="AC21" s="290">
        <f t="shared" si="1"/>
        <v>201.48</v>
      </c>
      <c r="AD21" s="290">
        <f t="shared" si="1"/>
        <v>0</v>
      </c>
      <c r="AE21" s="290">
        <f t="shared" si="1"/>
        <v>0</v>
      </c>
      <c r="AF21" s="290">
        <f>0.73*(AF96+AF15)</f>
        <v>0</v>
      </c>
      <c r="AG21" s="280">
        <f>SUM($B21:AF21)</f>
        <v>3972.66</v>
      </c>
      <c r="AH21" s="293">
        <f>AG24+AG37+AG28</f>
        <v>9305</v>
      </c>
      <c r="AI21" s="271"/>
      <c r="AJ21" s="294">
        <f>(AH21*10)/AG9</f>
        <v>10.681034833752991</v>
      </c>
    </row>
    <row r="22" spans="1:36" ht="18" x14ac:dyDescent="0.25">
      <c r="A22" s="271"/>
      <c r="B22" s="252"/>
      <c r="C22" s="252"/>
      <c r="D22" s="252"/>
      <c r="E22" s="290">
        <f>0.73*(E97+E16)</f>
        <v>111.69</v>
      </c>
      <c r="F22" s="252"/>
      <c r="G22" s="252"/>
      <c r="H22" s="252"/>
      <c r="I22" s="252"/>
      <c r="J22" s="252"/>
      <c r="K22" s="252"/>
      <c r="L22" s="252"/>
      <c r="M22" s="253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4"/>
      <c r="AH22" s="254"/>
      <c r="AI22" s="271"/>
    </row>
    <row r="23" spans="1:36" ht="18" x14ac:dyDescent="0.25">
      <c r="A23" s="292" t="s">
        <v>142</v>
      </c>
      <c r="B23" s="290" t="str">
        <f>'Water '!Q7</f>
        <v>0</v>
      </c>
      <c r="C23" s="290" t="str">
        <f>'Water '!Q8</f>
        <v>0</v>
      </c>
      <c r="D23" s="290" t="str">
        <f>'Water '!Q9</f>
        <v>0</v>
      </c>
      <c r="E23" s="290" t="str">
        <f>'Water '!Q10</f>
        <v>0</v>
      </c>
      <c r="F23" s="290" t="str">
        <f>'Water '!Q11</f>
        <v>0</v>
      </c>
      <c r="G23" s="290" t="str">
        <f>'Water '!Q12</f>
        <v>0</v>
      </c>
      <c r="H23" s="290" t="str">
        <f>'Water '!Q13</f>
        <v>0</v>
      </c>
      <c r="I23" s="290" t="str">
        <f>'Water '!Q14</f>
        <v>0</v>
      </c>
      <c r="J23" s="290" t="str">
        <f>'Water '!Q15</f>
        <v>0</v>
      </c>
      <c r="K23" s="290" t="str">
        <f>'Water '!Q16</f>
        <v>0</v>
      </c>
      <c r="L23" s="290" t="str">
        <f>'Water '!Q17</f>
        <v>0</v>
      </c>
      <c r="M23" s="291" t="str">
        <f>'Water '!Q18</f>
        <v>0</v>
      </c>
      <c r="N23" s="290" t="str">
        <f>'Water '!Q19</f>
        <v>0</v>
      </c>
      <c r="O23" s="290" t="str">
        <f>'Water '!Q20</f>
        <v>0</v>
      </c>
      <c r="P23" s="290" t="str">
        <f>'Water '!Q21</f>
        <v>0</v>
      </c>
      <c r="Q23" s="290" t="str">
        <f>'Water '!Q22</f>
        <v>0</v>
      </c>
      <c r="R23" s="290" t="str">
        <f>'Water '!Q23</f>
        <v>0</v>
      </c>
      <c r="S23" s="290" t="str">
        <f>'Water '!Q24</f>
        <v>0</v>
      </c>
      <c r="T23" s="290" t="str">
        <f>'Water '!Q25</f>
        <v>0</v>
      </c>
      <c r="U23" s="290" t="str">
        <f>'Water '!Q26</f>
        <v>0</v>
      </c>
      <c r="V23" s="290" t="str">
        <f>'Water '!Q27</f>
        <v>0</v>
      </c>
      <c r="W23" s="290" t="str">
        <f>'Water '!Q28</f>
        <v>0</v>
      </c>
      <c r="X23" s="290" t="str">
        <f>'Water '!Q29</f>
        <v>0</v>
      </c>
      <c r="Y23" s="290" t="str">
        <f>'Water '!Q30</f>
        <v>0</v>
      </c>
      <c r="Z23" s="290" t="str">
        <f>'Water '!Q31</f>
        <v>0</v>
      </c>
      <c r="AA23" s="290" t="str">
        <f>'Water '!Q32</f>
        <v>0</v>
      </c>
      <c r="AB23" s="290" t="str">
        <f>'Water '!Q33</f>
        <v>0</v>
      </c>
      <c r="AC23" s="290" t="str">
        <f>'Water '!Q34</f>
        <v>0</v>
      </c>
      <c r="AD23" s="290" t="str">
        <f>'Water '!Q35</f>
        <v>0</v>
      </c>
      <c r="AE23" s="290" t="str">
        <f>'Water '!Q36</f>
        <v>0</v>
      </c>
      <c r="AF23" s="290" t="str">
        <f>'Water '!Q37</f>
        <v>0</v>
      </c>
      <c r="AG23" s="280">
        <f>SUM($B23:AF23)</f>
        <v>0</v>
      </c>
      <c r="AH23" s="280"/>
      <c r="AI23" s="271"/>
    </row>
    <row r="24" spans="1:36" ht="18" x14ac:dyDescent="0.25">
      <c r="A24" s="295" t="s">
        <v>181</v>
      </c>
      <c r="B24" s="281">
        <f>'Water '!H7</f>
        <v>20</v>
      </c>
      <c r="C24" s="281">
        <f>'Water '!H8</f>
        <v>83</v>
      </c>
      <c r="D24" s="281">
        <f>'Water '!H9</f>
        <v>249</v>
      </c>
      <c r="E24" s="281">
        <f>'Water '!H10</f>
        <v>210</v>
      </c>
      <c r="F24" s="281">
        <f>'Water '!H11</f>
        <v>253</v>
      </c>
      <c r="G24" s="281">
        <f>'Water '!H12</f>
        <v>208</v>
      </c>
      <c r="H24" s="281">
        <f>'Water '!H13</f>
        <v>12</v>
      </c>
      <c r="I24" s="281">
        <f>'Water '!H14</f>
        <v>72</v>
      </c>
      <c r="J24" s="281">
        <f>'Water '!H15</f>
        <v>18</v>
      </c>
      <c r="K24" s="281">
        <f>'Water '!H16</f>
        <v>223</v>
      </c>
      <c r="L24" s="281">
        <f>'Water '!H17</f>
        <v>275</v>
      </c>
      <c r="M24" s="296">
        <f>'Water '!H18</f>
        <v>199</v>
      </c>
      <c r="N24" s="281">
        <f>'Water '!H19</f>
        <v>236</v>
      </c>
      <c r="O24" s="281">
        <f>'Water '!H20</f>
        <v>169</v>
      </c>
      <c r="P24" s="281">
        <f>'Water '!H21</f>
        <v>61</v>
      </c>
      <c r="Q24" s="281">
        <f>'Water '!H22</f>
        <v>26</v>
      </c>
      <c r="R24" s="281">
        <f>'Water '!H23</f>
        <v>197</v>
      </c>
      <c r="S24" s="281">
        <f>'Water '!H24</f>
        <v>209</v>
      </c>
      <c r="T24" s="281">
        <f>'Water '!H25</f>
        <v>199</v>
      </c>
      <c r="U24" s="281">
        <f>'Water '!H26</f>
        <v>232</v>
      </c>
      <c r="V24" s="281">
        <f>'Water '!H27</f>
        <v>155</v>
      </c>
      <c r="W24" s="281">
        <f>'Water '!H28</f>
        <v>39</v>
      </c>
      <c r="X24" s="281">
        <f>'Water '!H29</f>
        <v>66</v>
      </c>
      <c r="Y24" s="281">
        <f>'Water '!H30</f>
        <v>240</v>
      </c>
      <c r="Z24" s="281">
        <f>'Water '!H31</f>
        <v>189</v>
      </c>
      <c r="AA24" s="281">
        <f>'Water '!H32</f>
        <v>176</v>
      </c>
      <c r="AB24" s="281">
        <f>'Water '!H33</f>
        <v>189</v>
      </c>
      <c r="AC24" s="281">
        <f>'Water '!H34</f>
        <v>206</v>
      </c>
      <c r="AD24" s="281">
        <f>'Water '!H35</f>
        <v>0</v>
      </c>
      <c r="AE24" s="281">
        <f>'Water '!H36</f>
        <v>0</v>
      </c>
      <c r="AF24" s="281">
        <f>'Water '!H37</f>
        <v>0</v>
      </c>
      <c r="AG24" s="286">
        <f>SUM($B24:AF24)</f>
        <v>4411</v>
      </c>
      <c r="AH24" s="286"/>
      <c r="AI24" s="286"/>
    </row>
    <row r="25" spans="1:36" s="207" customFormat="1" ht="20.25" x14ac:dyDescent="0.3">
      <c r="A25" s="297" t="s">
        <v>164</v>
      </c>
      <c r="B25" s="288">
        <f>SUM(B23:B24)</f>
        <v>20</v>
      </c>
      <c r="C25" s="288">
        <f t="shared" ref="C25:AF25" si="2">SUM(C23:C24)</f>
        <v>83</v>
      </c>
      <c r="D25" s="288">
        <f t="shared" si="2"/>
        <v>249</v>
      </c>
      <c r="E25" s="288">
        <f t="shared" si="2"/>
        <v>210</v>
      </c>
      <c r="F25" s="288">
        <f t="shared" si="2"/>
        <v>253</v>
      </c>
      <c r="G25" s="288">
        <f t="shared" si="2"/>
        <v>208</v>
      </c>
      <c r="H25" s="288">
        <f t="shared" si="2"/>
        <v>12</v>
      </c>
      <c r="I25" s="288">
        <f t="shared" si="2"/>
        <v>72</v>
      </c>
      <c r="J25" s="288">
        <f t="shared" si="2"/>
        <v>18</v>
      </c>
      <c r="K25" s="288">
        <f t="shared" si="2"/>
        <v>223</v>
      </c>
      <c r="L25" s="288">
        <f t="shared" si="2"/>
        <v>275</v>
      </c>
      <c r="M25" s="288">
        <f t="shared" si="2"/>
        <v>199</v>
      </c>
      <c r="N25" s="288">
        <f t="shared" si="2"/>
        <v>236</v>
      </c>
      <c r="O25" s="288">
        <f t="shared" si="2"/>
        <v>169</v>
      </c>
      <c r="P25" s="288">
        <f t="shared" si="2"/>
        <v>61</v>
      </c>
      <c r="Q25" s="288">
        <f t="shared" si="2"/>
        <v>26</v>
      </c>
      <c r="R25" s="288">
        <f t="shared" si="2"/>
        <v>197</v>
      </c>
      <c r="S25" s="288">
        <f t="shared" si="2"/>
        <v>209</v>
      </c>
      <c r="T25" s="288">
        <f t="shared" si="2"/>
        <v>199</v>
      </c>
      <c r="U25" s="288">
        <f t="shared" si="2"/>
        <v>232</v>
      </c>
      <c r="V25" s="288">
        <f t="shared" si="2"/>
        <v>155</v>
      </c>
      <c r="W25" s="288">
        <f t="shared" si="2"/>
        <v>39</v>
      </c>
      <c r="X25" s="288">
        <f t="shared" si="2"/>
        <v>66</v>
      </c>
      <c r="Y25" s="288">
        <f t="shared" si="2"/>
        <v>240</v>
      </c>
      <c r="Z25" s="288">
        <f t="shared" si="2"/>
        <v>189</v>
      </c>
      <c r="AA25" s="288">
        <f t="shared" si="2"/>
        <v>176</v>
      </c>
      <c r="AB25" s="288">
        <f t="shared" si="2"/>
        <v>189</v>
      </c>
      <c r="AC25" s="288">
        <f t="shared" si="2"/>
        <v>206</v>
      </c>
      <c r="AD25" s="288">
        <f t="shared" si="2"/>
        <v>0</v>
      </c>
      <c r="AE25" s="288">
        <f t="shared" si="2"/>
        <v>0</v>
      </c>
      <c r="AF25" s="288">
        <f t="shared" si="2"/>
        <v>0</v>
      </c>
      <c r="AG25" s="288">
        <f>SUM($B25:AF25)</f>
        <v>4411</v>
      </c>
      <c r="AH25" s="288"/>
      <c r="AI25" s="289"/>
    </row>
    <row r="26" spans="1:36" ht="18" x14ac:dyDescent="0.25">
      <c r="A26" s="277"/>
      <c r="B26" s="298" t="str">
        <f>IF(B$9=0,"",+(B25*10)/B$9)</f>
        <v/>
      </c>
      <c r="C26" s="298" t="str">
        <f t="shared" ref="C26:AD26" si="3">IF(C$9=0,"",+(C25*10)/C$9)</f>
        <v/>
      </c>
      <c r="D26" s="298">
        <f t="shared" si="3"/>
        <v>4.7646602280607482</v>
      </c>
      <c r="E26" s="298">
        <f>IF(E$9=0,"",+(E25*10)/E$9)</f>
        <v>3.9170481125423877</v>
      </c>
      <c r="F26" s="298">
        <f t="shared" si="3"/>
        <v>4.0684921814193729</v>
      </c>
      <c r="G26" s="298">
        <f t="shared" si="3"/>
        <v>5.2307305419338608</v>
      </c>
      <c r="H26" s="298" t="str">
        <f t="shared" si="3"/>
        <v/>
      </c>
      <c r="I26" s="298" t="str">
        <f t="shared" si="3"/>
        <v/>
      </c>
      <c r="J26" s="298" t="str">
        <f t="shared" si="3"/>
        <v/>
      </c>
      <c r="K26" s="298">
        <f t="shared" si="3"/>
        <v>5.4069257141748741</v>
      </c>
      <c r="L26" s="298">
        <f>IF(L$9=0,"",+(L25*10)/L$9)</f>
        <v>3.9914423476067311</v>
      </c>
      <c r="M26" s="298">
        <f t="shared" si="3"/>
        <v>3.2117080476688482</v>
      </c>
      <c r="N26" s="298">
        <f t="shared" si="3"/>
        <v>4.2271634658441615</v>
      </c>
      <c r="O26" s="298">
        <f>IF(O$9=0,"",+(O25*10)/O$9)</f>
        <v>5.6889714743524999</v>
      </c>
      <c r="P26" s="298" t="str">
        <f t="shared" si="3"/>
        <v/>
      </c>
      <c r="Q26" s="298" t="str">
        <f t="shared" si="3"/>
        <v/>
      </c>
      <c r="R26" s="298">
        <f t="shared" si="3"/>
        <v>6.2825689009650274</v>
      </c>
      <c r="S26" s="298">
        <f t="shared" si="3"/>
        <v>5.9356451109028425</v>
      </c>
      <c r="T26" s="298">
        <f t="shared" si="3"/>
        <v>5.1009161142810271</v>
      </c>
      <c r="U26" s="298">
        <f t="shared" si="3"/>
        <v>6.8647258429705795</v>
      </c>
      <c r="V26" s="298">
        <f t="shared" si="3"/>
        <v>3.4354664255190874</v>
      </c>
      <c r="W26" s="298">
        <f t="shared" si="3"/>
        <v>17.758349839491839</v>
      </c>
      <c r="X26" s="298" t="str">
        <f t="shared" si="3"/>
        <v/>
      </c>
      <c r="Y26" s="298">
        <f t="shared" si="3"/>
        <v>7.7188784469616571</v>
      </c>
      <c r="Z26" s="298">
        <f t="shared" si="3"/>
        <v>3.2858707557502735</v>
      </c>
      <c r="AA26" s="298">
        <f t="shared" si="3"/>
        <v>4.2659841092091932</v>
      </c>
      <c r="AB26" s="298">
        <f t="shared" si="3"/>
        <v>4.8536209553158702</v>
      </c>
      <c r="AC26" s="298">
        <f t="shared" si="3"/>
        <v>4.1025395914985818</v>
      </c>
      <c r="AD26" s="298" t="str">
        <f t="shared" si="3"/>
        <v/>
      </c>
      <c r="AE26" s="298" t="str">
        <f>IF(AE$9=0,"",+(AE25*10)/AE$9)</f>
        <v/>
      </c>
      <c r="AF26" s="298" t="str">
        <f>IF(AF$9=0,"",+(AF25*10)/AF$9)</f>
        <v/>
      </c>
      <c r="AG26" s="299"/>
      <c r="AH26" s="299"/>
      <c r="AI26" s="271"/>
    </row>
    <row r="27" spans="1:36" ht="18" x14ac:dyDescent="0.25">
      <c r="A27" s="300" t="s">
        <v>184</v>
      </c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1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80">
        <f>SUM($B27:AF27)</f>
        <v>0</v>
      </c>
      <c r="AH27" s="280"/>
      <c r="AI27" s="271"/>
    </row>
    <row r="28" spans="1:36" ht="18" x14ac:dyDescent="0.25">
      <c r="A28" s="277" t="s">
        <v>138</v>
      </c>
      <c r="B28" s="301" t="str">
        <f>+'Water '!$J7</f>
        <v>0</v>
      </c>
      <c r="C28" s="301" t="str">
        <f>+'Water '!$J8</f>
        <v>0</v>
      </c>
      <c r="D28" s="301">
        <f>+'Water '!$J9</f>
        <v>198</v>
      </c>
      <c r="E28" s="301">
        <f>+'Water '!$J10</f>
        <v>181</v>
      </c>
      <c r="F28" s="301">
        <f>+'Water '!$J11</f>
        <v>278</v>
      </c>
      <c r="G28" s="301">
        <f>+'Water '!$J12</f>
        <v>218</v>
      </c>
      <c r="H28" s="279" t="str">
        <f>+'Water '!$J13</f>
        <v>0</v>
      </c>
      <c r="I28" s="301">
        <f>+'Water '!$J14</f>
        <v>5</v>
      </c>
      <c r="J28" s="301" t="str">
        <f>+'Water '!$J15</f>
        <v>0</v>
      </c>
      <c r="K28" s="301">
        <f>+'Water '!$J16</f>
        <v>185</v>
      </c>
      <c r="L28" s="302">
        <f>+'Water '!$J17</f>
        <v>265</v>
      </c>
      <c r="M28" s="279">
        <f>+'Water '!$J18</f>
        <v>215</v>
      </c>
      <c r="N28" s="301">
        <f>+'Water '!$J19</f>
        <v>258</v>
      </c>
      <c r="O28" s="301">
        <f>+'Water '!$J20</f>
        <v>209</v>
      </c>
      <c r="P28" s="301" t="str">
        <f>+'Water '!$J21</f>
        <v>0</v>
      </c>
      <c r="Q28" s="301" t="str">
        <f>+'Water '!$J22</f>
        <v>0</v>
      </c>
      <c r="R28" s="278">
        <f>+'Water '!$J23</f>
        <v>227</v>
      </c>
      <c r="S28" s="302">
        <f>+'Water '!$J24</f>
        <v>209</v>
      </c>
      <c r="T28" s="301">
        <f>+'Water '!$J25</f>
        <v>186</v>
      </c>
      <c r="U28" s="301">
        <f>+'Water '!$J26</f>
        <v>214</v>
      </c>
      <c r="V28" s="301">
        <f>+'Water '!$J27</f>
        <v>202</v>
      </c>
      <c r="W28" s="301" t="str">
        <f>+'Water '!$J28</f>
        <v>0</v>
      </c>
      <c r="X28" s="301">
        <f>+'Water '!$J29</f>
        <v>53</v>
      </c>
      <c r="Y28" s="301">
        <f>+'Water '!$J30</f>
        <v>216</v>
      </c>
      <c r="Z28" s="301">
        <f>+'Water '!$J31</f>
        <v>243</v>
      </c>
      <c r="AA28" s="301">
        <f>+'Water '!$J32</f>
        <v>244</v>
      </c>
      <c r="AB28" s="302">
        <f>+'Water '!$J33</f>
        <v>239</v>
      </c>
      <c r="AC28" s="301">
        <f>+'Water '!$J34</f>
        <v>234</v>
      </c>
      <c r="AD28" s="278" t="str">
        <f>+'Water '!$J35</f>
        <v>0</v>
      </c>
      <c r="AE28" s="278" t="str">
        <f>+'Water '!$J36</f>
        <v>0</v>
      </c>
      <c r="AF28" s="278" t="str">
        <f>+'Water '!$J37</f>
        <v>0</v>
      </c>
      <c r="AG28" s="280">
        <f>SUM($B28:AF28)</f>
        <v>4279</v>
      </c>
      <c r="AH28" s="280"/>
      <c r="AI28" s="271"/>
    </row>
    <row r="29" spans="1:36" ht="17.25" customHeight="1" x14ac:dyDescent="0.25">
      <c r="A29" s="292" t="s">
        <v>188</v>
      </c>
      <c r="B29" s="290" t="str">
        <f>'Water '!W7</f>
        <v>0</v>
      </c>
      <c r="C29" s="290" t="str">
        <f>'Water '!W8</f>
        <v>0</v>
      </c>
      <c r="D29" s="290" t="str">
        <f>'Water '!W9</f>
        <v>0</v>
      </c>
      <c r="E29" s="290" t="str">
        <f>'Water '!W10</f>
        <v>0</v>
      </c>
      <c r="F29" s="290" t="str">
        <f>'Water '!W11</f>
        <v>0</v>
      </c>
      <c r="G29" s="290" t="str">
        <f>'Water '!W12</f>
        <v>0</v>
      </c>
      <c r="H29" s="290" t="str">
        <f>'Water '!W13</f>
        <v>0</v>
      </c>
      <c r="I29" s="290" t="str">
        <f>'Water '!W14</f>
        <v>0</v>
      </c>
      <c r="J29" s="290" t="str">
        <f>'Water '!W15</f>
        <v>0</v>
      </c>
      <c r="K29" s="290" t="str">
        <f>'Water '!W16</f>
        <v>0</v>
      </c>
      <c r="L29" s="290" t="str">
        <f>'Water '!W17</f>
        <v>0</v>
      </c>
      <c r="M29" s="290" t="str">
        <f>'Water '!W18</f>
        <v>0</v>
      </c>
      <c r="N29" s="290" t="str">
        <f>'Water '!W19</f>
        <v>0</v>
      </c>
      <c r="O29" s="290" t="str">
        <f>'Water '!W20</f>
        <v>0</v>
      </c>
      <c r="P29" s="290" t="str">
        <f>'Water '!W21</f>
        <v>0</v>
      </c>
      <c r="Q29" s="290" t="str">
        <f>'Water '!W22</f>
        <v>0</v>
      </c>
      <c r="R29" s="290" t="str">
        <f>'Water '!W23</f>
        <v>0</v>
      </c>
      <c r="S29" s="290" t="str">
        <f>'Water '!W24</f>
        <v>0</v>
      </c>
      <c r="T29" s="290" t="str">
        <f>'Water '!W25</f>
        <v>0</v>
      </c>
      <c r="U29" s="290" t="str">
        <f>'Water '!W26</f>
        <v>0</v>
      </c>
      <c r="V29" s="290" t="str">
        <f>'Water '!W27</f>
        <v>0</v>
      </c>
      <c r="W29" s="290" t="str">
        <f>'Water '!W28</f>
        <v>0</v>
      </c>
      <c r="X29" s="290" t="str">
        <f>'Water '!W29</f>
        <v>0</v>
      </c>
      <c r="Y29" s="290" t="str">
        <f>'Water '!W30</f>
        <v>0</v>
      </c>
      <c r="Z29" s="290" t="str">
        <f>'Water '!W31</f>
        <v>0</v>
      </c>
      <c r="AA29" s="290" t="str">
        <f>'Water '!W32</f>
        <v>0</v>
      </c>
      <c r="AB29" s="290" t="str">
        <f>'Water '!W33</f>
        <v>0</v>
      </c>
      <c r="AC29" s="290" t="str">
        <f>'Water '!W34</f>
        <v>0</v>
      </c>
      <c r="AD29" s="290" t="str">
        <f>'Water '!W35</f>
        <v>0</v>
      </c>
      <c r="AE29" s="290" t="e">
        <f>'Water '!W36</f>
        <v>#REF!</v>
      </c>
      <c r="AF29" s="290" t="str">
        <f>'Water '!X37</f>
        <v>0</v>
      </c>
      <c r="AG29" s="280" t="e">
        <f>SUM($B29:AF29)</f>
        <v>#REF!</v>
      </c>
      <c r="AH29" s="280"/>
      <c r="AI29" s="271"/>
    </row>
    <row r="30" spans="1:36" ht="17.25" customHeight="1" x14ac:dyDescent="0.25">
      <c r="A30" s="303" t="s">
        <v>209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0"/>
      <c r="AC30" s="290"/>
      <c r="AD30" s="290"/>
      <c r="AE30" s="290"/>
      <c r="AF30" s="290"/>
      <c r="AG30" s="280"/>
      <c r="AH30" s="280"/>
      <c r="AI30" s="271"/>
    </row>
    <row r="31" spans="1:36" ht="18" x14ac:dyDescent="0.25">
      <c r="A31" s="304" t="s">
        <v>187</v>
      </c>
      <c r="B31" s="305" t="str">
        <f>+'Water '!$K7</f>
        <v>0</v>
      </c>
      <c r="C31" s="305" t="str">
        <f>+'Water '!$K8</f>
        <v>0</v>
      </c>
      <c r="D31" s="305" t="str">
        <f>+'Water '!$K9</f>
        <v>0</v>
      </c>
      <c r="E31" s="305" t="str">
        <f>+'Water '!$K10</f>
        <v>0</v>
      </c>
      <c r="F31" s="305" t="str">
        <f>+'Water '!$K11</f>
        <v>0</v>
      </c>
      <c r="G31" s="305" t="str">
        <f>+'Water '!$K12</f>
        <v>0</v>
      </c>
      <c r="H31" s="305" t="str">
        <f>+'Water '!$K13</f>
        <v>0</v>
      </c>
      <c r="I31" s="305" t="str">
        <f>+'Water '!$K14</f>
        <v>0</v>
      </c>
      <c r="J31" s="305" t="str">
        <f>+'Water '!$K15</f>
        <v>0</v>
      </c>
      <c r="K31" s="305" t="str">
        <f>+'Water '!$K16</f>
        <v>0</v>
      </c>
      <c r="L31" s="305" t="str">
        <f>+'Water '!$K17</f>
        <v>0</v>
      </c>
      <c r="M31" s="305" t="str">
        <f>+'Water '!$K18</f>
        <v>0</v>
      </c>
      <c r="N31" s="305" t="str">
        <f>+'Water '!$K19</f>
        <v>0</v>
      </c>
      <c r="O31" s="305" t="str">
        <f>+'Water '!$K19</f>
        <v>0</v>
      </c>
      <c r="P31" s="305" t="str">
        <f>+'Water '!$K19</f>
        <v>0</v>
      </c>
      <c r="Q31" s="305" t="str">
        <f>+'Water '!$K22</f>
        <v>0</v>
      </c>
      <c r="R31" s="305" t="str">
        <f>+'Water '!$K22</f>
        <v>0</v>
      </c>
      <c r="S31" s="305" t="str">
        <f>+'Water '!$K22</f>
        <v>0</v>
      </c>
      <c r="T31" s="305" t="str">
        <f>+'Water '!$K25</f>
        <v>0</v>
      </c>
      <c r="U31" s="305" t="str">
        <f>+'Water '!$K26</f>
        <v>0</v>
      </c>
      <c r="V31" s="305" t="str">
        <f>+'Water '!$K27</f>
        <v>0</v>
      </c>
      <c r="W31" s="305" t="str">
        <f>+'Water '!$K28</f>
        <v>0</v>
      </c>
      <c r="X31" s="305" t="str">
        <f>+'Water '!$K29</f>
        <v>0</v>
      </c>
      <c r="Y31" s="305" t="str">
        <f>+'Water '!$K30</f>
        <v>0</v>
      </c>
      <c r="Z31" s="305" t="str">
        <f>+'Water '!$K31</f>
        <v>0</v>
      </c>
      <c r="AA31" s="305" t="str">
        <f>+'Water '!$K32</f>
        <v>0</v>
      </c>
      <c r="AB31" s="305" t="str">
        <f>+'Water '!$K33</f>
        <v>0</v>
      </c>
      <c r="AC31" s="305" t="str">
        <f>+'Water '!$K34</f>
        <v>0</v>
      </c>
      <c r="AD31" s="305" t="str">
        <f>+'Water '!$K35</f>
        <v>0</v>
      </c>
      <c r="AE31" s="305" t="str">
        <f>+'Water '!$K36</f>
        <v>0</v>
      </c>
      <c r="AF31" s="305" t="str">
        <f>+'Water '!$K37</f>
        <v>0</v>
      </c>
      <c r="AG31" s="306">
        <f>SUM($B31:AF31)</f>
        <v>0</v>
      </c>
      <c r="AH31" s="306"/>
      <c r="AI31" s="306"/>
    </row>
    <row r="32" spans="1:36" ht="17.25" customHeight="1" x14ac:dyDescent="0.25">
      <c r="A32" s="307" t="s">
        <v>189</v>
      </c>
      <c r="B32" s="308" t="str">
        <f>'Water '!L7</f>
        <v>0</v>
      </c>
      <c r="C32" s="308" t="str">
        <f>'Water '!L8</f>
        <v>0</v>
      </c>
      <c r="D32" s="308" t="str">
        <f>'Water '!L9</f>
        <v>0</v>
      </c>
      <c r="E32" s="308" t="str">
        <f>'Water '!L10</f>
        <v>0</v>
      </c>
      <c r="F32" s="308" t="str">
        <f>'Water '!L11</f>
        <v>0</v>
      </c>
      <c r="G32" s="308" t="str">
        <f>'Water '!L12</f>
        <v>0</v>
      </c>
      <c r="H32" s="308" t="str">
        <f>'Water '!L13</f>
        <v>0</v>
      </c>
      <c r="I32" s="308" t="str">
        <f>'Water '!L14</f>
        <v>0</v>
      </c>
      <c r="J32" s="308" t="str">
        <f>'Water '!L15</f>
        <v>0</v>
      </c>
      <c r="K32" s="308" t="str">
        <f>'Water '!L16</f>
        <v>0</v>
      </c>
      <c r="L32" s="308" t="str">
        <f>'Water '!L17</f>
        <v>0</v>
      </c>
      <c r="M32" s="308" t="str">
        <f>'Water '!L18</f>
        <v>0</v>
      </c>
      <c r="N32" s="308" t="str">
        <f>'Water '!L19</f>
        <v>0</v>
      </c>
      <c r="O32" s="308">
        <f>'Water '!M19</f>
        <v>5</v>
      </c>
      <c r="P32" s="308">
        <f>'Water '!N19</f>
        <v>62</v>
      </c>
      <c r="Q32" s="308" t="str">
        <f>'Water '!L22</f>
        <v>0</v>
      </c>
      <c r="R32" s="308" t="str">
        <f>'Water '!M22</f>
        <v>0</v>
      </c>
      <c r="S32" s="308">
        <f>'Water '!N22</f>
        <v>2</v>
      </c>
      <c r="T32" s="308" t="str">
        <f>'Water '!L25</f>
        <v>0</v>
      </c>
      <c r="U32" s="308" t="str">
        <f>'Water '!L26</f>
        <v>0</v>
      </c>
      <c r="V32" s="308" t="str">
        <f>'Water '!L27</f>
        <v>0</v>
      </c>
      <c r="W32" s="308" t="str">
        <f>'Water '!L28</f>
        <v>0</v>
      </c>
      <c r="X32" s="308" t="str">
        <f>'Water '!L29</f>
        <v>0</v>
      </c>
      <c r="Y32" s="308" t="str">
        <f>'Water '!L30</f>
        <v>0</v>
      </c>
      <c r="Z32" s="308" t="str">
        <f>'Water '!L31</f>
        <v>0</v>
      </c>
      <c r="AA32" s="308" t="str">
        <f>'Water '!L32</f>
        <v>0</v>
      </c>
      <c r="AB32" s="308" t="str">
        <f>'Water '!L33</f>
        <v>0</v>
      </c>
      <c r="AC32" s="308" t="str">
        <f>'Water '!L34</f>
        <v>0</v>
      </c>
      <c r="AD32" s="308" t="str">
        <f>'Water '!L35</f>
        <v>0</v>
      </c>
      <c r="AE32" s="308" t="str">
        <f>'Water '!L36</f>
        <v>0</v>
      </c>
      <c r="AF32" s="308" t="str">
        <f>'Water '!M37</f>
        <v>0</v>
      </c>
      <c r="AG32" s="306">
        <f>SUM($B32:AF32)</f>
        <v>69</v>
      </c>
      <c r="AH32" s="306"/>
      <c r="AI32" s="306"/>
    </row>
    <row r="33" spans="1:36" ht="18" x14ac:dyDescent="0.25">
      <c r="A33" s="307" t="s">
        <v>109</v>
      </c>
      <c r="B33" s="305" t="str">
        <f>+'Water '!$N7</f>
        <v>0</v>
      </c>
      <c r="C33" s="305" t="str">
        <f>+'Water '!$N8</f>
        <v>0</v>
      </c>
      <c r="D33" s="305">
        <f>+'Water '!$N9</f>
        <v>79</v>
      </c>
      <c r="E33" s="305">
        <f>+'Water '!$N10</f>
        <v>44</v>
      </c>
      <c r="F33" s="305">
        <f>+'Water '!$N11</f>
        <v>61</v>
      </c>
      <c r="G33" s="305">
        <f>+'Water '!$N12</f>
        <v>51</v>
      </c>
      <c r="H33" s="305" t="str">
        <f>+'Water '!$N13</f>
        <v>0</v>
      </c>
      <c r="I33" s="305" t="str">
        <f>+'Water '!$N14</f>
        <v>0</v>
      </c>
      <c r="J33" s="305" t="str">
        <f>+'Water '!$N15</f>
        <v>0</v>
      </c>
      <c r="K33" s="305">
        <f>+'Water '!$N16</f>
        <v>65</v>
      </c>
      <c r="L33" s="305">
        <f>+'Water '!$N17</f>
        <v>55</v>
      </c>
      <c r="M33" s="305">
        <f>+'Water '!$N18</f>
        <v>29</v>
      </c>
      <c r="N33" s="305">
        <f>+'Water '!$N19</f>
        <v>62</v>
      </c>
      <c r="O33" s="305">
        <f>+'Water '!$N19</f>
        <v>62</v>
      </c>
      <c r="P33" s="305">
        <f>+'Water '!$N19</f>
        <v>62</v>
      </c>
      <c r="Q33" s="305">
        <f>+'Water '!$N22</f>
        <v>2</v>
      </c>
      <c r="R33" s="305">
        <f>+'Water '!$N22</f>
        <v>2</v>
      </c>
      <c r="S33" s="305">
        <f>+'Water '!$N22</f>
        <v>2</v>
      </c>
      <c r="T33" s="305">
        <f>+'Water '!$N25</f>
        <v>54</v>
      </c>
      <c r="U33" s="305">
        <f>+'Water '!$N26</f>
        <v>72</v>
      </c>
      <c r="V33" s="305">
        <f>+'Water '!$N27</f>
        <v>32</v>
      </c>
      <c r="W33" s="305" t="str">
        <f>+'Water '!$N28</f>
        <v>0</v>
      </c>
      <c r="X33" s="305">
        <f>+'Water '!$N29</f>
        <v>20</v>
      </c>
      <c r="Y33" s="305">
        <f>+'Water '!$N30</f>
        <v>64</v>
      </c>
      <c r="Z33" s="305">
        <f>+'Water '!$N31</f>
        <v>30</v>
      </c>
      <c r="AA33" s="305">
        <f>+'Water '!$N32</f>
        <v>45</v>
      </c>
      <c r="AB33" s="305">
        <f>+'Water '!$N33</f>
        <v>42</v>
      </c>
      <c r="AC33" s="305">
        <f>+'Water '!$N34</f>
        <v>67</v>
      </c>
      <c r="AD33" s="305" t="str">
        <f>+'Water '!$N35</f>
        <v>0</v>
      </c>
      <c r="AE33" s="305" t="str">
        <f>+'Water '!$N36</f>
        <v>0</v>
      </c>
      <c r="AF33" s="305" t="str">
        <f>+'Water '!$N37</f>
        <v>0</v>
      </c>
      <c r="AG33" s="306">
        <f>SUM($B33:AF33)</f>
        <v>1002</v>
      </c>
      <c r="AH33" s="306"/>
      <c r="AI33" s="306"/>
      <c r="AJ33" s="228">
        <f>34294/2.2</f>
        <v>15588.181818181816</v>
      </c>
    </row>
    <row r="34" spans="1:36" ht="18" x14ac:dyDescent="0.25">
      <c r="A34" s="292" t="s">
        <v>140</v>
      </c>
      <c r="B34" s="309">
        <f>+'Water '!$O7</f>
        <v>33</v>
      </c>
      <c r="C34" s="309">
        <f>+'Water '!$O8</f>
        <v>2</v>
      </c>
      <c r="D34" s="309">
        <f>+'Water '!$O9</f>
        <v>81</v>
      </c>
      <c r="E34" s="309">
        <f>+'Water '!$O10</f>
        <v>70</v>
      </c>
      <c r="F34" s="309">
        <f>+'Water '!$O11</f>
        <v>91</v>
      </c>
      <c r="G34" s="309">
        <f>+'Water '!$O12</f>
        <v>60</v>
      </c>
      <c r="H34" s="309" t="str">
        <f>+'Water '!$O13</f>
        <v>0</v>
      </c>
      <c r="I34" s="309" t="str">
        <f>+'Water '!$O14</f>
        <v>0</v>
      </c>
      <c r="J34" s="309">
        <f>+'Water '!$O15</f>
        <v>32</v>
      </c>
      <c r="K34" s="309">
        <f>+'Water '!$O16</f>
        <v>75</v>
      </c>
      <c r="L34" s="309">
        <f>+'Water '!$O17</f>
        <v>97</v>
      </c>
      <c r="M34" s="309">
        <f>+'Water '!$O18</f>
        <v>86</v>
      </c>
      <c r="N34" s="309">
        <f>+'Water '!$O19</f>
        <v>85</v>
      </c>
      <c r="O34" s="309">
        <f>+'Water '!$O19</f>
        <v>85</v>
      </c>
      <c r="P34" s="309">
        <f>+'Water '!$O19</f>
        <v>85</v>
      </c>
      <c r="Q34" s="309">
        <f>+'Water '!$O19</f>
        <v>85</v>
      </c>
      <c r="R34" s="309">
        <f>+'Water '!$O19</f>
        <v>85</v>
      </c>
      <c r="S34" s="309">
        <f>+'Water '!$O19</f>
        <v>85</v>
      </c>
      <c r="T34" s="309">
        <f>+'Water '!$O25</f>
        <v>64</v>
      </c>
      <c r="U34" s="309">
        <f>+'Water '!$O26</f>
        <v>61</v>
      </c>
      <c r="V34" s="309">
        <f>+'Water '!$O27</f>
        <v>64</v>
      </c>
      <c r="W34" s="309">
        <f>+'Water '!$O28</f>
        <v>11</v>
      </c>
      <c r="X34" s="309" t="str">
        <f>+'Water '!$O29</f>
        <v>0</v>
      </c>
      <c r="Y34" s="309">
        <f>+'Water '!$O30</f>
        <v>80</v>
      </c>
      <c r="Z34" s="309">
        <f>+'Water '!$O31</f>
        <v>77</v>
      </c>
      <c r="AA34" s="309">
        <f>+'Water '!$O32</f>
        <v>63</v>
      </c>
      <c r="AB34" s="309">
        <f>+'Water '!$O33</f>
        <v>61</v>
      </c>
      <c r="AC34" s="309">
        <f>+'Water '!$O34</f>
        <v>67</v>
      </c>
      <c r="AD34" s="309" t="str">
        <f>+'Water '!$O35</f>
        <v>0</v>
      </c>
      <c r="AE34" s="309" t="str">
        <f>+'Water '!$O36</f>
        <v>0</v>
      </c>
      <c r="AF34" s="309" t="str">
        <f>+'Water '!$O37</f>
        <v>0</v>
      </c>
      <c r="AG34" s="309">
        <f>SUM($B34:AF34)</f>
        <v>1685</v>
      </c>
      <c r="AH34" s="309"/>
      <c r="AI34" s="309"/>
    </row>
    <row r="35" spans="1:36" ht="17.25" customHeight="1" x14ac:dyDescent="0.25">
      <c r="A35" s="292" t="s">
        <v>185</v>
      </c>
      <c r="B35" s="290">
        <f>IF('Entries Feb.''25'!AD8-'Entries Feb.''25'!AD7&lt;1,0,'Entries Feb.''25'!AD8-'Entries Feb.''25'!AD7)</f>
        <v>0</v>
      </c>
      <c r="C35" s="290">
        <f>IF('Entries Feb.''25'!AD9-'Entries Feb.''25'!AD8&lt;1,0,'Entries Feb.''25'!AD9-'Entries Feb.''25'!AD8)</f>
        <v>0</v>
      </c>
      <c r="D35" s="290">
        <f>IF('Entries Feb.''25'!AD10-'Entries Feb.''25'!AD9&lt;1,0,'Entries Feb.''25'!AD10-'Entries Feb.''25'!AD9)</f>
        <v>27</v>
      </c>
      <c r="E35" s="290">
        <f>IF('Entries Feb.''25'!AD11-'Entries Feb.''25'!AD10&lt;1,0,'Entries Feb.''25'!AD11-'Entries Feb.''25'!AD10)</f>
        <v>24</v>
      </c>
      <c r="F35" s="290">
        <f>IF('Entries Feb.''25'!AD12-'Entries Feb.''25'!AD11&lt;1,0,'Entries Feb.''25'!AD12-'Entries Feb.''25'!AD11)</f>
        <v>24</v>
      </c>
      <c r="G35" s="290">
        <f>IF('Entries Feb.''25'!AD13-'Entries Feb.''25'!AD12&lt;1,0,'Entries Feb.''25'!AD13-'Entries Feb.''25'!AD12)</f>
        <v>20</v>
      </c>
      <c r="H35" s="290">
        <f>IF('Entries Feb.''25'!AD14-'Entries Feb.''25'!AD13&lt;1,0,'Entries Feb.''25'!AD14-'Entries Feb.''25'!AD13)</f>
        <v>0</v>
      </c>
      <c r="I35" s="290">
        <f>IF('Entries Feb.''25'!AD15-'Entries Feb.''25'!AD14&lt;1,0,'Entries Feb.''25'!AD15-'Entries Feb.''25'!AD14)</f>
        <v>0</v>
      </c>
      <c r="J35" s="290">
        <f>IF('Entries Feb.''25'!AD16-'Entries Feb.''25'!AD15&lt;1,0,'Entries Feb.''25'!AD16-'Entries Feb.''25'!AD15)</f>
        <v>0</v>
      </c>
      <c r="K35" s="290">
        <f>IF('Entries Feb.''25'!AD17-'Entries Feb.''25'!AD16&lt;1,0,'Entries Feb.''25'!AD17-'Entries Feb.''25'!AD16)</f>
        <v>23</v>
      </c>
      <c r="L35" s="290">
        <f>IF('Entries Feb.''25'!AD18-'Entries Feb.''25'!AD17&lt;1,0,'Entries Feb.''25'!AD18-'Entries Feb.''25'!AD17)</f>
        <v>26</v>
      </c>
      <c r="M35" s="290">
        <f>IF('Entries Feb.''25'!AD19-'Entries Feb.''25'!AD18&lt;1,0,'Entries Feb.''25'!AD19-'Entries Feb.''25'!AD18)</f>
        <v>24</v>
      </c>
      <c r="N35" s="252">
        <f>IF('Entries Feb.''25'!AD20-'Entries Feb.''25'!AD19&lt;1,0,'Entries Feb.''25'!AD20-'Entries Feb.''25'!AD19)</f>
        <v>23</v>
      </c>
      <c r="O35" s="252">
        <f>IF('Entries Feb.''25'!AD21-'Entries Feb.''25'!AD20&lt;1,0,'Entries Feb.''25'!AD21-'Entries Feb.''25'!AD20)</f>
        <v>17</v>
      </c>
      <c r="P35" s="252">
        <f>IF('Entries Feb.''25'!AD22-'Entries Feb.''25'!AD21&lt;1,0,'Entries Feb.''25'!AD22-'Entries Feb.''25'!AD21)</f>
        <v>2</v>
      </c>
      <c r="Q35" s="252">
        <f>IF('Entries Feb.''25'!AD23-'Entries Feb.''25'!AD22&lt;1,0,'Entries Feb.''25'!AD23-'Entries Feb.''25'!AD22)</f>
        <v>0</v>
      </c>
      <c r="R35" s="252">
        <f>IF('Entries Feb.''25'!AD24-'Entries Feb.''25'!AD23&lt;1,0,'Entries Feb.''25'!AD24-'Entries Feb.''25'!AD23)</f>
        <v>23</v>
      </c>
      <c r="S35" s="252">
        <f>IF('Entries Feb.''25'!AD25-'Entries Feb.''25'!AD24&lt;1,0,'Entries Feb.''25'!AD25-'Entries Feb.''25'!AD24)</f>
        <v>19</v>
      </c>
      <c r="T35" s="252">
        <f>IF('Entries Feb.''25'!AD26-'Entries Feb.''25'!AD25&lt;1,0,'Entries Feb.''25'!AD26-'Entries Feb.''25'!AD25)</f>
        <v>22</v>
      </c>
      <c r="U35" s="252">
        <f>IF('Entries Feb.''25'!AD27-'Entries Feb.''25'!AD26&lt;1,0,'Entries Feb.''25'!AD27-'Entries Feb.''25'!AD26)</f>
        <v>12</v>
      </c>
      <c r="V35" s="252">
        <f>IF('Entries Feb.''25'!AD28-'Entries Feb.''25'!AD27&lt;1,0,'Entries Feb.''25'!AD28-'Entries Feb.''25'!AD27)</f>
        <v>11</v>
      </c>
      <c r="W35" s="252">
        <f>IF('Entries Feb.''25'!$AD29-'Entries Feb.''25'!$AD28&lt;1,0,'Entries Feb.''25'!$AD29-'Entries Feb.''25'!$AD28)</f>
        <v>0</v>
      </c>
      <c r="X35" s="252">
        <f>IF('Entries Feb.''25'!$AD30-'Entries Feb.''25'!$AD29&lt;1,0,'Entries Feb.''25'!$AD30-'Entries Feb.''25'!$AD29)</f>
        <v>0</v>
      </c>
      <c r="Y35" s="252">
        <f>IF('Entries Feb.''25'!$AD31-'Entries Feb.''25'!$AD30&lt;1,0,'Entries Feb.''25'!$AD31-'Entries Feb.''25'!$AD30)</f>
        <v>18</v>
      </c>
      <c r="Z35" s="252">
        <f>IF('Entries Feb.''25'!$AD32-'Entries Feb.''25'!$AD31&lt;1,0,'Entries Feb.''25'!$AD32-'Entries Feb.''25'!$AD31)</f>
        <v>23</v>
      </c>
      <c r="AA35" s="252">
        <f>IF('Entries Feb.''25'!$AD33-'Entries Feb.''25'!$AD32&lt;1,0,'Entries Feb.''25'!$AD33-'Entries Feb.''25'!$AD32)</f>
        <v>17</v>
      </c>
      <c r="AB35" s="252">
        <f>IF('Entries Feb.''25'!$AD34-'Entries Feb.''25'!$AD33&lt;1,0,'Entries Feb.''25'!$AD34-'Entries Feb.''25'!$AD33)</f>
        <v>23</v>
      </c>
      <c r="AC35" s="252">
        <f>IF('Entries Feb.''25'!$AD35-'Entries Feb.''25'!$AD34&lt;1,0,'Entries Feb.''25'!$AD35-'Entries Feb.''25'!$AD34)</f>
        <v>20</v>
      </c>
      <c r="AD35" s="252">
        <f>IF('Entries Feb.''25'!$AD36-'Entries Feb.''25'!$AD35&lt;1,0,'Entries Feb.''25'!$AD36-'Entries Feb.''25'!$AD35)</f>
        <v>0</v>
      </c>
      <c r="AE35" s="252">
        <f>IF('Entries Feb.''25'!$AD37-'Entries Feb.''25'!$AD36&lt;1,0,'Entries Feb.''25'!$AD37-'Entries Feb.''25'!$AD36)</f>
        <v>0</v>
      </c>
      <c r="AF35" s="252">
        <f>IF('Entries Feb.''25'!$AD38-'Entries Feb.''25'!$AD37&lt;1,0,'Entries Feb.''25'!$AD38-'Entries Feb.''25'!$AD37)</f>
        <v>0</v>
      </c>
      <c r="AG35" s="280">
        <f>SUM($B35:AF35)</f>
        <v>398</v>
      </c>
      <c r="AH35" s="280"/>
      <c r="AI35" s="271"/>
    </row>
    <row r="36" spans="1:36" ht="18" x14ac:dyDescent="0.25">
      <c r="A36" s="277" t="s">
        <v>139</v>
      </c>
      <c r="B36" s="278" t="str">
        <f>+'Water '!$M7</f>
        <v>0</v>
      </c>
      <c r="C36" s="278" t="str">
        <f>+'Water '!$M8</f>
        <v>0</v>
      </c>
      <c r="D36" s="278">
        <f>+'Water '!$M9</f>
        <v>7</v>
      </c>
      <c r="E36" s="278">
        <f>+'Water '!$M10</f>
        <v>3</v>
      </c>
      <c r="F36" s="278">
        <f>+'Water '!$M11</f>
        <v>5</v>
      </c>
      <c r="G36" s="278" t="str">
        <f>+'Water '!$M12</f>
        <v>0</v>
      </c>
      <c r="H36" s="278" t="str">
        <f>+'Water '!$M13</f>
        <v>0</v>
      </c>
      <c r="I36" s="278" t="str">
        <f>+'Water '!$M14</f>
        <v>0</v>
      </c>
      <c r="J36" s="278" t="str">
        <f>+'Water '!$M15</f>
        <v>0</v>
      </c>
      <c r="K36" s="278">
        <f>+'Water '!$M16</f>
        <v>14</v>
      </c>
      <c r="L36" s="278">
        <f>+'Water '!$M17</f>
        <v>10</v>
      </c>
      <c r="M36" s="278" t="str">
        <f>+'Water '!$M18</f>
        <v>0</v>
      </c>
      <c r="N36" s="278">
        <f>+'Water '!$M19</f>
        <v>5</v>
      </c>
      <c r="O36" s="278">
        <f>+'Water '!$M20</f>
        <v>4</v>
      </c>
      <c r="P36" s="278" t="str">
        <f>+'Water '!$M21</f>
        <v>0</v>
      </c>
      <c r="Q36" s="278" t="str">
        <f>+'Water '!$M22</f>
        <v>0</v>
      </c>
      <c r="R36" s="278" t="str">
        <f>+'Water '!$M23</f>
        <v>0</v>
      </c>
      <c r="S36" s="278" t="str">
        <f>+'Water '!$M24</f>
        <v>0</v>
      </c>
      <c r="T36" s="278">
        <f>+'Water '!$M25</f>
        <v>1</v>
      </c>
      <c r="U36" s="278">
        <f>+'Water '!$M26</f>
        <v>3</v>
      </c>
      <c r="V36" s="278" t="str">
        <f>+'Water '!$M27</f>
        <v>0</v>
      </c>
      <c r="W36" s="278" t="str">
        <f>+'Water '!$M28</f>
        <v>0</v>
      </c>
      <c r="X36" s="278" t="str">
        <f>+'Water '!$M29</f>
        <v>0</v>
      </c>
      <c r="Y36" s="278">
        <f>+'Water '!$M30</f>
        <v>32</v>
      </c>
      <c r="Z36" s="278">
        <f>+'Water '!$M31</f>
        <v>5</v>
      </c>
      <c r="AA36" s="278" t="str">
        <f>+'Water '!$M32</f>
        <v>0</v>
      </c>
      <c r="AB36" s="278">
        <f>+'Water '!$M33</f>
        <v>6</v>
      </c>
      <c r="AC36" s="278">
        <f>+'Water '!$M34</f>
        <v>3</v>
      </c>
      <c r="AD36" s="278" t="str">
        <f>+'Water '!$M35</f>
        <v>0</v>
      </c>
      <c r="AE36" s="278" t="str">
        <f>+'Water '!$M36</f>
        <v>0</v>
      </c>
      <c r="AF36" s="278" t="str">
        <f>+'Water '!$M37</f>
        <v>0</v>
      </c>
      <c r="AG36" s="280">
        <f>SUM($B36:AF36)</f>
        <v>98</v>
      </c>
      <c r="AH36" s="280"/>
      <c r="AI36" s="271"/>
    </row>
    <row r="37" spans="1:36" ht="18" x14ac:dyDescent="0.25">
      <c r="A37" s="307" t="s">
        <v>141</v>
      </c>
      <c r="B37" s="305">
        <f>+'Water '!$P7</f>
        <v>41</v>
      </c>
      <c r="C37" s="305">
        <f>+'Water '!$P8</f>
        <v>18</v>
      </c>
      <c r="D37" s="305">
        <f>+'Water '!$P9</f>
        <v>60</v>
      </c>
      <c r="E37" s="305">
        <f>+'Water '!$P10</f>
        <v>51</v>
      </c>
      <c r="F37" s="305">
        <f>+'Water '!$P11</f>
        <v>42</v>
      </c>
      <c r="G37" s="305">
        <f>+'Water '!$P12</f>
        <v>32</v>
      </c>
      <c r="H37" s="305" t="str">
        <f>+'Water '!$P13</f>
        <v>0</v>
      </c>
      <c r="I37" s="305">
        <f>+'Water '!$P14</f>
        <v>8</v>
      </c>
      <c r="J37" s="305">
        <f>+'Water '!$P15</f>
        <v>8</v>
      </c>
      <c r="K37" s="305">
        <f>+'Water '!$P16</f>
        <v>22</v>
      </c>
      <c r="L37" s="305">
        <f>+'Water '!$P17</f>
        <v>27</v>
      </c>
      <c r="M37" s="305">
        <f>+'Water '!$P18</f>
        <v>31</v>
      </c>
      <c r="N37" s="305">
        <f>+'Water '!$P19</f>
        <v>28</v>
      </c>
      <c r="O37" s="305">
        <f>+'Water '!$P19</f>
        <v>28</v>
      </c>
      <c r="P37" s="305">
        <f>+'Water '!$P21</f>
        <v>8</v>
      </c>
      <c r="Q37" s="305">
        <f>+'Water '!$P22</f>
        <v>11</v>
      </c>
      <c r="R37" s="305">
        <f>+'Water '!$P22</f>
        <v>11</v>
      </c>
      <c r="S37" s="305">
        <f>+'Water '!$P24</f>
        <v>26</v>
      </c>
      <c r="T37" s="305">
        <f>+'Water '!$P25</f>
        <v>33</v>
      </c>
      <c r="U37" s="305">
        <f>+'Water '!$P26</f>
        <v>24</v>
      </c>
      <c r="V37" s="305">
        <f>+'Water '!$P27</f>
        <v>21</v>
      </c>
      <c r="W37" s="305">
        <f>+'Water '!$P28</f>
        <v>5</v>
      </c>
      <c r="X37" s="305">
        <f>+'Water '!$P29</f>
        <v>10</v>
      </c>
      <c r="Y37" s="305">
        <f>+'Water '!$P30</f>
        <v>17</v>
      </c>
      <c r="Z37" s="305">
        <f>+'Water '!$P31</f>
        <v>16</v>
      </c>
      <c r="AA37" s="305">
        <f>+'Water '!$P32</f>
        <v>12</v>
      </c>
      <c r="AB37" s="305">
        <f>+'Water '!$P33</f>
        <v>11</v>
      </c>
      <c r="AC37" s="305">
        <f>+'Water '!$P34</f>
        <v>14</v>
      </c>
      <c r="AD37" s="305" t="str">
        <f>+'Water '!$P35</f>
        <v>0</v>
      </c>
      <c r="AE37" s="305" t="str">
        <f>+'Water '!$P36</f>
        <v>0</v>
      </c>
      <c r="AF37" s="305" t="str">
        <f>+'Water '!$P37</f>
        <v>0</v>
      </c>
      <c r="AG37" s="306">
        <f>SUM($B37:AF37)</f>
        <v>615</v>
      </c>
      <c r="AH37" s="306"/>
      <c r="AI37" s="306"/>
    </row>
    <row r="38" spans="1:36" s="236" customFormat="1" ht="18" hidden="1" x14ac:dyDescent="0.25">
      <c r="A38" s="310" t="s">
        <v>182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278"/>
      <c r="P38" s="311"/>
      <c r="Q38" s="311"/>
      <c r="R38" s="278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1"/>
      <c r="AD38" s="311"/>
      <c r="AE38" s="311"/>
      <c r="AF38" s="311"/>
      <c r="AG38" s="312">
        <f>SUM($B38:AE38)</f>
        <v>0</v>
      </c>
      <c r="AH38" s="312"/>
      <c r="AI38" s="313"/>
    </row>
    <row r="39" spans="1:36" ht="17.25" customHeight="1" x14ac:dyDescent="0.25">
      <c r="A39" s="292" t="s">
        <v>222</v>
      </c>
      <c r="B39" s="290" t="str">
        <f>'Water '!X7</f>
        <v>0</v>
      </c>
      <c r="C39" s="290" t="str">
        <f>'Water '!X8</f>
        <v>0</v>
      </c>
      <c r="D39" s="290" t="str">
        <f>'Water '!X9</f>
        <v>0</v>
      </c>
      <c r="E39" s="290" t="str">
        <f>'Water '!X10</f>
        <v>0</v>
      </c>
      <c r="F39" s="290" t="str">
        <f>'Water '!X11</f>
        <v>0</v>
      </c>
      <c r="G39" s="290" t="str">
        <f>'Water '!X12</f>
        <v>0</v>
      </c>
      <c r="H39" s="290" t="str">
        <f>'Water '!X13</f>
        <v>0</v>
      </c>
      <c r="I39" s="290" t="str">
        <f>'Water '!X14</f>
        <v>0</v>
      </c>
      <c r="J39" s="290" t="str">
        <f>'Water '!X15</f>
        <v>0</v>
      </c>
      <c r="K39" s="290" t="str">
        <f>'Water '!X16</f>
        <v>0</v>
      </c>
      <c r="L39" s="290" t="str">
        <f>'Water '!X17</f>
        <v>0</v>
      </c>
      <c r="M39" s="290" t="str">
        <f>'Water '!X18</f>
        <v>0</v>
      </c>
      <c r="N39" s="290" t="str">
        <f>'Water '!X19</f>
        <v>0</v>
      </c>
      <c r="O39" s="290" t="str">
        <f>'Water '!X20</f>
        <v>0</v>
      </c>
      <c r="P39" s="290" t="str">
        <f>'Water '!X21</f>
        <v>0</v>
      </c>
      <c r="Q39" s="290" t="str">
        <f>'Water '!X22</f>
        <v>0</v>
      </c>
      <c r="R39" s="290" t="str">
        <f>'Water '!X23</f>
        <v>0</v>
      </c>
      <c r="S39" s="290" t="str">
        <f>'Water '!X24</f>
        <v>0</v>
      </c>
      <c r="T39" s="290" t="str">
        <f>'Water '!X25</f>
        <v>0</v>
      </c>
      <c r="U39" s="290" t="str">
        <f>'Water '!X26</f>
        <v>0</v>
      </c>
      <c r="V39" s="290" t="str">
        <f>'Water '!X27</f>
        <v>0</v>
      </c>
      <c r="W39" s="290" t="str">
        <f>'Water '!X28</f>
        <v>0</v>
      </c>
      <c r="X39" s="290" t="str">
        <f>'Water '!X29</f>
        <v>0</v>
      </c>
      <c r="Y39" s="290" t="str">
        <f>'Water '!X30</f>
        <v>0</v>
      </c>
      <c r="Z39" s="290" t="str">
        <f>'Water '!X31</f>
        <v>0</v>
      </c>
      <c r="AA39" s="290" t="str">
        <f>'Water '!X32</f>
        <v>0</v>
      </c>
      <c r="AB39" s="290" t="str">
        <f>'Water '!X33</f>
        <v>0</v>
      </c>
      <c r="AC39" s="290" t="str">
        <f>'Water '!X34</f>
        <v>0</v>
      </c>
      <c r="AD39" s="290" t="str">
        <f>'Water '!X35</f>
        <v>0</v>
      </c>
      <c r="AE39" s="290" t="str">
        <f>'Water '!X36</f>
        <v>0</v>
      </c>
      <c r="AF39" s="290">
        <f>'Water '!Y37</f>
        <v>0</v>
      </c>
      <c r="AG39" s="280">
        <f>SUM($B39:AF39)</f>
        <v>0</v>
      </c>
      <c r="AH39" s="280"/>
      <c r="AI39" s="271"/>
    </row>
    <row r="40" spans="1:36" ht="17.25" customHeight="1" x14ac:dyDescent="0.25">
      <c r="A40" s="292" t="s">
        <v>208</v>
      </c>
      <c r="B40" s="290">
        <f>'Water '!I7</f>
        <v>0</v>
      </c>
      <c r="C40" s="290">
        <f>'Water '!I8</f>
        <v>0</v>
      </c>
      <c r="D40" s="290">
        <f>'Water '!I9</f>
        <v>0</v>
      </c>
      <c r="E40" s="290">
        <f>'Water '!I10</f>
        <v>0</v>
      </c>
      <c r="F40" s="290">
        <f>'Water '!I11</f>
        <v>0</v>
      </c>
      <c r="G40" s="290">
        <f>'Water '!I12</f>
        <v>0</v>
      </c>
      <c r="H40" s="290">
        <f>'Water '!I13</f>
        <v>0</v>
      </c>
      <c r="I40" s="290">
        <f>'Water '!I14</f>
        <v>0</v>
      </c>
      <c r="J40" s="290">
        <f>'Water '!I15</f>
        <v>0</v>
      </c>
      <c r="K40" s="290">
        <f>'Water '!I16</f>
        <v>0</v>
      </c>
      <c r="L40" s="290">
        <f>'Water '!J16</f>
        <v>185</v>
      </c>
      <c r="M40" s="290" t="str">
        <f>'Water '!K16</f>
        <v>0</v>
      </c>
      <c r="N40" s="290">
        <f>'Water '!I19</f>
        <v>0</v>
      </c>
      <c r="O40" s="290">
        <f>'Water '!I20</f>
        <v>0</v>
      </c>
      <c r="P40" s="290">
        <f>'Water '!I21</f>
        <v>0</v>
      </c>
      <c r="Q40" s="290">
        <f>'Water '!I22</f>
        <v>0</v>
      </c>
      <c r="R40" s="290">
        <f>'Water '!I23</f>
        <v>0</v>
      </c>
      <c r="S40" s="290">
        <f>'Water '!I24</f>
        <v>0</v>
      </c>
      <c r="T40" s="290">
        <f>'Water '!I25</f>
        <v>0</v>
      </c>
      <c r="U40" s="290">
        <f>'Water '!I26</f>
        <v>0</v>
      </c>
      <c r="V40" s="290">
        <f>'Water '!I27</f>
        <v>0</v>
      </c>
      <c r="W40" s="290">
        <f>'Water '!I28</f>
        <v>0</v>
      </c>
      <c r="X40" s="290">
        <f>'Water '!I29</f>
        <v>0</v>
      </c>
      <c r="Y40" s="290">
        <f>'Water '!I30</f>
        <v>0</v>
      </c>
      <c r="Z40" s="290">
        <f>'Water '!I31</f>
        <v>0</v>
      </c>
      <c r="AA40" s="290">
        <f>'Water '!I32</f>
        <v>0</v>
      </c>
      <c r="AB40" s="290">
        <f>'Water '!I33</f>
        <v>0</v>
      </c>
      <c r="AC40" s="290">
        <f>'Water '!I34</f>
        <v>0</v>
      </c>
      <c r="AD40" s="290">
        <f>'Water '!J34</f>
        <v>234</v>
      </c>
      <c r="AE40" s="290">
        <f>'Water '!I36</f>
        <v>0</v>
      </c>
      <c r="AF40" s="290" t="str">
        <f>'Water '!J37</f>
        <v>0</v>
      </c>
      <c r="AG40" s="280">
        <f>SUM($B40:AF40)</f>
        <v>419</v>
      </c>
      <c r="AH40" s="280"/>
      <c r="AI40" s="271"/>
    </row>
    <row r="41" spans="1:36" ht="17.25" customHeight="1" x14ac:dyDescent="0.25">
      <c r="A41" s="303" t="s">
        <v>221</v>
      </c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0"/>
      <c r="W41" s="290"/>
      <c r="X41" s="290"/>
      <c r="Y41" s="290"/>
      <c r="Z41" s="290"/>
      <c r="AA41" s="290"/>
      <c r="AB41" s="290"/>
      <c r="AC41" s="290"/>
      <c r="AD41" s="290"/>
      <c r="AE41" s="290"/>
      <c r="AF41" s="290"/>
      <c r="AG41" s="280"/>
      <c r="AH41" s="280"/>
      <c r="AI41" s="314"/>
    </row>
    <row r="42" spans="1:36" s="237" customFormat="1" ht="20.25" x14ac:dyDescent="0.3">
      <c r="A42" s="315" t="s">
        <v>213</v>
      </c>
      <c r="B42" s="316">
        <f t="shared" ref="B42:AD42" si="4">SUM(B28:B41)</f>
        <v>74</v>
      </c>
      <c r="C42" s="316">
        <f>SUM(C28:C41)</f>
        <v>20</v>
      </c>
      <c r="D42" s="316">
        <f t="shared" si="4"/>
        <v>452</v>
      </c>
      <c r="E42" s="316">
        <f>SUM(E28:E41)</f>
        <v>373</v>
      </c>
      <c r="F42" s="316">
        <f t="shared" si="4"/>
        <v>501</v>
      </c>
      <c r="G42" s="316">
        <f>SUM(G28:G41)</f>
        <v>381</v>
      </c>
      <c r="H42" s="316">
        <f t="shared" si="4"/>
        <v>0</v>
      </c>
      <c r="I42" s="316">
        <f t="shared" si="4"/>
        <v>13</v>
      </c>
      <c r="J42" s="316">
        <f t="shared" si="4"/>
        <v>40</v>
      </c>
      <c r="K42" s="316">
        <f t="shared" si="4"/>
        <v>384</v>
      </c>
      <c r="L42" s="316">
        <f t="shared" si="4"/>
        <v>665</v>
      </c>
      <c r="M42" s="316">
        <f t="shared" si="4"/>
        <v>385</v>
      </c>
      <c r="N42" s="316">
        <f>SUM(N28:N41)</f>
        <v>461</v>
      </c>
      <c r="O42" s="316">
        <f>SUM(O28:O41)</f>
        <v>410</v>
      </c>
      <c r="P42" s="316">
        <f t="shared" si="4"/>
        <v>219</v>
      </c>
      <c r="Q42" s="316">
        <f t="shared" si="4"/>
        <v>98</v>
      </c>
      <c r="R42" s="316">
        <f t="shared" si="4"/>
        <v>348</v>
      </c>
      <c r="S42" s="316">
        <f t="shared" si="4"/>
        <v>343</v>
      </c>
      <c r="T42" s="316">
        <f t="shared" si="4"/>
        <v>360</v>
      </c>
      <c r="U42" s="316">
        <f t="shared" si="4"/>
        <v>386</v>
      </c>
      <c r="V42" s="316">
        <f t="shared" si="4"/>
        <v>330</v>
      </c>
      <c r="W42" s="316">
        <f t="shared" si="4"/>
        <v>16</v>
      </c>
      <c r="X42" s="316">
        <f t="shared" si="4"/>
        <v>83</v>
      </c>
      <c r="Y42" s="316">
        <f t="shared" si="4"/>
        <v>427</v>
      </c>
      <c r="Z42" s="316">
        <f t="shared" si="4"/>
        <v>394</v>
      </c>
      <c r="AA42" s="316">
        <f>SUM(AA28:AA41)</f>
        <v>381</v>
      </c>
      <c r="AB42" s="316">
        <f t="shared" si="4"/>
        <v>382</v>
      </c>
      <c r="AC42" s="316">
        <f t="shared" si="4"/>
        <v>405</v>
      </c>
      <c r="AD42" s="316">
        <f t="shared" si="4"/>
        <v>234</v>
      </c>
      <c r="AE42" s="316" t="e">
        <f>SUM(AE28:AE41)</f>
        <v>#REF!</v>
      </c>
      <c r="AF42" s="316">
        <f>SUM(AF28:AF41)</f>
        <v>0</v>
      </c>
      <c r="AG42" s="316" t="e">
        <f>SUM($B42:AF42)</f>
        <v>#REF!</v>
      </c>
      <c r="AH42" s="316"/>
      <c r="AI42" s="317"/>
    </row>
    <row r="43" spans="1:36" ht="18" x14ac:dyDescent="0.2">
      <c r="A43" s="318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</row>
    <row r="44" spans="1:36" ht="18" x14ac:dyDescent="0.2">
      <c r="A44" s="318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</row>
    <row r="45" spans="1:36" ht="20.25" x14ac:dyDescent="0.3">
      <c r="A45" s="272" t="s">
        <v>214</v>
      </c>
      <c r="B45" s="508"/>
      <c r="C45" s="508"/>
      <c r="D45" s="508"/>
      <c r="E45" s="508"/>
      <c r="F45" s="508"/>
      <c r="G45" s="508"/>
      <c r="H45" s="508"/>
      <c r="I45" s="508"/>
      <c r="J45" s="508"/>
      <c r="K45" s="508"/>
      <c r="L45" s="508"/>
      <c r="M45" s="508"/>
      <c r="N45" s="508"/>
      <c r="O45" s="508"/>
      <c r="P45" s="508"/>
      <c r="Q45" s="508"/>
      <c r="R45" s="508"/>
      <c r="S45" s="508"/>
      <c r="T45" s="508"/>
      <c r="U45" s="508"/>
      <c r="V45" s="508"/>
      <c r="W45" s="508"/>
      <c r="X45" s="508"/>
      <c r="Y45" s="508"/>
      <c r="Z45" s="508"/>
      <c r="AA45" s="508"/>
      <c r="AB45" s="508"/>
      <c r="AC45" s="508"/>
      <c r="AD45" s="508"/>
      <c r="AE45" s="508"/>
      <c r="AF45" s="231"/>
      <c r="AG45" s="509"/>
      <c r="AH45" s="509"/>
    </row>
    <row r="46" spans="1:36" ht="20.25" x14ac:dyDescent="0.3">
      <c r="A46" s="272"/>
      <c r="B46" s="231"/>
      <c r="C46" s="231"/>
      <c r="D46" s="510"/>
      <c r="E46" s="510"/>
      <c r="F46" s="510"/>
      <c r="G46" s="510"/>
      <c r="H46" s="510"/>
      <c r="I46" s="510"/>
      <c r="J46" s="510"/>
      <c r="K46" s="510"/>
      <c r="L46" s="510"/>
      <c r="M46" s="510"/>
      <c r="N46" s="510"/>
      <c r="O46" s="510"/>
      <c r="P46" s="510"/>
      <c r="Q46" s="510"/>
      <c r="R46" s="510"/>
      <c r="S46" s="510"/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231"/>
      <c r="AG46" s="509"/>
      <c r="AH46" s="509"/>
    </row>
    <row r="47" spans="1:36" s="515" customFormat="1" ht="26.25" x14ac:dyDescent="0.4">
      <c r="A47" s="511" t="s">
        <v>215</v>
      </c>
      <c r="B47" s="466">
        <f>IF('Entries Feb.''25'!M8-'Entries Feb.''25'!M7&lt;1,0,'Entries Feb.''25'!M8-'Entries Feb.''25'!M7)</f>
        <v>0</v>
      </c>
      <c r="C47" s="466">
        <f>IF('Entries Feb.''25'!M9-'Entries Feb.''25'!M8&lt;1,0,'Entries Feb.''25'!M9-'Entries Feb.''25'!M8)</f>
        <v>0</v>
      </c>
      <c r="D47" s="466">
        <f>IF('Entries Feb.''25'!M10-'Entries Feb.''25'!M9&lt;1,0,'Entries Feb.''25'!M10-'Entries Feb.''25'!M9)</f>
        <v>0</v>
      </c>
      <c r="E47" s="466">
        <f>IF('Entries Feb.''25'!M11-'Entries Feb.''25'!M10&lt;1,0,'Entries Feb.''25'!M11-'Entries Feb.''25'!M10)</f>
        <v>0</v>
      </c>
      <c r="F47" s="466">
        <f>IF('Entries Feb.''25'!M12-'Entries Feb.''25'!M11&lt;1,0,'Entries Feb.''25'!M12-'Entries Feb.''25'!M11)</f>
        <v>0</v>
      </c>
      <c r="G47" s="466">
        <f>IF('Entries Feb.''25'!M13-'Entries Feb.''25'!M12&lt;1,0,'Entries Feb.''25'!M13-'Entries Feb.''25'!M12)</f>
        <v>0</v>
      </c>
      <c r="H47" s="466">
        <f>IF('Entries Feb.''25'!M14-'Entries Feb.''25'!M13&lt;1,0,'Entries Feb.''25'!M14-'Entries Feb.''25'!M13)</f>
        <v>0</v>
      </c>
      <c r="I47" s="466">
        <f>IF('Entries Feb.''25'!M15-'Entries Feb.''25'!M14&lt;1,0,'Entries Feb.''25'!M15-'Entries Feb.''25'!M14)</f>
        <v>0</v>
      </c>
      <c r="J47" s="466">
        <f>IF('Entries Feb.''25'!M16-'Entries Feb.''25'!M15&lt;1,0,'Entries Feb.''25'!M16-'Entries Feb.''25'!M15)</f>
        <v>0</v>
      </c>
      <c r="K47" s="466">
        <f>IF('Entries Feb.''25'!M17-'Entries Feb.''25'!M16&lt;1,0,'Entries Feb.''25'!M17-'Entries Feb.''25'!M16)</f>
        <v>0</v>
      </c>
      <c r="L47" s="464">
        <f>IF('Entries Feb.''25'!M18-'Entries Feb.''25'!M17&lt;1,0,'Entries Feb.''25'!M18-'Entries Feb.''25'!M17)</f>
        <v>0</v>
      </c>
      <c r="M47" s="466">
        <f>IF('Entries Feb.''25'!M19-'Entries Feb.''25'!M18&lt;1,0,'Entries Feb.''25'!M19-'Entries Feb.''25'!M18)</f>
        <v>0</v>
      </c>
      <c r="N47" s="466">
        <f>IF('Entries Feb.''25'!M20-'Entries Feb.''25'!M19&lt;1,0,'Entries Feb.''25'!M20-'Entries Feb.''25'!M19)</f>
        <v>0</v>
      </c>
      <c r="O47" s="466">
        <f>IF('Entries Feb.''25'!M21-'Entries Feb.''25'!M20&lt;1,0,'Entries Feb.''25'!M21-'Entries Feb.''25'!M20)</f>
        <v>0</v>
      </c>
      <c r="P47" s="466">
        <f>IF('Entries Feb.''25'!M22-'Entries Feb.''25'!M21&lt;1,0,'Entries Feb.''25'!M22-'Entries Feb.''25'!M21)</f>
        <v>0</v>
      </c>
      <c r="Q47" s="466">
        <f>IF('Entries Feb.''25'!M23-'Entries Feb.''25'!M22&lt;1,0,'Entries Feb.''25'!M23-'Entries Feb.''25'!M22)</f>
        <v>0</v>
      </c>
      <c r="R47" s="466">
        <f>IF('Entries Feb.''25'!M24-'Entries Feb.''25'!M23&lt;1,0,'Entries Feb.''25'!M24-'Entries Feb.''25'!M23)</f>
        <v>0</v>
      </c>
      <c r="S47" s="466">
        <f>IF('Entries Feb.''25'!M25-'Entries Feb.''25'!M24&lt;1,0,'Entries Feb.''25'!M25-'Entries Feb.''25'!M24)</f>
        <v>0</v>
      </c>
      <c r="T47" s="466">
        <f>IF('Entries Feb.''25'!M26-'Entries Feb.''25'!M25&lt;1,0,'Entries Feb.''25'!M26-'Entries Feb.''25'!M25)</f>
        <v>0</v>
      </c>
      <c r="U47" s="466">
        <f>IF('Entries Feb.''25'!M27-'Entries Feb.''25'!M26&lt;1,0,'Entries Feb.''25'!M27-'Entries Feb.''25'!M26)</f>
        <v>0</v>
      </c>
      <c r="V47" s="466">
        <f>IF('Entries Feb.''25'!M28-'Entries Feb.''25'!M27&lt;1,0,'Entries Feb.''25'!M28-'Entries Feb.''25'!M27)</f>
        <v>0</v>
      </c>
      <c r="W47" s="466">
        <f>IF('Entries Feb.''25'!M29-'Entries Feb.''25'!M28&lt;1,0,'Entries Feb.''25'!M29-'Entries Feb.''25'!M28)</f>
        <v>0</v>
      </c>
      <c r="X47" s="466">
        <f>IF('Entries Feb.''25'!M30-'Entries Feb.''25'!M29&lt;1,0,'Entries Feb.''25'!M30-'Entries Feb.''25'!M29)</f>
        <v>0</v>
      </c>
      <c r="Y47" s="466">
        <f>IF('Entries Feb.''25'!M31-'Entries Feb.''25'!M30&lt;1,0,'Entries Feb.''25'!M31-'Entries Feb.''25'!M30)</f>
        <v>0</v>
      </c>
      <c r="Z47" s="466">
        <f>IF('Entries Feb.''25'!M32-'Entries Feb.''25'!M31&lt;1,0,'Entries Feb.''25'!M32-'Entries Feb.''25'!M31)</f>
        <v>0</v>
      </c>
      <c r="AA47" s="466">
        <f>IF('Entries Feb.''25'!M33-'Entries Feb.''25'!M32&lt;1,0,'Entries Feb.''25'!M33-'Entries Feb.''25'!M32)</f>
        <v>0</v>
      </c>
      <c r="AB47" s="466">
        <f>IF('Entries Feb.''25'!M34-'Entries Feb.''25'!M33&lt;1,0,'Entries Feb.''25'!M34-'Entries Feb.''25'!M33)</f>
        <v>0</v>
      </c>
      <c r="AC47" s="466">
        <f>IF('Entries Feb.''25'!M35-'Entries Feb.''25'!M34&lt;1,0,'Entries Feb.''25'!M35-'Entries Feb.''25'!M34)</f>
        <v>0</v>
      </c>
      <c r="AD47" s="466">
        <f>IF('Entries Feb.''25'!M36-'Entries Feb.''25'!M35&lt;1,0,'Entries Feb.''25'!M36-'Entries Feb.''25'!M35)</f>
        <v>0</v>
      </c>
      <c r="AE47" s="466">
        <f>IF('Entries Feb.''25'!M37-'Entries Feb.''25'!M36&lt;1,0,'Entries Feb.''25'!M37-'Entries Feb.''25'!M36)</f>
        <v>0</v>
      </c>
      <c r="AF47" s="512"/>
      <c r="AG47" s="513">
        <f>SUM($B47:AF47)</f>
        <v>0</v>
      </c>
      <c r="AH47" s="514"/>
      <c r="AI47" s="514"/>
    </row>
    <row r="48" spans="1:36" ht="20.25" hidden="1" x14ac:dyDescent="0.3">
      <c r="A48" s="272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20"/>
      <c r="AH48" s="267"/>
      <c r="AI48" s="321"/>
    </row>
    <row r="49" spans="1:35" s="687" customFormat="1" ht="20.25" x14ac:dyDescent="0.3">
      <c r="A49" s="682" t="s">
        <v>216</v>
      </c>
      <c r="B49" s="683">
        <f>'Daily KPIs'!B76</f>
        <v>0</v>
      </c>
      <c r="C49" s="683">
        <f>'Daily KPIs'!C76</f>
        <v>0</v>
      </c>
      <c r="D49" s="683">
        <f>'Daily KPIs'!D76</f>
        <v>29.340000000000032</v>
      </c>
      <c r="E49" s="683">
        <f>'Daily KPIs'!E76</f>
        <v>43.049999999999955</v>
      </c>
      <c r="F49" s="683">
        <f>'Daily KPIs'!F76</f>
        <v>40.720000000000027</v>
      </c>
      <c r="G49" s="683">
        <f>'Daily KPIs'!G76</f>
        <v>4.3899999999999864</v>
      </c>
      <c r="H49" s="683">
        <f>'Daily KPIs'!H76</f>
        <v>0</v>
      </c>
      <c r="I49" s="683">
        <f>'Daily KPIs'!I76</f>
        <v>0</v>
      </c>
      <c r="J49" s="683">
        <f>'Daily KPIs'!J76</f>
        <v>0</v>
      </c>
      <c r="K49" s="683">
        <f>'Daily KPIs'!K76</f>
        <v>0</v>
      </c>
      <c r="L49" s="683">
        <f>'Daily KPIs'!L76</f>
        <v>20</v>
      </c>
      <c r="M49" s="683">
        <f>'Daily KPIs'!M76</f>
        <v>34.580000000000041</v>
      </c>
      <c r="N49" s="683">
        <f>'Daily KPIs'!N76</f>
        <v>31.399999999999977</v>
      </c>
      <c r="O49" s="683">
        <f>'Daily KPIs'!O76</f>
        <v>37.139999999999986</v>
      </c>
      <c r="P49" s="683">
        <f>'Daily KPIs'!P76</f>
        <v>23.200000000000045</v>
      </c>
      <c r="Q49" s="683">
        <f>'Daily KPIs'!Q76</f>
        <v>0</v>
      </c>
      <c r="R49" s="683">
        <f>'Daily KPIs'!R76</f>
        <v>0</v>
      </c>
      <c r="S49" s="683">
        <f>'Daily KPIs'!S76</f>
        <v>21.089999999999918</v>
      </c>
      <c r="T49" s="683">
        <f>'Daily KPIs'!T76</f>
        <v>20.290000000000077</v>
      </c>
      <c r="U49" s="683">
        <f>'Daily KPIs'!U76</f>
        <v>24.339999999999918</v>
      </c>
      <c r="V49" s="683">
        <f>'Daily KPIs'!V76</f>
        <v>18.440000000000055</v>
      </c>
      <c r="W49" s="683">
        <f>'Daily KPIs'!W76</f>
        <v>14.919999999999959</v>
      </c>
      <c r="X49" s="683">
        <f>'Daily KPIs'!X76</f>
        <v>0</v>
      </c>
      <c r="Y49" s="683">
        <f>'Daily KPIs'!Y76</f>
        <v>0</v>
      </c>
      <c r="Z49" s="683">
        <f>'Daily KPIs'!Z76</f>
        <v>14.340000000000032</v>
      </c>
      <c r="AA49" s="683">
        <f>'Daily KPIs'!AA76</f>
        <v>19.009999999999991</v>
      </c>
      <c r="AB49" s="683">
        <f>'Daily KPIs'!AB76</f>
        <v>28.089999999999918</v>
      </c>
      <c r="AC49" s="683">
        <f>'Daily KPIs'!AC76</f>
        <v>6.57000000000005</v>
      </c>
      <c r="AD49" s="683">
        <f>'Daily KPIs'!AD76</f>
        <v>16</v>
      </c>
      <c r="AE49" s="683">
        <f>'Daily KPIs'!AE76</f>
        <v>0</v>
      </c>
      <c r="AF49" s="683">
        <f>'Daily KPIs'!AF76</f>
        <v>0</v>
      </c>
      <c r="AG49" s="684">
        <f>SUM($B49:AF49)</f>
        <v>446.90999999999997</v>
      </c>
      <c r="AH49" s="685"/>
      <c r="AI49" s="686"/>
    </row>
    <row r="50" spans="1:35" ht="18" hidden="1" x14ac:dyDescent="0.25">
      <c r="A50" s="272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04"/>
      <c r="AH50" s="204"/>
    </row>
    <row r="51" spans="1:35" ht="18" x14ac:dyDescent="0.25">
      <c r="A51" s="271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04"/>
      <c r="AH51" s="204"/>
    </row>
    <row r="52" spans="1:35" s="237" customFormat="1" ht="20.25" x14ac:dyDescent="0.3">
      <c r="A52" s="315" t="s">
        <v>144</v>
      </c>
      <c r="B52" s="322">
        <f>'Elec.Feb''25'!$B$7</f>
        <v>5855</v>
      </c>
      <c r="C52" s="322">
        <f>'Elec.Feb''25'!$B$8</f>
        <v>3460</v>
      </c>
      <c r="D52" s="322">
        <f>'Elec.Feb''25'!$B$9</f>
        <v>7875</v>
      </c>
      <c r="E52" s="322">
        <f>'Elec.Feb''25'!$B$10</f>
        <v>7756</v>
      </c>
      <c r="F52" s="322">
        <f>'Elec.Feb''25'!$B$11</f>
        <v>8477</v>
      </c>
      <c r="G52" s="322">
        <f>'Elec.Feb''25'!$B$12</f>
        <v>7797</v>
      </c>
      <c r="H52" s="322">
        <f>'Elec.Feb''25'!$B$13</f>
        <v>3697</v>
      </c>
      <c r="I52" s="322">
        <f>'Elec.Feb''25'!$B$14</f>
        <v>4659</v>
      </c>
      <c r="J52" s="322">
        <f>'Elec.Feb''25'!$B$15</f>
        <v>5407</v>
      </c>
      <c r="K52" s="322">
        <f>'Elec.Feb''25'!$B$16</f>
        <v>6755</v>
      </c>
      <c r="L52" s="322">
        <f>'Elec.Feb''25'!$B$17</f>
        <v>8429</v>
      </c>
      <c r="M52" s="322">
        <f>'Elec.Feb''25'!$B$18</f>
        <v>8273</v>
      </c>
      <c r="N52" s="322">
        <f>'Elec.Feb''25'!$B$19</f>
        <v>8452</v>
      </c>
      <c r="O52" s="322">
        <f>'Elec.Feb''25'!$B$20</f>
        <v>7340</v>
      </c>
      <c r="P52" s="322">
        <f>'Elec.Feb''25'!$B$21</f>
        <v>4100</v>
      </c>
      <c r="Q52" s="322">
        <f>'Elec.Feb''25'!$B$22</f>
        <v>4256</v>
      </c>
      <c r="R52" s="322">
        <f>'Elec.Feb''25'!$B$23</f>
        <v>7897</v>
      </c>
      <c r="S52" s="322">
        <f>'Elec.Feb''25'!$B$24</f>
        <v>8686</v>
      </c>
      <c r="T52" s="322">
        <f>'Elec.Feb''25'!$B$25</f>
        <v>8826</v>
      </c>
      <c r="U52" s="322">
        <f>'Elec.Feb''25'!$B$26</f>
        <v>8615</v>
      </c>
      <c r="V52" s="322">
        <f>'Elec.Feb''25'!$B$27</f>
        <v>8074</v>
      </c>
      <c r="W52" s="322">
        <f>'Elec.Feb''25'!$B$28</f>
        <v>4355</v>
      </c>
      <c r="X52" s="322">
        <f>'Elec.Feb''25'!$B$29</f>
        <v>4880</v>
      </c>
      <c r="Y52" s="322">
        <f>'Elec.Feb''25'!$B$30</f>
        <v>7857</v>
      </c>
      <c r="Z52" s="322">
        <f>'Elec.Feb''25'!$B$30</f>
        <v>7857</v>
      </c>
      <c r="AA52" s="322">
        <f>'Elec.Feb''25'!$B$32</f>
        <v>7906</v>
      </c>
      <c r="AB52" s="322">
        <f>'Elec.Feb''25'!$B$33</f>
        <v>8386</v>
      </c>
      <c r="AC52" s="322">
        <f>'Elec.Feb''25'!$B$34</f>
        <v>7988</v>
      </c>
      <c r="AD52" s="322" t="str">
        <f>'Elec.Feb''25'!$B$35</f>
        <v>0</v>
      </c>
      <c r="AE52" s="322">
        <f>'Elec.Feb''25'!$B$36</f>
        <v>0</v>
      </c>
      <c r="AF52" s="322">
        <f>'Elec.Feb''25'!$B$37</f>
        <v>0</v>
      </c>
      <c r="AG52" s="288">
        <f>SUM(B52:AF52)</f>
        <v>193915</v>
      </c>
      <c r="AH52" s="288"/>
      <c r="AI52" s="317"/>
    </row>
    <row r="53" spans="1:35" ht="20.25" x14ac:dyDescent="0.3">
      <c r="A53" s="272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4"/>
      <c r="Z53" s="324"/>
      <c r="AA53" s="323"/>
      <c r="AB53" s="323"/>
      <c r="AC53" s="323"/>
      <c r="AD53" s="323"/>
      <c r="AE53" s="323"/>
      <c r="AF53" s="323"/>
      <c r="AG53" s="267"/>
      <c r="AH53" s="267"/>
      <c r="AI53" s="321"/>
    </row>
    <row r="54" spans="1:35" s="237" customFormat="1" ht="20.25" x14ac:dyDescent="0.3">
      <c r="A54" s="315" t="s">
        <v>145</v>
      </c>
      <c r="B54" s="325">
        <f>+'Fuel '!$K7</f>
        <v>200</v>
      </c>
      <c r="C54" s="325">
        <f>+'Fuel '!$K8</f>
        <v>760</v>
      </c>
      <c r="D54" s="325">
        <f>+'Fuel '!$K9</f>
        <v>3100</v>
      </c>
      <c r="E54" s="325">
        <f>+'Fuel '!$K10</f>
        <v>3030</v>
      </c>
      <c r="F54" s="325">
        <f>+'Fuel '!$K11</f>
        <v>3400</v>
      </c>
      <c r="G54" s="325">
        <f>+'Fuel '!$K12</f>
        <v>2920</v>
      </c>
      <c r="H54" s="325">
        <f>+'Fuel '!$K13</f>
        <v>0</v>
      </c>
      <c r="I54" s="325">
        <f>+'Fuel '!$K14</f>
        <v>410</v>
      </c>
      <c r="J54" s="325">
        <f>+'Fuel '!$K15</f>
        <v>1100</v>
      </c>
      <c r="K54" s="325">
        <f>+'Fuel '!$K16</f>
        <v>2710</v>
      </c>
      <c r="L54" s="325">
        <f>+'Fuel '!$K17</f>
        <v>3220</v>
      </c>
      <c r="M54" s="325">
        <f>+'Fuel '!$K18</f>
        <v>3280</v>
      </c>
      <c r="N54" s="325">
        <f>+'Fuel '!$K19</f>
        <v>3570</v>
      </c>
      <c r="O54" s="325">
        <f>+'Fuel '!$K20</f>
        <v>2810</v>
      </c>
      <c r="P54" s="325">
        <f>+'Fuel '!$K21</f>
        <v>380</v>
      </c>
      <c r="Q54" s="325">
        <f>+'Fuel '!$K22</f>
        <v>650</v>
      </c>
      <c r="R54" s="325">
        <f>+'Fuel '!$K23</f>
        <v>2850</v>
      </c>
      <c r="S54" s="325">
        <f>+'Fuel '!$K24</f>
        <v>3020</v>
      </c>
      <c r="T54" s="325">
        <f>+'Fuel '!$K25</f>
        <v>3160</v>
      </c>
      <c r="U54" s="325">
        <f>+'Fuel '!$K26</f>
        <v>2970</v>
      </c>
      <c r="V54" s="325">
        <f>+'Fuel '!$K27</f>
        <v>2410</v>
      </c>
      <c r="W54" s="325">
        <f>+'Fuel '!$K28</f>
        <v>340</v>
      </c>
      <c r="X54" s="325">
        <f>+'Fuel '!$K29</f>
        <v>1010</v>
      </c>
      <c r="Y54" s="325">
        <f>+'Fuel '!$K30</f>
        <v>3110</v>
      </c>
      <c r="Z54" s="325">
        <f>+'Fuel '!$K31</f>
        <v>3250</v>
      </c>
      <c r="AA54" s="325">
        <f>+'Fuel '!$K32</f>
        <v>2810</v>
      </c>
      <c r="AB54" s="325">
        <f>+'Fuel '!$K33</f>
        <v>2940</v>
      </c>
      <c r="AC54" s="325">
        <f>+'Fuel '!$K34</f>
        <v>2650</v>
      </c>
      <c r="AD54" s="325">
        <f>+'Fuel '!$K35</f>
        <v>0</v>
      </c>
      <c r="AE54" s="325">
        <f>+'Fuel '!$K36</f>
        <v>0</v>
      </c>
      <c r="AF54" s="325">
        <f>+'Fuel '!$K37</f>
        <v>0</v>
      </c>
      <c r="AG54" s="369">
        <f>SUM($B54:AF54)</f>
        <v>62060</v>
      </c>
      <c r="AH54" s="288"/>
      <c r="AI54" s="317"/>
    </row>
    <row r="55" spans="1:35" ht="18" hidden="1" x14ac:dyDescent="0.25">
      <c r="A55" s="272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04"/>
      <c r="AH55" s="204"/>
    </row>
    <row r="56" spans="1:35" ht="18" x14ac:dyDescent="0.25">
      <c r="A56" s="271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04"/>
      <c r="AH56" s="204"/>
    </row>
    <row r="57" spans="1:35" ht="18" x14ac:dyDescent="0.25">
      <c r="A57" s="272" t="s">
        <v>212</v>
      </c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</row>
    <row r="58" spans="1:35" s="206" customFormat="1" ht="18" x14ac:dyDescent="0.25">
      <c r="A58" s="273" t="s">
        <v>135</v>
      </c>
      <c r="B58" s="274">
        <v>1</v>
      </c>
      <c r="C58" s="274">
        <v>2</v>
      </c>
      <c r="D58" s="274">
        <v>3</v>
      </c>
      <c r="E58" s="274">
        <v>4</v>
      </c>
      <c r="F58" s="274">
        <v>5</v>
      </c>
      <c r="G58" s="274">
        <v>6</v>
      </c>
      <c r="H58" s="274">
        <v>7</v>
      </c>
      <c r="I58" s="274">
        <v>8</v>
      </c>
      <c r="J58" s="274">
        <v>9</v>
      </c>
      <c r="K58" s="274">
        <v>10</v>
      </c>
      <c r="L58" s="274">
        <v>11</v>
      </c>
      <c r="M58" s="274">
        <v>12</v>
      </c>
      <c r="N58" s="274">
        <v>13</v>
      </c>
      <c r="O58" s="274">
        <v>14</v>
      </c>
      <c r="P58" s="274">
        <v>15</v>
      </c>
      <c r="Q58" s="274">
        <v>16</v>
      </c>
      <c r="R58" s="274">
        <v>17</v>
      </c>
      <c r="S58" s="274">
        <v>18</v>
      </c>
      <c r="T58" s="274">
        <v>19</v>
      </c>
      <c r="U58" s="274">
        <v>20</v>
      </c>
      <c r="V58" s="274">
        <v>21</v>
      </c>
      <c r="W58" s="274">
        <v>22</v>
      </c>
      <c r="X58" s="274">
        <v>9</v>
      </c>
      <c r="Y58" s="274">
        <v>24</v>
      </c>
      <c r="Z58" s="274">
        <v>25</v>
      </c>
      <c r="AA58" s="274">
        <v>26</v>
      </c>
      <c r="AB58" s="274">
        <v>27</v>
      </c>
      <c r="AC58" s="274">
        <v>28</v>
      </c>
      <c r="AD58" s="274">
        <v>29</v>
      </c>
      <c r="AE58" s="274">
        <v>30</v>
      </c>
      <c r="AF58" s="274">
        <v>31</v>
      </c>
      <c r="AG58" s="276" t="s">
        <v>95</v>
      </c>
      <c r="AH58" s="276" t="s">
        <v>165</v>
      </c>
      <c r="AI58" s="276" t="s">
        <v>223</v>
      </c>
    </row>
    <row r="59" spans="1:35" s="207" customFormat="1" ht="20.25" x14ac:dyDescent="0.3">
      <c r="A59" s="297" t="s">
        <v>149</v>
      </c>
      <c r="B59" s="326" t="str">
        <f>IF(B$9=0,"",+(B18*10)/B$9)</f>
        <v/>
      </c>
      <c r="C59" s="326" t="str">
        <f>IF(C$9=0,"",+(C18*10)/C$9)</f>
        <v/>
      </c>
      <c r="D59" s="326">
        <f t="shared" ref="D59:AE59" si="5">IF(D$9=0,"",+(D18*10)/D$9)</f>
        <v>4.975147226087528</v>
      </c>
      <c r="E59" s="326">
        <f t="shared" si="5"/>
        <v>6.7149396215012356</v>
      </c>
      <c r="F59" s="326">
        <f t="shared" si="5"/>
        <v>6.9148286087364843</v>
      </c>
      <c r="G59" s="326">
        <f t="shared" si="5"/>
        <v>9.0531874764239895</v>
      </c>
      <c r="H59" s="326" t="str">
        <f t="shared" si="5"/>
        <v/>
      </c>
      <c r="I59" s="326" t="str">
        <f t="shared" si="5"/>
        <v/>
      </c>
      <c r="J59" s="326" t="str">
        <f t="shared" si="5"/>
        <v/>
      </c>
      <c r="K59" s="326">
        <f>IF(K$9=0,"",+(K18*10)/K$9)</f>
        <v>7.5890930427656302</v>
      </c>
      <c r="L59" s="326">
        <f>IF(L$9=0,"",+(L18*10)/L$9)</f>
        <v>5.4283615927451541</v>
      </c>
      <c r="M59" s="326">
        <f>IF(M$9=0,"",+(M18*10)/M$9)</f>
        <v>7.1819602070986814</v>
      </c>
      <c r="N59" s="326">
        <f>IF(N$9=0,"",+(N18*10)/N$9)</f>
        <v>7.6482999996417664</v>
      </c>
      <c r="O59" s="326">
        <f t="shared" ref="O59:S59" si="6">IF(O$9=0,"",+(O18*10)/O$9)</f>
        <v>15.821399958258432</v>
      </c>
      <c r="P59" s="326" t="str">
        <f t="shared" si="6"/>
        <v/>
      </c>
      <c r="Q59" s="326" t="str">
        <f t="shared" si="6"/>
        <v/>
      </c>
      <c r="R59" s="326">
        <f t="shared" si="6"/>
        <v>10.715447465605326</v>
      </c>
      <c r="S59" s="326">
        <f t="shared" si="6"/>
        <v>11.189685041606316</v>
      </c>
      <c r="T59" s="326">
        <f t="shared" si="5"/>
        <v>10.714487114419443</v>
      </c>
      <c r="U59" s="326">
        <f t="shared" si="5"/>
        <v>12.516288929209288</v>
      </c>
      <c r="V59" s="326">
        <f t="shared" si="5"/>
        <v>8.9100484068301498</v>
      </c>
      <c r="W59" s="326">
        <f t="shared" si="5"/>
        <v>55.551761036359082</v>
      </c>
      <c r="X59" s="326" t="str">
        <f t="shared" si="5"/>
        <v/>
      </c>
      <c r="Y59" s="326">
        <f t="shared" si="5"/>
        <v>8.7802242334188847</v>
      </c>
      <c r="Z59" s="326">
        <f>IF(Z$9=0,"",+(Z18*10)/Z$9)</f>
        <v>4.7636433178601845</v>
      </c>
      <c r="AA59" s="326">
        <f t="shared" si="5"/>
        <v>15.027898566532384</v>
      </c>
      <c r="AB59" s="326">
        <f t="shared" si="5"/>
        <v>8.8084232152028754</v>
      </c>
      <c r="AC59" s="326">
        <f t="shared" si="5"/>
        <v>5.217793072682662</v>
      </c>
      <c r="AD59" s="326" t="str">
        <f>IF(AD$9=0,"",+(AD18*10)/AD$9)</f>
        <v/>
      </c>
      <c r="AE59" s="326" t="str">
        <f t="shared" si="5"/>
        <v/>
      </c>
      <c r="AF59" s="326" t="str">
        <f>IF(AF$9=0,"",+(AF18*10)/AF$9)</f>
        <v/>
      </c>
      <c r="AG59" s="327">
        <f>IF(AG$9=0,"",+(AG18*10)/AG$9)</f>
        <v>9.6835260459473655</v>
      </c>
      <c r="AH59" s="326">
        <f>'Daily KPIs'!AI88</f>
        <v>10.199999999999999</v>
      </c>
      <c r="AI59" s="328">
        <f>+AH59-AG59</f>
        <v>0.51647395405263374</v>
      </c>
    </row>
    <row r="60" spans="1:35" ht="18" hidden="1" x14ac:dyDescent="0.2">
      <c r="A60" s="277"/>
      <c r="M60" s="229"/>
      <c r="AG60" s="238"/>
      <c r="AH60" s="238"/>
    </row>
    <row r="61" spans="1:35" ht="18" x14ac:dyDescent="0.25">
      <c r="A61" s="300" t="s">
        <v>152</v>
      </c>
      <c r="M61" s="229"/>
      <c r="AG61" s="276" t="s">
        <v>95</v>
      </c>
      <c r="AH61" s="276" t="s">
        <v>165</v>
      </c>
      <c r="AI61" s="276" t="s">
        <v>223</v>
      </c>
    </row>
    <row r="62" spans="1:35" ht="18" x14ac:dyDescent="0.25">
      <c r="A62" s="277" t="s">
        <v>138</v>
      </c>
      <c r="B62" s="329" t="str">
        <f>IF(B$9=0,"",+(B28*10)/B$9)</f>
        <v/>
      </c>
      <c r="C62" s="329" t="str">
        <f>IF(C$9=0,"",+(C28*10)/C$9)</f>
        <v/>
      </c>
      <c r="D62" s="329">
        <f t="shared" ref="D62:W62" si="7">IF(D$9=0,"",+(D28*10)/D$9)</f>
        <v>3.7887659644820406</v>
      </c>
      <c r="E62" s="329">
        <f t="shared" si="7"/>
        <v>3.3761224208103435</v>
      </c>
      <c r="F62" s="329">
        <f t="shared" si="7"/>
        <v>4.4705171005319597</v>
      </c>
      <c r="G62" s="329">
        <f t="shared" si="7"/>
        <v>5.4822079718345273</v>
      </c>
      <c r="H62" s="329" t="str">
        <f t="shared" si="7"/>
        <v/>
      </c>
      <c r="I62" s="329" t="str">
        <f t="shared" si="7"/>
        <v/>
      </c>
      <c r="J62" s="329" t="str">
        <f t="shared" si="7"/>
        <v/>
      </c>
      <c r="K62" s="329">
        <f t="shared" si="7"/>
        <v>4.4855661754365546</v>
      </c>
      <c r="L62" s="329">
        <f t="shared" si="7"/>
        <v>3.8462989895119408</v>
      </c>
      <c r="M62" s="329">
        <f>IF(M$9=0,"",+(M28*10)/M$9)</f>
        <v>3.469935830395992</v>
      </c>
      <c r="N62" s="329">
        <f>IF(N$9=0,"",+(N28*10)/N$9)</f>
        <v>4.621221077066922</v>
      </c>
      <c r="O62" s="329">
        <f t="shared" ref="O62:S62" si="8">IF(O$9=0,"",+(O28*10)/O$9)</f>
        <v>7.0354735984596006</v>
      </c>
      <c r="P62" s="329" t="str">
        <f t="shared" si="8"/>
        <v/>
      </c>
      <c r="Q62" s="329" t="str">
        <f t="shared" si="8"/>
        <v/>
      </c>
      <c r="R62" s="329">
        <f t="shared" si="8"/>
        <v>7.239305281822646</v>
      </c>
      <c r="S62" s="329">
        <f t="shared" si="8"/>
        <v>5.9356451109028425</v>
      </c>
      <c r="T62" s="329">
        <f t="shared" si="7"/>
        <v>4.7676904384737231</v>
      </c>
      <c r="U62" s="329">
        <f t="shared" si="7"/>
        <v>6.3321178034297585</v>
      </c>
      <c r="V62" s="329">
        <f t="shared" si="7"/>
        <v>4.4771885029345526</v>
      </c>
      <c r="W62" s="329">
        <f t="shared" si="7"/>
        <v>0</v>
      </c>
      <c r="X62" s="329" t="str">
        <f t="shared" ref="X62:AF62" si="9">IF(X$9=0,"",+(X28*10)/X$9)</f>
        <v/>
      </c>
      <c r="Y62" s="329">
        <f t="shared" si="9"/>
        <v>6.9469906022654913</v>
      </c>
      <c r="Z62" s="329">
        <f t="shared" si="9"/>
        <v>4.2246909716789229</v>
      </c>
      <c r="AA62" s="329">
        <f t="shared" si="9"/>
        <v>5.9142052423127449</v>
      </c>
      <c r="AB62" s="329">
        <f t="shared" si="9"/>
        <v>6.137647663071391</v>
      </c>
      <c r="AC62" s="329">
        <f t="shared" si="9"/>
        <v>4.6601663320906219</v>
      </c>
      <c r="AD62" s="329" t="str">
        <f t="shared" si="9"/>
        <v/>
      </c>
      <c r="AE62" s="329" t="str">
        <f t="shared" si="9"/>
        <v/>
      </c>
      <c r="AF62" s="329" t="str">
        <f t="shared" si="9"/>
        <v/>
      </c>
      <c r="AG62" s="330">
        <f>IF(+(AG28*10)/AG$9&lt;1,0,+(AG28*10)/AG$9)</f>
        <v>4.9117837779289681</v>
      </c>
      <c r="AH62" s="330">
        <v>2.5</v>
      </c>
      <c r="AI62" s="331">
        <f t="shared" ref="AI62:AI78" si="10">AH62-AG62</f>
        <v>-2.4117837779289681</v>
      </c>
    </row>
    <row r="63" spans="1:35" ht="18.75" x14ac:dyDescent="0.3">
      <c r="A63" s="375" t="s">
        <v>239</v>
      </c>
      <c r="B63" s="376" t="str">
        <f>IF(B$93=0,"",+(B28*10)/B$93)</f>
        <v/>
      </c>
      <c r="C63" s="376" t="str">
        <f t="shared" ref="C63:AE63" si="11">IF(C$93=0,"",+(C28*10)/C$93)</f>
        <v/>
      </c>
      <c r="D63" s="376">
        <f t="shared" si="11"/>
        <v>4.7425149700598803</v>
      </c>
      <c r="E63" s="376">
        <f t="shared" si="11"/>
        <v>7.2866344605475035</v>
      </c>
      <c r="F63" s="376">
        <f t="shared" si="11"/>
        <v>7.018429689472355</v>
      </c>
      <c r="G63" s="376">
        <f t="shared" si="11"/>
        <v>10.686274509803921</v>
      </c>
      <c r="H63" s="376" t="str">
        <f t="shared" si="11"/>
        <v/>
      </c>
      <c r="I63" s="376" t="str">
        <f t="shared" si="11"/>
        <v/>
      </c>
      <c r="J63" s="376" t="str">
        <f t="shared" si="11"/>
        <v/>
      </c>
      <c r="K63" s="376">
        <f t="shared" si="11"/>
        <v>4.4968400583373844</v>
      </c>
      <c r="L63" s="376">
        <f t="shared" si="11"/>
        <v>7.3386873442259759</v>
      </c>
      <c r="M63" s="376">
        <f t="shared" si="11"/>
        <v>4.6943231441048034</v>
      </c>
      <c r="N63" s="376">
        <f t="shared" si="11"/>
        <v>6.615384615384615</v>
      </c>
      <c r="O63" s="376">
        <f t="shared" ref="O63:S63" si="12">IF(O$93=0,"",+(O28*10)/O$93)</f>
        <v>6.9113756613756623</v>
      </c>
      <c r="P63" s="376" t="str">
        <f t="shared" si="12"/>
        <v/>
      </c>
      <c r="Q63" s="376" t="str">
        <f t="shared" si="12"/>
        <v/>
      </c>
      <c r="R63" s="376">
        <f t="shared" si="12"/>
        <v>5.0022036139268398</v>
      </c>
      <c r="S63" s="376">
        <f t="shared" si="12"/>
        <v>5.1300932744231718</v>
      </c>
      <c r="T63" s="376">
        <f t="shared" si="11"/>
        <v>4.6039603960396036</v>
      </c>
      <c r="U63" s="376">
        <f t="shared" si="11"/>
        <v>5.3260328521652562</v>
      </c>
      <c r="V63" s="376">
        <f t="shared" si="11"/>
        <v>7.790204396451986</v>
      </c>
      <c r="W63" s="376" t="str">
        <f t="shared" si="11"/>
        <v/>
      </c>
      <c r="X63" s="376" t="str">
        <f t="shared" si="11"/>
        <v/>
      </c>
      <c r="Y63" s="376">
        <f t="shared" si="11"/>
        <v>5.2928203871600097</v>
      </c>
      <c r="Z63" s="376">
        <f t="shared" si="11"/>
        <v>6.0402684563758386</v>
      </c>
      <c r="AA63" s="376">
        <f t="shared" si="11"/>
        <v>5.4066031464657653</v>
      </c>
      <c r="AB63" s="376">
        <f t="shared" si="11"/>
        <v>6.8697901695889625</v>
      </c>
      <c r="AC63" s="376">
        <f t="shared" si="11"/>
        <v>7.7792553191489358</v>
      </c>
      <c r="AD63" s="376" t="str">
        <f t="shared" si="11"/>
        <v/>
      </c>
      <c r="AE63" s="376" t="str">
        <f t="shared" si="11"/>
        <v/>
      </c>
      <c r="AF63" s="376" t="str">
        <f>IF(AF$93=0,"",+(AF28*10)/AF$93)</f>
        <v/>
      </c>
      <c r="AG63" s="377">
        <f>IF(+(AG28*10)/AG$93&lt;1,0,+(AG28*10)/AG$93)</f>
        <v>6.0905830107037113</v>
      </c>
      <c r="AH63" s="377">
        <v>2.5</v>
      </c>
      <c r="AI63" s="378">
        <f t="shared" si="10"/>
        <v>-3.5905830107037113</v>
      </c>
    </row>
    <row r="64" spans="1:35" s="240" customFormat="1" ht="18" x14ac:dyDescent="0.25">
      <c r="A64" s="332" t="s">
        <v>188</v>
      </c>
      <c r="B64" s="333" t="str">
        <f>IF(B$9=0,"",+(B29*10)/B$9)</f>
        <v/>
      </c>
      <c r="C64" s="333" t="str">
        <f t="shared" ref="C64:AE64" si="13">IF(C$9=0,"",+(C29*10)/C$9)</f>
        <v/>
      </c>
      <c r="D64" s="333">
        <f t="shared" si="13"/>
        <v>0</v>
      </c>
      <c r="E64" s="333">
        <f t="shared" si="13"/>
        <v>0</v>
      </c>
      <c r="F64" s="333">
        <f t="shared" si="13"/>
        <v>0</v>
      </c>
      <c r="G64" s="333">
        <f t="shared" si="13"/>
        <v>0</v>
      </c>
      <c r="H64" s="333" t="str">
        <f t="shared" si="13"/>
        <v/>
      </c>
      <c r="I64" s="333" t="str">
        <f t="shared" si="13"/>
        <v/>
      </c>
      <c r="J64" s="333" t="str">
        <f t="shared" si="13"/>
        <v/>
      </c>
      <c r="K64" s="333">
        <f t="shared" si="13"/>
        <v>0</v>
      </c>
      <c r="L64" s="333">
        <f t="shared" si="13"/>
        <v>0</v>
      </c>
      <c r="M64" s="333">
        <f>IF(M$9=0,"",+(M29*10)/M$9)</f>
        <v>0</v>
      </c>
      <c r="N64" s="333">
        <f t="shared" si="13"/>
        <v>0</v>
      </c>
      <c r="O64" s="333">
        <f t="shared" ref="O64:S64" si="14">IF(O$9=0,"",+(O29*10)/O$9)</f>
        <v>0</v>
      </c>
      <c r="P64" s="333" t="str">
        <f t="shared" si="14"/>
        <v/>
      </c>
      <c r="Q64" s="333" t="str">
        <f t="shared" si="14"/>
        <v/>
      </c>
      <c r="R64" s="333">
        <f t="shared" si="14"/>
        <v>0</v>
      </c>
      <c r="S64" s="333">
        <f t="shared" si="14"/>
        <v>0</v>
      </c>
      <c r="T64" s="333">
        <f t="shared" si="13"/>
        <v>0</v>
      </c>
      <c r="U64" s="333">
        <f t="shared" si="13"/>
        <v>0</v>
      </c>
      <c r="V64" s="333">
        <f t="shared" si="13"/>
        <v>0</v>
      </c>
      <c r="W64" s="333">
        <f t="shared" si="13"/>
        <v>0</v>
      </c>
      <c r="X64" s="333" t="str">
        <f t="shared" si="13"/>
        <v/>
      </c>
      <c r="Y64" s="333">
        <f t="shared" si="13"/>
        <v>0</v>
      </c>
      <c r="Z64" s="333">
        <f t="shared" si="13"/>
        <v>0</v>
      </c>
      <c r="AA64" s="333">
        <f t="shared" si="13"/>
        <v>0</v>
      </c>
      <c r="AB64" s="333">
        <f t="shared" si="13"/>
        <v>0</v>
      </c>
      <c r="AC64" s="333">
        <f t="shared" si="13"/>
        <v>0</v>
      </c>
      <c r="AD64" s="333" t="str">
        <f t="shared" si="13"/>
        <v/>
      </c>
      <c r="AE64" s="333" t="str">
        <f t="shared" si="13"/>
        <v/>
      </c>
      <c r="AF64" s="333" t="str">
        <f>IF(AF$9=0,"",+(AF29*10)/AF$9)</f>
        <v/>
      </c>
      <c r="AG64" s="334" t="e">
        <f>+(AG29*10)/AG$9</f>
        <v>#REF!</v>
      </c>
      <c r="AH64" s="334">
        <v>0.1</v>
      </c>
      <c r="AI64" s="335" t="e">
        <f>AH64-AG64</f>
        <v>#REF!</v>
      </c>
    </row>
    <row r="65" spans="1:35" s="236" customFormat="1" ht="18" x14ac:dyDescent="0.25">
      <c r="A65" s="310" t="s">
        <v>209</v>
      </c>
      <c r="B65" s="336"/>
      <c r="C65" s="336"/>
      <c r="D65" s="336"/>
      <c r="E65" s="336"/>
      <c r="F65" s="336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  <c r="AA65" s="336"/>
      <c r="AB65" s="336"/>
      <c r="AC65" s="336"/>
      <c r="AD65" s="336"/>
      <c r="AE65" s="336"/>
      <c r="AF65" s="336"/>
      <c r="AG65" s="337"/>
      <c r="AH65" s="337">
        <v>0.1</v>
      </c>
      <c r="AI65" s="338">
        <f>AH65-AG65</f>
        <v>0.1</v>
      </c>
    </row>
    <row r="66" spans="1:35" ht="18" x14ac:dyDescent="0.25">
      <c r="A66" s="277" t="s">
        <v>187</v>
      </c>
      <c r="B66" s="329" t="str">
        <f t="shared" ref="B66:AE66" si="15">IF(B$9=0,"",+(B31*10)/B$9)</f>
        <v/>
      </c>
      <c r="C66" s="329" t="str">
        <f t="shared" si="15"/>
        <v/>
      </c>
      <c r="D66" s="329">
        <f t="shared" si="15"/>
        <v>0</v>
      </c>
      <c r="E66" s="329">
        <f t="shared" si="15"/>
        <v>0</v>
      </c>
      <c r="F66" s="329">
        <f t="shared" si="15"/>
        <v>0</v>
      </c>
      <c r="G66" s="329">
        <f t="shared" si="15"/>
        <v>0</v>
      </c>
      <c r="H66" s="329" t="str">
        <f t="shared" si="15"/>
        <v/>
      </c>
      <c r="I66" s="329" t="str">
        <f t="shared" si="15"/>
        <v/>
      </c>
      <c r="J66" s="329" t="str">
        <f t="shared" si="15"/>
        <v/>
      </c>
      <c r="K66" s="329">
        <f t="shared" si="15"/>
        <v>0</v>
      </c>
      <c r="L66" s="329">
        <f t="shared" si="15"/>
        <v>0</v>
      </c>
      <c r="M66" s="329">
        <f t="shared" si="15"/>
        <v>0</v>
      </c>
      <c r="N66" s="329">
        <f t="shared" si="15"/>
        <v>0</v>
      </c>
      <c r="O66" s="329">
        <f t="shared" ref="O66:S66" si="16">IF(O$9=0,"",+(O31*10)/O$9)</f>
        <v>0</v>
      </c>
      <c r="P66" s="329" t="str">
        <f t="shared" si="16"/>
        <v/>
      </c>
      <c r="Q66" s="329" t="str">
        <f t="shared" si="16"/>
        <v/>
      </c>
      <c r="R66" s="329">
        <f t="shared" si="16"/>
        <v>0</v>
      </c>
      <c r="S66" s="329">
        <f t="shared" si="16"/>
        <v>0</v>
      </c>
      <c r="T66" s="329">
        <f t="shared" si="15"/>
        <v>0</v>
      </c>
      <c r="U66" s="329">
        <f t="shared" si="15"/>
        <v>0</v>
      </c>
      <c r="V66" s="329">
        <f t="shared" si="15"/>
        <v>0</v>
      </c>
      <c r="W66" s="329" t="s">
        <v>235</v>
      </c>
      <c r="X66" s="329"/>
      <c r="Y66" s="329">
        <f t="shared" si="15"/>
        <v>0</v>
      </c>
      <c r="Z66" s="329">
        <f t="shared" si="15"/>
        <v>0</v>
      </c>
      <c r="AA66" s="329">
        <f t="shared" si="15"/>
        <v>0</v>
      </c>
      <c r="AB66" s="329">
        <f t="shared" si="15"/>
        <v>0</v>
      </c>
      <c r="AC66" s="329">
        <f t="shared" si="15"/>
        <v>0</v>
      </c>
      <c r="AD66" s="329" t="str">
        <f t="shared" si="15"/>
        <v/>
      </c>
      <c r="AE66" s="329" t="str">
        <f t="shared" si="15"/>
        <v/>
      </c>
      <c r="AF66" s="329" t="str">
        <f>IF(AF$9=0,"",+(AF31*10)/AF$9)</f>
        <v/>
      </c>
      <c r="AG66" s="330">
        <f>+(AG31*10)/AG$9</f>
        <v>0</v>
      </c>
      <c r="AH66" s="330">
        <v>0.7</v>
      </c>
      <c r="AI66" s="331">
        <f t="shared" si="10"/>
        <v>0.7</v>
      </c>
    </row>
    <row r="67" spans="1:35" s="241" customFormat="1" ht="18" x14ac:dyDescent="0.25">
      <c r="A67" s="339" t="s">
        <v>189</v>
      </c>
      <c r="B67" s="340" t="str">
        <f t="shared" ref="B67:AE67" si="17">IF(B$9=0,"",+(B32*10)/B$9)</f>
        <v/>
      </c>
      <c r="C67" s="340" t="str">
        <f t="shared" si="17"/>
        <v/>
      </c>
      <c r="D67" s="340">
        <f t="shared" si="17"/>
        <v>0</v>
      </c>
      <c r="E67" s="340">
        <f t="shared" si="17"/>
        <v>0</v>
      </c>
      <c r="F67" s="340">
        <f t="shared" si="17"/>
        <v>0</v>
      </c>
      <c r="G67" s="340">
        <f t="shared" si="17"/>
        <v>0</v>
      </c>
      <c r="H67" s="340" t="str">
        <f t="shared" si="17"/>
        <v/>
      </c>
      <c r="I67" s="340" t="str">
        <f t="shared" si="17"/>
        <v/>
      </c>
      <c r="J67" s="340" t="str">
        <f t="shared" si="17"/>
        <v/>
      </c>
      <c r="K67" s="340">
        <f t="shared" si="17"/>
        <v>0</v>
      </c>
      <c r="L67" s="340">
        <f t="shared" si="17"/>
        <v>0</v>
      </c>
      <c r="M67" s="340">
        <f t="shared" si="17"/>
        <v>0</v>
      </c>
      <c r="N67" s="340">
        <f t="shared" si="17"/>
        <v>0</v>
      </c>
      <c r="O67" s="340">
        <f t="shared" ref="O67:S67" si="18">IF(O$9=0,"",+(O32*10)/O$9)</f>
        <v>0.16831276551338759</v>
      </c>
      <c r="P67" s="340" t="str">
        <f t="shared" si="18"/>
        <v/>
      </c>
      <c r="Q67" s="340" t="str">
        <f t="shared" si="18"/>
        <v/>
      </c>
      <c r="R67" s="340">
        <f t="shared" si="18"/>
        <v>0</v>
      </c>
      <c r="S67" s="340">
        <f t="shared" si="18"/>
        <v>5.6800431683280792E-2</v>
      </c>
      <c r="T67" s="340">
        <f t="shared" si="17"/>
        <v>0</v>
      </c>
      <c r="U67" s="340">
        <f t="shared" si="17"/>
        <v>0</v>
      </c>
      <c r="V67" s="340">
        <f t="shared" si="17"/>
        <v>0</v>
      </c>
      <c r="W67" s="340">
        <f t="shared" si="17"/>
        <v>0</v>
      </c>
      <c r="X67" s="340" t="str">
        <f t="shared" si="17"/>
        <v/>
      </c>
      <c r="Y67" s="340">
        <f t="shared" si="17"/>
        <v>0</v>
      </c>
      <c r="Z67" s="340">
        <f t="shared" si="17"/>
        <v>0</v>
      </c>
      <c r="AA67" s="340">
        <f t="shared" si="17"/>
        <v>0</v>
      </c>
      <c r="AB67" s="340">
        <f t="shared" si="17"/>
        <v>0</v>
      </c>
      <c r="AC67" s="340">
        <f t="shared" si="17"/>
        <v>0</v>
      </c>
      <c r="AD67" s="340" t="str">
        <f t="shared" si="17"/>
        <v/>
      </c>
      <c r="AE67" s="340" t="str">
        <f t="shared" si="17"/>
        <v/>
      </c>
      <c r="AF67" s="340" t="str">
        <f>IF(AF$9=0,"",+(AF32*10)/AF$9)</f>
        <v/>
      </c>
      <c r="AG67" s="341">
        <f>+(AG32*10)/AG$9</f>
        <v>7.9203804785486984E-2</v>
      </c>
      <c r="AH67" s="341">
        <v>1</v>
      </c>
      <c r="AI67" s="342">
        <f>AH67-AG67</f>
        <v>0.92079619521451306</v>
      </c>
    </row>
    <row r="68" spans="1:35" ht="18" x14ac:dyDescent="0.25">
      <c r="A68" s="292" t="s">
        <v>109</v>
      </c>
      <c r="B68" s="329" t="str">
        <f t="shared" ref="B68:AE68" si="19">IF(B$9=0,"",+(B33*10)/B$9)</f>
        <v/>
      </c>
      <c r="C68" s="329" t="str">
        <f t="shared" si="19"/>
        <v/>
      </c>
      <c r="D68" s="329">
        <f t="shared" si="19"/>
        <v>1.5116793494650567</v>
      </c>
      <c r="E68" s="329">
        <f t="shared" si="19"/>
        <v>0.82071484262792882</v>
      </c>
      <c r="F68" s="329">
        <f t="shared" si="19"/>
        <v>0.98094080263471051</v>
      </c>
      <c r="G68" s="329">
        <f t="shared" si="19"/>
        <v>1.2825348924933986</v>
      </c>
      <c r="H68" s="329" t="str">
        <f t="shared" si="19"/>
        <v/>
      </c>
      <c r="I68" s="329" t="str">
        <f t="shared" si="19"/>
        <v/>
      </c>
      <c r="J68" s="329" t="str">
        <f t="shared" si="19"/>
        <v/>
      </c>
      <c r="K68" s="329">
        <f t="shared" si="19"/>
        <v>1.5760097373155462</v>
      </c>
      <c r="L68" s="329">
        <f t="shared" si="19"/>
        <v>0.79828846952134613</v>
      </c>
      <c r="M68" s="329">
        <f t="shared" si="19"/>
        <v>0.46803785619294774</v>
      </c>
      <c r="N68" s="329">
        <f t="shared" si="19"/>
        <v>1.110525995264144</v>
      </c>
      <c r="O68" s="329">
        <f t="shared" ref="O68:S68" si="20">IF(O$9=0,"",+(O33*10)/O$9)</f>
        <v>2.0870782923660061</v>
      </c>
      <c r="P68" s="329" t="str">
        <f t="shared" si="20"/>
        <v/>
      </c>
      <c r="Q68" s="329" t="str">
        <f t="shared" si="20"/>
        <v/>
      </c>
      <c r="R68" s="329">
        <f t="shared" si="20"/>
        <v>6.3782425390507894E-2</v>
      </c>
      <c r="S68" s="329">
        <f t="shared" si="20"/>
        <v>5.6800431683280792E-2</v>
      </c>
      <c r="T68" s="329">
        <f t="shared" si="19"/>
        <v>1.384168191814952</v>
      </c>
      <c r="U68" s="329">
        <f t="shared" si="19"/>
        <v>2.1304321581632832</v>
      </c>
      <c r="V68" s="329">
        <f t="shared" si="19"/>
        <v>0.70925758462329547</v>
      </c>
      <c r="W68" s="329">
        <f t="shared" si="19"/>
        <v>0</v>
      </c>
      <c r="X68" s="329" t="str">
        <f t="shared" si="19"/>
        <v/>
      </c>
      <c r="Y68" s="329">
        <f t="shared" si="19"/>
        <v>2.0583675858564416</v>
      </c>
      <c r="Z68" s="329">
        <f t="shared" si="19"/>
        <v>0.52156678662702749</v>
      </c>
      <c r="AA68" s="329">
        <f t="shared" si="19"/>
        <v>1.0907345733773504</v>
      </c>
      <c r="AB68" s="329">
        <f t="shared" si="19"/>
        <v>1.0785824345146378</v>
      </c>
      <c r="AC68" s="329">
        <f t="shared" si="19"/>
        <v>1.3343211292738106</v>
      </c>
      <c r="AD68" s="329" t="str">
        <f t="shared" si="19"/>
        <v/>
      </c>
      <c r="AE68" s="329" t="str">
        <f t="shared" si="19"/>
        <v/>
      </c>
      <c r="AF68" s="329" t="str">
        <f>IF(AF$9=0,"",+(AF33*10)/AF$9)</f>
        <v/>
      </c>
      <c r="AG68" s="330">
        <f>+(AG33*10)/AG$9</f>
        <v>1.150176991232724</v>
      </c>
      <c r="AH68" s="330">
        <v>0.7</v>
      </c>
      <c r="AI68" s="331">
        <f t="shared" si="10"/>
        <v>-0.45017699123272403</v>
      </c>
    </row>
    <row r="69" spans="1:35" ht="18" x14ac:dyDescent="0.25">
      <c r="A69" s="292" t="s">
        <v>140</v>
      </c>
      <c r="B69" s="329" t="str">
        <f t="shared" ref="B69:AE69" si="21">IF(B$9=0,"",+(B34*10)/B$9)</f>
        <v/>
      </c>
      <c r="C69" s="329" t="str">
        <f t="shared" si="21"/>
        <v/>
      </c>
      <c r="D69" s="329">
        <f t="shared" si="21"/>
        <v>1.5499497127426531</v>
      </c>
      <c r="E69" s="329">
        <f t="shared" si="21"/>
        <v>1.3056827041807959</v>
      </c>
      <c r="F69" s="329">
        <f t="shared" si="21"/>
        <v>1.4633707055698142</v>
      </c>
      <c r="G69" s="329">
        <f t="shared" si="21"/>
        <v>1.5088645794039983</v>
      </c>
      <c r="H69" s="329" t="str">
        <f t="shared" si="21"/>
        <v/>
      </c>
      <c r="I69" s="329" t="str">
        <f t="shared" si="21"/>
        <v/>
      </c>
      <c r="J69" s="329" t="str">
        <f t="shared" si="21"/>
        <v/>
      </c>
      <c r="K69" s="329">
        <f t="shared" si="21"/>
        <v>1.8184727738256301</v>
      </c>
      <c r="L69" s="329">
        <f t="shared" si="21"/>
        <v>1.4078905735194651</v>
      </c>
      <c r="M69" s="329">
        <f t="shared" si="21"/>
        <v>1.3879743321583968</v>
      </c>
      <c r="N69" s="329">
        <f t="shared" si="21"/>
        <v>1.5224953160879393</v>
      </c>
      <c r="O69" s="329">
        <f t="shared" ref="O69:S69" si="22">IF(O$9=0,"",+(O34*10)/O$9)</f>
        <v>2.861317013727589</v>
      </c>
      <c r="P69" s="329" t="str">
        <f t="shared" si="22"/>
        <v/>
      </c>
      <c r="Q69" s="329" t="str">
        <f t="shared" si="22"/>
        <v/>
      </c>
      <c r="R69" s="329">
        <f t="shared" si="22"/>
        <v>2.7107530790965852</v>
      </c>
      <c r="S69" s="329">
        <f t="shared" si="22"/>
        <v>2.4140183465394336</v>
      </c>
      <c r="T69" s="329">
        <f t="shared" si="21"/>
        <v>1.6404956347436468</v>
      </c>
      <c r="U69" s="329">
        <f t="shared" si="21"/>
        <v>1.8049494673327817</v>
      </c>
      <c r="V69" s="329">
        <f t="shared" si="21"/>
        <v>1.4185151692465909</v>
      </c>
      <c r="W69" s="329">
        <f t="shared" si="21"/>
        <v>5.0087653393438512</v>
      </c>
      <c r="X69" s="329" t="str">
        <f t="shared" si="21"/>
        <v/>
      </c>
      <c r="Y69" s="329">
        <f t="shared" si="21"/>
        <v>2.5729594823205524</v>
      </c>
      <c r="Z69" s="329">
        <f t="shared" si="21"/>
        <v>1.3386880856760373</v>
      </c>
      <c r="AA69" s="329">
        <f t="shared" si="21"/>
        <v>1.5270284027282905</v>
      </c>
      <c r="AB69" s="329">
        <f t="shared" si="21"/>
        <v>1.5665125834617359</v>
      </c>
      <c r="AC69" s="329">
        <f t="shared" si="21"/>
        <v>1.3343211292738106</v>
      </c>
      <c r="AD69" s="329" t="str">
        <f t="shared" si="21"/>
        <v/>
      </c>
      <c r="AE69" s="329" t="str">
        <f t="shared" si="21"/>
        <v/>
      </c>
      <c r="AF69" s="329" t="str">
        <f>IF(AF$9=0,"",+(AF34*10)/AF$9)</f>
        <v/>
      </c>
      <c r="AG69" s="330">
        <f>+(AG34*10)/AG$9</f>
        <v>1.9341798704861677</v>
      </c>
      <c r="AH69" s="330">
        <v>2.6</v>
      </c>
      <c r="AI69" s="331">
        <f t="shared" si="10"/>
        <v>0.6658201295138324</v>
      </c>
    </row>
    <row r="70" spans="1:35" ht="18.75" x14ac:dyDescent="0.3">
      <c r="A70" s="379" t="s">
        <v>110</v>
      </c>
      <c r="B70" s="380" t="str">
        <f>IF(B$86=0,"",+(B34*10)/B$86)</f>
        <v/>
      </c>
      <c r="C70" s="380" t="str">
        <f t="shared" ref="C70:Y70" si="23">IF(C$86=0,"",+(C34*10)/C$86)</f>
        <v/>
      </c>
      <c r="D70" s="380" t="str">
        <f t="shared" si="23"/>
        <v/>
      </c>
      <c r="E70" s="380" t="str">
        <f t="shared" si="23"/>
        <v/>
      </c>
      <c r="F70" s="380" t="str">
        <f t="shared" si="23"/>
        <v/>
      </c>
      <c r="G70" s="380" t="str">
        <f t="shared" si="23"/>
        <v/>
      </c>
      <c r="H70" s="380" t="str">
        <f t="shared" si="23"/>
        <v/>
      </c>
      <c r="I70" s="380" t="str">
        <f t="shared" si="23"/>
        <v/>
      </c>
      <c r="J70" s="380" t="str">
        <f t="shared" si="23"/>
        <v/>
      </c>
      <c r="K70" s="380" t="str">
        <f t="shared" si="23"/>
        <v/>
      </c>
      <c r="L70" s="380" t="str">
        <f t="shared" si="23"/>
        <v/>
      </c>
      <c r="M70" s="380" t="str">
        <f t="shared" si="23"/>
        <v/>
      </c>
      <c r="N70" s="380" t="str">
        <f t="shared" si="23"/>
        <v/>
      </c>
      <c r="O70" s="380" t="str">
        <f t="shared" ref="O70:S70" si="24">IF(O$86=0,"",+(O34*10)/O$86)</f>
        <v/>
      </c>
      <c r="P70" s="380" t="str">
        <f t="shared" si="24"/>
        <v/>
      </c>
      <c r="Q70" s="380" t="str">
        <f t="shared" si="24"/>
        <v/>
      </c>
      <c r="R70" s="380" t="str">
        <f t="shared" si="24"/>
        <v/>
      </c>
      <c r="S70" s="380" t="str">
        <f t="shared" si="24"/>
        <v/>
      </c>
      <c r="T70" s="380" t="str">
        <f t="shared" si="23"/>
        <v/>
      </c>
      <c r="U70" s="380" t="str">
        <f t="shared" si="23"/>
        <v/>
      </c>
      <c r="V70" s="380" t="str">
        <f t="shared" si="23"/>
        <v/>
      </c>
      <c r="W70" s="380" t="str">
        <f t="shared" si="23"/>
        <v/>
      </c>
      <c r="X70" s="380" t="str">
        <f t="shared" si="23"/>
        <v/>
      </c>
      <c r="Y70" s="380" t="str">
        <f t="shared" si="23"/>
        <v/>
      </c>
      <c r="Z70" s="380" t="str">
        <f t="shared" ref="Z70:AF70" si="25">IF(Z$86=0,"",+(Z34*10)/Z$86)</f>
        <v/>
      </c>
      <c r="AA70" s="380" t="str">
        <f t="shared" si="25"/>
        <v/>
      </c>
      <c r="AB70" s="380" t="str">
        <f t="shared" si="25"/>
        <v/>
      </c>
      <c r="AC70" s="380" t="str">
        <f t="shared" si="25"/>
        <v/>
      </c>
      <c r="AD70" s="380" t="str">
        <f t="shared" si="25"/>
        <v/>
      </c>
      <c r="AE70" s="380" t="str">
        <f t="shared" si="25"/>
        <v/>
      </c>
      <c r="AF70" s="380" t="str">
        <f t="shared" si="25"/>
        <v/>
      </c>
      <c r="AG70" s="381"/>
      <c r="AH70" s="381">
        <v>2.6</v>
      </c>
      <c r="AI70" s="382">
        <f t="shared" si="10"/>
        <v>2.6</v>
      </c>
    </row>
    <row r="71" spans="1:35" ht="18" x14ac:dyDescent="0.25">
      <c r="A71" s="292" t="s">
        <v>185</v>
      </c>
      <c r="B71" s="329" t="str">
        <f t="shared" ref="B71:AE71" si="26">IF(B$9=0,"",+(B35*10)/B$9)</f>
        <v/>
      </c>
      <c r="C71" s="329" t="str">
        <f t="shared" si="26"/>
        <v/>
      </c>
      <c r="D71" s="329">
        <f t="shared" si="26"/>
        <v>0.51664990424755097</v>
      </c>
      <c r="E71" s="329">
        <f t="shared" si="26"/>
        <v>0.44766264143341572</v>
      </c>
      <c r="F71" s="329">
        <f t="shared" si="26"/>
        <v>0.38594392234808284</v>
      </c>
      <c r="G71" s="329">
        <f t="shared" si="26"/>
        <v>0.50295485980133281</v>
      </c>
      <c r="H71" s="329" t="str">
        <f t="shared" si="26"/>
        <v/>
      </c>
      <c r="I71" s="329" t="str">
        <f t="shared" si="26"/>
        <v/>
      </c>
      <c r="J71" s="329" t="str">
        <f t="shared" si="26"/>
        <v/>
      </c>
      <c r="K71" s="329">
        <f t="shared" si="26"/>
        <v>0.55766498397319331</v>
      </c>
      <c r="L71" s="329">
        <f t="shared" si="26"/>
        <v>0.37737273104645458</v>
      </c>
      <c r="M71" s="329">
        <f t="shared" si="26"/>
        <v>0.3873416740907154</v>
      </c>
      <c r="N71" s="329">
        <f t="shared" si="26"/>
        <v>0.41196932082379534</v>
      </c>
      <c r="O71" s="329">
        <f t="shared" ref="O71:S71" si="27">IF(O$9=0,"",+(O35*10)/O$9)</f>
        <v>0.57226340274551779</v>
      </c>
      <c r="P71" s="329" t="str">
        <f t="shared" si="27"/>
        <v/>
      </c>
      <c r="Q71" s="329" t="str">
        <f t="shared" si="27"/>
        <v/>
      </c>
      <c r="R71" s="329">
        <f t="shared" si="27"/>
        <v>0.73349789199084081</v>
      </c>
      <c r="S71" s="329">
        <f t="shared" si="27"/>
        <v>0.53960410099116751</v>
      </c>
      <c r="T71" s="329">
        <f t="shared" si="26"/>
        <v>0.56392037444312859</v>
      </c>
      <c r="U71" s="329">
        <f t="shared" si="26"/>
        <v>0.35507202636054719</v>
      </c>
      <c r="V71" s="329">
        <f t="shared" si="26"/>
        <v>0.24380729471425783</v>
      </c>
      <c r="W71" s="329">
        <f t="shared" si="26"/>
        <v>0</v>
      </c>
      <c r="X71" s="329" t="str">
        <f t="shared" si="26"/>
        <v/>
      </c>
      <c r="Y71" s="329">
        <f t="shared" si="26"/>
        <v>0.57891588352212431</v>
      </c>
      <c r="Z71" s="329">
        <f t="shared" si="26"/>
        <v>0.39986786974738781</v>
      </c>
      <c r="AA71" s="329">
        <f t="shared" si="26"/>
        <v>0.41205528327588797</v>
      </c>
      <c r="AB71" s="329">
        <f t="shared" si="26"/>
        <v>0.59065228556753979</v>
      </c>
      <c r="AC71" s="329">
        <f t="shared" si="26"/>
        <v>0.39830481470860019</v>
      </c>
      <c r="AD71" s="329" t="str">
        <f t="shared" si="26"/>
        <v/>
      </c>
      <c r="AE71" s="329" t="str">
        <f t="shared" si="26"/>
        <v/>
      </c>
      <c r="AF71" s="329" t="str">
        <f>IF(AF$9=0,"",+(AF35*10)/AF$9)</f>
        <v/>
      </c>
      <c r="AG71" s="330">
        <f>+(AG35*10)/AG$9</f>
        <v>0.45685672905251912</v>
      </c>
      <c r="AH71" s="330">
        <v>0.7</v>
      </c>
      <c r="AI71" s="331">
        <f>AH71-AG71</f>
        <v>0.24314327094748084</v>
      </c>
    </row>
    <row r="72" spans="1:35" ht="18" x14ac:dyDescent="0.25">
      <c r="A72" s="277" t="s">
        <v>139</v>
      </c>
      <c r="B72" s="329" t="str">
        <f t="shared" ref="B72:AE72" si="28">IF(B$9=0,"",+(B36*10)/B$9)</f>
        <v/>
      </c>
      <c r="C72" s="329" t="str">
        <f t="shared" si="28"/>
        <v/>
      </c>
      <c r="D72" s="329">
        <f t="shared" si="28"/>
        <v>0.1339462714715873</v>
      </c>
      <c r="E72" s="329">
        <f t="shared" si="28"/>
        <v>5.5957830179176965E-2</v>
      </c>
      <c r="F72" s="329">
        <f t="shared" si="28"/>
        <v>8.0404983822517262E-2</v>
      </c>
      <c r="G72" s="329">
        <f t="shared" si="28"/>
        <v>0</v>
      </c>
      <c r="H72" s="329" t="str">
        <f t="shared" si="28"/>
        <v/>
      </c>
      <c r="I72" s="329" t="str">
        <f t="shared" si="28"/>
        <v/>
      </c>
      <c r="J72" s="329" t="str">
        <f t="shared" si="28"/>
        <v/>
      </c>
      <c r="K72" s="329">
        <f t="shared" si="28"/>
        <v>0.33944825111411764</v>
      </c>
      <c r="L72" s="329">
        <f t="shared" si="28"/>
        <v>0.1451433580947902</v>
      </c>
      <c r="M72" s="329">
        <f t="shared" si="28"/>
        <v>0</v>
      </c>
      <c r="N72" s="329">
        <f t="shared" si="28"/>
        <v>8.9558548005172905E-2</v>
      </c>
      <c r="O72" s="329">
        <f t="shared" ref="O72:S72" si="29">IF(O$9=0,"",+(O36*10)/O$9)</f>
        <v>0.13465021241071007</v>
      </c>
      <c r="P72" s="329" t="str">
        <f t="shared" si="29"/>
        <v/>
      </c>
      <c r="Q72" s="329" t="str">
        <f t="shared" si="29"/>
        <v/>
      </c>
      <c r="R72" s="329">
        <f t="shared" si="29"/>
        <v>0</v>
      </c>
      <c r="S72" s="329">
        <f t="shared" si="29"/>
        <v>0</v>
      </c>
      <c r="T72" s="329">
        <f t="shared" si="28"/>
        <v>2.5632744292869481E-2</v>
      </c>
      <c r="U72" s="329">
        <f t="shared" si="28"/>
        <v>8.8768006590136797E-2</v>
      </c>
      <c r="V72" s="329">
        <f t="shared" si="28"/>
        <v>0</v>
      </c>
      <c r="W72" s="329">
        <f t="shared" si="28"/>
        <v>0</v>
      </c>
      <c r="X72" s="329" t="str">
        <f t="shared" si="28"/>
        <v/>
      </c>
      <c r="Y72" s="329">
        <f t="shared" si="28"/>
        <v>1.0291837929282208</v>
      </c>
      <c r="Z72" s="329">
        <f t="shared" si="28"/>
        <v>8.6927797771171253E-2</v>
      </c>
      <c r="AA72" s="329">
        <f t="shared" si="28"/>
        <v>0</v>
      </c>
      <c r="AB72" s="329">
        <f t="shared" si="28"/>
        <v>0.15408320493066255</v>
      </c>
      <c r="AC72" s="329">
        <f t="shared" si="28"/>
        <v>5.9745722206290028E-2</v>
      </c>
      <c r="AD72" s="329" t="str">
        <f t="shared" si="28"/>
        <v/>
      </c>
      <c r="AE72" s="329" t="str">
        <f t="shared" si="28"/>
        <v/>
      </c>
      <c r="AF72" s="329" t="str">
        <f>IF(AF$9=0,"",+(AF36*10)/AF$9)</f>
        <v/>
      </c>
      <c r="AG72" s="330">
        <f>+(AG36*10)/AG$9</f>
        <v>0.11249236041996702</v>
      </c>
      <c r="AH72" s="330">
        <v>0.1</v>
      </c>
      <c r="AI72" s="331">
        <f>AH72-AG72</f>
        <v>-1.2492360419967014E-2</v>
      </c>
    </row>
    <row r="73" spans="1:35" ht="18" x14ac:dyDescent="0.25">
      <c r="A73" s="292" t="s">
        <v>141</v>
      </c>
      <c r="B73" s="329" t="str">
        <f t="shared" ref="B73:AE73" si="30">IF(B$9=0,"",+(B37*10)/B$9)</f>
        <v/>
      </c>
      <c r="C73" s="329" t="str">
        <f t="shared" si="30"/>
        <v/>
      </c>
      <c r="D73" s="329">
        <f t="shared" si="30"/>
        <v>1.1481108983278911</v>
      </c>
      <c r="E73" s="329">
        <f t="shared" si="30"/>
        <v>0.95128311304600843</v>
      </c>
      <c r="F73" s="329">
        <f t="shared" si="30"/>
        <v>0.67540186410914493</v>
      </c>
      <c r="G73" s="329">
        <f t="shared" si="30"/>
        <v>0.8047277756821325</v>
      </c>
      <c r="H73" s="329" t="str">
        <f t="shared" si="30"/>
        <v/>
      </c>
      <c r="I73" s="329" t="str">
        <f t="shared" si="30"/>
        <v/>
      </c>
      <c r="J73" s="329" t="str">
        <f t="shared" si="30"/>
        <v/>
      </c>
      <c r="K73" s="329">
        <f t="shared" si="30"/>
        <v>0.53341868032218487</v>
      </c>
      <c r="L73" s="329">
        <f t="shared" si="30"/>
        <v>0.39188706685593355</v>
      </c>
      <c r="M73" s="329">
        <f t="shared" si="30"/>
        <v>0.50031632903384071</v>
      </c>
      <c r="N73" s="329">
        <f t="shared" si="30"/>
        <v>0.50152786882896827</v>
      </c>
      <c r="O73" s="329">
        <f t="shared" ref="O73:S73" si="31">IF(O$9=0,"",+(O37*10)/O$9)</f>
        <v>0.94255148687497048</v>
      </c>
      <c r="P73" s="329" t="str">
        <f t="shared" si="31"/>
        <v/>
      </c>
      <c r="Q73" s="329" t="str">
        <f t="shared" si="31"/>
        <v/>
      </c>
      <c r="R73" s="329">
        <f t="shared" si="31"/>
        <v>0.35080333964779342</v>
      </c>
      <c r="S73" s="329">
        <f t="shared" si="31"/>
        <v>0.7384056118826503</v>
      </c>
      <c r="T73" s="329">
        <f t="shared" si="30"/>
        <v>0.84588056166469283</v>
      </c>
      <c r="U73" s="329">
        <f t="shared" si="30"/>
        <v>0.71014405272109438</v>
      </c>
      <c r="V73" s="329">
        <f t="shared" si="30"/>
        <v>0.4654502899090377</v>
      </c>
      <c r="W73" s="329">
        <f t="shared" si="30"/>
        <v>2.2767115178835691</v>
      </c>
      <c r="X73" s="329" t="str">
        <f t="shared" si="30"/>
        <v/>
      </c>
      <c r="Y73" s="329">
        <f t="shared" si="30"/>
        <v>0.54675388999311736</v>
      </c>
      <c r="Z73" s="329">
        <f t="shared" si="30"/>
        <v>0.27816895286774801</v>
      </c>
      <c r="AA73" s="329">
        <f t="shared" si="30"/>
        <v>0.29086255290062679</v>
      </c>
      <c r="AB73" s="329">
        <f t="shared" si="30"/>
        <v>0.28248587570621464</v>
      </c>
      <c r="AC73" s="329">
        <f t="shared" si="30"/>
        <v>0.2788133702960201</v>
      </c>
      <c r="AD73" s="329" t="str">
        <f t="shared" si="30"/>
        <v/>
      </c>
      <c r="AE73" s="329" t="str">
        <f t="shared" si="30"/>
        <v/>
      </c>
      <c r="AF73" s="329" t="str">
        <f>IF(AF$9=0,"",+(AF37*10)/AF$9)</f>
        <v/>
      </c>
      <c r="AG73" s="330">
        <f>+(AG37*10)/AG$9</f>
        <v>0.70594695569673183</v>
      </c>
      <c r="AH73" s="330">
        <v>0.6</v>
      </c>
      <c r="AI73" s="331">
        <f t="shared" si="10"/>
        <v>-0.10594695569673185</v>
      </c>
    </row>
    <row r="74" spans="1:35" s="241" customFormat="1" ht="18" x14ac:dyDescent="0.25">
      <c r="A74" s="339" t="s">
        <v>182</v>
      </c>
      <c r="B74" s="340" t="str">
        <f t="shared" ref="B74:AE74" si="32">IF(B$9=0,"",+(B38*10)/B$9)</f>
        <v/>
      </c>
      <c r="C74" s="340" t="str">
        <f t="shared" si="32"/>
        <v/>
      </c>
      <c r="D74" s="340">
        <f t="shared" si="32"/>
        <v>0</v>
      </c>
      <c r="E74" s="340">
        <f t="shared" si="32"/>
        <v>0</v>
      </c>
      <c r="F74" s="340">
        <f t="shared" si="32"/>
        <v>0</v>
      </c>
      <c r="G74" s="340">
        <f t="shared" si="32"/>
        <v>0</v>
      </c>
      <c r="H74" s="340" t="str">
        <f t="shared" si="32"/>
        <v/>
      </c>
      <c r="I74" s="340" t="str">
        <f t="shared" si="32"/>
        <v/>
      </c>
      <c r="J74" s="340" t="str">
        <f t="shared" si="32"/>
        <v/>
      </c>
      <c r="K74" s="340">
        <f t="shared" si="32"/>
        <v>0</v>
      </c>
      <c r="L74" s="340">
        <f t="shared" si="32"/>
        <v>0</v>
      </c>
      <c r="M74" s="340">
        <f t="shared" si="32"/>
        <v>0</v>
      </c>
      <c r="N74" s="340">
        <f t="shared" si="32"/>
        <v>0</v>
      </c>
      <c r="O74" s="340">
        <f t="shared" ref="O74:S74" si="33">IF(O$9=0,"",+(O38*10)/O$9)</f>
        <v>0</v>
      </c>
      <c r="P74" s="340" t="str">
        <f t="shared" si="33"/>
        <v/>
      </c>
      <c r="Q74" s="340" t="str">
        <f t="shared" si="33"/>
        <v/>
      </c>
      <c r="R74" s="340">
        <f t="shared" si="33"/>
        <v>0</v>
      </c>
      <c r="S74" s="340">
        <f t="shared" si="33"/>
        <v>0</v>
      </c>
      <c r="T74" s="340">
        <f t="shared" si="32"/>
        <v>0</v>
      </c>
      <c r="U74" s="340">
        <f t="shared" si="32"/>
        <v>0</v>
      </c>
      <c r="V74" s="340">
        <f t="shared" si="32"/>
        <v>0</v>
      </c>
      <c r="W74" s="340">
        <f t="shared" si="32"/>
        <v>0</v>
      </c>
      <c r="X74" s="340" t="str">
        <f t="shared" si="32"/>
        <v/>
      </c>
      <c r="Y74" s="340">
        <f t="shared" si="32"/>
        <v>0</v>
      </c>
      <c r="Z74" s="340">
        <f t="shared" si="32"/>
        <v>0</v>
      </c>
      <c r="AA74" s="340">
        <f t="shared" si="32"/>
        <v>0</v>
      </c>
      <c r="AB74" s="340">
        <f t="shared" si="32"/>
        <v>0</v>
      </c>
      <c r="AC74" s="340">
        <f t="shared" si="32"/>
        <v>0</v>
      </c>
      <c r="AD74" s="340" t="str">
        <f t="shared" si="32"/>
        <v/>
      </c>
      <c r="AE74" s="340" t="str">
        <f t="shared" si="32"/>
        <v/>
      </c>
      <c r="AF74" s="340" t="str">
        <f>IF(AF$9=0,"",+(AF38*10)/AF$9)</f>
        <v/>
      </c>
      <c r="AG74" s="341">
        <f>+(AG38*10)/AG$9</f>
        <v>0</v>
      </c>
      <c r="AH74" s="341">
        <v>0.5</v>
      </c>
      <c r="AI74" s="342">
        <f t="shared" si="10"/>
        <v>0.5</v>
      </c>
    </row>
    <row r="75" spans="1:35" ht="18" x14ac:dyDescent="0.25">
      <c r="A75" s="292" t="s">
        <v>222</v>
      </c>
      <c r="B75" s="329" t="str">
        <f t="shared" ref="B75:AE75" si="34">IF(B$9=0,"",+(B39*10)/B$9)</f>
        <v/>
      </c>
      <c r="C75" s="329" t="str">
        <f t="shared" si="34"/>
        <v/>
      </c>
      <c r="D75" s="329">
        <f t="shared" si="34"/>
        <v>0</v>
      </c>
      <c r="E75" s="329">
        <f t="shared" si="34"/>
        <v>0</v>
      </c>
      <c r="F75" s="329">
        <f t="shared" si="34"/>
        <v>0</v>
      </c>
      <c r="G75" s="329">
        <f t="shared" si="34"/>
        <v>0</v>
      </c>
      <c r="H75" s="329" t="str">
        <f t="shared" si="34"/>
        <v/>
      </c>
      <c r="I75" s="329" t="str">
        <f t="shared" si="34"/>
        <v/>
      </c>
      <c r="J75" s="329" t="str">
        <f t="shared" si="34"/>
        <v/>
      </c>
      <c r="K75" s="329">
        <f t="shared" si="34"/>
        <v>0</v>
      </c>
      <c r="L75" s="329">
        <f t="shared" si="34"/>
        <v>0</v>
      </c>
      <c r="M75" s="329">
        <f t="shared" si="34"/>
        <v>0</v>
      </c>
      <c r="N75" s="329">
        <f t="shared" si="34"/>
        <v>0</v>
      </c>
      <c r="O75" s="329">
        <f t="shared" ref="O75:S75" si="35">IF(O$9=0,"",+(O39*10)/O$9)</f>
        <v>0</v>
      </c>
      <c r="P75" s="329" t="str">
        <f t="shared" si="35"/>
        <v/>
      </c>
      <c r="Q75" s="329" t="str">
        <f t="shared" si="35"/>
        <v/>
      </c>
      <c r="R75" s="329">
        <f t="shared" si="35"/>
        <v>0</v>
      </c>
      <c r="S75" s="329">
        <f t="shared" si="35"/>
        <v>0</v>
      </c>
      <c r="T75" s="329">
        <f t="shared" si="34"/>
        <v>0</v>
      </c>
      <c r="U75" s="329">
        <f t="shared" si="34"/>
        <v>0</v>
      </c>
      <c r="V75" s="329">
        <f t="shared" si="34"/>
        <v>0</v>
      </c>
      <c r="W75" s="329">
        <f t="shared" si="34"/>
        <v>0</v>
      </c>
      <c r="X75" s="329" t="str">
        <f t="shared" si="34"/>
        <v/>
      </c>
      <c r="Y75" s="329">
        <f t="shared" si="34"/>
        <v>0</v>
      </c>
      <c r="Z75" s="329">
        <f t="shared" si="34"/>
        <v>0</v>
      </c>
      <c r="AA75" s="329">
        <f t="shared" si="34"/>
        <v>0</v>
      </c>
      <c r="AB75" s="329">
        <f t="shared" si="34"/>
        <v>0</v>
      </c>
      <c r="AC75" s="329">
        <f t="shared" si="34"/>
        <v>0</v>
      </c>
      <c r="AD75" s="329" t="str">
        <f t="shared" si="34"/>
        <v/>
      </c>
      <c r="AE75" s="329" t="str">
        <f t="shared" si="34"/>
        <v/>
      </c>
      <c r="AF75" s="329" t="str">
        <f>IF(AF$9=0,"",+(AF39*10)/AF$9)</f>
        <v/>
      </c>
      <c r="AG75" s="330">
        <f>+(AG39*10)/AG$9</f>
        <v>0</v>
      </c>
      <c r="AH75" s="330">
        <v>0.3</v>
      </c>
      <c r="AI75" s="331">
        <f t="shared" si="10"/>
        <v>0.3</v>
      </c>
    </row>
    <row r="76" spans="1:35" s="241" customFormat="1" ht="18" x14ac:dyDescent="0.25">
      <c r="A76" s="339" t="s">
        <v>208</v>
      </c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1"/>
      <c r="AH76" s="341">
        <v>0.4</v>
      </c>
      <c r="AI76" s="342">
        <f t="shared" si="10"/>
        <v>0.4</v>
      </c>
    </row>
    <row r="77" spans="1:35" s="241" customFormat="1" ht="18" x14ac:dyDescent="0.25">
      <c r="A77" s="339" t="s">
        <v>221</v>
      </c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  <c r="AE77" s="340"/>
      <c r="AF77" s="340"/>
      <c r="AG77" s="341"/>
      <c r="AH77" s="341">
        <v>0.2</v>
      </c>
      <c r="AI77" s="342">
        <f t="shared" si="10"/>
        <v>0.2</v>
      </c>
    </row>
    <row r="78" spans="1:35" s="1" customFormat="1" ht="18" x14ac:dyDescent="0.25">
      <c r="A78" s="343" t="s">
        <v>217</v>
      </c>
      <c r="B78" s="344">
        <f t="shared" ref="B78:AH78" si="36">SUM(B62:B77)</f>
        <v>0</v>
      </c>
      <c r="C78" s="344">
        <f t="shared" si="36"/>
        <v>0</v>
      </c>
      <c r="D78" s="344">
        <f t="shared" si="36"/>
        <v>13.391617070796661</v>
      </c>
      <c r="E78" s="344">
        <f t="shared" si="36"/>
        <v>14.244058012825173</v>
      </c>
      <c r="F78" s="344">
        <f t="shared" si="36"/>
        <v>15.075009068488583</v>
      </c>
      <c r="G78" s="344">
        <f t="shared" si="36"/>
        <v>20.267564589019308</v>
      </c>
      <c r="H78" s="344">
        <f t="shared" si="36"/>
        <v>0</v>
      </c>
      <c r="I78" s="344">
        <f t="shared" si="36"/>
        <v>0</v>
      </c>
      <c r="J78" s="344">
        <f t="shared" si="36"/>
        <v>0</v>
      </c>
      <c r="K78" s="344">
        <f t="shared" si="36"/>
        <v>13.807420660324613</v>
      </c>
      <c r="L78" s="344">
        <f t="shared" si="36"/>
        <v>14.305568532775906</v>
      </c>
      <c r="M78" s="344">
        <f t="shared" si="36"/>
        <v>10.907929165976695</v>
      </c>
      <c r="N78" s="344">
        <f>SUM(N62:N77)</f>
        <v>14.872682741461556</v>
      </c>
      <c r="O78" s="344">
        <f t="shared" si="36"/>
        <v>20.713022433473441</v>
      </c>
      <c r="P78" s="344">
        <f t="shared" si="36"/>
        <v>0</v>
      </c>
      <c r="Q78" s="344">
        <f t="shared" si="36"/>
        <v>0</v>
      </c>
      <c r="R78" s="344">
        <f t="shared" si="36"/>
        <v>16.100345631875214</v>
      </c>
      <c r="S78" s="344">
        <f t="shared" si="36"/>
        <v>14.871367308105826</v>
      </c>
      <c r="T78" s="344">
        <f t="shared" si="36"/>
        <v>13.831748341472617</v>
      </c>
      <c r="U78" s="344">
        <f t="shared" si="36"/>
        <v>16.747516366762859</v>
      </c>
      <c r="V78" s="344">
        <f t="shared" si="36"/>
        <v>15.104423237879722</v>
      </c>
      <c r="W78" s="344">
        <f>SUM(W62:W77)</f>
        <v>7.2854768572274207</v>
      </c>
      <c r="X78" s="344">
        <f>SUM(X62:X77)</f>
        <v>0</v>
      </c>
      <c r="Y78" s="344">
        <f t="shared" si="36"/>
        <v>19.025991624045957</v>
      </c>
      <c r="Z78" s="344">
        <f t="shared" si="36"/>
        <v>12.890178920744132</v>
      </c>
      <c r="AA78" s="344">
        <f t="shared" si="36"/>
        <v>14.641489201060667</v>
      </c>
      <c r="AB78" s="344">
        <f t="shared" si="36"/>
        <v>16.679754216841143</v>
      </c>
      <c r="AC78" s="344">
        <f t="shared" si="36"/>
        <v>15.844927816998091</v>
      </c>
      <c r="AD78" s="344">
        <f t="shared" si="36"/>
        <v>0</v>
      </c>
      <c r="AE78" s="344">
        <f t="shared" si="36"/>
        <v>0</v>
      </c>
      <c r="AF78" s="344">
        <f>SUM(AF62:AF77)</f>
        <v>0</v>
      </c>
      <c r="AG78" s="344" t="e">
        <f>SUM(AG62:AG77)</f>
        <v>#REF!</v>
      </c>
      <c r="AH78" s="344">
        <f t="shared" si="36"/>
        <v>15.599999999999998</v>
      </c>
      <c r="AI78" s="344" t="e">
        <f t="shared" si="10"/>
        <v>#REF!</v>
      </c>
    </row>
    <row r="79" spans="1:35" s="239" customFormat="1" ht="19.5" thickBot="1" x14ac:dyDescent="0.35">
      <c r="A79" s="345" t="s">
        <v>224</v>
      </c>
      <c r="B79" s="346">
        <f>SUM(B69:B72)</f>
        <v>0</v>
      </c>
      <c r="C79" s="346">
        <f t="shared" ref="C79:AI79" si="37">SUM(C69:C72)</f>
        <v>0</v>
      </c>
      <c r="D79" s="346">
        <f>SUM(D69:D72)</f>
        <v>2.2005458884617912</v>
      </c>
      <c r="E79" s="346">
        <f t="shared" si="37"/>
        <v>1.8093031757933886</v>
      </c>
      <c r="F79" s="346">
        <f t="shared" si="37"/>
        <v>1.9297196117404143</v>
      </c>
      <c r="G79" s="346">
        <f t="shared" si="37"/>
        <v>2.0118194392053312</v>
      </c>
      <c r="H79" s="346">
        <f t="shared" si="37"/>
        <v>0</v>
      </c>
      <c r="I79" s="346">
        <f t="shared" si="37"/>
        <v>0</v>
      </c>
      <c r="J79" s="346">
        <f t="shared" si="37"/>
        <v>0</v>
      </c>
      <c r="K79" s="346">
        <f t="shared" si="37"/>
        <v>2.7155860089129411</v>
      </c>
      <c r="L79" s="346">
        <f t="shared" si="37"/>
        <v>1.9304066626607099</v>
      </c>
      <c r="M79" s="346">
        <f>SUM(M69:M72)</f>
        <v>1.7753160062491122</v>
      </c>
      <c r="N79" s="346">
        <f t="shared" si="37"/>
        <v>2.0240231849169077</v>
      </c>
      <c r="O79" s="346">
        <f t="shared" si="37"/>
        <v>3.5682306288838168</v>
      </c>
      <c r="P79" s="346">
        <f t="shared" si="37"/>
        <v>0</v>
      </c>
      <c r="Q79" s="346">
        <f t="shared" si="37"/>
        <v>0</v>
      </c>
      <c r="R79" s="346">
        <f t="shared" si="37"/>
        <v>3.4442509710874258</v>
      </c>
      <c r="S79" s="346">
        <f t="shared" si="37"/>
        <v>2.9536224475306012</v>
      </c>
      <c r="T79" s="346">
        <f t="shared" si="37"/>
        <v>2.2300487534796449</v>
      </c>
      <c r="U79" s="346">
        <f t="shared" si="37"/>
        <v>2.2487895002834657</v>
      </c>
      <c r="V79" s="346">
        <f t="shared" si="37"/>
        <v>1.6623224639608487</v>
      </c>
      <c r="W79" s="346">
        <f t="shared" si="37"/>
        <v>5.0087653393438512</v>
      </c>
      <c r="X79" s="346">
        <f t="shared" si="37"/>
        <v>0</v>
      </c>
      <c r="Y79" s="346">
        <f t="shared" si="37"/>
        <v>4.1810591587708972</v>
      </c>
      <c r="Z79" s="346">
        <f t="shared" si="37"/>
        <v>1.8254837531945964</v>
      </c>
      <c r="AA79" s="346">
        <f t="shared" si="37"/>
        <v>1.9390836860041785</v>
      </c>
      <c r="AB79" s="346">
        <f t="shared" si="37"/>
        <v>2.3112480739599386</v>
      </c>
      <c r="AC79" s="346">
        <f t="shared" si="37"/>
        <v>1.7923716661887008</v>
      </c>
      <c r="AD79" s="346">
        <f t="shared" si="37"/>
        <v>0</v>
      </c>
      <c r="AE79" s="346">
        <f t="shared" si="37"/>
        <v>0</v>
      </c>
      <c r="AF79" s="346">
        <f>SUM(AF69:AF72)</f>
        <v>0</v>
      </c>
      <c r="AG79" s="346">
        <f t="shared" si="37"/>
        <v>2.5035289599586541</v>
      </c>
      <c r="AH79" s="346">
        <f t="shared" si="37"/>
        <v>6</v>
      </c>
      <c r="AI79" s="346">
        <f t="shared" si="37"/>
        <v>3.4964710400413459</v>
      </c>
    </row>
    <row r="80" spans="1:35" s="207" customFormat="1" ht="20.25" x14ac:dyDescent="0.3">
      <c r="A80" s="315" t="s">
        <v>218</v>
      </c>
      <c r="B80" s="347" t="str">
        <f t="shared" ref="B80:W80" si="38">IF(B$9=0,"",+B47/B$9)</f>
        <v/>
      </c>
      <c r="C80" s="347" t="str">
        <f>IF(C$9=0,"",+C47/C$9)</f>
        <v/>
      </c>
      <c r="D80" s="347">
        <f t="shared" si="38"/>
        <v>0</v>
      </c>
      <c r="E80" s="347">
        <f t="shared" si="38"/>
        <v>0</v>
      </c>
      <c r="F80" s="347">
        <f t="shared" si="38"/>
        <v>0</v>
      </c>
      <c r="G80" s="347">
        <f t="shared" si="38"/>
        <v>0</v>
      </c>
      <c r="H80" s="347" t="str">
        <f t="shared" si="38"/>
        <v/>
      </c>
      <c r="I80" s="347" t="str">
        <f t="shared" si="38"/>
        <v/>
      </c>
      <c r="J80" s="347" t="str">
        <f t="shared" si="38"/>
        <v/>
      </c>
      <c r="K80" s="347">
        <f t="shared" si="38"/>
        <v>0</v>
      </c>
      <c r="L80" s="347">
        <f t="shared" si="38"/>
        <v>0</v>
      </c>
      <c r="M80" s="347">
        <f t="shared" si="38"/>
        <v>0</v>
      </c>
      <c r="N80" s="347">
        <f t="shared" si="38"/>
        <v>0</v>
      </c>
      <c r="O80" s="347">
        <f t="shared" si="38"/>
        <v>0</v>
      </c>
      <c r="P80" s="347" t="str">
        <f t="shared" si="38"/>
        <v/>
      </c>
      <c r="Q80" s="347" t="str">
        <f t="shared" si="38"/>
        <v/>
      </c>
      <c r="R80" s="347">
        <f t="shared" si="38"/>
        <v>0</v>
      </c>
      <c r="S80" s="347">
        <f t="shared" si="38"/>
        <v>0</v>
      </c>
      <c r="T80" s="347">
        <f t="shared" si="38"/>
        <v>0</v>
      </c>
      <c r="U80" s="347">
        <f t="shared" si="38"/>
        <v>0</v>
      </c>
      <c r="V80" s="347">
        <f t="shared" si="38"/>
        <v>0</v>
      </c>
      <c r="W80" s="347">
        <f t="shared" si="38"/>
        <v>0</v>
      </c>
      <c r="X80" s="347" t="str">
        <f>IF(X$9=0,"",+X47/X$9)</f>
        <v/>
      </c>
      <c r="Y80" s="347">
        <f>IF(Y$9=0,"",+Y47/Y$9)</f>
        <v>0</v>
      </c>
      <c r="Z80" s="347">
        <f>IF(Z$9=0,"",+Z47/Z$9)</f>
        <v>0</v>
      </c>
      <c r="AA80" s="347">
        <f>IF(AA$9=0,"",+AA47/AA$9)</f>
        <v>0</v>
      </c>
      <c r="AB80" s="347">
        <f t="shared" ref="AB80:AE80" si="39">IF(AB$9=0,"",+AB47/AB$9)</f>
        <v>0</v>
      </c>
      <c r="AC80" s="347">
        <f t="shared" si="39"/>
        <v>0</v>
      </c>
      <c r="AD80" s="347" t="str">
        <f t="shared" si="39"/>
        <v/>
      </c>
      <c r="AE80" s="347" t="str">
        <f t="shared" si="39"/>
        <v/>
      </c>
      <c r="AF80" s="347" t="str">
        <f>IF(AF$9=0,"",+AF47/AF$9)</f>
        <v/>
      </c>
      <c r="AG80" s="348">
        <f>+(AG47)/AG$9</f>
        <v>0</v>
      </c>
      <c r="AH80" s="349">
        <f>'Daily KPIs'!AI90</f>
        <v>5</v>
      </c>
      <c r="AI80" s="350">
        <f>AH80-AG80</f>
        <v>5</v>
      </c>
    </row>
    <row r="81" spans="1:35" s="1" customFormat="1" ht="20.25" x14ac:dyDescent="0.3">
      <c r="A81" s="351" t="s">
        <v>219</v>
      </c>
      <c r="B81" s="352" t="str">
        <f t="shared" ref="B81:AE81" si="40">IF(B$9=0,"",+B49/B$9)</f>
        <v/>
      </c>
      <c r="C81" s="352" t="str">
        <f>IF(C$9=0,"",+C49/C$9)</f>
        <v/>
      </c>
      <c r="D81" s="352">
        <f>IF(D$9=0,"",+D49/D$9)</f>
        <v>5.6142622928233937E-2</v>
      </c>
      <c r="E81" s="352">
        <f t="shared" si="40"/>
        <v>8.0299486307118861E-2</v>
      </c>
      <c r="F81" s="352">
        <f t="shared" si="40"/>
        <v>6.5481818825058102E-2</v>
      </c>
      <c r="G81" s="352">
        <f t="shared" si="40"/>
        <v>1.103985917263922E-2</v>
      </c>
      <c r="H81" s="352" t="str">
        <f t="shared" si="40"/>
        <v/>
      </c>
      <c r="I81" s="352" t="str">
        <f t="shared" si="40"/>
        <v/>
      </c>
      <c r="J81" s="352" t="str">
        <f t="shared" si="40"/>
        <v/>
      </c>
      <c r="K81" s="352">
        <f t="shared" si="40"/>
        <v>0</v>
      </c>
      <c r="L81" s="352">
        <f t="shared" si="40"/>
        <v>2.9028671618958043E-2</v>
      </c>
      <c r="M81" s="352">
        <f t="shared" si="40"/>
        <v>5.5809479541903975E-2</v>
      </c>
      <c r="N81" s="352">
        <f t="shared" si="40"/>
        <v>5.6242768147248545E-2</v>
      </c>
      <c r="O81" s="352">
        <f t="shared" ref="O81:S81" si="41">IF(O$9=0,"",+O49/O$9)</f>
        <v>0.12502272222334423</v>
      </c>
      <c r="P81" s="352" t="str">
        <f t="shared" si="41"/>
        <v/>
      </c>
      <c r="Q81" s="352" t="str">
        <f t="shared" si="41"/>
        <v/>
      </c>
      <c r="R81" s="352">
        <f t="shared" si="41"/>
        <v>0</v>
      </c>
      <c r="S81" s="352">
        <f t="shared" si="41"/>
        <v>5.989605521001936E-2</v>
      </c>
      <c r="T81" s="352">
        <f t="shared" si="40"/>
        <v>5.2008838170232378E-2</v>
      </c>
      <c r="U81" s="352">
        <f t="shared" si="40"/>
        <v>7.2020442680130747E-2</v>
      </c>
      <c r="V81" s="352">
        <f>IF(V$9=0,"",+V49/V$9)</f>
        <v>4.0870968313917524E-2</v>
      </c>
      <c r="W81" s="352">
        <f t="shared" si="40"/>
        <v>0.67937071693645512</v>
      </c>
      <c r="X81" s="352" t="str">
        <f t="shared" si="40"/>
        <v/>
      </c>
      <c r="Y81" s="352">
        <f t="shared" si="40"/>
        <v>0</v>
      </c>
      <c r="Z81" s="352">
        <f t="shared" si="40"/>
        <v>2.4930892400771971E-2</v>
      </c>
      <c r="AA81" s="352">
        <f t="shared" si="40"/>
        <v>4.6077476088674268E-2</v>
      </c>
      <c r="AB81" s="352">
        <f>IF(AB$9=0,"",+AB49/AB$9)</f>
        <v>7.2136620441704977E-2</v>
      </c>
      <c r="AC81" s="352">
        <f t="shared" si="40"/>
        <v>1.3084313163177616E-2</v>
      </c>
      <c r="AD81" s="352" t="str">
        <f t="shared" si="40"/>
        <v/>
      </c>
      <c r="AE81" s="352" t="str">
        <f t="shared" si="40"/>
        <v/>
      </c>
      <c r="AF81" s="352" t="str">
        <f>IF(AF$9=0,"",+AF49/AF$9)</f>
        <v/>
      </c>
      <c r="AG81" s="353">
        <f>IF(AG$9=0,"",+AG49/AG$9)</f>
        <v>5.1299959995191283E-2</v>
      </c>
      <c r="AH81" s="353">
        <f>'Daily KPIs'!AI91</f>
        <v>1.7</v>
      </c>
      <c r="AI81" s="350">
        <f>AH81-AG81</f>
        <v>1.6487000400048086</v>
      </c>
    </row>
    <row r="82" spans="1:35" s="207" customFormat="1" ht="20.25" x14ac:dyDescent="0.3">
      <c r="A82" s="315" t="s">
        <v>210</v>
      </c>
      <c r="B82" s="326" t="str">
        <f>IF(B$9=0,"",B52/B$9)</f>
        <v/>
      </c>
      <c r="C82" s="326" t="str">
        <f t="shared" ref="C82:AA82" si="42">IF(C$9=0,"",C52/C$9)</f>
        <v/>
      </c>
      <c r="D82" s="326">
        <f t="shared" si="42"/>
        <v>15.068955540553571</v>
      </c>
      <c r="E82" s="326">
        <f t="shared" si="42"/>
        <v>14.466964362323219</v>
      </c>
      <c r="F82" s="326">
        <f t="shared" si="42"/>
        <v>13.631860957269575</v>
      </c>
      <c r="G82" s="326">
        <f t="shared" si="42"/>
        <v>19.607695209354958</v>
      </c>
      <c r="H82" s="326" t="str">
        <f t="shared" si="42"/>
        <v/>
      </c>
      <c r="I82" s="326" t="str">
        <f t="shared" si="42"/>
        <v/>
      </c>
      <c r="J82" s="326" t="str">
        <f t="shared" si="42"/>
        <v/>
      </c>
      <c r="K82" s="326">
        <f t="shared" si="42"/>
        <v>16.378378116256176</v>
      </c>
      <c r="L82" s="326">
        <f t="shared" si="42"/>
        <v>12.234133653809867</v>
      </c>
      <c r="M82" s="326">
        <f t="shared" si="42"/>
        <v>13.351990290635369</v>
      </c>
      <c r="N82" s="326">
        <f>IF(N$9=0,"",N52/N$9)</f>
        <v>15.138976954794428</v>
      </c>
      <c r="O82" s="326">
        <f t="shared" ref="O82:S82" si="43">IF(O$9=0,"",O52/O$9)</f>
        <v>24.708313977365297</v>
      </c>
      <c r="P82" s="326" t="str">
        <f t="shared" si="43"/>
        <v/>
      </c>
      <c r="Q82" s="326" t="str">
        <f t="shared" si="43"/>
        <v/>
      </c>
      <c r="R82" s="326">
        <f t="shared" si="43"/>
        <v>25.184490665442041</v>
      </c>
      <c r="S82" s="326">
        <f t="shared" si="43"/>
        <v>24.668427480048848</v>
      </c>
      <c r="T82" s="326">
        <f t="shared" si="42"/>
        <v>22.623460112886605</v>
      </c>
      <c r="U82" s="326">
        <f t="shared" si="42"/>
        <v>25.491212559134286</v>
      </c>
      <c r="V82" s="326">
        <f t="shared" si="42"/>
        <v>17.895455432026523</v>
      </c>
      <c r="W82" s="326">
        <f t="shared" si="42"/>
        <v>198.30157320765886</v>
      </c>
      <c r="X82" s="326" t="str">
        <f t="shared" si="42"/>
        <v/>
      </c>
      <c r="Y82" s="326">
        <f t="shared" si="42"/>
        <v>25.269678315740723</v>
      </c>
      <c r="Z82" s="326">
        <f>IF(Z$9=0,"",Z52/Z$9)</f>
        <v>13.659834141761852</v>
      </c>
      <c r="AA82" s="326">
        <f t="shared" si="42"/>
        <v>19.162994526936295</v>
      </c>
      <c r="AB82" s="326">
        <f>IF(AB$9=0,"",AB52/AB$9)</f>
        <v>21.535695942475602</v>
      </c>
      <c r="AC82" s="326">
        <f>IF(AC$9=0,"",AC52/AC$9)</f>
        <v>15.90829429946149</v>
      </c>
      <c r="AD82" s="326" t="str">
        <f>IF(AD$9=0,"",AD52/AD$9)</f>
        <v/>
      </c>
      <c r="AE82" s="326" t="str">
        <f>IF(AE$9=0,"",AE52/AE$9)</f>
        <v/>
      </c>
      <c r="AF82" s="326" t="str">
        <f>IF(AF$9=0,"",AF52/AF$9)</f>
        <v/>
      </c>
      <c r="AG82" s="327">
        <f>+(AG52)/AG$9</f>
        <v>22.259138847793778</v>
      </c>
      <c r="AH82" s="326">
        <f>'Daily KPIs'!AI92</f>
        <v>22</v>
      </c>
      <c r="AI82" s="350">
        <f>AH82-AG82</f>
        <v>-0.25913884779377838</v>
      </c>
    </row>
    <row r="83" spans="1:35" s="1" customFormat="1" ht="20.25" x14ac:dyDescent="0.3">
      <c r="A83" s="272"/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  <c r="AB83" s="354"/>
      <c r="AC83" s="354"/>
      <c r="AD83" s="354"/>
      <c r="AE83" s="354"/>
      <c r="AF83" s="354"/>
      <c r="AG83" s="355"/>
      <c r="AH83" s="355">
        <f>SUM(AH62:AH78)</f>
        <v>31.199999999999996</v>
      </c>
      <c r="AI83" s="350">
        <f>AH83-AG83</f>
        <v>31.199999999999996</v>
      </c>
    </row>
    <row r="84" spans="1:35" s="207" customFormat="1" ht="20.25" x14ac:dyDescent="0.3">
      <c r="A84" s="315" t="s">
        <v>211</v>
      </c>
      <c r="B84" s="326" t="str">
        <f>IF(B$9=0,"",B54/B$9)</f>
        <v/>
      </c>
      <c r="C84" s="326" t="str">
        <f t="shared" ref="C84:AE84" si="44">IF(C$9=0,"",C54/C$9)</f>
        <v/>
      </c>
      <c r="D84" s="326">
        <f t="shared" si="44"/>
        <v>5.9319063080274379</v>
      </c>
      <c r="E84" s="326">
        <f t="shared" si="44"/>
        <v>5.6517408480968738</v>
      </c>
      <c r="F84" s="326">
        <f t="shared" si="44"/>
        <v>5.4675388999311734</v>
      </c>
      <c r="G84" s="326">
        <f>IF(G$9=0,"",G54/G$9)</f>
        <v>7.3431409530994589</v>
      </c>
      <c r="H84" s="326" t="str">
        <f t="shared" si="44"/>
        <v/>
      </c>
      <c r="I84" s="326" t="str">
        <f t="shared" si="44"/>
        <v/>
      </c>
      <c r="J84" s="326" t="str">
        <f t="shared" si="44"/>
        <v/>
      </c>
      <c r="K84" s="326">
        <f t="shared" si="44"/>
        <v>6.5707482894232774</v>
      </c>
      <c r="L84" s="326">
        <f t="shared" si="44"/>
        <v>4.6736161306522446</v>
      </c>
      <c r="M84" s="326">
        <f t="shared" si="44"/>
        <v>5.2936695459064431</v>
      </c>
      <c r="N84" s="326">
        <f>IF(N$9=0,"",N54/N$9)</f>
        <v>6.3944803275693456</v>
      </c>
      <c r="O84" s="326">
        <f t="shared" ref="O84:S84" si="45">IF(O$9=0,"",O54/O$9)</f>
        <v>9.4591774218523827</v>
      </c>
      <c r="P84" s="326" t="str">
        <f t="shared" si="45"/>
        <v/>
      </c>
      <c r="Q84" s="326" t="str">
        <f t="shared" si="45"/>
        <v/>
      </c>
      <c r="R84" s="326">
        <f t="shared" si="45"/>
        <v>9.0889956181473739</v>
      </c>
      <c r="S84" s="326">
        <f t="shared" si="45"/>
        <v>8.5768651841754</v>
      </c>
      <c r="T84" s="326">
        <f t="shared" si="44"/>
        <v>8.099947196546756</v>
      </c>
      <c r="U84" s="326">
        <f t="shared" si="44"/>
        <v>8.7880326524235439</v>
      </c>
      <c r="V84" s="326">
        <f t="shared" si="44"/>
        <v>5.3415961841941941</v>
      </c>
      <c r="W84" s="326">
        <f t="shared" si="44"/>
        <v>15.481638321608269</v>
      </c>
      <c r="X84" s="326" t="str">
        <f t="shared" si="44"/>
        <v/>
      </c>
      <c r="Y84" s="326">
        <f t="shared" si="44"/>
        <v>10.002379987521147</v>
      </c>
      <c r="Z84" s="326">
        <f t="shared" si="44"/>
        <v>5.6503068551261313</v>
      </c>
      <c r="AA84" s="326">
        <f t="shared" si="44"/>
        <v>6.8110314470896771</v>
      </c>
      <c r="AB84" s="326">
        <f t="shared" si="44"/>
        <v>7.5500770416024645</v>
      </c>
      <c r="AC84" s="326">
        <f t="shared" si="44"/>
        <v>5.2775387948889518</v>
      </c>
      <c r="AD84" s="326" t="str">
        <f t="shared" si="44"/>
        <v/>
      </c>
      <c r="AE84" s="326" t="str">
        <f t="shared" si="44"/>
        <v/>
      </c>
      <c r="AF84" s="326" t="str">
        <f>IF(AF$9=0,"",AF54/AF$9)</f>
        <v/>
      </c>
      <c r="AG84" s="348">
        <f>+(AG54)/AG$9</f>
        <v>7.1237509057787278</v>
      </c>
      <c r="AH84" s="349">
        <f>'Daily KPIs'!AI94</f>
        <v>7.2</v>
      </c>
      <c r="AI84" s="350">
        <f>AH84-AG84</f>
        <v>7.6249094221272351E-2</v>
      </c>
    </row>
    <row r="85" spans="1:35" s="1" customFormat="1" ht="18" x14ac:dyDescent="0.25">
      <c r="A85" s="27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</row>
    <row r="86" spans="1:35" ht="18.75" x14ac:dyDescent="0.3">
      <c r="A86" s="383" t="s">
        <v>241</v>
      </c>
      <c r="B86" s="384">
        <f>'Daily KPIs'!B97</f>
        <v>0</v>
      </c>
      <c r="C86" s="384">
        <f>'Daily KPIs'!C97</f>
        <v>0</v>
      </c>
      <c r="D86" s="384">
        <f>'Daily KPIs'!D97</f>
        <v>0</v>
      </c>
      <c r="E86" s="384">
        <f>'Daily KPIs'!E97</f>
        <v>0</v>
      </c>
      <c r="F86" s="384">
        <f>'Daily KPIs'!F97</f>
        <v>0</v>
      </c>
      <c r="G86" s="384">
        <f>'Daily KPIs'!G97</f>
        <v>0</v>
      </c>
      <c r="H86" s="384">
        <f>'Daily KPIs'!H97</f>
        <v>0</v>
      </c>
      <c r="I86" s="384">
        <f>'Daily KPIs'!I97</f>
        <v>0</v>
      </c>
      <c r="J86" s="384">
        <f>'Daily KPIs'!J97</f>
        <v>0</v>
      </c>
      <c r="K86" s="384">
        <f>'Daily KPIs'!K97</f>
        <v>0</v>
      </c>
      <c r="L86" s="384">
        <f>'Daily KPIs'!L97</f>
        <v>0</v>
      </c>
      <c r="M86" s="384">
        <f>'Daily KPIs'!M97</f>
        <v>0</v>
      </c>
      <c r="N86" s="384">
        <f>'Daily KPIs'!N97</f>
        <v>0</v>
      </c>
      <c r="O86" s="384">
        <f>'Daily KPIs'!O97</f>
        <v>0</v>
      </c>
      <c r="P86" s="384">
        <f>'Daily KPIs'!P97</f>
        <v>0</v>
      </c>
      <c r="Q86" s="384">
        <f>'Daily KPIs'!Q97</f>
        <v>0</v>
      </c>
      <c r="R86" s="384">
        <f>'Daily KPIs'!R97</f>
        <v>0</v>
      </c>
      <c r="S86" s="384">
        <f>'Daily KPIs'!S97</f>
        <v>0</v>
      </c>
      <c r="T86" s="384">
        <f>'Daily KPIs'!T97</f>
        <v>0</v>
      </c>
      <c r="U86" s="384">
        <f>'Daily KPIs'!U97</f>
        <v>0</v>
      </c>
      <c r="V86" s="384">
        <f>'Daily KPIs'!V97</f>
        <v>0</v>
      </c>
      <c r="W86" s="384">
        <f>'Daily KPIs'!W97</f>
        <v>0</v>
      </c>
      <c r="X86" s="384">
        <f>'Daily KPIs'!X97</f>
        <v>0</v>
      </c>
      <c r="Y86" s="384">
        <f>'Daily KPIs'!Y97</f>
        <v>0</v>
      </c>
      <c r="Z86" s="384">
        <f>'Daily KPIs'!Z97</f>
        <v>0</v>
      </c>
      <c r="AA86" s="384">
        <f>'Daily KPIs'!AA97</f>
        <v>0</v>
      </c>
      <c r="AB86" s="384">
        <f>'Daily KPIs'!AB97</f>
        <v>0</v>
      </c>
      <c r="AC86" s="384">
        <f>'Daily KPIs'!AC97</f>
        <v>0</v>
      </c>
      <c r="AD86" s="384">
        <f>'Daily KPIs'!AD97</f>
        <v>0</v>
      </c>
      <c r="AE86" s="384">
        <f>'Daily KPIs'!AE97</f>
        <v>0</v>
      </c>
      <c r="AF86" s="384">
        <f>'Daily KPIs'!AF97</f>
        <v>0</v>
      </c>
      <c r="AG86" s="385">
        <f>SUM($B86:AE86)</f>
        <v>0</v>
      </c>
      <c r="AH86" s="385"/>
      <c r="AI86" s="386" t="s">
        <v>207</v>
      </c>
    </row>
    <row r="87" spans="1:35" ht="18" x14ac:dyDescent="0.25">
      <c r="A87" s="272" t="s">
        <v>225</v>
      </c>
      <c r="B87" s="356">
        <f>IF('Entries Feb.''25'!L8-'Entries Feb.''25'!L7&lt;1,0,'Entries Feb.''25'!L8-'Entries Feb.''25'!L7)</f>
        <v>0</v>
      </c>
      <c r="C87" s="356">
        <f>IF('Entries Feb.''25'!L9-'Entries Feb.''25'!L8&lt;1,0,'Entries Feb.''25'!L9-'Entries Feb.''25'!L8)</f>
        <v>0</v>
      </c>
      <c r="D87" s="356">
        <f>IF('Entries Feb.''25'!L10-'Entries Feb.''25'!L9&lt;1,0,'Entries Feb.''25'!L10-'Entries Feb.''25'!L9)</f>
        <v>0</v>
      </c>
      <c r="E87" s="356">
        <f>IF('Entries Feb.''25'!L11-'Entries Feb.''25'!L10&lt;1,0,'Entries Feb.''25'!L11-'Entries Feb.''25'!L10)</f>
        <v>0</v>
      </c>
      <c r="F87" s="356">
        <f>IF('Entries Feb.''25'!L12-'Entries Feb.''25'!L11&lt;1,0,'Entries Feb.''25'!L12-'Entries Feb.''25'!L11)</f>
        <v>0</v>
      </c>
      <c r="G87" s="356">
        <f>IF('Entries Feb.''25'!L13-'Entries Feb.''25'!L12&lt;1,0,'Entries Feb.''25'!L13-'Entries Feb.''25'!L12)</f>
        <v>0</v>
      </c>
      <c r="H87" s="356">
        <f>IF('Entries Feb.''25'!L14-'Entries Feb.''25'!L13&lt;1,0,'Entries Feb.''25'!L14-'Entries Feb.''25'!L13)</f>
        <v>0</v>
      </c>
      <c r="I87" s="356">
        <f>IF('Entries Feb.''25'!L15-'Entries Feb.''25'!L14&lt;1,0,'Entries Feb.''25'!L15-'Entries Feb.''25'!L14)</f>
        <v>0</v>
      </c>
      <c r="J87" s="356">
        <f>IF('Entries Feb.''25'!L16-'Entries Feb.''25'!L15&lt;1,0,'Entries Feb.''25'!L16-'Entries Feb.''25'!L15)</f>
        <v>0</v>
      </c>
      <c r="K87" s="356">
        <f>IF('Entries Feb.''25'!L17-'Entries Feb.''25'!L16&lt;1,0,'Entries Feb.''25'!L17-'Entries Feb.''25'!L16)</f>
        <v>0</v>
      </c>
      <c r="L87" s="356">
        <f>IF('Entries Feb.''25'!L18-'Entries Feb.''25'!L17&lt;1,0,'Entries Feb.''25'!L18-'Entries Feb.''25'!L17)</f>
        <v>0</v>
      </c>
      <c r="M87" s="356">
        <f>IF('Entries Feb.''25'!L19-'Entries Feb.''25'!L18&lt;1,0,'Entries Feb.''25'!L19-'Entries Feb.''25'!L18)</f>
        <v>0</v>
      </c>
      <c r="N87" s="290">
        <f>IF('Entries Feb.''25'!L20-'Entries Feb.''25'!L19&lt;1,0,'Entries Feb.''25'!L20-'Entries Feb.''25'!L19)</f>
        <v>0</v>
      </c>
      <c r="O87" s="290">
        <f>IF('Entries Feb.''25'!M21-'Entries Feb.''25'!M19&lt;1,0,'Entries Feb.''25'!M21-'Entries Feb.''25'!M19)</f>
        <v>0</v>
      </c>
      <c r="P87" s="290">
        <f>IF('Entries Feb.''25'!N20-'Entries Feb.''25'!N19&lt;1,0,'Entries Feb.''25'!N20-'Entries Feb.''25'!N19)</f>
        <v>37.139999999999986</v>
      </c>
      <c r="Q87" s="290">
        <f>IF('Entries Feb.''25'!O20-'Entries Feb.''25'!O19&lt;1,0,'Entries Feb.''25'!O20-'Entries Feb.''25'!O19)</f>
        <v>1</v>
      </c>
      <c r="R87" s="290">
        <f>IF('Entries Feb.''25'!P20-'Entries Feb.''25'!P19&lt;1,0,'Entries Feb.''25'!P20-'Entries Feb.''25'!P19)</f>
        <v>171</v>
      </c>
      <c r="S87" s="290">
        <f>IF('Entries Feb.''25'!Q20-'Entries Feb.''25'!Q19&lt;1,0,'Entries Feb.''25'!Q20-'Entries Feb.''25'!Q19)</f>
        <v>256</v>
      </c>
      <c r="T87" s="290">
        <f>IF('Entries Feb.''25'!L26-'Entries Feb.''25'!L25&lt;1,0,'Entries Feb.''25'!L26-'Entries Feb.''25'!L25)</f>
        <v>0</v>
      </c>
      <c r="U87" s="290">
        <f>IF('Entries Feb.''25'!L27-'Entries Feb.''25'!L26&lt;1,0,'Entries Feb.''25'!L27-'Entries Feb.''25'!L26)</f>
        <v>0</v>
      </c>
      <c r="V87" s="290">
        <f>IF('Entries Feb.''25'!L28-'Entries Feb.''25'!L27&lt;1,0,'Entries Feb.''25'!L28-'Entries Feb.''25'!L27)</f>
        <v>0</v>
      </c>
      <c r="W87" s="290">
        <f>IF('Entries Feb.''25'!L29-'Entries Feb.''25'!L28&lt;1,0,'Entries Feb.''25'!L29-'Entries Feb.''25'!L28)</f>
        <v>0</v>
      </c>
      <c r="X87" s="290">
        <f>IF('Entries Feb.''25'!L30-'Entries Feb.''25'!L29&lt;1,0,'Entries Feb.''25'!L30-'Entries Feb.''25'!L29)</f>
        <v>0</v>
      </c>
      <c r="Y87" s="290">
        <f>IF('Entries Feb.''25'!L31-'Entries Feb.''25'!L30&lt;1,0,'Entries Feb.''25'!L31-'Entries Feb.''25'!L30)</f>
        <v>0</v>
      </c>
      <c r="Z87" s="290">
        <f>IF('Entries Feb.''25'!L32-'Entries Feb.''25'!L31&lt;1,0,'Entries Feb.''25'!L32-'Entries Feb.''25'!L31)</f>
        <v>0</v>
      </c>
      <c r="AA87" s="290">
        <f>IF('Entries Feb.''25'!L33-'Entries Feb.''25'!L32&lt;1,0,'Entries Feb.''25'!L33-'Entries Feb.''25'!L32)</f>
        <v>0</v>
      </c>
      <c r="AB87" s="290">
        <f>IF('Entries Feb.''25'!L34-'Entries Feb.''25'!L33&lt;1,0,'Entries Feb.''25'!L34-'Entries Feb.''25'!L33)</f>
        <v>0</v>
      </c>
      <c r="AC87" s="290">
        <f>IF('Entries Feb.''25'!L35-'Entries Feb.''25'!L34&lt;1,0,'Entries Feb.''25'!L35-'Entries Feb.''25'!L34)</f>
        <v>0</v>
      </c>
      <c r="AD87" s="290">
        <f>IF('Entries Feb.''25'!L36-'Entries Feb.''25'!L35&lt;1,0,'Entries Feb.''25'!L36-'Entries Feb.''25'!L35)</f>
        <v>0</v>
      </c>
      <c r="AE87" s="290">
        <f>IF('Entries Feb.''25'!L37-'Entries Feb.''25'!L36&lt;1,0,'Entries Feb.''25'!L37-'Entries Feb.''25'!L36)</f>
        <v>0</v>
      </c>
      <c r="AF87" s="290">
        <f>IF('Entries Feb.''25'!M37-'Entries Feb.''25'!M36&lt;1,0,'Entries Feb.''25'!M37-'Entries Feb.''25'!M36)</f>
        <v>0</v>
      </c>
      <c r="AG87" s="280">
        <f>SUM($B87:AE87)</f>
        <v>465.14</v>
      </c>
      <c r="AH87" s="280"/>
      <c r="AI87" s="271"/>
    </row>
    <row r="88" spans="1:35" ht="18" x14ac:dyDescent="0.25">
      <c r="A88" s="272" t="s">
        <v>226</v>
      </c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2"/>
      <c r="AE88" s="252"/>
      <c r="AF88" s="252"/>
      <c r="AG88" s="254">
        <f>SUM(B88:AE88)</f>
        <v>0</v>
      </c>
      <c r="AH88" s="254"/>
      <c r="AI88" s="271"/>
    </row>
    <row r="89" spans="1:35" ht="18" x14ac:dyDescent="0.25">
      <c r="A89" s="272" t="s">
        <v>227</v>
      </c>
      <c r="B89" s="357" t="str">
        <f t="shared" ref="B89:AE89" si="46">IF(B87=0,"",B88/B87)</f>
        <v/>
      </c>
      <c r="C89" s="357" t="str">
        <f t="shared" si="46"/>
        <v/>
      </c>
      <c r="D89" s="357" t="str">
        <f t="shared" si="46"/>
        <v/>
      </c>
      <c r="E89" s="357" t="str">
        <f t="shared" si="46"/>
        <v/>
      </c>
      <c r="F89" s="357" t="str">
        <f t="shared" si="46"/>
        <v/>
      </c>
      <c r="G89" s="357" t="str">
        <f t="shared" si="46"/>
        <v/>
      </c>
      <c r="H89" s="357" t="str">
        <f t="shared" si="46"/>
        <v/>
      </c>
      <c r="I89" s="357" t="str">
        <f>IF(I87=0,"",I88/I87)</f>
        <v/>
      </c>
      <c r="J89" s="357" t="str">
        <f t="shared" si="46"/>
        <v/>
      </c>
      <c r="K89" s="357" t="str">
        <f t="shared" si="46"/>
        <v/>
      </c>
      <c r="L89" s="357" t="str">
        <f t="shared" si="46"/>
        <v/>
      </c>
      <c r="M89" s="357" t="str">
        <f t="shared" si="46"/>
        <v/>
      </c>
      <c r="N89" s="357" t="str">
        <f t="shared" si="46"/>
        <v/>
      </c>
      <c r="O89" s="357" t="str">
        <f t="shared" ref="O89:S89" si="47">IF(O87=0,"",O88/O87)</f>
        <v/>
      </c>
      <c r="P89" s="357">
        <f t="shared" si="47"/>
        <v>0</v>
      </c>
      <c r="Q89" s="357">
        <f t="shared" si="47"/>
        <v>0</v>
      </c>
      <c r="R89" s="357">
        <f t="shared" si="47"/>
        <v>0</v>
      </c>
      <c r="S89" s="357">
        <f t="shared" si="47"/>
        <v>0</v>
      </c>
      <c r="T89" s="357" t="str">
        <f t="shared" si="46"/>
        <v/>
      </c>
      <c r="U89" s="357" t="str">
        <f>IF(U87=0,"",U88/U87)</f>
        <v/>
      </c>
      <c r="V89" s="357" t="str">
        <f t="shared" si="46"/>
        <v/>
      </c>
      <c r="W89" s="357" t="str">
        <f t="shared" si="46"/>
        <v/>
      </c>
      <c r="X89" s="357" t="str">
        <f t="shared" si="46"/>
        <v/>
      </c>
      <c r="Y89" s="357" t="str">
        <f t="shared" si="46"/>
        <v/>
      </c>
      <c r="Z89" s="357" t="str">
        <f t="shared" si="46"/>
        <v/>
      </c>
      <c r="AA89" s="357" t="str">
        <f t="shared" si="46"/>
        <v/>
      </c>
      <c r="AB89" s="357" t="str">
        <f t="shared" si="46"/>
        <v/>
      </c>
      <c r="AC89" s="357" t="str">
        <f t="shared" si="46"/>
        <v/>
      </c>
      <c r="AD89" s="357" t="str">
        <f t="shared" si="46"/>
        <v/>
      </c>
      <c r="AE89" s="357" t="str">
        <f t="shared" si="46"/>
        <v/>
      </c>
      <c r="AF89" s="357" t="str">
        <f>IF(AF87=0,"",AF88/AF87)</f>
        <v/>
      </c>
      <c r="AG89" s="357">
        <f>IF(AG87=0,"",AG88/AG87)</f>
        <v>0</v>
      </c>
      <c r="AH89" s="254"/>
      <c r="AI89" s="271"/>
    </row>
    <row r="90" spans="1:35" ht="18" x14ac:dyDescent="0.25">
      <c r="A90" s="272" t="s">
        <v>220</v>
      </c>
      <c r="B90" s="356">
        <f>IF('Entries Feb.''25'!$AG8-'Entries Feb.''25'!$AG7&lt;1,0,'Entries Feb.''25'!$AG8-'Entries Feb.''25'!$AG7)</f>
        <v>0</v>
      </c>
      <c r="C90" s="356">
        <f>IF('Entries Feb.''25'!$AG9-'Entries Feb.''25'!$AG8&lt;1,0,'Entries Feb.''25'!$AG9-'Entries Feb.''25'!$AG8)</f>
        <v>0</v>
      </c>
      <c r="D90" s="356">
        <f>IF('Entries Feb.''25'!$AG10-'Entries Feb.''25'!$AG9&lt;1,0,'Entries Feb.''25'!$AG10-'Entries Feb.''25'!$AG9)</f>
        <v>0</v>
      </c>
      <c r="E90" s="356">
        <f>IF('Entries Feb.''25'!$AG11-'Entries Feb.''25'!$AG10&lt;1,0,'Entries Feb.''25'!$AG11-'Entries Feb.''25'!$AG10)</f>
        <v>0</v>
      </c>
      <c r="F90" s="356">
        <f>IF('Entries Feb.''25'!$AG12-'Entries Feb.''25'!$AG11&lt;1,0,'Entries Feb.''25'!$AG12-'Entries Feb.''25'!$AG11)</f>
        <v>0</v>
      </c>
      <c r="G90" s="356">
        <f>IF('Entries Feb.''25'!$AG13-'Entries Feb.''25'!$AG12&lt;1,0,'Entries Feb.''25'!$AG13-'Entries Feb.''25'!$AG12)</f>
        <v>0</v>
      </c>
      <c r="H90" s="356">
        <f>IF('Entries Feb.''25'!$AG14-'Entries Feb.''25'!$AG13&lt;1,0,'Entries Feb.''25'!$AG14-'Entries Feb.''25'!$AG13)</f>
        <v>0</v>
      </c>
      <c r="I90" s="356">
        <f>IF('Entries Feb.''25'!AG15-'Entries Feb.''25'!AG14&lt;1,0,'Entries Feb.''25'!AG15-'Entries Feb.''25'!AG14)</f>
        <v>0</v>
      </c>
      <c r="J90" s="356">
        <f>IF('Entries Feb.''25'!AG16-'Entries Feb.''25'!AG15&lt;1,0,'Entries Feb.''25'!AG16-'Entries Feb.''25'!AG15)</f>
        <v>0</v>
      </c>
      <c r="K90" s="356">
        <f>IF('Entries Feb.''25'!AG17-'Entries Feb.''25'!AG16&lt;1,0,'Entries Feb.''25'!AG17-'Entries Feb.''25'!AG16)</f>
        <v>0</v>
      </c>
      <c r="L90" s="356">
        <f>IF('Entries Feb.''25'!$AG18-'Entries Feb.''25'!$AG17&lt;1,0,'Entries Feb.''25'!$AG18-'Entries Feb.''25'!$AG17)</f>
        <v>0</v>
      </c>
      <c r="M90" s="356">
        <f>IF('Entries Feb.''25'!$AG19-'Entries Feb.''25'!$AG18&lt;1,0,'Entries Feb.''25'!$AG19-'Entries Feb.''25'!$AG18)</f>
        <v>0</v>
      </c>
      <c r="N90" s="356">
        <f>IF('Entries Feb.''25'!$AG20-'Entries Feb.''25'!$AG19&lt;1,0,'Entries Feb.''25'!$AG20-'Entries Feb.''25'!$AG19)</f>
        <v>0</v>
      </c>
      <c r="O90" s="356">
        <f>IF('Entries Feb.''25'!$AG20-'Entries Feb.''25'!$AG19&lt;1,0,'Entries Feb.''25'!$AG20-'Entries Feb.''25'!$AG19)</f>
        <v>0</v>
      </c>
      <c r="P90" s="356">
        <f>IF('Entries Feb.''25'!$AG20-'Entries Feb.''25'!$AG19&lt;1,0,'Entries Feb.''25'!$AG20-'Entries Feb.''25'!$AG19)</f>
        <v>0</v>
      </c>
      <c r="Q90" s="356">
        <f>IF('Entries Feb.''25'!$AG20-'Entries Feb.''25'!$AG19&lt;1,0,'Entries Feb.''25'!$AG20-'Entries Feb.''25'!$AG19)</f>
        <v>0</v>
      </c>
      <c r="R90" s="356">
        <f>IF('Entries Feb.''25'!$AG20-'Entries Feb.''25'!$AG19&lt;1,0,'Entries Feb.''25'!$AG20-'Entries Feb.''25'!$AG19)</f>
        <v>0</v>
      </c>
      <c r="S90" s="356">
        <f>IF('Entries Feb.''25'!$AG20-'Entries Feb.''25'!$AG19&lt;1,0,'Entries Feb.''25'!$AG20-'Entries Feb.''25'!$AG19)</f>
        <v>0</v>
      </c>
      <c r="T90" s="356">
        <f>IF('Entries Feb.''25'!$AG26-'Entries Feb.''25'!$AG25&lt;1,0,'Entries Feb.''25'!$AG26-'Entries Feb.''25'!$AG25)</f>
        <v>0</v>
      </c>
      <c r="U90" s="356">
        <f>IF('Entries Feb.''25'!$AG27-'Entries Feb.''25'!$AG26&lt;1,0,'Entries Feb.''25'!$AG27-'Entries Feb.''25'!$AG26)</f>
        <v>0</v>
      </c>
      <c r="V90" s="356">
        <f>IF('Entries Feb.''25'!$AG28-'Entries Feb.''25'!$AG27&lt;1,0,'Entries Feb.''25'!$AG28-'Entries Feb.''25'!$AG27)</f>
        <v>0</v>
      </c>
      <c r="W90" s="356">
        <f>IF('Entries Feb.''25'!$AG29-'Entries Feb.''25'!$AG28&lt;1,0,'Entries Feb.''25'!$AG29-'Entries Feb.''25'!$AG28)</f>
        <v>0</v>
      </c>
      <c r="X90" s="356">
        <f>IF('Entries Feb.''25'!$AG30-'Entries Feb.''25'!$AG29&lt;1,0,'Entries Feb.''25'!$AG30-'Entries Feb.''25'!$AG29)</f>
        <v>0</v>
      </c>
      <c r="Y90" s="356">
        <f>IF('Entries Feb.''25'!$AG30-'Entries Feb.''25'!$AG29&lt;1,0,'Entries Feb.''25'!$AG30-'Entries Feb.''25'!$AG29)</f>
        <v>0</v>
      </c>
      <c r="Z90" s="356">
        <f>IF('Entries Feb.''25'!$AG30-'Entries Feb.''25'!$AG29&lt;1,0,'Entries Feb.''25'!$AG30-'Entries Feb.''25'!$AG29)</f>
        <v>0</v>
      </c>
      <c r="AA90" s="356">
        <f>IF('Entries Feb.''25'!$AG30-'Entries Feb.''25'!$AG29&lt;1,0,'Entries Feb.''25'!$AG30-'Entries Feb.''25'!$AG29)</f>
        <v>0</v>
      </c>
      <c r="AB90" s="356">
        <f>IF('Entries Feb.''25'!$AG34-'Entries Feb.''25'!$AG33&lt;1,0,'Entries Feb.''25'!$AG34-'Entries Feb.''25'!$AG33)</f>
        <v>0</v>
      </c>
      <c r="AC90" s="356">
        <f>IF('Entries Feb.''25'!$AG35-'Entries Feb.''25'!$AG34&lt;1,0,'Entries Feb.''25'!$AG35-'Entries Feb.''25'!$AG34)</f>
        <v>0</v>
      </c>
      <c r="AD90" s="356">
        <f>IF('Entries Feb.''25'!$AG36-'Entries Feb.''25'!$AG35&lt;1,0,'Entries Feb.''25'!$AG36-'Entries Feb.''25'!$AG35)</f>
        <v>0</v>
      </c>
      <c r="AE90" s="356">
        <f>IF('Entries Feb.''25'!$AG37-'Entries Feb.''25'!$AG36&lt;1,0,'Entries Feb.''25'!$AG37-'Entries Feb.''25'!$AG36)</f>
        <v>0</v>
      </c>
      <c r="AF90" s="356">
        <f>IF('Entries Feb.''25'!$AG37-'Entries Feb.''25'!$AG36&lt;1,0,'Entries Feb.''25'!$AG37-'Entries Feb.''25'!$AG36)</f>
        <v>0</v>
      </c>
      <c r="AG90" s="280">
        <f>SUM(B90:AE90)</f>
        <v>0</v>
      </c>
      <c r="AH90" s="280"/>
      <c r="AI90" s="271"/>
    </row>
    <row r="91" spans="1:35" ht="18" x14ac:dyDescent="0.25">
      <c r="A91" s="271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  <c r="AA91" s="252"/>
      <c r="AB91" s="252"/>
      <c r="AC91" s="252"/>
      <c r="AD91" s="252"/>
      <c r="AE91" s="252"/>
      <c r="AF91" s="252"/>
      <c r="AG91" s="254"/>
      <c r="AH91" s="254"/>
      <c r="AI91" s="271"/>
    </row>
    <row r="92" spans="1:35" ht="18" x14ac:dyDescent="0.25">
      <c r="A92" s="271" t="s">
        <v>177</v>
      </c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2"/>
      <c r="AF92" s="252"/>
      <c r="AG92" s="254"/>
      <c r="AH92" s="254"/>
      <c r="AI92" s="271"/>
    </row>
    <row r="93" spans="1:35" ht="18" x14ac:dyDescent="0.25">
      <c r="A93" s="370" t="s">
        <v>237</v>
      </c>
      <c r="B93" s="371">
        <f>'Daily KPIs'!B12</f>
        <v>0</v>
      </c>
      <c r="C93" s="371">
        <f>'Daily KPIs'!C12</f>
        <v>0</v>
      </c>
      <c r="D93" s="371">
        <f>'Daily KPIs'!D12</f>
        <v>417.5</v>
      </c>
      <c r="E93" s="371">
        <f>'Daily KPIs'!E12</f>
        <v>248.4</v>
      </c>
      <c r="F93" s="371">
        <f>'Daily KPIs'!F12</f>
        <v>396.1</v>
      </c>
      <c r="G93" s="371">
        <f>'Daily KPIs'!G12</f>
        <v>204</v>
      </c>
      <c r="H93" s="371">
        <f>'Daily KPIs'!H12</f>
        <v>0</v>
      </c>
      <c r="I93" s="371">
        <f>'Daily KPIs'!I12</f>
        <v>0</v>
      </c>
      <c r="J93" s="371">
        <f>'Daily KPIs'!J12</f>
        <v>0</v>
      </c>
      <c r="K93" s="371">
        <f>'Daily KPIs'!K12</f>
        <v>411.4</v>
      </c>
      <c r="L93" s="371">
        <f>'Daily KPIs'!L12</f>
        <v>361.1</v>
      </c>
      <c r="M93" s="371">
        <f>'Daily KPIs'!M12</f>
        <v>458</v>
      </c>
      <c r="N93" s="371">
        <f>'Daily KPIs'!N12</f>
        <v>390</v>
      </c>
      <c r="O93" s="371">
        <f>'Daily KPIs'!O12</f>
        <v>302.39999999999998</v>
      </c>
      <c r="P93" s="371">
        <f>'Daily KPIs'!P12</f>
        <v>0</v>
      </c>
      <c r="Q93" s="371">
        <f>'Daily KPIs'!Q12</f>
        <v>0</v>
      </c>
      <c r="R93" s="371">
        <f>'Daily KPIs'!R12</f>
        <v>453.8</v>
      </c>
      <c r="S93" s="371">
        <f>'Daily KPIs'!S12</f>
        <v>407.4</v>
      </c>
      <c r="T93" s="371">
        <f>'Daily KPIs'!T12</f>
        <v>404</v>
      </c>
      <c r="U93" s="371">
        <f>'Daily KPIs'!U12</f>
        <v>401.8</v>
      </c>
      <c r="V93" s="371">
        <f>'Daily KPIs'!V12</f>
        <v>259.3</v>
      </c>
      <c r="W93" s="371">
        <f>'Daily KPIs'!W12</f>
        <v>0</v>
      </c>
      <c r="X93" s="371">
        <f>'Daily KPIs'!X12</f>
        <v>0</v>
      </c>
      <c r="Y93" s="371">
        <f>'Daily KPIs'!Y12</f>
        <v>408.1</v>
      </c>
      <c r="Z93" s="371">
        <f>'Daily KPIs'!Z12</f>
        <v>402.3</v>
      </c>
      <c r="AA93" s="371">
        <f>'Daily KPIs'!AA12</f>
        <v>451.3</v>
      </c>
      <c r="AB93" s="371">
        <f>'Daily KPIs'!AB12</f>
        <v>347.9</v>
      </c>
      <c r="AC93" s="371">
        <f>'Daily KPIs'!AC12</f>
        <v>300.8</v>
      </c>
      <c r="AD93" s="371">
        <f>'Daily KPIs'!AD12</f>
        <v>0</v>
      </c>
      <c r="AE93" s="371">
        <f>'Daily KPIs'!AE12</f>
        <v>0</v>
      </c>
      <c r="AF93" s="371">
        <f>'Daily KPIs'!AF12</f>
        <v>0</v>
      </c>
      <c r="AG93" s="372">
        <f>SUM(B93:AE93)</f>
        <v>7025.6000000000013</v>
      </c>
      <c r="AH93" s="373"/>
      <c r="AI93" s="370"/>
    </row>
    <row r="94" spans="1:35" ht="18" x14ac:dyDescent="0.25">
      <c r="A94" s="370" t="s">
        <v>238</v>
      </c>
      <c r="B94" s="374">
        <f>'Daily KPIs'!B13</f>
        <v>0</v>
      </c>
      <c r="C94" s="374">
        <f>'Daily KPIs'!C13</f>
        <v>0</v>
      </c>
      <c r="D94" s="374" t="str">
        <f>'Daily KPIs'!D13</f>
        <v xml:space="preserve">Guinn/Carib </v>
      </c>
      <c r="E94" s="374" t="str">
        <f>'Daily KPIs'!E13</f>
        <v>Carib</v>
      </c>
      <c r="F94" s="374" t="str">
        <f>'Daily KPIs'!F13</f>
        <v>Carib/Stag</v>
      </c>
      <c r="G94" s="374" t="str">
        <f>'Daily KPIs'!G10</f>
        <v>GN/Pils/ST</v>
      </c>
      <c r="H94" s="374">
        <f>'Daily KPIs'!H13</f>
        <v>0</v>
      </c>
      <c r="I94" s="374">
        <f>'Daily KPIs'!I13</f>
        <v>0</v>
      </c>
      <c r="J94" s="374">
        <f>'Daily KPIs'!J13</f>
        <v>0</v>
      </c>
      <c r="K94" s="374" t="str">
        <f>'Daily KPIs'!K13</f>
        <v>Carib</v>
      </c>
      <c r="L94" s="374" t="str">
        <f>'Daily KPIs'!L13</f>
        <v>Starmalt/ Carib</v>
      </c>
      <c r="M94" s="374" t="str">
        <f>'Daily KPIs'!M13</f>
        <v>Carib</v>
      </c>
      <c r="N94" s="374" t="str">
        <f>'Daily KPIs'!N13</f>
        <v>Carib/Stag</v>
      </c>
      <c r="O94" s="374" t="str">
        <f>'Daily KPIs'!O13</f>
        <v>Stag</v>
      </c>
      <c r="P94" s="374">
        <f>'Daily KPIs'!P13</f>
        <v>0</v>
      </c>
      <c r="Q94" s="374">
        <f>'Daily KPIs'!Q13</f>
        <v>0</v>
      </c>
      <c r="R94" s="374" t="str">
        <f>'Daily KPIs'!R13</f>
        <v>Carib/ Vitamalt</v>
      </c>
      <c r="S94" s="374" t="str">
        <f>'Daily KPIs'!S13</f>
        <v>Vitamalt/ Guinn</v>
      </c>
      <c r="T94" s="374" t="str">
        <f>'Daily KPIs'!T13</f>
        <v>Guinn/ Stag</v>
      </c>
      <c r="U94" s="374" t="str">
        <f>'Daily KPIs'!U13</f>
        <v xml:space="preserve"> Stag/Carib</v>
      </c>
      <c r="V94" s="374" t="str">
        <f>'Daily KPIs'!V13</f>
        <v xml:space="preserve"> Stag/Carib</v>
      </c>
      <c r="W94" s="374">
        <f>'Daily KPIs'!W13</f>
        <v>0</v>
      </c>
      <c r="X94" s="374">
        <f>'Daily KPIs'!X13</f>
        <v>0</v>
      </c>
      <c r="Y94" s="374" t="str">
        <f>'Daily KPIs'!Y13</f>
        <v>Carib</v>
      </c>
      <c r="Z94" s="374" t="str">
        <f>'Daily KPIs'!Z13</f>
        <v>Carib</v>
      </c>
      <c r="AA94" s="374" t="str">
        <f>'Daily KPIs'!AA13</f>
        <v>Carib/ Stag</v>
      </c>
      <c r="AB94" s="374" t="str">
        <f>'Daily KPIs'!AB13</f>
        <v>Stag</v>
      </c>
      <c r="AC94" s="374" t="str">
        <f>'Daily KPIs'!AC13</f>
        <v>Stag/ Carib</v>
      </c>
      <c r="AD94" s="374">
        <f>'Daily KPIs'!AD13</f>
        <v>0</v>
      </c>
      <c r="AE94" s="374">
        <f>'Daily KPIs'!AE13</f>
        <v>0</v>
      </c>
      <c r="AF94" s="374">
        <f>'Daily KPIs'!AF13</f>
        <v>0</v>
      </c>
      <c r="AG94" s="373"/>
      <c r="AH94" s="373"/>
      <c r="AI94" s="370"/>
    </row>
    <row r="95" spans="1:35" ht="18" x14ac:dyDescent="0.25">
      <c r="A95" s="387" t="s">
        <v>240</v>
      </c>
      <c r="B95" s="388">
        <f>'Daily KPIs'!B14</f>
        <v>0</v>
      </c>
      <c r="C95" s="388">
        <f>'Daily KPIs'!C14</f>
        <v>0</v>
      </c>
      <c r="D95" s="388">
        <f>'Daily KPIs'!D14</f>
        <v>8</v>
      </c>
      <c r="E95" s="388">
        <f>'Daily KPIs'!E14</f>
        <v>5</v>
      </c>
      <c r="F95" s="388">
        <f>'Daily KPIs'!F14</f>
        <v>8</v>
      </c>
      <c r="G95" s="388">
        <f>'Daily KPIs'!G14</f>
        <v>5</v>
      </c>
      <c r="H95" s="388">
        <f>'Daily KPIs'!H14</f>
        <v>0</v>
      </c>
      <c r="I95" s="388">
        <f>'Daily KPIs'!I14</f>
        <v>0</v>
      </c>
      <c r="J95" s="388">
        <f>'Daily KPIs'!J14</f>
        <v>0</v>
      </c>
      <c r="K95" s="388">
        <f>'Daily KPIs'!K14</f>
        <v>8</v>
      </c>
      <c r="L95" s="388">
        <f>'Daily KPIs'!L14</f>
        <v>7</v>
      </c>
      <c r="M95" s="388">
        <f>'Daily KPIs'!M14</f>
        <v>9</v>
      </c>
      <c r="N95" s="388">
        <f>'Daily KPIs'!N14</f>
        <v>8</v>
      </c>
      <c r="O95" s="388">
        <f>'Daily KPIs'!O14</f>
        <v>6</v>
      </c>
      <c r="P95" s="388">
        <f>'Daily KPIs'!P14</f>
        <v>0</v>
      </c>
      <c r="Q95" s="388">
        <f>'Daily KPIs'!Q14</f>
        <v>0</v>
      </c>
      <c r="R95" s="388">
        <f>'Daily KPIs'!R14</f>
        <v>9</v>
      </c>
      <c r="S95" s="388">
        <f>'Daily KPIs'!S14</f>
        <v>8</v>
      </c>
      <c r="T95" s="388">
        <f>'Daily KPIs'!T14</f>
        <v>8</v>
      </c>
      <c r="U95" s="388">
        <f>'Daily KPIs'!U14</f>
        <v>8</v>
      </c>
      <c r="V95" s="388">
        <f>'Daily KPIs'!V14</f>
        <v>5</v>
      </c>
      <c r="W95" s="388">
        <f>'Daily KPIs'!W14</f>
        <v>0</v>
      </c>
      <c r="X95" s="388">
        <f>'Daily KPIs'!X14</f>
        <v>0</v>
      </c>
      <c r="Y95" s="388">
        <f>'Daily KPIs'!Y14</f>
        <v>8</v>
      </c>
      <c r="Z95" s="388">
        <f>'Daily KPIs'!Z14</f>
        <v>8</v>
      </c>
      <c r="AA95" s="388">
        <f>'Daily KPIs'!AA14</f>
        <v>9</v>
      </c>
      <c r="AB95" s="388">
        <f>'Daily KPIs'!AB14</f>
        <v>7</v>
      </c>
      <c r="AC95" s="388">
        <f>'Daily KPIs'!AC14</f>
        <v>6</v>
      </c>
      <c r="AD95" s="388">
        <f>'Daily KPIs'!AD14</f>
        <v>0</v>
      </c>
      <c r="AE95" s="388">
        <f>'Daily KPIs'!AE14</f>
        <v>0</v>
      </c>
      <c r="AF95" s="388">
        <f>'Daily KPIs'!AF14</f>
        <v>0</v>
      </c>
      <c r="AG95" s="389">
        <f>SUM($B95:AE95)</f>
        <v>140</v>
      </c>
      <c r="AH95" s="389"/>
      <c r="AI95" s="387"/>
    </row>
    <row r="96" spans="1:35" ht="18" x14ac:dyDescent="0.25">
      <c r="A96" s="277" t="s">
        <v>160</v>
      </c>
      <c r="B96" s="278" t="str">
        <f>+'Water '!$F7</f>
        <v>0</v>
      </c>
      <c r="C96" s="278">
        <f>+'Water '!$F8</f>
        <v>352</v>
      </c>
      <c r="D96" s="278">
        <f>+'Water '!$F9</f>
        <v>197</v>
      </c>
      <c r="E96" s="278">
        <f>+'Water '!$F10</f>
        <v>219</v>
      </c>
      <c r="F96" s="278">
        <f>+'Water '!$F11</f>
        <v>149</v>
      </c>
      <c r="G96" s="278">
        <f>+'Water '!$F12</f>
        <v>224</v>
      </c>
      <c r="H96" s="278" t="str">
        <f>+'Water '!$F13</f>
        <v>0</v>
      </c>
      <c r="I96" s="278">
        <f>+'Water '!$F14</f>
        <v>36</v>
      </c>
      <c r="J96" s="278" t="str">
        <f>+'Water '!$F15</f>
        <v>0</v>
      </c>
      <c r="K96" s="278">
        <f>+'Water '!$F16</f>
        <v>75</v>
      </c>
      <c r="L96" s="278">
        <f>+'Water '!$F17</f>
        <v>230</v>
      </c>
      <c r="M96" s="278">
        <f>+'Water '!$F18</f>
        <v>177</v>
      </c>
      <c r="N96" s="278">
        <f>+'Water '!$F19</f>
        <v>270</v>
      </c>
      <c r="O96" s="278">
        <f>+'Water '!$F19</f>
        <v>270</v>
      </c>
      <c r="P96" s="278">
        <f>+'Water '!$F19</f>
        <v>270</v>
      </c>
      <c r="Q96" s="278">
        <f>+'Water '!$F19</f>
        <v>270</v>
      </c>
      <c r="R96" s="278">
        <f>+'Water '!$F19</f>
        <v>270</v>
      </c>
      <c r="S96" s="278">
        <f>+'Water '!$F19</f>
        <v>270</v>
      </c>
      <c r="T96" s="278">
        <f>+'Water '!$F25</f>
        <v>251</v>
      </c>
      <c r="U96" s="278">
        <f>+'Water '!$F26</f>
        <v>274</v>
      </c>
      <c r="V96" s="278">
        <f>+'Water '!$F27</f>
        <v>262</v>
      </c>
      <c r="W96" s="278">
        <f>+'Water '!$F28</f>
        <v>7</v>
      </c>
      <c r="X96" s="278">
        <f>+'Water '!$F29</f>
        <v>87</v>
      </c>
      <c r="Y96" s="278">
        <f>+'Water '!$F30</f>
        <v>241</v>
      </c>
      <c r="Z96" s="278">
        <f>+'Water '!$F31</f>
        <v>287</v>
      </c>
      <c r="AA96" s="278">
        <f>+'Water '!$F32</f>
        <v>256</v>
      </c>
      <c r="AB96" s="278">
        <f>+'Water '!$F33</f>
        <v>222</v>
      </c>
      <c r="AC96" s="278">
        <f>+'Water '!$F34</f>
        <v>276</v>
      </c>
      <c r="AD96" s="278" t="str">
        <f>+'Water '!$F35</f>
        <v>0</v>
      </c>
      <c r="AE96" s="278" t="str">
        <f>+'Water '!$F36</f>
        <v>0</v>
      </c>
      <c r="AF96" s="278" t="str">
        <f>+'Water '!$F36</f>
        <v>0</v>
      </c>
      <c r="AG96" s="280">
        <f>SUM($B96:AE96)</f>
        <v>5442</v>
      </c>
      <c r="AH96" s="280"/>
      <c r="AI96" s="271"/>
    </row>
    <row r="97" spans="1:35" ht="18" x14ac:dyDescent="0.25">
      <c r="A97" s="271" t="s">
        <v>161</v>
      </c>
      <c r="B97" s="358" t="s">
        <v>162</v>
      </c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 t="s">
        <v>162</v>
      </c>
      <c r="AC97" s="252" t="s">
        <v>162</v>
      </c>
      <c r="AD97" s="252"/>
      <c r="AE97" s="252"/>
      <c r="AF97" s="252"/>
      <c r="AG97" s="280">
        <f>SUM($B97:AC97)</f>
        <v>0</v>
      </c>
      <c r="AH97" s="280"/>
      <c r="AI97" s="271"/>
    </row>
    <row r="98" spans="1:35" ht="18" x14ac:dyDescent="0.25">
      <c r="A98" s="271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4"/>
      <c r="AH98" s="254"/>
      <c r="AI98" s="271"/>
    </row>
    <row r="99" spans="1:35" ht="18" x14ac:dyDescent="0.25">
      <c r="A99" s="27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4"/>
      <c r="AH99" s="254"/>
      <c r="AI99" s="271"/>
    </row>
    <row r="100" spans="1:35" ht="18" x14ac:dyDescent="0.25">
      <c r="A100" s="271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4"/>
      <c r="AH100" s="254"/>
      <c r="AI100" s="271"/>
    </row>
    <row r="101" spans="1:35" ht="18" x14ac:dyDescent="0.25">
      <c r="A101" s="271"/>
      <c r="B101" s="356">
        <f>'Daily KPIs CO2'!B52</f>
        <v>5855</v>
      </c>
      <c r="C101" s="356">
        <f>'Daily KPIs CO2'!C52</f>
        <v>3460</v>
      </c>
      <c r="D101" s="356">
        <f>'Daily KPIs CO2'!D52</f>
        <v>7875</v>
      </c>
      <c r="E101" s="356">
        <f>'Daily KPIs CO2'!E52</f>
        <v>7756</v>
      </c>
      <c r="F101" s="356">
        <f>'Daily KPIs CO2'!F52</f>
        <v>8477</v>
      </c>
      <c r="G101" s="356">
        <f>'Daily KPIs CO2'!G52</f>
        <v>7797</v>
      </c>
      <c r="H101" s="356">
        <f>'Daily KPIs CO2'!H52</f>
        <v>3697</v>
      </c>
      <c r="I101" s="356">
        <f>'Daily KPIs CO2'!I52</f>
        <v>4659</v>
      </c>
      <c r="J101" s="356">
        <f>'Daily KPIs CO2'!J52</f>
        <v>5407</v>
      </c>
      <c r="K101" s="356">
        <f>'Daily KPIs CO2'!K52</f>
        <v>6755</v>
      </c>
      <c r="L101" s="356">
        <f>'Daily KPIs CO2'!L52</f>
        <v>8429</v>
      </c>
      <c r="M101" s="356">
        <f>'Daily KPIs CO2'!M52</f>
        <v>8273</v>
      </c>
      <c r="N101" s="356">
        <f>'Daily KPIs CO2'!N52</f>
        <v>8452</v>
      </c>
      <c r="O101" s="356">
        <f>'Daily KPIs CO2'!O52</f>
        <v>7340</v>
      </c>
      <c r="P101" s="356">
        <f>'Daily KPIs CO2'!P52</f>
        <v>4100</v>
      </c>
      <c r="Q101" s="356">
        <f>'Daily KPIs CO2'!Q52</f>
        <v>4256</v>
      </c>
      <c r="R101" s="356">
        <f>'Daily KPIs CO2'!R52</f>
        <v>7897</v>
      </c>
      <c r="S101" s="356">
        <f>'Daily KPIs CO2'!S52</f>
        <v>8686</v>
      </c>
      <c r="T101" s="356">
        <f>'Daily KPIs CO2'!T52</f>
        <v>8826</v>
      </c>
      <c r="U101" s="356">
        <f>'Daily KPIs CO2'!U52</f>
        <v>8615</v>
      </c>
      <c r="V101" s="356">
        <f>'Daily KPIs CO2'!V52</f>
        <v>8074</v>
      </c>
      <c r="W101" s="356">
        <f>'Daily KPIs CO2'!W52</f>
        <v>4355</v>
      </c>
      <c r="X101" s="356">
        <f>'Daily KPIs CO2'!X52</f>
        <v>4880</v>
      </c>
      <c r="Y101" s="356">
        <f>'Daily KPIs CO2'!Y52</f>
        <v>7857</v>
      </c>
      <c r="Z101" s="356">
        <f>'Daily KPIs CO2'!Z52</f>
        <v>7857</v>
      </c>
      <c r="AA101" s="356">
        <f>'Daily KPIs CO2'!AA52</f>
        <v>7906</v>
      </c>
      <c r="AB101" s="356">
        <f>'Daily KPIs CO2'!AB52</f>
        <v>8386</v>
      </c>
      <c r="AC101" s="356">
        <f>'Daily KPIs CO2'!AC52</f>
        <v>7988</v>
      </c>
      <c r="AD101" s="356" t="str">
        <f>'Daily KPIs CO2'!AD52</f>
        <v>0</v>
      </c>
      <c r="AE101" s="356">
        <f>'Daily KPIs CO2'!AE52</f>
        <v>0</v>
      </c>
      <c r="AF101" s="356"/>
      <c r="AG101" s="356">
        <f>'Daily KPIs CO2'!AG52</f>
        <v>193915</v>
      </c>
      <c r="AH101" s="254"/>
      <c r="AI101" s="271"/>
    </row>
    <row r="102" spans="1:35" x14ac:dyDescent="0.2">
      <c r="M102" s="229"/>
    </row>
    <row r="103" spans="1:35" x14ac:dyDescent="0.2">
      <c r="M103" s="229"/>
    </row>
    <row r="104" spans="1:35" x14ac:dyDescent="0.2">
      <c r="M104" s="229"/>
    </row>
    <row r="105" spans="1:35" x14ac:dyDescent="0.2">
      <c r="M105" s="229"/>
    </row>
    <row r="106" spans="1:35" x14ac:dyDescent="0.2">
      <c r="M106" s="229"/>
    </row>
    <row r="107" spans="1:35" x14ac:dyDescent="0.2">
      <c r="M107" s="229"/>
    </row>
    <row r="108" spans="1:35" x14ac:dyDescent="0.2">
      <c r="H108" s="229" t="s">
        <v>235</v>
      </c>
      <c r="M108" s="229"/>
    </row>
    <row r="109" spans="1:35" x14ac:dyDescent="0.2">
      <c r="M109" s="229"/>
    </row>
    <row r="110" spans="1:35" x14ac:dyDescent="0.2">
      <c r="M110" s="229"/>
    </row>
    <row r="111" spans="1:35" x14ac:dyDescent="0.2">
      <c r="M111" s="229"/>
    </row>
    <row r="112" spans="1:35" x14ac:dyDescent="0.2">
      <c r="M112" s="229"/>
    </row>
    <row r="113" spans="13:13" x14ac:dyDescent="0.2">
      <c r="M113" s="229"/>
    </row>
    <row r="114" spans="13:13" x14ac:dyDescent="0.2">
      <c r="M114" s="229"/>
    </row>
    <row r="115" spans="13:13" x14ac:dyDescent="0.2">
      <c r="M115" s="229"/>
    </row>
    <row r="116" spans="13:13" x14ac:dyDescent="0.2">
      <c r="M116" s="229"/>
    </row>
    <row r="117" spans="13:13" x14ac:dyDescent="0.2">
      <c r="M117" s="229"/>
    </row>
    <row r="118" spans="13:13" x14ac:dyDescent="0.2">
      <c r="M118" s="229"/>
    </row>
    <row r="119" spans="13:13" x14ac:dyDescent="0.2">
      <c r="M119" s="229"/>
    </row>
    <row r="120" spans="13:13" x14ac:dyDescent="0.2">
      <c r="M120" s="229"/>
    </row>
    <row r="121" spans="13:13" x14ac:dyDescent="0.2">
      <c r="M121" s="229"/>
    </row>
    <row r="122" spans="13:13" x14ac:dyDescent="0.2">
      <c r="M122" s="229"/>
    </row>
    <row r="123" spans="13:13" x14ac:dyDescent="0.2">
      <c r="M123" s="229"/>
    </row>
    <row r="124" spans="13:13" x14ac:dyDescent="0.2">
      <c r="M124" s="229"/>
    </row>
    <row r="125" spans="13:13" x14ac:dyDescent="0.2">
      <c r="M125" s="229"/>
    </row>
    <row r="126" spans="13:13" x14ac:dyDescent="0.2">
      <c r="M126" s="229"/>
    </row>
    <row r="127" spans="13:13" x14ac:dyDescent="0.2">
      <c r="M127" s="229"/>
    </row>
    <row r="128" spans="13:13" x14ac:dyDescent="0.2">
      <c r="M128" s="229"/>
    </row>
    <row r="129" spans="13:13" x14ac:dyDescent="0.2">
      <c r="M129" s="229"/>
    </row>
    <row r="130" spans="13:13" x14ac:dyDescent="0.2">
      <c r="M130" s="229"/>
    </row>
    <row r="131" spans="13:13" x14ac:dyDescent="0.2">
      <c r="M131" s="229"/>
    </row>
    <row r="132" spans="13:13" x14ac:dyDescent="0.2">
      <c r="M132" s="229"/>
    </row>
    <row r="133" spans="13:13" x14ac:dyDescent="0.2">
      <c r="M133" s="229"/>
    </row>
    <row r="134" spans="13:13" x14ac:dyDescent="0.2">
      <c r="M134" s="229"/>
    </row>
    <row r="135" spans="13:13" x14ac:dyDescent="0.2">
      <c r="M135" s="229"/>
    </row>
    <row r="136" spans="13:13" x14ac:dyDescent="0.2">
      <c r="M136" s="229"/>
    </row>
    <row r="137" spans="13:13" x14ac:dyDescent="0.2">
      <c r="M137" s="229"/>
    </row>
    <row r="138" spans="13:13" x14ac:dyDescent="0.2">
      <c r="M138" s="229"/>
    </row>
    <row r="139" spans="13:13" x14ac:dyDescent="0.2">
      <c r="M139" s="229"/>
    </row>
    <row r="140" spans="13:13" x14ac:dyDescent="0.2">
      <c r="M140" s="229"/>
    </row>
    <row r="141" spans="13:13" x14ac:dyDescent="0.2">
      <c r="M141" s="229"/>
    </row>
    <row r="142" spans="13:13" x14ac:dyDescent="0.2">
      <c r="M142" s="229"/>
    </row>
    <row r="143" spans="13:13" x14ac:dyDescent="0.2">
      <c r="M143" s="229"/>
    </row>
  </sheetData>
  <mergeCells count="2">
    <mergeCell ref="A5:AI5"/>
    <mergeCell ref="Y10:Z10"/>
  </mergeCells>
  <conditionalFormatting sqref="B82:AF82">
    <cfRule type="cellIs" dxfId="27" priority="1" operator="greaterThan">
      <formula>26</formula>
    </cfRule>
  </conditionalFormatting>
  <conditionalFormatting sqref="B84:AF84">
    <cfRule type="cellIs" dxfId="26" priority="2" operator="greaterThan">
      <formula>6.8</formula>
    </cfRule>
  </conditionalFormatting>
  <conditionalFormatting sqref="D64:D65 D67 D71 D73:D77">
    <cfRule type="cellIs" dxfId="25" priority="3" stopIfTrue="1" operator="greaterThan">
      <formula>3.8</formula>
    </cfRule>
  </conditionalFormatting>
  <conditionalFormatting sqref="D69:S69 T69:AI70 B70:S70">
    <cfRule type="cellIs" dxfId="24" priority="11" stopIfTrue="1" operator="greaterThan">
      <formula>3.8</formula>
    </cfRule>
  </conditionalFormatting>
  <pageMargins left="0.5" right="0.25" top="0.28000000000000003" bottom="0" header="0" footer="0"/>
  <pageSetup paperSize="5" scale="30" orientation="landscape" r:id="rId1"/>
  <headerFooter alignWithMargins="0"/>
  <rowBreaks count="1" manualBreakCount="1">
    <brk id="101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2"/>
  <sheetViews>
    <sheetView showGridLines="0" tabSelected="1" topLeftCell="A5" zoomScale="70" zoomScaleNormal="70" zoomScaleSheetLayoutView="50" workbookViewId="0">
      <pane xSplit="1" ySplit="10" topLeftCell="W48" activePane="bottomRight" state="frozen"/>
      <selection activeCell="A5" sqref="A5"/>
      <selection pane="topRight" activeCell="B5" sqref="B5"/>
      <selection pane="bottomLeft" activeCell="A15" sqref="A15"/>
      <selection pane="bottomRight" activeCell="D42" sqref="D42:M42"/>
    </sheetView>
  </sheetViews>
  <sheetFormatPr defaultColWidth="9.28515625" defaultRowHeight="26.25" outlineLevelRow="1" x14ac:dyDescent="0.4"/>
  <cols>
    <col min="1" max="1" width="55.28515625" style="395" customWidth="1"/>
    <col min="2" max="2" width="42.28515625" style="398" customWidth="1"/>
    <col min="3" max="3" width="24.140625" style="398" customWidth="1"/>
    <col min="4" max="4" width="42" style="398" customWidth="1"/>
    <col min="5" max="5" width="23.28515625" style="398" customWidth="1"/>
    <col min="6" max="6" width="30.140625" style="398" customWidth="1"/>
    <col min="7" max="7" width="36.42578125" style="398" customWidth="1"/>
    <col min="8" max="8" width="35.5703125" style="398" customWidth="1"/>
    <col min="9" max="9" width="30.85546875" style="398" customWidth="1"/>
    <col min="10" max="10" width="13" style="517" bestFit="1" customWidth="1"/>
    <col min="11" max="11" width="16.7109375" style="517" bestFit="1" customWidth="1"/>
    <col min="12" max="12" width="30.28515625" style="517" customWidth="1"/>
    <col min="13" max="13" width="31.140625" style="542" customWidth="1"/>
    <col min="14" max="14" width="32.140625" style="517" customWidth="1"/>
    <col min="15" max="15" width="36.140625" style="517" customWidth="1"/>
    <col min="16" max="16" width="29" style="517" customWidth="1"/>
    <col min="17" max="17" width="33.140625" style="517" customWidth="1"/>
    <col min="18" max="18" width="37" style="517" customWidth="1"/>
    <col min="19" max="19" width="30.5703125" style="517" customWidth="1"/>
    <col min="20" max="20" width="54.5703125" style="517" customWidth="1"/>
    <col min="21" max="21" width="29.5703125" style="517" customWidth="1"/>
    <col min="22" max="22" width="35.28515625" style="517" customWidth="1"/>
    <col min="23" max="23" width="29.5703125" style="517" customWidth="1"/>
    <col min="24" max="24" width="24.7109375" style="517" customWidth="1"/>
    <col min="25" max="25" width="21.28515625" style="517" customWidth="1"/>
    <col min="26" max="26" width="26.85546875" style="517" customWidth="1"/>
    <col min="27" max="27" width="29.5703125" style="517" customWidth="1"/>
    <col min="28" max="28" width="26.7109375" style="517" customWidth="1"/>
    <col min="29" max="29" width="24.7109375" style="517" customWidth="1"/>
    <col min="30" max="30" width="39.5703125" style="517" customWidth="1"/>
    <col min="31" max="31" width="22.42578125" style="517" hidden="1" customWidth="1"/>
    <col min="32" max="32" width="24.7109375" style="517" hidden="1" customWidth="1"/>
    <col min="33" max="33" width="9.7109375" style="517" customWidth="1"/>
    <col min="34" max="34" width="35.85546875" style="396" customWidth="1"/>
    <col min="35" max="35" width="28.42578125" style="396" bestFit="1" customWidth="1"/>
    <col min="36" max="36" width="25.7109375" style="395" bestFit="1" customWidth="1"/>
    <col min="37" max="37" width="9.28515625" style="395" bestFit="1" customWidth="1"/>
    <col min="38" max="38" width="20.7109375" style="395" customWidth="1"/>
    <col min="39" max="16384" width="9.28515625" style="395"/>
  </cols>
  <sheetData>
    <row r="1" spans="1:149" x14ac:dyDescent="0.4">
      <c r="B1" s="396"/>
      <c r="C1" s="395"/>
      <c r="D1" s="395"/>
      <c r="E1" s="395"/>
      <c r="F1" s="395"/>
      <c r="G1" s="395"/>
      <c r="H1" s="395"/>
      <c r="I1" s="395"/>
      <c r="J1" s="415"/>
      <c r="K1" s="415"/>
      <c r="L1" s="415"/>
      <c r="M1" s="516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395"/>
      <c r="AI1" s="395"/>
    </row>
    <row r="2" spans="1:149" x14ac:dyDescent="0.4">
      <c r="B2" s="396"/>
      <c r="C2" s="395"/>
      <c r="D2" s="395"/>
      <c r="E2" s="395"/>
      <c r="F2" s="395"/>
      <c r="G2" s="395"/>
      <c r="H2" s="395"/>
      <c r="I2" s="395"/>
      <c r="J2" s="415"/>
      <c r="K2" s="415"/>
      <c r="L2" s="415"/>
      <c r="M2" s="516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5"/>
      <c r="AH2" s="395"/>
      <c r="AI2" s="395"/>
    </row>
    <row r="3" spans="1:149" x14ac:dyDescent="0.4">
      <c r="A3" s="397" t="s">
        <v>146</v>
      </c>
      <c r="B3" s="396"/>
      <c r="C3" s="397"/>
      <c r="D3" s="395"/>
      <c r="E3" s="395"/>
      <c r="F3" s="395"/>
      <c r="G3" s="395"/>
      <c r="H3" s="395"/>
      <c r="I3" s="395"/>
      <c r="J3" s="415"/>
      <c r="K3" s="415"/>
      <c r="L3" s="415"/>
      <c r="M3" s="516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  <c r="AF3" s="415"/>
      <c r="AG3" s="415"/>
      <c r="AH3" s="395"/>
      <c r="AI3" s="395"/>
    </row>
    <row r="4" spans="1:149" hidden="1" x14ac:dyDescent="0.4">
      <c r="A4" s="397"/>
      <c r="M4" s="518"/>
    </row>
    <row r="5" spans="1:149" hidden="1" x14ac:dyDescent="0.4"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>
        <v>1800</v>
      </c>
      <c r="Z5" s="545"/>
      <c r="AA5" s="545"/>
      <c r="AB5" s="545"/>
      <c r="AC5" s="545"/>
      <c r="AD5" s="545"/>
      <c r="AE5" s="545"/>
      <c r="AF5" s="545"/>
      <c r="AG5" s="545"/>
      <c r="AH5" s="545"/>
      <c r="AI5" s="545"/>
      <c r="AJ5" s="545"/>
    </row>
    <row r="6" spans="1:149" x14ac:dyDescent="0.4">
      <c r="A6" s="545">
        <v>45690</v>
      </c>
      <c r="B6" s="398">
        <v>1</v>
      </c>
      <c r="C6" s="398">
        <v>2</v>
      </c>
      <c r="D6" s="398">
        <v>3</v>
      </c>
      <c r="E6" s="398">
        <v>4</v>
      </c>
      <c r="F6" s="398">
        <v>5</v>
      </c>
      <c r="G6" s="398">
        <v>6</v>
      </c>
      <c r="H6" s="676">
        <v>7</v>
      </c>
      <c r="I6" s="398">
        <v>8</v>
      </c>
      <c r="J6" s="517">
        <v>9</v>
      </c>
      <c r="K6" s="517">
        <v>10</v>
      </c>
      <c r="L6" s="517">
        <v>11</v>
      </c>
      <c r="M6" s="517">
        <v>12</v>
      </c>
      <c r="N6" s="517">
        <v>13</v>
      </c>
      <c r="O6" s="517">
        <v>14</v>
      </c>
      <c r="P6" s="517">
        <v>15</v>
      </c>
      <c r="Q6" s="517">
        <v>16</v>
      </c>
      <c r="R6" s="517">
        <v>17</v>
      </c>
      <c r="S6" s="517">
        <v>18</v>
      </c>
      <c r="T6" s="517">
        <v>19</v>
      </c>
      <c r="U6" s="517">
        <v>20</v>
      </c>
      <c r="V6" s="517">
        <v>21</v>
      </c>
      <c r="W6" s="517">
        <v>22</v>
      </c>
      <c r="X6" s="517">
        <v>23</v>
      </c>
      <c r="Y6" s="517">
        <v>24</v>
      </c>
      <c r="Z6" s="517">
        <v>25</v>
      </c>
      <c r="AA6" s="517">
        <v>26</v>
      </c>
      <c r="AB6" s="517">
        <v>27</v>
      </c>
      <c r="AC6" s="517">
        <v>28</v>
      </c>
      <c r="AD6" s="517">
        <v>1</v>
      </c>
      <c r="AE6" s="517">
        <v>2</v>
      </c>
      <c r="AF6" s="517">
        <v>31</v>
      </c>
      <c r="AI6" s="756" t="s">
        <v>243</v>
      </c>
    </row>
    <row r="7" spans="1:149" s="401" customFormat="1" x14ac:dyDescent="0.4">
      <c r="A7" s="399"/>
      <c r="B7" s="400" t="s">
        <v>158</v>
      </c>
      <c r="C7" s="400" t="s">
        <v>159</v>
      </c>
      <c r="D7" s="400" t="s">
        <v>153</v>
      </c>
      <c r="E7" s="400" t="s">
        <v>154</v>
      </c>
      <c r="F7" s="400" t="s">
        <v>155</v>
      </c>
      <c r="G7" s="400" t="s">
        <v>156</v>
      </c>
      <c r="H7" s="664" t="s">
        <v>157</v>
      </c>
      <c r="I7" s="400" t="s">
        <v>158</v>
      </c>
      <c r="J7" s="400" t="s">
        <v>159</v>
      </c>
      <c r="K7" s="400" t="s">
        <v>153</v>
      </c>
      <c r="L7" s="400" t="s">
        <v>154</v>
      </c>
      <c r="M7" s="400" t="s">
        <v>155</v>
      </c>
      <c r="N7" s="400" t="s">
        <v>156</v>
      </c>
      <c r="O7" s="400" t="s">
        <v>157</v>
      </c>
      <c r="P7" s="400" t="s">
        <v>158</v>
      </c>
      <c r="Q7" s="400" t="s">
        <v>159</v>
      </c>
      <c r="R7" s="400" t="s">
        <v>153</v>
      </c>
      <c r="S7" s="400" t="s">
        <v>154</v>
      </c>
      <c r="T7" s="400" t="s">
        <v>155</v>
      </c>
      <c r="U7" s="400" t="s">
        <v>156</v>
      </c>
      <c r="V7" s="400" t="s">
        <v>157</v>
      </c>
      <c r="W7" s="400" t="s">
        <v>158</v>
      </c>
      <c r="X7" s="400" t="s">
        <v>159</v>
      </c>
      <c r="Y7" s="400" t="s">
        <v>153</v>
      </c>
      <c r="Z7" s="400" t="s">
        <v>154</v>
      </c>
      <c r="AA7" s="400" t="s">
        <v>155</v>
      </c>
      <c r="AB7" s="400" t="s">
        <v>156</v>
      </c>
      <c r="AC7" s="400" t="s">
        <v>157</v>
      </c>
      <c r="AD7" s="400" t="s">
        <v>158</v>
      </c>
      <c r="AE7" s="400" t="s">
        <v>159</v>
      </c>
      <c r="AF7" s="400" t="s">
        <v>158</v>
      </c>
      <c r="AG7" s="400"/>
      <c r="AH7" s="400" t="s">
        <v>20</v>
      </c>
      <c r="AI7" s="756"/>
      <c r="AJ7" s="543" t="s">
        <v>257</v>
      </c>
    </row>
    <row r="8" spans="1:149" s="549" customFormat="1" x14ac:dyDescent="0.4">
      <c r="A8" s="547" t="s">
        <v>148</v>
      </c>
      <c r="B8" s="675"/>
      <c r="C8" s="675"/>
      <c r="D8" s="569">
        <v>7710</v>
      </c>
      <c r="E8" s="569">
        <v>8123</v>
      </c>
      <c r="F8" s="569">
        <v>9422</v>
      </c>
      <c r="G8" s="569">
        <v>6025</v>
      </c>
      <c r="H8" s="569"/>
      <c r="I8" s="569"/>
      <c r="J8" s="569"/>
      <c r="K8" s="569">
        <v>6249</v>
      </c>
      <c r="L8" s="569">
        <v>10439</v>
      </c>
      <c r="M8" s="569">
        <v>9388</v>
      </c>
      <c r="N8" s="569">
        <v>8459</v>
      </c>
      <c r="O8" s="569">
        <v>4501</v>
      </c>
      <c r="P8" s="569"/>
      <c r="Q8" s="569"/>
      <c r="R8" s="569">
        <v>4751</v>
      </c>
      <c r="S8" s="569">
        <v>5335</v>
      </c>
      <c r="T8" s="569">
        <v>5911</v>
      </c>
      <c r="U8" s="569">
        <v>4927</v>
      </c>
      <c r="V8" s="569">
        <v>6836</v>
      </c>
      <c r="W8" s="674">
        <f>121*2.75</f>
        <v>332.75</v>
      </c>
      <c r="X8" s="569"/>
      <c r="Y8" s="569">
        <v>4711</v>
      </c>
      <c r="Z8" s="569">
        <f>2418+6297</f>
        <v>8715</v>
      </c>
      <c r="AA8" s="569">
        <v>6251</v>
      </c>
      <c r="AB8" s="569">
        <f>1576+2858+1466</f>
        <v>5900</v>
      </c>
      <c r="AC8" s="569">
        <f>2436+1491+3681</f>
        <v>7608</v>
      </c>
      <c r="AD8" s="569"/>
      <c r="AE8" s="569"/>
      <c r="AF8" s="569"/>
      <c r="AG8" s="569"/>
      <c r="AH8" s="546">
        <f>SUM(B8:AC8)</f>
        <v>131593.75</v>
      </c>
      <c r="AI8" s="624">
        <v>96325</v>
      </c>
      <c r="AJ8" s="548">
        <f>AH8-AI8</f>
        <v>35268.75</v>
      </c>
    </row>
    <row r="9" spans="1:149" x14ac:dyDescent="0.4">
      <c r="A9" s="402" t="s">
        <v>150</v>
      </c>
      <c r="B9" s="519">
        <f t="shared" ref="B9:AG9" si="0">B8*0.066</f>
        <v>0</v>
      </c>
      <c r="C9" s="519">
        <f t="shared" si="0"/>
        <v>0</v>
      </c>
      <c r="D9" s="569">
        <f>((2128+734)*0.0708)+4848*0.066</f>
        <v>522.59760000000006</v>
      </c>
      <c r="E9" s="519">
        <f t="shared" si="0"/>
        <v>536.11800000000005</v>
      </c>
      <c r="F9" s="519">
        <f t="shared" si="0"/>
        <v>621.85199999999998</v>
      </c>
      <c r="G9" s="519">
        <f t="shared" si="0"/>
        <v>397.65000000000003</v>
      </c>
      <c r="H9" s="674">
        <f t="shared" si="0"/>
        <v>0</v>
      </c>
      <c r="I9" s="519">
        <f t="shared" ref="I9" si="1">I8*0.066</f>
        <v>0</v>
      </c>
      <c r="J9" s="519">
        <f t="shared" si="0"/>
        <v>0</v>
      </c>
      <c r="K9" s="519">
        <f t="shared" si="0"/>
        <v>412.43400000000003</v>
      </c>
      <c r="L9" s="519">
        <f t="shared" si="0"/>
        <v>688.97400000000005</v>
      </c>
      <c r="M9" s="519">
        <f t="shared" si="0"/>
        <v>619.60800000000006</v>
      </c>
      <c r="N9" s="519">
        <f t="shared" si="0"/>
        <v>558.29399999999998</v>
      </c>
      <c r="O9" s="519">
        <f t="shared" si="0"/>
        <v>297.06600000000003</v>
      </c>
      <c r="P9" s="519">
        <f t="shared" si="0"/>
        <v>0</v>
      </c>
      <c r="Q9" s="519">
        <f t="shared" si="0"/>
        <v>0</v>
      </c>
      <c r="R9" s="519">
        <f t="shared" si="0"/>
        <v>313.56600000000003</v>
      </c>
      <c r="S9" s="519">
        <f t="shared" si="0"/>
        <v>352.11</v>
      </c>
      <c r="T9" s="519">
        <f t="shared" si="0"/>
        <v>390.12600000000003</v>
      </c>
      <c r="U9" s="519">
        <f>(1046*0.066)+(2662*0.0708)+((697+522)*0.066)</f>
        <v>337.95960000000002</v>
      </c>
      <c r="V9" s="519">
        <f t="shared" si="0"/>
        <v>451.17600000000004</v>
      </c>
      <c r="W9" s="674">
        <f t="shared" si="0"/>
        <v>21.961500000000001</v>
      </c>
      <c r="X9" s="519">
        <f t="shared" si="0"/>
        <v>0</v>
      </c>
      <c r="Y9" s="519">
        <f t="shared" si="0"/>
        <v>310.92599999999999</v>
      </c>
      <c r="Z9" s="569">
        <f t="shared" si="0"/>
        <v>575.19000000000005</v>
      </c>
      <c r="AA9" s="519">
        <f t="shared" si="0"/>
        <v>412.56600000000003</v>
      </c>
      <c r="AB9" s="519">
        <f t="shared" si="0"/>
        <v>389.40000000000003</v>
      </c>
      <c r="AC9" s="519">
        <f t="shared" si="0"/>
        <v>502.12800000000004</v>
      </c>
      <c r="AD9" s="519">
        <f t="shared" si="0"/>
        <v>0</v>
      </c>
      <c r="AE9" s="519">
        <f t="shared" si="0"/>
        <v>0</v>
      </c>
      <c r="AF9" s="519">
        <f t="shared" si="0"/>
        <v>0</v>
      </c>
      <c r="AG9" s="519">
        <f t="shared" si="0"/>
        <v>0</v>
      </c>
      <c r="AH9" s="404">
        <f>SUM($B9:AC9)</f>
        <v>8711.7027000000016</v>
      </c>
      <c r="AI9" s="404"/>
    </row>
    <row r="10" spans="1:149" s="403" customFormat="1" x14ac:dyDescent="0.4">
      <c r="A10" s="403" t="s">
        <v>147</v>
      </c>
      <c r="B10" s="405"/>
      <c r="C10" s="551"/>
      <c r="D10" s="405" t="s">
        <v>271</v>
      </c>
      <c r="E10" s="405" t="s">
        <v>268</v>
      </c>
      <c r="F10" s="551" t="s">
        <v>272</v>
      </c>
      <c r="G10" s="550" t="s">
        <v>273</v>
      </c>
      <c r="H10" s="666"/>
      <c r="I10" s="649"/>
      <c r="J10" s="649"/>
      <c r="K10" s="668" t="s">
        <v>274</v>
      </c>
      <c r="L10" s="551" t="s">
        <v>276</v>
      </c>
      <c r="M10" s="551" t="s">
        <v>278</v>
      </c>
      <c r="N10" s="658" t="s">
        <v>279</v>
      </c>
      <c r="O10" s="551" t="s">
        <v>278</v>
      </c>
      <c r="P10" s="668"/>
      <c r="Q10" s="668"/>
      <c r="R10" s="668" t="s">
        <v>274</v>
      </c>
      <c r="S10" s="551" t="s">
        <v>281</v>
      </c>
      <c r="T10" s="551" t="s">
        <v>285</v>
      </c>
      <c r="U10" s="550" t="s">
        <v>287</v>
      </c>
      <c r="V10" s="550" t="s">
        <v>288</v>
      </c>
      <c r="W10" s="678" t="s">
        <v>9</v>
      </c>
      <c r="X10" s="650"/>
      <c r="Y10" s="551" t="s">
        <v>278</v>
      </c>
      <c r="Z10" s="668" t="s">
        <v>274</v>
      </c>
      <c r="AA10" s="551" t="s">
        <v>291</v>
      </c>
      <c r="AB10" s="551" t="s">
        <v>293</v>
      </c>
      <c r="AC10" s="551" t="s">
        <v>278</v>
      </c>
      <c r="AD10" s="663"/>
      <c r="AE10" s="551"/>
      <c r="AF10" s="551"/>
      <c r="AG10" s="551"/>
      <c r="AH10" s="406"/>
      <c r="AI10" s="406"/>
      <c r="AJ10" s="395"/>
    </row>
    <row r="11" spans="1:149" s="410" customFormat="1" ht="1.5" customHeight="1" x14ac:dyDescent="0.4">
      <c r="A11" s="407"/>
      <c r="B11" s="520"/>
      <c r="C11" s="520"/>
      <c r="D11" s="520"/>
      <c r="E11" s="557"/>
      <c r="F11" s="520"/>
      <c r="G11" s="520"/>
      <c r="H11" s="677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  <c r="AH11" s="408"/>
      <c r="AI11" s="408"/>
      <c r="AJ11" s="409"/>
      <c r="AK11" s="403"/>
      <c r="AL11" s="403"/>
      <c r="AM11" s="403"/>
      <c r="AN11" s="403"/>
      <c r="AO11" s="403"/>
      <c r="AP11" s="403"/>
      <c r="AQ11" s="403"/>
      <c r="AR11" s="403"/>
      <c r="AS11" s="403"/>
      <c r="AT11" s="403"/>
      <c r="AU11" s="403"/>
      <c r="AV11" s="403"/>
      <c r="AW11" s="403"/>
      <c r="AX11" s="403"/>
      <c r="AY11" s="403"/>
      <c r="AZ11" s="403"/>
      <c r="BA11" s="403"/>
      <c r="BB11" s="403"/>
      <c r="BC11" s="403"/>
      <c r="BD11" s="403"/>
      <c r="BE11" s="403"/>
      <c r="BF11" s="403"/>
      <c r="BG11" s="403"/>
      <c r="BH11" s="403"/>
      <c r="BI11" s="403"/>
      <c r="BJ11" s="403"/>
      <c r="BK11" s="403"/>
      <c r="BL11" s="403"/>
      <c r="BM11" s="403"/>
      <c r="BN11" s="403"/>
      <c r="BO11" s="403"/>
      <c r="BP11" s="403"/>
      <c r="BQ11" s="403"/>
      <c r="BR11" s="403"/>
      <c r="BS11" s="403"/>
      <c r="BT11" s="403"/>
      <c r="BU11" s="403"/>
      <c r="BV11" s="403"/>
      <c r="BW11" s="403"/>
      <c r="BX11" s="403"/>
      <c r="BY11" s="403"/>
      <c r="BZ11" s="403"/>
      <c r="CA11" s="403"/>
      <c r="CB11" s="403"/>
      <c r="CC11" s="403"/>
      <c r="CD11" s="403"/>
      <c r="CE11" s="403"/>
      <c r="CF11" s="403"/>
      <c r="CG11" s="403"/>
      <c r="CH11" s="403"/>
      <c r="CI11" s="403"/>
      <c r="CJ11" s="403"/>
      <c r="CK11" s="403"/>
      <c r="CL11" s="403"/>
      <c r="CM11" s="403"/>
      <c r="CN11" s="403"/>
      <c r="CO11" s="403"/>
      <c r="CP11" s="403"/>
      <c r="CQ11" s="403"/>
      <c r="CR11" s="403"/>
      <c r="CS11" s="403"/>
      <c r="CT11" s="403"/>
      <c r="CU11" s="403"/>
      <c r="CV11" s="403"/>
      <c r="CW11" s="403"/>
      <c r="CX11" s="403"/>
      <c r="CY11" s="403"/>
      <c r="CZ11" s="403"/>
      <c r="DA11" s="403"/>
      <c r="DB11" s="403"/>
      <c r="DC11" s="403"/>
      <c r="DD11" s="403"/>
      <c r="DE11" s="403"/>
      <c r="DF11" s="403"/>
      <c r="DG11" s="403"/>
      <c r="DH11" s="403"/>
      <c r="DI11" s="403"/>
      <c r="DJ11" s="403"/>
      <c r="DK11" s="403"/>
      <c r="DL11" s="403"/>
      <c r="DM11" s="403"/>
      <c r="DN11" s="403"/>
      <c r="DO11" s="403"/>
      <c r="DP11" s="403"/>
      <c r="DQ11" s="403"/>
      <c r="DR11" s="403"/>
      <c r="DS11" s="403"/>
      <c r="DT11" s="403"/>
      <c r="DU11" s="403"/>
      <c r="DV11" s="403"/>
      <c r="DW11" s="403"/>
      <c r="DX11" s="403"/>
      <c r="DY11" s="403"/>
      <c r="DZ11" s="403"/>
      <c r="EA11" s="403"/>
      <c r="EB11" s="403"/>
      <c r="EC11" s="403"/>
      <c r="ED11" s="403"/>
      <c r="EE11" s="403"/>
      <c r="EF11" s="403"/>
      <c r="EG11" s="403"/>
      <c r="EH11" s="403"/>
      <c r="EI11" s="403"/>
      <c r="EJ11" s="403"/>
      <c r="EK11" s="403"/>
      <c r="EL11" s="403"/>
      <c r="EM11" s="403"/>
      <c r="EN11" s="403"/>
      <c r="EO11" s="403"/>
      <c r="EP11" s="403"/>
      <c r="EQ11" s="403"/>
      <c r="ER11" s="403"/>
      <c r="ES11" s="403"/>
    </row>
    <row r="12" spans="1:149" ht="27.75" customHeight="1" x14ac:dyDescent="0.4">
      <c r="A12" s="411" t="s">
        <v>237</v>
      </c>
      <c r="B12" s="412"/>
      <c r="C12" s="412"/>
      <c r="D12" s="412">
        <v>417.5</v>
      </c>
      <c r="E12" s="412">
        <v>248.4</v>
      </c>
      <c r="F12" s="412">
        <f>97+299.1</f>
        <v>396.1</v>
      </c>
      <c r="G12" s="412">
        <f>103+101</f>
        <v>204</v>
      </c>
      <c r="H12" s="665"/>
      <c r="I12" s="412"/>
      <c r="J12" s="412"/>
      <c r="K12" s="412">
        <v>411.4</v>
      </c>
      <c r="L12" s="412">
        <f>312+49.1</f>
        <v>361.1</v>
      </c>
      <c r="M12" s="412">
        <v>458</v>
      </c>
      <c r="N12" s="412">
        <v>390</v>
      </c>
      <c r="O12" s="412">
        <v>302.39999999999998</v>
      </c>
      <c r="P12" s="412"/>
      <c r="Q12" s="412"/>
      <c r="R12" s="412">
        <v>453.8</v>
      </c>
      <c r="S12" s="412">
        <v>407.4</v>
      </c>
      <c r="T12" s="412">
        <v>404</v>
      </c>
      <c r="U12" s="412">
        <v>401.8</v>
      </c>
      <c r="V12" s="412">
        <v>259.3</v>
      </c>
      <c r="W12" s="412"/>
      <c r="X12" s="412"/>
      <c r="Y12" s="412">
        <v>408.1</v>
      </c>
      <c r="Z12" s="412">
        <v>402.3</v>
      </c>
      <c r="AA12" s="412">
        <v>451.3</v>
      </c>
      <c r="AB12" s="412">
        <v>347.9</v>
      </c>
      <c r="AC12" s="412">
        <v>300.8</v>
      </c>
      <c r="AD12" s="412"/>
      <c r="AE12" s="412"/>
      <c r="AF12" s="412"/>
      <c r="AG12" s="412"/>
      <c r="AH12" s="413">
        <f>SUM(B12:AC12)</f>
        <v>7025.6000000000013</v>
      </c>
      <c r="AI12" s="414"/>
      <c r="AJ12" s="415"/>
    </row>
    <row r="13" spans="1:149" x14ac:dyDescent="0.4">
      <c r="A13" s="415" t="s">
        <v>238</v>
      </c>
      <c r="B13" s="405"/>
      <c r="C13" s="657"/>
      <c r="D13" s="657" t="s">
        <v>270</v>
      </c>
      <c r="E13" s="551" t="s">
        <v>269</v>
      </c>
      <c r="F13" s="551" t="s">
        <v>275</v>
      </c>
      <c r="G13" s="551" t="s">
        <v>275</v>
      </c>
      <c r="H13" s="678"/>
      <c r="I13" s="659"/>
      <c r="J13" s="659"/>
      <c r="K13" s="551" t="s">
        <v>269</v>
      </c>
      <c r="L13" s="661" t="s">
        <v>277</v>
      </c>
      <c r="M13" s="551" t="s">
        <v>269</v>
      </c>
      <c r="N13" s="551" t="s">
        <v>275</v>
      </c>
      <c r="O13" s="551" t="s">
        <v>280</v>
      </c>
      <c r="P13" s="551"/>
      <c r="Q13" s="551"/>
      <c r="R13" s="551" t="s">
        <v>283</v>
      </c>
      <c r="S13" s="551" t="s">
        <v>282</v>
      </c>
      <c r="T13" s="551" t="s">
        <v>284</v>
      </c>
      <c r="U13" s="551" t="s">
        <v>286</v>
      </c>
      <c r="V13" s="551" t="s">
        <v>286</v>
      </c>
      <c r="W13" s="551"/>
      <c r="X13" s="551"/>
      <c r="Y13" s="551" t="s">
        <v>269</v>
      </c>
      <c r="Z13" s="551" t="s">
        <v>269</v>
      </c>
      <c r="AA13" s="551" t="s">
        <v>292</v>
      </c>
      <c r="AB13" s="692" t="s">
        <v>280</v>
      </c>
      <c r="AC13" s="692" t="s">
        <v>295</v>
      </c>
      <c r="AD13" s="663"/>
      <c r="AE13" s="551"/>
      <c r="AF13" s="663"/>
      <c r="AG13" s="551"/>
      <c r="AH13" s="414"/>
      <c r="AI13" s="414"/>
      <c r="AJ13" s="415"/>
    </row>
    <row r="14" spans="1:149" ht="24.75" customHeight="1" x14ac:dyDescent="0.4">
      <c r="A14" s="395" t="s">
        <v>240</v>
      </c>
      <c r="B14" s="517"/>
      <c r="C14" s="517"/>
      <c r="D14" s="517">
        <f>6+2</f>
        <v>8</v>
      </c>
      <c r="E14" s="517">
        <v>5</v>
      </c>
      <c r="F14" s="517">
        <f>3+5</f>
        <v>8</v>
      </c>
      <c r="G14" s="517">
        <f>2+3</f>
        <v>5</v>
      </c>
      <c r="H14" s="667"/>
      <c r="I14" s="517"/>
      <c r="K14" s="517">
        <v>8</v>
      </c>
      <c r="L14" s="517">
        <f>6+1</f>
        <v>7</v>
      </c>
      <c r="M14" s="517">
        <v>9</v>
      </c>
      <c r="N14" s="517">
        <f>6+2</f>
        <v>8</v>
      </c>
      <c r="O14" s="517">
        <v>6</v>
      </c>
      <c r="R14" s="517">
        <f>8+1</f>
        <v>9</v>
      </c>
      <c r="S14" s="517">
        <f>3+5</f>
        <v>8</v>
      </c>
      <c r="T14" s="517">
        <f>3+5</f>
        <v>8</v>
      </c>
      <c r="U14" s="517">
        <v>8</v>
      </c>
      <c r="V14" s="517">
        <f>4+1</f>
        <v>5</v>
      </c>
      <c r="Y14" s="517">
        <v>8</v>
      </c>
      <c r="Z14" s="517">
        <v>8</v>
      </c>
      <c r="AA14" s="517">
        <f>5+4</f>
        <v>9</v>
      </c>
      <c r="AB14" s="517">
        <v>7</v>
      </c>
      <c r="AC14" s="517">
        <f>1+4+1</f>
        <v>6</v>
      </c>
      <c r="AH14" s="396">
        <f>SUM($B14:AC14)</f>
        <v>140</v>
      </c>
    </row>
    <row r="15" spans="1:149" s="419" customFormat="1" ht="25.5" x14ac:dyDescent="0.35">
      <c r="A15" s="416" t="s">
        <v>239</v>
      </c>
      <c r="B15" s="417" t="str">
        <f>IF(B$12=0,"",+(B36*10)/B$12)</f>
        <v/>
      </c>
      <c r="C15" s="417" t="str">
        <f>IF(C$12=0,"",+(C36*10)/C$12)</f>
        <v/>
      </c>
      <c r="D15" s="417">
        <f>IF(D$12=0,"",+(D36*10)/D$12)</f>
        <v>4.7425149700598803</v>
      </c>
      <c r="E15" s="417">
        <f t="shared" ref="E15:AB15" si="2">IF(E$12=0,"",+(E36*10)/E$12)</f>
        <v>7.2866344605475035</v>
      </c>
      <c r="F15" s="417">
        <f>IF(F$12=0,"",+(F36*10)/F$12)</f>
        <v>7.018429689472355</v>
      </c>
      <c r="G15" s="417">
        <f t="shared" ref="G15:K15" si="3">IF(G$12=0,"",+(G36*10)/G$12)</f>
        <v>10.686274509803921</v>
      </c>
      <c r="H15" s="417" t="str">
        <f t="shared" si="3"/>
        <v/>
      </c>
      <c r="I15" s="417" t="str">
        <f>IF(I$12=0,"",+(I36*10)/I$12)</f>
        <v/>
      </c>
      <c r="J15" s="417" t="str">
        <f>IF(J$12=0,"",+(J36*10)/J$12)</f>
        <v/>
      </c>
      <c r="K15" s="417">
        <f t="shared" si="3"/>
        <v>4.4968400583373844</v>
      </c>
      <c r="L15" s="417">
        <f>IF(L$12=0,"",+(L36*10)/L$12)</f>
        <v>7.3386873442259759</v>
      </c>
      <c r="M15" s="521">
        <f t="shared" ref="M15:O15" si="4">IF(M$12=0,"",+(M36*10)/M$12)</f>
        <v>4.6943231441048034</v>
      </c>
      <c r="N15" s="521">
        <f t="shared" si="4"/>
        <v>6.615384615384615</v>
      </c>
      <c r="O15" s="521">
        <f t="shared" si="4"/>
        <v>6.9113756613756623</v>
      </c>
      <c r="P15" s="521" t="str">
        <f>IF(P$12=0,"",+(P36*10)/P$12)</f>
        <v/>
      </c>
      <c r="Q15" s="521" t="str">
        <f>IF(Q$12=0,"",+(Q36*10)/Q$12)</f>
        <v/>
      </c>
      <c r="R15" s="521">
        <f>IF(R$12=0,"",+(R36*10)/R$12)</f>
        <v>5.0022036139268398</v>
      </c>
      <c r="S15" s="521">
        <f t="shared" si="2"/>
        <v>5.1300932744231718</v>
      </c>
      <c r="T15" s="521">
        <f>IF(T$12=0,"",+(T36*10)/T$12)</f>
        <v>4.6039603960396036</v>
      </c>
      <c r="U15" s="521">
        <f t="shared" si="2"/>
        <v>5.3260328521652562</v>
      </c>
      <c r="V15" s="521">
        <f t="shared" si="2"/>
        <v>7.790204396451986</v>
      </c>
      <c r="W15" s="521" t="str">
        <f t="shared" si="2"/>
        <v/>
      </c>
      <c r="X15" s="521" t="str">
        <f>IF(X$12=0,"",+(X36*10)/X$12)</f>
        <v/>
      </c>
      <c r="Y15" s="521">
        <f>IF(Y$12=0,"",+(Y36*10)/Y$12)</f>
        <v>5.2928203871600097</v>
      </c>
      <c r="Z15" s="521">
        <f>IF(Z$12=0,"",+(Z36*10)/Z$12)</f>
        <v>6.0402684563758386</v>
      </c>
      <c r="AA15" s="521">
        <f>IF(AA$12=0,"",+(AA36*10)/AA$12)</f>
        <v>5.4066031464657653</v>
      </c>
      <c r="AB15" s="521">
        <f t="shared" si="2"/>
        <v>6.8697901695889625</v>
      </c>
      <c r="AC15" s="521">
        <f>IF(AC$12=0,"",+(AC36*10)/AC$12)</f>
        <v>7.7792553191489358</v>
      </c>
      <c r="AD15" s="521" t="str">
        <f>IF(AD$12=0,"",+(AD36*10)/AD$12)</f>
        <v/>
      </c>
      <c r="AE15" s="521" t="str">
        <f>IF(AE$12=0,"",+(AE36*10)/AE$12)</f>
        <v/>
      </c>
      <c r="AF15" s="521" t="str">
        <f>IF(AF$12=0,"",+(AF36*10)/AF$12)</f>
        <v/>
      </c>
      <c r="AG15" s="521"/>
      <c r="AH15" s="417">
        <f>IF(AH12=0,"",+(AH36*10)/AH12)</f>
        <v>6.0905830107037113</v>
      </c>
      <c r="AI15" s="418">
        <v>3.2</v>
      </c>
      <c r="AJ15" s="556">
        <f>AI15-AH15</f>
        <v>-2.8905830107037112</v>
      </c>
      <c r="AK15" s="395"/>
      <c r="AL15" s="395"/>
      <c r="AM15" s="395"/>
      <c r="AN15" s="395"/>
      <c r="AO15" s="395"/>
      <c r="AP15" s="395"/>
      <c r="AQ15" s="395"/>
      <c r="AR15" s="395"/>
      <c r="AS15" s="395"/>
      <c r="AT15" s="395"/>
      <c r="AU15" s="395"/>
      <c r="AV15" s="395"/>
      <c r="AW15" s="395"/>
      <c r="AX15" s="395"/>
      <c r="AY15" s="395"/>
      <c r="AZ15" s="395"/>
      <c r="BA15" s="395"/>
      <c r="BB15" s="395"/>
      <c r="BC15" s="395"/>
      <c r="BD15" s="395"/>
      <c r="BE15" s="395"/>
      <c r="BF15" s="395"/>
      <c r="BG15" s="395"/>
      <c r="BH15" s="395"/>
      <c r="BI15" s="395"/>
      <c r="BJ15" s="395"/>
      <c r="BK15" s="395"/>
      <c r="BL15" s="395"/>
      <c r="BM15" s="395"/>
      <c r="BN15" s="395"/>
      <c r="BO15" s="395"/>
      <c r="BP15" s="395"/>
      <c r="BQ15" s="395"/>
      <c r="BR15" s="395"/>
      <c r="BS15" s="395"/>
      <c r="BT15" s="395"/>
      <c r="BU15" s="395"/>
      <c r="BV15" s="395"/>
      <c r="BW15" s="395"/>
      <c r="BX15" s="395"/>
      <c r="BY15" s="395"/>
      <c r="BZ15" s="395"/>
      <c r="CA15" s="395"/>
      <c r="CB15" s="395"/>
      <c r="CC15" s="395"/>
      <c r="CD15" s="395"/>
      <c r="CE15" s="395"/>
      <c r="CF15" s="395"/>
      <c r="CG15" s="395"/>
      <c r="CH15" s="395"/>
      <c r="CI15" s="395"/>
      <c r="CJ15" s="395"/>
      <c r="CK15" s="395"/>
      <c r="CL15" s="395"/>
      <c r="CM15" s="395"/>
      <c r="CN15" s="395"/>
      <c r="CO15" s="395"/>
      <c r="CP15" s="395"/>
      <c r="CQ15" s="395"/>
      <c r="CR15" s="395"/>
      <c r="CS15" s="395"/>
      <c r="CT15" s="395"/>
      <c r="CU15" s="395"/>
      <c r="CV15" s="395"/>
      <c r="CW15" s="395"/>
      <c r="CX15" s="395"/>
      <c r="CY15" s="395"/>
      <c r="CZ15" s="395"/>
      <c r="DA15" s="395"/>
      <c r="DB15" s="395"/>
      <c r="DC15" s="395"/>
      <c r="DD15" s="395"/>
      <c r="DE15" s="395"/>
      <c r="DF15" s="395"/>
      <c r="DG15" s="395"/>
      <c r="DH15" s="395"/>
      <c r="DI15" s="395"/>
      <c r="DJ15" s="395"/>
      <c r="DK15" s="395"/>
      <c r="DL15" s="395"/>
      <c r="DM15" s="395"/>
      <c r="DN15" s="395"/>
      <c r="DO15" s="395"/>
      <c r="DP15" s="395"/>
      <c r="DQ15" s="395"/>
      <c r="DR15" s="395"/>
      <c r="DS15" s="395"/>
      <c r="DT15" s="395"/>
      <c r="DU15" s="395"/>
      <c r="DV15" s="395"/>
      <c r="DW15" s="395"/>
      <c r="DX15" s="395"/>
      <c r="DY15" s="395"/>
      <c r="DZ15" s="395"/>
      <c r="EA15" s="395"/>
      <c r="EB15" s="395"/>
      <c r="EC15" s="395"/>
      <c r="ED15" s="395"/>
      <c r="EE15" s="395"/>
      <c r="EF15" s="395"/>
      <c r="EG15" s="395"/>
      <c r="EH15" s="395"/>
      <c r="EI15" s="395"/>
      <c r="EJ15" s="395"/>
      <c r="EK15" s="395"/>
      <c r="EL15" s="395"/>
      <c r="EM15" s="395"/>
      <c r="EN15" s="395"/>
      <c r="EO15" s="395"/>
      <c r="EP15" s="395"/>
      <c r="EQ15" s="395"/>
      <c r="ER15" s="395"/>
      <c r="ES15" s="395"/>
    </row>
    <row r="16" spans="1:149" hidden="1" x14ac:dyDescent="0.4">
      <c r="M16" s="517"/>
    </row>
    <row r="17" spans="1:149" ht="30" x14ac:dyDescent="0.4">
      <c r="A17" s="397" t="s">
        <v>245</v>
      </c>
      <c r="B17" s="395"/>
      <c r="C17" s="395"/>
      <c r="D17" s="395"/>
      <c r="E17" s="395"/>
      <c r="F17" s="395"/>
      <c r="G17" s="395"/>
      <c r="H17" s="395"/>
      <c r="I17" s="39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</row>
    <row r="18" spans="1:149" s="423" customFormat="1" outlineLevel="1" x14ac:dyDescent="0.4">
      <c r="A18" s="420" t="s">
        <v>135</v>
      </c>
      <c r="B18" s="421">
        <v>1</v>
      </c>
      <c r="C18" s="421">
        <v>2</v>
      </c>
      <c r="D18" s="421">
        <v>3</v>
      </c>
      <c r="E18" s="421">
        <v>4</v>
      </c>
      <c r="F18" s="421">
        <v>5</v>
      </c>
      <c r="G18" s="421">
        <v>6</v>
      </c>
      <c r="H18" s="421">
        <v>7</v>
      </c>
      <c r="I18" s="421">
        <v>8</v>
      </c>
      <c r="J18" s="522">
        <v>9</v>
      </c>
      <c r="K18" s="522">
        <v>10</v>
      </c>
      <c r="L18" s="522">
        <v>11</v>
      </c>
      <c r="M18" s="522">
        <v>12</v>
      </c>
      <c r="N18" s="522">
        <v>13</v>
      </c>
      <c r="O18" s="522">
        <v>14</v>
      </c>
      <c r="P18" s="522">
        <v>15</v>
      </c>
      <c r="Q18" s="522">
        <v>16</v>
      </c>
      <c r="R18" s="522">
        <v>17</v>
      </c>
      <c r="S18" s="522">
        <v>18</v>
      </c>
      <c r="T18" s="522">
        <v>19</v>
      </c>
      <c r="U18" s="421">
        <v>20</v>
      </c>
      <c r="V18" s="522">
        <v>21</v>
      </c>
      <c r="W18" s="522">
        <v>22</v>
      </c>
      <c r="X18" s="522">
        <v>23</v>
      </c>
      <c r="Y18" s="522">
        <v>24</v>
      </c>
      <c r="Z18" s="522">
        <v>25</v>
      </c>
      <c r="AA18" s="522">
        <v>26</v>
      </c>
      <c r="AB18" s="522">
        <v>27</v>
      </c>
      <c r="AC18" s="522">
        <v>28</v>
      </c>
      <c r="AD18" s="522">
        <v>29</v>
      </c>
      <c r="AE18" s="522">
        <v>30</v>
      </c>
      <c r="AF18" s="522">
        <v>31</v>
      </c>
      <c r="AG18" s="522"/>
      <c r="AH18" s="422" t="s">
        <v>95</v>
      </c>
      <c r="AI18" s="422"/>
    </row>
    <row r="19" spans="1:149" ht="51" outlineLevel="1" x14ac:dyDescent="0.4">
      <c r="A19" s="424" t="s">
        <v>151</v>
      </c>
      <c r="B19" s="425" t="str">
        <f>+'Water '!$C7</f>
        <v>0</v>
      </c>
      <c r="C19" s="425" t="str">
        <f>+'Water '!$C8</f>
        <v>0</v>
      </c>
      <c r="D19" s="425" t="str">
        <f>+'Water '!$C9</f>
        <v>0</v>
      </c>
      <c r="E19" s="425" t="str">
        <f>+'Water '!$C10</f>
        <v>0</v>
      </c>
      <c r="F19" s="425" t="str">
        <f>+'Water '!$C11</f>
        <v>0</v>
      </c>
      <c r="G19" s="425" t="str">
        <f>+'Water '!$C12</f>
        <v>0</v>
      </c>
      <c r="H19" s="425" t="str">
        <f>+'Water '!$C13</f>
        <v>0</v>
      </c>
      <c r="I19" s="425" t="str">
        <f>+'Water '!$C14</f>
        <v>0</v>
      </c>
      <c r="J19" s="523" t="str">
        <f>+'Water '!$C15</f>
        <v>0</v>
      </c>
      <c r="K19" s="523" t="str">
        <f>+'Water '!$C16</f>
        <v>0</v>
      </c>
      <c r="L19" s="523" t="str">
        <f>+'Water '!$C17</f>
        <v>0</v>
      </c>
      <c r="M19" s="523" t="str">
        <f>+'Water '!$C18</f>
        <v>0</v>
      </c>
      <c r="N19" s="523" t="str">
        <f>+'Water '!$C18</f>
        <v>0</v>
      </c>
      <c r="O19" s="523" t="str">
        <f>+'Water '!$C20</f>
        <v>0</v>
      </c>
      <c r="P19" s="523" t="str">
        <f>+'Water '!$C21</f>
        <v>0</v>
      </c>
      <c r="Q19" s="523" t="str">
        <f>+'Water '!$C22</f>
        <v>0</v>
      </c>
      <c r="R19" s="523" t="str">
        <f>+'Water '!$C23</f>
        <v>0</v>
      </c>
      <c r="S19" s="523" t="str">
        <f>+'Water '!$C24</f>
        <v>0</v>
      </c>
      <c r="T19" s="523" t="str">
        <f>+'Water '!$C25</f>
        <v>0</v>
      </c>
      <c r="U19" s="523" t="str">
        <f>+'Water '!$C26</f>
        <v>0</v>
      </c>
      <c r="V19" s="523" t="str">
        <f>+'Water '!$C27</f>
        <v>0</v>
      </c>
      <c r="W19" s="523" t="str">
        <f>+'Water '!$C28</f>
        <v>0</v>
      </c>
      <c r="X19" s="523" t="str">
        <f>+'Water '!$C29</f>
        <v>0</v>
      </c>
      <c r="Y19" s="523" t="str">
        <f>+'Water '!$C30</f>
        <v>0</v>
      </c>
      <c r="Z19" s="523" t="str">
        <f>+'Water '!$C31</f>
        <v>0</v>
      </c>
      <c r="AA19" s="523" t="str">
        <f>+'Water '!$C32</f>
        <v>0</v>
      </c>
      <c r="AB19" s="523" t="str">
        <f>+'Water '!$C33</f>
        <v>0</v>
      </c>
      <c r="AC19" s="523" t="str">
        <f>+'Water '!$C34</f>
        <v>0</v>
      </c>
      <c r="AD19" s="523" t="str">
        <f>+'Water '!$C35</f>
        <v>0</v>
      </c>
      <c r="AE19" s="523" t="str">
        <f>+'Water '!$C36</f>
        <v>0</v>
      </c>
      <c r="AF19" s="523" t="str">
        <f>+'Water '!$C37</f>
        <v>0</v>
      </c>
      <c r="AG19" s="523"/>
      <c r="AH19" s="404">
        <f>SUM($B19:AC19)</f>
        <v>0</v>
      </c>
      <c r="AI19" s="404"/>
    </row>
    <row r="20" spans="1:149" outlineLevel="1" x14ac:dyDescent="0.4">
      <c r="A20" s="424" t="s">
        <v>136</v>
      </c>
      <c r="B20" s="425" t="str">
        <f>+'Water '!$D7</f>
        <v>0</v>
      </c>
      <c r="C20" s="425">
        <f>+'Water '!$D8</f>
        <v>2</v>
      </c>
      <c r="D20" s="425">
        <f>+'Water '!$D9</f>
        <v>72</v>
      </c>
      <c r="E20" s="425">
        <f>+'Water '!$D10</f>
        <v>153</v>
      </c>
      <c r="F20" s="425">
        <f>+'Water '!$D11</f>
        <v>288</v>
      </c>
      <c r="G20" s="425">
        <f>+'Water '!$D12</f>
        <v>147</v>
      </c>
      <c r="H20" s="425">
        <f>+'Water '!$D13</f>
        <v>299</v>
      </c>
      <c r="I20" s="425">
        <f>+'Water '!$D14</f>
        <v>55</v>
      </c>
      <c r="J20" s="523">
        <f>+'Water '!$D15</f>
        <v>117</v>
      </c>
      <c r="K20" s="523">
        <f>+'Water '!$D16</f>
        <v>207</v>
      </c>
      <c r="L20" s="523">
        <f>+'Water '!$D17</f>
        <v>156</v>
      </c>
      <c r="M20" s="523">
        <f>+'Water '!$D18</f>
        <v>277</v>
      </c>
      <c r="N20" s="523">
        <f>+'Water '!$D19</f>
        <v>171</v>
      </c>
      <c r="O20" s="523">
        <f>+'Water '!$D20</f>
        <v>214</v>
      </c>
      <c r="P20" s="523" t="str">
        <f>+'Water '!$D21</f>
        <v>0</v>
      </c>
      <c r="Q20" s="523">
        <f>+'Water '!$D22</f>
        <v>50</v>
      </c>
      <c r="R20" s="523">
        <f>+'Water '!$D23</f>
        <v>136</v>
      </c>
      <c r="S20" s="523">
        <f>+'Water '!$D24</f>
        <v>261</v>
      </c>
      <c r="T20" s="523">
        <f>+'Water '!$D25</f>
        <v>180</v>
      </c>
      <c r="U20" s="523">
        <f>+'Water '!$D26</f>
        <v>163</v>
      </c>
      <c r="V20" s="523">
        <f>+'Water '!$D27</f>
        <v>154</v>
      </c>
      <c r="W20" s="523">
        <f>+'Water '!$D28</f>
        <v>115</v>
      </c>
      <c r="X20" s="523" t="str">
        <f>+'Water '!$D29</f>
        <v>0</v>
      </c>
      <c r="Y20" s="523">
        <f>+'Water '!$D30</f>
        <v>46</v>
      </c>
      <c r="Z20" s="523" t="str">
        <f>+'Water '!$D31</f>
        <v>0</v>
      </c>
      <c r="AA20" s="523">
        <f>+'Water '!$D32</f>
        <v>358</v>
      </c>
      <c r="AB20" s="523">
        <f>+'Water '!$D33</f>
        <v>153</v>
      </c>
      <c r="AC20" s="523" t="str">
        <f>+'Water '!$D34</f>
        <v>0</v>
      </c>
      <c r="AD20" s="523" t="str">
        <f>+'Water '!$D35</f>
        <v>0</v>
      </c>
      <c r="AE20" s="523" t="str">
        <f>+'Water '!$D36</f>
        <v>0</v>
      </c>
      <c r="AF20" s="523" t="str">
        <f>+'Water '!$D37</f>
        <v>0</v>
      </c>
      <c r="AG20" s="523"/>
      <c r="AH20" s="404">
        <f>SUM($B20:AC20)</f>
        <v>3774</v>
      </c>
      <c r="AI20" s="404"/>
    </row>
    <row r="21" spans="1:149" outlineLevel="1" x14ac:dyDescent="0.4">
      <c r="A21" s="424" t="s">
        <v>137</v>
      </c>
      <c r="B21" s="643">
        <f>+'Water '!$E7</f>
        <v>255</v>
      </c>
      <c r="C21" s="644">
        <f>+'Water '!$E8</f>
        <v>79</v>
      </c>
      <c r="D21" s="644">
        <f>+'Water '!$E9</f>
        <v>188</v>
      </c>
      <c r="E21" s="644">
        <f>+'Water '!$E10</f>
        <v>207</v>
      </c>
      <c r="F21" s="644">
        <f>+'Water '!$E11</f>
        <v>142</v>
      </c>
      <c r="G21" s="644">
        <f>+'Water '!$E12</f>
        <v>213</v>
      </c>
      <c r="H21" s="644" t="str">
        <f>+'Water '!$E13</f>
        <v>0</v>
      </c>
      <c r="I21" s="644" t="str">
        <f>+'Water '!$E14</f>
        <v>0</v>
      </c>
      <c r="J21" s="644" t="str">
        <f>+'Water '!$E15</f>
        <v>0</v>
      </c>
      <c r="K21" s="644">
        <f>+'Water '!$E16</f>
        <v>106</v>
      </c>
      <c r="L21" s="644">
        <f>+'Water '!$E17</f>
        <v>218</v>
      </c>
      <c r="M21" s="644">
        <f>+'Water '!$E18</f>
        <v>168</v>
      </c>
      <c r="N21" s="644">
        <f>+'Water '!$E19</f>
        <v>256</v>
      </c>
      <c r="O21" s="644">
        <f>+'Water '!$E20</f>
        <v>256</v>
      </c>
      <c r="P21" s="644">
        <f>+'Water '!$E21</f>
        <v>190</v>
      </c>
      <c r="Q21" s="644" t="str">
        <f>+'Water '!$E22</f>
        <v>0</v>
      </c>
      <c r="R21" s="644">
        <f>+'Water '!$E23</f>
        <v>200</v>
      </c>
      <c r="S21" s="644">
        <f>+'Water '!$E24</f>
        <v>133</v>
      </c>
      <c r="T21" s="644">
        <f>+'Water '!$E25</f>
        <v>238</v>
      </c>
      <c r="U21" s="644">
        <f>+'Water '!$E26</f>
        <v>260</v>
      </c>
      <c r="V21" s="644">
        <f>+'Water '!$E27</f>
        <v>248</v>
      </c>
      <c r="W21" s="644">
        <f>+'Water '!$E28</f>
        <v>7</v>
      </c>
      <c r="X21" s="644">
        <f>+'Water '!$E29</f>
        <v>83</v>
      </c>
      <c r="Y21" s="647">
        <f>+'Water '!$E30</f>
        <v>227</v>
      </c>
      <c r="Z21" s="644">
        <f>+'Water '!$E31</f>
        <v>274</v>
      </c>
      <c r="AA21" s="645">
        <f>+'Water '!$E32</f>
        <v>262</v>
      </c>
      <c r="AB21" s="645">
        <f>+'Water '!$E33</f>
        <v>190</v>
      </c>
      <c r="AC21" s="645">
        <f>+'Water '!$E34</f>
        <v>262</v>
      </c>
      <c r="AD21" s="645" t="str">
        <f>+'Water '!$E35</f>
        <v>0</v>
      </c>
      <c r="AE21" s="645" t="str">
        <f>+'Water '!$E36</f>
        <v>0</v>
      </c>
      <c r="AF21" s="645" t="str">
        <f>+'Water '!$E37</f>
        <v>0</v>
      </c>
      <c r="AG21" s="645"/>
      <c r="AH21" s="426">
        <f>SUM($B21:AC21)</f>
        <v>4662</v>
      </c>
      <c r="AI21" s="426"/>
      <c r="AJ21" s="646"/>
    </row>
    <row r="22" spans="1:149" s="429" customFormat="1" x14ac:dyDescent="0.4">
      <c r="A22" s="427" t="s">
        <v>183</v>
      </c>
      <c r="B22" s="428">
        <f>SUM(B19:B21)</f>
        <v>255</v>
      </c>
      <c r="C22" s="428">
        <f>SUM(C19:C21)</f>
        <v>81</v>
      </c>
      <c r="D22" s="428">
        <f>SUM(D19:D21)</f>
        <v>260</v>
      </c>
      <c r="E22" s="428">
        <f>SUM(E19:E21)</f>
        <v>360</v>
      </c>
      <c r="F22" s="428">
        <f t="shared" ref="F22:AF22" si="5">SUM(F19:F21)</f>
        <v>430</v>
      </c>
      <c r="G22" s="428">
        <f t="shared" si="5"/>
        <v>360</v>
      </c>
      <c r="H22" s="428">
        <f t="shared" si="5"/>
        <v>299</v>
      </c>
      <c r="I22" s="428">
        <f>SUM(I19:I21)</f>
        <v>55</v>
      </c>
      <c r="J22" s="428">
        <f>SUM(J19:J21)</f>
        <v>117</v>
      </c>
      <c r="K22" s="428">
        <f t="shared" si="5"/>
        <v>313</v>
      </c>
      <c r="L22" s="428">
        <f>SUM(L19:L21)</f>
        <v>374</v>
      </c>
      <c r="M22" s="428">
        <f t="shared" si="5"/>
        <v>445</v>
      </c>
      <c r="N22" s="428">
        <f>SUM(N19:N21)</f>
        <v>427</v>
      </c>
      <c r="O22" s="428">
        <f t="shared" si="5"/>
        <v>470</v>
      </c>
      <c r="P22" s="428">
        <f>SUM(P19:P21)</f>
        <v>190</v>
      </c>
      <c r="Q22" s="428">
        <f t="shared" si="5"/>
        <v>50</v>
      </c>
      <c r="R22" s="428">
        <f t="shared" si="5"/>
        <v>336</v>
      </c>
      <c r="S22" s="428">
        <f>SUM(S19:S21)</f>
        <v>394</v>
      </c>
      <c r="T22" s="428">
        <f t="shared" si="5"/>
        <v>418</v>
      </c>
      <c r="U22" s="428">
        <f t="shared" si="5"/>
        <v>423</v>
      </c>
      <c r="V22" s="428">
        <f>SUM(V19:V21)</f>
        <v>402</v>
      </c>
      <c r="W22" s="428">
        <f t="shared" si="5"/>
        <v>122</v>
      </c>
      <c r="X22" s="428">
        <f t="shared" si="5"/>
        <v>83</v>
      </c>
      <c r="Y22" s="428">
        <f>SUM(Y19:Y21)</f>
        <v>273</v>
      </c>
      <c r="Z22" s="428">
        <f t="shared" si="5"/>
        <v>274</v>
      </c>
      <c r="AA22" s="524">
        <f>SUM(AA19:AA21)</f>
        <v>620</v>
      </c>
      <c r="AB22" s="524">
        <f>SUM(AB19:AB21)</f>
        <v>343</v>
      </c>
      <c r="AC22" s="524">
        <f>SUM(AC19:AC21)</f>
        <v>262</v>
      </c>
      <c r="AD22" s="524">
        <f>SUM(AD19:AD21)</f>
        <v>0</v>
      </c>
      <c r="AE22" s="524">
        <f t="shared" si="5"/>
        <v>0</v>
      </c>
      <c r="AF22" s="524">
        <f t="shared" si="5"/>
        <v>0</v>
      </c>
      <c r="AG22" s="524"/>
      <c r="AH22" s="655">
        <f>SUM($B22:AC22)</f>
        <v>8436</v>
      </c>
      <c r="AI22" s="428"/>
      <c r="AK22" s="397"/>
      <c r="AL22" s="397"/>
      <c r="AM22" s="397"/>
      <c r="AN22" s="397"/>
      <c r="AO22" s="397"/>
      <c r="AP22" s="397"/>
      <c r="AQ22" s="397"/>
      <c r="AR22" s="397"/>
      <c r="AS22" s="397"/>
      <c r="AT22" s="397"/>
      <c r="AU22" s="397"/>
      <c r="AV22" s="397"/>
      <c r="AW22" s="397"/>
      <c r="AX22" s="397"/>
      <c r="AY22" s="397"/>
      <c r="AZ22" s="397"/>
      <c r="BA22" s="397"/>
      <c r="BB22" s="397"/>
      <c r="BC22" s="397"/>
      <c r="BD22" s="397"/>
      <c r="BE22" s="397"/>
      <c r="BF22" s="397"/>
      <c r="BG22" s="397"/>
      <c r="BH22" s="397"/>
      <c r="BI22" s="397"/>
      <c r="BJ22" s="397"/>
      <c r="BK22" s="397"/>
      <c r="BL22" s="397"/>
      <c r="BM22" s="397"/>
      <c r="BN22" s="397"/>
      <c r="BO22" s="397"/>
      <c r="BP22" s="397"/>
      <c r="BQ22" s="397"/>
      <c r="BR22" s="397"/>
      <c r="BS22" s="397"/>
      <c r="BT22" s="397"/>
      <c r="BU22" s="397"/>
      <c r="BV22" s="397"/>
      <c r="BW22" s="397"/>
      <c r="BX22" s="397"/>
      <c r="BY22" s="397"/>
      <c r="BZ22" s="397"/>
      <c r="CA22" s="397"/>
      <c r="CB22" s="397"/>
      <c r="CC22" s="397"/>
      <c r="CD22" s="397"/>
      <c r="CE22" s="397"/>
      <c r="CF22" s="397"/>
      <c r="CG22" s="397"/>
      <c r="CH22" s="397"/>
      <c r="CI22" s="397"/>
      <c r="CJ22" s="397"/>
      <c r="CK22" s="397"/>
      <c r="CL22" s="397"/>
      <c r="CM22" s="397"/>
      <c r="CN22" s="397"/>
      <c r="CO22" s="397"/>
      <c r="CP22" s="397"/>
      <c r="CQ22" s="397"/>
      <c r="CR22" s="397"/>
      <c r="CS22" s="397"/>
      <c r="CT22" s="397"/>
      <c r="CU22" s="397"/>
      <c r="CV22" s="397"/>
      <c r="CW22" s="397"/>
      <c r="CX22" s="397"/>
      <c r="CY22" s="397"/>
      <c r="CZ22" s="397"/>
      <c r="DA22" s="397"/>
      <c r="DB22" s="397"/>
      <c r="DC22" s="397"/>
      <c r="DD22" s="397"/>
      <c r="DE22" s="397"/>
      <c r="DF22" s="397"/>
      <c r="DG22" s="397"/>
      <c r="DH22" s="397"/>
      <c r="DI22" s="397"/>
      <c r="DJ22" s="397"/>
      <c r="DK22" s="397"/>
      <c r="DL22" s="397"/>
      <c r="DM22" s="397"/>
      <c r="DN22" s="397"/>
      <c r="DO22" s="397"/>
      <c r="DP22" s="397"/>
      <c r="DQ22" s="397"/>
      <c r="DR22" s="397"/>
      <c r="DS22" s="397"/>
      <c r="DT22" s="397"/>
      <c r="DU22" s="397"/>
      <c r="DV22" s="397"/>
      <c r="DW22" s="397"/>
      <c r="DX22" s="397"/>
      <c r="DY22" s="397"/>
      <c r="DZ22" s="397"/>
      <c r="EA22" s="397"/>
      <c r="EB22" s="397"/>
      <c r="EC22" s="397"/>
      <c r="ED22" s="397"/>
      <c r="EE22" s="397"/>
      <c r="EF22" s="397"/>
      <c r="EG22" s="397"/>
      <c r="EH22" s="397"/>
      <c r="EI22" s="397"/>
      <c r="EJ22" s="397"/>
      <c r="EK22" s="397"/>
      <c r="EL22" s="397"/>
      <c r="EM22" s="397"/>
      <c r="EN22" s="397"/>
      <c r="EO22" s="397"/>
      <c r="EP22" s="397"/>
      <c r="EQ22" s="397"/>
      <c r="ER22" s="397"/>
      <c r="ES22" s="397"/>
    </row>
    <row r="23" spans="1:149" s="397" customFormat="1" hidden="1" x14ac:dyDescent="0.4">
      <c r="A23" s="430"/>
      <c r="B23" s="404"/>
      <c r="C23" s="404"/>
      <c r="D23" s="404"/>
      <c r="E23" s="404"/>
      <c r="F23" s="404"/>
      <c r="G23" s="404"/>
      <c r="H23" s="404"/>
      <c r="I23" s="404"/>
      <c r="J23" s="464"/>
      <c r="K23" s="464"/>
      <c r="L23" s="464"/>
      <c r="M23" s="464"/>
      <c r="N23" s="464"/>
      <c r="O23" s="464"/>
      <c r="P23" s="464"/>
      <c r="Q23" s="464"/>
      <c r="R23" s="464"/>
      <c r="S23" s="464"/>
      <c r="T23" s="464"/>
      <c r="U23" s="464"/>
      <c r="V23" s="464"/>
      <c r="W23" s="464"/>
      <c r="X23" s="464"/>
      <c r="Y23" s="464"/>
      <c r="Z23" s="464"/>
      <c r="AA23" s="464"/>
      <c r="AB23" s="464"/>
      <c r="AC23" s="464"/>
      <c r="AD23" s="464"/>
      <c r="AE23" s="464"/>
      <c r="AF23" s="464"/>
      <c r="AG23" s="464"/>
      <c r="AH23" s="404"/>
      <c r="AI23" s="404"/>
    </row>
    <row r="24" spans="1:149" hidden="1" x14ac:dyDescent="0.4">
      <c r="B24" s="431"/>
      <c r="C24" s="431"/>
      <c r="D24" s="431"/>
      <c r="E24" s="431"/>
      <c r="F24" s="431"/>
      <c r="G24" s="431"/>
      <c r="H24" s="431"/>
      <c r="I24" s="431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H24" s="404"/>
      <c r="AI24" s="404"/>
    </row>
    <row r="25" spans="1:149" x14ac:dyDescent="0.4">
      <c r="A25" s="424"/>
      <c r="B25" s="431"/>
      <c r="C25" s="431"/>
      <c r="D25" s="431"/>
      <c r="E25" s="431"/>
      <c r="F25" s="431"/>
      <c r="G25" s="431"/>
      <c r="H25" s="431"/>
      <c r="I25" s="431"/>
      <c r="J25" s="468"/>
      <c r="K25" s="468"/>
      <c r="L25" s="468"/>
      <c r="M25" s="468"/>
      <c r="AH25" s="404">
        <f>SUM($B25:AC25)</f>
        <v>0</v>
      </c>
      <c r="AI25" s="404"/>
    </row>
    <row r="26" spans="1:149" outlineLevel="1" x14ac:dyDescent="0.4">
      <c r="A26" s="432" t="s">
        <v>163</v>
      </c>
      <c r="B26" s="431">
        <f>0.73*(B71+B19)</f>
        <v>0</v>
      </c>
      <c r="C26" s="431">
        <f>0.73*(C110+C19)</f>
        <v>256.95999999999998</v>
      </c>
      <c r="D26" s="431">
        <f t="shared" ref="D26:AF26" si="6">0.73*(D71+D19)</f>
        <v>143.81</v>
      </c>
      <c r="E26" s="431">
        <f t="shared" si="6"/>
        <v>159.87</v>
      </c>
      <c r="F26" s="431">
        <f t="shared" si="6"/>
        <v>108.77</v>
      </c>
      <c r="G26" s="431">
        <f t="shared" si="6"/>
        <v>163.51999999999998</v>
      </c>
      <c r="H26" s="431">
        <f t="shared" si="6"/>
        <v>0</v>
      </c>
      <c r="I26" s="431">
        <f t="shared" si="6"/>
        <v>26.28</v>
      </c>
      <c r="J26" s="468">
        <f t="shared" si="6"/>
        <v>0</v>
      </c>
      <c r="K26" s="468">
        <f t="shared" si="6"/>
        <v>54.75</v>
      </c>
      <c r="L26" s="468">
        <f t="shared" si="6"/>
        <v>167.9</v>
      </c>
      <c r="M26" s="468">
        <f t="shared" si="6"/>
        <v>129.21</v>
      </c>
      <c r="N26" s="468">
        <f t="shared" si="6"/>
        <v>197.1</v>
      </c>
      <c r="O26" s="468">
        <f t="shared" si="6"/>
        <v>196.37</v>
      </c>
      <c r="P26" s="468">
        <f t="shared" si="6"/>
        <v>146</v>
      </c>
      <c r="Q26" s="468">
        <f t="shared" si="6"/>
        <v>0</v>
      </c>
      <c r="R26" s="468">
        <f t="shared" si="6"/>
        <v>154.03</v>
      </c>
      <c r="S26" s="468">
        <f t="shared" si="6"/>
        <v>102.2</v>
      </c>
      <c r="T26" s="468">
        <f t="shared" si="6"/>
        <v>183.23</v>
      </c>
      <c r="U26" s="468">
        <f t="shared" si="6"/>
        <v>200.01999999999998</v>
      </c>
      <c r="V26" s="468">
        <f t="shared" si="6"/>
        <v>191.26</v>
      </c>
      <c r="W26" s="468">
        <f t="shared" si="6"/>
        <v>5.1099999999999994</v>
      </c>
      <c r="X26" s="468">
        <f t="shared" si="6"/>
        <v>63.51</v>
      </c>
      <c r="Y26" s="468">
        <f t="shared" si="6"/>
        <v>175.93</v>
      </c>
      <c r="Z26" s="468">
        <f t="shared" si="6"/>
        <v>209.51</v>
      </c>
      <c r="AA26" s="468">
        <f t="shared" si="6"/>
        <v>186.88</v>
      </c>
      <c r="AB26" s="468">
        <f t="shared" si="6"/>
        <v>162.06</v>
      </c>
      <c r="AC26" s="468">
        <f t="shared" si="6"/>
        <v>201.48</v>
      </c>
      <c r="AD26" s="468">
        <f t="shared" si="6"/>
        <v>0</v>
      </c>
      <c r="AE26" s="468">
        <f t="shared" si="6"/>
        <v>0</v>
      </c>
      <c r="AF26" s="468">
        <f t="shared" si="6"/>
        <v>0</v>
      </c>
      <c r="AG26" s="468"/>
      <c r="AH26" s="404">
        <f>SUM($B26:AC26)</f>
        <v>3585.76</v>
      </c>
      <c r="AI26" s="433">
        <f>AH29+AH45+AH36</f>
        <v>9311</v>
      </c>
      <c r="AK26" s="434">
        <f>(AI26*10)/AH9</f>
        <v>10.687922121125641</v>
      </c>
    </row>
    <row r="27" spans="1:149" outlineLevel="1" x14ac:dyDescent="0.4">
      <c r="E27" s="431">
        <f>0.73*(E110+E20)</f>
        <v>111.69</v>
      </c>
      <c r="M27" s="517"/>
      <c r="AH27" s="404">
        <f>SUM($B27:AC27)</f>
        <v>111.69</v>
      </c>
      <c r="AI27" s="404"/>
    </row>
    <row r="28" spans="1:149" outlineLevel="1" x14ac:dyDescent="0.4">
      <c r="A28" s="432" t="s">
        <v>142</v>
      </c>
      <c r="B28" s="431" t="str">
        <f>'Water '!Q7</f>
        <v>0</v>
      </c>
      <c r="C28" s="431" t="str">
        <f>'Water '!Q8</f>
        <v>0</v>
      </c>
      <c r="D28" s="431" t="str">
        <f>'Water '!Q9</f>
        <v>0</v>
      </c>
      <c r="E28" s="431" t="str">
        <f>'Water '!Q10</f>
        <v>0</v>
      </c>
      <c r="F28" s="431" t="str">
        <f>'Water '!Q11</f>
        <v>0</v>
      </c>
      <c r="G28" s="431" t="str">
        <f>'Water '!Q12</f>
        <v>0</v>
      </c>
      <c r="H28" s="431" t="str">
        <f>'Water '!Q13</f>
        <v>0</v>
      </c>
      <c r="I28" s="431" t="str">
        <f>'Water '!Q14</f>
        <v>0</v>
      </c>
      <c r="J28" s="468" t="str">
        <f>'Water '!Q15</f>
        <v>0</v>
      </c>
      <c r="K28" s="468" t="str">
        <f>'Water '!Q16</f>
        <v>0</v>
      </c>
      <c r="L28" s="468" t="str">
        <f>'Water '!Q17</f>
        <v>0</v>
      </c>
      <c r="M28" s="468" t="str">
        <f>'Water '!Q18</f>
        <v>0</v>
      </c>
      <c r="N28" s="468" t="str">
        <f>'Water '!Q19</f>
        <v>0</v>
      </c>
      <c r="O28" s="468" t="str">
        <f>'Water '!Q20</f>
        <v>0</v>
      </c>
      <c r="P28" s="468" t="str">
        <f>'Water '!Q21</f>
        <v>0</v>
      </c>
      <c r="Q28" s="468" t="str">
        <f>'Water '!Q22</f>
        <v>0</v>
      </c>
      <c r="R28" s="468" t="str">
        <f>'Water '!Q23</f>
        <v>0</v>
      </c>
      <c r="S28" s="468" t="str">
        <f>'Water '!Q24</f>
        <v>0</v>
      </c>
      <c r="T28" s="468" t="str">
        <f>'Water '!Q25</f>
        <v>0</v>
      </c>
      <c r="U28" s="468" t="str">
        <f>'Water '!Q26</f>
        <v>0</v>
      </c>
      <c r="V28" s="468" t="str">
        <f>'Water '!Q27</f>
        <v>0</v>
      </c>
      <c r="W28" s="468" t="str">
        <f>'Water '!Q28</f>
        <v>0</v>
      </c>
      <c r="X28" s="468" t="str">
        <f>'Water '!Q29</f>
        <v>0</v>
      </c>
      <c r="Y28" s="468" t="str">
        <f>'Water '!Q30</f>
        <v>0</v>
      </c>
      <c r="Z28" s="468" t="str">
        <f>'Water '!Q31</f>
        <v>0</v>
      </c>
      <c r="AA28" s="468" t="str">
        <f>'Water '!Q32</f>
        <v>0</v>
      </c>
      <c r="AB28" s="468" t="str">
        <f>'Water '!Q33</f>
        <v>0</v>
      </c>
      <c r="AC28" s="468" t="str">
        <f>'Water '!Q32</f>
        <v>0</v>
      </c>
      <c r="AD28" s="468" t="str">
        <f>'Water '!Q35</f>
        <v>0</v>
      </c>
      <c r="AE28" s="468" t="str">
        <f>'Water '!Q36</f>
        <v>0</v>
      </c>
      <c r="AF28" s="468" t="str">
        <f>'Water '!Q37</f>
        <v>0</v>
      </c>
      <c r="AG28" s="468"/>
      <c r="AH28" s="404">
        <f>SUM($B28:AC28)</f>
        <v>0</v>
      </c>
      <c r="AI28" s="404"/>
      <c r="AR28" s="395" t="s">
        <v>64</v>
      </c>
    </row>
    <row r="29" spans="1:149" outlineLevel="1" x14ac:dyDescent="0.4">
      <c r="A29" s="424" t="s">
        <v>181</v>
      </c>
      <c r="B29" s="425">
        <f>'Water '!H7</f>
        <v>20</v>
      </c>
      <c r="C29" s="425">
        <f>'Water '!H8</f>
        <v>83</v>
      </c>
      <c r="D29" s="425">
        <f>'Water '!H9</f>
        <v>249</v>
      </c>
      <c r="E29" s="425">
        <f>'Water '!H10</f>
        <v>210</v>
      </c>
      <c r="F29" s="425">
        <f>'Water '!H11</f>
        <v>253</v>
      </c>
      <c r="G29" s="425">
        <f>'Water '!H12</f>
        <v>208</v>
      </c>
      <c r="H29" s="425">
        <f>'Water '!H13</f>
        <v>12</v>
      </c>
      <c r="I29" s="425">
        <f>'Water '!H14</f>
        <v>72</v>
      </c>
      <c r="J29" s="523">
        <f>'Water '!H15</f>
        <v>18</v>
      </c>
      <c r="K29" s="523">
        <f>'Water '!H16</f>
        <v>223</v>
      </c>
      <c r="L29" s="523">
        <f>'Water '!H17</f>
        <v>275</v>
      </c>
      <c r="M29" s="523">
        <f>'Water '!H18</f>
        <v>199</v>
      </c>
      <c r="N29" s="523">
        <f>'Water '!H19</f>
        <v>236</v>
      </c>
      <c r="O29" s="523">
        <f>'Water '!$H20</f>
        <v>169</v>
      </c>
      <c r="P29" s="523">
        <f>'Water '!$H21</f>
        <v>61</v>
      </c>
      <c r="Q29" s="523">
        <f>'Water '!$H22</f>
        <v>26</v>
      </c>
      <c r="R29" s="523">
        <f>'Water '!$H23</f>
        <v>197</v>
      </c>
      <c r="S29" s="523">
        <f>'Water '!$H24</f>
        <v>209</v>
      </c>
      <c r="T29" s="523">
        <f>'Water '!$H25</f>
        <v>199</v>
      </c>
      <c r="U29" s="523">
        <f>'Water '!$H26</f>
        <v>232</v>
      </c>
      <c r="V29" s="523">
        <f>'Water '!$H27</f>
        <v>155</v>
      </c>
      <c r="W29" s="523">
        <f>'Water '!$H28</f>
        <v>39</v>
      </c>
      <c r="X29" s="523">
        <f>'Water '!$H29</f>
        <v>66</v>
      </c>
      <c r="Y29" s="523">
        <f>'Water '!$H30</f>
        <v>240</v>
      </c>
      <c r="Z29" s="523">
        <f>'Water '!$H31</f>
        <v>189</v>
      </c>
      <c r="AA29" s="523">
        <f>'Water '!$H32</f>
        <v>176</v>
      </c>
      <c r="AB29" s="523">
        <f>'Water '!$H33</f>
        <v>189</v>
      </c>
      <c r="AC29" s="523">
        <f>'Water '!$H34</f>
        <v>206</v>
      </c>
      <c r="AD29" s="523">
        <f>'Water '!$H35</f>
        <v>0</v>
      </c>
      <c r="AE29" s="523">
        <f>'Water '!$H36</f>
        <v>0</v>
      </c>
      <c r="AF29" s="523">
        <f>'Water '!$H37</f>
        <v>0</v>
      </c>
      <c r="AG29" s="523"/>
      <c r="AH29" s="404">
        <f>SUM($B29:AC29)</f>
        <v>4411</v>
      </c>
      <c r="AI29" s="404"/>
      <c r="AJ29" s="404"/>
    </row>
    <row r="30" spans="1:149" outlineLevel="1" x14ac:dyDescent="0.4">
      <c r="A30" s="435" t="str">
        <f t="shared" ref="A30:AF30" si="7">A36</f>
        <v>Brewhouse</v>
      </c>
      <c r="B30" s="436" t="str">
        <f t="shared" si="7"/>
        <v>0</v>
      </c>
      <c r="C30" s="436" t="str">
        <f t="shared" si="7"/>
        <v>0</v>
      </c>
      <c r="D30" s="436">
        <f t="shared" si="7"/>
        <v>198</v>
      </c>
      <c r="E30" s="436">
        <f t="shared" si="7"/>
        <v>181</v>
      </c>
      <c r="F30" s="436">
        <f t="shared" si="7"/>
        <v>278</v>
      </c>
      <c r="G30" s="436">
        <f t="shared" si="7"/>
        <v>218</v>
      </c>
      <c r="H30" s="436" t="str">
        <f>H36</f>
        <v>0</v>
      </c>
      <c r="I30" s="436">
        <f t="shared" si="7"/>
        <v>5</v>
      </c>
      <c r="J30" s="525" t="str">
        <f t="shared" si="7"/>
        <v>0</v>
      </c>
      <c r="K30" s="525">
        <f t="shared" si="7"/>
        <v>185</v>
      </c>
      <c r="L30" s="525">
        <f t="shared" si="7"/>
        <v>265</v>
      </c>
      <c r="M30" s="525">
        <f t="shared" si="7"/>
        <v>215</v>
      </c>
      <c r="N30" s="525">
        <f t="shared" si="7"/>
        <v>258</v>
      </c>
      <c r="O30" s="525">
        <f t="shared" si="7"/>
        <v>209</v>
      </c>
      <c r="P30" s="525" t="str">
        <f t="shared" si="7"/>
        <v>0</v>
      </c>
      <c r="Q30" s="525" t="str">
        <f t="shared" si="7"/>
        <v>0</v>
      </c>
      <c r="R30" s="525">
        <f t="shared" si="7"/>
        <v>227</v>
      </c>
      <c r="S30" s="525">
        <f t="shared" si="7"/>
        <v>209</v>
      </c>
      <c r="T30" s="525">
        <f t="shared" si="7"/>
        <v>186</v>
      </c>
      <c r="U30" s="525">
        <f t="shared" si="7"/>
        <v>214</v>
      </c>
      <c r="V30" s="525">
        <f t="shared" si="7"/>
        <v>202</v>
      </c>
      <c r="W30" s="525" t="str">
        <f t="shared" si="7"/>
        <v>0</v>
      </c>
      <c r="X30" s="525">
        <f t="shared" si="7"/>
        <v>53</v>
      </c>
      <c r="Y30" s="525">
        <f>Y36</f>
        <v>216</v>
      </c>
      <c r="Z30" s="525">
        <f t="shared" si="7"/>
        <v>243</v>
      </c>
      <c r="AA30" s="525">
        <f t="shared" si="7"/>
        <v>244</v>
      </c>
      <c r="AB30" s="525">
        <f t="shared" si="7"/>
        <v>239</v>
      </c>
      <c r="AC30" s="525">
        <f>AC36</f>
        <v>234</v>
      </c>
      <c r="AD30" s="525" t="str">
        <f t="shared" si="7"/>
        <v>0</v>
      </c>
      <c r="AE30" s="525" t="str">
        <f t="shared" si="7"/>
        <v>0</v>
      </c>
      <c r="AF30" s="525" t="str">
        <f t="shared" si="7"/>
        <v>0</v>
      </c>
      <c r="AG30" s="525"/>
      <c r="AH30" s="404">
        <f>SUM($B30:AC30)</f>
        <v>4279</v>
      </c>
      <c r="AI30" s="437"/>
      <c r="AJ30" s="437"/>
    </row>
    <row r="31" spans="1:149" outlineLevel="1" x14ac:dyDescent="0.4">
      <c r="A31" s="424" t="str">
        <f t="shared" ref="A31:AF31" si="8">A45</f>
        <v>Boiler Supply</v>
      </c>
      <c r="B31" s="425">
        <f t="shared" si="8"/>
        <v>41</v>
      </c>
      <c r="C31" s="425">
        <f t="shared" si="8"/>
        <v>18</v>
      </c>
      <c r="D31" s="425">
        <f t="shared" si="8"/>
        <v>60</v>
      </c>
      <c r="E31" s="425">
        <f t="shared" si="8"/>
        <v>51</v>
      </c>
      <c r="F31" s="425">
        <f t="shared" si="8"/>
        <v>42</v>
      </c>
      <c r="G31" s="425">
        <f t="shared" si="8"/>
        <v>32</v>
      </c>
      <c r="H31" s="425" t="str">
        <f t="shared" si="8"/>
        <v>0</v>
      </c>
      <c r="I31" s="425">
        <f t="shared" si="8"/>
        <v>8</v>
      </c>
      <c r="J31" s="523">
        <f>J45</f>
        <v>8</v>
      </c>
      <c r="K31" s="523">
        <f>K45</f>
        <v>22</v>
      </c>
      <c r="L31" s="523">
        <f t="shared" si="8"/>
        <v>27</v>
      </c>
      <c r="M31" s="523">
        <f>M45</f>
        <v>31</v>
      </c>
      <c r="N31" s="523">
        <f t="shared" si="8"/>
        <v>28</v>
      </c>
      <c r="O31" s="523">
        <f t="shared" si="8"/>
        <v>22</v>
      </c>
      <c r="P31" s="523">
        <f t="shared" si="8"/>
        <v>8</v>
      </c>
      <c r="Q31" s="523">
        <f t="shared" si="8"/>
        <v>11</v>
      </c>
      <c r="R31" s="523">
        <f t="shared" si="8"/>
        <v>23</v>
      </c>
      <c r="S31" s="523">
        <f t="shared" si="8"/>
        <v>26</v>
      </c>
      <c r="T31" s="523">
        <f t="shared" si="8"/>
        <v>33</v>
      </c>
      <c r="U31" s="523">
        <f t="shared" si="8"/>
        <v>24</v>
      </c>
      <c r="V31" s="523">
        <f>V45</f>
        <v>21</v>
      </c>
      <c r="W31" s="523">
        <f t="shared" si="8"/>
        <v>5</v>
      </c>
      <c r="X31" s="523">
        <f t="shared" si="8"/>
        <v>10</v>
      </c>
      <c r="Y31" s="523">
        <f t="shared" si="8"/>
        <v>17</v>
      </c>
      <c r="Z31" s="523">
        <f t="shared" si="8"/>
        <v>16</v>
      </c>
      <c r="AA31" s="523">
        <f t="shared" si="8"/>
        <v>12</v>
      </c>
      <c r="AB31" s="523">
        <f t="shared" si="8"/>
        <v>11</v>
      </c>
      <c r="AC31" s="523">
        <f t="shared" si="8"/>
        <v>14</v>
      </c>
      <c r="AD31" s="523" t="str">
        <f t="shared" si="8"/>
        <v>0</v>
      </c>
      <c r="AE31" s="523" t="str">
        <f t="shared" si="8"/>
        <v>0</v>
      </c>
      <c r="AF31" s="523" t="str">
        <f t="shared" si="8"/>
        <v>0</v>
      </c>
      <c r="AG31" s="523"/>
      <c r="AH31" s="404">
        <f>SUM($B31:AC31)</f>
        <v>621</v>
      </c>
      <c r="AI31" s="404"/>
      <c r="AJ31" s="404"/>
    </row>
    <row r="32" spans="1:149" s="564" customFormat="1" x14ac:dyDescent="0.4">
      <c r="A32" s="560" t="s">
        <v>164</v>
      </c>
      <c r="B32" s="561">
        <f>SUM(B28:B31)</f>
        <v>61</v>
      </c>
      <c r="C32" s="561">
        <f t="shared" ref="C32:AF32" si="9">SUM(C28:C31)</f>
        <v>101</v>
      </c>
      <c r="D32" s="561">
        <f t="shared" si="9"/>
        <v>507</v>
      </c>
      <c r="E32" s="561">
        <f t="shared" si="9"/>
        <v>442</v>
      </c>
      <c r="F32" s="561">
        <f t="shared" si="9"/>
        <v>573</v>
      </c>
      <c r="G32" s="561">
        <f t="shared" si="9"/>
        <v>458</v>
      </c>
      <c r="H32" s="561">
        <f t="shared" si="9"/>
        <v>12</v>
      </c>
      <c r="I32" s="561">
        <f t="shared" si="9"/>
        <v>85</v>
      </c>
      <c r="J32" s="562">
        <f t="shared" si="9"/>
        <v>26</v>
      </c>
      <c r="K32" s="562">
        <f>SUM(K28:K31)</f>
        <v>430</v>
      </c>
      <c r="L32" s="562">
        <f t="shared" si="9"/>
        <v>567</v>
      </c>
      <c r="M32" s="562">
        <f t="shared" si="9"/>
        <v>445</v>
      </c>
      <c r="N32" s="562">
        <f t="shared" si="9"/>
        <v>522</v>
      </c>
      <c r="O32" s="562">
        <f t="shared" si="9"/>
        <v>400</v>
      </c>
      <c r="P32" s="562">
        <f t="shared" si="9"/>
        <v>69</v>
      </c>
      <c r="Q32" s="562">
        <f t="shared" si="9"/>
        <v>37</v>
      </c>
      <c r="R32" s="562">
        <f t="shared" si="9"/>
        <v>447</v>
      </c>
      <c r="S32" s="562">
        <f t="shared" si="9"/>
        <v>444</v>
      </c>
      <c r="T32" s="562">
        <f t="shared" si="9"/>
        <v>418</v>
      </c>
      <c r="U32" s="562">
        <f t="shared" si="9"/>
        <v>470</v>
      </c>
      <c r="V32" s="562">
        <f t="shared" si="9"/>
        <v>378</v>
      </c>
      <c r="W32" s="561">
        <f t="shared" si="9"/>
        <v>44</v>
      </c>
      <c r="X32" s="562">
        <f t="shared" si="9"/>
        <v>129</v>
      </c>
      <c r="Y32" s="562">
        <f t="shared" si="9"/>
        <v>473</v>
      </c>
      <c r="Z32" s="562">
        <f t="shared" si="9"/>
        <v>448</v>
      </c>
      <c r="AA32" s="562">
        <f t="shared" si="9"/>
        <v>432</v>
      </c>
      <c r="AB32" s="562">
        <f t="shared" si="9"/>
        <v>439</v>
      </c>
      <c r="AC32" s="562">
        <f t="shared" si="9"/>
        <v>454</v>
      </c>
      <c r="AD32" s="562">
        <f t="shared" si="9"/>
        <v>0</v>
      </c>
      <c r="AE32" s="562">
        <f t="shared" si="9"/>
        <v>0</v>
      </c>
      <c r="AF32" s="562">
        <f t="shared" si="9"/>
        <v>0</v>
      </c>
      <c r="AG32" s="562"/>
      <c r="AH32" s="561">
        <f>SUM($B32:AC32)</f>
        <v>9311</v>
      </c>
      <c r="AI32" s="561"/>
      <c r="AJ32" s="563"/>
    </row>
    <row r="33" spans="1:149" s="397" customFormat="1" x14ac:dyDescent="0.4">
      <c r="A33" s="438"/>
      <c r="B33" s="404"/>
      <c r="C33" s="404"/>
      <c r="D33" s="404"/>
      <c r="E33" s="404"/>
      <c r="F33" s="404"/>
      <c r="G33" s="404"/>
      <c r="H33" s="404"/>
      <c r="I33" s="404"/>
      <c r="J33" s="464"/>
      <c r="K33" s="464"/>
      <c r="L33" s="464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464"/>
      <c r="Y33" s="464"/>
      <c r="Z33" s="464"/>
      <c r="AA33" s="464"/>
      <c r="AB33" s="464"/>
      <c r="AC33" s="464"/>
      <c r="AD33" s="464"/>
      <c r="AE33" s="464"/>
      <c r="AF33" s="464"/>
      <c r="AG33" s="464"/>
      <c r="AH33" s="404"/>
      <c r="AI33" s="404"/>
    </row>
    <row r="34" spans="1:149" x14ac:dyDescent="0.4">
      <c r="A34" s="424"/>
      <c r="B34" s="439" t="str">
        <f>IF(B$9=0,"",+(B32*10)/B$9)</f>
        <v/>
      </c>
      <c r="C34" s="439" t="str">
        <f t="shared" ref="C34:AH34" si="10">IF(C$9=0,"",+(C32*10)/C$9)</f>
        <v/>
      </c>
      <c r="D34" s="439">
        <f t="shared" si="10"/>
        <v>9.7015370908706799</v>
      </c>
      <c r="E34" s="439">
        <f>IF(E$9=0,"",+(E32*10)/E$9)</f>
        <v>8.244453646398739</v>
      </c>
      <c r="F34" s="439">
        <f t="shared" si="10"/>
        <v>9.2144111460604776</v>
      </c>
      <c r="G34" s="439">
        <f>IF(G$9=0,"",+(G32*10)/G$9)</f>
        <v>11.517666289450521</v>
      </c>
      <c r="H34" s="439" t="str">
        <f t="shared" si="10"/>
        <v/>
      </c>
      <c r="I34" s="439" t="str">
        <f t="shared" si="10"/>
        <v/>
      </c>
      <c r="J34" s="412" t="str">
        <f t="shared" si="10"/>
        <v/>
      </c>
      <c r="K34" s="412">
        <f>IF(K$9=0,"",+(K32*10)/K$9)</f>
        <v>10.425910569933613</v>
      </c>
      <c r="L34" s="412">
        <f>IF(L$9=0,"",+(L32*10)/L$9)</f>
        <v>8.2296284039746048</v>
      </c>
      <c r="M34" s="412">
        <f t="shared" si="10"/>
        <v>7.1819602070986814</v>
      </c>
      <c r="N34" s="412">
        <f>IF(N$9=0,"",+(N32*10)/N$9)</f>
        <v>9.3499124117400516</v>
      </c>
      <c r="O34" s="412">
        <f>IF(O$9=0,"",+(O32*10)/O$9)</f>
        <v>13.465021241071007</v>
      </c>
      <c r="P34" s="412" t="str">
        <f t="shared" si="10"/>
        <v/>
      </c>
      <c r="Q34" s="412" t="str">
        <f>IF(Q$9=0,"",+(Q32*10)/Q$9)</f>
        <v/>
      </c>
      <c r="R34" s="412">
        <f t="shared" si="10"/>
        <v>14.255372074778514</v>
      </c>
      <c r="S34" s="412">
        <f t="shared" si="10"/>
        <v>12.609695833688335</v>
      </c>
      <c r="T34" s="412">
        <f t="shared" si="10"/>
        <v>10.714487114419443</v>
      </c>
      <c r="U34" s="412">
        <f t="shared" si="10"/>
        <v>13.906987699121432</v>
      </c>
      <c r="V34" s="412">
        <f t="shared" si="10"/>
        <v>8.3781052183626787</v>
      </c>
      <c r="W34" s="412">
        <f>IF(W$9=0,"",+(W32*10)/W$9)</f>
        <v>20.035061357375405</v>
      </c>
      <c r="X34" s="412" t="str">
        <f t="shared" si="10"/>
        <v/>
      </c>
      <c r="Y34" s="412">
        <f>IF(Y$9=0,"",+(Y32*10)/Y$9)</f>
        <v>15.212622939220266</v>
      </c>
      <c r="Z34" s="412">
        <f t="shared" si="10"/>
        <v>7.7887306802969443</v>
      </c>
      <c r="AA34" s="412">
        <f t="shared" si="10"/>
        <v>10.471051904422565</v>
      </c>
      <c r="AB34" s="412">
        <f>IF(AB$9=0,"",+(AB32*10)/AB$9)</f>
        <v>11.273754494093476</v>
      </c>
      <c r="AC34" s="412">
        <f>IF(AC$9=0,"",+(AC32*10)/AC$9)</f>
        <v>9.0415192938852229</v>
      </c>
      <c r="AD34" s="412" t="str">
        <f t="shared" si="10"/>
        <v/>
      </c>
      <c r="AE34" s="412" t="str">
        <f>IF(AE$9=0,"",+(AE32*10)/AE$9)</f>
        <v/>
      </c>
      <c r="AF34" s="412" t="str">
        <f t="shared" si="10"/>
        <v/>
      </c>
      <c r="AG34" s="412"/>
      <c r="AH34" s="440">
        <f t="shared" si="10"/>
        <v>10.687922121125641</v>
      </c>
      <c r="AI34" s="441" t="s">
        <v>235</v>
      </c>
    </row>
    <row r="35" spans="1:149" x14ac:dyDescent="0.4">
      <c r="A35" s="442" t="s">
        <v>184</v>
      </c>
      <c r="B35" s="431"/>
      <c r="C35" s="431"/>
      <c r="D35" s="431"/>
      <c r="E35" s="431"/>
      <c r="F35" s="431"/>
      <c r="G35" s="431"/>
      <c r="H35" s="431"/>
      <c r="I35" s="431"/>
      <c r="J35" s="468"/>
      <c r="K35" s="468"/>
      <c r="L35" s="468"/>
      <c r="M35" s="468"/>
      <c r="AH35" s="404">
        <f>SUM($B35:AC35)</f>
        <v>0</v>
      </c>
      <c r="AI35" s="404"/>
    </row>
    <row r="36" spans="1:149" x14ac:dyDescent="0.4">
      <c r="A36" s="619" t="s">
        <v>80</v>
      </c>
      <c r="B36" s="443" t="str">
        <f>+'Water '!$J7</f>
        <v>0</v>
      </c>
      <c r="C36" s="443" t="str">
        <f>+'Water '!$J8</f>
        <v>0</v>
      </c>
      <c r="D36" s="443">
        <f>+'Water '!$J9</f>
        <v>198</v>
      </c>
      <c r="E36" s="443">
        <f>+'Water '!$J10</f>
        <v>181</v>
      </c>
      <c r="F36" s="443">
        <f>+'Water '!$J11</f>
        <v>278</v>
      </c>
      <c r="G36" s="443">
        <f>+'Water '!$J12</f>
        <v>218</v>
      </c>
      <c r="H36" s="444" t="str">
        <f>+'Water '!$J13</f>
        <v>0</v>
      </c>
      <c r="I36" s="443">
        <f>+'Water '!$J14</f>
        <v>5</v>
      </c>
      <c r="J36" s="526" t="str">
        <f>+'Water '!$J15</f>
        <v>0</v>
      </c>
      <c r="K36" s="526">
        <f>+'Water '!$J16</f>
        <v>185</v>
      </c>
      <c r="L36" s="527">
        <f>+'Water '!$J17</f>
        <v>265</v>
      </c>
      <c r="M36" s="526">
        <f>+'Water '!$J18</f>
        <v>215</v>
      </c>
      <c r="N36" s="526">
        <f>+'Water '!$J19</f>
        <v>258</v>
      </c>
      <c r="O36" s="526">
        <f>+'Water '!$J20</f>
        <v>209</v>
      </c>
      <c r="P36" s="527" t="str">
        <f>+'Water '!$J21</f>
        <v>0</v>
      </c>
      <c r="Q36" s="526" t="str">
        <f>+'Water '!$J22</f>
        <v>0</v>
      </c>
      <c r="R36" s="527">
        <f>+'Water '!$J23</f>
        <v>227</v>
      </c>
      <c r="S36" s="526">
        <f>+'Water '!$J24</f>
        <v>209</v>
      </c>
      <c r="T36" s="527">
        <f>+'Water '!$J25</f>
        <v>186</v>
      </c>
      <c r="U36" s="526">
        <f>+'Water '!$J26</f>
        <v>214</v>
      </c>
      <c r="V36" s="526">
        <f>+'Water '!$J27</f>
        <v>202</v>
      </c>
      <c r="W36" s="526" t="str">
        <f>+'Water '!$J28</f>
        <v>0</v>
      </c>
      <c r="X36" s="526">
        <f>+'Water '!$J29</f>
        <v>53</v>
      </c>
      <c r="Y36" s="526">
        <f>+'Water '!$J30</f>
        <v>216</v>
      </c>
      <c r="Z36" s="526">
        <f>+'Water '!$J31</f>
        <v>243</v>
      </c>
      <c r="AA36" s="526">
        <f>+'Water '!$J32</f>
        <v>244</v>
      </c>
      <c r="AB36" s="526">
        <f>+'Water '!$J33</f>
        <v>239</v>
      </c>
      <c r="AC36" s="527">
        <f>+'Water '!$J34</f>
        <v>234</v>
      </c>
      <c r="AD36" s="527" t="str">
        <f>+'Water '!$J35</f>
        <v>0</v>
      </c>
      <c r="AE36" s="527" t="str">
        <f>+'Water '!$J36</f>
        <v>0</v>
      </c>
      <c r="AF36" s="527" t="str">
        <f>+'Water '!$J37</f>
        <v>0</v>
      </c>
      <c r="AG36" s="527"/>
      <c r="AH36" s="404">
        <f>SUM($B36:AC36)</f>
        <v>4279</v>
      </c>
      <c r="AI36" s="445"/>
      <c r="AJ36" s="446"/>
    </row>
    <row r="37" spans="1:149" s="419" customFormat="1" x14ac:dyDescent="0.4">
      <c r="A37" s="507" t="s">
        <v>254</v>
      </c>
      <c r="B37" s="448" t="str">
        <f>'Water '!W7</f>
        <v>0</v>
      </c>
      <c r="C37" s="448" t="str">
        <f>'Water '!W8</f>
        <v>0</v>
      </c>
      <c r="D37" s="448" t="str">
        <f>'Water '!W9</f>
        <v>0</v>
      </c>
      <c r="E37" s="448" t="str">
        <f>'Water '!W10</f>
        <v>0</v>
      </c>
      <c r="F37" s="448" t="str">
        <f>'Water '!W11</f>
        <v>0</v>
      </c>
      <c r="G37" s="448" t="str">
        <f>'Water '!W12</f>
        <v>0</v>
      </c>
      <c r="H37" s="448" t="str">
        <f>'Water '!W13</f>
        <v>0</v>
      </c>
      <c r="I37" s="448" t="str">
        <f>'Water '!W14</f>
        <v>0</v>
      </c>
      <c r="J37" s="528" t="str">
        <f>'Water '!W15</f>
        <v>0</v>
      </c>
      <c r="K37" s="528" t="str">
        <f>'Water '!W16</f>
        <v>0</v>
      </c>
      <c r="L37" s="528" t="str">
        <f>'Water '!W17</f>
        <v>0</v>
      </c>
      <c r="M37" s="528" t="str">
        <f>'Water '!W18</f>
        <v>0</v>
      </c>
      <c r="N37" s="528" t="str">
        <f>'Water '!W19</f>
        <v>0</v>
      </c>
      <c r="O37" s="528" t="str">
        <f>'Water '!W20</f>
        <v>0</v>
      </c>
      <c r="P37" s="528" t="str">
        <f>'Water '!W21</f>
        <v>0</v>
      </c>
      <c r="Q37" s="528" t="str">
        <f>'Water '!W22</f>
        <v>0</v>
      </c>
      <c r="R37" s="528" t="str">
        <f>'Water '!W23</f>
        <v>0</v>
      </c>
      <c r="S37" s="528" t="str">
        <f>'Water '!W24</f>
        <v>0</v>
      </c>
      <c r="T37" s="528" t="str">
        <f>'Water '!W25</f>
        <v>0</v>
      </c>
      <c r="U37" s="528" t="str">
        <f>'Water '!W26</f>
        <v>0</v>
      </c>
      <c r="V37" s="528" t="str">
        <f>'Water '!W27</f>
        <v>0</v>
      </c>
      <c r="W37" s="528" t="str">
        <f>'Water '!W28</f>
        <v>0</v>
      </c>
      <c r="X37" s="528" t="str">
        <f>'Water '!W29</f>
        <v>0</v>
      </c>
      <c r="Y37" s="528" t="str">
        <f>'Water '!W30</f>
        <v>0</v>
      </c>
      <c r="Z37" s="528" t="str">
        <f>'Water '!W31</f>
        <v>0</v>
      </c>
      <c r="AA37" s="528" t="str">
        <f>'Water '!W32</f>
        <v>0</v>
      </c>
      <c r="AB37" s="528" t="str">
        <f>'Water '!W33</f>
        <v>0</v>
      </c>
      <c r="AC37" s="528" t="str">
        <f>'Water '!W34</f>
        <v>0</v>
      </c>
      <c r="AD37" s="528" t="str">
        <f>'Water '!W35</f>
        <v>0</v>
      </c>
      <c r="AE37" s="528" t="str">
        <f>'Water '!X35</f>
        <v>0</v>
      </c>
      <c r="AF37" s="528">
        <f>'Water '!Y35</f>
        <v>0</v>
      </c>
      <c r="AG37" s="528"/>
      <c r="AH37" s="449">
        <f>SUM($B37:AC37)</f>
        <v>0</v>
      </c>
      <c r="AI37" s="449"/>
      <c r="AJ37" s="450"/>
      <c r="AK37" s="395"/>
      <c r="AL37" s="395"/>
      <c r="AM37" s="395"/>
      <c r="AN37" s="395"/>
      <c r="AO37" s="395"/>
      <c r="AP37" s="395"/>
      <c r="AQ37" s="395"/>
      <c r="AR37" s="395"/>
      <c r="AS37" s="395"/>
      <c r="AT37" s="395"/>
      <c r="AU37" s="395"/>
      <c r="AV37" s="395"/>
      <c r="AW37" s="395"/>
      <c r="AX37" s="395"/>
      <c r="AY37" s="395"/>
      <c r="AZ37" s="395"/>
      <c r="BA37" s="395"/>
      <c r="BB37" s="395"/>
      <c r="BC37" s="395"/>
      <c r="BD37" s="395"/>
      <c r="BE37" s="395"/>
      <c r="BF37" s="395"/>
      <c r="BG37" s="395"/>
      <c r="BH37" s="395"/>
      <c r="BI37" s="395"/>
      <c r="BJ37" s="395"/>
      <c r="BK37" s="395"/>
      <c r="BL37" s="395"/>
      <c r="BM37" s="395"/>
      <c r="BN37" s="395"/>
      <c r="BO37" s="395"/>
      <c r="BP37" s="395"/>
      <c r="BQ37" s="395"/>
      <c r="BR37" s="395"/>
      <c r="BS37" s="395"/>
      <c r="BT37" s="395"/>
      <c r="BU37" s="395"/>
      <c r="BV37" s="395"/>
      <c r="BW37" s="395"/>
      <c r="BX37" s="395"/>
      <c r="BY37" s="395"/>
      <c r="BZ37" s="395"/>
      <c r="CA37" s="395"/>
      <c r="CB37" s="395"/>
      <c r="CC37" s="395"/>
      <c r="CD37" s="395"/>
      <c r="CE37" s="395"/>
      <c r="CF37" s="395"/>
      <c r="CG37" s="395"/>
      <c r="CH37" s="395"/>
      <c r="CI37" s="395"/>
      <c r="CJ37" s="395"/>
      <c r="CK37" s="395"/>
      <c r="CL37" s="395"/>
      <c r="CM37" s="395"/>
      <c r="CN37" s="395"/>
      <c r="CO37" s="395"/>
      <c r="CP37" s="395"/>
      <c r="CQ37" s="395"/>
      <c r="CR37" s="395"/>
      <c r="CS37" s="395"/>
      <c r="CT37" s="395"/>
      <c r="CU37" s="395"/>
      <c r="CV37" s="395"/>
      <c r="CW37" s="395"/>
      <c r="CX37" s="395"/>
      <c r="CY37" s="395"/>
      <c r="CZ37" s="395"/>
      <c r="DA37" s="395"/>
      <c r="DB37" s="395"/>
      <c r="DC37" s="395"/>
      <c r="DD37" s="395"/>
      <c r="DE37" s="395"/>
      <c r="DF37" s="395"/>
      <c r="DG37" s="395"/>
      <c r="DH37" s="395"/>
      <c r="DI37" s="395"/>
      <c r="DJ37" s="395"/>
      <c r="DK37" s="395"/>
      <c r="DL37" s="395"/>
      <c r="DM37" s="395"/>
      <c r="DN37" s="395"/>
      <c r="DO37" s="395"/>
      <c r="DP37" s="395"/>
      <c r="DQ37" s="395"/>
      <c r="DR37" s="395"/>
      <c r="DS37" s="395"/>
      <c r="DT37" s="395"/>
      <c r="DU37" s="395"/>
      <c r="DV37" s="395"/>
      <c r="DW37" s="395"/>
      <c r="DX37" s="395"/>
      <c r="DY37" s="395"/>
      <c r="DZ37" s="395"/>
      <c r="EA37" s="395"/>
      <c r="EB37" s="395"/>
      <c r="EC37" s="395"/>
      <c r="ED37" s="395"/>
      <c r="EE37" s="395"/>
      <c r="EF37" s="395"/>
      <c r="EG37" s="395"/>
      <c r="EH37" s="395"/>
      <c r="EI37" s="395"/>
      <c r="EJ37" s="395"/>
      <c r="EK37" s="395"/>
      <c r="EL37" s="395"/>
      <c r="EM37" s="395"/>
      <c r="EN37" s="395"/>
      <c r="EO37" s="395"/>
      <c r="EP37" s="395"/>
      <c r="EQ37" s="395"/>
      <c r="ER37" s="395"/>
      <c r="ES37" s="395"/>
    </row>
    <row r="38" spans="1:149" ht="17.25" customHeight="1" x14ac:dyDescent="0.4">
      <c r="A38" s="451" t="s">
        <v>209</v>
      </c>
      <c r="B38" s="452"/>
      <c r="C38" s="452"/>
      <c r="D38" s="452"/>
      <c r="E38" s="452"/>
      <c r="F38" s="452"/>
      <c r="G38" s="452"/>
      <c r="H38" s="452"/>
      <c r="I38" s="452"/>
      <c r="J38" s="529"/>
      <c r="K38" s="529"/>
      <c r="L38" s="529"/>
      <c r="M38" s="529"/>
      <c r="N38" s="529"/>
      <c r="O38" s="529"/>
      <c r="P38" s="529"/>
      <c r="Q38" s="529"/>
      <c r="R38" s="529"/>
      <c r="S38" s="529"/>
      <c r="T38" s="529"/>
      <c r="U38" s="529"/>
      <c r="V38" s="529"/>
      <c r="W38" s="529"/>
      <c r="X38" s="529"/>
      <c r="Y38" s="529"/>
      <c r="Z38" s="529"/>
      <c r="AA38" s="529"/>
      <c r="AB38" s="529"/>
      <c r="AC38" s="529"/>
      <c r="AD38" s="529"/>
      <c r="AE38" s="529"/>
      <c r="AF38" s="529"/>
      <c r="AG38" s="529"/>
      <c r="AH38" s="453"/>
      <c r="AI38" s="453"/>
      <c r="AJ38" s="454"/>
    </row>
    <row r="39" spans="1:149" x14ac:dyDescent="0.4">
      <c r="A39" s="455" t="s">
        <v>244</v>
      </c>
      <c r="B39" s="456" t="str">
        <f>+'Water '!$K7</f>
        <v>0</v>
      </c>
      <c r="C39" s="456" t="str">
        <f>+'Water '!$K8</f>
        <v>0</v>
      </c>
      <c r="D39" s="456" t="str">
        <f>+'Water '!$K9</f>
        <v>0</v>
      </c>
      <c r="E39" s="456" t="str">
        <f>+'Water '!$K10</f>
        <v>0</v>
      </c>
      <c r="F39" s="456" t="str">
        <f>+'Water '!$K9</f>
        <v>0</v>
      </c>
      <c r="G39" s="456" t="str">
        <f>+'Water '!$K12</f>
        <v>0</v>
      </c>
      <c r="H39" s="456" t="str">
        <f>+'Water '!$K13</f>
        <v>0</v>
      </c>
      <c r="I39" s="456" t="str">
        <f>+'Water '!$K14</f>
        <v>0</v>
      </c>
      <c r="J39" s="530" t="str">
        <f>+'Water '!$K15</f>
        <v>0</v>
      </c>
      <c r="K39" s="530" t="str">
        <f>+'Water '!$K16</f>
        <v>0</v>
      </c>
      <c r="L39" s="530" t="str">
        <f>+'Water '!$K17</f>
        <v>0</v>
      </c>
      <c r="M39" s="530" t="str">
        <f>+'Water '!$K18</f>
        <v>0</v>
      </c>
      <c r="N39" s="530" t="str">
        <f>+'Water '!$K19</f>
        <v>0</v>
      </c>
      <c r="O39" s="530" t="str">
        <f>+'Water '!$K20</f>
        <v>0</v>
      </c>
      <c r="P39" s="530" t="str">
        <f>+'Water '!$K21</f>
        <v>0</v>
      </c>
      <c r="Q39" s="530" t="str">
        <f>+'Water '!$K22</f>
        <v>0</v>
      </c>
      <c r="R39" s="530" t="str">
        <f>+'Water '!$K23</f>
        <v>0</v>
      </c>
      <c r="S39" s="530" t="str">
        <f>+'Water '!$K24</f>
        <v>0</v>
      </c>
      <c r="T39" s="530" t="str">
        <f>+'Water '!$K25</f>
        <v>0</v>
      </c>
      <c r="U39" s="530" t="str">
        <f>+'Water '!$K26</f>
        <v>0</v>
      </c>
      <c r="V39" s="530" t="str">
        <f>+'Water '!$K27</f>
        <v>0</v>
      </c>
      <c r="W39" s="530" t="str">
        <f>+'Water '!$K28</f>
        <v>0</v>
      </c>
      <c r="X39" s="530" t="str">
        <f>+'Water '!$K29</f>
        <v>0</v>
      </c>
      <c r="Y39" s="530" t="str">
        <f>+'Water '!$K30</f>
        <v>0</v>
      </c>
      <c r="Z39" s="530" t="str">
        <f>+'Water '!$K31</f>
        <v>0</v>
      </c>
      <c r="AA39" s="530" t="str">
        <f>+'Water '!$K32</f>
        <v>0</v>
      </c>
      <c r="AB39" s="530" t="str">
        <f>+'Water '!$K33</f>
        <v>0</v>
      </c>
      <c r="AC39" s="530" t="str">
        <f>+'Water '!$K34</f>
        <v>0</v>
      </c>
      <c r="AD39" s="530" t="str">
        <f>+'Water '!$K35</f>
        <v>0</v>
      </c>
      <c r="AE39" s="530" t="str">
        <f>+'Water '!$K36</f>
        <v>0</v>
      </c>
      <c r="AF39" s="530" t="str">
        <f>+'Water '!$K37</f>
        <v>0</v>
      </c>
      <c r="AG39" s="530"/>
      <c r="AH39" s="453">
        <f>SUM($B39:AC39)</f>
        <v>0</v>
      </c>
      <c r="AI39" s="453"/>
      <c r="AJ39" s="453"/>
    </row>
    <row r="40" spans="1:149" s="419" customFormat="1" ht="27" customHeight="1" x14ac:dyDescent="0.4">
      <c r="A40" s="447" t="s">
        <v>189</v>
      </c>
      <c r="B40" s="448" t="str">
        <f>'Water '!L7</f>
        <v>0</v>
      </c>
      <c r="C40" s="448" t="str">
        <f>'Water '!L8</f>
        <v>0</v>
      </c>
      <c r="D40" s="448" t="str">
        <f>'Water '!L9</f>
        <v>0</v>
      </c>
      <c r="E40" s="448" t="str">
        <f>'Water '!L10</f>
        <v>0</v>
      </c>
      <c r="F40" s="448" t="str">
        <f>'Water '!L11</f>
        <v>0</v>
      </c>
      <c r="G40" s="448" t="str">
        <f>'Water '!L12</f>
        <v>0</v>
      </c>
      <c r="H40" s="448" t="str">
        <f>'Water '!L13</f>
        <v>0</v>
      </c>
      <c r="I40" s="448" t="str">
        <f>'Water '!L14</f>
        <v>0</v>
      </c>
      <c r="J40" s="528" t="str">
        <f>'Water '!L15</f>
        <v>0</v>
      </c>
      <c r="K40" s="528" t="str">
        <f>'Water '!L16</f>
        <v>0</v>
      </c>
      <c r="L40" s="528" t="str">
        <f>'Water '!L17</f>
        <v>0</v>
      </c>
      <c r="M40" s="528" t="str">
        <f>'Water '!L18</f>
        <v>0</v>
      </c>
      <c r="N40" s="528" t="str">
        <f>'Water '!L19</f>
        <v>0</v>
      </c>
      <c r="O40" s="528" t="str">
        <f>'Water '!L20</f>
        <v>0</v>
      </c>
      <c r="P40" s="528" t="str">
        <f>'Water '!L21</f>
        <v>0</v>
      </c>
      <c r="Q40" s="528" t="str">
        <f>'Water '!L22</f>
        <v>0</v>
      </c>
      <c r="R40" s="528" t="str">
        <f>'Water '!L23</f>
        <v>0</v>
      </c>
      <c r="S40" s="528" t="str">
        <f>'Water '!L24</f>
        <v>0</v>
      </c>
      <c r="T40" s="528" t="str">
        <f>'Water '!L25</f>
        <v>0</v>
      </c>
      <c r="U40" s="528" t="str">
        <f>'Water '!L26</f>
        <v>0</v>
      </c>
      <c r="V40" s="528" t="str">
        <f>'Water '!L27</f>
        <v>0</v>
      </c>
      <c r="W40" s="528" t="str">
        <f>'Water '!L28</f>
        <v>0</v>
      </c>
      <c r="X40" s="528" t="str">
        <f>'Water '!L29</f>
        <v>0</v>
      </c>
      <c r="Y40" s="528" t="str">
        <f>'Water '!L30</f>
        <v>0</v>
      </c>
      <c r="Z40" s="528" t="str">
        <f>'Water '!L31</f>
        <v>0</v>
      </c>
      <c r="AA40" s="528" t="str">
        <f>'Water '!L32</f>
        <v>0</v>
      </c>
      <c r="AB40" s="528" t="str">
        <f>'Water '!L33</f>
        <v>0</v>
      </c>
      <c r="AC40" s="528" t="str">
        <f>'Water '!L34</f>
        <v>0</v>
      </c>
      <c r="AD40" s="528" t="str">
        <f>'Water '!L35</f>
        <v>0</v>
      </c>
      <c r="AE40" s="528" t="str">
        <f>'Water '!L36</f>
        <v>0</v>
      </c>
      <c r="AF40" s="528" t="str">
        <f>'Water '!L37</f>
        <v>0</v>
      </c>
      <c r="AG40" s="528"/>
      <c r="AH40" s="449">
        <f>SUM($B40:AC40)</f>
        <v>0</v>
      </c>
      <c r="AI40" s="449"/>
      <c r="AJ40" s="449"/>
      <c r="AK40" s="395"/>
      <c r="AL40" s="395"/>
      <c r="AM40" s="395"/>
      <c r="AN40" s="395"/>
      <c r="AO40" s="395"/>
      <c r="AP40" s="395"/>
      <c r="AQ40" s="395"/>
      <c r="AR40" s="395"/>
      <c r="AS40" s="395"/>
      <c r="AT40" s="395"/>
      <c r="AU40" s="395"/>
      <c r="AV40" s="395"/>
      <c r="AW40" s="395"/>
      <c r="AX40" s="395"/>
      <c r="AY40" s="395"/>
      <c r="AZ40" s="395"/>
      <c r="BA40" s="395"/>
      <c r="BB40" s="395"/>
      <c r="BC40" s="395"/>
      <c r="BD40" s="395"/>
      <c r="BE40" s="395"/>
      <c r="BF40" s="395"/>
      <c r="BG40" s="395"/>
      <c r="BH40" s="395"/>
      <c r="BI40" s="395"/>
      <c r="BJ40" s="395"/>
      <c r="BK40" s="395"/>
      <c r="BL40" s="395"/>
      <c r="BM40" s="395"/>
      <c r="BN40" s="395"/>
      <c r="BO40" s="395"/>
      <c r="BP40" s="395"/>
      <c r="BQ40" s="395"/>
      <c r="BR40" s="395"/>
      <c r="BS40" s="395"/>
      <c r="BT40" s="395"/>
      <c r="BU40" s="395"/>
      <c r="BV40" s="395"/>
      <c r="BW40" s="395"/>
      <c r="BX40" s="395"/>
      <c r="BY40" s="395"/>
      <c r="BZ40" s="395"/>
      <c r="CA40" s="395"/>
      <c r="CB40" s="395"/>
      <c r="CC40" s="395"/>
      <c r="CD40" s="395"/>
      <c r="CE40" s="395"/>
      <c r="CF40" s="395"/>
      <c r="CG40" s="395"/>
      <c r="CH40" s="395"/>
      <c r="CI40" s="395"/>
      <c r="CJ40" s="395"/>
      <c r="CK40" s="395"/>
      <c r="CL40" s="395"/>
      <c r="CM40" s="395"/>
      <c r="CN40" s="395"/>
      <c r="CO40" s="395"/>
      <c r="CP40" s="395"/>
      <c r="CQ40" s="395"/>
      <c r="CR40" s="395"/>
      <c r="CS40" s="395"/>
      <c r="CT40" s="395"/>
      <c r="CU40" s="395"/>
      <c r="CV40" s="395"/>
      <c r="CW40" s="395"/>
      <c r="CX40" s="395"/>
      <c r="CY40" s="395"/>
      <c r="CZ40" s="395"/>
      <c r="DA40" s="395"/>
      <c r="DB40" s="395"/>
      <c r="DC40" s="395"/>
      <c r="DD40" s="395"/>
      <c r="DE40" s="395"/>
      <c r="DF40" s="395"/>
      <c r="DG40" s="395"/>
      <c r="DH40" s="395"/>
      <c r="DI40" s="395"/>
      <c r="DJ40" s="395"/>
      <c r="DK40" s="395"/>
      <c r="DL40" s="395"/>
      <c r="DM40" s="395"/>
      <c r="DN40" s="395"/>
      <c r="DO40" s="395"/>
      <c r="DP40" s="395"/>
      <c r="DQ40" s="395"/>
      <c r="DR40" s="395"/>
      <c r="DS40" s="395"/>
      <c r="DT40" s="395"/>
      <c r="DU40" s="395"/>
      <c r="DV40" s="395"/>
      <c r="DW40" s="395"/>
      <c r="DX40" s="395"/>
      <c r="DY40" s="395"/>
      <c r="DZ40" s="395"/>
      <c r="EA40" s="395"/>
      <c r="EB40" s="395"/>
      <c r="EC40" s="395"/>
      <c r="ED40" s="395"/>
      <c r="EE40" s="395"/>
      <c r="EF40" s="395"/>
      <c r="EG40" s="395"/>
      <c r="EH40" s="395"/>
      <c r="EI40" s="395"/>
      <c r="EJ40" s="395"/>
      <c r="EK40" s="395"/>
      <c r="EL40" s="395"/>
      <c r="EM40" s="395"/>
      <c r="EN40" s="395"/>
      <c r="EO40" s="395"/>
      <c r="EP40" s="395"/>
      <c r="EQ40" s="395"/>
      <c r="ER40" s="395"/>
      <c r="ES40" s="395"/>
    </row>
    <row r="41" spans="1:149" s="419" customFormat="1" x14ac:dyDescent="0.4">
      <c r="A41" s="447" t="s">
        <v>109</v>
      </c>
      <c r="B41" s="457" t="str">
        <f>+'Water '!$N7</f>
        <v>0</v>
      </c>
      <c r="C41" s="457" t="str">
        <f>+'Water '!$N8</f>
        <v>0</v>
      </c>
      <c r="D41" s="457">
        <f>+'Water '!$N9</f>
        <v>79</v>
      </c>
      <c r="E41" s="457">
        <f>+'Water '!$N10</f>
        <v>44</v>
      </c>
      <c r="F41" s="457">
        <f>+'Water '!$N11</f>
        <v>61</v>
      </c>
      <c r="G41" s="457">
        <f>+'Water '!$N12</f>
        <v>51</v>
      </c>
      <c r="H41" s="457" t="str">
        <f>+'Water '!$N13</f>
        <v>0</v>
      </c>
      <c r="I41" s="457" t="str">
        <f>+'Water '!$N14</f>
        <v>0</v>
      </c>
      <c r="J41" s="531" t="str">
        <f>+'Water '!$N15</f>
        <v>0</v>
      </c>
      <c r="K41" s="531">
        <f>+'Water '!$N16</f>
        <v>65</v>
      </c>
      <c r="L41" s="531">
        <f>+'Water '!$N17</f>
        <v>55</v>
      </c>
      <c r="M41" s="531">
        <f>+'Water '!$N18</f>
        <v>29</v>
      </c>
      <c r="N41" s="531">
        <f>+'Water '!$N19</f>
        <v>62</v>
      </c>
      <c r="O41" s="531">
        <f>+'Water '!$N20</f>
        <v>38</v>
      </c>
      <c r="P41" s="531" t="str">
        <f>+'Water '!$N21</f>
        <v>0</v>
      </c>
      <c r="Q41" s="531">
        <f>+'Water '!$N22</f>
        <v>2</v>
      </c>
      <c r="R41" s="531">
        <f>+'Water '!$N23</f>
        <v>37</v>
      </c>
      <c r="S41" s="531">
        <f>+'Water '!$N24</f>
        <v>64</v>
      </c>
      <c r="T41" s="531">
        <f>+'Water '!$N25</f>
        <v>54</v>
      </c>
      <c r="U41" s="531">
        <f>+'Water '!$N26</f>
        <v>72</v>
      </c>
      <c r="V41" s="531">
        <f>+'Water '!$N27</f>
        <v>32</v>
      </c>
      <c r="W41" s="531" t="str">
        <f>+'Water '!$N28</f>
        <v>0</v>
      </c>
      <c r="X41" s="531">
        <f>+'Water '!$N29</f>
        <v>20</v>
      </c>
      <c r="Y41" s="531">
        <f>+'Water '!$N30</f>
        <v>64</v>
      </c>
      <c r="Z41" s="531">
        <f>+'Water '!$N31</f>
        <v>30</v>
      </c>
      <c r="AA41" s="531">
        <f>+'Water '!$N32</f>
        <v>45</v>
      </c>
      <c r="AB41" s="531">
        <f>+'Water '!$N33</f>
        <v>42</v>
      </c>
      <c r="AC41" s="531">
        <f>+'Water '!$N34</f>
        <v>67</v>
      </c>
      <c r="AD41" s="531" t="str">
        <f>+'Water '!$N35</f>
        <v>0</v>
      </c>
      <c r="AE41" s="531" t="str">
        <f>+'Water '!$N36</f>
        <v>0</v>
      </c>
      <c r="AF41" s="531" t="str">
        <f>+'Water '!$N37</f>
        <v>0</v>
      </c>
      <c r="AG41" s="531"/>
      <c r="AH41" s="449">
        <f>SUM($B41:AC41)</f>
        <v>1013</v>
      </c>
      <c r="AI41" s="449"/>
      <c r="AJ41" s="449"/>
      <c r="AK41" s="395"/>
      <c r="AL41" s="395"/>
      <c r="AM41" s="395"/>
      <c r="AN41" s="395"/>
      <c r="AO41" s="395"/>
      <c r="AP41" s="395"/>
      <c r="AQ41" s="395"/>
      <c r="AR41" s="395"/>
      <c r="AS41" s="395"/>
      <c r="AT41" s="395"/>
      <c r="AU41" s="395"/>
      <c r="AV41" s="395"/>
      <c r="AW41" s="395"/>
      <c r="AX41" s="395"/>
      <c r="AY41" s="395"/>
      <c r="AZ41" s="395"/>
      <c r="BA41" s="395"/>
      <c r="BB41" s="395"/>
      <c r="BC41" s="395"/>
      <c r="BD41" s="395"/>
      <c r="BE41" s="395"/>
      <c r="BF41" s="395"/>
      <c r="BG41" s="395"/>
      <c r="BH41" s="395"/>
      <c r="BI41" s="395"/>
      <c r="BJ41" s="395"/>
      <c r="BK41" s="395"/>
      <c r="BL41" s="395"/>
      <c r="BM41" s="395"/>
      <c r="BN41" s="395"/>
      <c r="BO41" s="395"/>
      <c r="BP41" s="395"/>
      <c r="BQ41" s="395"/>
      <c r="BR41" s="395"/>
      <c r="BS41" s="395"/>
      <c r="BT41" s="395"/>
      <c r="BU41" s="395"/>
      <c r="BV41" s="395"/>
      <c r="BW41" s="395"/>
      <c r="BX41" s="395"/>
      <c r="BY41" s="395"/>
      <c r="BZ41" s="395"/>
      <c r="CA41" s="395"/>
      <c r="CB41" s="395"/>
      <c r="CC41" s="395"/>
      <c r="CD41" s="395"/>
      <c r="CE41" s="395"/>
      <c r="CF41" s="395"/>
      <c r="CG41" s="395"/>
      <c r="CH41" s="395"/>
      <c r="CI41" s="395"/>
      <c r="CJ41" s="395"/>
      <c r="CK41" s="395"/>
      <c r="CL41" s="395"/>
      <c r="CM41" s="395"/>
      <c r="CN41" s="395"/>
      <c r="CO41" s="395"/>
      <c r="CP41" s="395"/>
      <c r="CQ41" s="395"/>
      <c r="CR41" s="395"/>
      <c r="CS41" s="395"/>
      <c r="CT41" s="395"/>
      <c r="CU41" s="395"/>
      <c r="CV41" s="395"/>
      <c r="CW41" s="395"/>
      <c r="CX41" s="395"/>
      <c r="CY41" s="395"/>
      <c r="CZ41" s="395"/>
      <c r="DA41" s="395"/>
      <c r="DB41" s="395"/>
      <c r="DC41" s="395"/>
      <c r="DD41" s="395"/>
      <c r="DE41" s="395"/>
      <c r="DF41" s="395"/>
      <c r="DG41" s="395"/>
      <c r="DH41" s="395"/>
      <c r="DI41" s="395"/>
      <c r="DJ41" s="395"/>
      <c r="DK41" s="395"/>
      <c r="DL41" s="395"/>
      <c r="DM41" s="395"/>
      <c r="DN41" s="395"/>
      <c r="DO41" s="395"/>
      <c r="DP41" s="395"/>
      <c r="DQ41" s="395"/>
      <c r="DR41" s="395"/>
      <c r="DS41" s="395"/>
      <c r="DT41" s="395"/>
      <c r="DU41" s="395"/>
      <c r="DV41" s="395"/>
      <c r="DW41" s="395"/>
      <c r="DX41" s="395"/>
      <c r="DY41" s="395"/>
      <c r="DZ41" s="395"/>
      <c r="EA41" s="395"/>
      <c r="EB41" s="395"/>
      <c r="EC41" s="395"/>
      <c r="ED41" s="395"/>
      <c r="EE41" s="395"/>
      <c r="EF41" s="395"/>
      <c r="EG41" s="395"/>
      <c r="EH41" s="395"/>
      <c r="EI41" s="395"/>
      <c r="EJ41" s="395"/>
      <c r="EK41" s="395"/>
      <c r="EL41" s="395"/>
      <c r="EM41" s="395"/>
      <c r="EN41" s="395"/>
      <c r="EO41" s="395"/>
      <c r="EP41" s="395"/>
      <c r="EQ41" s="395"/>
      <c r="ER41" s="395"/>
      <c r="ES41" s="395"/>
    </row>
    <row r="42" spans="1:149" s="419" customFormat="1" x14ac:dyDescent="0.4">
      <c r="A42" s="451" t="s">
        <v>140</v>
      </c>
      <c r="B42" s="456">
        <f>+'Water '!$O7</f>
        <v>33</v>
      </c>
      <c r="C42" s="456">
        <f>+'Water '!$O8</f>
        <v>2</v>
      </c>
      <c r="D42" s="456">
        <f>+'Water '!$O9</f>
        <v>81</v>
      </c>
      <c r="E42" s="456">
        <f>+'Water '!$O10</f>
        <v>70</v>
      </c>
      <c r="F42" s="456">
        <f>+'Water '!$O11</f>
        <v>91</v>
      </c>
      <c r="G42" s="456">
        <f>+'Water '!$O12</f>
        <v>60</v>
      </c>
      <c r="H42" s="456" t="str">
        <f>+'Water '!$O13</f>
        <v>0</v>
      </c>
      <c r="I42" s="456" t="str">
        <f>+'Water '!$O14</f>
        <v>0</v>
      </c>
      <c r="J42" s="530">
        <f>+'Water '!$O15</f>
        <v>32</v>
      </c>
      <c r="K42" s="530">
        <f>+'Water '!$O16</f>
        <v>75</v>
      </c>
      <c r="L42" s="530">
        <f>+'Water '!$O17</f>
        <v>97</v>
      </c>
      <c r="M42" s="456">
        <f>+'Water '!$O18</f>
        <v>86</v>
      </c>
      <c r="N42" s="530">
        <f>+'Water '!$O19</f>
        <v>85</v>
      </c>
      <c r="O42" s="530">
        <f>+'Water '!$O20</f>
        <v>57</v>
      </c>
      <c r="P42" s="530">
        <f>+'Water '!$O21</f>
        <v>23</v>
      </c>
      <c r="Q42" s="530">
        <f>+'Water '!$O22</f>
        <v>7</v>
      </c>
      <c r="R42" s="530">
        <f>+'Water '!$O23</f>
        <v>57</v>
      </c>
      <c r="S42" s="530">
        <f>+'Water '!$O24</f>
        <v>60</v>
      </c>
      <c r="T42" s="530">
        <f>+'Water '!$O25</f>
        <v>64</v>
      </c>
      <c r="U42" s="530">
        <f>+'Water '!$O26</f>
        <v>61</v>
      </c>
      <c r="V42" s="530">
        <f>+'Water '!$O27</f>
        <v>64</v>
      </c>
      <c r="W42" s="530">
        <f>+'Water '!$O28</f>
        <v>11</v>
      </c>
      <c r="X42" s="530" t="str">
        <f>+'Water '!$O29</f>
        <v>0</v>
      </c>
      <c r="Y42" s="530">
        <f>+'Water '!$O30</f>
        <v>80</v>
      </c>
      <c r="Z42" s="530">
        <f>+'Water '!$O31</f>
        <v>77</v>
      </c>
      <c r="AA42" s="530">
        <f>+'Water '!$O32</f>
        <v>63</v>
      </c>
      <c r="AB42" s="530">
        <f>+'Water '!$O33</f>
        <v>61</v>
      </c>
      <c r="AC42" s="530">
        <f>+'Water '!$O34</f>
        <v>67</v>
      </c>
      <c r="AD42" s="530" t="str">
        <f>+'Water '!$O35</f>
        <v>0</v>
      </c>
      <c r="AE42" s="530" t="str">
        <f>+'Water '!$O36</f>
        <v>0</v>
      </c>
      <c r="AF42" s="530" t="str">
        <f>+'Water '!$O37</f>
        <v>0</v>
      </c>
      <c r="AG42" s="530"/>
      <c r="AH42" s="558">
        <f>SUM($B42:AC42)</f>
        <v>1464</v>
      </c>
      <c r="AI42" s="456"/>
      <c r="AJ42" s="456"/>
      <c r="AK42" s="395"/>
      <c r="AL42" s="395"/>
      <c r="AM42" s="395"/>
      <c r="AN42" s="395"/>
      <c r="AO42" s="395"/>
      <c r="AP42" s="395"/>
      <c r="AQ42" s="395"/>
      <c r="AR42" s="395"/>
      <c r="AS42" s="395"/>
      <c r="AT42" s="395"/>
      <c r="AU42" s="395"/>
      <c r="AV42" s="395"/>
      <c r="AW42" s="395"/>
      <c r="AX42" s="395"/>
      <c r="AY42" s="395"/>
      <c r="AZ42" s="395"/>
      <c r="BA42" s="395"/>
      <c r="BB42" s="395"/>
      <c r="BC42" s="395"/>
      <c r="BD42" s="395"/>
      <c r="BE42" s="395"/>
      <c r="BF42" s="395"/>
      <c r="BG42" s="395"/>
      <c r="BH42" s="395"/>
      <c r="BI42" s="395"/>
      <c r="BJ42" s="395"/>
      <c r="BK42" s="395"/>
      <c r="BL42" s="395"/>
      <c r="BM42" s="395"/>
      <c r="BN42" s="395"/>
      <c r="BO42" s="395"/>
      <c r="BP42" s="395"/>
      <c r="BQ42" s="395"/>
      <c r="BR42" s="395"/>
      <c r="BS42" s="395"/>
      <c r="BT42" s="395"/>
      <c r="BU42" s="395"/>
      <c r="BV42" s="395"/>
      <c r="BW42" s="395"/>
      <c r="BX42" s="395"/>
      <c r="BY42" s="395"/>
      <c r="BZ42" s="395"/>
      <c r="CA42" s="395"/>
      <c r="CB42" s="395"/>
      <c r="CC42" s="395"/>
      <c r="CD42" s="395"/>
      <c r="CE42" s="395"/>
      <c r="CF42" s="395"/>
      <c r="CG42" s="395"/>
      <c r="CH42" s="395"/>
      <c r="CI42" s="395"/>
      <c r="CJ42" s="395"/>
      <c r="CK42" s="395"/>
      <c r="CL42" s="395"/>
      <c r="CM42" s="395"/>
      <c r="CN42" s="395"/>
      <c r="CO42" s="395"/>
      <c r="CP42" s="395"/>
      <c r="CQ42" s="395"/>
      <c r="CR42" s="395"/>
      <c r="CS42" s="395"/>
      <c r="CT42" s="395"/>
      <c r="CU42" s="395"/>
      <c r="CV42" s="395"/>
      <c r="CW42" s="395"/>
      <c r="CX42" s="395"/>
      <c r="CY42" s="395"/>
      <c r="CZ42" s="395"/>
      <c r="DA42" s="395"/>
      <c r="DB42" s="395"/>
      <c r="DC42" s="395"/>
      <c r="DD42" s="395"/>
      <c r="DE42" s="395"/>
      <c r="DF42" s="395"/>
      <c r="DG42" s="395"/>
      <c r="DH42" s="395"/>
      <c r="DI42" s="395"/>
      <c r="DJ42" s="395"/>
      <c r="DK42" s="395"/>
      <c r="DL42" s="395"/>
      <c r="DM42" s="395"/>
      <c r="DN42" s="395"/>
      <c r="DO42" s="395"/>
      <c r="DP42" s="395"/>
      <c r="DQ42" s="395"/>
      <c r="DR42" s="395"/>
      <c r="DS42" s="395"/>
      <c r="DT42" s="395"/>
      <c r="DU42" s="395"/>
      <c r="DV42" s="395"/>
      <c r="DW42" s="395"/>
      <c r="DX42" s="395"/>
      <c r="DY42" s="395"/>
      <c r="DZ42" s="395"/>
      <c r="EA42" s="395"/>
      <c r="EB42" s="395"/>
      <c r="EC42" s="395"/>
      <c r="ED42" s="395"/>
      <c r="EE42" s="395"/>
      <c r="EF42" s="395"/>
      <c r="EG42" s="395"/>
      <c r="EH42" s="395"/>
      <c r="EI42" s="395"/>
      <c r="EJ42" s="395"/>
      <c r="EK42" s="395"/>
      <c r="EL42" s="395"/>
      <c r="EM42" s="395"/>
      <c r="EN42" s="395"/>
      <c r="EO42" s="395"/>
      <c r="EP42" s="395"/>
      <c r="EQ42" s="395"/>
      <c r="ER42" s="395"/>
      <c r="ES42" s="395"/>
    </row>
    <row r="43" spans="1:149" s="419" customFormat="1" x14ac:dyDescent="0.4">
      <c r="A43" s="447" t="s">
        <v>185</v>
      </c>
      <c r="B43" s="448">
        <f>IF('Entries Feb.''25'!AD8-'Entries Feb.''25'!AD7&lt;1,0,'Entries Feb.''25'!AD8-'Entries Feb.''25'!AD7)</f>
        <v>0</v>
      </c>
      <c r="C43" s="448">
        <f>IF('Entries Feb.''25'!AD9-'Entries Feb.''25'!AD8&lt;1,0,'Entries Feb.''25'!AD9-'Entries Feb.''25'!AD8)</f>
        <v>0</v>
      </c>
      <c r="D43" s="448">
        <f>IF('Entries Feb.''25'!AD10-'Entries Feb.''25'!AD9&lt;1,0,'Entries Feb.''25'!AD10-'Entries Feb.''25'!AD9)</f>
        <v>27</v>
      </c>
      <c r="E43" s="448">
        <f>IF('Entries Feb.''25'!AD11-'Entries Feb.''25'!AD10&lt;1,0,'Entries Feb.''25'!AD11-'Entries Feb.''25'!AD10)</f>
        <v>24</v>
      </c>
      <c r="F43" s="448">
        <f>IF('Entries Feb.''25'!AD12-'Entries Feb.''25'!AD11&lt;1,0,'Entries Feb.''25'!AD12-'Entries Feb.''25'!AD11)</f>
        <v>24</v>
      </c>
      <c r="G43" s="448">
        <f>IF('Entries Feb.''25'!AD13-'Entries Feb.''25'!AD12&lt;1,0,'Entries Feb.''25'!AD13-'Entries Feb.''25'!AD12)</f>
        <v>20</v>
      </c>
      <c r="H43" s="448">
        <f>IF('Entries Feb.''25'!AD14-'Entries Feb.''25'!AD13&lt;1,0,'Entries Feb.''25'!AD14-'Entries Feb.''25'!AD13)</f>
        <v>0</v>
      </c>
      <c r="I43" s="448">
        <f>IF('Entries Feb.''25'!AD15-'Entries Feb.''25'!AD14&lt;1,0,'Entries Feb.''25'!AD15-'Entries Feb.''25'!AD14)</f>
        <v>0</v>
      </c>
      <c r="J43" s="528">
        <f>IF('Entries Feb.''25'!AD16-'Entries Feb.''25'!AD15&lt;1,0,'Entries Feb.''25'!AD16-'Entries Feb.''25'!AD15)</f>
        <v>0</v>
      </c>
      <c r="K43" s="528">
        <f>IF('Entries Feb.''25'!AD17-'Entries Feb.''25'!AD16&lt;1,0,'Entries Feb.''25'!AD17-'Entries Feb.''25'!AD16)</f>
        <v>23</v>
      </c>
      <c r="L43" s="528">
        <f>IF('Entries Feb.''25'!AD18-'Entries Feb.''25'!AD17&lt;1,0,'Entries Feb.''25'!AD18-'Entries Feb.''25'!AD17)</f>
        <v>26</v>
      </c>
      <c r="M43" s="528">
        <f>IF('Entries Feb.''25'!AD19-'Entries Feb.''25'!AD18&lt;1,0,'Entries Feb.''25'!AD19-'Entries Feb.''25'!AD18)</f>
        <v>24</v>
      </c>
      <c r="N43" s="532">
        <f>IF('Entries Feb.''25'!AD20-'Entries Feb.''25'!AD19&lt;1,0,'Entries Feb.''25'!AD20-'Entries Feb.''25'!AD19)</f>
        <v>23</v>
      </c>
      <c r="O43" s="532">
        <f>IF('Entries Feb.''25'!AD21-'Entries Feb.''25'!AD20&lt;1,0,'Entries Feb.''25'!AD21-'Entries Feb.''25'!AD20)</f>
        <v>17</v>
      </c>
      <c r="P43" s="532">
        <f>IF('Entries Feb.''25'!AD22-'Entries Feb.''25'!AD21&lt;1,0,'Entries Feb.''25'!AD22-'Entries Feb.''25'!AD21)</f>
        <v>2</v>
      </c>
      <c r="Q43" s="532">
        <f>IF('Entries Feb.''25'!AD23-'Entries Feb.''25'!AD22&lt;1,0,'Entries Feb.''25'!AD23-'Entries Feb.''25'!AD22)</f>
        <v>0</v>
      </c>
      <c r="R43" s="532">
        <f>IF('Entries Feb.''25'!AD24-'Entries Feb.''25'!AD23&lt;1,0,'Entries Feb.''25'!AD24-'Entries Feb.''25'!AD23)</f>
        <v>23</v>
      </c>
      <c r="S43" s="532">
        <f>IF('Entries Feb.''25'!AD25-'Entries Feb.''25'!AD24&lt;1,0,'Entries Feb.''25'!AD25-'Entries Feb.''25'!AD24)</f>
        <v>19</v>
      </c>
      <c r="T43" s="532">
        <f>IF('Entries Feb.''25'!AD26-'Entries Feb.''25'!AD25&lt;1,0,'Entries Feb.''25'!AD26-'Entries Feb.''25'!AD25)</f>
        <v>22</v>
      </c>
      <c r="U43" s="532">
        <f>IF('Entries Feb.''25'!AD27-'Entries Feb.''25'!AD26&lt;1,0,'Entries Feb.''25'!AD27-'Entries Feb.''25'!AD26)</f>
        <v>12</v>
      </c>
      <c r="V43" s="532">
        <f>IF('Entries Feb.''25'!AD28-'Entries Feb.''25'!AD27&lt;1,0,'Entries Feb.''25'!AD28-'Entries Feb.''25'!AD27)</f>
        <v>11</v>
      </c>
      <c r="W43" s="532">
        <f>IF('Entries Feb.''25'!$AD29-'Entries Feb.''25'!$AD28&lt;1,0,'Entries Feb.''25'!$AD29-'Entries Feb.''25'!$AD28)</f>
        <v>0</v>
      </c>
      <c r="X43" s="532">
        <f>IF('Entries Feb.''25'!$AD30-'Entries Feb.''25'!$AD29&lt;1,0,'Entries Feb.''25'!$AD30-'Entries Feb.''25'!$AD29)</f>
        <v>0</v>
      </c>
      <c r="Y43" s="532">
        <f>IF('Entries Feb.''25'!$AD31-'Entries Feb.''25'!$AD30&lt;1,0,'Entries Feb.''25'!$AD31-'Entries Feb.''25'!$AD30)</f>
        <v>18</v>
      </c>
      <c r="Z43" s="532">
        <f>IF('Entries Feb.''25'!$AD32-'Entries Feb.''25'!$AD31&lt;1,0,'Entries Feb.''25'!$AD32-'Entries Feb.''25'!$AD31)</f>
        <v>23</v>
      </c>
      <c r="AA43" s="532">
        <f>IF('Entries Feb.''25'!$AD33-'Entries Feb.''25'!$AD32&lt;1,0,'Entries Feb.''25'!$AD33-'Entries Feb.''25'!$AD32)</f>
        <v>17</v>
      </c>
      <c r="AB43" s="532">
        <f>IF('Entries Feb.''25'!$AD34-'Entries Feb.''25'!$AD33&lt;1,0,'Entries Feb.''25'!$AD34-'Entries Feb.''25'!$AD33)</f>
        <v>23</v>
      </c>
      <c r="AC43" s="532">
        <f>IF('Entries Feb.''25'!$AD35-'Entries Feb.''25'!$AD34&lt;1,0,'Entries Feb.''25'!$AD35-'Entries Feb.''25'!$AD34)</f>
        <v>20</v>
      </c>
      <c r="AD43" s="532">
        <f>IF('Entries Feb.''25'!$AD36-'Entries Feb.''25'!$AD35&lt;1,0,'Entries Feb.''25'!$AD36-'Entries Feb.''25'!$AD35)</f>
        <v>0</v>
      </c>
      <c r="AE43" s="532">
        <f>IF('Entries Feb.''25'!$AD37-'Entries Feb.''25'!$AD36&lt;1,0,'Entries Feb.''25'!$AD37-'Entries Feb.''25'!$AD36)</f>
        <v>0</v>
      </c>
      <c r="AF43" s="532">
        <f>IF('Entries Feb.''25'!$AD38-'Entries Feb.''25'!$AD37&lt;1,0,'Entries Feb.''25'!$AD38-'Entries Feb.''25'!$AD37)</f>
        <v>0</v>
      </c>
      <c r="AG43" s="532"/>
      <c r="AH43" s="449">
        <f>SUM($B43:AC43)</f>
        <v>398</v>
      </c>
      <c r="AI43" s="449"/>
      <c r="AJ43" s="450"/>
      <c r="AK43" s="395"/>
      <c r="AL43" s="395"/>
      <c r="AM43" s="395"/>
      <c r="AN43" s="395"/>
      <c r="AO43" s="395"/>
      <c r="AP43" s="395"/>
      <c r="AQ43" s="395"/>
      <c r="AR43" s="395"/>
      <c r="AS43" s="395"/>
      <c r="AT43" s="395"/>
      <c r="AU43" s="395"/>
      <c r="AV43" s="395"/>
      <c r="AW43" s="395"/>
      <c r="AX43" s="395"/>
      <c r="AY43" s="395"/>
      <c r="AZ43" s="395"/>
      <c r="BA43" s="395"/>
      <c r="BB43" s="395"/>
      <c r="BC43" s="395"/>
      <c r="BD43" s="395"/>
      <c r="BE43" s="395"/>
      <c r="BF43" s="395"/>
      <c r="BG43" s="395"/>
      <c r="BH43" s="395"/>
      <c r="BI43" s="395"/>
      <c r="BJ43" s="395"/>
      <c r="BK43" s="395"/>
      <c r="BL43" s="395"/>
      <c r="BM43" s="395"/>
      <c r="BN43" s="395"/>
      <c r="BO43" s="395"/>
      <c r="BP43" s="395"/>
      <c r="BQ43" s="395"/>
      <c r="BR43" s="395"/>
      <c r="BS43" s="395"/>
      <c r="BT43" s="395"/>
      <c r="BU43" s="395"/>
      <c r="BV43" s="395"/>
      <c r="BW43" s="395"/>
      <c r="BX43" s="395"/>
      <c r="BY43" s="395"/>
      <c r="BZ43" s="395"/>
      <c r="CA43" s="395"/>
      <c r="CB43" s="395"/>
      <c r="CC43" s="395"/>
      <c r="CD43" s="395"/>
      <c r="CE43" s="395"/>
      <c r="CF43" s="395"/>
      <c r="CG43" s="395"/>
      <c r="CH43" s="395"/>
      <c r="CI43" s="395"/>
      <c r="CJ43" s="395"/>
      <c r="CK43" s="395"/>
      <c r="CL43" s="395"/>
      <c r="CM43" s="395"/>
      <c r="CN43" s="395"/>
      <c r="CO43" s="395"/>
      <c r="CP43" s="395"/>
      <c r="CQ43" s="395"/>
      <c r="CR43" s="395"/>
      <c r="CS43" s="395"/>
      <c r="CT43" s="395"/>
      <c r="CU43" s="395"/>
      <c r="CV43" s="395"/>
      <c r="CW43" s="395"/>
      <c r="CX43" s="395"/>
      <c r="CY43" s="395"/>
      <c r="CZ43" s="395"/>
      <c r="DA43" s="395"/>
      <c r="DB43" s="395"/>
      <c r="DC43" s="395"/>
      <c r="DD43" s="395"/>
      <c r="DE43" s="395"/>
      <c r="DF43" s="395"/>
      <c r="DG43" s="395"/>
      <c r="DH43" s="395"/>
      <c r="DI43" s="395"/>
      <c r="DJ43" s="395"/>
      <c r="DK43" s="395"/>
      <c r="DL43" s="395"/>
      <c r="DM43" s="395"/>
      <c r="DN43" s="395"/>
      <c r="DO43" s="395"/>
      <c r="DP43" s="395"/>
      <c r="DQ43" s="395"/>
      <c r="DR43" s="395"/>
      <c r="DS43" s="395"/>
      <c r="DT43" s="395"/>
      <c r="DU43" s="395"/>
      <c r="DV43" s="395"/>
      <c r="DW43" s="395"/>
      <c r="DX43" s="395"/>
      <c r="DY43" s="395"/>
      <c r="DZ43" s="395"/>
      <c r="EA43" s="395"/>
      <c r="EB43" s="395"/>
      <c r="EC43" s="395"/>
      <c r="ED43" s="395"/>
      <c r="EE43" s="395"/>
      <c r="EF43" s="395"/>
      <c r="EG43" s="395"/>
      <c r="EH43" s="395"/>
      <c r="EI43" s="395"/>
      <c r="EJ43" s="395"/>
      <c r="EK43" s="395"/>
      <c r="EL43" s="395"/>
      <c r="EM43" s="395"/>
      <c r="EN43" s="395"/>
      <c r="EO43" s="395"/>
      <c r="EP43" s="395"/>
      <c r="EQ43" s="395"/>
      <c r="ER43" s="395"/>
      <c r="ES43" s="395"/>
    </row>
    <row r="44" spans="1:149" s="419" customFormat="1" x14ac:dyDescent="0.4">
      <c r="A44" s="455" t="s">
        <v>139</v>
      </c>
      <c r="B44" s="669" t="str">
        <f>+'Water '!$M7</f>
        <v>0</v>
      </c>
      <c r="C44" s="530" t="str">
        <f>+'Water '!$M8</f>
        <v>0</v>
      </c>
      <c r="D44" s="530">
        <f>+'Water '!$M9</f>
        <v>7</v>
      </c>
      <c r="E44" s="530">
        <f>+'Water '!$M10</f>
        <v>3</v>
      </c>
      <c r="F44" s="530">
        <f>+'Water '!$M11</f>
        <v>5</v>
      </c>
      <c r="G44" s="530" t="str">
        <f>+'Water '!$M12</f>
        <v>0</v>
      </c>
      <c r="H44" s="670" t="str">
        <f>+'Water '!$M13</f>
        <v>0</v>
      </c>
      <c r="I44" s="530" t="str">
        <f>+'Water '!$M14</f>
        <v>0</v>
      </c>
      <c r="J44" s="530" t="str">
        <f>+'Water '!$M15</f>
        <v>0</v>
      </c>
      <c r="K44" s="530">
        <f>+'Water '!$M16</f>
        <v>14</v>
      </c>
      <c r="L44" s="530">
        <f>+'Water '!$M17</f>
        <v>10</v>
      </c>
      <c r="M44" s="530" t="str">
        <f>+'Water '!$M18</f>
        <v>0</v>
      </c>
      <c r="N44" s="530">
        <f>+'Water '!$M19</f>
        <v>5</v>
      </c>
      <c r="O44" s="671">
        <f>+'Water '!$M20</f>
        <v>4</v>
      </c>
      <c r="P44" s="530" t="str">
        <f>+'Water '!$M21</f>
        <v>0</v>
      </c>
      <c r="Q44" s="530" t="str">
        <f>+'Water '!$M22</f>
        <v>0</v>
      </c>
      <c r="R44" s="530" t="str">
        <f>+'Water '!$M23</f>
        <v>0</v>
      </c>
      <c r="S44" s="530" t="str">
        <f>+'Water '!$M24</f>
        <v>0</v>
      </c>
      <c r="T44" s="530">
        <f>+'Water '!$M25</f>
        <v>1</v>
      </c>
      <c r="U44" s="530">
        <f>+'Water '!$M26</f>
        <v>3</v>
      </c>
      <c r="V44" s="530" t="str">
        <f>+'Water '!$M27</f>
        <v>0</v>
      </c>
      <c r="W44" s="530" t="str">
        <f>+'Water '!$M28</f>
        <v>0</v>
      </c>
      <c r="X44" s="530" t="str">
        <f>+'Water '!$M29</f>
        <v>0</v>
      </c>
      <c r="Y44" s="530">
        <f>+'Water '!$M30</f>
        <v>32</v>
      </c>
      <c r="Z44" s="530">
        <f>+'Water '!$M31</f>
        <v>5</v>
      </c>
      <c r="AA44" s="530" t="str">
        <f>+'Water '!$M32</f>
        <v>0</v>
      </c>
      <c r="AB44" s="530">
        <f>+'Water '!$M33</f>
        <v>6</v>
      </c>
      <c r="AC44" s="530">
        <f>+'Water '!$M34</f>
        <v>3</v>
      </c>
      <c r="AD44" s="530" t="str">
        <f>+'Water '!$M35</f>
        <v>0</v>
      </c>
      <c r="AE44" s="530" t="str">
        <f>+'Water '!$M36</f>
        <v>0</v>
      </c>
      <c r="AF44" s="530" t="str">
        <f>+'Water '!$M37</f>
        <v>0</v>
      </c>
      <c r="AG44" s="530"/>
      <c r="AH44" s="453">
        <f>SUM($B44:AC44)</f>
        <v>98</v>
      </c>
      <c r="AI44" s="453"/>
      <c r="AJ44" s="454"/>
      <c r="AK44" s="395"/>
      <c r="AL44" s="395"/>
      <c r="AM44" s="395"/>
      <c r="AN44" s="395"/>
      <c r="AO44" s="395"/>
      <c r="AP44" s="395"/>
      <c r="AQ44" s="395"/>
      <c r="AR44" s="395"/>
      <c r="AS44" s="395"/>
      <c r="AT44" s="395"/>
      <c r="AU44" s="395"/>
      <c r="AV44" s="395"/>
      <c r="AW44" s="395"/>
      <c r="AX44" s="395"/>
      <c r="AY44" s="395"/>
      <c r="AZ44" s="395"/>
      <c r="BA44" s="395"/>
      <c r="BB44" s="395"/>
      <c r="BC44" s="395"/>
      <c r="BD44" s="395"/>
      <c r="BE44" s="395"/>
      <c r="BF44" s="395"/>
      <c r="BG44" s="395"/>
      <c r="BH44" s="395"/>
      <c r="BI44" s="395"/>
      <c r="BJ44" s="395"/>
      <c r="BK44" s="395"/>
      <c r="BL44" s="395"/>
      <c r="BM44" s="395"/>
      <c r="BN44" s="395"/>
      <c r="BO44" s="395"/>
      <c r="BP44" s="395"/>
      <c r="BQ44" s="395"/>
      <c r="BR44" s="395"/>
      <c r="BS44" s="395"/>
      <c r="BT44" s="395"/>
      <c r="BU44" s="395"/>
      <c r="BV44" s="395"/>
      <c r="BW44" s="395"/>
      <c r="BX44" s="395"/>
      <c r="BY44" s="395"/>
      <c r="BZ44" s="395"/>
      <c r="CA44" s="395"/>
      <c r="CB44" s="395"/>
      <c r="CC44" s="395"/>
      <c r="CD44" s="395"/>
      <c r="CE44" s="395"/>
      <c r="CF44" s="395"/>
      <c r="CG44" s="395"/>
      <c r="CH44" s="395"/>
      <c r="CI44" s="395"/>
      <c r="CJ44" s="395"/>
      <c r="CK44" s="395"/>
      <c r="CL44" s="395"/>
      <c r="CM44" s="395"/>
      <c r="CN44" s="395"/>
      <c r="CO44" s="395"/>
      <c r="CP44" s="395"/>
      <c r="CQ44" s="395"/>
      <c r="CR44" s="395"/>
      <c r="CS44" s="395"/>
      <c r="CT44" s="395"/>
      <c r="CU44" s="395"/>
      <c r="CV44" s="395"/>
      <c r="CW44" s="395"/>
      <c r="CX44" s="395"/>
      <c r="CY44" s="395"/>
      <c r="CZ44" s="395"/>
      <c r="DA44" s="395"/>
      <c r="DB44" s="395"/>
      <c r="DC44" s="395"/>
      <c r="DD44" s="395"/>
      <c r="DE44" s="395"/>
      <c r="DF44" s="395"/>
      <c r="DG44" s="395"/>
      <c r="DH44" s="395"/>
      <c r="DI44" s="395"/>
      <c r="DJ44" s="395"/>
      <c r="DK44" s="395"/>
      <c r="DL44" s="395"/>
      <c r="DM44" s="395"/>
      <c r="DN44" s="395"/>
      <c r="DO44" s="395"/>
      <c r="DP44" s="395"/>
      <c r="DQ44" s="395"/>
      <c r="DR44" s="395"/>
      <c r="DS44" s="395"/>
      <c r="DT44" s="395"/>
      <c r="DU44" s="395"/>
      <c r="DV44" s="395"/>
      <c r="DW44" s="395"/>
      <c r="DX44" s="395"/>
      <c r="DY44" s="395"/>
      <c r="DZ44" s="395"/>
      <c r="EA44" s="395"/>
      <c r="EB44" s="395"/>
      <c r="EC44" s="395"/>
      <c r="ED44" s="395"/>
      <c r="EE44" s="395"/>
      <c r="EF44" s="395"/>
      <c r="EG44" s="395"/>
      <c r="EH44" s="395"/>
      <c r="EI44" s="395"/>
      <c r="EJ44" s="395"/>
      <c r="EK44" s="395"/>
      <c r="EL44" s="395"/>
      <c r="EM44" s="395"/>
      <c r="EN44" s="395"/>
      <c r="EO44" s="395"/>
      <c r="EP44" s="395"/>
      <c r="EQ44" s="395"/>
      <c r="ER44" s="395"/>
      <c r="ES44" s="395"/>
    </row>
    <row r="45" spans="1:149" s="419" customFormat="1" ht="35.25" customHeight="1" x14ac:dyDescent="0.4">
      <c r="A45" s="447" t="s">
        <v>141</v>
      </c>
      <c r="B45" s="457">
        <f>+'Water '!$P7</f>
        <v>41</v>
      </c>
      <c r="C45" s="457">
        <f>+'Water '!$P8</f>
        <v>18</v>
      </c>
      <c r="D45" s="457">
        <f>+'Water '!$P9</f>
        <v>60</v>
      </c>
      <c r="E45" s="457">
        <f>+'Water '!$P10</f>
        <v>51</v>
      </c>
      <c r="F45" s="457">
        <f>+'Water '!$P11</f>
        <v>42</v>
      </c>
      <c r="G45" s="457">
        <f>+'Water '!$P12</f>
        <v>32</v>
      </c>
      <c r="H45" s="457" t="str">
        <f>+'Water '!$P13</f>
        <v>0</v>
      </c>
      <c r="I45" s="457">
        <f>+'Water '!$P14</f>
        <v>8</v>
      </c>
      <c r="J45" s="531">
        <f>+'Water '!$P15</f>
        <v>8</v>
      </c>
      <c r="K45" s="531">
        <f>+'Water '!$P16</f>
        <v>22</v>
      </c>
      <c r="L45" s="531">
        <f>+'Water '!$P17</f>
        <v>27</v>
      </c>
      <c r="M45" s="531">
        <f>+'Water '!$P18</f>
        <v>31</v>
      </c>
      <c r="N45" s="531">
        <f>+'Water '!$P19</f>
        <v>28</v>
      </c>
      <c r="O45" s="531">
        <f>'Water '!$P20</f>
        <v>22</v>
      </c>
      <c r="P45" s="531">
        <f>'Water '!$P21</f>
        <v>8</v>
      </c>
      <c r="Q45" s="531">
        <f>+'Water '!$P22</f>
        <v>11</v>
      </c>
      <c r="R45" s="531">
        <f>'Water '!$P23</f>
        <v>23</v>
      </c>
      <c r="S45" s="531">
        <f>+'Water '!$P24</f>
        <v>26</v>
      </c>
      <c r="T45" s="531">
        <f>+'Water '!$P25</f>
        <v>33</v>
      </c>
      <c r="U45" s="531">
        <f>+'Water '!$P26</f>
        <v>24</v>
      </c>
      <c r="V45" s="531">
        <f>+'Water '!$P27</f>
        <v>21</v>
      </c>
      <c r="W45" s="531">
        <f>+'Water '!$P28</f>
        <v>5</v>
      </c>
      <c r="X45" s="531">
        <f>+'Water '!$P29</f>
        <v>10</v>
      </c>
      <c r="Y45" s="531">
        <f>+'Water '!$P30</f>
        <v>17</v>
      </c>
      <c r="Z45" s="531">
        <f>+'Water '!$P31</f>
        <v>16</v>
      </c>
      <c r="AA45" s="531">
        <f>+'Water '!$P32</f>
        <v>12</v>
      </c>
      <c r="AB45" s="531">
        <f>+'Water '!$P33</f>
        <v>11</v>
      </c>
      <c r="AC45" s="531">
        <f>+'Water '!$P34</f>
        <v>14</v>
      </c>
      <c r="AD45" s="531" t="str">
        <f>+'Water '!$P35</f>
        <v>0</v>
      </c>
      <c r="AE45" s="531" t="str">
        <f>+'Water '!$P36</f>
        <v>0</v>
      </c>
      <c r="AF45" s="531" t="str">
        <f>+'Water '!$P37</f>
        <v>0</v>
      </c>
      <c r="AG45" s="531"/>
      <c r="AH45" s="449">
        <f>SUM($B45:AC45)</f>
        <v>621</v>
      </c>
      <c r="AI45" s="449"/>
      <c r="AJ45" s="449"/>
      <c r="AK45" s="395"/>
      <c r="AL45" s="395"/>
      <c r="AM45" s="395"/>
      <c r="AN45" s="395"/>
      <c r="AO45" s="395"/>
      <c r="AP45" s="395"/>
      <c r="AQ45" s="395"/>
      <c r="AR45" s="395"/>
      <c r="AS45" s="395"/>
      <c r="AT45" s="395"/>
      <c r="AU45" s="395"/>
      <c r="AV45" s="395"/>
      <c r="AW45" s="395"/>
      <c r="AX45" s="395"/>
      <c r="AY45" s="395"/>
      <c r="AZ45" s="395"/>
      <c r="BA45" s="395"/>
      <c r="BB45" s="395"/>
      <c r="BC45" s="395"/>
      <c r="BD45" s="395"/>
      <c r="BE45" s="395"/>
      <c r="BF45" s="395"/>
      <c r="BG45" s="395"/>
      <c r="BH45" s="395"/>
      <c r="BI45" s="395"/>
      <c r="BJ45" s="395"/>
      <c r="BK45" s="395"/>
      <c r="BL45" s="395"/>
      <c r="BM45" s="395"/>
      <c r="BN45" s="395"/>
      <c r="BO45" s="395"/>
      <c r="BP45" s="395"/>
      <c r="BQ45" s="395"/>
      <c r="BR45" s="395"/>
      <c r="BS45" s="395"/>
      <c r="BT45" s="395"/>
      <c r="BU45" s="395"/>
      <c r="BV45" s="395"/>
      <c r="BW45" s="395"/>
      <c r="BX45" s="395"/>
      <c r="BY45" s="395"/>
      <c r="BZ45" s="395"/>
      <c r="CA45" s="395"/>
      <c r="CB45" s="395"/>
      <c r="CC45" s="395"/>
      <c r="CD45" s="395"/>
      <c r="CE45" s="395"/>
      <c r="CF45" s="395"/>
      <c r="CG45" s="395"/>
      <c r="CH45" s="395"/>
      <c r="CI45" s="395"/>
      <c r="CJ45" s="395"/>
      <c r="CK45" s="395"/>
      <c r="CL45" s="395"/>
      <c r="CM45" s="395"/>
      <c r="CN45" s="395"/>
      <c r="CO45" s="395"/>
      <c r="CP45" s="395"/>
      <c r="CQ45" s="395"/>
      <c r="CR45" s="395"/>
      <c r="CS45" s="395"/>
      <c r="CT45" s="395"/>
      <c r="CU45" s="395"/>
      <c r="CV45" s="395"/>
      <c r="CW45" s="395"/>
      <c r="CX45" s="395"/>
      <c r="CY45" s="395"/>
      <c r="CZ45" s="395"/>
      <c r="DA45" s="395"/>
      <c r="DB45" s="395"/>
      <c r="DC45" s="395"/>
      <c r="DD45" s="395"/>
      <c r="DE45" s="395"/>
      <c r="DF45" s="395"/>
      <c r="DG45" s="395"/>
      <c r="DH45" s="395"/>
      <c r="DI45" s="395"/>
      <c r="DJ45" s="395"/>
      <c r="DK45" s="395"/>
      <c r="DL45" s="395"/>
      <c r="DM45" s="395"/>
      <c r="DN45" s="395"/>
      <c r="DO45" s="395"/>
      <c r="DP45" s="395"/>
      <c r="DQ45" s="395"/>
      <c r="DR45" s="395"/>
      <c r="DS45" s="395"/>
      <c r="DT45" s="395"/>
      <c r="DU45" s="395"/>
      <c r="DV45" s="395"/>
      <c r="DW45" s="395"/>
      <c r="DX45" s="395"/>
      <c r="DY45" s="395"/>
      <c r="DZ45" s="395"/>
      <c r="EA45" s="395"/>
      <c r="EB45" s="395"/>
      <c r="EC45" s="395"/>
      <c r="ED45" s="395"/>
      <c r="EE45" s="395"/>
      <c r="EF45" s="395"/>
      <c r="EG45" s="395"/>
      <c r="EH45" s="395"/>
      <c r="EI45" s="395"/>
      <c r="EJ45" s="395"/>
      <c r="EK45" s="395"/>
      <c r="EL45" s="395"/>
      <c r="EM45" s="395"/>
      <c r="EN45" s="395"/>
      <c r="EO45" s="395"/>
      <c r="EP45" s="395"/>
      <c r="EQ45" s="395"/>
      <c r="ER45" s="395"/>
      <c r="ES45" s="395"/>
    </row>
    <row r="46" spans="1:149" s="419" customFormat="1" x14ac:dyDescent="0.4">
      <c r="A46" s="451" t="s">
        <v>222</v>
      </c>
      <c r="B46" s="452" t="str">
        <f>'Water '!X7</f>
        <v>0</v>
      </c>
      <c r="C46" s="452" t="str">
        <f>'Water '!X8</f>
        <v>0</v>
      </c>
      <c r="D46" s="452" t="str">
        <f>'Water '!X9</f>
        <v>0</v>
      </c>
      <c r="E46" s="452" t="str">
        <f>'Water '!X10</f>
        <v>0</v>
      </c>
      <c r="F46" s="452" t="str">
        <f>'Water '!X11</f>
        <v>0</v>
      </c>
      <c r="G46" s="452" t="str">
        <f>'Water '!X12</f>
        <v>0</v>
      </c>
      <c r="H46" s="452" t="str">
        <f>'Water '!X13</f>
        <v>0</v>
      </c>
      <c r="I46" s="452" t="str">
        <f>'Water '!X14</f>
        <v>0</v>
      </c>
      <c r="J46" s="529" t="str">
        <f>'Water '!X15</f>
        <v>0</v>
      </c>
      <c r="K46" s="529" t="str">
        <f>'Water '!X16</f>
        <v>0</v>
      </c>
      <c r="L46" s="529" t="str">
        <f>'Water '!X17</f>
        <v>0</v>
      </c>
      <c r="M46" s="529" t="str">
        <f>'Water '!X18</f>
        <v>0</v>
      </c>
      <c r="N46" s="529" t="str">
        <f>'Water '!X19</f>
        <v>0</v>
      </c>
      <c r="O46" s="529" t="str">
        <f>'Water '!X20</f>
        <v>0</v>
      </c>
      <c r="P46" s="529" t="str">
        <f>'Water '!X21</f>
        <v>0</v>
      </c>
      <c r="Q46" s="529" t="str">
        <f>'Water '!X22</f>
        <v>0</v>
      </c>
      <c r="R46" s="529" t="str">
        <f>'Water '!X23</f>
        <v>0</v>
      </c>
      <c r="S46" s="529" t="str">
        <f>'Water '!X24</f>
        <v>0</v>
      </c>
      <c r="T46" s="529" t="str">
        <f>'Water '!X25</f>
        <v>0</v>
      </c>
      <c r="U46" s="529" t="str">
        <f>'Water '!X26</f>
        <v>0</v>
      </c>
      <c r="V46" s="529" t="str">
        <f>'Water '!X27</f>
        <v>0</v>
      </c>
      <c r="W46" s="529" t="str">
        <f>'Water '!X28</f>
        <v>0</v>
      </c>
      <c r="X46" s="529" t="str">
        <f>'Water '!X29</f>
        <v>0</v>
      </c>
      <c r="Y46" s="529" t="str">
        <f>'Water '!X30</f>
        <v>0</v>
      </c>
      <c r="Z46" s="529" t="str">
        <f>'Water '!X31</f>
        <v>0</v>
      </c>
      <c r="AA46" s="529" t="str">
        <f>'Water '!X32</f>
        <v>0</v>
      </c>
      <c r="AB46" s="529" t="str">
        <f>'Water '!X33</f>
        <v>0</v>
      </c>
      <c r="AC46" s="529" t="str">
        <f>'Water '!X34</f>
        <v>0</v>
      </c>
      <c r="AD46" s="529" t="str">
        <f>'Water '!X35</f>
        <v>0</v>
      </c>
      <c r="AE46" s="529" t="str">
        <f>'Water '!X36</f>
        <v>0</v>
      </c>
      <c r="AF46" s="529" t="str">
        <f>'Water '!X37</f>
        <v>0</v>
      </c>
      <c r="AG46" s="529"/>
      <c r="AH46" s="453">
        <f>SUM($B46:AC46)</f>
        <v>0</v>
      </c>
      <c r="AI46" s="453"/>
      <c r="AJ46" s="454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5"/>
      <c r="CV46" s="395"/>
      <c r="CW46" s="395"/>
      <c r="CX46" s="395"/>
      <c r="CY46" s="395"/>
      <c r="CZ46" s="395"/>
      <c r="DA46" s="395"/>
      <c r="DB46" s="395"/>
      <c r="DC46" s="395"/>
      <c r="DD46" s="395"/>
      <c r="DE46" s="395"/>
      <c r="DF46" s="395"/>
      <c r="DG46" s="395"/>
      <c r="DH46" s="395"/>
      <c r="DI46" s="395"/>
      <c r="DJ46" s="395"/>
      <c r="DK46" s="395"/>
      <c r="DL46" s="395"/>
      <c r="DM46" s="395"/>
      <c r="DN46" s="395"/>
      <c r="DO46" s="395"/>
      <c r="DP46" s="395"/>
      <c r="DQ46" s="395"/>
      <c r="DR46" s="395"/>
      <c r="DS46" s="395"/>
      <c r="DT46" s="395"/>
      <c r="DU46" s="395"/>
      <c r="DV46" s="395"/>
      <c r="DW46" s="395"/>
      <c r="DX46" s="395"/>
      <c r="DY46" s="395"/>
      <c r="DZ46" s="395"/>
      <c r="EA46" s="395"/>
      <c r="EB46" s="395"/>
      <c r="EC46" s="395"/>
      <c r="ED46" s="395"/>
      <c r="EE46" s="395"/>
      <c r="EF46" s="395"/>
      <c r="EG46" s="395"/>
      <c r="EH46" s="395"/>
      <c r="EI46" s="395"/>
      <c r="EJ46" s="395"/>
      <c r="EK46" s="395"/>
      <c r="EL46" s="395"/>
      <c r="EM46" s="395"/>
      <c r="EN46" s="395"/>
      <c r="EO46" s="395"/>
      <c r="EP46" s="395"/>
      <c r="EQ46" s="395"/>
      <c r="ER46" s="395"/>
      <c r="ES46" s="395"/>
    </row>
    <row r="47" spans="1:149" x14ac:dyDescent="0.4">
      <c r="A47" s="458" t="s">
        <v>208</v>
      </c>
      <c r="B47" s="459">
        <f>'Water '!I7</f>
        <v>0</v>
      </c>
      <c r="C47" s="459">
        <f>'Water '!I8</f>
        <v>0</v>
      </c>
      <c r="D47" s="459">
        <f>'Water '!I9</f>
        <v>0</v>
      </c>
      <c r="E47" s="459">
        <f>'Water '!I10</f>
        <v>0</v>
      </c>
      <c r="F47" s="459">
        <f>'Water '!I11</f>
        <v>0</v>
      </c>
      <c r="G47" s="459">
        <f>'Water '!I12</f>
        <v>0</v>
      </c>
      <c r="H47" s="459">
        <f>'Water '!I13</f>
        <v>0</v>
      </c>
      <c r="I47" s="459">
        <f>'Water '!I14</f>
        <v>0</v>
      </c>
      <c r="J47" s="533">
        <f>'Water '!I15</f>
        <v>0</v>
      </c>
      <c r="K47" s="533">
        <f>'Water '!I16</f>
        <v>0</v>
      </c>
      <c r="L47" s="533">
        <f>'Water '!I17</f>
        <v>0</v>
      </c>
      <c r="M47" s="533">
        <f>'Water '!I18</f>
        <v>0</v>
      </c>
      <c r="N47" s="533">
        <f>'Water '!I19</f>
        <v>0</v>
      </c>
      <c r="O47" s="533">
        <f>'Water '!I20</f>
        <v>0</v>
      </c>
      <c r="P47" s="533">
        <f>'Water '!I21</f>
        <v>0</v>
      </c>
      <c r="Q47" s="533">
        <f>'Water '!I22</f>
        <v>0</v>
      </c>
      <c r="R47" s="533">
        <f>'Water '!I23</f>
        <v>0</v>
      </c>
      <c r="S47" s="533">
        <f>'Water '!I24</f>
        <v>0</v>
      </c>
      <c r="T47" s="533">
        <f>'Water '!I25</f>
        <v>0</v>
      </c>
      <c r="U47" s="533">
        <f>'Water '!I26</f>
        <v>0</v>
      </c>
      <c r="V47" s="533">
        <f>'Water '!I27</f>
        <v>0</v>
      </c>
      <c r="W47" s="533">
        <f>'Water '!I28</f>
        <v>0</v>
      </c>
      <c r="X47" s="533">
        <f>'Water '!I29</f>
        <v>0</v>
      </c>
      <c r="Y47" s="533">
        <f>'Water '!I30</f>
        <v>0</v>
      </c>
      <c r="Z47" s="533">
        <f>'Water '!I31</f>
        <v>0</v>
      </c>
      <c r="AA47" s="533">
        <f>'Water '!I32</f>
        <v>0</v>
      </c>
      <c r="AB47" s="533">
        <f>'Water '!I33</f>
        <v>0</v>
      </c>
      <c r="AC47" s="533">
        <f>'Water '!I34</f>
        <v>0</v>
      </c>
      <c r="AD47" s="533">
        <f>'Water '!I35</f>
        <v>0</v>
      </c>
      <c r="AE47" s="533">
        <f>'Water '!I36</f>
        <v>0</v>
      </c>
      <c r="AF47" s="533">
        <f>'Water '!I37</f>
        <v>0</v>
      </c>
      <c r="AG47" s="533"/>
      <c r="AH47" s="460">
        <f>SUM($B47:AC47)</f>
        <v>0</v>
      </c>
      <c r="AI47" s="460"/>
      <c r="AJ47" s="461"/>
    </row>
    <row r="48" spans="1:149" ht="24" customHeight="1" x14ac:dyDescent="0.4">
      <c r="A48" s="432" t="s">
        <v>221</v>
      </c>
      <c r="B48" s="431"/>
      <c r="C48" s="431"/>
      <c r="D48" s="431"/>
      <c r="E48" s="431"/>
      <c r="F48" s="431"/>
      <c r="G48" s="431"/>
      <c r="H48" s="431"/>
      <c r="I48" s="431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04"/>
      <c r="AI48" s="404"/>
    </row>
    <row r="49" spans="1:38" x14ac:dyDescent="0.4">
      <c r="A49" s="432" t="s">
        <v>182</v>
      </c>
      <c r="B49" s="425"/>
      <c r="C49" s="425"/>
      <c r="D49" s="425"/>
      <c r="E49" s="425"/>
      <c r="F49" s="425"/>
      <c r="G49" s="425"/>
      <c r="H49" s="425"/>
      <c r="I49" s="425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404">
        <f>SUM($B49:AC49)</f>
        <v>0</v>
      </c>
      <c r="AI49" s="404"/>
      <c r="AJ49" s="426"/>
    </row>
    <row r="50" spans="1:38" ht="30" x14ac:dyDescent="0.4">
      <c r="A50" s="397" t="s">
        <v>246</v>
      </c>
      <c r="B50" s="462">
        <f t="shared" ref="B50:AF50" si="11">SUM(B36:B48)</f>
        <v>74</v>
      </c>
      <c r="C50" s="462">
        <f t="shared" si="11"/>
        <v>20</v>
      </c>
      <c r="D50" s="462">
        <f t="shared" si="11"/>
        <v>452</v>
      </c>
      <c r="E50" s="462">
        <f t="shared" si="11"/>
        <v>373</v>
      </c>
      <c r="F50" s="462">
        <f t="shared" si="11"/>
        <v>501</v>
      </c>
      <c r="G50" s="462">
        <f t="shared" si="11"/>
        <v>381</v>
      </c>
      <c r="H50" s="462">
        <f t="shared" si="11"/>
        <v>0</v>
      </c>
      <c r="I50" s="462">
        <f t="shared" si="11"/>
        <v>13</v>
      </c>
      <c r="J50" s="534">
        <f t="shared" si="11"/>
        <v>40</v>
      </c>
      <c r="K50" s="534">
        <f t="shared" si="11"/>
        <v>384</v>
      </c>
      <c r="L50" s="534">
        <f t="shared" si="11"/>
        <v>480</v>
      </c>
      <c r="M50" s="534">
        <f t="shared" si="11"/>
        <v>385</v>
      </c>
      <c r="N50" s="534">
        <f t="shared" si="11"/>
        <v>461</v>
      </c>
      <c r="O50" s="534">
        <f t="shared" si="11"/>
        <v>347</v>
      </c>
      <c r="P50" s="534">
        <f t="shared" si="11"/>
        <v>33</v>
      </c>
      <c r="Q50" s="534">
        <f t="shared" si="11"/>
        <v>20</v>
      </c>
      <c r="R50" s="534">
        <f t="shared" si="11"/>
        <v>367</v>
      </c>
      <c r="S50" s="534">
        <f t="shared" si="11"/>
        <v>378</v>
      </c>
      <c r="T50" s="534">
        <f t="shared" si="11"/>
        <v>360</v>
      </c>
      <c r="U50" s="534">
        <f>SUM(U36:U48)</f>
        <v>386</v>
      </c>
      <c r="V50" s="534">
        <f t="shared" si="11"/>
        <v>330</v>
      </c>
      <c r="W50" s="462">
        <f>SUM(W36:W48)</f>
        <v>16</v>
      </c>
      <c r="X50" s="534">
        <f t="shared" si="11"/>
        <v>83</v>
      </c>
      <c r="Y50" s="534">
        <f t="shared" si="11"/>
        <v>427</v>
      </c>
      <c r="Z50" s="534">
        <f t="shared" si="11"/>
        <v>394</v>
      </c>
      <c r="AA50" s="534">
        <f t="shared" si="11"/>
        <v>381</v>
      </c>
      <c r="AB50" s="534">
        <f t="shared" si="11"/>
        <v>382</v>
      </c>
      <c r="AC50" s="534">
        <f t="shared" si="11"/>
        <v>405</v>
      </c>
      <c r="AD50" s="534">
        <f t="shared" si="11"/>
        <v>0</v>
      </c>
      <c r="AE50" s="534">
        <f t="shared" si="11"/>
        <v>0</v>
      </c>
      <c r="AF50" s="534">
        <f t="shared" si="11"/>
        <v>0</v>
      </c>
      <c r="AG50" s="621"/>
      <c r="AH50" s="462">
        <f>SUM($B50:AC50)</f>
        <v>7873</v>
      </c>
      <c r="AI50" s="462"/>
    </row>
    <row r="51" spans="1:38" x14ac:dyDescent="0.4">
      <c r="A51" s="438"/>
      <c r="B51" s="404"/>
      <c r="C51" s="404"/>
      <c r="D51" s="404"/>
      <c r="E51" s="404"/>
      <c r="F51" s="404"/>
      <c r="G51" s="404"/>
      <c r="H51" s="404"/>
      <c r="I51" s="404"/>
      <c r="J51" s="464"/>
      <c r="K51" s="464"/>
      <c r="L51" s="464"/>
      <c r="M51" s="464"/>
      <c r="N51" s="464"/>
      <c r="O51" s="464"/>
      <c r="P51" s="464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4"/>
      <c r="AC51" s="464"/>
      <c r="AD51" s="464"/>
      <c r="AE51" s="464"/>
      <c r="AH51" s="404"/>
      <c r="AI51" s="404"/>
    </row>
    <row r="52" spans="1:38" x14ac:dyDescent="0.4">
      <c r="A52" s="438"/>
      <c r="B52" s="404"/>
      <c r="C52" s="404"/>
      <c r="D52" s="404"/>
      <c r="E52" s="404"/>
      <c r="F52" s="404"/>
      <c r="G52" s="404"/>
      <c r="H52" s="404"/>
      <c r="I52" s="404"/>
      <c r="J52" s="464"/>
      <c r="K52" s="464"/>
      <c r="L52" s="464"/>
      <c r="M52" s="464"/>
      <c r="N52" s="464"/>
      <c r="O52" s="464"/>
      <c r="P52" s="464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4"/>
      <c r="AC52" s="464"/>
      <c r="AD52" s="464"/>
      <c r="AE52" s="464"/>
      <c r="AH52" s="404"/>
      <c r="AI52" s="404"/>
    </row>
    <row r="53" spans="1:38" x14ac:dyDescent="0.4">
      <c r="A53" s="442" t="s">
        <v>152</v>
      </c>
      <c r="M53" s="517"/>
      <c r="O53" s="517" t="s">
        <v>64</v>
      </c>
      <c r="AH53" s="422" t="s">
        <v>95</v>
      </c>
      <c r="AI53" s="422" t="s">
        <v>165</v>
      </c>
      <c r="AJ53" s="422" t="s">
        <v>223</v>
      </c>
    </row>
    <row r="54" spans="1:38" x14ac:dyDescent="0.4">
      <c r="A54" s="469" t="s">
        <v>253</v>
      </c>
      <c r="B54" s="470" t="str">
        <f>IF(B$9=0,"",+(B36*10)/B$9)</f>
        <v/>
      </c>
      <c r="C54" s="470" t="str">
        <f>IF(C$9=0,"",+(C36*10)/C$9)</f>
        <v/>
      </c>
      <c r="D54" s="470">
        <f t="shared" ref="D54:F54" si="12">IF(D$9=0,"",+(D36*10)/D$9)</f>
        <v>3.7887659644820406</v>
      </c>
      <c r="E54" s="470">
        <f t="shared" si="12"/>
        <v>3.3761224208103435</v>
      </c>
      <c r="F54" s="470">
        <f t="shared" si="12"/>
        <v>4.4705171005319597</v>
      </c>
      <c r="G54" s="470">
        <f t="shared" ref="G54:AF54" si="13">IF(G$9=0,"",+(G36*10)/G$9)</f>
        <v>5.4822079718345273</v>
      </c>
      <c r="H54" s="470" t="str">
        <f t="shared" si="13"/>
        <v/>
      </c>
      <c r="I54" s="470" t="str">
        <f t="shared" si="13"/>
        <v/>
      </c>
      <c r="J54" s="470" t="str">
        <f t="shared" si="13"/>
        <v/>
      </c>
      <c r="K54" s="470">
        <f t="shared" si="13"/>
        <v>4.4855661754365546</v>
      </c>
      <c r="L54" s="470">
        <f t="shared" si="13"/>
        <v>3.8462989895119408</v>
      </c>
      <c r="M54" s="470">
        <f t="shared" si="13"/>
        <v>3.469935830395992</v>
      </c>
      <c r="N54" s="470">
        <f t="shared" si="13"/>
        <v>4.621221077066922</v>
      </c>
      <c r="O54" s="470">
        <f t="shared" si="13"/>
        <v>7.0354735984596006</v>
      </c>
      <c r="P54" s="470" t="str">
        <f t="shared" si="13"/>
        <v/>
      </c>
      <c r="Q54" s="470" t="str">
        <f t="shared" si="13"/>
        <v/>
      </c>
      <c r="R54" s="470">
        <f t="shared" si="13"/>
        <v>7.239305281822646</v>
      </c>
      <c r="S54" s="470">
        <f t="shared" si="13"/>
        <v>5.9356451109028425</v>
      </c>
      <c r="T54" s="470">
        <f t="shared" si="13"/>
        <v>4.7676904384737231</v>
      </c>
      <c r="U54" s="470">
        <f t="shared" si="13"/>
        <v>6.3321178034297585</v>
      </c>
      <c r="V54" s="470">
        <f t="shared" si="13"/>
        <v>4.4771885029345526</v>
      </c>
      <c r="W54" s="470">
        <f t="shared" si="13"/>
        <v>0</v>
      </c>
      <c r="X54" s="470" t="str">
        <f t="shared" si="13"/>
        <v/>
      </c>
      <c r="Y54" s="470">
        <f>IF(Y$9=0,"",+(Y36*10)/Y$9)</f>
        <v>6.9469906022654913</v>
      </c>
      <c r="Z54" s="470">
        <f t="shared" si="13"/>
        <v>4.2246909716789229</v>
      </c>
      <c r="AA54" s="470">
        <f t="shared" si="13"/>
        <v>5.9142052423127449</v>
      </c>
      <c r="AB54" s="470">
        <f t="shared" si="13"/>
        <v>6.137647663071391</v>
      </c>
      <c r="AC54" s="470">
        <f>IF(AC$9=0,"",+(AC36*10)/AC$9)</f>
        <v>4.6601663320906219</v>
      </c>
      <c r="AD54" s="470" t="str">
        <f t="shared" si="13"/>
        <v/>
      </c>
      <c r="AE54" s="470" t="str">
        <f t="shared" si="13"/>
        <v/>
      </c>
      <c r="AF54" s="470" t="str">
        <f t="shared" si="13"/>
        <v/>
      </c>
      <c r="AG54" s="470"/>
      <c r="AH54" s="618">
        <f>+(AH36*10)/AH$9</f>
        <v>4.9117837779289681</v>
      </c>
      <c r="AI54" s="618">
        <v>3.2</v>
      </c>
      <c r="AJ54" s="472">
        <f t="shared" ref="AJ54" si="14">AI54-AH54</f>
        <v>-1.711783777928968</v>
      </c>
    </row>
    <row r="55" spans="1:38" s="477" customFormat="1" ht="25.5" customHeight="1" x14ac:dyDescent="0.4">
      <c r="A55" s="506" t="s">
        <v>188</v>
      </c>
      <c r="B55" s="594"/>
      <c r="C55" s="594"/>
      <c r="D55" s="594"/>
      <c r="E55" s="594"/>
      <c r="F55" s="594"/>
      <c r="G55" s="594"/>
      <c r="H55" s="594"/>
      <c r="I55" s="594"/>
      <c r="J55" s="594"/>
      <c r="K55" s="594"/>
      <c r="L55" s="594"/>
      <c r="M55" s="594"/>
      <c r="N55" s="594"/>
      <c r="O55" s="594"/>
      <c r="P55" s="594"/>
      <c r="Q55" s="594"/>
      <c r="R55" s="594"/>
      <c r="S55" s="594"/>
      <c r="T55" s="594"/>
      <c r="U55" s="594"/>
      <c r="V55" s="594"/>
      <c r="W55" s="594"/>
      <c r="X55" s="594"/>
      <c r="Y55" s="594"/>
      <c r="Z55" s="594"/>
      <c r="AA55" s="594"/>
      <c r="AB55" s="594"/>
      <c r="AC55" s="594"/>
      <c r="AD55" s="594"/>
      <c r="AE55" s="594"/>
      <c r="AF55" s="594"/>
      <c r="AG55" s="594"/>
      <c r="AH55" s="600">
        <f t="shared" ref="AH55:AH63" si="15">+(AH37*10)/AH$9</f>
        <v>0</v>
      </c>
      <c r="AI55" s="474">
        <v>0.1</v>
      </c>
      <c r="AJ55" s="475">
        <f>AI55-AH55</f>
        <v>0.1</v>
      </c>
      <c r="AL55" s="419"/>
    </row>
    <row r="56" spans="1:38" s="570" customFormat="1" x14ac:dyDescent="0.4">
      <c r="A56" s="571" t="s">
        <v>209</v>
      </c>
      <c r="B56" s="470" t="str">
        <f t="shared" ref="B56:C56" si="16">IF(B$9=0,"",+(B38*10)/B$9)</f>
        <v/>
      </c>
      <c r="C56" s="470" t="str">
        <f t="shared" si="16"/>
        <v/>
      </c>
      <c r="D56" s="470">
        <f t="shared" ref="D56:F62" si="17">IF(D$9=0,"",+(D38*10)/D$9)</f>
        <v>0</v>
      </c>
      <c r="E56" s="470">
        <f t="shared" si="17"/>
        <v>0</v>
      </c>
      <c r="F56" s="470">
        <f t="shared" si="17"/>
        <v>0</v>
      </c>
      <c r="G56" s="470">
        <f t="shared" ref="G56:AF56" si="18">IF(G$9=0,"",+(G38*10)/G$9)</f>
        <v>0</v>
      </c>
      <c r="H56" s="470" t="str">
        <f t="shared" si="18"/>
        <v/>
      </c>
      <c r="I56" s="470" t="str">
        <f t="shared" si="18"/>
        <v/>
      </c>
      <c r="J56" s="470" t="str">
        <f t="shared" si="18"/>
        <v/>
      </c>
      <c r="K56" s="470">
        <f t="shared" si="18"/>
        <v>0</v>
      </c>
      <c r="L56" s="470">
        <f t="shared" si="18"/>
        <v>0</v>
      </c>
      <c r="M56" s="470">
        <f t="shared" si="18"/>
        <v>0</v>
      </c>
      <c r="N56" s="470">
        <f t="shared" si="18"/>
        <v>0</v>
      </c>
      <c r="O56" s="470">
        <f t="shared" si="18"/>
        <v>0</v>
      </c>
      <c r="P56" s="470" t="str">
        <f t="shared" si="18"/>
        <v/>
      </c>
      <c r="Q56" s="470" t="str">
        <f t="shared" si="18"/>
        <v/>
      </c>
      <c r="R56" s="470">
        <f t="shared" si="18"/>
        <v>0</v>
      </c>
      <c r="S56" s="470">
        <f t="shared" si="18"/>
        <v>0</v>
      </c>
      <c r="T56" s="470">
        <f t="shared" si="18"/>
        <v>0</v>
      </c>
      <c r="U56" s="470">
        <f t="shared" si="18"/>
        <v>0</v>
      </c>
      <c r="V56" s="470">
        <f t="shared" si="18"/>
        <v>0</v>
      </c>
      <c r="W56" s="470">
        <f t="shared" si="18"/>
        <v>0</v>
      </c>
      <c r="X56" s="470" t="str">
        <f t="shared" si="18"/>
        <v/>
      </c>
      <c r="Y56" s="470">
        <f t="shared" ref="Y56:Y63" si="19">IF(Y$9=0,"",+(Y38*10)/Y$9)</f>
        <v>0</v>
      </c>
      <c r="Z56" s="470">
        <f t="shared" si="18"/>
        <v>0</v>
      </c>
      <c r="AA56" s="470">
        <f t="shared" si="18"/>
        <v>0</v>
      </c>
      <c r="AB56" s="470">
        <f t="shared" si="18"/>
        <v>0</v>
      </c>
      <c r="AC56" s="470">
        <f t="shared" ref="AC56:AC63" si="20">IF(AC$9=0,"",+(AC38*10)/AC$9)</f>
        <v>0</v>
      </c>
      <c r="AD56" s="470" t="str">
        <f t="shared" si="18"/>
        <v/>
      </c>
      <c r="AE56" s="470" t="str">
        <f t="shared" si="18"/>
        <v/>
      </c>
      <c r="AF56" s="470" t="str">
        <f t="shared" si="18"/>
        <v/>
      </c>
      <c r="AG56" s="470"/>
      <c r="AH56" s="471">
        <f t="shared" si="15"/>
        <v>0</v>
      </c>
      <c r="AI56" s="572">
        <v>0.1</v>
      </c>
      <c r="AJ56" s="573">
        <f>AI56-AH56</f>
        <v>0.1</v>
      </c>
    </row>
    <row r="57" spans="1:38" s="419" customFormat="1" x14ac:dyDescent="0.4">
      <c r="A57" s="574" t="s">
        <v>244</v>
      </c>
      <c r="B57" s="594" t="str">
        <f t="shared" ref="B57:C57" si="21">IF(B$9=0,"",+(B39*10)/B$9)</f>
        <v/>
      </c>
      <c r="C57" s="594" t="str">
        <f t="shared" si="21"/>
        <v/>
      </c>
      <c r="D57" s="594">
        <f t="shared" si="17"/>
        <v>0</v>
      </c>
      <c r="E57" s="594">
        <f t="shared" si="17"/>
        <v>0</v>
      </c>
      <c r="F57" s="594">
        <f t="shared" si="17"/>
        <v>0</v>
      </c>
      <c r="G57" s="594">
        <f t="shared" ref="G57:AF57" si="22">IF(G$9=0,"",+(G39*10)/G$9)</f>
        <v>0</v>
      </c>
      <c r="H57" s="594" t="str">
        <f t="shared" si="22"/>
        <v/>
      </c>
      <c r="I57" s="594" t="str">
        <f t="shared" si="22"/>
        <v/>
      </c>
      <c r="J57" s="594" t="str">
        <f t="shared" si="22"/>
        <v/>
      </c>
      <c r="K57" s="594">
        <f t="shared" si="22"/>
        <v>0</v>
      </c>
      <c r="L57" s="594">
        <f t="shared" si="22"/>
        <v>0</v>
      </c>
      <c r="M57" s="594">
        <f t="shared" si="22"/>
        <v>0</v>
      </c>
      <c r="N57" s="594">
        <f t="shared" si="22"/>
        <v>0</v>
      </c>
      <c r="O57" s="594">
        <f t="shared" si="22"/>
        <v>0</v>
      </c>
      <c r="P57" s="594" t="str">
        <f t="shared" si="22"/>
        <v/>
      </c>
      <c r="Q57" s="594" t="str">
        <f t="shared" si="22"/>
        <v/>
      </c>
      <c r="R57" s="594">
        <f t="shared" si="22"/>
        <v>0</v>
      </c>
      <c r="S57" s="594">
        <f t="shared" si="22"/>
        <v>0</v>
      </c>
      <c r="T57" s="594">
        <f t="shared" si="22"/>
        <v>0</v>
      </c>
      <c r="U57" s="594">
        <f t="shared" si="22"/>
        <v>0</v>
      </c>
      <c r="V57" s="594">
        <f t="shared" si="22"/>
        <v>0</v>
      </c>
      <c r="W57" s="594">
        <f t="shared" si="22"/>
        <v>0</v>
      </c>
      <c r="X57" s="594" t="str">
        <f t="shared" si="22"/>
        <v/>
      </c>
      <c r="Y57" s="594">
        <f t="shared" si="19"/>
        <v>0</v>
      </c>
      <c r="Z57" s="594">
        <f t="shared" si="22"/>
        <v>0</v>
      </c>
      <c r="AA57" s="594">
        <f t="shared" si="22"/>
        <v>0</v>
      </c>
      <c r="AB57" s="594">
        <f t="shared" si="22"/>
        <v>0</v>
      </c>
      <c r="AC57" s="594">
        <f t="shared" si="20"/>
        <v>0</v>
      </c>
      <c r="AD57" s="594" t="str">
        <f t="shared" si="22"/>
        <v/>
      </c>
      <c r="AE57" s="594" t="str">
        <f t="shared" si="22"/>
        <v/>
      </c>
      <c r="AF57" s="594" t="str">
        <f t="shared" si="22"/>
        <v/>
      </c>
      <c r="AG57" s="594"/>
      <c r="AH57" s="600">
        <f t="shared" si="15"/>
        <v>0</v>
      </c>
      <c r="AI57" s="474">
        <v>0.7</v>
      </c>
      <c r="AJ57" s="475">
        <f t="shared" ref="AJ57" si="23">AI57-AH57</f>
        <v>0.7</v>
      </c>
    </row>
    <row r="58" spans="1:38" s="593" customFormat="1" x14ac:dyDescent="0.4">
      <c r="A58" s="590" t="s">
        <v>189</v>
      </c>
      <c r="B58" s="470" t="str">
        <f t="shared" ref="B58:C58" si="24">IF(B$9=0,"",+(B40*10)/B$9)</f>
        <v/>
      </c>
      <c r="C58" s="470" t="str">
        <f t="shared" si="24"/>
        <v/>
      </c>
      <c r="D58" s="470">
        <f t="shared" si="17"/>
        <v>0</v>
      </c>
      <c r="E58" s="470">
        <f t="shared" si="17"/>
        <v>0</v>
      </c>
      <c r="F58" s="470">
        <f t="shared" si="17"/>
        <v>0</v>
      </c>
      <c r="G58" s="470">
        <f t="shared" ref="G58:AF58" si="25">IF(G$9=0,"",+(G40*10)/G$9)</f>
        <v>0</v>
      </c>
      <c r="H58" s="470" t="str">
        <f t="shared" si="25"/>
        <v/>
      </c>
      <c r="I58" s="470" t="str">
        <f t="shared" si="25"/>
        <v/>
      </c>
      <c r="J58" s="470" t="str">
        <f t="shared" si="25"/>
        <v/>
      </c>
      <c r="K58" s="470">
        <f t="shared" si="25"/>
        <v>0</v>
      </c>
      <c r="L58" s="470">
        <f t="shared" si="25"/>
        <v>0</v>
      </c>
      <c r="M58" s="470">
        <f t="shared" si="25"/>
        <v>0</v>
      </c>
      <c r="N58" s="470">
        <f t="shared" si="25"/>
        <v>0</v>
      </c>
      <c r="O58" s="470">
        <f t="shared" si="25"/>
        <v>0</v>
      </c>
      <c r="P58" s="470" t="str">
        <f t="shared" si="25"/>
        <v/>
      </c>
      <c r="Q58" s="470" t="str">
        <f t="shared" si="25"/>
        <v/>
      </c>
      <c r="R58" s="470">
        <f t="shared" si="25"/>
        <v>0</v>
      </c>
      <c r="S58" s="470">
        <f t="shared" si="25"/>
        <v>0</v>
      </c>
      <c r="T58" s="470">
        <f t="shared" si="25"/>
        <v>0</v>
      </c>
      <c r="U58" s="470">
        <f t="shared" si="25"/>
        <v>0</v>
      </c>
      <c r="V58" s="470">
        <f t="shared" si="25"/>
        <v>0</v>
      </c>
      <c r="W58" s="470">
        <f t="shared" si="25"/>
        <v>0</v>
      </c>
      <c r="X58" s="470" t="str">
        <f t="shared" si="25"/>
        <v/>
      </c>
      <c r="Y58" s="470">
        <f t="shared" si="19"/>
        <v>0</v>
      </c>
      <c r="Z58" s="470">
        <f t="shared" si="25"/>
        <v>0</v>
      </c>
      <c r="AA58" s="470">
        <f t="shared" si="25"/>
        <v>0</v>
      </c>
      <c r="AB58" s="470">
        <f t="shared" si="25"/>
        <v>0</v>
      </c>
      <c r="AC58" s="470">
        <f t="shared" si="20"/>
        <v>0</v>
      </c>
      <c r="AD58" s="470" t="str">
        <f t="shared" si="25"/>
        <v/>
      </c>
      <c r="AE58" s="470" t="str">
        <f t="shared" si="25"/>
        <v/>
      </c>
      <c r="AF58" s="470" t="str">
        <f t="shared" si="25"/>
        <v/>
      </c>
      <c r="AG58" s="470"/>
      <c r="AH58" s="471">
        <f t="shared" si="15"/>
        <v>0</v>
      </c>
      <c r="AI58" s="591">
        <v>1</v>
      </c>
      <c r="AJ58" s="592">
        <f>AI58-AH58</f>
        <v>1</v>
      </c>
    </row>
    <row r="59" spans="1:38" s="419" customFormat="1" x14ac:dyDescent="0.4">
      <c r="A59" s="473" t="s">
        <v>109</v>
      </c>
      <c r="B59" s="594" t="str">
        <f t="shared" ref="B59:C59" si="26">IF(B$9=0,"",+(B41*10)/B$9)</f>
        <v/>
      </c>
      <c r="C59" s="594" t="str">
        <f t="shared" si="26"/>
        <v/>
      </c>
      <c r="D59" s="594">
        <f t="shared" si="17"/>
        <v>1.5116793494650567</v>
      </c>
      <c r="E59" s="594">
        <f t="shared" si="17"/>
        <v>0.82071484262792882</v>
      </c>
      <c r="F59" s="594">
        <f t="shared" si="17"/>
        <v>0.98094080263471051</v>
      </c>
      <c r="G59" s="594">
        <f t="shared" ref="G59:AF59" si="27">IF(G$9=0,"",+(G41*10)/G$9)</f>
        <v>1.2825348924933986</v>
      </c>
      <c r="H59" s="594" t="str">
        <f t="shared" si="27"/>
        <v/>
      </c>
      <c r="I59" s="594" t="str">
        <f t="shared" si="27"/>
        <v/>
      </c>
      <c r="J59" s="594" t="str">
        <f t="shared" si="27"/>
        <v/>
      </c>
      <c r="K59" s="594">
        <f t="shared" si="27"/>
        <v>1.5760097373155462</v>
      </c>
      <c r="L59" s="594">
        <f t="shared" si="27"/>
        <v>0.79828846952134613</v>
      </c>
      <c r="M59" s="594">
        <f t="shared" si="27"/>
        <v>0.46803785619294774</v>
      </c>
      <c r="N59" s="594">
        <f t="shared" si="27"/>
        <v>1.110525995264144</v>
      </c>
      <c r="O59" s="594">
        <f t="shared" si="27"/>
        <v>1.2791770179017456</v>
      </c>
      <c r="P59" s="594" t="str">
        <f t="shared" si="27"/>
        <v/>
      </c>
      <c r="Q59" s="594" t="str">
        <f t="shared" si="27"/>
        <v/>
      </c>
      <c r="R59" s="594">
        <f t="shared" si="27"/>
        <v>1.1799748697243959</v>
      </c>
      <c r="S59" s="594">
        <f t="shared" si="27"/>
        <v>1.8176138138649853</v>
      </c>
      <c r="T59" s="594">
        <f t="shared" si="27"/>
        <v>1.384168191814952</v>
      </c>
      <c r="U59" s="594">
        <f t="shared" si="27"/>
        <v>2.1304321581632832</v>
      </c>
      <c r="V59" s="594">
        <f t="shared" si="27"/>
        <v>0.70925758462329547</v>
      </c>
      <c r="W59" s="594">
        <f t="shared" si="27"/>
        <v>0</v>
      </c>
      <c r="X59" s="594" t="str">
        <f t="shared" si="27"/>
        <v/>
      </c>
      <c r="Y59" s="594">
        <f t="shared" si="19"/>
        <v>2.0583675858564416</v>
      </c>
      <c r="Z59" s="594">
        <f t="shared" si="27"/>
        <v>0.52156678662702749</v>
      </c>
      <c r="AA59" s="594">
        <f t="shared" si="27"/>
        <v>1.0907345733773504</v>
      </c>
      <c r="AB59" s="594">
        <f t="shared" si="27"/>
        <v>1.0785824345146378</v>
      </c>
      <c r="AC59" s="594">
        <f t="shared" si="20"/>
        <v>1.3343211292738106</v>
      </c>
      <c r="AD59" s="594" t="str">
        <f t="shared" si="27"/>
        <v/>
      </c>
      <c r="AE59" s="594" t="str">
        <f t="shared" si="27"/>
        <v/>
      </c>
      <c r="AF59" s="594" t="str">
        <f t="shared" si="27"/>
        <v/>
      </c>
      <c r="AG59" s="594"/>
      <c r="AH59" s="594">
        <f t="shared" si="15"/>
        <v>1.1628036847492509</v>
      </c>
      <c r="AI59" s="474">
        <v>0.7</v>
      </c>
      <c r="AJ59" s="475">
        <f t="shared" ref="AJ59:AJ60" si="28">AI59-AH59</f>
        <v>-0.46280368474925093</v>
      </c>
    </row>
    <row r="60" spans="1:38" x14ac:dyDescent="0.4">
      <c r="A60" s="620" t="s">
        <v>140</v>
      </c>
      <c r="B60" s="470" t="str">
        <f t="shared" ref="B60:C60" si="29">IF(B$9=0,"",+(B42*10)/B$9)</f>
        <v/>
      </c>
      <c r="C60" s="470" t="str">
        <f t="shared" si="29"/>
        <v/>
      </c>
      <c r="D60" s="470">
        <f t="shared" si="17"/>
        <v>1.5499497127426531</v>
      </c>
      <c r="E60" s="470">
        <f t="shared" si="17"/>
        <v>1.3056827041807959</v>
      </c>
      <c r="F60" s="648">
        <f t="shared" si="17"/>
        <v>1.4633707055698142</v>
      </c>
      <c r="G60" s="470">
        <f t="shared" ref="G60:AF60" si="30">IF(G$9=0,"",+(G42*10)/G$9)</f>
        <v>1.5088645794039983</v>
      </c>
      <c r="H60" s="470" t="str">
        <f t="shared" si="30"/>
        <v/>
      </c>
      <c r="I60" s="470" t="str">
        <f t="shared" si="30"/>
        <v/>
      </c>
      <c r="J60" s="470" t="str">
        <f t="shared" si="30"/>
        <v/>
      </c>
      <c r="K60" s="470">
        <f t="shared" si="30"/>
        <v>1.8184727738256301</v>
      </c>
      <c r="L60" s="470">
        <f>IF(L$9=0,"",+(L42*10)/L$9)</f>
        <v>1.4078905735194651</v>
      </c>
      <c r="M60" s="470">
        <f t="shared" si="30"/>
        <v>1.3879743321583968</v>
      </c>
      <c r="N60" s="470">
        <f t="shared" si="30"/>
        <v>1.5224953160879393</v>
      </c>
      <c r="O60" s="470">
        <f t="shared" si="30"/>
        <v>1.9187655268526185</v>
      </c>
      <c r="P60" s="470" t="str">
        <f t="shared" si="30"/>
        <v/>
      </c>
      <c r="Q60" s="470" t="str">
        <f t="shared" si="30"/>
        <v/>
      </c>
      <c r="R60" s="470">
        <f t="shared" si="30"/>
        <v>1.817799123629475</v>
      </c>
      <c r="S60" s="470">
        <f t="shared" si="30"/>
        <v>1.7040129504984238</v>
      </c>
      <c r="T60" s="470">
        <f t="shared" si="30"/>
        <v>1.6404956347436468</v>
      </c>
      <c r="U60" s="470">
        <f t="shared" si="30"/>
        <v>1.8049494673327817</v>
      </c>
      <c r="V60" s="470">
        <f t="shared" si="30"/>
        <v>1.4185151692465909</v>
      </c>
      <c r="W60" s="470">
        <f t="shared" si="30"/>
        <v>5.0087653393438512</v>
      </c>
      <c r="X60" s="470" t="str">
        <f t="shared" si="30"/>
        <v/>
      </c>
      <c r="Y60" s="470">
        <f t="shared" si="19"/>
        <v>2.5729594823205524</v>
      </c>
      <c r="Z60" s="470">
        <f t="shared" si="30"/>
        <v>1.3386880856760373</v>
      </c>
      <c r="AA60" s="470">
        <f t="shared" si="30"/>
        <v>1.5270284027282905</v>
      </c>
      <c r="AB60" s="470">
        <f t="shared" si="30"/>
        <v>1.5665125834617359</v>
      </c>
      <c r="AC60" s="470">
        <f t="shared" si="20"/>
        <v>1.3343211292738106</v>
      </c>
      <c r="AD60" s="470" t="str">
        <f t="shared" si="30"/>
        <v/>
      </c>
      <c r="AE60" s="470" t="str">
        <f t="shared" si="30"/>
        <v/>
      </c>
      <c r="AF60" s="470" t="str">
        <f t="shared" si="30"/>
        <v/>
      </c>
      <c r="AG60" s="470"/>
      <c r="AH60" s="626">
        <f t="shared" si="15"/>
        <v>1.6804981189268542</v>
      </c>
      <c r="AI60" s="479">
        <v>2.1</v>
      </c>
      <c r="AJ60" s="480">
        <f t="shared" si="28"/>
        <v>0.4195018810731459</v>
      </c>
    </row>
    <row r="61" spans="1:38" s="419" customFormat="1" x14ac:dyDescent="0.4">
      <c r="A61" s="473" t="s">
        <v>185</v>
      </c>
      <c r="B61" s="594" t="str">
        <f t="shared" ref="B61:C61" si="31">IF(B$9=0,"",+(B43*10)/B$9)</f>
        <v/>
      </c>
      <c r="C61" s="594" t="str">
        <f t="shared" si="31"/>
        <v/>
      </c>
      <c r="D61" s="594">
        <f t="shared" si="17"/>
        <v>0.51664990424755097</v>
      </c>
      <c r="E61" s="594">
        <f t="shared" si="17"/>
        <v>0.44766264143341572</v>
      </c>
      <c r="F61" s="594">
        <f t="shared" si="17"/>
        <v>0.38594392234808284</v>
      </c>
      <c r="G61" s="594">
        <f t="shared" ref="G61:AF61" si="32">IF(G$9=0,"",+(G43*10)/G$9)</f>
        <v>0.50295485980133281</v>
      </c>
      <c r="H61" s="594" t="str">
        <f t="shared" si="32"/>
        <v/>
      </c>
      <c r="I61" s="594" t="str">
        <f t="shared" si="32"/>
        <v/>
      </c>
      <c r="J61" s="594" t="str">
        <f t="shared" si="32"/>
        <v/>
      </c>
      <c r="K61" s="594">
        <f t="shared" si="32"/>
        <v>0.55766498397319331</v>
      </c>
      <c r="L61" s="594">
        <f t="shared" si="32"/>
        <v>0.37737273104645458</v>
      </c>
      <c r="M61" s="594">
        <f t="shared" si="32"/>
        <v>0.3873416740907154</v>
      </c>
      <c r="N61" s="594">
        <f t="shared" si="32"/>
        <v>0.41196932082379534</v>
      </c>
      <c r="O61" s="594">
        <f t="shared" si="32"/>
        <v>0.57226340274551779</v>
      </c>
      <c r="P61" s="594" t="str">
        <f t="shared" si="32"/>
        <v/>
      </c>
      <c r="Q61" s="594" t="str">
        <f t="shared" si="32"/>
        <v/>
      </c>
      <c r="R61" s="594">
        <f t="shared" si="32"/>
        <v>0.73349789199084081</v>
      </c>
      <c r="S61" s="594">
        <f t="shared" si="32"/>
        <v>0.53960410099116751</v>
      </c>
      <c r="T61" s="594">
        <f t="shared" si="32"/>
        <v>0.56392037444312859</v>
      </c>
      <c r="U61" s="594">
        <f t="shared" si="32"/>
        <v>0.35507202636054719</v>
      </c>
      <c r="V61" s="594">
        <f t="shared" si="32"/>
        <v>0.24380729471425783</v>
      </c>
      <c r="W61" s="594">
        <f t="shared" si="32"/>
        <v>0</v>
      </c>
      <c r="X61" s="594" t="str">
        <f t="shared" si="32"/>
        <v/>
      </c>
      <c r="Y61" s="594">
        <f t="shared" si="19"/>
        <v>0.57891588352212431</v>
      </c>
      <c r="Z61" s="594">
        <f t="shared" si="32"/>
        <v>0.39986786974738781</v>
      </c>
      <c r="AA61" s="594">
        <f t="shared" si="32"/>
        <v>0.41205528327588797</v>
      </c>
      <c r="AB61" s="594">
        <f t="shared" si="32"/>
        <v>0.59065228556753979</v>
      </c>
      <c r="AC61" s="594">
        <f t="shared" si="20"/>
        <v>0.39830481470860019</v>
      </c>
      <c r="AD61" s="594" t="str">
        <f t="shared" si="32"/>
        <v/>
      </c>
      <c r="AE61" s="594" t="str">
        <f t="shared" si="32"/>
        <v/>
      </c>
      <c r="AF61" s="594" t="str">
        <f t="shared" si="32"/>
        <v/>
      </c>
      <c r="AG61" s="594"/>
      <c r="AH61" s="600">
        <f t="shared" si="15"/>
        <v>0.45685672905251912</v>
      </c>
      <c r="AI61" s="474">
        <v>0.7</v>
      </c>
      <c r="AJ61" s="475">
        <f>AI61-AH61</f>
        <v>0.24314327094748084</v>
      </c>
    </row>
    <row r="62" spans="1:38" x14ac:dyDescent="0.4">
      <c r="A62" s="478" t="s">
        <v>139</v>
      </c>
      <c r="B62" s="470" t="str">
        <f t="shared" ref="B62:C62" si="33">IF(B$9=0,"",+(B44*10)/B$9)</f>
        <v/>
      </c>
      <c r="C62" s="470" t="str">
        <f t="shared" si="33"/>
        <v/>
      </c>
      <c r="D62" s="470">
        <f t="shared" si="17"/>
        <v>0.1339462714715873</v>
      </c>
      <c r="E62" s="470">
        <f t="shared" si="17"/>
        <v>5.5957830179176965E-2</v>
      </c>
      <c r="F62" s="470">
        <f t="shared" si="17"/>
        <v>8.0404983822517262E-2</v>
      </c>
      <c r="G62" s="470">
        <f t="shared" ref="G62:AF62" si="34">IF(G$9=0,"",+(G44*10)/G$9)</f>
        <v>0</v>
      </c>
      <c r="H62" s="470" t="str">
        <f t="shared" si="34"/>
        <v/>
      </c>
      <c r="I62" s="470" t="str">
        <f t="shared" si="34"/>
        <v/>
      </c>
      <c r="J62" s="470" t="str">
        <f t="shared" si="34"/>
        <v/>
      </c>
      <c r="K62" s="470">
        <f t="shared" si="34"/>
        <v>0.33944825111411764</v>
      </c>
      <c r="L62" s="470">
        <f t="shared" si="34"/>
        <v>0.1451433580947902</v>
      </c>
      <c r="M62" s="470">
        <f t="shared" si="34"/>
        <v>0</v>
      </c>
      <c r="N62" s="470">
        <f t="shared" si="34"/>
        <v>8.9558548005172905E-2</v>
      </c>
      <c r="O62" s="470">
        <f t="shared" si="34"/>
        <v>0.13465021241071007</v>
      </c>
      <c r="P62" s="470" t="str">
        <f t="shared" si="34"/>
        <v/>
      </c>
      <c r="Q62" s="470" t="str">
        <f t="shared" si="34"/>
        <v/>
      </c>
      <c r="R62" s="470">
        <f t="shared" si="34"/>
        <v>0</v>
      </c>
      <c r="S62" s="470">
        <f t="shared" si="34"/>
        <v>0</v>
      </c>
      <c r="T62" s="470">
        <f t="shared" si="34"/>
        <v>2.5632744292869481E-2</v>
      </c>
      <c r="U62" s="470">
        <f t="shared" si="34"/>
        <v>8.8768006590136797E-2</v>
      </c>
      <c r="V62" s="470">
        <f t="shared" si="34"/>
        <v>0</v>
      </c>
      <c r="W62" s="470">
        <f t="shared" si="34"/>
        <v>0</v>
      </c>
      <c r="X62" s="470" t="str">
        <f t="shared" si="34"/>
        <v/>
      </c>
      <c r="Y62" s="470">
        <f t="shared" si="19"/>
        <v>1.0291837929282208</v>
      </c>
      <c r="Z62" s="470">
        <f t="shared" si="34"/>
        <v>8.6927797771171253E-2</v>
      </c>
      <c r="AA62" s="470">
        <f t="shared" si="34"/>
        <v>0</v>
      </c>
      <c r="AB62" s="470">
        <f t="shared" si="34"/>
        <v>0.15408320493066255</v>
      </c>
      <c r="AC62" s="470">
        <f t="shared" si="20"/>
        <v>5.9745722206290028E-2</v>
      </c>
      <c r="AD62" s="470" t="str">
        <f t="shared" si="34"/>
        <v/>
      </c>
      <c r="AE62" s="470" t="str">
        <f t="shared" si="34"/>
        <v/>
      </c>
      <c r="AF62" s="470" t="str">
        <f t="shared" si="34"/>
        <v/>
      </c>
      <c r="AG62" s="470"/>
      <c r="AH62" s="471">
        <f t="shared" si="15"/>
        <v>0.11249236041996702</v>
      </c>
      <c r="AI62" s="479">
        <v>0.1</v>
      </c>
      <c r="AJ62" s="480">
        <f>AI62-AH62</f>
        <v>-1.2492360419967014E-2</v>
      </c>
    </row>
    <row r="63" spans="1:38" s="419" customFormat="1" x14ac:dyDescent="0.4">
      <c r="A63" s="473" t="s">
        <v>141</v>
      </c>
      <c r="B63" s="594" t="str">
        <f t="shared" ref="B63:C63" si="35">IF(B$9=0,"",+(B45*10)/B$9)</f>
        <v/>
      </c>
      <c r="C63" s="594" t="str">
        <f t="shared" si="35"/>
        <v/>
      </c>
      <c r="D63" s="594">
        <f>IF(D$9=0,"",+(D45*10)/D$9)</f>
        <v>1.1481108983278911</v>
      </c>
      <c r="E63" s="617">
        <f t="shared" ref="E63:AF63" si="36">IF(E$9=0,"",+(E45*10)/E$9)</f>
        <v>0.95128311304600843</v>
      </c>
      <c r="F63" s="617">
        <f t="shared" si="36"/>
        <v>0.67540186410914493</v>
      </c>
      <c r="G63" s="617">
        <f t="shared" si="36"/>
        <v>0.8047277756821325</v>
      </c>
      <c r="H63" s="617" t="str">
        <f t="shared" si="36"/>
        <v/>
      </c>
      <c r="I63" s="617" t="str">
        <f t="shared" si="36"/>
        <v/>
      </c>
      <c r="J63" s="617" t="str">
        <f t="shared" si="36"/>
        <v/>
      </c>
      <c r="K63" s="617">
        <f t="shared" si="36"/>
        <v>0.53341868032218487</v>
      </c>
      <c r="L63" s="617">
        <f t="shared" si="36"/>
        <v>0.39188706685593355</v>
      </c>
      <c r="M63" s="617">
        <f t="shared" si="36"/>
        <v>0.50031632903384071</v>
      </c>
      <c r="N63" s="617">
        <f t="shared" si="36"/>
        <v>0.50152786882896827</v>
      </c>
      <c r="O63" s="617">
        <f t="shared" si="36"/>
        <v>0.74057616825890538</v>
      </c>
      <c r="P63" s="594" t="str">
        <f t="shared" si="36"/>
        <v/>
      </c>
      <c r="Q63" s="594" t="str">
        <f t="shared" si="36"/>
        <v/>
      </c>
      <c r="R63" s="617">
        <f t="shared" si="36"/>
        <v>0.73349789199084081</v>
      </c>
      <c r="S63" s="617">
        <f t="shared" si="36"/>
        <v>0.7384056118826503</v>
      </c>
      <c r="T63" s="594">
        <f t="shared" si="36"/>
        <v>0.84588056166469283</v>
      </c>
      <c r="U63" s="594">
        <f t="shared" si="36"/>
        <v>0.71014405272109438</v>
      </c>
      <c r="V63" s="594">
        <f t="shared" si="36"/>
        <v>0.4654502899090377</v>
      </c>
      <c r="W63" s="594">
        <f t="shared" si="36"/>
        <v>2.2767115178835691</v>
      </c>
      <c r="X63" s="594" t="str">
        <f t="shared" si="36"/>
        <v/>
      </c>
      <c r="Y63" s="594">
        <f t="shared" si="19"/>
        <v>0.54675388999311736</v>
      </c>
      <c r="Z63" s="594">
        <f t="shared" si="36"/>
        <v>0.27816895286774801</v>
      </c>
      <c r="AA63" s="594">
        <f t="shared" si="36"/>
        <v>0.29086255290062679</v>
      </c>
      <c r="AB63" s="594">
        <f t="shared" si="36"/>
        <v>0.28248587570621464</v>
      </c>
      <c r="AC63" s="594">
        <f t="shared" si="20"/>
        <v>0.2788133702960201</v>
      </c>
      <c r="AD63" s="594" t="str">
        <f t="shared" si="36"/>
        <v/>
      </c>
      <c r="AE63" s="594" t="str">
        <f t="shared" si="36"/>
        <v/>
      </c>
      <c r="AF63" s="594" t="str">
        <f t="shared" si="36"/>
        <v/>
      </c>
      <c r="AG63" s="594"/>
      <c r="AH63" s="600">
        <f t="shared" si="15"/>
        <v>0.71283424306938281</v>
      </c>
      <c r="AI63" s="474">
        <v>0.6</v>
      </c>
      <c r="AJ63" s="475">
        <f t="shared" ref="AJ63:AJ67" si="37">AI63-AH63</f>
        <v>-0.11283424306938283</v>
      </c>
    </row>
    <row r="64" spans="1:38" s="476" customFormat="1" x14ac:dyDescent="0.4">
      <c r="A64" s="481" t="s">
        <v>182</v>
      </c>
      <c r="B64" s="470"/>
      <c r="C64" s="470"/>
      <c r="D64" s="470"/>
      <c r="E64" s="470"/>
      <c r="F64" s="470"/>
      <c r="G64" s="470"/>
      <c r="H64" s="470"/>
      <c r="I64" s="470"/>
      <c r="J64" s="470"/>
      <c r="K64" s="470"/>
      <c r="L64" s="470"/>
      <c r="M64" s="470"/>
      <c r="N64" s="470"/>
      <c r="O64" s="470"/>
      <c r="P64" s="470"/>
      <c r="Q64" s="470"/>
      <c r="R64" s="470"/>
      <c r="S64" s="470"/>
      <c r="T64" s="470"/>
      <c r="U64" s="470"/>
      <c r="V64" s="470"/>
      <c r="W64" s="470"/>
      <c r="X64" s="470"/>
      <c r="Y64" s="470"/>
      <c r="Z64" s="470"/>
      <c r="AA64" s="470"/>
      <c r="AB64" s="470"/>
      <c r="AC64" s="470"/>
      <c r="AD64" s="470"/>
      <c r="AE64" s="470"/>
      <c r="AF64" s="470"/>
      <c r="AG64" s="470"/>
      <c r="AH64" s="471"/>
      <c r="AI64" s="482">
        <v>0.5</v>
      </c>
      <c r="AJ64" s="483">
        <f t="shared" si="37"/>
        <v>0.5</v>
      </c>
      <c r="AL64" s="395"/>
    </row>
    <row r="65" spans="1:38" s="419" customFormat="1" x14ac:dyDescent="0.4">
      <c r="A65" s="473" t="s">
        <v>222</v>
      </c>
      <c r="B65" s="594" t="str">
        <f t="shared" ref="B65:C65" si="38">IF(B$9=0,"",+(B46*10)/B$9)</f>
        <v/>
      </c>
      <c r="C65" s="594" t="str">
        <f t="shared" si="38"/>
        <v/>
      </c>
      <c r="D65" s="594">
        <f>IF(D$9=0,"",+(D46*10)/D$9)</f>
        <v>0</v>
      </c>
      <c r="E65" s="625">
        <f t="shared" ref="E65:AF65" si="39">IF(E$9=0,"",+(E46*10)/E$9)</f>
        <v>0</v>
      </c>
      <c r="F65" s="625">
        <f t="shared" si="39"/>
        <v>0</v>
      </c>
      <c r="G65" s="625">
        <f t="shared" si="39"/>
        <v>0</v>
      </c>
      <c r="H65" s="594" t="str">
        <f t="shared" si="39"/>
        <v/>
      </c>
      <c r="I65" s="594" t="str">
        <f t="shared" si="39"/>
        <v/>
      </c>
      <c r="J65" s="594" t="str">
        <f>IF(J$9=0,"",+(J46*10)/J$9)</f>
        <v/>
      </c>
      <c r="K65" s="594">
        <f t="shared" si="39"/>
        <v>0</v>
      </c>
      <c r="L65" s="625">
        <f t="shared" si="39"/>
        <v>0</v>
      </c>
      <c r="M65" s="594">
        <f t="shared" si="39"/>
        <v>0</v>
      </c>
      <c r="N65" s="594">
        <f t="shared" si="39"/>
        <v>0</v>
      </c>
      <c r="O65" s="594">
        <f t="shared" si="39"/>
        <v>0</v>
      </c>
      <c r="P65" s="594" t="str">
        <f t="shared" si="39"/>
        <v/>
      </c>
      <c r="Q65" s="594" t="str">
        <f t="shared" si="39"/>
        <v/>
      </c>
      <c r="R65" s="594">
        <f t="shared" si="39"/>
        <v>0</v>
      </c>
      <c r="S65" s="594">
        <f t="shared" si="39"/>
        <v>0</v>
      </c>
      <c r="T65" s="594">
        <f t="shared" si="39"/>
        <v>0</v>
      </c>
      <c r="U65" s="594">
        <f t="shared" si="39"/>
        <v>0</v>
      </c>
      <c r="V65" s="625">
        <f t="shared" si="39"/>
        <v>0</v>
      </c>
      <c r="W65" s="625">
        <f t="shared" si="39"/>
        <v>0</v>
      </c>
      <c r="X65" s="625" t="str">
        <f t="shared" si="39"/>
        <v/>
      </c>
      <c r="Y65" s="625">
        <f>IF(Y$9=0,"",+(Y46*10)/Y$9)</f>
        <v>0</v>
      </c>
      <c r="Z65" s="625">
        <f t="shared" si="39"/>
        <v>0</v>
      </c>
      <c r="AA65" s="625">
        <f t="shared" si="39"/>
        <v>0</v>
      </c>
      <c r="AB65" s="625">
        <f t="shared" si="39"/>
        <v>0</v>
      </c>
      <c r="AC65" s="625">
        <f>IF(AC$9=0,"",+(AC46*10)/AC$9)</f>
        <v>0</v>
      </c>
      <c r="AD65" s="625" t="str">
        <f t="shared" si="39"/>
        <v/>
      </c>
      <c r="AE65" s="625" t="str">
        <f t="shared" si="39"/>
        <v/>
      </c>
      <c r="AF65" s="625" t="str">
        <f t="shared" si="39"/>
        <v/>
      </c>
      <c r="AG65" s="625"/>
      <c r="AH65" s="600">
        <f>+(AH46*10)/AH$9</f>
        <v>0</v>
      </c>
      <c r="AI65" s="474">
        <v>0.3</v>
      </c>
      <c r="AJ65" s="475">
        <f t="shared" si="37"/>
        <v>0.3</v>
      </c>
    </row>
    <row r="66" spans="1:38" s="476" customFormat="1" hidden="1" x14ac:dyDescent="0.4">
      <c r="A66" s="485" t="s">
        <v>208</v>
      </c>
      <c r="B66" s="486"/>
      <c r="C66" s="486"/>
      <c r="D66" s="486"/>
      <c r="E66" s="486"/>
      <c r="F66" s="486"/>
      <c r="G66" s="486"/>
      <c r="H66" s="486"/>
      <c r="I66" s="486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535"/>
      <c r="V66" s="535"/>
      <c r="W66" s="535"/>
      <c r="X66" s="535"/>
      <c r="Y66" s="535"/>
      <c r="Z66" s="535"/>
      <c r="AA66" s="535"/>
      <c r="AB66" s="535"/>
      <c r="AC66" s="535"/>
      <c r="AD66" s="535"/>
      <c r="AE66" s="535"/>
      <c r="AF66" s="535"/>
      <c r="AG66" s="535"/>
      <c r="AH66" s="487"/>
      <c r="AI66" s="487">
        <v>0.4</v>
      </c>
      <c r="AJ66" s="488">
        <f t="shared" si="37"/>
        <v>0.4</v>
      </c>
      <c r="AL66" s="395"/>
    </row>
    <row r="67" spans="1:38" s="477" customFormat="1" hidden="1" x14ac:dyDescent="0.4">
      <c r="A67" s="595" t="s">
        <v>221</v>
      </c>
      <c r="B67" s="596"/>
      <c r="C67" s="596"/>
      <c r="D67" s="596"/>
      <c r="E67" s="596"/>
      <c r="F67" s="596"/>
      <c r="G67" s="596"/>
      <c r="H67" s="596"/>
      <c r="I67" s="596"/>
      <c r="J67" s="597"/>
      <c r="K67" s="597"/>
      <c r="L67" s="597"/>
      <c r="M67" s="597"/>
      <c r="N67" s="597"/>
      <c r="O67" s="597"/>
      <c r="P67" s="597"/>
      <c r="Q67" s="597"/>
      <c r="R67" s="597"/>
      <c r="S67" s="597"/>
      <c r="T67" s="597"/>
      <c r="U67" s="597"/>
      <c r="V67" s="597"/>
      <c r="W67" s="597"/>
      <c r="X67" s="597"/>
      <c r="Y67" s="597"/>
      <c r="Z67" s="597"/>
      <c r="AA67" s="597"/>
      <c r="AB67" s="597"/>
      <c r="AC67" s="597"/>
      <c r="AD67" s="597"/>
      <c r="AE67" s="597"/>
      <c r="AF67" s="597"/>
      <c r="AG67" s="597"/>
      <c r="AH67" s="598"/>
      <c r="AI67" s="598">
        <v>0.2</v>
      </c>
      <c r="AJ67" s="599">
        <f t="shared" si="37"/>
        <v>0.2</v>
      </c>
      <c r="AL67" s="419"/>
    </row>
    <row r="68" spans="1:38" s="397" customFormat="1" ht="30" x14ac:dyDescent="0.4">
      <c r="A68" s="489" t="s">
        <v>248</v>
      </c>
      <c r="B68" s="490">
        <f>SUM(B54:B63,B65)</f>
        <v>0</v>
      </c>
      <c r="C68" s="490">
        <f>SUM(C54:C63,C65)</f>
        <v>0</v>
      </c>
      <c r="D68" s="490">
        <f>SUM(D54:D63,D65)</f>
        <v>8.6491021007367799</v>
      </c>
      <c r="E68" s="490">
        <f>SUM(E54:E63,E65)</f>
        <v>6.9574235522776702</v>
      </c>
      <c r="F68" s="490">
        <f t="shared" ref="F68:AJ68" si="40">SUM(F54:F63,F65)</f>
        <v>8.0565793790162292</v>
      </c>
      <c r="G68" s="490">
        <f t="shared" si="40"/>
        <v>9.581290079215389</v>
      </c>
      <c r="H68" s="490">
        <f t="shared" si="40"/>
        <v>0</v>
      </c>
      <c r="I68" s="490">
        <f t="shared" si="40"/>
        <v>0</v>
      </c>
      <c r="J68" s="536">
        <f t="shared" si="40"/>
        <v>0</v>
      </c>
      <c r="K68" s="536">
        <f t="shared" si="40"/>
        <v>9.3105806019872261</v>
      </c>
      <c r="L68" s="536">
        <f t="shared" si="40"/>
        <v>6.9668811885499311</v>
      </c>
      <c r="M68" s="536">
        <f t="shared" si="40"/>
        <v>6.2136060218718923</v>
      </c>
      <c r="N68" s="536">
        <f t="shared" si="40"/>
        <v>8.2572981260769414</v>
      </c>
      <c r="O68" s="536">
        <f t="shared" si="40"/>
        <v>11.680905926629098</v>
      </c>
      <c r="P68" s="536">
        <f t="shared" si="40"/>
        <v>0</v>
      </c>
      <c r="Q68" s="536">
        <f t="shared" si="40"/>
        <v>0</v>
      </c>
      <c r="R68" s="536">
        <f t="shared" si="40"/>
        <v>11.704075059158198</v>
      </c>
      <c r="S68" s="536">
        <f t="shared" si="40"/>
        <v>10.735281588140069</v>
      </c>
      <c r="T68" s="536">
        <f t="shared" si="40"/>
        <v>9.227787945433013</v>
      </c>
      <c r="U68" s="536">
        <f t="shared" si="40"/>
        <v>11.4214835145976</v>
      </c>
      <c r="V68" s="536">
        <f t="shared" si="40"/>
        <v>7.3142188414277349</v>
      </c>
      <c r="W68" s="536">
        <f t="shared" si="40"/>
        <v>7.2854768572274207</v>
      </c>
      <c r="X68" s="536">
        <f t="shared" si="40"/>
        <v>0</v>
      </c>
      <c r="Y68" s="536">
        <f t="shared" si="40"/>
        <v>13.73317123688595</v>
      </c>
      <c r="Z68" s="536">
        <f t="shared" si="40"/>
        <v>6.8499104643682944</v>
      </c>
      <c r="AA68" s="536">
        <f t="shared" si="40"/>
        <v>9.2348860545949023</v>
      </c>
      <c r="AB68" s="536">
        <f t="shared" si="40"/>
        <v>9.8099640472521816</v>
      </c>
      <c r="AC68" s="536">
        <f t="shared" si="40"/>
        <v>8.0656724978491532</v>
      </c>
      <c r="AD68" s="536">
        <f t="shared" si="40"/>
        <v>0</v>
      </c>
      <c r="AE68" s="536">
        <f t="shared" si="40"/>
        <v>0</v>
      </c>
      <c r="AF68" s="536">
        <f t="shared" si="40"/>
        <v>0</v>
      </c>
      <c r="AG68" s="622"/>
      <c r="AH68" s="490">
        <f t="shared" si="40"/>
        <v>9.0372689141469422</v>
      </c>
      <c r="AI68" s="490">
        <f t="shared" si="40"/>
        <v>9.6</v>
      </c>
      <c r="AJ68" s="484">
        <f t="shared" si="40"/>
        <v>0.56273108585305809</v>
      </c>
      <c r="AL68" s="395"/>
    </row>
    <row r="69" spans="1:38" s="493" customFormat="1" thickBot="1" x14ac:dyDescent="0.4">
      <c r="A69" s="491" t="s">
        <v>224</v>
      </c>
      <c r="B69" s="492">
        <f t="shared" ref="B69" si="41">SUM(B60:B62)</f>
        <v>0</v>
      </c>
      <c r="C69" s="492">
        <f>SUM(C60:C62)</f>
        <v>0</v>
      </c>
      <c r="D69" s="492">
        <f t="shared" ref="D69:AJ69" si="42">SUM(D60:D62)</f>
        <v>2.2005458884617912</v>
      </c>
      <c r="E69" s="492">
        <f t="shared" si="42"/>
        <v>1.8093031757933886</v>
      </c>
      <c r="F69" s="492">
        <f t="shared" si="42"/>
        <v>1.9297196117404143</v>
      </c>
      <c r="G69" s="492">
        <f t="shared" si="42"/>
        <v>2.0118194392053312</v>
      </c>
      <c r="H69" s="492">
        <f t="shared" si="42"/>
        <v>0</v>
      </c>
      <c r="I69" s="492">
        <f t="shared" si="42"/>
        <v>0</v>
      </c>
      <c r="J69" s="537">
        <f t="shared" si="42"/>
        <v>0</v>
      </c>
      <c r="K69" s="537">
        <f t="shared" si="42"/>
        <v>2.7155860089129411</v>
      </c>
      <c r="L69" s="537">
        <f t="shared" si="42"/>
        <v>1.9304066626607099</v>
      </c>
      <c r="M69" s="537">
        <f t="shared" si="42"/>
        <v>1.7753160062491122</v>
      </c>
      <c r="N69" s="537">
        <f t="shared" si="42"/>
        <v>2.0240231849169077</v>
      </c>
      <c r="O69" s="537">
        <f t="shared" si="42"/>
        <v>2.6256791420088463</v>
      </c>
      <c r="P69" s="537">
        <f t="shared" si="42"/>
        <v>0</v>
      </c>
      <c r="Q69" s="537">
        <f t="shared" si="42"/>
        <v>0</v>
      </c>
      <c r="R69" s="537">
        <f t="shared" si="42"/>
        <v>2.5512970156203156</v>
      </c>
      <c r="S69" s="537">
        <f t="shared" si="42"/>
        <v>2.2436170514895912</v>
      </c>
      <c r="T69" s="537">
        <f t="shared" si="42"/>
        <v>2.2300487534796449</v>
      </c>
      <c r="U69" s="537">
        <f t="shared" si="42"/>
        <v>2.2487895002834657</v>
      </c>
      <c r="V69" s="537">
        <f t="shared" si="42"/>
        <v>1.6623224639608487</v>
      </c>
      <c r="W69" s="537">
        <f t="shared" si="42"/>
        <v>5.0087653393438512</v>
      </c>
      <c r="X69" s="537">
        <f t="shared" si="42"/>
        <v>0</v>
      </c>
      <c r="Y69" s="537">
        <f t="shared" si="42"/>
        <v>4.1810591587708972</v>
      </c>
      <c r="Z69" s="537">
        <f t="shared" si="42"/>
        <v>1.8254837531945964</v>
      </c>
      <c r="AA69" s="537">
        <f t="shared" si="42"/>
        <v>1.9390836860041785</v>
      </c>
      <c r="AB69" s="537">
        <f t="shared" si="42"/>
        <v>2.3112480739599386</v>
      </c>
      <c r="AC69" s="537">
        <f t="shared" si="42"/>
        <v>1.7923716661887008</v>
      </c>
      <c r="AD69" s="537">
        <f t="shared" si="42"/>
        <v>0</v>
      </c>
      <c r="AE69" s="537">
        <f t="shared" si="42"/>
        <v>0</v>
      </c>
      <c r="AF69" s="537">
        <f t="shared" si="42"/>
        <v>0</v>
      </c>
      <c r="AG69" s="537"/>
      <c r="AH69" s="492">
        <f t="shared" si="42"/>
        <v>2.2498472083993404</v>
      </c>
      <c r="AI69" s="492">
        <f t="shared" si="42"/>
        <v>2.9</v>
      </c>
      <c r="AJ69" s="492">
        <f t="shared" si="42"/>
        <v>0.65015279160065964</v>
      </c>
      <c r="AL69" s="395"/>
    </row>
    <row r="70" spans="1:38" x14ac:dyDescent="0.4">
      <c r="A70" s="438"/>
      <c r="B70" s="404"/>
      <c r="C70" s="404"/>
      <c r="D70" s="404"/>
      <c r="E70" s="404"/>
      <c r="F70" s="404"/>
      <c r="G70" s="404"/>
      <c r="H70" s="404"/>
      <c r="I70" s="40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  <c r="X70" s="464"/>
      <c r="Y70" s="464"/>
      <c r="Z70" s="464"/>
      <c r="AA70" s="464"/>
      <c r="AB70" s="464"/>
      <c r="AC70" s="464"/>
      <c r="AD70" s="464"/>
      <c r="AE70" s="464"/>
      <c r="AH70" s="404"/>
      <c r="AI70" s="404"/>
    </row>
    <row r="71" spans="1:38" s="601" customFormat="1" ht="52.5" x14ac:dyDescent="0.4">
      <c r="A71" s="614" t="s">
        <v>259</v>
      </c>
      <c r="B71" s="615" t="str">
        <f>+'Water '!$F7</f>
        <v>0</v>
      </c>
      <c r="C71" s="615">
        <f>+'Water '!$F8</f>
        <v>352</v>
      </c>
      <c r="D71" s="615">
        <f>+'Water '!$F9</f>
        <v>197</v>
      </c>
      <c r="E71" s="615">
        <f>+'Water '!$F10</f>
        <v>219</v>
      </c>
      <c r="F71" s="615">
        <f>+'Water '!$F11</f>
        <v>149</v>
      </c>
      <c r="G71" s="615">
        <f>+'Water '!$F12</f>
        <v>224</v>
      </c>
      <c r="H71" s="615" t="str">
        <f>+'Water '!$F13</f>
        <v>0</v>
      </c>
      <c r="I71" s="615">
        <f>+'Water '!$F14</f>
        <v>36</v>
      </c>
      <c r="J71" s="616" t="str">
        <f>+'Water '!$F15</f>
        <v>0</v>
      </c>
      <c r="K71" s="616">
        <f>+'Water '!$F16</f>
        <v>75</v>
      </c>
      <c r="L71" s="616">
        <f>+'Water '!$F17</f>
        <v>230</v>
      </c>
      <c r="M71" s="616">
        <f>+'Water '!$F18</f>
        <v>177</v>
      </c>
      <c r="N71" s="616">
        <f>+'Water '!$F19</f>
        <v>270</v>
      </c>
      <c r="O71" s="616">
        <f>+'Water '!$F20</f>
        <v>269</v>
      </c>
      <c r="P71" s="616">
        <f>+'Water '!$F21</f>
        <v>200</v>
      </c>
      <c r="Q71" s="616" t="str">
        <f>+'Water '!$F22</f>
        <v>0</v>
      </c>
      <c r="R71" s="616">
        <f>+'Water '!$F23</f>
        <v>211</v>
      </c>
      <c r="S71" s="616">
        <f>+'Water '!$F24</f>
        <v>140</v>
      </c>
      <c r="T71" s="616">
        <f>+'Water '!$F25</f>
        <v>251</v>
      </c>
      <c r="U71" s="616">
        <f>+'Water '!$F26</f>
        <v>274</v>
      </c>
      <c r="V71" s="616">
        <f>+'Water '!$F27</f>
        <v>262</v>
      </c>
      <c r="W71" s="616">
        <f>+'Water '!$F28</f>
        <v>7</v>
      </c>
      <c r="X71" s="616">
        <f>+'Water '!$F29</f>
        <v>87</v>
      </c>
      <c r="Y71" s="616">
        <f>+'Water '!$F30</f>
        <v>241</v>
      </c>
      <c r="Z71" s="616">
        <f>+'Water '!$F31</f>
        <v>287</v>
      </c>
      <c r="AA71" s="616">
        <f>+'Water '!$F32</f>
        <v>256</v>
      </c>
      <c r="AB71" s="616">
        <f>+'Water '!$F33</f>
        <v>222</v>
      </c>
      <c r="AC71" s="616">
        <f>+'Water '!$F34</f>
        <v>276</v>
      </c>
      <c r="AD71" s="616" t="str">
        <f>+'Water '!$F35</f>
        <v>0</v>
      </c>
      <c r="AE71" s="616" t="str">
        <f>+'Water '!$F36</f>
        <v>0</v>
      </c>
      <c r="AF71" s="616" t="str">
        <f>+'Water '!$F37</f>
        <v>0</v>
      </c>
      <c r="AG71" s="616"/>
      <c r="AH71" s="604">
        <f>SUM($B71:AC71)</f>
        <v>4912</v>
      </c>
      <c r="AI71" s="604"/>
    </row>
    <row r="72" spans="1:38" x14ac:dyDescent="0.4">
      <c r="A72" s="438"/>
      <c r="B72" s="404"/>
      <c r="C72" s="404"/>
      <c r="D72" s="404"/>
      <c r="E72" s="404"/>
      <c r="F72" s="404"/>
      <c r="G72" s="404"/>
      <c r="H72" s="404"/>
      <c r="I72" s="404"/>
      <c r="J72" s="464"/>
      <c r="K72" s="464"/>
      <c r="L72" s="464"/>
      <c r="M72" s="464"/>
      <c r="N72" s="464"/>
      <c r="O72" s="464"/>
      <c r="P72" s="464"/>
      <c r="Q72" s="464"/>
      <c r="R72" s="464"/>
      <c r="S72" s="464"/>
      <c r="T72" s="464"/>
      <c r="U72" s="464"/>
      <c r="V72" s="464"/>
      <c r="W72" s="464"/>
      <c r="X72" s="464"/>
      <c r="Y72" s="464"/>
      <c r="Z72" s="464"/>
      <c r="AA72" s="464"/>
      <c r="AB72" s="464"/>
      <c r="AC72" s="464"/>
      <c r="AD72" s="464"/>
      <c r="AE72" s="464"/>
      <c r="AH72" s="404"/>
      <c r="AI72" s="404"/>
    </row>
    <row r="73" spans="1:38" ht="25.5" customHeight="1" x14ac:dyDescent="0.5">
      <c r="A73" s="463" t="s">
        <v>289</v>
      </c>
      <c r="B73" s="404"/>
      <c r="C73" s="404"/>
      <c r="D73" s="404"/>
      <c r="E73" s="404"/>
      <c r="F73" s="464"/>
      <c r="G73" s="464"/>
      <c r="H73" s="464"/>
      <c r="I73" s="464"/>
      <c r="J73" s="464"/>
      <c r="K73" s="464"/>
      <c r="L73" s="464"/>
      <c r="M73" s="464"/>
      <c r="N73" s="464"/>
      <c r="O73" s="464"/>
      <c r="P73" s="464"/>
      <c r="Q73" s="464"/>
      <c r="R73" s="464"/>
      <c r="S73" s="464"/>
      <c r="T73" s="464"/>
      <c r="U73" s="464"/>
      <c r="V73" s="464"/>
      <c r="W73" s="464"/>
      <c r="X73" s="464"/>
      <c r="Y73" s="464"/>
      <c r="Z73" s="464"/>
      <c r="AA73" s="464"/>
      <c r="AB73" s="464"/>
      <c r="AC73" s="464"/>
      <c r="AD73" s="464"/>
      <c r="AE73" s="464"/>
      <c r="AF73" s="464"/>
      <c r="AG73" s="464"/>
      <c r="AH73" s="464">
        <f>SUM(B73:AC73)</f>
        <v>0</v>
      </c>
      <c r="AI73" s="465"/>
    </row>
    <row r="74" spans="1:38" s="419" customFormat="1" ht="37.5" customHeight="1" x14ac:dyDescent="0.5">
      <c r="A74" s="564" t="s">
        <v>247</v>
      </c>
      <c r="B74" s="654"/>
      <c r="C74" s="673">
        <v>900</v>
      </c>
      <c r="D74" s="679">
        <f>1100+800</f>
        <v>1900</v>
      </c>
      <c r="E74" s="641">
        <f>800+1600</f>
        <v>2400</v>
      </c>
      <c r="F74" s="672">
        <v>1750</v>
      </c>
      <c r="G74" s="672">
        <f>1750+300</f>
        <v>2050</v>
      </c>
      <c r="H74" s="654"/>
      <c r="I74" s="654"/>
      <c r="J74" s="673">
        <v>700</v>
      </c>
      <c r="K74" s="654">
        <v>1700</v>
      </c>
      <c r="L74" s="654">
        <v>2400</v>
      </c>
      <c r="M74" s="654">
        <v>2400</v>
      </c>
      <c r="N74" s="654">
        <v>2500</v>
      </c>
      <c r="O74" s="679">
        <f>1400+900</f>
        <v>2300</v>
      </c>
      <c r="P74" s="636">
        <v>0</v>
      </c>
      <c r="Q74" s="681">
        <f>5200-2400</f>
        <v>2800</v>
      </c>
      <c r="R74" s="680">
        <v>1600</v>
      </c>
      <c r="S74" s="672">
        <f>1600</f>
        <v>1600</v>
      </c>
      <c r="T74" s="672">
        <v>1300</v>
      </c>
      <c r="U74" s="672">
        <v>2000</v>
      </c>
      <c r="V74" s="654">
        <v>1500</v>
      </c>
      <c r="W74" s="654"/>
      <c r="X74" s="654"/>
      <c r="Y74" s="654">
        <v>1600</v>
      </c>
      <c r="Z74" s="654">
        <v>2400</v>
      </c>
      <c r="AA74" s="654">
        <v>2200</v>
      </c>
      <c r="AB74" s="654">
        <v>1900</v>
      </c>
      <c r="AC74" s="679">
        <f>1800+800</f>
        <v>2600</v>
      </c>
      <c r="AD74" s="680">
        <v>0</v>
      </c>
      <c r="AE74" s="672"/>
      <c r="AF74" s="672"/>
      <c r="AG74" s="672"/>
      <c r="AH74" s="628">
        <f>SUM(B74:AC74)</f>
        <v>42500</v>
      </c>
      <c r="AI74" s="467"/>
      <c r="AJ74" s="467"/>
    </row>
    <row r="75" spans="1:38" x14ac:dyDescent="0.4">
      <c r="A75" s="564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  <c r="AA75" s="468"/>
      <c r="AB75" s="468"/>
      <c r="AC75" s="468"/>
      <c r="AD75" s="468"/>
      <c r="AE75" s="468"/>
      <c r="AF75" s="468"/>
      <c r="AG75" s="468"/>
      <c r="AH75" s="524">
        <f>SUM($B75:AC75)</f>
        <v>0</v>
      </c>
      <c r="AI75" s="404"/>
    </row>
    <row r="76" spans="1:38" s="688" customFormat="1" ht="37.15" customHeight="1" x14ac:dyDescent="0.2">
      <c r="A76" s="688" t="s">
        <v>290</v>
      </c>
      <c r="B76" s="689">
        <f>IF('Entries Feb.''25'!$N8-'Entries Feb.''25'!$N7&lt;1,0,'Entries Feb.''25'!$N8-'Entries Feb.''25'!$N7)</f>
        <v>0</v>
      </c>
      <c r="C76" s="689">
        <f>IF('Entries Feb.''25'!$N9-'Entries Feb.''25'!$N8&lt;1,0,'Entries Feb.''25'!$N9-'Entries Feb.''25'!$N8)</f>
        <v>0</v>
      </c>
      <c r="D76" s="689">
        <f>IF('Entries Feb.''25'!$N10-'Entries Feb.''25'!$N9&lt;1,0,'Entries Feb.''25'!$N10-'Entries Feb.''25'!$N9)</f>
        <v>29.340000000000032</v>
      </c>
      <c r="E76" s="689">
        <f>IF('Entries Feb.''25'!$N11-'Entries Feb.''25'!$N10&lt;1,0,'Entries Feb.''25'!$N11-'Entries Feb.''25'!$N10)</f>
        <v>43.049999999999955</v>
      </c>
      <c r="F76" s="689">
        <f>IF('Entries Feb.''25'!$N12-'Entries Feb.''25'!$N11&lt;1,0,'Entries Feb.''25'!$N12-'Entries Feb.''25'!$N11)</f>
        <v>40.720000000000027</v>
      </c>
      <c r="G76" s="689">
        <f>IF('Entries Feb.''25'!$N13-'Entries Feb.''25'!$N12&lt;1,0,'Entries Feb.''25'!$N13-'Entries Feb.''25'!$N12)</f>
        <v>4.3899999999999864</v>
      </c>
      <c r="H76" s="689">
        <f>IF('Entries Feb.''25'!$N14-'Entries Feb.''25'!$N13&lt;1,0,'Entries Feb.''25'!$N14-'Entries Feb.''25'!$N13)</f>
        <v>0</v>
      </c>
      <c r="I76" s="689">
        <f>IF('Entries Feb.''25'!$N14-'Entries Feb.''25'!$N13&lt;1,0,'Entries Feb.''25'!$N14-'Entries Feb.''25'!$N13)</f>
        <v>0</v>
      </c>
      <c r="J76" s="689">
        <f>IF('Entries Feb.''25'!$N15-'Entries Feb.''25'!$N14&lt;1,0,'Entries Feb.''25'!$N15-'Entries Feb.''25'!$N14)</f>
        <v>0</v>
      </c>
      <c r="K76" s="689">
        <f>IF('Entries Feb.''25'!$N16-'Entries Feb.''25'!$N15&lt;1,0,'Entries Feb.''25'!$N16-'Entries Feb.''25'!$N15)</f>
        <v>0</v>
      </c>
      <c r="L76" s="689">
        <f>IF('Entries Feb.''25'!$N17-'Entries Feb.''25'!$N16&lt;1,0,'Entries Feb.''25'!$N17-'Entries Feb.''25'!$N16)</f>
        <v>20</v>
      </c>
      <c r="M76" s="689">
        <f>IF('Entries Feb.''25'!$N18-'Entries Feb.''25'!$N17&lt;1,0,'Entries Feb.''25'!$N18-'Entries Feb.''25'!$N17)</f>
        <v>34.580000000000041</v>
      </c>
      <c r="N76" s="689">
        <f>IF('Entries Feb.''25'!$N19-'Entries Feb.''25'!$N18&lt;1,0,'Entries Feb.''25'!$N19-'Entries Feb.''25'!$N18)</f>
        <v>31.399999999999977</v>
      </c>
      <c r="O76" s="689">
        <f>IF('Entries Feb.''25'!$N20-'Entries Feb.''25'!$N19&lt;1,0,'Entries Feb.''25'!$N20-'Entries Feb.''25'!$N19)</f>
        <v>37.139999999999986</v>
      </c>
      <c r="P76" s="689">
        <f>IF('Entries Feb.''25'!$N21-'Entries Feb.''25'!$N20&lt;1,0,'Entries Feb.''25'!$N21-'Entries Feb.''25'!$N20)</f>
        <v>23.200000000000045</v>
      </c>
      <c r="Q76" s="689">
        <f>IF('Entries Feb.''25'!$N22-'Entries Feb.''25'!$N21&lt;1,0,'Entries Feb.''25'!$N22-'Entries Feb.''25'!$N21)</f>
        <v>0</v>
      </c>
      <c r="R76" s="689">
        <f>IF('Entries Feb.''25'!$N23-'Entries Feb.''25'!$N22&lt;1,0,'Entries Feb.''25'!$N23-'Entries Feb.''25'!$N22)</f>
        <v>0</v>
      </c>
      <c r="S76" s="689">
        <f>IF('Entries Feb.''25'!$N24-'Entries Feb.''25'!$N23&lt;1,0,'Entries Feb.''25'!$N24-'Entries Feb.''25'!$N23)</f>
        <v>21.089999999999918</v>
      </c>
      <c r="T76" s="689">
        <f>IF('Entries Feb.''25'!$N25-'Entries Feb.''25'!$N24&lt;1,0,'Entries Feb.''25'!$N25-'Entries Feb.''25'!$N24)</f>
        <v>20.290000000000077</v>
      </c>
      <c r="U76" s="689">
        <f>IF('Entries Feb.''25'!$N26-'Entries Feb.''25'!$N25&lt;1,0,'Entries Feb.''25'!$N26-'Entries Feb.''25'!$N25)</f>
        <v>24.339999999999918</v>
      </c>
      <c r="V76" s="689">
        <f>IF('Entries Feb.''25'!$N27-'Entries Feb.''25'!$N26&lt;1,0,'Entries Feb.''25'!$N27-'Entries Feb.''25'!$N26)</f>
        <v>18.440000000000055</v>
      </c>
      <c r="W76" s="689">
        <f>IF('Entries Feb.''25'!$N28-'Entries Feb.''25'!$N27&lt;1,0,'Entries Feb.''25'!$N28-'Entries Feb.''25'!$N27)</f>
        <v>14.919999999999959</v>
      </c>
      <c r="X76" s="689">
        <f>IF('Entries Feb.''25'!$N29-'Entries Feb.''25'!$N28&lt;1,0,'Entries Feb.''25'!$N29-'Entries Feb.''25'!$N28)</f>
        <v>0</v>
      </c>
      <c r="Y76" s="689">
        <f>IF('Entries Feb.''25'!$N30-'Entries Feb.''25'!$N29&lt;1,0,'Entries Feb.''25'!$N30-'Entries Feb.''25'!$N29)</f>
        <v>0</v>
      </c>
      <c r="Z76" s="689">
        <f>IF('Entries Feb.''25'!$N31-'Entries Feb.''25'!$N30&lt;1,0,'Entries Feb.''25'!$N31-'Entries Feb.''25'!$N30)</f>
        <v>14.340000000000032</v>
      </c>
      <c r="AA76" s="689">
        <f>IF('Entries Feb.''25'!$N32-'Entries Feb.''25'!$N31&lt;1,0,'Entries Feb.''25'!$N32-'Entries Feb.''25'!$N31)</f>
        <v>19.009999999999991</v>
      </c>
      <c r="AB76" s="689">
        <f>IF('Entries Feb.''25'!$N33-'Entries Feb.''25'!$N32&lt;1,0,'Entries Feb.''25'!$N33-'Entries Feb.''25'!$N32)</f>
        <v>28.089999999999918</v>
      </c>
      <c r="AC76" s="689">
        <f>IF('Entries Feb.''25'!$N34-'Entries Feb.''25'!$N33&lt;1,0,'Entries Feb.''25'!$N34-'Entries Feb.''25'!$N33)</f>
        <v>6.57000000000005</v>
      </c>
      <c r="AD76" s="689">
        <f>IF('Entries Feb.''25'!$N35-'Entries Feb.''25'!$N34&lt;1,0,'Entries Feb.''25'!$N35-'Entries Feb.''25'!$N34)</f>
        <v>16</v>
      </c>
      <c r="AE76" s="689">
        <f>IF('Entries Feb.''25'!$N36-'Entries Feb.''25'!$N35&lt;1,0,'Entries Feb.''25'!$N36-'Entries Feb.''25'!$N35)</f>
        <v>0</v>
      </c>
      <c r="AF76" s="689">
        <f>IF('Entries Feb.''25'!$N37-'Entries Feb.''25'!$N36&lt;1,0,'Entries Feb.''25'!$N37-'Entries Feb.''25'!$N36)</f>
        <v>0</v>
      </c>
      <c r="AG76" s="689"/>
      <c r="AH76" s="689">
        <f>SUM($B76:AC76)</f>
        <v>430.90999999999997</v>
      </c>
      <c r="AI76" s="690"/>
    </row>
    <row r="77" spans="1:38" x14ac:dyDescent="0.4">
      <c r="A77" s="564"/>
      <c r="B77" s="431"/>
      <c r="C77" s="431"/>
      <c r="D77" s="431"/>
      <c r="E77" s="431"/>
      <c r="F77" s="431"/>
      <c r="G77" s="431"/>
      <c r="H77" s="431"/>
      <c r="I77" s="431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  <c r="AE77" s="468"/>
      <c r="AF77" s="468"/>
      <c r="AG77" s="468"/>
      <c r="AH77" s="524">
        <f>SUM($B77:AC77)</f>
        <v>0</v>
      </c>
      <c r="AI77" s="404"/>
    </row>
    <row r="78" spans="1:38" ht="35.450000000000003" customHeight="1" x14ac:dyDescent="0.5">
      <c r="A78" s="627" t="s">
        <v>261</v>
      </c>
      <c r="B78" s="641">
        <f>'Daily KPIs CO2'!B47</f>
        <v>0</v>
      </c>
      <c r="C78" s="641">
        <f>'Daily KPIs CO2'!C47</f>
        <v>0</v>
      </c>
      <c r="D78" s="641">
        <f>'Daily KPIs CO2'!D47</f>
        <v>0</v>
      </c>
      <c r="E78" s="641">
        <f>'Daily KPIs CO2'!E47</f>
        <v>0</v>
      </c>
      <c r="F78" s="641">
        <f>'Daily KPIs CO2'!F47</f>
        <v>0</v>
      </c>
      <c r="G78" s="641">
        <f>'Daily KPIs CO2'!G47</f>
        <v>0</v>
      </c>
      <c r="H78" s="641">
        <f>'Daily KPIs CO2'!H47</f>
        <v>0</v>
      </c>
      <c r="I78" s="641">
        <f>'Daily KPIs CO2'!I47</f>
        <v>0</v>
      </c>
      <c r="J78" s="642">
        <f>'Daily KPIs CO2'!J47</f>
        <v>0</v>
      </c>
      <c r="K78" s="642">
        <f>'Daily KPIs CO2'!K47</f>
        <v>0</v>
      </c>
      <c r="L78" s="642" t="s">
        <v>267</v>
      </c>
      <c r="M78" s="642">
        <f>'Daily KPIs CO2'!M47</f>
        <v>0</v>
      </c>
      <c r="N78" s="642"/>
      <c r="O78" s="642">
        <f>'Daily KPIs CO2'!O47</f>
        <v>0</v>
      </c>
      <c r="P78" s="642">
        <f>'Daily KPIs CO2'!P47</f>
        <v>0</v>
      </c>
      <c r="Q78" s="642">
        <f>'Daily KPIs CO2'!Q47</f>
        <v>0</v>
      </c>
      <c r="R78" s="642">
        <f>'Daily KPIs CO2'!R47</f>
        <v>0</v>
      </c>
      <c r="S78" s="642">
        <f>'Daily KPIs CO2'!S47</f>
        <v>0</v>
      </c>
      <c r="T78" s="642">
        <f>'Daily KPIs CO2'!T47</f>
        <v>0</v>
      </c>
      <c r="U78" s="642">
        <f>'Daily KPIs CO2'!U47</f>
        <v>0</v>
      </c>
      <c r="V78" s="642">
        <f>'Daily KPIs CO2'!V47</f>
        <v>0</v>
      </c>
      <c r="W78" s="642">
        <f>'Daily KPIs CO2'!W47</f>
        <v>0</v>
      </c>
      <c r="X78" s="642">
        <f>'Daily KPIs CO2'!X47</f>
        <v>0</v>
      </c>
      <c r="Y78" s="642">
        <f>'Daily KPIs CO2'!Y47</f>
        <v>0</v>
      </c>
      <c r="Z78" s="642">
        <f>'Daily KPIs CO2'!Z47</f>
        <v>0</v>
      </c>
      <c r="AA78" s="642">
        <f>'Daily KPIs CO2'!AA47</f>
        <v>0</v>
      </c>
      <c r="AB78" s="642">
        <f>'Daily KPIs CO2'!AB47</f>
        <v>0</v>
      </c>
      <c r="AC78" s="641">
        <f>'Daily KPIs CO2'!AC47</f>
        <v>0</v>
      </c>
      <c r="AD78" s="642">
        <f>'Daily KPIs CO2'!AD47</f>
        <v>0</v>
      </c>
      <c r="AE78" s="642">
        <f>'Daily KPIs CO2'!AE47</f>
        <v>0</v>
      </c>
      <c r="AF78" s="642">
        <f>'Daily KPIs CO2'!AF47</f>
        <v>0</v>
      </c>
      <c r="AG78" s="640"/>
      <c r="AH78" s="629">
        <f>SUM($B78:AC78)</f>
        <v>0</v>
      </c>
      <c r="AI78" s="404"/>
      <c r="AL78"/>
    </row>
    <row r="79" spans="1:38" s="605" customFormat="1" ht="32.450000000000003" customHeight="1" x14ac:dyDescent="0.4">
      <c r="A79" s="601" t="s">
        <v>144</v>
      </c>
      <c r="B79" s="602">
        <f>'Elec.Feb''25'!$B$7</f>
        <v>5855</v>
      </c>
      <c r="C79" s="602">
        <f>'Elec.Feb''25'!$B$8</f>
        <v>3460</v>
      </c>
      <c r="D79" s="602">
        <f>'Elec.Feb''25'!$B$9</f>
        <v>7875</v>
      </c>
      <c r="E79" s="602">
        <f>'Elec.Feb''25'!$B$10</f>
        <v>7756</v>
      </c>
      <c r="F79" s="602">
        <f>'Elec.Feb''25'!$B$11</f>
        <v>8477</v>
      </c>
      <c r="G79" s="602">
        <f>'Elec.Feb''25'!$B$12</f>
        <v>7797</v>
      </c>
      <c r="H79" s="602">
        <f>'Elec.Feb''25'!$B$13</f>
        <v>3697</v>
      </c>
      <c r="I79" s="602">
        <f>'Elec.Feb''25'!$B$14</f>
        <v>4659</v>
      </c>
      <c r="J79" s="602">
        <f>'Elec.Feb''25'!$B$15</f>
        <v>5407</v>
      </c>
      <c r="K79" s="603">
        <f>'Elec.Feb''25'!$B$16</f>
        <v>6755</v>
      </c>
      <c r="L79" s="603">
        <f>'Elec.Feb''25'!$B$17</f>
        <v>8429</v>
      </c>
      <c r="M79" s="603">
        <f>'Elec.Feb''25'!$B$18</f>
        <v>8273</v>
      </c>
      <c r="N79" s="603">
        <f>'Elec.Feb''25'!$B$19</f>
        <v>8452</v>
      </c>
      <c r="O79" s="603">
        <f>'Elec.Feb''25'!$B$20</f>
        <v>7340</v>
      </c>
      <c r="P79" s="603">
        <f>'Elec.Feb''25'!$B$21</f>
        <v>4100</v>
      </c>
      <c r="Q79" s="603">
        <f>'Elec.Feb''25'!$B$22</f>
        <v>4256</v>
      </c>
      <c r="R79" s="603">
        <f>'Elec.Feb''25'!$B$23</f>
        <v>7897</v>
      </c>
      <c r="S79" s="603">
        <f>'Elec.Feb''25'!$B$24</f>
        <v>8686</v>
      </c>
      <c r="T79" s="603">
        <f>'Elec.Feb''25'!$B$25</f>
        <v>8826</v>
      </c>
      <c r="U79" s="603">
        <f>'Elec.Feb''25'!$B$26</f>
        <v>8615</v>
      </c>
      <c r="V79" s="603">
        <f>'Elec.Feb''25'!$B$27</f>
        <v>8074</v>
      </c>
      <c r="W79" s="603">
        <f>'Elec.Feb''25'!$B$28</f>
        <v>4355</v>
      </c>
      <c r="X79" s="603">
        <f>'Elec.Feb''25'!$B$29</f>
        <v>4880</v>
      </c>
      <c r="Y79" s="603">
        <f>'Elec.Feb''25'!$B$30</f>
        <v>7857</v>
      </c>
      <c r="Z79" s="603">
        <f>'Elec.Feb''25'!$B$31</f>
        <v>8306</v>
      </c>
      <c r="AA79" s="603">
        <f>'Elec.Feb''25'!$B$32</f>
        <v>7906</v>
      </c>
      <c r="AB79" s="603">
        <f>'Elec.Feb''25'!$B$33</f>
        <v>8386</v>
      </c>
      <c r="AC79" s="603">
        <f>'Elec.Feb''25'!$B$34</f>
        <v>7988</v>
      </c>
      <c r="AD79" s="603" t="str">
        <f>'Elec.Feb''25'!$B$35</f>
        <v>0</v>
      </c>
      <c r="AE79" s="603">
        <f>'Elec.Feb''25'!$B$36</f>
        <v>0</v>
      </c>
      <c r="AF79" s="603">
        <f>'Elec.Feb''25'!$B$37</f>
        <v>0</v>
      </c>
      <c r="AG79" s="603"/>
      <c r="AH79" s="604">
        <f>SUM(B79:AC79)</f>
        <v>194364</v>
      </c>
      <c r="AI79" s="604"/>
    </row>
    <row r="80" spans="1:38" s="605" customFormat="1" hidden="1" x14ac:dyDescent="0.4">
      <c r="A80" s="601"/>
      <c r="B80" s="602"/>
      <c r="C80" s="602"/>
      <c r="D80" s="602" t="s">
        <v>64</v>
      </c>
      <c r="E80" s="602"/>
      <c r="F80" s="602"/>
      <c r="G80" s="602"/>
      <c r="H80" s="602"/>
      <c r="I80" s="602"/>
      <c r="J80" s="603"/>
      <c r="K80" s="603"/>
      <c r="L80" s="603"/>
      <c r="M80" s="603"/>
      <c r="N80" s="603"/>
      <c r="O80" s="603"/>
      <c r="P80" s="606"/>
      <c r="Q80" s="603"/>
      <c r="R80" s="603"/>
      <c r="S80" s="603"/>
      <c r="T80" s="603"/>
      <c r="U80" s="603"/>
      <c r="V80" s="603"/>
      <c r="W80" s="603"/>
      <c r="X80" s="603"/>
      <c r="Y80" s="603"/>
      <c r="Z80" s="603"/>
      <c r="AA80" s="603"/>
      <c r="AB80" s="603"/>
      <c r="AC80" s="603"/>
      <c r="AD80" s="603"/>
      <c r="AE80" s="603"/>
      <c r="AF80" s="603"/>
      <c r="AG80" s="603"/>
      <c r="AH80" s="604"/>
      <c r="AI80" s="604"/>
    </row>
    <row r="81" spans="1:41" s="605" customFormat="1" hidden="1" x14ac:dyDescent="0.4">
      <c r="A81" s="601"/>
      <c r="B81" s="607"/>
      <c r="C81" s="607"/>
      <c r="D81" s="607"/>
      <c r="E81" s="607"/>
      <c r="F81" s="607"/>
      <c r="G81" s="607"/>
      <c r="H81" s="607"/>
      <c r="I81" s="607"/>
      <c r="J81" s="608"/>
      <c r="K81" s="608"/>
      <c r="L81" s="608"/>
      <c r="M81" s="608"/>
      <c r="N81" s="608"/>
      <c r="O81" s="608"/>
      <c r="P81" s="608"/>
      <c r="Q81" s="608"/>
      <c r="R81" s="608"/>
      <c r="S81" s="608"/>
      <c r="T81" s="608"/>
      <c r="U81" s="608"/>
      <c r="V81" s="608"/>
      <c r="W81" s="608"/>
      <c r="X81" s="608"/>
      <c r="Y81" s="609"/>
      <c r="Z81" s="609"/>
      <c r="AA81" s="608"/>
      <c r="AB81" s="608"/>
      <c r="AC81" s="608"/>
      <c r="AD81" s="608"/>
      <c r="AE81" s="608"/>
      <c r="AF81" s="608"/>
      <c r="AG81" s="608"/>
      <c r="AH81" s="604"/>
      <c r="AI81" s="604"/>
    </row>
    <row r="82" spans="1:41" s="605" customFormat="1" x14ac:dyDescent="0.4">
      <c r="A82" s="601" t="s">
        <v>145</v>
      </c>
      <c r="B82" s="610">
        <f>+'Fuel '!$K7</f>
        <v>200</v>
      </c>
      <c r="C82" s="610">
        <f>+'Fuel '!$K8</f>
        <v>760</v>
      </c>
      <c r="D82" s="610">
        <f>+'Fuel '!$K9</f>
        <v>3100</v>
      </c>
      <c r="E82" s="610">
        <f>+'Fuel '!$K10</f>
        <v>3030</v>
      </c>
      <c r="F82" s="610">
        <f>+'Fuel '!$K11</f>
        <v>3400</v>
      </c>
      <c r="G82" s="610">
        <f>+'Fuel '!$K12</f>
        <v>2920</v>
      </c>
      <c r="H82" s="610">
        <f>+'Fuel '!$K13</f>
        <v>0</v>
      </c>
      <c r="I82" s="611">
        <f>+'Fuel '!$K14</f>
        <v>410</v>
      </c>
      <c r="J82" s="611">
        <f>+'Fuel '!$K15</f>
        <v>1100</v>
      </c>
      <c r="K82" s="611">
        <f>+'Fuel '!$K16</f>
        <v>2710</v>
      </c>
      <c r="L82" s="611">
        <f>+'Fuel '!$K17</f>
        <v>3220</v>
      </c>
      <c r="M82" s="611">
        <f>+'Fuel '!$K18</f>
        <v>3280</v>
      </c>
      <c r="N82" s="611">
        <f>+'Fuel '!$K19</f>
        <v>3570</v>
      </c>
      <c r="O82" s="611">
        <f>+'Fuel '!$K20</f>
        <v>2810</v>
      </c>
      <c r="P82" s="611">
        <f>+'Fuel '!$K21</f>
        <v>380</v>
      </c>
      <c r="Q82" s="611">
        <f>+'Fuel '!$K22</f>
        <v>650</v>
      </c>
      <c r="R82" s="611">
        <f>+'Fuel '!$K23</f>
        <v>2850</v>
      </c>
      <c r="S82" s="611">
        <f>+'Fuel '!$K24</f>
        <v>3020</v>
      </c>
      <c r="T82" s="611">
        <f>+'Fuel '!$K25</f>
        <v>3160</v>
      </c>
      <c r="U82" s="611">
        <f>+'Fuel '!$K26</f>
        <v>2970</v>
      </c>
      <c r="V82" s="611">
        <f>+'Fuel '!$K27</f>
        <v>2410</v>
      </c>
      <c r="W82" s="611">
        <f>+'Fuel '!$K28</f>
        <v>340</v>
      </c>
      <c r="X82" s="611">
        <f>+'Fuel '!$K29</f>
        <v>1010</v>
      </c>
      <c r="Y82" s="611">
        <f>+'Fuel '!$K30</f>
        <v>3110</v>
      </c>
      <c r="Z82" s="611">
        <f>+'Fuel '!$K31</f>
        <v>3250</v>
      </c>
      <c r="AA82" s="611">
        <f>+'Fuel '!$K32</f>
        <v>2810</v>
      </c>
      <c r="AB82" s="611">
        <f>+'Fuel '!$K33</f>
        <v>2940</v>
      </c>
      <c r="AC82" s="611">
        <f>+'Fuel '!$K34</f>
        <v>2650</v>
      </c>
      <c r="AD82" s="611">
        <f>+'Fuel '!$K35</f>
        <v>0</v>
      </c>
      <c r="AE82" s="611">
        <f>+'Fuel '!$K36</f>
        <v>0</v>
      </c>
      <c r="AF82" s="611">
        <f>+'Fuel '!$K37</f>
        <v>0</v>
      </c>
      <c r="AG82" s="611"/>
      <c r="AH82" s="612">
        <f>SUM($B82:AC82)</f>
        <v>62060</v>
      </c>
      <c r="AI82" s="613"/>
    </row>
    <row r="83" spans="1:41" s="638" customFormat="1" ht="39.75" customHeight="1" x14ac:dyDescent="0.4">
      <c r="A83" s="635" t="s">
        <v>264</v>
      </c>
      <c r="B83" s="636">
        <f>'Steam Mass Flow '!B5</f>
        <v>0</v>
      </c>
      <c r="C83" s="636">
        <f>'Steam Mass Flow '!B6</f>
        <v>0</v>
      </c>
      <c r="D83" s="636">
        <f>'Steam Mass Flow '!B7</f>
        <v>281.87700000032783</v>
      </c>
      <c r="E83" s="636">
        <f>'Steam Mass Flow '!B8</f>
        <v>0</v>
      </c>
      <c r="F83" s="636">
        <f>'Steam Mass Flow '!B9</f>
        <v>0</v>
      </c>
      <c r="G83" s="636">
        <f>'Steam Mass Flow '!B10</f>
        <v>0</v>
      </c>
      <c r="H83" s="636">
        <f>'Steam Mass Flow '!B11</f>
        <v>0</v>
      </c>
      <c r="I83" s="636">
        <f>'Steam Mass Flow '!B12</f>
        <v>0</v>
      </c>
      <c r="J83" s="636">
        <f>'Steam Mass Flow '!B13</f>
        <v>36.401999999769032</v>
      </c>
      <c r="K83" s="636">
        <f>'Steam Mass Flow '!B14</f>
        <v>13.365000000223517</v>
      </c>
      <c r="L83" s="636">
        <f>'Steam Mass Flow '!B15</f>
        <v>17.898000000044703</v>
      </c>
      <c r="M83" s="636">
        <f>'Steam Mass Flow '!B16</f>
        <v>0</v>
      </c>
      <c r="N83" s="636">
        <f>'Steam Mass Flow '!B17</f>
        <v>0</v>
      </c>
      <c r="O83" s="636">
        <f>'Steam Mass Flow '!B18</f>
        <v>0</v>
      </c>
      <c r="P83" s="636">
        <f>'Steam Mass Flow '!B19</f>
        <v>0</v>
      </c>
      <c r="Q83" s="636">
        <f>'Steam Mass Flow '!B20</f>
        <v>0</v>
      </c>
      <c r="R83" s="636">
        <f>'Steam Mass Flow '!B21</f>
        <v>7188.348000000231</v>
      </c>
      <c r="S83" s="636">
        <f>'Steam Mass Flow '!B22</f>
        <v>458.23799999989569</v>
      </c>
      <c r="T83" s="636">
        <f>'Steam Mass Flow '!B23</f>
        <v>0</v>
      </c>
      <c r="U83" s="636">
        <f>'Steam Mass Flow '!B24</f>
        <v>0</v>
      </c>
      <c r="V83" s="636">
        <f>'Steam Mass Flow '!B25</f>
        <v>0</v>
      </c>
      <c r="W83" s="636">
        <f>'Steam Mass Flow '!B26</f>
        <v>0</v>
      </c>
      <c r="X83" s="636">
        <f>'Steam Mass Flow '!B27</f>
        <v>0</v>
      </c>
      <c r="Y83" s="636">
        <f>'Steam Mass Flow '!B28</f>
        <v>2.546000000089407</v>
      </c>
      <c r="Z83" s="636">
        <f>'Steam Mass Flow '!B29</f>
        <v>8.0350000001490116</v>
      </c>
      <c r="AA83" s="636">
        <f>'Steam Mass Flow '!B30</f>
        <v>0</v>
      </c>
      <c r="AB83" s="636">
        <f>'Steam Mass Flow '!B31</f>
        <v>0</v>
      </c>
      <c r="AC83" s="636">
        <f>'Steam Mass Flow '!B32</f>
        <v>0</v>
      </c>
      <c r="AD83" s="636">
        <f>'Steam Mass Flow '!B33</f>
        <v>0</v>
      </c>
      <c r="AE83" s="636">
        <f>'Steam Mass Flow '!B34</f>
        <v>0</v>
      </c>
      <c r="AF83" s="636">
        <f>'Steam Mass Flow '!B35</f>
        <v>0</v>
      </c>
      <c r="AG83" s="636">
        <f>'Steam Mass Flow '!B36</f>
        <v>0</v>
      </c>
      <c r="AH83" s="637">
        <f>SUM($B83:AC83)</f>
        <v>8006.7090000007302</v>
      </c>
      <c r="AI83" s="636"/>
    </row>
    <row r="84" spans="1:41" hidden="1" x14ac:dyDescent="0.4">
      <c r="A84" s="397"/>
      <c r="B84" s="396"/>
      <c r="C84" s="396"/>
      <c r="D84" s="396"/>
      <c r="E84" s="396"/>
      <c r="F84" s="396"/>
      <c r="G84" s="396"/>
      <c r="H84" s="396"/>
      <c r="I84" s="396"/>
      <c r="J84" s="414"/>
      <c r="K84" s="414"/>
      <c r="L84" s="414"/>
      <c r="M84" s="414"/>
      <c r="N84" s="414"/>
      <c r="O84" s="414"/>
      <c r="P84" s="414"/>
      <c r="Q84" s="414"/>
      <c r="R84" s="414"/>
      <c r="S84" s="414"/>
      <c r="T84" s="414"/>
      <c r="U84" s="414"/>
      <c r="V84" s="414"/>
      <c r="W84" s="414"/>
      <c r="X84" s="414"/>
      <c r="Y84" s="414"/>
      <c r="Z84" s="414"/>
      <c r="AA84" s="414"/>
      <c r="AB84" s="414"/>
      <c r="AC84" s="414"/>
      <c r="AD84" s="414"/>
      <c r="AE84" s="414"/>
      <c r="AH84" s="404"/>
      <c r="AI84" s="404"/>
    </row>
    <row r="85" spans="1:41" hidden="1" x14ac:dyDescent="0.4">
      <c r="B85" s="396"/>
      <c r="C85" s="396"/>
      <c r="D85" s="396"/>
      <c r="E85" s="396"/>
      <c r="F85" s="396"/>
      <c r="G85" s="396"/>
      <c r="H85" s="396"/>
      <c r="I85" s="396"/>
      <c r="J85" s="414"/>
      <c r="K85" s="414"/>
      <c r="L85" s="414"/>
      <c r="M85" s="414"/>
      <c r="N85" s="414"/>
      <c r="O85" s="414"/>
      <c r="P85" s="414"/>
      <c r="Q85" s="414"/>
      <c r="R85" s="414"/>
      <c r="S85" s="414"/>
      <c r="T85" s="414"/>
      <c r="U85" s="414"/>
      <c r="V85" s="414"/>
      <c r="W85" s="414"/>
      <c r="X85" s="414"/>
      <c r="Y85" s="414"/>
      <c r="Z85" s="414"/>
      <c r="AA85" s="414"/>
      <c r="AB85" s="414"/>
      <c r="AC85" s="414"/>
      <c r="AD85" s="414"/>
      <c r="AE85" s="414"/>
      <c r="AH85" s="404"/>
      <c r="AI85" s="404"/>
    </row>
    <row r="86" spans="1:41" ht="27.75" customHeight="1" x14ac:dyDescent="0.4">
      <c r="A86" s="397" t="s">
        <v>245</v>
      </c>
      <c r="B86" s="395"/>
      <c r="C86" s="395"/>
      <c r="D86" s="395"/>
      <c r="E86" s="395"/>
      <c r="F86" s="395"/>
      <c r="G86" s="395"/>
      <c r="H86" s="395"/>
      <c r="I86" s="39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415"/>
      <c r="V86" s="415"/>
      <c r="W86" s="415"/>
      <c r="X86" s="415"/>
      <c r="Y86" s="415"/>
      <c r="Z86" s="415"/>
      <c r="AA86" s="415"/>
      <c r="AB86" s="415"/>
      <c r="AC86" s="415"/>
    </row>
    <row r="87" spans="1:41" s="423" customFormat="1" x14ac:dyDescent="0.4">
      <c r="A87" s="420" t="s">
        <v>135</v>
      </c>
      <c r="B87" s="421">
        <v>1</v>
      </c>
      <c r="C87" s="421">
        <v>2</v>
      </c>
      <c r="D87" s="421">
        <v>3</v>
      </c>
      <c r="E87" s="421">
        <v>4</v>
      </c>
      <c r="F87" s="421">
        <v>5</v>
      </c>
      <c r="G87" s="421">
        <v>6</v>
      </c>
      <c r="H87" s="421">
        <v>7</v>
      </c>
      <c r="I87" s="421">
        <v>8</v>
      </c>
      <c r="J87" s="522">
        <v>9</v>
      </c>
      <c r="K87" s="522">
        <v>10</v>
      </c>
      <c r="L87" s="522">
        <v>11</v>
      </c>
      <c r="M87" s="522">
        <v>12</v>
      </c>
      <c r="N87" s="522">
        <v>13</v>
      </c>
      <c r="O87" s="522">
        <v>14</v>
      </c>
      <c r="P87" s="522">
        <v>15</v>
      </c>
      <c r="Q87" s="522">
        <v>16</v>
      </c>
      <c r="R87" s="522">
        <v>17</v>
      </c>
      <c r="S87" s="522">
        <v>18</v>
      </c>
      <c r="T87" s="522">
        <v>19</v>
      </c>
      <c r="U87" s="522">
        <v>20</v>
      </c>
      <c r="V87" s="522">
        <v>21</v>
      </c>
      <c r="W87" s="522">
        <v>22</v>
      </c>
      <c r="X87" s="522">
        <v>23</v>
      </c>
      <c r="Y87" s="522">
        <v>24</v>
      </c>
      <c r="Z87" s="522">
        <v>25</v>
      </c>
      <c r="AA87" s="522">
        <v>26</v>
      </c>
      <c r="AB87" s="522">
        <v>27</v>
      </c>
      <c r="AC87" s="522">
        <v>28</v>
      </c>
      <c r="AD87" s="522">
        <v>29</v>
      </c>
      <c r="AE87" s="522">
        <v>30</v>
      </c>
      <c r="AF87" s="522">
        <v>31</v>
      </c>
      <c r="AG87" s="522"/>
      <c r="AH87" s="422" t="s">
        <v>95</v>
      </c>
      <c r="AI87" s="422" t="s">
        <v>165</v>
      </c>
      <c r="AJ87" s="422" t="s">
        <v>223</v>
      </c>
      <c r="AL87" s="395"/>
    </row>
    <row r="88" spans="1:41" s="578" customFormat="1" x14ac:dyDescent="0.4">
      <c r="A88" s="575" t="s">
        <v>149</v>
      </c>
      <c r="B88" s="576" t="str">
        <f t="shared" ref="B88:AH88" si="43">IF(B$9=0,"",+(B22*10)/B$9)</f>
        <v/>
      </c>
      <c r="C88" s="576" t="str">
        <f t="shared" si="43"/>
        <v/>
      </c>
      <c r="D88" s="576">
        <f t="shared" si="43"/>
        <v>4.975147226087528</v>
      </c>
      <c r="E88" s="576">
        <f t="shared" si="43"/>
        <v>6.7149396215012356</v>
      </c>
      <c r="F88" s="576">
        <f t="shared" si="43"/>
        <v>6.9148286087364843</v>
      </c>
      <c r="G88" s="576">
        <f t="shared" si="43"/>
        <v>9.0531874764239895</v>
      </c>
      <c r="H88" s="576" t="str">
        <f t="shared" si="43"/>
        <v/>
      </c>
      <c r="I88" s="576" t="str">
        <f t="shared" ref="I88:AE88" si="44">IF(I$9=0,"",+(I22*10)/I$9)</f>
        <v/>
      </c>
      <c r="J88" s="576" t="str">
        <f t="shared" si="44"/>
        <v/>
      </c>
      <c r="K88" s="576">
        <f t="shared" si="44"/>
        <v>7.5890930427656302</v>
      </c>
      <c r="L88" s="576">
        <f t="shared" si="44"/>
        <v>5.4283615927451541</v>
      </c>
      <c r="M88" s="576">
        <f t="shared" si="44"/>
        <v>7.1819602070986814</v>
      </c>
      <c r="N88" s="576">
        <f t="shared" si="44"/>
        <v>7.6482999996417664</v>
      </c>
      <c r="O88" s="691">
        <f t="shared" si="44"/>
        <v>15.821399958258432</v>
      </c>
      <c r="P88" s="576" t="str">
        <f t="shared" si="44"/>
        <v/>
      </c>
      <c r="Q88" s="576" t="str">
        <f t="shared" si="44"/>
        <v/>
      </c>
      <c r="R88" s="576">
        <f t="shared" si="44"/>
        <v>10.715447465605326</v>
      </c>
      <c r="S88" s="576">
        <f>IF(S$9=0,"",+(S22*10)/S$9)</f>
        <v>11.189685041606316</v>
      </c>
      <c r="T88" s="576">
        <f t="shared" si="44"/>
        <v>10.714487114419443</v>
      </c>
      <c r="U88" s="576">
        <f t="shared" si="44"/>
        <v>12.516288929209288</v>
      </c>
      <c r="V88" s="576">
        <f>IF(V$9=0,"",+(V22*10)/V$9)</f>
        <v>8.9100484068301498</v>
      </c>
      <c r="W88" s="576">
        <f t="shared" si="44"/>
        <v>55.551761036359082</v>
      </c>
      <c r="X88" s="576" t="str">
        <f t="shared" si="44"/>
        <v/>
      </c>
      <c r="Y88" s="576">
        <f>IF(Y$9=0,"",+(Y22*10)/Y$9)</f>
        <v>8.7802242334188847</v>
      </c>
      <c r="Z88" s="576">
        <f t="shared" si="44"/>
        <v>4.7636433178601845</v>
      </c>
      <c r="AA88" s="576">
        <f t="shared" si="44"/>
        <v>15.027898566532384</v>
      </c>
      <c r="AB88" s="576">
        <f t="shared" si="44"/>
        <v>8.8084232152028754</v>
      </c>
      <c r="AC88" s="576">
        <f>IF(AC$9=0,"",+(AC22*10)/AC$9)</f>
        <v>5.217793072682662</v>
      </c>
      <c r="AD88" s="576" t="str">
        <f t="shared" si="44"/>
        <v/>
      </c>
      <c r="AE88" s="576" t="str">
        <f t="shared" si="44"/>
        <v/>
      </c>
      <c r="AF88" s="577" t="str">
        <f t="shared" si="43"/>
        <v/>
      </c>
      <c r="AG88" s="577"/>
      <c r="AH88" s="576">
        <f t="shared" si="43"/>
        <v>9.6835260459473655</v>
      </c>
      <c r="AI88" s="576">
        <v>10.199999999999999</v>
      </c>
      <c r="AJ88" s="656">
        <f>+AI88-AH88</f>
        <v>0.51647395405263374</v>
      </c>
      <c r="AL88" s="579"/>
    </row>
    <row r="89" spans="1:41" s="579" customFormat="1" hidden="1" x14ac:dyDescent="0.4">
      <c r="A89" s="580"/>
      <c r="B89" s="581"/>
      <c r="C89" s="581"/>
      <c r="D89" s="581"/>
      <c r="E89" s="581"/>
      <c r="F89" s="581"/>
      <c r="G89" s="581"/>
      <c r="H89" s="581"/>
      <c r="I89" s="581"/>
      <c r="J89" s="581"/>
      <c r="K89" s="581"/>
      <c r="L89" s="581"/>
      <c r="M89" s="581"/>
      <c r="N89" s="581"/>
      <c r="O89" s="581"/>
      <c r="P89" s="581"/>
      <c r="Q89" s="581"/>
      <c r="R89" s="581"/>
      <c r="S89" s="581"/>
      <c r="T89" s="581"/>
      <c r="U89" s="581"/>
      <c r="V89" s="581"/>
      <c r="W89" s="581"/>
      <c r="X89" s="581"/>
      <c r="Y89" s="581"/>
      <c r="Z89" s="581"/>
      <c r="AA89" s="581"/>
      <c r="AB89" s="581"/>
      <c r="AC89" s="581"/>
      <c r="AD89" s="581"/>
      <c r="AE89" s="581"/>
      <c r="AF89" s="582"/>
      <c r="AG89" s="582"/>
      <c r="AH89" s="693"/>
      <c r="AI89" s="583"/>
    </row>
    <row r="90" spans="1:41" s="578" customFormat="1" ht="29.25" x14ac:dyDescent="0.5">
      <c r="A90" s="578" t="s">
        <v>249</v>
      </c>
      <c r="B90" s="584" t="str">
        <f t="shared" ref="B90:AF90" si="45">IF(B$9=0,"",+B74/B$9)</f>
        <v/>
      </c>
      <c r="C90" s="584" t="str">
        <f t="shared" si="45"/>
        <v/>
      </c>
      <c r="D90" s="584">
        <f t="shared" si="45"/>
        <v>3.6356845113716552</v>
      </c>
      <c r="E90" s="584">
        <f t="shared" si="45"/>
        <v>4.4766264143341576</v>
      </c>
      <c r="F90" s="584">
        <f t="shared" si="45"/>
        <v>2.8141744337881041</v>
      </c>
      <c r="G90" s="585">
        <f>IF(G$9=0,"",+G74/G$9)</f>
        <v>5.1552873129636607</v>
      </c>
      <c r="H90" s="585" t="str">
        <f t="shared" si="45"/>
        <v/>
      </c>
      <c r="I90" s="585" t="str">
        <f t="shared" ref="I90:AE90" si="46">IF(I$9=0,"",+I74/I$9)</f>
        <v/>
      </c>
      <c r="J90" s="585" t="str">
        <f t="shared" si="46"/>
        <v/>
      </c>
      <c r="K90" s="585">
        <f t="shared" si="46"/>
        <v>4.1218716206714285</v>
      </c>
      <c r="L90" s="585">
        <f t="shared" si="46"/>
        <v>3.4834405942749651</v>
      </c>
      <c r="M90" s="585">
        <f t="shared" si="46"/>
        <v>3.8734167409071536</v>
      </c>
      <c r="N90" s="585">
        <f t="shared" si="46"/>
        <v>4.4779274002586451</v>
      </c>
      <c r="O90" s="585">
        <f t="shared" si="46"/>
        <v>7.7423872136158289</v>
      </c>
      <c r="P90" s="585" t="str">
        <f t="shared" si="46"/>
        <v/>
      </c>
      <c r="Q90" s="585" t="str">
        <f t="shared" si="46"/>
        <v/>
      </c>
      <c r="R90" s="585">
        <f t="shared" si="46"/>
        <v>5.1025940312406313</v>
      </c>
      <c r="S90" s="585">
        <f t="shared" si="46"/>
        <v>4.5440345346624635</v>
      </c>
      <c r="T90" s="585">
        <f t="shared" si="46"/>
        <v>3.3322567580730325</v>
      </c>
      <c r="U90" s="585">
        <f t="shared" si="46"/>
        <v>5.9178671060091199</v>
      </c>
      <c r="V90" s="585">
        <f>IF(V$9=0,"",+V74/V$9)</f>
        <v>3.3246449279216974</v>
      </c>
      <c r="W90" s="585">
        <f t="shared" si="46"/>
        <v>0</v>
      </c>
      <c r="X90" s="585" t="str">
        <f t="shared" si="46"/>
        <v/>
      </c>
      <c r="Y90" s="585">
        <f>IF(Y$9=0,"",+Y74/Y$9)</f>
        <v>5.1459189646411048</v>
      </c>
      <c r="Z90" s="585">
        <f t="shared" si="46"/>
        <v>4.1725342930162199</v>
      </c>
      <c r="AA90" s="585">
        <f t="shared" si="46"/>
        <v>5.3324801365114913</v>
      </c>
      <c r="AB90" s="585">
        <f t="shared" si="46"/>
        <v>4.879301489470981</v>
      </c>
      <c r="AC90" s="585">
        <f>IF(AC$9=0,"",+AC74/AC$9)</f>
        <v>5.1779625912118021</v>
      </c>
      <c r="AD90" s="585" t="str">
        <f t="shared" si="46"/>
        <v/>
      </c>
      <c r="AE90" s="585" t="str">
        <f t="shared" si="46"/>
        <v/>
      </c>
      <c r="AF90" s="586" t="str">
        <f t="shared" si="45"/>
        <v/>
      </c>
      <c r="AG90" s="586"/>
      <c r="AH90" s="576">
        <f>+(AH74)/AH$9</f>
        <v>4.8784952222944877</v>
      </c>
      <c r="AI90" s="552">
        <v>5</v>
      </c>
      <c r="AJ90" s="656">
        <f>AI90-AH90</f>
        <v>0.12150477770551227</v>
      </c>
      <c r="AL90" s="579"/>
      <c r="AO90" s="578" t="s">
        <v>235</v>
      </c>
    </row>
    <row r="91" spans="1:41" s="578" customFormat="1" ht="29.25" x14ac:dyDescent="0.5">
      <c r="A91" s="578" t="s">
        <v>250</v>
      </c>
      <c r="B91" s="587" t="str">
        <f t="shared" ref="B91:AH91" si="47">IF(B$9=0,"",+B76/B$9)</f>
        <v/>
      </c>
      <c r="C91" s="587" t="str">
        <f t="shared" si="47"/>
        <v/>
      </c>
      <c r="D91" s="585">
        <f t="shared" si="47"/>
        <v>5.6142622928233937E-2</v>
      </c>
      <c r="E91" s="585">
        <f t="shared" si="47"/>
        <v>8.0299486307118861E-2</v>
      </c>
      <c r="F91" s="585">
        <f t="shared" si="47"/>
        <v>6.5481818825058102E-2</v>
      </c>
      <c r="G91" s="585">
        <f t="shared" si="47"/>
        <v>1.103985917263922E-2</v>
      </c>
      <c r="H91" s="585" t="str">
        <f t="shared" si="47"/>
        <v/>
      </c>
      <c r="I91" s="585" t="str">
        <f t="shared" ref="I91:AE91" si="48">IF(I$9=0,"",+I76/I$9)</f>
        <v/>
      </c>
      <c r="J91" s="585" t="str">
        <f t="shared" si="48"/>
        <v/>
      </c>
      <c r="K91" s="585">
        <f t="shared" si="48"/>
        <v>0</v>
      </c>
      <c r="L91" s="585">
        <f t="shared" si="48"/>
        <v>2.9028671618958043E-2</v>
      </c>
      <c r="M91" s="585">
        <f t="shared" si="48"/>
        <v>5.5809479541903975E-2</v>
      </c>
      <c r="N91" s="585">
        <f t="shared" si="48"/>
        <v>5.6242768147248545E-2</v>
      </c>
      <c r="O91" s="585">
        <f t="shared" si="48"/>
        <v>0.12502272222334423</v>
      </c>
      <c r="P91" s="585" t="str">
        <f t="shared" si="48"/>
        <v/>
      </c>
      <c r="Q91" s="585" t="str">
        <f t="shared" si="48"/>
        <v/>
      </c>
      <c r="R91" s="585">
        <f t="shared" si="48"/>
        <v>0</v>
      </c>
      <c r="S91" s="585">
        <f t="shared" si="48"/>
        <v>5.989605521001936E-2</v>
      </c>
      <c r="T91" s="585">
        <f t="shared" si="48"/>
        <v>5.2008838170232378E-2</v>
      </c>
      <c r="U91" s="585">
        <f t="shared" si="48"/>
        <v>7.2020442680130747E-2</v>
      </c>
      <c r="V91" s="585">
        <f t="shared" si="48"/>
        <v>4.0870968313917524E-2</v>
      </c>
      <c r="W91" s="585">
        <f t="shared" si="48"/>
        <v>0.67937071693645512</v>
      </c>
      <c r="X91" s="585" t="str">
        <f t="shared" si="48"/>
        <v/>
      </c>
      <c r="Y91" s="585">
        <f>IF(Y$9=0,"",+Y76/Y$9)</f>
        <v>0</v>
      </c>
      <c r="Z91" s="585">
        <f t="shared" si="48"/>
        <v>2.4930892400771971E-2</v>
      </c>
      <c r="AA91" s="585">
        <f t="shared" si="48"/>
        <v>4.6077476088674268E-2</v>
      </c>
      <c r="AB91" s="585">
        <f t="shared" si="48"/>
        <v>7.2136620441704977E-2</v>
      </c>
      <c r="AC91" s="585">
        <f>IF(AC$9=0,"",+AC76/AC$9)</f>
        <v>1.3084313163177616E-2</v>
      </c>
      <c r="AD91" s="585" t="str">
        <f t="shared" si="48"/>
        <v/>
      </c>
      <c r="AE91" s="587" t="str">
        <f t="shared" si="48"/>
        <v/>
      </c>
      <c r="AF91" s="588" t="str">
        <f t="shared" si="47"/>
        <v/>
      </c>
      <c r="AG91" s="588"/>
      <c r="AH91" s="585">
        <f t="shared" si="47"/>
        <v>4.9463350029151004E-2</v>
      </c>
      <c r="AI91" s="585">
        <v>1.7</v>
      </c>
      <c r="AJ91" s="555">
        <f>AI91-AH91</f>
        <v>1.6505366499708489</v>
      </c>
      <c r="AL91" s="579"/>
    </row>
    <row r="92" spans="1:41" s="578" customFormat="1" x14ac:dyDescent="0.4">
      <c r="A92" s="578" t="s">
        <v>210</v>
      </c>
      <c r="B92" s="576" t="str">
        <f t="shared" ref="B92:AF92" si="49">IF(B$9=0,"",B79/B$9)</f>
        <v/>
      </c>
      <c r="C92" s="576" t="str">
        <f t="shared" si="49"/>
        <v/>
      </c>
      <c r="D92" s="576">
        <f t="shared" si="49"/>
        <v>15.068955540553571</v>
      </c>
      <c r="E92" s="576">
        <f t="shared" si="49"/>
        <v>14.466964362323219</v>
      </c>
      <c r="F92" s="576">
        <f t="shared" si="49"/>
        <v>13.631860957269575</v>
      </c>
      <c r="G92" s="576">
        <f>IF(G$9=0,"",G79/G$9)</f>
        <v>19.607695209354958</v>
      </c>
      <c r="H92" s="576" t="str">
        <f t="shared" si="49"/>
        <v/>
      </c>
      <c r="I92" s="576" t="str">
        <f t="shared" ref="I92:AE92" si="50">IF(I$9=0,"",I79/I$9)</f>
        <v/>
      </c>
      <c r="J92" s="576" t="str">
        <f t="shared" si="50"/>
        <v/>
      </c>
      <c r="K92" s="576">
        <f t="shared" si="50"/>
        <v>16.378378116256176</v>
      </c>
      <c r="L92" s="576">
        <f t="shared" si="50"/>
        <v>12.234133653809867</v>
      </c>
      <c r="M92" s="576">
        <f t="shared" si="50"/>
        <v>13.351990290635369</v>
      </c>
      <c r="N92" s="576">
        <f t="shared" si="50"/>
        <v>15.138976954794428</v>
      </c>
      <c r="O92" s="576">
        <f t="shared" si="50"/>
        <v>24.708313977365297</v>
      </c>
      <c r="P92" s="576" t="str">
        <f t="shared" si="50"/>
        <v/>
      </c>
      <c r="Q92" s="576" t="str">
        <f t="shared" si="50"/>
        <v/>
      </c>
      <c r="R92" s="576">
        <f t="shared" si="50"/>
        <v>25.184490665442041</v>
      </c>
      <c r="S92" s="576">
        <f t="shared" si="50"/>
        <v>24.668427480048848</v>
      </c>
      <c r="T92" s="576">
        <f t="shared" si="50"/>
        <v>22.623460112886605</v>
      </c>
      <c r="U92" s="576">
        <f t="shared" si="50"/>
        <v>25.491212559134286</v>
      </c>
      <c r="V92" s="576">
        <f t="shared" si="50"/>
        <v>17.895455432026523</v>
      </c>
      <c r="W92" s="576">
        <f t="shared" si="50"/>
        <v>198.30157320765886</v>
      </c>
      <c r="X92" s="576" t="str">
        <f t="shared" si="50"/>
        <v/>
      </c>
      <c r="Y92" s="576">
        <f>IF(Y$9=0,"",Y79/Y$9)</f>
        <v>25.269678315740723</v>
      </c>
      <c r="Z92" s="576">
        <f t="shared" si="50"/>
        <v>14.440445765746968</v>
      </c>
      <c r="AA92" s="576">
        <f>IF(AA$9=0,"",AA79/AA$9)</f>
        <v>19.162994526936295</v>
      </c>
      <c r="AB92" s="576">
        <f t="shared" si="50"/>
        <v>21.535695942475602</v>
      </c>
      <c r="AC92" s="576">
        <f>IF(AC$9=0,"",AC79/AC$9)</f>
        <v>15.90829429946149</v>
      </c>
      <c r="AD92" s="576" t="str">
        <f t="shared" si="50"/>
        <v/>
      </c>
      <c r="AE92" s="576" t="str">
        <f t="shared" si="50"/>
        <v/>
      </c>
      <c r="AF92" s="577" t="str">
        <f t="shared" si="49"/>
        <v/>
      </c>
      <c r="AG92" s="577"/>
      <c r="AH92" s="576">
        <f>+(AH79)/AH$9</f>
        <v>22.310678714965785</v>
      </c>
      <c r="AI92" s="576">
        <v>22</v>
      </c>
      <c r="AJ92" s="656">
        <f>AI92-AH92</f>
        <v>-0.31067871496578547</v>
      </c>
      <c r="AL92" s="579"/>
    </row>
    <row r="93" spans="1:41" s="578" customFormat="1" hidden="1" x14ac:dyDescent="0.4">
      <c r="B93" s="553"/>
      <c r="C93" s="553"/>
      <c r="D93" s="553"/>
      <c r="E93" s="553"/>
      <c r="F93" s="553"/>
      <c r="G93" s="553"/>
      <c r="H93" s="553"/>
      <c r="I93" s="553"/>
      <c r="J93" s="553"/>
      <c r="K93" s="553"/>
      <c r="L93" s="553"/>
      <c r="M93" s="553"/>
      <c r="N93" s="553"/>
      <c r="O93" s="553"/>
      <c r="P93" s="553"/>
      <c r="Q93" s="553"/>
      <c r="R93" s="553"/>
      <c r="S93" s="553"/>
      <c r="T93" s="553"/>
      <c r="U93" s="553"/>
      <c r="V93" s="553"/>
      <c r="W93" s="553"/>
      <c r="X93" s="553"/>
      <c r="Y93" s="553"/>
      <c r="Z93" s="553"/>
      <c r="AA93" s="553"/>
      <c r="AB93" s="553"/>
      <c r="AC93" s="553"/>
      <c r="AD93" s="553"/>
      <c r="AE93" s="553"/>
      <c r="AF93" s="589"/>
      <c r="AG93" s="589"/>
      <c r="AH93" s="576"/>
      <c r="AI93" s="576"/>
      <c r="AJ93" s="555"/>
      <c r="AL93" s="579"/>
    </row>
    <row r="94" spans="1:41" s="578" customFormat="1" x14ac:dyDescent="0.4">
      <c r="A94" s="578" t="s">
        <v>211</v>
      </c>
      <c r="B94" s="576" t="str">
        <f t="shared" ref="B94:AF94" si="51">IF(B$9=0,"",B82/B$9)</f>
        <v/>
      </c>
      <c r="C94" s="576" t="str">
        <f t="shared" si="51"/>
        <v/>
      </c>
      <c r="D94" s="577">
        <f t="shared" si="51"/>
        <v>5.9319063080274379</v>
      </c>
      <c r="E94" s="576">
        <f>IF(E$9=0,"",E82/E$9)</f>
        <v>5.6517408480968738</v>
      </c>
      <c r="F94" s="576">
        <f t="shared" si="51"/>
        <v>5.4675388999311734</v>
      </c>
      <c r="G94" s="576">
        <f t="shared" si="51"/>
        <v>7.3431409530994589</v>
      </c>
      <c r="H94" s="577" t="str">
        <f t="shared" si="51"/>
        <v/>
      </c>
      <c r="I94" s="577" t="str">
        <f t="shared" ref="I94:AE94" si="52">IF(I$9=0,"",I82/I$9)</f>
        <v/>
      </c>
      <c r="J94" s="577" t="str">
        <f t="shared" si="52"/>
        <v/>
      </c>
      <c r="K94" s="577">
        <f t="shared" si="52"/>
        <v>6.5707482894232774</v>
      </c>
      <c r="L94" s="577">
        <f t="shared" si="52"/>
        <v>4.6736161306522446</v>
      </c>
      <c r="M94" s="577">
        <f t="shared" si="52"/>
        <v>5.2936695459064431</v>
      </c>
      <c r="N94" s="577">
        <f t="shared" si="52"/>
        <v>6.3944803275693456</v>
      </c>
      <c r="O94" s="577">
        <f t="shared" si="52"/>
        <v>9.4591774218523827</v>
      </c>
      <c r="P94" s="577" t="str">
        <f t="shared" si="52"/>
        <v/>
      </c>
      <c r="Q94" s="577" t="str">
        <f t="shared" si="52"/>
        <v/>
      </c>
      <c r="R94" s="577">
        <f t="shared" si="52"/>
        <v>9.0889956181473739</v>
      </c>
      <c r="S94" s="577">
        <f t="shared" si="52"/>
        <v>8.5768651841754</v>
      </c>
      <c r="T94" s="577">
        <f t="shared" si="52"/>
        <v>8.099947196546756</v>
      </c>
      <c r="U94" s="577">
        <f t="shared" si="52"/>
        <v>8.7880326524235439</v>
      </c>
      <c r="V94" s="577">
        <f t="shared" si="52"/>
        <v>5.3415961841941941</v>
      </c>
      <c r="W94" s="577">
        <f t="shared" si="52"/>
        <v>15.481638321608269</v>
      </c>
      <c r="X94" s="577" t="str">
        <f t="shared" si="52"/>
        <v/>
      </c>
      <c r="Y94" s="577">
        <f>IF(Y$9=0,"",Y82/Y$9)</f>
        <v>10.002379987521147</v>
      </c>
      <c r="Z94" s="577">
        <f t="shared" si="52"/>
        <v>5.6503068551261313</v>
      </c>
      <c r="AA94" s="577">
        <f t="shared" si="52"/>
        <v>6.8110314470896771</v>
      </c>
      <c r="AB94" s="577">
        <f t="shared" si="52"/>
        <v>7.5500770416024645</v>
      </c>
      <c r="AC94" s="577">
        <f>IF(AC$9=0,"",AC82/AC$9)</f>
        <v>5.2775387948889518</v>
      </c>
      <c r="AD94" s="577" t="str">
        <f t="shared" si="52"/>
        <v/>
      </c>
      <c r="AE94" s="577" t="str">
        <f t="shared" si="52"/>
        <v/>
      </c>
      <c r="AF94" s="577" t="str">
        <f t="shared" si="51"/>
        <v/>
      </c>
      <c r="AG94" s="577"/>
      <c r="AH94" s="576">
        <f>+(AH82)/AH$9</f>
        <v>7.1237509057787278</v>
      </c>
      <c r="AI94" s="552">
        <v>7.2</v>
      </c>
      <c r="AJ94" s="656">
        <f>AI94-AH94</f>
        <v>7.6249094221272351E-2</v>
      </c>
      <c r="AL94" s="579"/>
    </row>
    <row r="95" spans="1:41" s="397" customFormat="1" hidden="1" x14ac:dyDescent="0.4">
      <c r="B95" s="396"/>
      <c r="C95" s="396"/>
      <c r="D95" s="396"/>
      <c r="E95" s="396"/>
      <c r="F95" s="396"/>
      <c r="G95" s="396"/>
      <c r="H95" s="396"/>
      <c r="I95" s="396"/>
      <c r="J95" s="414"/>
      <c r="K95" s="414"/>
      <c r="L95" s="414"/>
      <c r="M95" s="414"/>
      <c r="N95" s="414"/>
      <c r="O95" s="414"/>
      <c r="P95" s="414"/>
      <c r="Q95" s="414"/>
      <c r="R95" s="414"/>
      <c r="S95" s="414"/>
      <c r="T95" s="414"/>
      <c r="U95" s="414"/>
      <c r="V95" s="414"/>
      <c r="W95" s="414"/>
      <c r="X95" s="414"/>
      <c r="Y95" s="414"/>
      <c r="Z95" s="414"/>
      <c r="AA95" s="414"/>
      <c r="AB95" s="414"/>
      <c r="AC95" s="414"/>
      <c r="AD95" s="414"/>
      <c r="AE95" s="414"/>
      <c r="AF95" s="414"/>
      <c r="AG95" s="414"/>
      <c r="AH95" s="553"/>
      <c r="AI95" s="396"/>
      <c r="AL95" s="395"/>
    </row>
    <row r="96" spans="1:41" s="397" customFormat="1" hidden="1" x14ac:dyDescent="0.4">
      <c r="B96" s="396"/>
      <c r="C96" s="396"/>
      <c r="D96" s="396"/>
      <c r="E96" s="396"/>
      <c r="F96" s="396"/>
      <c r="G96" s="396"/>
      <c r="H96" s="396"/>
      <c r="I96" s="396"/>
      <c r="J96" s="414"/>
      <c r="K96" s="414"/>
      <c r="L96" s="414"/>
      <c r="M96" s="414"/>
      <c r="N96" s="414"/>
      <c r="O96" s="414"/>
      <c r="P96" s="414"/>
      <c r="Q96" s="414"/>
      <c r="R96" s="414"/>
      <c r="S96" s="414"/>
      <c r="T96" s="414"/>
      <c r="U96" s="414"/>
      <c r="V96" s="414"/>
      <c r="W96" s="414"/>
      <c r="X96" s="414"/>
      <c r="Y96" s="414"/>
      <c r="Z96" s="414"/>
      <c r="AA96" s="414"/>
      <c r="AB96" s="414"/>
      <c r="AC96" s="414"/>
      <c r="AD96" s="414"/>
      <c r="AE96" s="414"/>
      <c r="AF96" s="414"/>
      <c r="AG96" s="414"/>
      <c r="AH96" s="553"/>
      <c r="AI96" s="396"/>
      <c r="AL96" s="395"/>
    </row>
    <row r="97" spans="1:79" ht="25.5" hidden="1" x14ac:dyDescent="0.35">
      <c r="A97" s="493" t="s">
        <v>241</v>
      </c>
      <c r="B97" s="494"/>
      <c r="C97" s="494"/>
      <c r="D97" s="494"/>
      <c r="E97" s="494"/>
      <c r="F97" s="494"/>
      <c r="G97" s="494"/>
      <c r="H97" s="494"/>
      <c r="I97" s="494"/>
      <c r="J97" s="538"/>
      <c r="K97" s="538"/>
      <c r="L97" s="538"/>
      <c r="M97" s="538"/>
      <c r="N97" s="538"/>
      <c r="O97" s="538"/>
      <c r="P97" s="538"/>
      <c r="Q97" s="538"/>
      <c r="R97" s="538"/>
      <c r="S97" s="538"/>
      <c r="T97" s="538"/>
      <c r="U97" s="538"/>
      <c r="V97" s="538"/>
      <c r="W97" s="538"/>
      <c r="X97" s="538"/>
      <c r="Y97" s="538"/>
      <c r="Z97" s="538"/>
      <c r="AA97" s="538"/>
      <c r="AB97" s="538"/>
      <c r="AC97" s="538"/>
      <c r="AD97" s="538"/>
      <c r="AE97" s="538"/>
      <c r="AF97" s="538"/>
      <c r="AG97" s="538"/>
      <c r="AH97" s="554">
        <f>SUM($B97:AF97)</f>
        <v>0</v>
      </c>
      <c r="AI97" s="495"/>
      <c r="AJ97" s="496" t="s">
        <v>207</v>
      </c>
    </row>
    <row r="98" spans="1:79" s="419" customFormat="1" ht="51" hidden="1" x14ac:dyDescent="0.35">
      <c r="A98" s="497" t="s">
        <v>242</v>
      </c>
      <c r="B98" s="417" t="str">
        <f t="shared" ref="B98:AF98" si="53">IF(B$97=0,"",+(B42*10)/B$97)</f>
        <v/>
      </c>
      <c r="C98" s="417" t="str">
        <f t="shared" si="53"/>
        <v/>
      </c>
      <c r="D98" s="417" t="str">
        <f t="shared" si="53"/>
        <v/>
      </c>
      <c r="E98" s="417" t="str">
        <f t="shared" si="53"/>
        <v/>
      </c>
      <c r="F98" s="417" t="str">
        <f t="shared" si="53"/>
        <v/>
      </c>
      <c r="G98" s="417" t="str">
        <f t="shared" si="53"/>
        <v/>
      </c>
      <c r="H98" s="417" t="str">
        <f t="shared" si="53"/>
        <v/>
      </c>
      <c r="I98" s="417" t="str">
        <f t="shared" si="53"/>
        <v/>
      </c>
      <c r="J98" s="521" t="str">
        <f t="shared" si="53"/>
        <v/>
      </c>
      <c r="K98" s="521" t="str">
        <f t="shared" si="53"/>
        <v/>
      </c>
      <c r="L98" s="521" t="str">
        <f t="shared" si="53"/>
        <v/>
      </c>
      <c r="M98" s="521" t="str">
        <f t="shared" si="53"/>
        <v/>
      </c>
      <c r="N98" s="521" t="str">
        <f t="shared" si="53"/>
        <v/>
      </c>
      <c r="O98" s="521" t="str">
        <f t="shared" si="53"/>
        <v/>
      </c>
      <c r="P98" s="521" t="str">
        <f t="shared" si="53"/>
        <v/>
      </c>
      <c r="Q98" s="521" t="str">
        <f t="shared" si="53"/>
        <v/>
      </c>
      <c r="R98" s="521" t="str">
        <f t="shared" si="53"/>
        <v/>
      </c>
      <c r="S98" s="521" t="str">
        <f t="shared" si="53"/>
        <v/>
      </c>
      <c r="T98" s="521" t="str">
        <f t="shared" si="53"/>
        <v/>
      </c>
      <c r="U98" s="521" t="str">
        <f t="shared" si="53"/>
        <v/>
      </c>
      <c r="V98" s="521" t="str">
        <f t="shared" si="53"/>
        <v/>
      </c>
      <c r="W98" s="521" t="str">
        <f t="shared" si="53"/>
        <v/>
      </c>
      <c r="X98" s="521" t="str">
        <f t="shared" si="53"/>
        <v/>
      </c>
      <c r="Y98" s="521" t="str">
        <f t="shared" si="53"/>
        <v/>
      </c>
      <c r="Z98" s="521" t="str">
        <f t="shared" si="53"/>
        <v/>
      </c>
      <c r="AA98" s="521" t="str">
        <f t="shared" si="53"/>
        <v/>
      </c>
      <c r="AB98" s="521" t="str">
        <f t="shared" si="53"/>
        <v/>
      </c>
      <c r="AC98" s="521" t="str">
        <f t="shared" si="53"/>
        <v/>
      </c>
      <c r="AD98" s="521" t="str">
        <f t="shared" si="53"/>
        <v/>
      </c>
      <c r="AE98" s="521" t="str">
        <f t="shared" si="53"/>
        <v/>
      </c>
      <c r="AF98" s="521" t="str">
        <f t="shared" si="53"/>
        <v/>
      </c>
      <c r="AG98" s="521"/>
      <c r="AH98" s="418" t="e">
        <f>+(AH42*10)/AH$97</f>
        <v>#DIV/0!</v>
      </c>
      <c r="AI98" s="418">
        <v>2.6</v>
      </c>
      <c r="AJ98" s="498" t="e">
        <f>AI98-AH98</f>
        <v>#DIV/0!</v>
      </c>
      <c r="AK98" s="395"/>
      <c r="AL98" s="395"/>
      <c r="AM98" s="395"/>
      <c r="AN98" s="395"/>
      <c r="AO98" s="395"/>
      <c r="AP98" s="395"/>
      <c r="AQ98" s="395"/>
      <c r="AR98" s="395"/>
      <c r="AS98" s="395"/>
      <c r="AT98" s="395"/>
      <c r="AU98" s="395"/>
      <c r="AV98" s="395"/>
      <c r="AW98" s="395"/>
      <c r="AX98" s="395"/>
      <c r="AY98" s="395"/>
      <c r="AZ98" s="395"/>
      <c r="BA98" s="395"/>
      <c r="BB98" s="395"/>
      <c r="BC98" s="395"/>
      <c r="BD98" s="395"/>
      <c r="BE98" s="395"/>
      <c r="BF98" s="395"/>
      <c r="BG98" s="395"/>
      <c r="BH98" s="395"/>
      <c r="BI98" s="395"/>
      <c r="BJ98" s="395"/>
      <c r="BK98" s="395"/>
      <c r="BL98" s="395"/>
      <c r="BM98" s="395"/>
      <c r="BN98" s="395"/>
      <c r="BO98" s="395"/>
      <c r="BP98" s="395"/>
      <c r="BQ98" s="395"/>
      <c r="BR98" s="395"/>
      <c r="BS98" s="395"/>
      <c r="BT98" s="395"/>
      <c r="BU98" s="395"/>
      <c r="BV98" s="395"/>
      <c r="BW98" s="395"/>
      <c r="BX98" s="395"/>
      <c r="BY98" s="395"/>
      <c r="BZ98" s="395"/>
      <c r="CA98" s="395"/>
    </row>
    <row r="99" spans="1:79" ht="25.5" hidden="1" x14ac:dyDescent="0.35">
      <c r="A99" s="499"/>
      <c r="B99" s="500"/>
      <c r="C99" s="500"/>
      <c r="D99" s="500"/>
      <c r="E99" s="500"/>
      <c r="F99" s="500"/>
      <c r="G99" s="500"/>
      <c r="H99" s="500"/>
      <c r="I99" s="500"/>
      <c r="J99" s="539"/>
      <c r="K99" s="539"/>
      <c r="L99" s="539"/>
      <c r="M99" s="539"/>
      <c r="N99" s="539"/>
      <c r="O99" s="539"/>
      <c r="P99" s="539"/>
      <c r="Q99" s="539"/>
      <c r="R99" s="539"/>
      <c r="S99" s="539"/>
      <c r="T99" s="539"/>
      <c r="U99" s="539"/>
      <c r="V99" s="539"/>
      <c r="W99" s="539"/>
      <c r="X99" s="539"/>
      <c r="Y99" s="539"/>
      <c r="Z99" s="539"/>
      <c r="AA99" s="539"/>
      <c r="AB99" s="539"/>
      <c r="AC99" s="539"/>
      <c r="AD99" s="539"/>
      <c r="AE99" s="539"/>
      <c r="AF99" s="539"/>
      <c r="AG99" s="539"/>
      <c r="AH99" s="501"/>
      <c r="AI99" s="501"/>
      <c r="AJ99" s="502"/>
    </row>
    <row r="100" spans="1:79" ht="25.5" hidden="1" x14ac:dyDescent="0.35">
      <c r="A100" s="499"/>
      <c r="B100" s="500"/>
      <c r="C100" s="500"/>
      <c r="D100" s="500"/>
      <c r="E100" s="500"/>
      <c r="F100" s="500"/>
      <c r="G100" s="500"/>
      <c r="H100" s="500"/>
      <c r="I100" s="500"/>
      <c r="J100" s="539"/>
      <c r="K100" s="539"/>
      <c r="L100" s="539"/>
      <c r="M100" s="539"/>
      <c r="N100" s="539"/>
      <c r="O100" s="539"/>
      <c r="P100" s="539"/>
      <c r="Q100" s="539"/>
      <c r="R100" s="539"/>
      <c r="S100" s="539"/>
      <c r="T100" s="539"/>
      <c r="U100" s="539"/>
      <c r="V100" s="539"/>
      <c r="W100" s="539"/>
      <c r="X100" s="539"/>
      <c r="Y100" s="539"/>
      <c r="Z100" s="539"/>
      <c r="AA100" s="539"/>
      <c r="AB100" s="539"/>
      <c r="AC100" s="539"/>
      <c r="AD100" s="539"/>
      <c r="AE100" s="539"/>
      <c r="AF100" s="539"/>
      <c r="AG100" s="539"/>
      <c r="AH100" s="501"/>
      <c r="AI100" s="501"/>
      <c r="AJ100" s="502"/>
    </row>
    <row r="101" spans="1:79" ht="29.25" hidden="1" x14ac:dyDescent="0.5">
      <c r="A101" s="397" t="s">
        <v>251</v>
      </c>
      <c r="B101" s="503">
        <f>IF('Entries Feb.''25'!L8-'Entries Feb.''25'!L7&lt;1,0,'Entries Feb.''25'!L8-'Entries Feb.''25'!L7)</f>
        <v>0</v>
      </c>
      <c r="C101" s="503">
        <f>IF('Entries Feb.''25'!L9-'Entries Feb.''25'!L8&lt;1,0,'Entries Feb.''25'!L9-'Entries Feb.''25'!L8)</f>
        <v>0</v>
      </c>
      <c r="D101" s="503">
        <f>IF('Entries Feb.''25'!L10-'Entries Feb.''25'!L9&lt;1,0,'Entries Feb.''25'!L10-'Entries Feb.''25'!L9)</f>
        <v>0</v>
      </c>
      <c r="E101" s="503">
        <f>IF('Entries Feb.''25'!L11-'Entries Feb.''25'!L10&lt;1,0,'Entries Feb.''25'!L11-'Entries Feb.''25'!L10)</f>
        <v>0</v>
      </c>
      <c r="F101" s="503">
        <f>IF('Entries Feb.''25'!L12-'Entries Feb.''25'!L11&lt;1,0,'Entries Feb.''25'!L12-'Entries Feb.''25'!L11)</f>
        <v>0</v>
      </c>
      <c r="G101" s="503">
        <f>IF('Entries Feb.''25'!L13-'Entries Feb.''25'!L12&lt;1,0,'Entries Feb.''25'!L13-'Entries Feb.''25'!L12)</f>
        <v>0</v>
      </c>
      <c r="H101" s="503">
        <f>IF('Entries Feb.''25'!L14-'Entries Feb.''25'!L13&lt;1,0,'Entries Feb.''25'!L14-'Entries Feb.''25'!L13)</f>
        <v>0</v>
      </c>
      <c r="I101" s="503">
        <f>IF('Entries Feb.''25'!L15-'Entries Feb.''25'!L14&lt;1,0,'Entries Feb.''25'!L15-'Entries Feb.''25'!L14)</f>
        <v>0</v>
      </c>
      <c r="J101" s="540">
        <f>IF('Entries Feb.''25'!L16-'Entries Feb.''25'!L15&lt;1,0,'Entries Feb.''25'!L16-'Entries Feb.''25'!L15)</f>
        <v>0</v>
      </c>
      <c r="K101" s="540">
        <f>IF('Entries Feb.''25'!L17-'Entries Feb.''25'!L16&lt;1,0,'Entries Feb.''25'!L17-'Entries Feb.''25'!L16)</f>
        <v>0</v>
      </c>
      <c r="L101" s="540">
        <f>IF('Entries Feb.''25'!L18-'Entries Feb.''25'!L17&lt;1,0,'Entries Feb.''25'!L18-'Entries Feb.''25'!L17)</f>
        <v>0</v>
      </c>
      <c r="M101" s="540">
        <f>IF('Entries Feb.''25'!L19-'Entries Feb.''25'!L18&lt;1,0,'Entries Feb.''25'!L19-'Entries Feb.''25'!L18)</f>
        <v>0</v>
      </c>
      <c r="N101" s="468">
        <f>IF('Entries Feb.''25'!L20-'Entries Feb.''25'!L19&lt;1,0,'Entries Feb.''25'!L20-'Entries Feb.''25'!L19)</f>
        <v>0</v>
      </c>
      <c r="O101" s="468">
        <f>IF('Entries Feb.''25'!L21-'Entries Feb.''25'!L20&lt;1,0,'Entries Feb.''25'!L21-'Entries Feb.''25'!L20)</f>
        <v>0</v>
      </c>
      <c r="P101" s="468">
        <f>IF('Entries Feb.''25'!L22-'Entries Feb.''25'!L21&lt;1,0,'Entries Feb.''25'!L22-'Entries Feb.''25'!L21)</f>
        <v>0</v>
      </c>
      <c r="Q101" s="468">
        <f>IF('Entries Feb.''25'!L23-'Entries Feb.''25'!L22&lt;1,0,'Entries Feb.''25'!L23-'Entries Feb.''25'!L22)</f>
        <v>0</v>
      </c>
      <c r="R101" s="468">
        <f>IF('Entries Feb.''25'!L24-'Entries Feb.''25'!L23&lt;1,0,'Entries Feb.''25'!L24-'Entries Feb.''25'!L23)</f>
        <v>0</v>
      </c>
      <c r="S101" s="468">
        <f>IF('Entries Feb.''25'!L25-'Entries Feb.''25'!L24&lt;1,0,'Entries Feb.''25'!L25-'Entries Feb.''25'!L24)</f>
        <v>0</v>
      </c>
      <c r="T101" s="468">
        <f>IF('Entries Feb.''25'!L26-'Entries Feb.''25'!L25&lt;1,0,'Entries Feb.''25'!L26-'Entries Feb.''25'!L25)</f>
        <v>0</v>
      </c>
      <c r="U101" s="468">
        <f>IF('Entries Feb.''25'!L27-'Entries Feb.''25'!L26&lt;1,0,'Entries Feb.''25'!L27-'Entries Feb.''25'!L26)</f>
        <v>0</v>
      </c>
      <c r="V101" s="468">
        <f>IF('Entries Feb.''25'!L28-'Entries Feb.''25'!L27&lt;1,0,'Entries Feb.''25'!L28-'Entries Feb.''25'!L27)</f>
        <v>0</v>
      </c>
      <c r="W101" s="468">
        <f>IF('Entries Feb.''25'!L29-'Entries Feb.''25'!L28&lt;1,0,'Entries Feb.''25'!L29-'Entries Feb.''25'!L28)</f>
        <v>0</v>
      </c>
      <c r="X101" s="468">
        <f>IF('Entries Feb.''25'!L30-'Entries Feb.''25'!L29&lt;1,0,'Entries Feb.''25'!L30-'Entries Feb.''25'!L29)</f>
        <v>0</v>
      </c>
      <c r="Y101" s="468">
        <f>IF('Entries Feb.''25'!L31-'Entries Feb.''25'!L30&lt;1,0,'Entries Feb.''25'!L31-'Entries Feb.''25'!L30)</f>
        <v>0</v>
      </c>
      <c r="Z101" s="468">
        <f>IF('Entries Feb.''25'!L32-'Entries Feb.''25'!L31&lt;1,0,'Entries Feb.''25'!L32-'Entries Feb.''25'!L31)</f>
        <v>0</v>
      </c>
      <c r="AA101" s="468">
        <f>IF('Entries Feb.''25'!L33-'Entries Feb.''25'!L32&lt;1,0,'Entries Feb.''25'!L33-'Entries Feb.''25'!L32)</f>
        <v>0</v>
      </c>
      <c r="AB101" s="468">
        <f>IF('Entries Feb.''25'!L34-'Entries Feb.''25'!L33&lt;1,0,'Entries Feb.''25'!L34-'Entries Feb.''25'!L33)</f>
        <v>0</v>
      </c>
      <c r="AC101" s="468">
        <f>IF('Entries Feb.''25'!L35-'Entries Feb.''25'!L34&lt;1,0,'Entries Feb.''25'!L35-'Entries Feb.''25'!L34)</f>
        <v>0</v>
      </c>
      <c r="AD101" s="468">
        <f>IF('Entries Feb.''25'!L36-'Entries Feb.''25'!L35&lt;1,0,'Entries Feb.''25'!L36-'Entries Feb.''25'!L35)</f>
        <v>0</v>
      </c>
      <c r="AE101" s="468">
        <f>IF('Entries Feb.''25'!L37-'Entries Feb.''25'!L36&lt;1,0,'Entries Feb.''25'!L37-'Entries Feb.''25'!L36)</f>
        <v>0</v>
      </c>
      <c r="AF101" s="468">
        <f>IF('Entries Feb.''25'!L38-'Entries Feb.''25'!L37&lt;1,0,'Entries Feb.''25'!L38-'Entries Feb.''25'!L37)</f>
        <v>0</v>
      </c>
      <c r="AG101" s="468"/>
      <c r="AH101" s="404">
        <f>SUM($B101:AF101)</f>
        <v>0</v>
      </c>
      <c r="AI101" s="404"/>
    </row>
    <row r="102" spans="1:79" hidden="1" x14ac:dyDescent="0.4">
      <c r="A102" s="397" t="s">
        <v>226</v>
      </c>
      <c r="M102" s="517"/>
      <c r="AH102" s="396">
        <f>SUM(B102:AF102)</f>
        <v>0</v>
      </c>
      <c r="AK102" s="395" t="s">
        <v>256</v>
      </c>
    </row>
    <row r="103" spans="1:79" hidden="1" x14ac:dyDescent="0.4">
      <c r="A103" s="397" t="s">
        <v>227</v>
      </c>
      <c r="B103" s="504" t="str">
        <f t="shared" ref="B103:AF103" si="54">IF(B101=0,"",B102/B101)</f>
        <v/>
      </c>
      <c r="C103" s="504" t="str">
        <f>IF(C101=0,"",C102/C101)</f>
        <v/>
      </c>
      <c r="D103" s="504" t="str">
        <f t="shared" si="54"/>
        <v/>
      </c>
      <c r="E103" s="504" t="str">
        <f t="shared" si="54"/>
        <v/>
      </c>
      <c r="F103" s="504" t="str">
        <f t="shared" si="54"/>
        <v/>
      </c>
      <c r="G103" s="504" t="s">
        <v>64</v>
      </c>
      <c r="H103" s="504" t="str">
        <f t="shared" si="54"/>
        <v/>
      </c>
      <c r="I103" s="504" t="str">
        <f>IF(I101=0,"",I102/I101)</f>
        <v/>
      </c>
      <c r="J103" s="541" t="str">
        <f t="shared" si="54"/>
        <v/>
      </c>
      <c r="K103" s="541" t="str">
        <f t="shared" si="54"/>
        <v/>
      </c>
      <c r="L103" s="541" t="str">
        <f t="shared" si="54"/>
        <v/>
      </c>
      <c r="M103" s="541" t="str">
        <f t="shared" si="54"/>
        <v/>
      </c>
      <c r="N103" s="541" t="str">
        <f t="shared" si="54"/>
        <v/>
      </c>
      <c r="O103" s="541" t="str">
        <f t="shared" si="54"/>
        <v/>
      </c>
      <c r="P103" s="541" t="str">
        <f t="shared" si="54"/>
        <v/>
      </c>
      <c r="Q103" s="541" t="str">
        <f t="shared" si="54"/>
        <v/>
      </c>
      <c r="R103" s="541" t="str">
        <f t="shared" si="54"/>
        <v/>
      </c>
      <c r="S103" s="541" t="str">
        <f t="shared" si="54"/>
        <v/>
      </c>
      <c r="T103" s="541" t="str">
        <f t="shared" si="54"/>
        <v/>
      </c>
      <c r="U103" s="541" t="str">
        <f>IF(U101=0,"",U102/U101)</f>
        <v/>
      </c>
      <c r="V103" s="541" t="str">
        <f t="shared" si="54"/>
        <v/>
      </c>
      <c r="W103" s="541" t="str">
        <f t="shared" si="54"/>
        <v/>
      </c>
      <c r="X103" s="541" t="str">
        <f t="shared" si="54"/>
        <v/>
      </c>
      <c r="Y103" s="541" t="str">
        <f t="shared" si="54"/>
        <v/>
      </c>
      <c r="Z103" s="541" t="str">
        <f t="shared" si="54"/>
        <v/>
      </c>
      <c r="AA103" s="541" t="str">
        <f t="shared" si="54"/>
        <v/>
      </c>
      <c r="AB103" s="541" t="str">
        <f t="shared" si="54"/>
        <v/>
      </c>
      <c r="AC103" s="541" t="str">
        <f t="shared" si="54"/>
        <v/>
      </c>
      <c r="AD103" s="541" t="str">
        <f t="shared" si="54"/>
        <v/>
      </c>
      <c r="AE103" s="541" t="str">
        <f t="shared" si="54"/>
        <v/>
      </c>
      <c r="AF103" s="541" t="str">
        <f t="shared" si="54"/>
        <v/>
      </c>
      <c r="AG103" s="541"/>
      <c r="AH103" s="504" t="str">
        <f>IF(AH101=0,"",AH102/AH101)</f>
        <v/>
      </c>
    </row>
    <row r="104" spans="1:79" ht="30" hidden="1" x14ac:dyDescent="0.4">
      <c r="A104" s="397" t="s">
        <v>252</v>
      </c>
      <c r="B104" s="503">
        <f>IF('Entries Feb.''25'!$AG8-'Entries Feb.''25'!$AG7&lt;1,0,'Entries Feb.''25'!$AG8-'Entries Feb.''25'!$AG7)</f>
        <v>0</v>
      </c>
      <c r="C104" s="503">
        <f>IF('Entries Feb.''25'!$AG9-'Entries Feb.''25'!$AG8&lt;1,0,'Entries Feb.''25'!$AG9-'Entries Feb.''25'!$AG8)</f>
        <v>0</v>
      </c>
      <c r="D104" s="503">
        <f>IF('Entries Feb.''25'!$AG10-'Entries Feb.''25'!$AG9&lt;1,0,'Entries Feb.''25'!$AG10-'Entries Feb.''25'!$AG9)</f>
        <v>0</v>
      </c>
      <c r="E104" s="503">
        <f>IF('Entries Feb.''25'!$AG11-'Entries Feb.''25'!$AG10&lt;1,0,'Entries Feb.''25'!$AG11-'Entries Feb.''25'!$AG10)</f>
        <v>0</v>
      </c>
      <c r="F104" s="503">
        <f>IF('Entries Feb.''25'!$AG12-'Entries Feb.''25'!$AG11&lt;1,0,'Entries Feb.''25'!$AG12-'Entries Feb.''25'!$AG11)</f>
        <v>0</v>
      </c>
      <c r="G104" s="503">
        <f>IF('Entries Feb.''25'!$AG13-'Entries Feb.''25'!$AG12&lt;1,0,'Entries Feb.''25'!$AG13-'Entries Feb.''25'!$AG12)</f>
        <v>0</v>
      </c>
      <c r="H104" s="503">
        <f>IF('Entries Feb.''25'!$AG14-'Entries Feb.''25'!$AG13&lt;1,0,'Entries Feb.''25'!$AG14-'Entries Feb.''25'!$AG13)</f>
        <v>0</v>
      </c>
      <c r="I104" s="503">
        <f>IF('Entries Feb.''25'!AG15-'Entries Feb.''25'!AG14&lt;1,0,'Entries Feb.''25'!AG15-'Entries Feb.''25'!AG14)</f>
        <v>0</v>
      </c>
      <c r="J104" s="540">
        <f>IF('Entries Feb.''25'!AG16-'Entries Feb.''25'!AG15&lt;1,0,'Entries Feb.''25'!AG16-'Entries Feb.''25'!AG15)</f>
        <v>0</v>
      </c>
      <c r="K104" s="540">
        <f>IF('Entries Feb.''25'!AG17-'Entries Feb.''25'!AG16&lt;1,0,'Entries Feb.''25'!AG17-'Entries Feb.''25'!AG16)</f>
        <v>0</v>
      </c>
      <c r="L104" s="540">
        <f>IF('Entries Feb.''25'!$AG18-'Entries Feb.''25'!$AG17&lt;1,0,'Entries Feb.''25'!$AG18-'Entries Feb.''25'!$AG17)</f>
        <v>0</v>
      </c>
      <c r="M104" s="540">
        <f>IF('Entries Feb.''25'!$AG19-'Entries Feb.''25'!$AG18&lt;1,0,'Entries Feb.''25'!$AG19-'Entries Feb.''25'!$AG18)</f>
        <v>0</v>
      </c>
      <c r="N104" s="540">
        <f>IF('Entries Feb.''25'!$AG20-'Entries Feb.''25'!$AG19&lt;1,0,'Entries Feb.''25'!$AG20-'Entries Feb.''25'!$AG19)</f>
        <v>0</v>
      </c>
      <c r="O104" s="540">
        <f>IF('Entries Feb.''25'!$AG21-'Entries Feb.''25'!$AG20&lt;1,0,'Entries Feb.''25'!$AG21-'Entries Feb.''25'!$AG20)</f>
        <v>0</v>
      </c>
      <c r="P104" s="540">
        <f>IF('Entries Feb.''25'!$AG22-'Entries Feb.''25'!$AG21&lt;1,0,'Entries Feb.''25'!$AG22-'Entries Feb.''25'!$AG21)</f>
        <v>0</v>
      </c>
      <c r="Q104" s="540">
        <f>IF('Entries Feb.''25'!$AG23-'Entries Feb.''25'!$AG22&lt;1,0,'Entries Feb.''25'!$AG23-'Entries Feb.''25'!$AG22)</f>
        <v>0</v>
      </c>
      <c r="R104" s="540">
        <f>IF('Entries Feb.''25'!$AG24-'Entries Feb.''25'!$AG23&lt;1,0,'Entries Feb.''25'!$AG24-'Entries Feb.''25'!$AG23)</f>
        <v>0</v>
      </c>
      <c r="S104" s="540">
        <f>IF('Entries Feb.''25'!$AG25-'Entries Feb.''25'!$AG24&lt;1,0,'Entries Feb.''25'!$AG25-'Entries Feb.''25'!$AG24)</f>
        <v>0</v>
      </c>
      <c r="T104" s="540">
        <f>IF('Entries Feb.''25'!$AG26-'Entries Feb.''25'!$AG25&lt;1,0,'Entries Feb.''25'!$AG26-'Entries Feb.''25'!$AG25)</f>
        <v>0</v>
      </c>
      <c r="U104" s="540">
        <f>IF('Entries Feb.''25'!$AG27-'Entries Feb.''25'!$AG26&lt;1,0,'Entries Feb.''25'!$AG27-'Entries Feb.''25'!$AG26)</f>
        <v>0</v>
      </c>
      <c r="V104" s="540">
        <f>IF('Entries Feb.''25'!$AG28-'Entries Feb.''25'!$AG27&lt;1,0,'Entries Feb.''25'!$AG28-'Entries Feb.''25'!$AG27)</f>
        <v>0</v>
      </c>
      <c r="W104" s="540">
        <f>IF('Entries Feb.''25'!$AG29-'Entries Feb.''25'!$AG28&lt;1,0,'Entries Feb.''25'!$AG29-'Entries Feb.''25'!$AG28)</f>
        <v>0</v>
      </c>
      <c r="X104" s="540">
        <f>IF('Entries Feb.''25'!$AG30-'Entries Feb.''25'!$AG29&lt;1,0,'Entries Feb.''25'!$AG30-'Entries Feb.''25'!$AG29)</f>
        <v>0</v>
      </c>
      <c r="Y104" s="540">
        <f>IF('Entries Feb.''25'!$AG31-'Entries Feb.''25'!$AG30&lt;1,0,'Entries Feb.''25'!$AG31-'Entries Feb.''25'!$AG30)</f>
        <v>0</v>
      </c>
      <c r="Z104" s="540">
        <f>IF('Entries Feb.''25'!$AG32-'Entries Feb.''25'!$AG31&lt;1,0,'Entries Feb.''25'!$AG32-'Entries Feb.''25'!$AG31)</f>
        <v>0</v>
      </c>
      <c r="AA104" s="540">
        <f>IF('Entries Feb.''25'!$AG33-'Entries Feb.''25'!$AG31&lt;1,0,'Entries Feb.''25'!$AG33-'Entries Feb.''25'!$AG31)</f>
        <v>0</v>
      </c>
      <c r="AB104" s="540">
        <f>IF('Entries Feb.''25'!$AG34-'Entries Feb.''25'!$AG33&lt;1,0,'Entries Feb.''25'!$AG34-'Entries Feb.''25'!$AG33)</f>
        <v>0</v>
      </c>
      <c r="AC104" s="540">
        <f>IF('Entries Feb.''25'!$AG35-'Entries Feb.''25'!$AG34&lt;1,0,'Entries Feb.''25'!$AG35-'Entries Feb.''25'!$AG34)</f>
        <v>0</v>
      </c>
      <c r="AD104" s="540">
        <f>IF('Entries Feb.''25'!$AG36-'Entries Feb.''25'!$AG35&lt;1,0,'Entries Feb.''25'!$AG36-'Entries Feb.''25'!$AG35)</f>
        <v>0</v>
      </c>
      <c r="AE104" s="540">
        <f>IF('Entries Feb.''25'!$AG37-'Entries Feb.''25'!$AG36&lt;1,0,'Entries Feb.''25'!$AG37-'Entries Feb.''25'!$AG36)</f>
        <v>0</v>
      </c>
      <c r="AF104" s="540">
        <f>IF('Entries Feb.''25'!$AG38-'Entries Feb.''25'!$AG37&lt;1,0,'Entries Feb.''25'!$AG38-'Entries Feb.''25'!$AG37)</f>
        <v>0</v>
      </c>
      <c r="AG104" s="540"/>
      <c r="AH104" s="404">
        <f>SUM(B104:AF104)</f>
        <v>0</v>
      </c>
      <c r="AI104" s="404"/>
    </row>
    <row r="105" spans="1:79" hidden="1" x14ac:dyDescent="0.4">
      <c r="M105" s="517"/>
    </row>
    <row r="106" spans="1:79" hidden="1" x14ac:dyDescent="0.4">
      <c r="A106" s="395" t="s">
        <v>177</v>
      </c>
      <c r="M106" s="517"/>
    </row>
    <row r="107" spans="1:79" hidden="1" x14ac:dyDescent="0.4">
      <c r="M107" s="517"/>
    </row>
    <row r="108" spans="1:79" hidden="1" x14ac:dyDescent="0.4">
      <c r="M108" s="517"/>
    </row>
    <row r="109" spans="1:79" hidden="1" x14ac:dyDescent="0.4">
      <c r="M109" s="517"/>
    </row>
    <row r="110" spans="1:79" hidden="1" x14ac:dyDescent="0.4">
      <c r="A110" s="395" t="s">
        <v>161</v>
      </c>
      <c r="B110" s="505" t="s">
        <v>162</v>
      </c>
      <c r="C110" s="425">
        <f>+'Water '!$F8</f>
        <v>352</v>
      </c>
      <c r="M110" s="517"/>
      <c r="AB110" s="517" t="s">
        <v>162</v>
      </c>
      <c r="AC110" s="517" t="s">
        <v>162</v>
      </c>
      <c r="AF110" s="517" t="s">
        <v>162</v>
      </c>
      <c r="AH110" s="404">
        <f>SUM($B110:AC110)</f>
        <v>352</v>
      </c>
      <c r="AI110" s="404"/>
    </row>
    <row r="111" spans="1:79" hidden="1" x14ac:dyDescent="0.4">
      <c r="M111" s="517"/>
    </row>
    <row r="112" spans="1:79" hidden="1" x14ac:dyDescent="0.4">
      <c r="M112" s="517"/>
    </row>
    <row r="113" spans="2:34" hidden="1" x14ac:dyDescent="0.4">
      <c r="M113" s="517"/>
    </row>
    <row r="114" spans="2:34" hidden="1" x14ac:dyDescent="0.4">
      <c r="B114" s="503">
        <f>'Daily KPIs'!B79</f>
        <v>5855</v>
      </c>
      <c r="D114" s="503">
        <f>'Daily KPIs'!D79</f>
        <v>7875</v>
      </c>
      <c r="E114" s="503">
        <f>'Daily KPIs'!E79</f>
        <v>7756</v>
      </c>
      <c r="F114" s="503">
        <f>'Daily KPIs'!F79</f>
        <v>8477</v>
      </c>
      <c r="G114" s="503">
        <f>'Daily KPIs'!G79</f>
        <v>7797</v>
      </c>
      <c r="H114" s="503">
        <f>'Daily KPIs'!H79</f>
        <v>3697</v>
      </c>
      <c r="I114" s="503">
        <f>'Daily KPIs'!I79</f>
        <v>4659</v>
      </c>
      <c r="J114" s="540">
        <f>'Daily KPIs'!J79</f>
        <v>5407</v>
      </c>
      <c r="K114" s="540">
        <f>'Daily KPIs'!K79</f>
        <v>6755</v>
      </c>
      <c r="L114" s="540">
        <f>'Daily KPIs'!L79</f>
        <v>8429</v>
      </c>
      <c r="M114" s="540">
        <f>'Daily KPIs'!M79</f>
        <v>8273</v>
      </c>
      <c r="N114" s="540">
        <f>'Daily KPIs'!N79</f>
        <v>8452</v>
      </c>
      <c r="O114" s="540">
        <f>'Daily KPIs'!O79</f>
        <v>7340</v>
      </c>
      <c r="P114" s="540">
        <f>'Daily KPIs'!P79</f>
        <v>4100</v>
      </c>
      <c r="Q114" s="540">
        <f>'Daily KPIs'!Q79</f>
        <v>4256</v>
      </c>
      <c r="R114" s="540">
        <f>'Daily KPIs'!R79</f>
        <v>7897</v>
      </c>
      <c r="S114" s="540">
        <f>'Daily KPIs'!S79</f>
        <v>8686</v>
      </c>
      <c r="T114" s="540">
        <f>'Daily KPIs'!T79</f>
        <v>8826</v>
      </c>
      <c r="U114" s="540">
        <f>'Daily KPIs'!U79</f>
        <v>8615</v>
      </c>
      <c r="V114" s="540">
        <f>'Daily KPIs'!V79</f>
        <v>8074</v>
      </c>
      <c r="W114" s="540">
        <f>'Daily KPIs'!W79</f>
        <v>4355</v>
      </c>
      <c r="X114" s="540">
        <f>'Daily KPIs'!X79</f>
        <v>4880</v>
      </c>
      <c r="Y114" s="540">
        <f>'Daily KPIs'!Y79</f>
        <v>7857</v>
      </c>
      <c r="Z114" s="540">
        <f>'Daily KPIs'!Z79</f>
        <v>8306</v>
      </c>
      <c r="AA114" s="540">
        <f>'Daily KPIs'!AA79</f>
        <v>7906</v>
      </c>
      <c r="AB114" s="540">
        <f>'Daily KPIs'!AB79</f>
        <v>8386</v>
      </c>
      <c r="AC114" s="540">
        <f>'Daily KPIs'!AC79</f>
        <v>7988</v>
      </c>
      <c r="AD114" s="540" t="str">
        <f>'Daily KPIs'!AD79</f>
        <v>0</v>
      </c>
      <c r="AE114" s="540">
        <f>'Daily KPIs'!AE79</f>
        <v>0</v>
      </c>
      <c r="AF114" s="540">
        <f>'Daily KPIs'!AF79</f>
        <v>0</v>
      </c>
      <c r="AG114" s="540"/>
      <c r="AH114" s="503">
        <f>'Daily KPIs'!AH79</f>
        <v>194364</v>
      </c>
    </row>
    <row r="115" spans="2:34" hidden="1" x14ac:dyDescent="0.4">
      <c r="C115" s="503">
        <f>'Daily KPIs'!C79</f>
        <v>3460</v>
      </c>
      <c r="M115" s="517"/>
    </row>
    <row r="116" spans="2:34" x14ac:dyDescent="0.4">
      <c r="M116" s="517"/>
    </row>
    <row r="117" spans="2:34" x14ac:dyDescent="0.4">
      <c r="M117" s="517"/>
    </row>
    <row r="118" spans="2:34" x14ac:dyDescent="0.4">
      <c r="M118" s="517"/>
    </row>
    <row r="119" spans="2:34" x14ac:dyDescent="0.4">
      <c r="M119" s="517"/>
    </row>
    <row r="120" spans="2:34" x14ac:dyDescent="0.4">
      <c r="M120" s="517"/>
    </row>
    <row r="121" spans="2:34" x14ac:dyDescent="0.4">
      <c r="H121" s="398" t="s">
        <v>235</v>
      </c>
      <c r="M121" s="517"/>
      <c r="R121" s="414"/>
    </row>
    <row r="122" spans="2:34" x14ac:dyDescent="0.4">
      <c r="M122" s="517"/>
      <c r="R122" s="414"/>
    </row>
    <row r="123" spans="2:34" x14ac:dyDescent="0.4">
      <c r="M123" s="517"/>
    </row>
    <row r="124" spans="2:34" x14ac:dyDescent="0.4">
      <c r="M124" s="517"/>
    </row>
    <row r="125" spans="2:34" x14ac:dyDescent="0.4">
      <c r="M125" s="517"/>
    </row>
    <row r="126" spans="2:34" x14ac:dyDescent="0.4">
      <c r="M126" s="517"/>
    </row>
    <row r="127" spans="2:34" x14ac:dyDescent="0.4">
      <c r="M127" s="517"/>
    </row>
    <row r="128" spans="2:34" x14ac:dyDescent="0.4">
      <c r="M128" s="517"/>
    </row>
    <row r="129" spans="13:13" x14ac:dyDescent="0.4">
      <c r="M129" s="517"/>
    </row>
    <row r="130" spans="13:13" x14ac:dyDescent="0.4">
      <c r="M130" s="517"/>
    </row>
    <row r="131" spans="13:13" x14ac:dyDescent="0.4">
      <c r="M131" s="517"/>
    </row>
    <row r="132" spans="13:13" x14ac:dyDescent="0.4">
      <c r="M132" s="517"/>
    </row>
    <row r="133" spans="13:13" x14ac:dyDescent="0.4">
      <c r="M133" s="517"/>
    </row>
    <row r="134" spans="13:13" x14ac:dyDescent="0.4">
      <c r="M134" s="517"/>
    </row>
    <row r="135" spans="13:13" x14ac:dyDescent="0.4">
      <c r="M135" s="517"/>
    </row>
    <row r="136" spans="13:13" x14ac:dyDescent="0.4">
      <c r="M136" s="517"/>
    </row>
    <row r="137" spans="13:13" x14ac:dyDescent="0.4">
      <c r="M137" s="517"/>
    </row>
    <row r="138" spans="13:13" x14ac:dyDescent="0.4">
      <c r="M138" s="517"/>
    </row>
    <row r="139" spans="13:13" x14ac:dyDescent="0.4">
      <c r="M139" s="517"/>
    </row>
    <row r="140" spans="13:13" x14ac:dyDescent="0.4">
      <c r="M140" s="517"/>
    </row>
    <row r="141" spans="13:13" x14ac:dyDescent="0.4">
      <c r="M141" s="517"/>
    </row>
    <row r="142" spans="13:13" x14ac:dyDescent="0.4">
      <c r="M142" s="517"/>
    </row>
    <row r="143" spans="13:13" x14ac:dyDescent="0.4">
      <c r="M143" s="517"/>
    </row>
    <row r="144" spans="13:13" x14ac:dyDescent="0.4">
      <c r="M144" s="517"/>
    </row>
    <row r="145" spans="13:13" x14ac:dyDescent="0.4">
      <c r="M145" s="517"/>
    </row>
    <row r="146" spans="13:13" x14ac:dyDescent="0.4">
      <c r="M146" s="517"/>
    </row>
    <row r="147" spans="13:13" x14ac:dyDescent="0.4">
      <c r="M147" s="517"/>
    </row>
    <row r="148" spans="13:13" x14ac:dyDescent="0.4">
      <c r="M148" s="517"/>
    </row>
    <row r="149" spans="13:13" x14ac:dyDescent="0.4">
      <c r="M149" s="517"/>
    </row>
    <row r="150" spans="13:13" x14ac:dyDescent="0.4">
      <c r="M150" s="517"/>
    </row>
    <row r="151" spans="13:13" x14ac:dyDescent="0.4">
      <c r="M151" s="517"/>
    </row>
    <row r="152" spans="13:13" x14ac:dyDescent="0.4">
      <c r="M152" s="517"/>
    </row>
    <row r="153" spans="13:13" x14ac:dyDescent="0.4">
      <c r="M153" s="517"/>
    </row>
    <row r="154" spans="13:13" x14ac:dyDescent="0.4">
      <c r="M154" s="517"/>
    </row>
    <row r="155" spans="13:13" x14ac:dyDescent="0.4">
      <c r="M155" s="517"/>
    </row>
    <row r="156" spans="13:13" x14ac:dyDescent="0.4">
      <c r="M156" s="517"/>
    </row>
    <row r="157" spans="13:13" x14ac:dyDescent="0.4">
      <c r="M157" s="517"/>
    </row>
    <row r="158" spans="13:13" x14ac:dyDescent="0.4">
      <c r="M158" s="517"/>
    </row>
    <row r="159" spans="13:13" x14ac:dyDescent="0.4">
      <c r="M159" s="517"/>
    </row>
    <row r="160" spans="13:13" x14ac:dyDescent="0.4">
      <c r="M160" s="517"/>
    </row>
    <row r="161" spans="13:13" x14ac:dyDescent="0.4">
      <c r="M161" s="517"/>
    </row>
    <row r="162" spans="13:13" x14ac:dyDescent="0.4">
      <c r="M162" s="517"/>
    </row>
    <row r="163" spans="13:13" x14ac:dyDescent="0.4">
      <c r="M163" s="517"/>
    </row>
    <row r="164" spans="13:13" x14ac:dyDescent="0.4">
      <c r="M164" s="517"/>
    </row>
    <row r="165" spans="13:13" x14ac:dyDescent="0.4">
      <c r="M165" s="517"/>
    </row>
    <row r="166" spans="13:13" x14ac:dyDescent="0.4">
      <c r="M166" s="517"/>
    </row>
    <row r="167" spans="13:13" x14ac:dyDescent="0.4">
      <c r="M167" s="517"/>
    </row>
    <row r="168" spans="13:13" x14ac:dyDescent="0.4">
      <c r="M168" s="517"/>
    </row>
    <row r="169" spans="13:13" x14ac:dyDescent="0.4">
      <c r="M169" s="517"/>
    </row>
    <row r="170" spans="13:13" x14ac:dyDescent="0.4">
      <c r="M170" s="517"/>
    </row>
    <row r="171" spans="13:13" x14ac:dyDescent="0.4">
      <c r="M171" s="517"/>
    </row>
    <row r="172" spans="13:13" x14ac:dyDescent="0.4">
      <c r="M172" s="517"/>
    </row>
  </sheetData>
  <mergeCells count="1">
    <mergeCell ref="AI6:AI7"/>
  </mergeCells>
  <phoneticPr fontId="35" type="noConversion"/>
  <conditionalFormatting sqref="B91:C91 AE91:AG91">
    <cfRule type="cellIs" dxfId="23" priority="77" operator="greaterThan">
      <formula>$AI$91</formula>
    </cfRule>
  </conditionalFormatting>
  <conditionalFormatting sqref="B22:AG22">
    <cfRule type="cellIs" dxfId="22" priority="51" operator="greaterThan">
      <formula>400</formula>
    </cfRule>
  </conditionalFormatting>
  <conditionalFormatting sqref="B44:AG44">
    <cfRule type="colorScale" priority="1">
      <colorScale>
        <cfvo type="min"/>
        <cfvo type="max"/>
        <color theme="0"/>
        <color rgb="FFFF0000"/>
      </colorScale>
    </cfRule>
  </conditionalFormatting>
  <conditionalFormatting sqref="B15:AH15">
    <cfRule type="cellIs" dxfId="21" priority="73" operator="greaterThan">
      <formula>3.2</formula>
    </cfRule>
  </conditionalFormatting>
  <conditionalFormatting sqref="B54:AH54">
    <cfRule type="cellIs" dxfId="20" priority="7" operator="greaterThan">
      <formula>3.2</formula>
    </cfRule>
  </conditionalFormatting>
  <conditionalFormatting sqref="B56:AH56">
    <cfRule type="cellIs" dxfId="19" priority="11" operator="greaterThan">
      <formula>0.1</formula>
    </cfRule>
  </conditionalFormatting>
  <conditionalFormatting sqref="B57:AH57">
    <cfRule type="cellIs" dxfId="18" priority="12" operator="greaterThan">
      <formula>0.7</formula>
    </cfRule>
  </conditionalFormatting>
  <conditionalFormatting sqref="B58:AH58">
    <cfRule type="cellIs" dxfId="17" priority="13" operator="greaterThan">
      <formula>1</formula>
    </cfRule>
  </conditionalFormatting>
  <conditionalFormatting sqref="B59:AH59">
    <cfRule type="cellIs" dxfId="16" priority="14" operator="greaterThan">
      <formula>0.7</formula>
    </cfRule>
  </conditionalFormatting>
  <conditionalFormatting sqref="B60:AH60">
    <cfRule type="cellIs" dxfId="15" priority="15" operator="greaterThan">
      <formula>2.1</formula>
    </cfRule>
  </conditionalFormatting>
  <conditionalFormatting sqref="B61:AH61">
    <cfRule type="cellIs" dxfId="14" priority="16" operator="greaterThan">
      <formula>0.7</formula>
    </cfRule>
  </conditionalFormatting>
  <conditionalFormatting sqref="B62:AH62">
    <cfRule type="cellIs" dxfId="13" priority="5" operator="greaterThan">
      <formula>1</formula>
    </cfRule>
  </conditionalFormatting>
  <conditionalFormatting sqref="B65:AH65">
    <cfRule type="cellIs" dxfId="12" priority="6" operator="greaterThan">
      <formula>0.3</formula>
    </cfRule>
  </conditionalFormatting>
  <conditionalFormatting sqref="B68:AH68">
    <cfRule type="cellIs" dxfId="11" priority="8" operator="greaterThan">
      <formula>9.6</formula>
    </cfRule>
  </conditionalFormatting>
  <conditionalFormatting sqref="B69:AH69">
    <cfRule type="cellIs" dxfId="10" priority="9" operator="greaterThan">
      <formula>2.9</formula>
    </cfRule>
  </conditionalFormatting>
  <conditionalFormatting sqref="B88:AH88">
    <cfRule type="cellIs" dxfId="9" priority="798" operator="greaterThan">
      <formula>$AI$88</formula>
    </cfRule>
  </conditionalFormatting>
  <conditionalFormatting sqref="B90:AH90">
    <cfRule type="cellIs" dxfId="8" priority="47" operator="lessThan">
      <formula>4.5</formula>
    </cfRule>
    <cfRule type="cellIs" dxfId="7" priority="48" operator="greaterThan">
      <formula>4.5</formula>
    </cfRule>
  </conditionalFormatting>
  <conditionalFormatting sqref="B92:AH92">
    <cfRule type="cellIs" dxfId="6" priority="776" operator="greaterThan">
      <formula>$AI$92</formula>
    </cfRule>
  </conditionalFormatting>
  <conditionalFormatting sqref="B94:AH94">
    <cfRule type="cellIs" dxfId="5" priority="57" operator="greaterThan">
      <formula>$AI$94</formula>
    </cfRule>
  </conditionalFormatting>
  <conditionalFormatting sqref="I63:AH63">
    <cfRule type="cellIs" dxfId="4" priority="18" operator="greaterThan">
      <formula>0.6</formula>
    </cfRule>
  </conditionalFormatting>
  <conditionalFormatting sqref="AC54:AG54">
    <cfRule type="cellIs" dxfId="3" priority="32" operator="greaterThan">
      <formula>$AI$54</formula>
    </cfRule>
  </conditionalFormatting>
  <conditionalFormatting sqref="AC55:AG61 AC63:AG63 B64:AG64">
    <cfRule type="cellIs" dxfId="2" priority="1085" operator="greaterThan">
      <formula>$AI59</formula>
    </cfRule>
  </conditionalFormatting>
  <conditionalFormatting sqref="AJ8">
    <cfRule type="cellIs" dxfId="1" priority="55" operator="greaterThan">
      <formula>0</formula>
    </cfRule>
    <cfRule type="cellIs" dxfId="0" priority="56" operator="lessThan">
      <formula>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3 X43" formula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Feb.'25</vt:lpstr>
      <vt:lpstr>Utility Analysis Feb. 2025</vt:lpstr>
      <vt:lpstr>Steam Mass Flow </vt:lpstr>
      <vt:lpstr>Co2 </vt:lpstr>
      <vt:lpstr>Fuel </vt:lpstr>
      <vt:lpstr>Water </vt:lpstr>
      <vt:lpstr>Elec.Feb'25</vt:lpstr>
      <vt:lpstr>PROD.FIG. </vt:lpstr>
      <vt:lpstr>Water Analysis. '25</vt:lpstr>
      <vt:lpstr>Daily KPIs CO2</vt:lpstr>
      <vt:lpstr>Daily KPIs</vt:lpstr>
      <vt:lpstr>Sheet1</vt:lpstr>
      <vt:lpstr>'Daily KPIs'!Print_Area</vt:lpstr>
      <vt:lpstr>'Entries Feb.''25'!Print_Area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2019-10-02T13:09:44Z</cp:lastPrinted>
  <dcterms:created xsi:type="dcterms:W3CDTF">2003-05-05T15:42:25Z</dcterms:created>
  <dcterms:modified xsi:type="dcterms:W3CDTF">2025-06-03T14:42:11Z</dcterms:modified>
</cp:coreProperties>
</file>