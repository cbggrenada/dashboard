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omments7.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https://ansamcal.sharepoint.com/sites/CBGPackagingLineOperations/Shared Documents/General/2026/"/>
    </mc:Choice>
  </mc:AlternateContent>
  <xr:revisionPtr revIDLastSave="0" documentId="8_{D5D7AE1E-FD71-404C-8810-2A81A2CAD36B}" xr6:coauthVersionLast="47" xr6:coauthVersionMax="47" xr10:uidLastSave="{00000000-0000-0000-0000-000000000000}"/>
  <bookViews>
    <workbookView xWindow="-120" yWindow="-120" windowWidth="29040" windowHeight="15720" tabRatio="598" firstSheet="9" activeTab="9" xr2:uid="{00000000-000D-0000-FFFF-FFFF00000000}"/>
  </bookViews>
  <sheets>
    <sheet name="January 2026 (w Utilization)" sheetId="39" r:id="rId1"/>
    <sheet name="February 2026 (w Utilization) " sheetId="38" r:id="rId2"/>
    <sheet name="March 2026 (w Utilization" sheetId="40" r:id="rId3"/>
    <sheet name="April 2026 (w Utilization) " sheetId="37" r:id="rId4"/>
    <sheet name="May 2026 (w Utilization)" sheetId="28" r:id="rId5"/>
    <sheet name="June 2026 (w Utilization)" sheetId="29" r:id="rId6"/>
    <sheet name="July 2026 (w Utilization)" sheetId="30" r:id="rId7"/>
    <sheet name="August 2026 (w Utilization)" sheetId="31" r:id="rId8"/>
    <sheet name="September 2026 (w Utilization)" sheetId="32" r:id="rId9"/>
    <sheet name="October 2026 (w Utilization) " sheetId="33" r:id="rId10"/>
    <sheet name="Summary" sheetId="27" r:id="rId11"/>
    <sheet name="November 2025 (w Utilization)" sheetId="34" r:id="rId12"/>
    <sheet name="December 2025 (w Utilization)" sheetId="35" r:id="rId13"/>
  </sheets>
  <externalReferences>
    <externalReference r:id="rId1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33" l="1"/>
  <c r="I11" i="33"/>
  <c r="L11" i="33"/>
  <c r="O11" i="33"/>
  <c r="I10" i="33"/>
  <c r="L10" i="33"/>
  <c r="H10" i="33"/>
  <c r="O10" i="33"/>
  <c r="I9" i="33"/>
  <c r="L9" i="33"/>
  <c r="H9" i="33"/>
  <c r="O9" i="33"/>
  <c r="I8" i="33"/>
  <c r="L8" i="33"/>
  <c r="H8" i="33"/>
  <c r="O8" i="33"/>
  <c r="I7" i="33"/>
  <c r="L7" i="33"/>
  <c r="H7" i="33"/>
  <c r="O7" i="33"/>
  <c r="R12" i="27"/>
  <c r="O4" i="27"/>
  <c r="K35" i="27"/>
  <c r="K34" i="27"/>
  <c r="K33" i="27"/>
  <c r="J35" i="27"/>
  <c r="J34" i="27"/>
  <c r="J33" i="27"/>
  <c r="I6" i="33"/>
  <c r="L6" i="33"/>
  <c r="H6" i="33"/>
  <c r="O6" i="33"/>
  <c r="H3" i="33"/>
  <c r="I5" i="33"/>
  <c r="L5" i="33"/>
  <c r="H5" i="33"/>
  <c r="O5" i="33"/>
  <c r="L4" i="33"/>
  <c r="I4" i="33"/>
  <c r="H4" i="33"/>
  <c r="O4" i="33"/>
  <c r="I3" i="33"/>
  <c r="L3" i="33"/>
  <c r="O3" i="33"/>
  <c r="I23" i="32"/>
  <c r="H23" i="32"/>
  <c r="L23" i="32"/>
  <c r="O23" i="32"/>
  <c r="O22" i="32"/>
  <c r="I22" i="32"/>
  <c r="L22" i="32"/>
  <c r="H22" i="32"/>
  <c r="L21" i="32"/>
  <c r="H21" i="32"/>
  <c r="I21" i="32"/>
  <c r="O21" i="32"/>
  <c r="O20" i="32"/>
  <c r="I20" i="32"/>
  <c r="L20" i="32"/>
  <c r="H20" i="32"/>
  <c r="O19" i="32"/>
  <c r="I19" i="32"/>
  <c r="H19" i="32"/>
  <c r="L19" i="32"/>
  <c r="O18" i="32"/>
  <c r="I18" i="32"/>
  <c r="L18" i="32"/>
  <c r="H18" i="32"/>
  <c r="L17" i="32"/>
  <c r="I17" i="32"/>
  <c r="H17" i="32"/>
  <c r="O17" i="32"/>
  <c r="I16" i="32"/>
  <c r="H16" i="32"/>
  <c r="L16" i="32"/>
  <c r="O16" i="32"/>
  <c r="O15" i="32"/>
  <c r="I15" i="32"/>
  <c r="H15" i="32"/>
  <c r="L15" i="32"/>
  <c r="E15" i="32"/>
  <c r="H14" i="32"/>
  <c r="I14" i="32"/>
  <c r="L14" i="32"/>
  <c r="E14" i="32"/>
  <c r="O14" i="32"/>
  <c r="H13" i="32"/>
  <c r="I13" i="32"/>
  <c r="L13" i="32"/>
  <c r="O13" i="32"/>
  <c r="H12" i="32"/>
  <c r="I12" i="32"/>
  <c r="L12" i="32"/>
  <c r="H11" i="32"/>
  <c r="O12" i="32"/>
  <c r="O11" i="32"/>
  <c r="I11" i="32"/>
  <c r="L11" i="32"/>
  <c r="L10" i="32"/>
  <c r="I10" i="32"/>
  <c r="H10" i="32"/>
  <c r="O10" i="32"/>
  <c r="O9" i="32"/>
  <c r="L9" i="32"/>
  <c r="I9" i="32"/>
  <c r="H9" i="32"/>
  <c r="I8" i="32"/>
  <c r="L8" i="32"/>
  <c r="H8" i="32"/>
  <c r="O8" i="32"/>
  <c r="I7" i="32"/>
  <c r="H7" i="32"/>
  <c r="L7" i="32"/>
  <c r="O7" i="32"/>
  <c r="M6" i="32"/>
  <c r="I6" i="32"/>
  <c r="L6" i="32"/>
  <c r="O6" i="32"/>
  <c r="D6" i="32"/>
  <c r="L5" i="32"/>
  <c r="H5" i="32"/>
  <c r="I5" i="32"/>
  <c r="E5" i="32"/>
  <c r="O5" i="32"/>
  <c r="O4" i="32"/>
  <c r="L4" i="32"/>
  <c r="I4" i="32"/>
  <c r="H4" i="32"/>
  <c r="H3" i="32"/>
  <c r="I3" i="32"/>
  <c r="L3" i="32"/>
  <c r="O3" i="32"/>
  <c r="O35" i="27"/>
  <c r="O34" i="27"/>
  <c r="O33" i="27"/>
  <c r="I20" i="31"/>
  <c r="L20" i="31"/>
  <c r="H20" i="31"/>
  <c r="O20" i="31"/>
  <c r="E19" i="31"/>
  <c r="I19" i="31"/>
  <c r="H19" i="31"/>
  <c r="L19" i="31"/>
  <c r="O19" i="31"/>
  <c r="I18" i="31"/>
  <c r="H18" i="31"/>
  <c r="L18" i="31"/>
  <c r="E18" i="31"/>
  <c r="O18" i="31"/>
  <c r="L17" i="31"/>
  <c r="I17" i="31"/>
  <c r="H17" i="31"/>
  <c r="O17" i="31"/>
  <c r="V17" i="31"/>
  <c r="L16" i="31"/>
  <c r="I16" i="31"/>
  <c r="H16" i="31"/>
  <c r="O16" i="31"/>
  <c r="D15" i="31"/>
  <c r="G15" i="31"/>
  <c r="H15" i="31"/>
  <c r="I15" i="31"/>
  <c r="J15" i="31"/>
  <c r="L15" i="31"/>
  <c r="M15" i="31"/>
  <c r="O15" i="31"/>
  <c r="P15" i="31"/>
  <c r="U15" i="31"/>
  <c r="V15" i="31"/>
  <c r="W15" i="31"/>
  <c r="X15" i="31"/>
  <c r="D14" i="31"/>
  <c r="G14" i="31"/>
  <c r="H14" i="31"/>
  <c r="I14" i="31"/>
  <c r="J14" i="31"/>
  <c r="L14" i="31"/>
  <c r="M14" i="31"/>
  <c r="O14" i="31"/>
  <c r="P14" i="31"/>
  <c r="U14" i="31"/>
  <c r="V14" i="31"/>
  <c r="W14" i="31"/>
  <c r="X14" i="31"/>
  <c r="D13" i="31"/>
  <c r="G13" i="31"/>
  <c r="H13" i="31"/>
  <c r="I13" i="31"/>
  <c r="J13" i="31"/>
  <c r="L13" i="31"/>
  <c r="M13" i="31"/>
  <c r="O13" i="31"/>
  <c r="P13" i="31"/>
  <c r="U13" i="31"/>
  <c r="V13" i="31"/>
  <c r="W13" i="31"/>
  <c r="X13" i="31"/>
  <c r="D12" i="31"/>
  <c r="G12" i="31"/>
  <c r="H12" i="31"/>
  <c r="I12" i="31"/>
  <c r="J12" i="31"/>
  <c r="L12" i="31"/>
  <c r="M12" i="31"/>
  <c r="O12" i="31"/>
  <c r="P12" i="31"/>
  <c r="U12" i="31"/>
  <c r="V12" i="31"/>
  <c r="W12" i="31"/>
  <c r="X12" i="31"/>
  <c r="D11" i="31"/>
  <c r="G11" i="31"/>
  <c r="H11" i="31"/>
  <c r="I11" i="31"/>
  <c r="J11" i="31"/>
  <c r="L11" i="31"/>
  <c r="M11" i="31"/>
  <c r="O11" i="31"/>
  <c r="P11" i="31"/>
  <c r="U11" i="31"/>
  <c r="V11" i="31"/>
  <c r="W11" i="31"/>
  <c r="X11" i="31"/>
  <c r="D10" i="31"/>
  <c r="E10" i="31"/>
  <c r="G10" i="31"/>
  <c r="H10" i="31"/>
  <c r="I10" i="31"/>
  <c r="J10" i="31"/>
  <c r="L10" i="31"/>
  <c r="M10" i="31"/>
  <c r="O10" i="31"/>
  <c r="P10" i="31"/>
  <c r="Q10" i="31"/>
  <c r="R10" i="31"/>
  <c r="S10" i="31"/>
  <c r="U10" i="31"/>
  <c r="V10" i="31"/>
  <c r="W10" i="31"/>
  <c r="X10" i="31"/>
  <c r="D9" i="31"/>
  <c r="E9" i="31"/>
  <c r="G9" i="31"/>
  <c r="H9" i="31"/>
  <c r="I9" i="31"/>
  <c r="J9" i="31"/>
  <c r="L9" i="31"/>
  <c r="M9" i="31"/>
  <c r="O9" i="31"/>
  <c r="P9" i="31"/>
  <c r="Q9" i="31"/>
  <c r="R9" i="31"/>
  <c r="U9" i="31"/>
  <c r="V9" i="31"/>
  <c r="W9" i="31"/>
  <c r="X9" i="31"/>
  <c r="D8" i="31"/>
  <c r="G8" i="31"/>
  <c r="H8" i="31"/>
  <c r="I8" i="31"/>
  <c r="J8" i="31"/>
  <c r="L8" i="31"/>
  <c r="M8" i="31"/>
  <c r="O8" i="31"/>
  <c r="P8" i="31"/>
  <c r="U8" i="31"/>
  <c r="V8" i="31"/>
  <c r="W8" i="31"/>
  <c r="X8" i="31"/>
  <c r="D7" i="31"/>
  <c r="G7" i="31"/>
  <c r="H7" i="31"/>
  <c r="I7" i="31"/>
  <c r="J7" i="31"/>
  <c r="L7" i="31"/>
  <c r="M7" i="31"/>
  <c r="O7" i="31"/>
  <c r="P7" i="31"/>
  <c r="Q7" i="31"/>
  <c r="R7" i="31"/>
  <c r="U7" i="31"/>
  <c r="V7" i="31"/>
  <c r="W7" i="31"/>
  <c r="X7" i="31"/>
  <c r="D6" i="31"/>
  <c r="G6" i="31"/>
  <c r="H6" i="31"/>
  <c r="I6" i="31"/>
  <c r="J6" i="31"/>
  <c r="L6" i="31"/>
  <c r="M6" i="31"/>
  <c r="O6" i="31"/>
  <c r="P6" i="31"/>
  <c r="U6" i="31"/>
  <c r="V6" i="31"/>
  <c r="W6" i="31"/>
  <c r="X6" i="31"/>
  <c r="J37" i="31" l="1"/>
  <c r="H5" i="31"/>
  <c r="I5" i="31"/>
  <c r="L5" i="31"/>
  <c r="O5" i="31"/>
  <c r="E5" i="31" l="1"/>
  <c r="F5" i="31"/>
  <c r="Q5" i="31" l="1"/>
  <c r="I4" i="31"/>
  <c r="L4" i="31"/>
  <c r="H4" i="31"/>
  <c r="O4" i="31"/>
  <c r="H3" i="31"/>
  <c r="I3" i="31"/>
  <c r="L3" i="31"/>
  <c r="O3" i="31"/>
  <c r="O25" i="30"/>
  <c r="H25" i="30"/>
  <c r="L25" i="30"/>
  <c r="I25" i="30"/>
  <c r="D24" i="30"/>
  <c r="E24" i="30"/>
  <c r="G24" i="30"/>
  <c r="H24" i="30"/>
  <c r="I24" i="30"/>
  <c r="J24" i="30"/>
  <c r="L24" i="30"/>
  <c r="M24" i="30"/>
  <c r="O24" i="30"/>
  <c r="P24" i="30"/>
  <c r="U24" i="30"/>
  <c r="V24" i="30"/>
  <c r="W24" i="30"/>
  <c r="X24" i="30"/>
  <c r="E23" i="30"/>
  <c r="I23" i="30"/>
  <c r="L23" i="30"/>
  <c r="H23" i="30"/>
  <c r="O23" i="30"/>
  <c r="H22" i="30"/>
  <c r="I22" i="30"/>
  <c r="L22" i="30"/>
  <c r="O22" i="30"/>
  <c r="I21" i="30"/>
  <c r="H21" i="30"/>
  <c r="L21" i="30"/>
  <c r="O21" i="30"/>
  <c r="H20" i="30"/>
  <c r="L20" i="30"/>
  <c r="I20" i="30"/>
  <c r="O20" i="30"/>
  <c r="L19" i="30"/>
  <c r="I19" i="30"/>
  <c r="H19" i="30"/>
  <c r="O19" i="30"/>
  <c r="H18" i="30"/>
  <c r="L18" i="30"/>
  <c r="I18" i="30"/>
  <c r="O18" i="30"/>
  <c r="L17" i="30"/>
  <c r="I17" i="30"/>
  <c r="H17" i="30"/>
  <c r="E17" i="30"/>
  <c r="O17" i="30"/>
  <c r="L16" i="30"/>
  <c r="I16" i="30"/>
  <c r="H16" i="30"/>
  <c r="O16" i="30"/>
  <c r="I15" i="30"/>
  <c r="H15" i="30"/>
  <c r="L15" i="30"/>
  <c r="O15" i="30"/>
  <c r="H14" i="30"/>
  <c r="I14" i="30"/>
  <c r="L14" i="30"/>
  <c r="O14" i="30"/>
  <c r="E14" i="30"/>
  <c r="I13" i="30"/>
  <c r="L13" i="30"/>
  <c r="H13" i="30"/>
  <c r="D13" i="30"/>
  <c r="M13" i="30" s="1"/>
  <c r="E13" i="30"/>
  <c r="G13" i="30"/>
  <c r="J13" i="30"/>
  <c r="O13" i="30"/>
  <c r="P13" i="30"/>
  <c r="U13" i="30"/>
  <c r="V13" i="30"/>
  <c r="W13" i="30"/>
  <c r="X13" i="30"/>
  <c r="L12" i="30"/>
  <c r="I12" i="30"/>
  <c r="H12" i="30"/>
  <c r="O12" i="30"/>
  <c r="I11" i="30"/>
  <c r="H11" i="30"/>
  <c r="L11" i="30"/>
  <c r="O11" i="30"/>
  <c r="P11" i="30"/>
  <c r="P12" i="30"/>
  <c r="H10" i="30"/>
  <c r="I10" i="30"/>
  <c r="L10" i="30"/>
  <c r="O10" i="30"/>
  <c r="H35" i="27"/>
  <c r="H34" i="27"/>
  <c r="H33" i="27"/>
  <c r="G35" i="27"/>
  <c r="G34" i="27"/>
  <c r="G33" i="27"/>
  <c r="E9" i="30"/>
  <c r="L9" i="30"/>
  <c r="I9" i="30"/>
  <c r="H9" i="30"/>
  <c r="O9" i="30"/>
  <c r="H8" i="30"/>
  <c r="I8" i="30"/>
  <c r="L8" i="30"/>
  <c r="K8" i="30"/>
  <c r="E8" i="30"/>
  <c r="O8" i="30"/>
  <c r="I7" i="30"/>
  <c r="L7" i="30"/>
  <c r="H7" i="30"/>
  <c r="O7" i="30"/>
  <c r="H6" i="30"/>
  <c r="I6" i="30"/>
  <c r="L6" i="30"/>
  <c r="O6" i="30"/>
  <c r="H5" i="30"/>
  <c r="I5" i="30"/>
  <c r="L5" i="30"/>
  <c r="K5" i="30"/>
  <c r="O5" i="30"/>
  <c r="O4" i="30"/>
  <c r="H4" i="30"/>
  <c r="I4" i="30"/>
  <c r="L4" i="30"/>
  <c r="K4" i="30"/>
  <c r="E4" i="30"/>
  <c r="H3" i="30"/>
  <c r="I3" i="30"/>
  <c r="L3" i="30"/>
  <c r="O3" i="30"/>
  <c r="X39" i="37"/>
  <c r="H4" i="27"/>
  <c r="H5" i="27"/>
  <c r="I13" i="29"/>
  <c r="H13" i="29"/>
  <c r="L13" i="29"/>
  <c r="O13" i="29"/>
  <c r="O12" i="29"/>
  <c r="L12" i="29"/>
  <c r="I12" i="29"/>
  <c r="H12" i="29"/>
  <c r="E12" i="29"/>
  <c r="I11" i="29"/>
  <c r="H11" i="29"/>
  <c r="L11" i="29"/>
  <c r="O11" i="29"/>
  <c r="L10" i="29"/>
  <c r="H10" i="29"/>
  <c r="I10" i="29"/>
  <c r="O10" i="29"/>
  <c r="D9" i="29"/>
  <c r="E9" i="29"/>
  <c r="G9" i="29"/>
  <c r="H9" i="29"/>
  <c r="I9" i="29"/>
  <c r="J9" i="29"/>
  <c r="L9" i="29"/>
  <c r="M9" i="29"/>
  <c r="O9" i="29"/>
  <c r="P9" i="29"/>
  <c r="U9" i="29"/>
  <c r="V9" i="29"/>
  <c r="W9" i="29"/>
  <c r="X9" i="29"/>
  <c r="L8" i="29"/>
  <c r="I8" i="29"/>
  <c r="H8" i="29"/>
  <c r="K8" i="29"/>
  <c r="O8" i="29"/>
  <c r="E7" i="29"/>
  <c r="I7" i="29"/>
  <c r="H7" i="29"/>
  <c r="L7" i="29"/>
  <c r="O7" i="29"/>
  <c r="I6" i="29"/>
  <c r="L6" i="29"/>
  <c r="H6" i="29"/>
  <c r="O6" i="29"/>
  <c r="I5" i="29"/>
  <c r="H5" i="29"/>
  <c r="O5" i="29"/>
  <c r="H4" i="29"/>
  <c r="I4" i="29"/>
  <c r="O4" i="29"/>
  <c r="H3" i="29"/>
  <c r="D22" i="28"/>
  <c r="G22" i="28"/>
  <c r="H22" i="28"/>
  <c r="J22" i="28"/>
  <c r="M22" i="28"/>
  <c r="O22" i="28"/>
  <c r="P22" i="28"/>
  <c r="U22" i="28"/>
  <c r="V22" i="28"/>
  <c r="W22" i="28"/>
  <c r="X22" i="28"/>
  <c r="D21" i="28"/>
  <c r="G21" i="28"/>
  <c r="H21" i="28"/>
  <c r="I21" i="28"/>
  <c r="J21" i="28"/>
  <c r="L21" i="28"/>
  <c r="M21" i="28"/>
  <c r="O21" i="28"/>
  <c r="P21" i="28"/>
  <c r="U21" i="28"/>
  <c r="V21" i="28"/>
  <c r="W21" i="28"/>
  <c r="X21" i="28"/>
  <c r="D20" i="28"/>
  <c r="G20" i="28"/>
  <c r="H20" i="28"/>
  <c r="I20" i="28"/>
  <c r="J20" i="28"/>
  <c r="L20" i="28"/>
  <c r="M20" i="28"/>
  <c r="O20" i="28"/>
  <c r="P20" i="28"/>
  <c r="U20" i="28"/>
  <c r="V20" i="28"/>
  <c r="W20" i="28"/>
  <c r="X20" i="28"/>
  <c r="D19" i="28"/>
  <c r="E19" i="28"/>
  <c r="G19" i="28"/>
  <c r="H19" i="28"/>
  <c r="I19" i="28"/>
  <c r="J19" i="28"/>
  <c r="L19" i="28"/>
  <c r="M19" i="28"/>
  <c r="O19" i="28"/>
  <c r="P19" i="28"/>
  <c r="U19" i="28"/>
  <c r="V19" i="28"/>
  <c r="W19" i="28"/>
  <c r="X19" i="28"/>
  <c r="D18" i="28"/>
  <c r="E18" i="28"/>
  <c r="G18" i="28"/>
  <c r="H18" i="28"/>
  <c r="I18" i="28"/>
  <c r="J18" i="28"/>
  <c r="L18" i="28"/>
  <c r="M18" i="28"/>
  <c r="O18" i="28"/>
  <c r="P18" i="28"/>
  <c r="U18" i="28"/>
  <c r="V18" i="28"/>
  <c r="W18" i="28"/>
  <c r="X18" i="28"/>
  <c r="D17" i="28"/>
  <c r="G17" i="28"/>
  <c r="H17" i="28"/>
  <c r="I17" i="28"/>
  <c r="J17" i="28"/>
  <c r="L17" i="28"/>
  <c r="M17" i="28"/>
  <c r="O17" i="28"/>
  <c r="P17" i="28"/>
  <c r="U17" i="28"/>
  <c r="V17" i="28"/>
  <c r="W17" i="28"/>
  <c r="X17" i="28"/>
  <c r="P12" i="28"/>
  <c r="H16" i="28"/>
  <c r="I16" i="28"/>
  <c r="L16" i="28"/>
  <c r="E16" i="28"/>
  <c r="O16" i="28"/>
  <c r="L15" i="28"/>
  <c r="H15" i="28"/>
  <c r="I15" i="28"/>
  <c r="O15" i="28"/>
  <c r="I14" i="28"/>
  <c r="L14" i="28"/>
  <c r="H14" i="28"/>
  <c r="O14" i="28"/>
  <c r="I13" i="28"/>
  <c r="L13" i="28"/>
  <c r="H13" i="28"/>
  <c r="O13" i="28"/>
  <c r="L12" i="28"/>
  <c r="I12" i="28"/>
  <c r="H12" i="28"/>
  <c r="E12" i="28"/>
  <c r="O12" i="28"/>
  <c r="H11" i="28"/>
  <c r="L11" i="28"/>
  <c r="I11" i="28"/>
  <c r="O11" i="28"/>
  <c r="L10" i="28"/>
  <c r="I10" i="28"/>
  <c r="H10" i="28"/>
  <c r="O10" i="28"/>
  <c r="L9" i="28"/>
  <c r="I9" i="28"/>
  <c r="H9" i="28"/>
  <c r="O9" i="28"/>
  <c r="I8" i="28"/>
  <c r="H8" i="28"/>
  <c r="L8" i="28"/>
  <c r="O8" i="28"/>
  <c r="H7" i="28"/>
  <c r="I7" i="28"/>
  <c r="L7" i="28"/>
  <c r="O7" i="28"/>
  <c r="E6" i="28"/>
  <c r="I6" i="28"/>
  <c r="H6" i="28"/>
  <c r="L6" i="28"/>
  <c r="O6" i="28"/>
  <c r="Q44" i="39"/>
  <c r="Q43" i="39"/>
  <c r="Q42" i="39"/>
  <c r="Q41" i="39"/>
  <c r="V6" i="37"/>
  <c r="V38" i="37" s="1"/>
  <c r="P38" i="37"/>
  <c r="O22" i="37"/>
  <c r="O3" i="37"/>
  <c r="O4" i="37"/>
  <c r="O5" i="37"/>
  <c r="O6" i="37"/>
  <c r="O7" i="37"/>
  <c r="O8" i="37"/>
  <c r="O9" i="37"/>
  <c r="O10" i="37"/>
  <c r="O11" i="37"/>
  <c r="O12" i="37"/>
  <c r="O13" i="37"/>
  <c r="O14" i="37"/>
  <c r="O15" i="37"/>
  <c r="O16" i="37"/>
  <c r="O17" i="37"/>
  <c r="O18" i="37"/>
  <c r="O19" i="37"/>
  <c r="O20" i="37"/>
  <c r="O21" i="37"/>
  <c r="H5" i="28"/>
  <c r="I5" i="28"/>
  <c r="L5" i="28"/>
  <c r="O5" i="28"/>
  <c r="L4" i="28"/>
  <c r="H4" i="28"/>
  <c r="I4" i="28"/>
  <c r="O4" i="28"/>
  <c r="L3" i="28"/>
  <c r="H3" i="28"/>
  <c r="I3" i="28"/>
  <c r="O3" i="28"/>
  <c r="F33" i="27"/>
  <c r="S13" i="40"/>
  <c r="S13" i="37"/>
  <c r="S12" i="40"/>
  <c r="H22" i="37"/>
  <c r="I22" i="37"/>
  <c r="L22" i="37"/>
  <c r="H21" i="37"/>
  <c r="I21" i="37"/>
  <c r="L21" i="37"/>
  <c r="L20" i="37"/>
  <c r="I20" i="37"/>
  <c r="H20" i="37"/>
  <c r="P36" i="27"/>
  <c r="E35" i="27"/>
  <c r="D35" i="27"/>
  <c r="C35" i="27"/>
  <c r="E34" i="27"/>
  <c r="C34" i="27"/>
  <c r="D34" i="27"/>
  <c r="E33" i="27"/>
  <c r="D33" i="27"/>
  <c r="C33" i="27"/>
  <c r="H19" i="37"/>
  <c r="L19" i="37"/>
  <c r="I19" i="37"/>
  <c r="H18" i="37"/>
  <c r="I18" i="37"/>
  <c r="L18" i="37"/>
  <c r="H17" i="37"/>
  <c r="I17" i="37"/>
  <c r="L17" i="37"/>
  <c r="D16" i="37"/>
  <c r="G16" i="37"/>
  <c r="H16" i="37"/>
  <c r="I16" i="37"/>
  <c r="J16" i="37"/>
  <c r="L16" i="37"/>
  <c r="M16" i="37"/>
  <c r="P16" i="37"/>
  <c r="U16" i="37"/>
  <c r="V16" i="37"/>
  <c r="W16" i="37"/>
  <c r="X16" i="37"/>
  <c r="D15" i="37"/>
  <c r="G15" i="37"/>
  <c r="H15" i="37"/>
  <c r="I15" i="37"/>
  <c r="J15" i="37"/>
  <c r="L15" i="37"/>
  <c r="M15" i="37"/>
  <c r="P15" i="37"/>
  <c r="U15" i="37"/>
  <c r="V15" i="37"/>
  <c r="W15" i="37"/>
  <c r="X15" i="37"/>
  <c r="I14" i="37"/>
  <c r="H14" i="37"/>
  <c r="L14" i="37"/>
  <c r="P14" i="37"/>
  <c r="L13" i="37"/>
  <c r="H13" i="37"/>
  <c r="I13" i="37"/>
  <c r="L12" i="37"/>
  <c r="I12" i="37"/>
  <c r="H12" i="37"/>
  <c r="J12" i="37"/>
  <c r="M12" i="37"/>
  <c r="P12" i="37"/>
  <c r="E11" i="37"/>
  <c r="I11" i="37"/>
  <c r="L11" i="37"/>
  <c r="H11" i="37"/>
  <c r="I10" i="37"/>
  <c r="H10" i="37"/>
  <c r="L10" i="37"/>
  <c r="E10" i="37"/>
  <c r="G10" i="37"/>
  <c r="V10" i="37"/>
  <c r="P10" i="37"/>
  <c r="J10" i="37"/>
  <c r="W10" i="37" s="1"/>
  <c r="M10" i="37"/>
  <c r="X10" i="37" s="1"/>
  <c r="L9" i="37"/>
  <c r="I9" i="37"/>
  <c r="H9" i="37"/>
  <c r="I8" i="37"/>
  <c r="L8" i="37"/>
  <c r="H8" i="37"/>
  <c r="I7" i="37"/>
  <c r="H7" i="37"/>
  <c r="L7" i="37"/>
  <c r="D7" i="37"/>
  <c r="P7" i="37"/>
  <c r="V7" i="37"/>
  <c r="H6" i="37"/>
  <c r="I6" i="37"/>
  <c r="L6" i="37"/>
  <c r="H5" i="37"/>
  <c r="L5" i="37"/>
  <c r="I5" i="37"/>
  <c r="S5" i="37"/>
  <c r="I4" i="37"/>
  <c r="H4" i="37"/>
  <c r="L4" i="37"/>
  <c r="I3" i="37"/>
  <c r="H3" i="37"/>
  <c r="N38" i="38"/>
  <c r="P38" i="38" s="1"/>
  <c r="O38" i="38"/>
  <c r="H38" i="38"/>
  <c r="G38" i="38"/>
  <c r="D24" i="40"/>
  <c r="E24" i="40"/>
  <c r="G24" i="40"/>
  <c r="H24" i="40"/>
  <c r="I24" i="40"/>
  <c r="J24" i="40"/>
  <c r="L24" i="40"/>
  <c r="M24" i="40"/>
  <c r="O24" i="40"/>
  <c r="P24" i="40"/>
  <c r="U24" i="40"/>
  <c r="V24" i="40"/>
  <c r="W24" i="40"/>
  <c r="X24" i="40"/>
  <c r="H23" i="40"/>
  <c r="I23" i="40"/>
  <c r="L23" i="40"/>
  <c r="O23" i="40"/>
  <c r="I22" i="40"/>
  <c r="L22" i="40"/>
  <c r="H22" i="40"/>
  <c r="H21" i="40"/>
  <c r="O22" i="40"/>
  <c r="L21" i="40"/>
  <c r="I21" i="40"/>
  <c r="I20" i="40"/>
  <c r="L20" i="40"/>
  <c r="O21" i="40"/>
  <c r="E21" i="40"/>
  <c r="H20" i="40"/>
  <c r="E20" i="40"/>
  <c r="O20" i="40"/>
  <c r="S18" i="38"/>
  <c r="H19" i="40"/>
  <c r="L19" i="40"/>
  <c r="I19" i="40"/>
  <c r="K19" i="40"/>
  <c r="E19" i="40"/>
  <c r="O19" i="40"/>
  <c r="D18" i="40"/>
  <c r="E18" i="40"/>
  <c r="G18" i="40"/>
  <c r="H18" i="40"/>
  <c r="I18" i="40"/>
  <c r="J18" i="40"/>
  <c r="L18" i="40"/>
  <c r="M18" i="40"/>
  <c r="O18" i="40"/>
  <c r="P18" i="40"/>
  <c r="U18" i="40"/>
  <c r="V18" i="40"/>
  <c r="W18" i="40"/>
  <c r="X18" i="40"/>
  <c r="D19" i="40"/>
  <c r="G19" i="40"/>
  <c r="J19" i="40"/>
  <c r="M19" i="40"/>
  <c r="P19" i="40"/>
  <c r="U19" i="40"/>
  <c r="V19" i="40"/>
  <c r="W19" i="40"/>
  <c r="X19" i="40"/>
  <c r="D20" i="40"/>
  <c r="G20" i="40"/>
  <c r="J20" i="40"/>
  <c r="M20" i="40"/>
  <c r="P20" i="40"/>
  <c r="U20" i="40"/>
  <c r="V20" i="40"/>
  <c r="W20" i="40"/>
  <c r="X20" i="40"/>
  <c r="D21" i="40"/>
  <c r="G21" i="40"/>
  <c r="J21" i="40"/>
  <c r="M21" i="40"/>
  <c r="P21" i="40"/>
  <c r="U21" i="40"/>
  <c r="V21" i="40"/>
  <c r="W21" i="40"/>
  <c r="X21" i="40"/>
  <c r="D22" i="40"/>
  <c r="G22" i="40"/>
  <c r="J22" i="40"/>
  <c r="M22" i="40"/>
  <c r="P22" i="40"/>
  <c r="U22" i="40"/>
  <c r="V22" i="40"/>
  <c r="W22" i="40"/>
  <c r="X22" i="40"/>
  <c r="D23" i="40"/>
  <c r="G23" i="40"/>
  <c r="J23" i="40"/>
  <c r="M23" i="40"/>
  <c r="P23" i="40"/>
  <c r="U23" i="40"/>
  <c r="V23" i="40"/>
  <c r="W23" i="40"/>
  <c r="X23" i="40"/>
  <c r="D25" i="40"/>
  <c r="G25" i="40"/>
  <c r="J25" i="40"/>
  <c r="M25" i="40"/>
  <c r="P25" i="40"/>
  <c r="U25" i="40"/>
  <c r="V25" i="40"/>
  <c r="W25" i="40"/>
  <c r="X25" i="40"/>
  <c r="D26" i="40"/>
  <c r="G26" i="40"/>
  <c r="J26" i="40"/>
  <c r="M26" i="40"/>
  <c r="P26" i="40"/>
  <c r="U26" i="40"/>
  <c r="V26" i="40"/>
  <c r="W26" i="40"/>
  <c r="X26" i="40"/>
  <c r="D27" i="40"/>
  <c r="G27" i="40"/>
  <c r="J27" i="40"/>
  <c r="M27" i="40"/>
  <c r="P27" i="40"/>
  <c r="U27" i="40"/>
  <c r="V27" i="40"/>
  <c r="W27" i="40"/>
  <c r="X27" i="40"/>
  <c r="D28" i="40"/>
  <c r="G28" i="40"/>
  <c r="J28" i="40"/>
  <c r="M28" i="40"/>
  <c r="P28" i="40"/>
  <c r="U28" i="40"/>
  <c r="V28" i="40"/>
  <c r="W28" i="40"/>
  <c r="X28" i="40"/>
  <c r="D29" i="40"/>
  <c r="G29" i="40"/>
  <c r="J29" i="40"/>
  <c r="M29" i="40"/>
  <c r="P29" i="40"/>
  <c r="U29" i="40"/>
  <c r="V29" i="40"/>
  <c r="W29" i="40"/>
  <c r="X29" i="40"/>
  <c r="D30" i="40"/>
  <c r="G30" i="40"/>
  <c r="J30" i="40"/>
  <c r="M30" i="40"/>
  <c r="P30" i="40"/>
  <c r="U30" i="40"/>
  <c r="V30" i="40"/>
  <c r="W30" i="40"/>
  <c r="X30" i="40"/>
  <c r="D31" i="40"/>
  <c r="G31" i="40"/>
  <c r="J31" i="40"/>
  <c r="M31" i="40"/>
  <c r="P31" i="40"/>
  <c r="U31" i="40"/>
  <c r="V31" i="40"/>
  <c r="W31" i="40"/>
  <c r="X31" i="40"/>
  <c r="D32" i="40"/>
  <c r="G32" i="40"/>
  <c r="J32" i="40"/>
  <c r="M32" i="40"/>
  <c r="P32" i="40"/>
  <c r="U32" i="40"/>
  <c r="V32" i="40"/>
  <c r="W32" i="40"/>
  <c r="X32" i="40"/>
  <c r="D33" i="40"/>
  <c r="G33" i="40"/>
  <c r="J33" i="40"/>
  <c r="M33" i="40"/>
  <c r="P33" i="40"/>
  <c r="U33" i="40"/>
  <c r="V33" i="40"/>
  <c r="W33" i="40"/>
  <c r="X33" i="40"/>
  <c r="D34" i="40"/>
  <c r="G34" i="40"/>
  <c r="J34" i="40"/>
  <c r="M34" i="40"/>
  <c r="P34" i="40"/>
  <c r="U34" i="40"/>
  <c r="V34" i="40"/>
  <c r="W34" i="40"/>
  <c r="X34" i="40"/>
  <c r="D35" i="40"/>
  <c r="G35" i="40"/>
  <c r="J35" i="40"/>
  <c r="M35" i="40"/>
  <c r="P35" i="40"/>
  <c r="U35" i="40"/>
  <c r="V35" i="40"/>
  <c r="W35" i="40"/>
  <c r="X35" i="40"/>
  <c r="D36" i="40"/>
  <c r="G36" i="40"/>
  <c r="J36" i="40"/>
  <c r="M36" i="40"/>
  <c r="P36" i="40"/>
  <c r="U36" i="40"/>
  <c r="V36" i="40"/>
  <c r="W36" i="40"/>
  <c r="X36" i="40"/>
  <c r="D37" i="40"/>
  <c r="G37" i="40"/>
  <c r="J37" i="40"/>
  <c r="M37" i="40"/>
  <c r="P37" i="40"/>
  <c r="U37" i="40"/>
  <c r="V37" i="40"/>
  <c r="W37" i="40"/>
  <c r="X37" i="40"/>
  <c r="D17" i="40"/>
  <c r="G17" i="40"/>
  <c r="H17" i="40"/>
  <c r="I17" i="40"/>
  <c r="J17" i="40"/>
  <c r="L17" i="40"/>
  <c r="M17" i="40"/>
  <c r="O17" i="40"/>
  <c r="P17" i="40"/>
  <c r="U17" i="40"/>
  <c r="V17" i="40"/>
  <c r="W17" i="40"/>
  <c r="X17" i="40"/>
  <c r="D16" i="40"/>
  <c r="E16" i="40"/>
  <c r="G16" i="40"/>
  <c r="H16" i="40"/>
  <c r="I16" i="40"/>
  <c r="J16" i="40"/>
  <c r="L16" i="40"/>
  <c r="M16" i="40"/>
  <c r="O16" i="40"/>
  <c r="P16" i="40"/>
  <c r="U16" i="40"/>
  <c r="V16" i="40"/>
  <c r="W16" i="40"/>
  <c r="X16" i="40"/>
  <c r="D15" i="40"/>
  <c r="G15" i="40"/>
  <c r="H15" i="40"/>
  <c r="I15" i="40"/>
  <c r="J15" i="40"/>
  <c r="L15" i="40"/>
  <c r="M15" i="40"/>
  <c r="O15" i="40"/>
  <c r="P15" i="40"/>
  <c r="U15" i="40"/>
  <c r="V15" i="40"/>
  <c r="W15" i="40"/>
  <c r="X15" i="40"/>
  <c r="D14" i="40"/>
  <c r="G14" i="40"/>
  <c r="H14" i="40"/>
  <c r="I14" i="40"/>
  <c r="J14" i="40"/>
  <c r="L14" i="40"/>
  <c r="M14" i="40"/>
  <c r="O14" i="40"/>
  <c r="P14" i="40"/>
  <c r="U14" i="40"/>
  <c r="V14" i="40"/>
  <c r="W14" i="40"/>
  <c r="X14" i="40"/>
  <c r="D13" i="40"/>
  <c r="G13" i="40"/>
  <c r="H13" i="40"/>
  <c r="I13" i="40"/>
  <c r="J13" i="40"/>
  <c r="L13" i="40"/>
  <c r="M13" i="40"/>
  <c r="O13" i="40"/>
  <c r="P13" i="40"/>
  <c r="U13" i="40"/>
  <c r="V13" i="40"/>
  <c r="W13" i="40"/>
  <c r="X13" i="40"/>
  <c r="D11" i="40"/>
  <c r="E11" i="40"/>
  <c r="G11" i="40"/>
  <c r="H11" i="40"/>
  <c r="I11" i="40"/>
  <c r="J11" i="40"/>
  <c r="L11" i="40"/>
  <c r="M11" i="40"/>
  <c r="O11" i="40"/>
  <c r="P11" i="40"/>
  <c r="U11" i="40"/>
  <c r="V11" i="40"/>
  <c r="W11" i="40"/>
  <c r="X11" i="40"/>
  <c r="D12" i="40"/>
  <c r="G12" i="40"/>
  <c r="H12" i="40"/>
  <c r="I12" i="40"/>
  <c r="J12" i="40"/>
  <c r="K12" i="40"/>
  <c r="L12" i="40"/>
  <c r="M12" i="40"/>
  <c r="O12" i="40"/>
  <c r="P12" i="40"/>
  <c r="U12" i="40"/>
  <c r="V12" i="40"/>
  <c r="W12" i="40"/>
  <c r="X12" i="40"/>
  <c r="D10" i="40"/>
  <c r="G10" i="40"/>
  <c r="H10" i="40"/>
  <c r="I10" i="40"/>
  <c r="J10" i="40"/>
  <c r="L10" i="40"/>
  <c r="M10" i="40"/>
  <c r="O10" i="40"/>
  <c r="P10" i="40"/>
  <c r="U10" i="40"/>
  <c r="V10" i="40"/>
  <c r="W10" i="40"/>
  <c r="X10" i="40"/>
  <c r="D9" i="40"/>
  <c r="G9" i="40"/>
  <c r="H9" i="40"/>
  <c r="I9" i="40"/>
  <c r="J9" i="40"/>
  <c r="L9" i="40"/>
  <c r="M9" i="40"/>
  <c r="O9" i="40"/>
  <c r="P9" i="40"/>
  <c r="U9" i="40"/>
  <c r="V9" i="40"/>
  <c r="W9" i="40"/>
  <c r="X9" i="40"/>
  <c r="D8" i="40"/>
  <c r="G8" i="40"/>
  <c r="H8" i="40"/>
  <c r="I8" i="40"/>
  <c r="J8" i="40"/>
  <c r="L8" i="40"/>
  <c r="M8" i="40"/>
  <c r="O8" i="40"/>
  <c r="P8" i="40"/>
  <c r="U8" i="40"/>
  <c r="V8" i="40"/>
  <c r="W8" i="40"/>
  <c r="X8" i="40"/>
  <c r="D7" i="40"/>
  <c r="E7" i="40"/>
  <c r="G7" i="40"/>
  <c r="H7" i="40"/>
  <c r="I7" i="40"/>
  <c r="J7" i="40"/>
  <c r="L7" i="40"/>
  <c r="M7" i="40"/>
  <c r="O7" i="40"/>
  <c r="P7" i="40"/>
  <c r="U7" i="40"/>
  <c r="V7" i="40"/>
  <c r="W7" i="40"/>
  <c r="X7" i="40"/>
  <c r="I22" i="38"/>
  <c r="S17" i="39"/>
  <c r="S13" i="38"/>
  <c r="H6" i="40"/>
  <c r="I6" i="40"/>
  <c r="L6" i="40"/>
  <c r="O6" i="40"/>
  <c r="D20" i="38"/>
  <c r="G20" i="38"/>
  <c r="H20" i="38"/>
  <c r="I20" i="38"/>
  <c r="J20" i="38"/>
  <c r="L20" i="38"/>
  <c r="M20" i="38"/>
  <c r="O20" i="38"/>
  <c r="P20" i="38"/>
  <c r="U20" i="38"/>
  <c r="V20" i="38"/>
  <c r="W20" i="38"/>
  <c r="X20" i="38"/>
  <c r="D21" i="38"/>
  <c r="E21" i="38"/>
  <c r="G21" i="38"/>
  <c r="H21" i="38"/>
  <c r="I21" i="38"/>
  <c r="J21" i="38"/>
  <c r="L21" i="38"/>
  <c r="M21" i="38"/>
  <c r="O21" i="38"/>
  <c r="P21" i="38"/>
  <c r="U21" i="38"/>
  <c r="V21" i="38"/>
  <c r="W21" i="38"/>
  <c r="X21" i="38"/>
  <c r="D22" i="38"/>
  <c r="G22" i="38"/>
  <c r="H22" i="38"/>
  <c r="J22" i="38"/>
  <c r="W22" i="38" s="1"/>
  <c r="L22" i="38"/>
  <c r="M22" i="38"/>
  <c r="O22" i="38"/>
  <c r="P22" i="38"/>
  <c r="U22" i="38"/>
  <c r="V22" i="38"/>
  <c r="X22" i="38"/>
  <c r="D5" i="40"/>
  <c r="G5" i="40"/>
  <c r="H5" i="40"/>
  <c r="I5" i="40"/>
  <c r="J5" i="40"/>
  <c r="L5" i="40"/>
  <c r="M5" i="40"/>
  <c r="O5" i="40"/>
  <c r="P5" i="40"/>
  <c r="U5" i="40"/>
  <c r="V5" i="40"/>
  <c r="X5" i="40"/>
  <c r="U3" i="40"/>
  <c r="V3" i="40"/>
  <c r="I3" i="40"/>
  <c r="H3" i="40"/>
  <c r="L3" i="40"/>
  <c r="I4" i="40"/>
  <c r="G3" i="40"/>
  <c r="L4" i="40"/>
  <c r="H4" i="40"/>
  <c r="O4" i="40"/>
  <c r="O3" i="40"/>
  <c r="P3" i="40" s="1"/>
  <c r="D3" i="40"/>
  <c r="I19" i="38"/>
  <c r="H19" i="38"/>
  <c r="O19" i="38"/>
  <c r="I18" i="38"/>
  <c r="H18" i="38"/>
  <c r="L18" i="38"/>
  <c r="O18" i="38"/>
  <c r="O17" i="38"/>
  <c r="I17" i="38"/>
  <c r="H17" i="38"/>
  <c r="L17" i="38"/>
  <c r="I16" i="38"/>
  <c r="H16" i="38"/>
  <c r="L16" i="38"/>
  <c r="O16" i="38"/>
  <c r="H13" i="38"/>
  <c r="H12" i="38"/>
  <c r="H10" i="38"/>
  <c r="H15" i="38"/>
  <c r="I15" i="38"/>
  <c r="L15" i="38"/>
  <c r="E15" i="38"/>
  <c r="O15" i="38"/>
  <c r="H14" i="38"/>
  <c r="I14" i="38"/>
  <c r="L14" i="38"/>
  <c r="O14" i="38"/>
  <c r="I13" i="38"/>
  <c r="L13" i="38"/>
  <c r="O13" i="38"/>
  <c r="P13" i="38" s="1"/>
  <c r="I12" i="38"/>
  <c r="O12" i="38"/>
  <c r="L11" i="38"/>
  <c r="H11" i="38"/>
  <c r="I11" i="38"/>
  <c r="O11" i="38"/>
  <c r="I10" i="38"/>
  <c r="L10" i="38"/>
  <c r="O10" i="38"/>
  <c r="I9" i="38"/>
  <c r="L9" i="38"/>
  <c r="H9" i="38"/>
  <c r="O9" i="38"/>
  <c r="E9" i="38"/>
  <c r="I8" i="38"/>
  <c r="L8" i="38"/>
  <c r="H8" i="38"/>
  <c r="O8" i="38"/>
  <c r="P8" i="38"/>
  <c r="H7" i="38"/>
  <c r="I7" i="38"/>
  <c r="O7" i="38"/>
  <c r="I6" i="38"/>
  <c r="L6" i="38"/>
  <c r="H6" i="38"/>
  <c r="O6" i="38"/>
  <c r="H5" i="38"/>
  <c r="I5" i="38"/>
  <c r="L5" i="38"/>
  <c r="O5" i="38"/>
  <c r="O4" i="38"/>
  <c r="P4" i="38" s="1"/>
  <c r="I4" i="38"/>
  <c r="L4" i="38"/>
  <c r="H4" i="38"/>
  <c r="F35" i="27" l="1"/>
  <c r="W38" i="37"/>
  <c r="J38" i="38"/>
  <c r="D4" i="27" s="1"/>
  <c r="M3" i="40"/>
  <c r="J3" i="40"/>
  <c r="W3" i="40"/>
  <c r="X3" i="40"/>
  <c r="W5" i="40"/>
  <c r="I3" i="38"/>
  <c r="L3" i="38"/>
  <c r="H3" i="38"/>
  <c r="O3" i="38"/>
  <c r="H20" i="39" l="1"/>
  <c r="V21" i="39"/>
  <c r="H21" i="39"/>
  <c r="I21" i="39"/>
  <c r="L21" i="39"/>
  <c r="G21" i="39"/>
  <c r="O21" i="39"/>
  <c r="P21" i="39" s="1"/>
  <c r="D21" i="39"/>
  <c r="D20" i="39"/>
  <c r="E20" i="39"/>
  <c r="G20" i="39"/>
  <c r="I20" i="39"/>
  <c r="J20" i="39"/>
  <c r="L20" i="39"/>
  <c r="M20" i="39"/>
  <c r="O20" i="39"/>
  <c r="P20" i="39"/>
  <c r="U20" i="39"/>
  <c r="V20" i="39"/>
  <c r="W20" i="39"/>
  <c r="X20" i="39"/>
  <c r="E19" i="39"/>
  <c r="H19" i="39"/>
  <c r="I19" i="39"/>
  <c r="L19" i="39"/>
  <c r="O19" i="39"/>
  <c r="H18" i="39"/>
  <c r="I18" i="39"/>
  <c r="L18" i="39"/>
  <c r="O18" i="39"/>
  <c r="H17" i="39"/>
  <c r="I17" i="39"/>
  <c r="O17" i="39"/>
  <c r="D16" i="39"/>
  <c r="E16" i="39"/>
  <c r="G16" i="39"/>
  <c r="H16" i="39"/>
  <c r="I16" i="39"/>
  <c r="J16" i="39"/>
  <c r="L16" i="39"/>
  <c r="M16" i="39"/>
  <c r="O16" i="39"/>
  <c r="P16" i="39"/>
  <c r="U16" i="39"/>
  <c r="V16" i="39"/>
  <c r="W16" i="39"/>
  <c r="X16" i="39"/>
  <c r="D15" i="39"/>
  <c r="E15" i="39"/>
  <c r="G15" i="39"/>
  <c r="H15" i="39"/>
  <c r="I15" i="39"/>
  <c r="J15" i="39"/>
  <c r="L15" i="39"/>
  <c r="M15" i="39"/>
  <c r="O15" i="39"/>
  <c r="P15" i="39"/>
  <c r="U15" i="39"/>
  <c r="V15" i="39"/>
  <c r="W15" i="39"/>
  <c r="X15" i="39"/>
  <c r="I14" i="39"/>
  <c r="H14" i="39"/>
  <c r="O14" i="39"/>
  <c r="H13" i="39"/>
  <c r="I13" i="39"/>
  <c r="L13" i="39"/>
  <c r="O13" i="39"/>
  <c r="H12" i="39"/>
  <c r="I12" i="39"/>
  <c r="L12" i="39"/>
  <c r="O12" i="39"/>
  <c r="H11" i="39"/>
  <c r="I11" i="39"/>
  <c r="L11" i="39"/>
  <c r="O11" i="39"/>
  <c r="H10" i="39"/>
  <c r="L10" i="39"/>
  <c r="I10" i="39"/>
  <c r="O10" i="39"/>
  <c r="O9" i="39"/>
  <c r="I9" i="39"/>
  <c r="H9" i="39"/>
  <c r="L9" i="39"/>
  <c r="E8" i="39"/>
  <c r="I8" i="39"/>
  <c r="H8" i="39"/>
  <c r="L8" i="39"/>
  <c r="O8" i="39"/>
  <c r="I7" i="39"/>
  <c r="H7" i="39"/>
  <c r="L7" i="39"/>
  <c r="P7" i="39"/>
  <c r="O7" i="39"/>
  <c r="O6" i="39"/>
  <c r="L6" i="39"/>
  <c r="I6" i="39"/>
  <c r="H6" i="39"/>
  <c r="P6" i="39"/>
  <c r="G6" i="39"/>
  <c r="I5" i="39"/>
  <c r="L5" i="39"/>
  <c r="H5" i="39"/>
  <c r="G5" i="39"/>
  <c r="O5" i="39"/>
  <c r="H4" i="39"/>
  <c r="I3" i="39"/>
  <c r="H3" i="39"/>
  <c r="L3" i="39"/>
  <c r="O3" i="39"/>
  <c r="G22" i="35"/>
  <c r="D14" i="35"/>
  <c r="G14" i="35"/>
  <c r="J14" i="35"/>
  <c r="M14" i="35"/>
  <c r="P14" i="35"/>
  <c r="U14" i="35"/>
  <c r="V14" i="35" s="1"/>
  <c r="U8" i="35"/>
  <c r="U5" i="35"/>
  <c r="U6" i="35"/>
  <c r="U7" i="35"/>
  <c r="U9" i="35"/>
  <c r="U10" i="35"/>
  <c r="U11" i="35"/>
  <c r="U12" i="35"/>
  <c r="G10" i="35"/>
  <c r="G6" i="35"/>
  <c r="G4" i="35"/>
  <c r="G16" i="34"/>
  <c r="D12" i="34"/>
  <c r="G12" i="34"/>
  <c r="J12" i="34"/>
  <c r="M12" i="34"/>
  <c r="P12" i="34"/>
  <c r="U12" i="34"/>
  <c r="V12" i="34"/>
  <c r="W12" i="34"/>
  <c r="X12" i="34"/>
  <c r="D13" i="34"/>
  <c r="G13" i="34"/>
  <c r="J13" i="34"/>
  <c r="M13" i="34"/>
  <c r="P13" i="34"/>
  <c r="U13" i="34"/>
  <c r="V13" i="34"/>
  <c r="W13" i="34"/>
  <c r="X13" i="34"/>
  <c r="D14" i="34"/>
  <c r="G14" i="34"/>
  <c r="J14" i="34"/>
  <c r="M14" i="34"/>
  <c r="P14" i="34"/>
  <c r="U14" i="34"/>
  <c r="V14" i="34"/>
  <c r="W14" i="34"/>
  <c r="X14" i="34"/>
  <c r="D15" i="34"/>
  <c r="G15" i="34"/>
  <c r="J15" i="34"/>
  <c r="M15" i="34"/>
  <c r="P15" i="34"/>
  <c r="U15" i="34"/>
  <c r="V15" i="34"/>
  <c r="W15" i="34"/>
  <c r="X15" i="34"/>
  <c r="D11" i="34"/>
  <c r="G11" i="34"/>
  <c r="J11" i="34"/>
  <c r="M11" i="34"/>
  <c r="P11" i="34"/>
  <c r="U11" i="34"/>
  <c r="V11" i="34"/>
  <c r="W11" i="34"/>
  <c r="X11" i="34"/>
  <c r="U9" i="34"/>
  <c r="V9" i="34" s="1"/>
  <c r="P9" i="34"/>
  <c r="G9" i="34"/>
  <c r="D9" i="34"/>
  <c r="U8" i="34"/>
  <c r="V8" i="34" s="1"/>
  <c r="P8" i="34"/>
  <c r="G8" i="34"/>
  <c r="D8" i="34"/>
  <c r="U7" i="34"/>
  <c r="V7" i="34" s="1"/>
  <c r="P7" i="34"/>
  <c r="G7" i="34"/>
  <c r="D7" i="34"/>
  <c r="V5" i="35"/>
  <c r="P5" i="35"/>
  <c r="G5" i="35"/>
  <c r="D5" i="35"/>
  <c r="U4" i="35"/>
  <c r="V4" i="35" s="1"/>
  <c r="P4" i="35"/>
  <c r="D4" i="35"/>
  <c r="U3" i="35"/>
  <c r="V3" i="35" s="1"/>
  <c r="P3" i="35"/>
  <c r="G3" i="35"/>
  <c r="D3" i="35"/>
  <c r="P4" i="34"/>
  <c r="P24" i="33"/>
  <c r="D24" i="33"/>
  <c r="P11" i="33"/>
  <c r="U6" i="33"/>
  <c r="V6" i="33" s="1"/>
  <c r="P6" i="33"/>
  <c r="D6" i="33"/>
  <c r="G6" i="33"/>
  <c r="J6" i="33"/>
  <c r="U3" i="34"/>
  <c r="V3" i="34"/>
  <c r="P3" i="34"/>
  <c r="D3" i="34"/>
  <c r="G3" i="34"/>
  <c r="J3" i="34"/>
  <c r="M21" i="39" l="1"/>
  <c r="J21" i="39"/>
  <c r="W21" i="39"/>
  <c r="X21" i="39"/>
  <c r="M6" i="33"/>
  <c r="W14" i="35"/>
  <c r="X14" i="35"/>
  <c r="M9" i="34"/>
  <c r="J9" i="34"/>
  <c r="X9" i="34"/>
  <c r="W9" i="34"/>
  <c r="M8" i="34"/>
  <c r="J8" i="34"/>
  <c r="X8" i="34"/>
  <c r="W8" i="34"/>
  <c r="M7" i="34"/>
  <c r="J7" i="34"/>
  <c r="X7" i="34"/>
  <c r="W7" i="34"/>
  <c r="M3" i="35"/>
  <c r="J3" i="35"/>
  <c r="X3" i="35"/>
  <c r="W3" i="35"/>
  <c r="M4" i="35"/>
  <c r="J4" i="35"/>
  <c r="X4" i="35"/>
  <c r="W4" i="35"/>
  <c r="M5" i="35"/>
  <c r="J5" i="35"/>
  <c r="X5" i="35"/>
  <c r="W5" i="35"/>
  <c r="M3" i="34"/>
  <c r="W3" i="34"/>
  <c r="X3" i="34"/>
  <c r="W6" i="33"/>
  <c r="X6" i="33"/>
  <c r="P22" i="32" l="1"/>
  <c r="P21" i="32"/>
  <c r="P19" i="32"/>
  <c r="C52" i="31"/>
  <c r="D12" i="32"/>
  <c r="G12" i="32"/>
  <c r="J12" i="32"/>
  <c r="M12" i="32"/>
  <c r="P12" i="32"/>
  <c r="U12" i="32"/>
  <c r="V12" i="32"/>
  <c r="W12" i="32"/>
  <c r="X12" i="32"/>
  <c r="P9" i="32"/>
  <c r="D7" i="32"/>
  <c r="G7" i="32"/>
  <c r="J7" i="32"/>
  <c r="M7" i="32"/>
  <c r="P7" i="32"/>
  <c r="U7" i="32"/>
  <c r="V7" i="32"/>
  <c r="W7" i="32"/>
  <c r="X7" i="32"/>
  <c r="U5" i="32"/>
  <c r="D5" i="32"/>
  <c r="P5" i="32"/>
  <c r="V5" i="32"/>
  <c r="G5" i="32"/>
  <c r="U4" i="32"/>
  <c r="V4" i="32" s="1"/>
  <c r="P4" i="32"/>
  <c r="G4" i="32"/>
  <c r="D4" i="32"/>
  <c r="U3" i="32"/>
  <c r="V3" i="32" s="1"/>
  <c r="P3" i="32"/>
  <c r="G3" i="32"/>
  <c r="D3" i="32"/>
  <c r="D23" i="30"/>
  <c r="G23" i="30"/>
  <c r="J23" i="30"/>
  <c r="M23" i="30"/>
  <c r="P23" i="30"/>
  <c r="U23" i="30"/>
  <c r="V23" i="30"/>
  <c r="W23" i="30"/>
  <c r="X23" i="30"/>
  <c r="M5" i="32" l="1"/>
  <c r="X5" i="32" s="1"/>
  <c r="J5" i="32"/>
  <c r="W5" i="32" s="1"/>
  <c r="M3" i="32"/>
  <c r="J3" i="32"/>
  <c r="X3" i="32"/>
  <c r="W3" i="32"/>
  <c r="M4" i="32"/>
  <c r="J4" i="32"/>
  <c r="X4" i="32"/>
  <c r="W4" i="32"/>
  <c r="P4" i="31"/>
  <c r="V26" i="30"/>
  <c r="W26" i="30"/>
  <c r="X26" i="30"/>
  <c r="V27" i="30"/>
  <c r="W27" i="30"/>
  <c r="X27" i="30"/>
  <c r="P20" i="30"/>
  <c r="P18" i="30"/>
  <c r="U10" i="29"/>
  <c r="C52" i="30"/>
  <c r="U5" i="30"/>
  <c r="V5" i="30" s="1"/>
  <c r="P5" i="30"/>
  <c r="G5" i="30"/>
  <c r="D5" i="30"/>
  <c r="U4" i="30"/>
  <c r="V4" i="30" s="1"/>
  <c r="P4" i="30"/>
  <c r="G4" i="30"/>
  <c r="D4" i="30"/>
  <c r="C52" i="29"/>
  <c r="G21" i="29"/>
  <c r="G20" i="29"/>
  <c r="M4" i="30" l="1"/>
  <c r="J4" i="30"/>
  <c r="X4" i="30"/>
  <c r="W4" i="30"/>
  <c r="M5" i="30"/>
  <c r="J5" i="30"/>
  <c r="X5" i="30"/>
  <c r="W5" i="30"/>
  <c r="G17" i="29" l="1"/>
  <c r="P17" i="29"/>
  <c r="P18" i="29"/>
  <c r="V10" i="29"/>
  <c r="P11" i="29" l="1"/>
  <c r="P10" i="29"/>
  <c r="P8" i="29"/>
  <c r="C52" i="28"/>
  <c r="P6" i="29"/>
  <c r="P5" i="29"/>
  <c r="G3" i="29"/>
  <c r="G13" i="28" l="1"/>
  <c r="G11" i="28"/>
  <c r="D7" i="28"/>
  <c r="C52" i="37" l="1"/>
  <c r="P3" i="28" l="1"/>
  <c r="G3" i="28"/>
  <c r="D3" i="28"/>
  <c r="J3" i="28" s="1"/>
  <c r="U3" i="28"/>
  <c r="P20" i="37"/>
  <c r="D19" i="37"/>
  <c r="G19" i="37"/>
  <c r="J19" i="37" s="1"/>
  <c r="P19" i="37"/>
  <c r="U19" i="37"/>
  <c r="V19" i="37" s="1"/>
  <c r="P18" i="37"/>
  <c r="G17" i="37"/>
  <c r="D18" i="37"/>
  <c r="F38" i="40"/>
  <c r="C52" i="40"/>
  <c r="V3" i="28" l="1"/>
  <c r="W3" i="28" s="1"/>
  <c r="W19" i="37"/>
  <c r="M19" i="37"/>
  <c r="X19" i="37" s="1"/>
  <c r="M3" i="28"/>
  <c r="X3" i="28" s="1"/>
  <c r="P8" i="37"/>
  <c r="G8" i="37"/>
  <c r="P6" i="37"/>
  <c r="G7" i="37"/>
  <c r="G5" i="37"/>
  <c r="G6" i="37"/>
  <c r="P5" i="37"/>
  <c r="P4" i="37"/>
  <c r="G4" i="37"/>
  <c r="G3" i="37"/>
  <c r="J7" i="37" l="1"/>
  <c r="W7" i="37" s="1"/>
  <c r="M7" i="37"/>
  <c r="X7" i="37" s="1"/>
  <c r="P3" i="37"/>
  <c r="U6" i="40" l="1"/>
  <c r="U4" i="40"/>
  <c r="P6" i="40" l="1"/>
  <c r="V6" i="40"/>
  <c r="G6" i="40" l="1"/>
  <c r="D6" i="40"/>
  <c r="J6" i="40" l="1"/>
  <c r="W6" i="40" s="1"/>
  <c r="M6" i="40"/>
  <c r="X6" i="40" s="1"/>
  <c r="V4" i="40"/>
  <c r="P4" i="40"/>
  <c r="D4" i="40"/>
  <c r="G4" i="40" l="1"/>
  <c r="M4" i="40"/>
  <c r="X4" i="40" s="1"/>
  <c r="J4" i="40"/>
  <c r="W4" i="40" s="1"/>
  <c r="U17" i="38" l="1"/>
  <c r="U18" i="38"/>
  <c r="U19" i="38"/>
  <c r="U23" i="38"/>
  <c r="U24" i="38"/>
  <c r="U25" i="38"/>
  <c r="U26" i="38"/>
  <c r="U27" i="38"/>
  <c r="U28" i="38"/>
  <c r="U29" i="38"/>
  <c r="U30" i="38"/>
  <c r="U31" i="38"/>
  <c r="U32" i="38"/>
  <c r="U33" i="38"/>
  <c r="U34" i="38"/>
  <c r="U35" i="38"/>
  <c r="U36" i="38"/>
  <c r="U4" i="38"/>
  <c r="U5" i="38"/>
  <c r="U6" i="38"/>
  <c r="U7" i="38"/>
  <c r="U8" i="38"/>
  <c r="V8" i="38" s="1"/>
  <c r="U9" i="38"/>
  <c r="U10" i="38"/>
  <c r="U11" i="38"/>
  <c r="U12" i="38"/>
  <c r="U13" i="38"/>
  <c r="U14" i="38"/>
  <c r="U15" i="38"/>
  <c r="U16" i="38"/>
  <c r="D16" i="38" l="1"/>
  <c r="G16" i="38"/>
  <c r="P16" i="38"/>
  <c r="V16" i="38"/>
  <c r="G17" i="38"/>
  <c r="G18" i="38"/>
  <c r="G19" i="38"/>
  <c r="G23" i="38"/>
  <c r="G24" i="38"/>
  <c r="G25" i="38"/>
  <c r="G26" i="38"/>
  <c r="G15" i="38"/>
  <c r="J23" i="38"/>
  <c r="J24" i="38"/>
  <c r="J25" i="38"/>
  <c r="J26" i="38"/>
  <c r="J27" i="38"/>
  <c r="J28" i="38"/>
  <c r="J29" i="38"/>
  <c r="J30" i="38"/>
  <c r="J31" i="38"/>
  <c r="J32" i="38"/>
  <c r="J33" i="38"/>
  <c r="J34" i="38"/>
  <c r="J35" i="38"/>
  <c r="J36" i="38"/>
  <c r="J37" i="38"/>
  <c r="V14" i="38"/>
  <c r="G14" i="38"/>
  <c r="J16" i="38" l="1"/>
  <c r="W16" i="38"/>
  <c r="M16" i="38"/>
  <c r="X16" i="38" s="1"/>
  <c r="V12" i="38"/>
  <c r="D12" i="38"/>
  <c r="G12" i="38"/>
  <c r="P12" i="38"/>
  <c r="V11" i="38"/>
  <c r="D11" i="38"/>
  <c r="G11" i="38"/>
  <c r="P11" i="38"/>
  <c r="G13" i="38"/>
  <c r="G27" i="38"/>
  <c r="G28" i="38"/>
  <c r="G29" i="38"/>
  <c r="G30" i="38"/>
  <c r="G31" i="38"/>
  <c r="G32" i="38"/>
  <c r="G33" i="38"/>
  <c r="G34" i="38"/>
  <c r="G35" i="38"/>
  <c r="G36" i="38"/>
  <c r="G37" i="38"/>
  <c r="D10" i="38"/>
  <c r="D13" i="38"/>
  <c r="D14" i="38"/>
  <c r="J14" i="38" s="1"/>
  <c r="D15" i="38"/>
  <c r="D17" i="38"/>
  <c r="J17" i="38" s="1"/>
  <c r="D18" i="38"/>
  <c r="J18" i="38" s="1"/>
  <c r="D19" i="38"/>
  <c r="J19" i="38" s="1"/>
  <c r="D23" i="38"/>
  <c r="D24" i="38"/>
  <c r="D25" i="38"/>
  <c r="D26" i="38"/>
  <c r="D27" i="38"/>
  <c r="D28" i="38"/>
  <c r="D29" i="38"/>
  <c r="D30" i="38"/>
  <c r="D31" i="38"/>
  <c r="D32" i="38"/>
  <c r="D33" i="38"/>
  <c r="D34" i="38"/>
  <c r="D35" i="38"/>
  <c r="D36" i="38"/>
  <c r="D37" i="38"/>
  <c r="V13" i="38"/>
  <c r="V15" i="38"/>
  <c r="V17" i="38"/>
  <c r="V18" i="38"/>
  <c r="V19" i="38"/>
  <c r="V23" i="38"/>
  <c r="W23" i="38"/>
  <c r="X23" i="38"/>
  <c r="V24" i="38"/>
  <c r="W24" i="38"/>
  <c r="X24" i="38"/>
  <c r="V25" i="38"/>
  <c r="W25" i="38"/>
  <c r="X25" i="38"/>
  <c r="V26" i="38"/>
  <c r="W26" i="38"/>
  <c r="X26" i="38"/>
  <c r="V27" i="38"/>
  <c r="W27" i="38"/>
  <c r="X27" i="38"/>
  <c r="V28" i="38"/>
  <c r="W28" i="38"/>
  <c r="X28" i="38"/>
  <c r="V29" i="38"/>
  <c r="W29" i="38"/>
  <c r="X29" i="38"/>
  <c r="V30" i="38"/>
  <c r="W30" i="38"/>
  <c r="X30" i="38"/>
  <c r="V31" i="38"/>
  <c r="W31" i="38"/>
  <c r="X31" i="38"/>
  <c r="V32" i="38"/>
  <c r="W32" i="38"/>
  <c r="X32" i="38"/>
  <c r="V33" i="38"/>
  <c r="W33" i="38"/>
  <c r="X33" i="38"/>
  <c r="V34" i="38"/>
  <c r="W34" i="38"/>
  <c r="X34" i="38"/>
  <c r="V35" i="38"/>
  <c r="W35" i="38"/>
  <c r="X35" i="38"/>
  <c r="V36" i="38"/>
  <c r="W36" i="38"/>
  <c r="X36" i="38"/>
  <c r="V37" i="38"/>
  <c r="W37" i="38"/>
  <c r="X37" i="38"/>
  <c r="P10" i="38"/>
  <c r="P14" i="38"/>
  <c r="P15" i="38"/>
  <c r="P17" i="38"/>
  <c r="P18" i="38"/>
  <c r="P19" i="38"/>
  <c r="P23" i="38"/>
  <c r="P24" i="38"/>
  <c r="P25" i="38"/>
  <c r="P26" i="38"/>
  <c r="P27" i="38"/>
  <c r="P28" i="38"/>
  <c r="P29" i="38"/>
  <c r="P30" i="38"/>
  <c r="P31" i="38"/>
  <c r="P32" i="38"/>
  <c r="P33" i="38"/>
  <c r="P34" i="38"/>
  <c r="P35" i="38"/>
  <c r="P36" i="38"/>
  <c r="P37" i="38"/>
  <c r="M14" i="38"/>
  <c r="X14" i="38" s="1"/>
  <c r="M18" i="38"/>
  <c r="M19" i="38"/>
  <c r="M23" i="38"/>
  <c r="M24" i="38"/>
  <c r="M25" i="38"/>
  <c r="M26" i="38"/>
  <c r="M27" i="38"/>
  <c r="M28" i="38"/>
  <c r="M29" i="38"/>
  <c r="M30" i="38"/>
  <c r="M31" i="38"/>
  <c r="M32" i="38"/>
  <c r="M33" i="38"/>
  <c r="M34" i="38"/>
  <c r="M35" i="38"/>
  <c r="M36" i="38"/>
  <c r="M37" i="38"/>
  <c r="W14" i="38"/>
  <c r="D9" i="38"/>
  <c r="G9" i="38"/>
  <c r="G10" i="38"/>
  <c r="M10" i="38" s="1"/>
  <c r="J10" i="38"/>
  <c r="V10" i="38"/>
  <c r="C52" i="38"/>
  <c r="M15" i="38" l="1"/>
  <c r="J15" i="38"/>
  <c r="M13" i="38"/>
  <c r="J13" i="38"/>
  <c r="J11" i="38"/>
  <c r="J12" i="38"/>
  <c r="W19" i="38"/>
  <c r="X19" i="38"/>
  <c r="W18" i="38"/>
  <c r="X18" i="38"/>
  <c r="W17" i="38"/>
  <c r="M17" i="38"/>
  <c r="X17" i="38" s="1"/>
  <c r="W15" i="38"/>
  <c r="X15" i="38"/>
  <c r="X13" i="38"/>
  <c r="W13" i="38"/>
  <c r="W11" i="38"/>
  <c r="W12" i="38"/>
  <c r="M12" i="38"/>
  <c r="X12" i="38" s="1"/>
  <c r="M11" i="38"/>
  <c r="X11" i="38" s="1"/>
  <c r="W10" i="38"/>
  <c r="J9" i="38" l="1"/>
  <c r="P9" i="38"/>
  <c r="D8" i="38"/>
  <c r="G8" i="38"/>
  <c r="D7" i="38"/>
  <c r="G7" i="38"/>
  <c r="M7" i="38"/>
  <c r="P7" i="38"/>
  <c r="V7" i="38"/>
  <c r="D6" i="38"/>
  <c r="P6" i="38"/>
  <c r="D5" i="38"/>
  <c r="G5" i="38"/>
  <c r="M5" i="38"/>
  <c r="P5" i="38"/>
  <c r="V5" i="38"/>
  <c r="V4" i="38"/>
  <c r="D4" i="38"/>
  <c r="G4" i="38"/>
  <c r="U19" i="39"/>
  <c r="V19" i="39" s="1"/>
  <c r="D19" i="39"/>
  <c r="G19" i="39"/>
  <c r="P19" i="39"/>
  <c r="D18" i="39"/>
  <c r="G18" i="39"/>
  <c r="P18" i="39"/>
  <c r="U18" i="39"/>
  <c r="V18" i="39" s="1"/>
  <c r="U17" i="39"/>
  <c r="V17" i="39"/>
  <c r="D17" i="39"/>
  <c r="G17" i="39"/>
  <c r="J17" i="39"/>
  <c r="P17" i="39"/>
  <c r="U14" i="39"/>
  <c r="V14" i="39"/>
  <c r="D14" i="39"/>
  <c r="G14" i="39"/>
  <c r="J14" i="39" s="1"/>
  <c r="P14" i="39"/>
  <c r="U13" i="39"/>
  <c r="V13" i="39"/>
  <c r="D13" i="39"/>
  <c r="G13" i="39"/>
  <c r="J13" i="39"/>
  <c r="P13" i="39"/>
  <c r="U12" i="39"/>
  <c r="V12" i="39" s="1"/>
  <c r="D12" i="39"/>
  <c r="G12" i="39"/>
  <c r="P12" i="39"/>
  <c r="U11" i="39"/>
  <c r="V11" i="39" s="1"/>
  <c r="D11" i="39"/>
  <c r="G11" i="39"/>
  <c r="P11" i="39"/>
  <c r="U10" i="39"/>
  <c r="V10" i="39" s="1"/>
  <c r="D10" i="39"/>
  <c r="G10" i="39"/>
  <c r="M10" i="39"/>
  <c r="P10" i="39"/>
  <c r="U9" i="39"/>
  <c r="D9" i="39"/>
  <c r="G9" i="39"/>
  <c r="M9" i="39"/>
  <c r="P9" i="39"/>
  <c r="V9" i="39"/>
  <c r="U8" i="39"/>
  <c r="V8" i="39"/>
  <c r="D8" i="39"/>
  <c r="G8" i="39"/>
  <c r="P8" i="39"/>
  <c r="U7" i="39"/>
  <c r="V7" i="39" s="1"/>
  <c r="D7" i="39"/>
  <c r="G7" i="39"/>
  <c r="U6" i="39"/>
  <c r="V6" i="39" s="1"/>
  <c r="D6" i="39"/>
  <c r="U5" i="39"/>
  <c r="V5" i="39" s="1"/>
  <c r="D5" i="39"/>
  <c r="J5" i="39"/>
  <c r="M5" i="39"/>
  <c r="P5" i="39"/>
  <c r="U4" i="39"/>
  <c r="V4" i="39" s="1"/>
  <c r="D4" i="39"/>
  <c r="G4" i="39"/>
  <c r="M4" i="39" s="1"/>
  <c r="P4" i="39"/>
  <c r="J5" i="38" l="1"/>
  <c r="W5" i="38" s="1"/>
  <c r="J19" i="39"/>
  <c r="J18" i="39"/>
  <c r="M17" i="39"/>
  <c r="X4" i="39"/>
  <c r="M6" i="39"/>
  <c r="J6" i="39"/>
  <c r="W14" i="39"/>
  <c r="M14" i="39"/>
  <c r="M13" i="39"/>
  <c r="J12" i="39"/>
  <c r="J11" i="39"/>
  <c r="J10" i="39"/>
  <c r="J9" i="39"/>
  <c r="J8" i="39"/>
  <c r="J7" i="39"/>
  <c r="W6" i="39"/>
  <c r="X6" i="39"/>
  <c r="J4" i="39"/>
  <c r="W4" i="39" s="1"/>
  <c r="M8" i="38"/>
  <c r="X8" i="38" s="1"/>
  <c r="J8" i="38"/>
  <c r="W8" i="38" s="1"/>
  <c r="V6" i="38"/>
  <c r="J7" i="38"/>
  <c r="W7" i="38" s="1"/>
  <c r="M9" i="38"/>
  <c r="G6" i="38"/>
  <c r="M6" i="38" s="1"/>
  <c r="J4" i="38"/>
  <c r="W4" i="38" s="1"/>
  <c r="V9" i="38"/>
  <c r="W9" i="38" s="1"/>
  <c r="M4" i="38"/>
  <c r="X4" i="38" s="1"/>
  <c r="X10" i="38"/>
  <c r="W18" i="39"/>
  <c r="J6" i="38"/>
  <c r="X13" i="39"/>
  <c r="W5" i="39"/>
  <c r="X5" i="39"/>
  <c r="W9" i="39"/>
  <c r="X9" i="39"/>
  <c r="X17" i="39"/>
  <c r="W19" i="39"/>
  <c r="W11" i="39"/>
  <c r="W8" i="39"/>
  <c r="W7" i="39"/>
  <c r="W12" i="39"/>
  <c r="X5" i="38"/>
  <c r="W10" i="39"/>
  <c r="X10" i="39"/>
  <c r="M12" i="39"/>
  <c r="X12" i="39" s="1"/>
  <c r="W13" i="39"/>
  <c r="M19" i="39"/>
  <c r="X19" i="39" s="1"/>
  <c r="M18" i="39"/>
  <c r="X18" i="39" s="1"/>
  <c r="M8" i="39"/>
  <c r="X8" i="39" s="1"/>
  <c r="M11" i="39"/>
  <c r="M7" i="39"/>
  <c r="X7" i="39" s="1"/>
  <c r="X11" i="39"/>
  <c r="X14" i="39"/>
  <c r="X7" i="38"/>
  <c r="W17" i="39"/>
  <c r="J22" i="39"/>
  <c r="J23" i="39"/>
  <c r="J24" i="39"/>
  <c r="J25" i="39"/>
  <c r="J26" i="39"/>
  <c r="J27" i="39"/>
  <c r="J28" i="39"/>
  <c r="J29" i="39"/>
  <c r="J30" i="39"/>
  <c r="J31" i="39"/>
  <c r="J32" i="39"/>
  <c r="J33" i="39"/>
  <c r="J34" i="39"/>
  <c r="J35" i="39"/>
  <c r="J36" i="39"/>
  <c r="J37" i="39"/>
  <c r="X6" i="38" l="1"/>
  <c r="X9" i="38"/>
  <c r="W6" i="38"/>
  <c r="D3" i="38" l="1"/>
  <c r="G3" i="38"/>
  <c r="G3" i="39"/>
  <c r="D3" i="39"/>
  <c r="M3" i="39" s="1"/>
  <c r="P3" i="38"/>
  <c r="P3" i="39"/>
  <c r="J3" i="38" l="1"/>
  <c r="M3" i="38"/>
  <c r="J3" i="39"/>
  <c r="N38" i="40"/>
  <c r="K38" i="40"/>
  <c r="E38" i="40"/>
  <c r="Q38" i="40"/>
  <c r="L38" i="40"/>
  <c r="I38" i="40"/>
  <c r="H38" i="40"/>
  <c r="C52" i="39"/>
  <c r="O38" i="39"/>
  <c r="N38" i="39"/>
  <c r="K38" i="39"/>
  <c r="F38" i="39"/>
  <c r="E38" i="39"/>
  <c r="X37" i="39"/>
  <c r="W37" i="39"/>
  <c r="V37" i="39"/>
  <c r="U37" i="39"/>
  <c r="P37" i="39"/>
  <c r="M37" i="39"/>
  <c r="G37" i="39"/>
  <c r="D37" i="39"/>
  <c r="X36" i="39"/>
  <c r="W36" i="39"/>
  <c r="V36" i="39"/>
  <c r="U36" i="39"/>
  <c r="P36" i="39"/>
  <c r="M36" i="39"/>
  <c r="G36" i="39"/>
  <c r="D36" i="39"/>
  <c r="X35" i="39"/>
  <c r="W35" i="39"/>
  <c r="V35" i="39"/>
  <c r="U35" i="39"/>
  <c r="P35" i="39"/>
  <c r="M35" i="39"/>
  <c r="G35" i="39"/>
  <c r="D35" i="39"/>
  <c r="X34" i="39"/>
  <c r="W34" i="39"/>
  <c r="V34" i="39"/>
  <c r="U34" i="39"/>
  <c r="P34" i="39"/>
  <c r="M34" i="39"/>
  <c r="G34" i="39"/>
  <c r="D34" i="39"/>
  <c r="X33" i="39"/>
  <c r="W33" i="39"/>
  <c r="V33" i="39"/>
  <c r="U33" i="39"/>
  <c r="P33" i="39"/>
  <c r="M33" i="39"/>
  <c r="G33" i="39"/>
  <c r="D33" i="39"/>
  <c r="X32" i="39"/>
  <c r="W32" i="39"/>
  <c r="V32" i="39"/>
  <c r="U32" i="39"/>
  <c r="P32" i="39"/>
  <c r="M32" i="39"/>
  <c r="G32" i="39"/>
  <c r="D32" i="39"/>
  <c r="X31" i="39"/>
  <c r="W31" i="39"/>
  <c r="V31" i="39"/>
  <c r="U31" i="39"/>
  <c r="P31" i="39"/>
  <c r="M31" i="39"/>
  <c r="G31" i="39"/>
  <c r="D31" i="39"/>
  <c r="X30" i="39"/>
  <c r="W30" i="39"/>
  <c r="V30" i="39"/>
  <c r="U30" i="39"/>
  <c r="P30" i="39"/>
  <c r="M30" i="39"/>
  <c r="G30" i="39"/>
  <c r="D30" i="39"/>
  <c r="X29" i="39"/>
  <c r="W29" i="39"/>
  <c r="V29" i="39"/>
  <c r="U29" i="39"/>
  <c r="P29" i="39"/>
  <c r="M29" i="39"/>
  <c r="G29" i="39"/>
  <c r="D29" i="39"/>
  <c r="X28" i="39"/>
  <c r="W28" i="39"/>
  <c r="V28" i="39"/>
  <c r="U28" i="39"/>
  <c r="P28" i="39"/>
  <c r="M28" i="39"/>
  <c r="G28" i="39"/>
  <c r="D28" i="39"/>
  <c r="X27" i="39"/>
  <c r="W27" i="39"/>
  <c r="V27" i="39"/>
  <c r="U27" i="39"/>
  <c r="P27" i="39"/>
  <c r="M27" i="39"/>
  <c r="G27" i="39"/>
  <c r="D27" i="39"/>
  <c r="X26" i="39"/>
  <c r="W26" i="39"/>
  <c r="V26" i="39"/>
  <c r="U26" i="39"/>
  <c r="P26" i="39"/>
  <c r="M26" i="39"/>
  <c r="G26" i="39"/>
  <c r="D26" i="39"/>
  <c r="X25" i="39"/>
  <c r="W25" i="39"/>
  <c r="V25" i="39"/>
  <c r="U25" i="39"/>
  <c r="P25" i="39"/>
  <c r="M25" i="39"/>
  <c r="G25" i="39"/>
  <c r="D25" i="39"/>
  <c r="X24" i="39"/>
  <c r="W24" i="39"/>
  <c r="V24" i="39"/>
  <c r="U24" i="39"/>
  <c r="P24" i="39"/>
  <c r="M24" i="39"/>
  <c r="G24" i="39"/>
  <c r="D24" i="39"/>
  <c r="X23" i="39"/>
  <c r="W23" i="39"/>
  <c r="V23" i="39"/>
  <c r="U23" i="39"/>
  <c r="P23" i="39"/>
  <c r="M23" i="39"/>
  <c r="G23" i="39"/>
  <c r="D23" i="39"/>
  <c r="X22" i="39"/>
  <c r="W22" i="39"/>
  <c r="V22" i="39"/>
  <c r="U22" i="39"/>
  <c r="P22" i="39"/>
  <c r="M22" i="39"/>
  <c r="G22" i="39"/>
  <c r="D22" i="39"/>
  <c r="Q38" i="39"/>
  <c r="L38" i="39"/>
  <c r="U3" i="39"/>
  <c r="V3" i="39" s="1"/>
  <c r="I38" i="39"/>
  <c r="K38" i="38"/>
  <c r="F38" i="38"/>
  <c r="E38" i="38"/>
  <c r="L38" i="38"/>
  <c r="Q38" i="38"/>
  <c r="U3" i="38"/>
  <c r="V3" i="38" s="1"/>
  <c r="V38" i="38" s="1"/>
  <c r="I38" i="38"/>
  <c r="P39" i="37"/>
  <c r="N38" i="37"/>
  <c r="K38" i="37"/>
  <c r="F38" i="37"/>
  <c r="E38" i="37"/>
  <c r="X37" i="37"/>
  <c r="W37" i="37"/>
  <c r="V37" i="37"/>
  <c r="U37" i="37"/>
  <c r="P37" i="37"/>
  <c r="M37" i="37"/>
  <c r="J37" i="37"/>
  <c r="G37" i="37"/>
  <c r="D37" i="37"/>
  <c r="X36" i="37"/>
  <c r="W36" i="37"/>
  <c r="V36" i="37"/>
  <c r="U36" i="37"/>
  <c r="P36" i="37"/>
  <c r="M36" i="37"/>
  <c r="J36" i="37"/>
  <c r="G36" i="37"/>
  <c r="D36" i="37"/>
  <c r="X35" i="37"/>
  <c r="W35" i="37"/>
  <c r="V35" i="37"/>
  <c r="U35" i="37"/>
  <c r="P35" i="37"/>
  <c r="M35" i="37"/>
  <c r="J35" i="37"/>
  <c r="G35" i="37"/>
  <c r="D35" i="37"/>
  <c r="X34" i="37"/>
  <c r="W34" i="37"/>
  <c r="V34" i="37"/>
  <c r="U34" i="37"/>
  <c r="P34" i="37"/>
  <c r="M34" i="37"/>
  <c r="J34" i="37"/>
  <c r="G34" i="37"/>
  <c r="D34" i="37"/>
  <c r="X33" i="37"/>
  <c r="W33" i="37"/>
  <c r="V33" i="37"/>
  <c r="U33" i="37"/>
  <c r="P33" i="37"/>
  <c r="M33" i="37"/>
  <c r="J33" i="37"/>
  <c r="G33" i="37"/>
  <c r="D33" i="37"/>
  <c r="X32" i="37"/>
  <c r="W32" i="37"/>
  <c r="V32" i="37"/>
  <c r="U32" i="37"/>
  <c r="P32" i="37"/>
  <c r="M32" i="37"/>
  <c r="J32" i="37"/>
  <c r="G32" i="37"/>
  <c r="D32" i="37"/>
  <c r="X31" i="37"/>
  <c r="W31" i="37"/>
  <c r="V31" i="37"/>
  <c r="U31" i="37"/>
  <c r="P31" i="37"/>
  <c r="M31" i="37"/>
  <c r="J31" i="37"/>
  <c r="G31" i="37"/>
  <c r="D31" i="37"/>
  <c r="X30" i="37"/>
  <c r="W30" i="37"/>
  <c r="V30" i="37"/>
  <c r="U30" i="37"/>
  <c r="P30" i="37"/>
  <c r="M30" i="37"/>
  <c r="J30" i="37"/>
  <c r="G30" i="37"/>
  <c r="D30" i="37"/>
  <c r="X29" i="37"/>
  <c r="W29" i="37"/>
  <c r="V29" i="37"/>
  <c r="U29" i="37"/>
  <c r="P29" i="37"/>
  <c r="M29" i="37"/>
  <c r="J29" i="37"/>
  <c r="G29" i="37"/>
  <c r="D29" i="37"/>
  <c r="X28" i="37"/>
  <c r="W28" i="37"/>
  <c r="V28" i="37"/>
  <c r="U28" i="37"/>
  <c r="P28" i="37"/>
  <c r="M28" i="37"/>
  <c r="J28" i="37"/>
  <c r="G28" i="37"/>
  <c r="D28" i="37"/>
  <c r="X27" i="37"/>
  <c r="W27" i="37"/>
  <c r="V27" i="37"/>
  <c r="U27" i="37"/>
  <c r="P27" i="37"/>
  <c r="M27" i="37"/>
  <c r="J27" i="37"/>
  <c r="G27" i="37"/>
  <c r="D27" i="37"/>
  <c r="X26" i="37"/>
  <c r="W26" i="37"/>
  <c r="V26" i="37"/>
  <c r="U26" i="37"/>
  <c r="P26" i="37"/>
  <c r="M26" i="37"/>
  <c r="J26" i="37"/>
  <c r="G26" i="37"/>
  <c r="D26" i="37"/>
  <c r="X25" i="37"/>
  <c r="W25" i="37"/>
  <c r="V25" i="37"/>
  <c r="U25" i="37"/>
  <c r="P25" i="37"/>
  <c r="M25" i="37"/>
  <c r="J25" i="37"/>
  <c r="G25" i="37"/>
  <c r="D25" i="37"/>
  <c r="X24" i="37"/>
  <c r="W24" i="37"/>
  <c r="V24" i="37"/>
  <c r="U24" i="37"/>
  <c r="P24" i="37"/>
  <c r="M24" i="37"/>
  <c r="J24" i="37"/>
  <c r="G24" i="37"/>
  <c r="D24" i="37"/>
  <c r="X23" i="37"/>
  <c r="W23" i="37"/>
  <c r="V23" i="37"/>
  <c r="U23" i="37"/>
  <c r="P23" i="37"/>
  <c r="M23" i="37"/>
  <c r="J23" i="37"/>
  <c r="G23" i="37"/>
  <c r="D23" i="37"/>
  <c r="U22" i="37"/>
  <c r="V22" i="37" s="1"/>
  <c r="P22" i="37"/>
  <c r="G22" i="37"/>
  <c r="D22" i="37"/>
  <c r="U21" i="37"/>
  <c r="V21" i="37" s="1"/>
  <c r="P21" i="37"/>
  <c r="G21" i="37"/>
  <c r="D21" i="37"/>
  <c r="M21" i="37" s="1"/>
  <c r="U20" i="37"/>
  <c r="V20" i="37" s="1"/>
  <c r="G20" i="37"/>
  <c r="D20" i="37"/>
  <c r="M20" i="37" s="1"/>
  <c r="U18" i="37"/>
  <c r="V18" i="37" s="1"/>
  <c r="G18" i="37"/>
  <c r="U17" i="37"/>
  <c r="V17" i="37" s="1"/>
  <c r="P17" i="37"/>
  <c r="D17" i="37"/>
  <c r="M17" i="37" s="1"/>
  <c r="U14" i="37"/>
  <c r="V14" i="37" s="1"/>
  <c r="G14" i="37"/>
  <c r="D14" i="37"/>
  <c r="M14" i="37" s="1"/>
  <c r="U13" i="37"/>
  <c r="V13" i="37" s="1"/>
  <c r="P13" i="37"/>
  <c r="G13" i="37"/>
  <c r="D13" i="37"/>
  <c r="U12" i="37"/>
  <c r="V12" i="37" s="1"/>
  <c r="G12" i="37"/>
  <c r="D12" i="37"/>
  <c r="U11" i="37"/>
  <c r="V11" i="37" s="1"/>
  <c r="P11" i="37"/>
  <c r="G11" i="37"/>
  <c r="D11" i="37"/>
  <c r="U10" i="37"/>
  <c r="Q38" i="37"/>
  <c r="D10" i="37"/>
  <c r="U9" i="37"/>
  <c r="V9" i="37" s="1"/>
  <c r="P9" i="37"/>
  <c r="G9" i="37"/>
  <c r="D9" i="37"/>
  <c r="U8" i="37"/>
  <c r="V8" i="37" s="1"/>
  <c r="D8" i="37"/>
  <c r="J8" i="37" s="1"/>
  <c r="M8" i="37" s="1"/>
  <c r="U7" i="37"/>
  <c r="O38" i="37"/>
  <c r="F34" i="27" s="1"/>
  <c r="U6" i="37"/>
  <c r="D6" i="37"/>
  <c r="J6" i="37" s="1"/>
  <c r="M6" i="37" s="1"/>
  <c r="U5" i="37"/>
  <c r="V5" i="37" s="1"/>
  <c r="D5" i="37"/>
  <c r="U4" i="37"/>
  <c r="V4" i="37" s="1"/>
  <c r="D4" i="37"/>
  <c r="J4" i="37" s="1"/>
  <c r="M4" i="37" s="1"/>
  <c r="U3" i="37"/>
  <c r="V3" i="37" s="1"/>
  <c r="I38" i="37"/>
  <c r="D3" i="37"/>
  <c r="J3" i="37" s="1"/>
  <c r="M3" i="37" s="1"/>
  <c r="M22" i="37" l="1"/>
  <c r="J22" i="37"/>
  <c r="X22" i="37"/>
  <c r="W22" i="37"/>
  <c r="M18" i="37"/>
  <c r="J18" i="37"/>
  <c r="X18" i="37"/>
  <c r="W18" i="37"/>
  <c r="X21" i="37"/>
  <c r="J17" i="37"/>
  <c r="J20" i="37"/>
  <c r="X14" i="37"/>
  <c r="J21" i="37"/>
  <c r="W21" i="37" s="1"/>
  <c r="J14" i="37"/>
  <c r="W14" i="37" s="1"/>
  <c r="J13" i="37"/>
  <c r="W13" i="37" s="1"/>
  <c r="M13" i="37"/>
  <c r="X13" i="37" s="1"/>
  <c r="M11" i="37"/>
  <c r="X11" i="37" s="1"/>
  <c r="W12" i="37"/>
  <c r="J5" i="37"/>
  <c r="M5" i="37" s="1"/>
  <c r="G38" i="40"/>
  <c r="D51" i="38"/>
  <c r="E51" i="38" s="1"/>
  <c r="X3" i="39"/>
  <c r="D51" i="37"/>
  <c r="E51" i="37" s="1"/>
  <c r="G38" i="37"/>
  <c r="D38" i="37"/>
  <c r="D38" i="40"/>
  <c r="P38" i="39"/>
  <c r="O38" i="40"/>
  <c r="V38" i="40"/>
  <c r="V38" i="39"/>
  <c r="D38" i="39"/>
  <c r="G38" i="39"/>
  <c r="H38" i="39"/>
  <c r="W3" i="39"/>
  <c r="X3" i="38"/>
  <c r="W3" i="38"/>
  <c r="D52" i="38"/>
  <c r="E52" i="38" s="1"/>
  <c r="D38" i="38"/>
  <c r="W6" i="37"/>
  <c r="X20" i="37"/>
  <c r="W20" i="37"/>
  <c r="X5" i="37"/>
  <c r="W5" i="37"/>
  <c r="X8" i="37"/>
  <c r="W8" i="37"/>
  <c r="X3" i="37"/>
  <c r="W3" i="37"/>
  <c r="X4" i="37"/>
  <c r="W4" i="37"/>
  <c r="X17" i="37"/>
  <c r="W17" i="37"/>
  <c r="L38" i="37"/>
  <c r="X6" i="37"/>
  <c r="J9" i="37"/>
  <c r="H38" i="37"/>
  <c r="X12" i="37"/>
  <c r="J11" i="37"/>
  <c r="W11" i="37" s="1"/>
  <c r="D52" i="37" l="1"/>
  <c r="E52" i="37" s="1"/>
  <c r="D52" i="40"/>
  <c r="E52" i="40" s="1"/>
  <c r="D51" i="39"/>
  <c r="E51" i="39" s="1"/>
  <c r="W9" i="37"/>
  <c r="M9" i="37"/>
  <c r="X9" i="37" s="1"/>
  <c r="J38" i="37"/>
  <c r="F4" i="27" s="1"/>
  <c r="J38" i="40"/>
  <c r="D49" i="40" s="1"/>
  <c r="E49" i="40" s="1"/>
  <c r="P38" i="40"/>
  <c r="M38" i="40"/>
  <c r="J38" i="39"/>
  <c r="D52" i="39"/>
  <c r="E52" i="39" s="1"/>
  <c r="M38" i="39"/>
  <c r="D49" i="38"/>
  <c r="E49" i="38" s="1"/>
  <c r="M38" i="38"/>
  <c r="M38" i="37"/>
  <c r="G12" i="35"/>
  <c r="F5" i="27" l="1"/>
  <c r="D49" i="37"/>
  <c r="E49" i="37" s="1"/>
  <c r="D51" i="40"/>
  <c r="E51" i="40" s="1"/>
  <c r="W38" i="40"/>
  <c r="D49" i="39"/>
  <c r="E49" i="39" s="1"/>
  <c r="W38" i="39"/>
  <c r="X38" i="37"/>
  <c r="D50" i="37"/>
  <c r="E50" i="37" s="1"/>
  <c r="D47" i="37"/>
  <c r="E47" i="37" s="1"/>
  <c r="X38" i="40"/>
  <c r="D50" i="40"/>
  <c r="E50" i="40" s="1"/>
  <c r="D47" i="40"/>
  <c r="E47" i="40" s="1"/>
  <c r="X38" i="38"/>
  <c r="D50" i="38"/>
  <c r="E50" i="38" s="1"/>
  <c r="X38" i="39"/>
  <c r="D50" i="39"/>
  <c r="E50" i="39" s="1"/>
  <c r="E4" i="27"/>
  <c r="E5" i="27" s="1"/>
  <c r="C4" i="27"/>
  <c r="D48" i="37" l="1"/>
  <c r="E48" i="37" s="1"/>
  <c r="D48" i="40"/>
  <c r="E48" i="40" s="1"/>
  <c r="D48" i="38"/>
  <c r="E48" i="38" s="1"/>
  <c r="D48" i="39"/>
  <c r="E48" i="39" s="1"/>
  <c r="X39" i="40"/>
  <c r="P41" i="40"/>
  <c r="D47" i="38"/>
  <c r="E47" i="38" s="1"/>
  <c r="P39" i="39"/>
  <c r="D47" i="39"/>
  <c r="E47" i="39" s="1"/>
  <c r="C5" i="27" l="1"/>
  <c r="D11" i="29"/>
  <c r="G11" i="29"/>
  <c r="D12" i="29"/>
  <c r="G12" i="29"/>
  <c r="J12" i="29" s="1"/>
  <c r="P12" i="29"/>
  <c r="D13" i="29"/>
  <c r="G13" i="29"/>
  <c r="M13" i="29" s="1"/>
  <c r="P13" i="29"/>
  <c r="D14" i="29"/>
  <c r="G14" i="29"/>
  <c r="J14" i="29" s="1"/>
  <c r="P14" i="29"/>
  <c r="D15" i="29"/>
  <c r="G15" i="29"/>
  <c r="M15" i="29" s="1"/>
  <c r="P15" i="29"/>
  <c r="D16" i="29"/>
  <c r="G16" i="29"/>
  <c r="J16" i="29"/>
  <c r="M16" i="29"/>
  <c r="P16" i="29"/>
  <c r="D17" i="29"/>
  <c r="J17" i="29"/>
  <c r="M17" i="29"/>
  <c r="D18" i="29"/>
  <c r="G18" i="29"/>
  <c r="D19" i="29"/>
  <c r="G19" i="29"/>
  <c r="P19" i="29"/>
  <c r="D20" i="29"/>
  <c r="P20" i="29"/>
  <c r="D21" i="29"/>
  <c r="P21" i="29"/>
  <c r="J19" i="29" l="1"/>
  <c r="M11" i="29"/>
  <c r="J11" i="29"/>
  <c r="D5" i="27"/>
  <c r="M12" i="29"/>
  <c r="J13" i="29"/>
  <c r="M14" i="29"/>
  <c r="J15" i="29"/>
  <c r="J18" i="29"/>
  <c r="M18" i="29"/>
  <c r="M19" i="29"/>
  <c r="J21" i="29"/>
  <c r="J20" i="29"/>
  <c r="M20" i="29"/>
  <c r="M21" i="29"/>
  <c r="P39" i="28" l="1"/>
  <c r="P6" i="34" l="1"/>
  <c r="D22" i="33" l="1"/>
  <c r="G22" i="33"/>
  <c r="J22" i="33"/>
  <c r="M22" i="33"/>
  <c r="P22" i="33"/>
  <c r="U22" i="33"/>
  <c r="V22" i="33" s="1"/>
  <c r="W22" i="33" l="1"/>
  <c r="X22" i="33"/>
  <c r="D16" i="33"/>
  <c r="G16" i="33"/>
  <c r="P16" i="33"/>
  <c r="U16" i="33"/>
  <c r="V16" i="33"/>
  <c r="J16" i="33" l="1"/>
  <c r="W16" i="33"/>
  <c r="M16" i="33"/>
  <c r="X16" i="33" s="1"/>
  <c r="D8" i="33" l="1"/>
  <c r="G8" i="33"/>
  <c r="J8" i="33"/>
  <c r="M8" i="33"/>
  <c r="P8" i="33"/>
  <c r="U8" i="33"/>
  <c r="V8" i="33" s="1"/>
  <c r="D7" i="33"/>
  <c r="G7" i="33"/>
  <c r="M7" i="33"/>
  <c r="P7" i="33"/>
  <c r="U7" i="33"/>
  <c r="V7" i="33"/>
  <c r="J7" i="33" l="1"/>
  <c r="X8" i="33"/>
  <c r="W8" i="33"/>
  <c r="X7" i="33"/>
  <c r="W7" i="33"/>
  <c r="G10" i="33"/>
  <c r="D10" i="33"/>
  <c r="M10" i="33" l="1"/>
  <c r="P11" i="32"/>
  <c r="P10" i="32"/>
  <c r="D4" i="31"/>
  <c r="C50" i="35" l="1"/>
  <c r="N38" i="35"/>
  <c r="L38" i="35"/>
  <c r="K38" i="35"/>
  <c r="F38" i="35"/>
  <c r="E38" i="35"/>
  <c r="X37" i="35"/>
  <c r="W37" i="35"/>
  <c r="V37" i="35"/>
  <c r="U37" i="35"/>
  <c r="P37" i="35"/>
  <c r="M37" i="35"/>
  <c r="J37" i="35"/>
  <c r="G37" i="35"/>
  <c r="D37" i="35"/>
  <c r="X36" i="35"/>
  <c r="W36" i="35"/>
  <c r="V36" i="35"/>
  <c r="U36" i="35"/>
  <c r="P36" i="35"/>
  <c r="M36" i="35"/>
  <c r="J36" i="35"/>
  <c r="G36" i="35"/>
  <c r="D36" i="35"/>
  <c r="X35" i="35"/>
  <c r="W35" i="35"/>
  <c r="V35" i="35"/>
  <c r="U35" i="35"/>
  <c r="P35" i="35"/>
  <c r="M35" i="35"/>
  <c r="J35" i="35"/>
  <c r="G35" i="35"/>
  <c r="D35" i="35"/>
  <c r="X34" i="35"/>
  <c r="W34" i="35"/>
  <c r="V34" i="35"/>
  <c r="U34" i="35"/>
  <c r="P34" i="35"/>
  <c r="M34" i="35"/>
  <c r="J34" i="35"/>
  <c r="G34" i="35"/>
  <c r="D34" i="35"/>
  <c r="X33" i="35"/>
  <c r="W33" i="35"/>
  <c r="V33" i="35"/>
  <c r="U33" i="35"/>
  <c r="P33" i="35"/>
  <c r="M33" i="35"/>
  <c r="J33" i="35"/>
  <c r="G33" i="35"/>
  <c r="D33" i="35"/>
  <c r="X32" i="35"/>
  <c r="W32" i="35"/>
  <c r="V32" i="35"/>
  <c r="U32" i="35"/>
  <c r="P32" i="35"/>
  <c r="M32" i="35"/>
  <c r="J32" i="35"/>
  <c r="G32" i="35"/>
  <c r="D32" i="35"/>
  <c r="X31" i="35"/>
  <c r="W31" i="35"/>
  <c r="V31" i="35"/>
  <c r="U31" i="35"/>
  <c r="P31" i="35"/>
  <c r="M31" i="35"/>
  <c r="J31" i="35"/>
  <c r="G31" i="35"/>
  <c r="D31" i="35"/>
  <c r="X30" i="35"/>
  <c r="W30" i="35"/>
  <c r="V30" i="35"/>
  <c r="U30" i="35"/>
  <c r="P30" i="35"/>
  <c r="M30" i="35"/>
  <c r="J30" i="35"/>
  <c r="G30" i="35"/>
  <c r="D30" i="35"/>
  <c r="X29" i="35"/>
  <c r="W29" i="35"/>
  <c r="V29" i="35"/>
  <c r="U29" i="35"/>
  <c r="P29" i="35"/>
  <c r="M29" i="35"/>
  <c r="J29" i="35"/>
  <c r="G29" i="35"/>
  <c r="D29" i="35"/>
  <c r="X28" i="35"/>
  <c r="W28" i="35"/>
  <c r="V28" i="35"/>
  <c r="U28" i="35"/>
  <c r="P28" i="35"/>
  <c r="M28" i="35"/>
  <c r="J28" i="35"/>
  <c r="G28" i="35"/>
  <c r="D28" i="35"/>
  <c r="U27" i="35"/>
  <c r="V27" i="35" s="1"/>
  <c r="P27" i="35"/>
  <c r="G27" i="35"/>
  <c r="D27" i="35"/>
  <c r="U26" i="35"/>
  <c r="V26" i="35" s="1"/>
  <c r="P26" i="35"/>
  <c r="G26" i="35"/>
  <c r="D26" i="35"/>
  <c r="U25" i="35"/>
  <c r="V25" i="35" s="1"/>
  <c r="P25" i="35"/>
  <c r="G25" i="35"/>
  <c r="D25" i="35"/>
  <c r="M25" i="35" s="1"/>
  <c r="U24" i="35"/>
  <c r="V24" i="35" s="1"/>
  <c r="P24" i="35"/>
  <c r="G24" i="35"/>
  <c r="D24" i="35"/>
  <c r="M24" i="35" s="1"/>
  <c r="U23" i="35"/>
  <c r="V23" i="35" s="1"/>
  <c r="P23" i="35"/>
  <c r="G23" i="35"/>
  <c r="D23" i="35"/>
  <c r="M23" i="35" s="1"/>
  <c r="U22" i="35"/>
  <c r="V22" i="35" s="1"/>
  <c r="P22" i="35"/>
  <c r="D22" i="35"/>
  <c r="J22" i="35" s="1"/>
  <c r="W22" i="35" s="1"/>
  <c r="U21" i="35"/>
  <c r="V21" i="35" s="1"/>
  <c r="P21" i="35"/>
  <c r="G21" i="35"/>
  <c r="D21" i="35"/>
  <c r="U20" i="35"/>
  <c r="V20" i="35" s="1"/>
  <c r="P20" i="35"/>
  <c r="G20" i="35"/>
  <c r="D20" i="35"/>
  <c r="M20" i="35" s="1"/>
  <c r="U19" i="35"/>
  <c r="V19" i="35" s="1"/>
  <c r="P19" i="35"/>
  <c r="G19" i="35"/>
  <c r="D19" i="35"/>
  <c r="M19" i="35" s="1"/>
  <c r="U18" i="35"/>
  <c r="V18" i="35" s="1"/>
  <c r="P18" i="35"/>
  <c r="G18" i="35"/>
  <c r="D18" i="35"/>
  <c r="U17" i="35"/>
  <c r="V17" i="35" s="1"/>
  <c r="P17" i="35"/>
  <c r="G17" i="35"/>
  <c r="D17" i="35"/>
  <c r="U16" i="35"/>
  <c r="V16" i="35" s="1"/>
  <c r="P16" i="35"/>
  <c r="G16" i="35"/>
  <c r="D16" i="35"/>
  <c r="U15" i="35"/>
  <c r="V15" i="35" s="1"/>
  <c r="P15" i="35"/>
  <c r="G15" i="35"/>
  <c r="D15" i="35"/>
  <c r="J15" i="35" s="1"/>
  <c r="U13" i="35"/>
  <c r="V13" i="35" s="1"/>
  <c r="P13" i="35"/>
  <c r="G13" i="35"/>
  <c r="D13" i="35"/>
  <c r="M13" i="35" s="1"/>
  <c r="V12" i="35"/>
  <c r="P12" i="35"/>
  <c r="D12" i="35"/>
  <c r="M12" i="35" s="1"/>
  <c r="V11" i="35"/>
  <c r="P11" i="35"/>
  <c r="G11" i="35"/>
  <c r="D11" i="35"/>
  <c r="V10" i="35"/>
  <c r="P10" i="35"/>
  <c r="D10" i="35"/>
  <c r="V9" i="35"/>
  <c r="P9" i="35"/>
  <c r="G9" i="35"/>
  <c r="D9" i="35"/>
  <c r="V8" i="35"/>
  <c r="P8" i="35"/>
  <c r="G8" i="35"/>
  <c r="D8" i="35"/>
  <c r="V7" i="35"/>
  <c r="P7" i="35"/>
  <c r="G7" i="35"/>
  <c r="D7" i="35"/>
  <c r="V6" i="35"/>
  <c r="P6" i="35"/>
  <c r="D6" i="35"/>
  <c r="Q38" i="35"/>
  <c r="I38" i="35"/>
  <c r="H38" i="35"/>
  <c r="C50" i="34"/>
  <c r="N38" i="34"/>
  <c r="L38" i="34"/>
  <c r="K38" i="34"/>
  <c r="F38" i="34"/>
  <c r="E38" i="34"/>
  <c r="X37" i="34"/>
  <c r="W37" i="34"/>
  <c r="V37" i="34"/>
  <c r="U37" i="34"/>
  <c r="P37" i="34"/>
  <c r="M37" i="34"/>
  <c r="J37" i="34"/>
  <c r="G37" i="34"/>
  <c r="D37" i="34"/>
  <c r="X36" i="34"/>
  <c r="W36" i="34"/>
  <c r="V36" i="34"/>
  <c r="U36" i="34"/>
  <c r="P36" i="34"/>
  <c r="M36" i="34"/>
  <c r="J36" i="34"/>
  <c r="G36" i="34"/>
  <c r="D36" i="34"/>
  <c r="X35" i="34"/>
  <c r="W35" i="34"/>
  <c r="V35" i="34"/>
  <c r="U35" i="34"/>
  <c r="P35" i="34"/>
  <c r="M35" i="34"/>
  <c r="J35" i="34"/>
  <c r="G35" i="34"/>
  <c r="D35" i="34"/>
  <c r="X34" i="34"/>
  <c r="W34" i="34"/>
  <c r="V34" i="34"/>
  <c r="U34" i="34"/>
  <c r="P34" i="34"/>
  <c r="M34" i="34"/>
  <c r="J34" i="34"/>
  <c r="G34" i="34"/>
  <c r="D34" i="34"/>
  <c r="X33" i="34"/>
  <c r="W33" i="34"/>
  <c r="V33" i="34"/>
  <c r="U33" i="34"/>
  <c r="P33" i="34"/>
  <c r="M33" i="34"/>
  <c r="J33" i="34"/>
  <c r="G33" i="34"/>
  <c r="D33" i="34"/>
  <c r="X32" i="34"/>
  <c r="W32" i="34"/>
  <c r="V32" i="34"/>
  <c r="U32" i="34"/>
  <c r="P32" i="34"/>
  <c r="M32" i="34"/>
  <c r="J32" i="34"/>
  <c r="G32" i="34"/>
  <c r="D32" i="34"/>
  <c r="X31" i="34"/>
  <c r="W31" i="34"/>
  <c r="V31" i="34"/>
  <c r="U31" i="34"/>
  <c r="P31" i="34"/>
  <c r="M31" i="34"/>
  <c r="J31" i="34"/>
  <c r="G31" i="34"/>
  <c r="D31" i="34"/>
  <c r="X30" i="34"/>
  <c r="W30" i="34"/>
  <c r="V30" i="34"/>
  <c r="U30" i="34"/>
  <c r="P30" i="34"/>
  <c r="M30" i="34"/>
  <c r="J30" i="34"/>
  <c r="G30" i="34"/>
  <c r="D30" i="34"/>
  <c r="X29" i="34"/>
  <c r="W29" i="34"/>
  <c r="V29" i="34"/>
  <c r="U29" i="34"/>
  <c r="P29" i="34"/>
  <c r="M29" i="34"/>
  <c r="J29" i="34"/>
  <c r="G29" i="34"/>
  <c r="D29" i="34"/>
  <c r="X28" i="34"/>
  <c r="W28" i="34"/>
  <c r="V28" i="34"/>
  <c r="U28" i="34"/>
  <c r="P28" i="34"/>
  <c r="M28" i="34"/>
  <c r="J28" i="34"/>
  <c r="G28" i="34"/>
  <c r="D28" i="34"/>
  <c r="X27" i="34"/>
  <c r="W27" i="34"/>
  <c r="V27" i="34"/>
  <c r="U27" i="34"/>
  <c r="P27" i="34"/>
  <c r="M27" i="34"/>
  <c r="J27" i="34"/>
  <c r="G27" i="34"/>
  <c r="D27" i="34"/>
  <c r="X26" i="34"/>
  <c r="W26" i="34"/>
  <c r="V26" i="34"/>
  <c r="U26" i="34"/>
  <c r="P26" i="34"/>
  <c r="M26" i="34"/>
  <c r="J26" i="34"/>
  <c r="G26" i="34"/>
  <c r="D26" i="34"/>
  <c r="U25" i="34"/>
  <c r="V25" i="34" s="1"/>
  <c r="P25" i="34"/>
  <c r="G25" i="34"/>
  <c r="D25" i="34"/>
  <c r="U24" i="34"/>
  <c r="V24" i="34" s="1"/>
  <c r="P24" i="34"/>
  <c r="G24" i="34"/>
  <c r="D24" i="34"/>
  <c r="U23" i="34"/>
  <c r="V23" i="34" s="1"/>
  <c r="P23" i="34"/>
  <c r="G23" i="34"/>
  <c r="D23" i="34"/>
  <c r="U22" i="34"/>
  <c r="V22" i="34" s="1"/>
  <c r="P22" i="34"/>
  <c r="G22" i="34"/>
  <c r="J22" i="34" s="1"/>
  <c r="D22" i="34"/>
  <c r="U21" i="34"/>
  <c r="V21" i="34" s="1"/>
  <c r="P21" i="34"/>
  <c r="G21" i="34"/>
  <c r="D21" i="34"/>
  <c r="U20" i="34"/>
  <c r="V20" i="34" s="1"/>
  <c r="P20" i="34"/>
  <c r="G20" i="34"/>
  <c r="D20" i="34"/>
  <c r="J20" i="34" s="1"/>
  <c r="U19" i="34"/>
  <c r="V19" i="34" s="1"/>
  <c r="P19" i="34"/>
  <c r="G19" i="34"/>
  <c r="D19" i="34"/>
  <c r="U18" i="34"/>
  <c r="V18" i="34" s="1"/>
  <c r="P18" i="34"/>
  <c r="G18" i="34"/>
  <c r="D18" i="34"/>
  <c r="M18" i="34" s="1"/>
  <c r="U17" i="34"/>
  <c r="V17" i="34" s="1"/>
  <c r="P17" i="34"/>
  <c r="G17" i="34"/>
  <c r="D17" i="34"/>
  <c r="U16" i="34"/>
  <c r="V16" i="34" s="1"/>
  <c r="P16" i="34"/>
  <c r="D16" i="34"/>
  <c r="U10" i="34"/>
  <c r="V10" i="34" s="1"/>
  <c r="P10" i="34"/>
  <c r="G10" i="34"/>
  <c r="D10" i="34"/>
  <c r="U6" i="34"/>
  <c r="V6" i="34" s="1"/>
  <c r="G6" i="34"/>
  <c r="D6" i="34"/>
  <c r="J6" i="34" s="1"/>
  <c r="U5" i="34"/>
  <c r="V5" i="34" s="1"/>
  <c r="P5" i="34"/>
  <c r="G5" i="34"/>
  <c r="D5" i="34"/>
  <c r="U4" i="34"/>
  <c r="V4" i="34" s="1"/>
  <c r="G4" i="34"/>
  <c r="D4" i="34"/>
  <c r="Q38" i="34"/>
  <c r="I38" i="34"/>
  <c r="H38" i="34"/>
  <c r="C50" i="33"/>
  <c r="N38" i="33"/>
  <c r="L38" i="33"/>
  <c r="K38" i="33"/>
  <c r="F38" i="33"/>
  <c r="E38" i="33"/>
  <c r="X37" i="33"/>
  <c r="W37" i="33"/>
  <c r="V37" i="33"/>
  <c r="U37" i="33"/>
  <c r="P37" i="33"/>
  <c r="M37" i="33"/>
  <c r="J37" i="33"/>
  <c r="G37" i="33"/>
  <c r="D37" i="33"/>
  <c r="X36" i="33"/>
  <c r="W36" i="33"/>
  <c r="V36" i="33"/>
  <c r="U36" i="33"/>
  <c r="P36" i="33"/>
  <c r="M36" i="33"/>
  <c r="J36" i="33"/>
  <c r="G36" i="33"/>
  <c r="D36" i="33"/>
  <c r="X35" i="33"/>
  <c r="W35" i="33"/>
  <c r="V35" i="33"/>
  <c r="U35" i="33"/>
  <c r="P35" i="33"/>
  <c r="M35" i="33"/>
  <c r="J35" i="33"/>
  <c r="G35" i="33"/>
  <c r="D35" i="33"/>
  <c r="X34" i="33"/>
  <c r="W34" i="33"/>
  <c r="V34" i="33"/>
  <c r="U34" i="33"/>
  <c r="P34" i="33"/>
  <c r="M34" i="33"/>
  <c r="J34" i="33"/>
  <c r="G34" i="33"/>
  <c r="D34" i="33"/>
  <c r="X33" i="33"/>
  <c r="W33" i="33"/>
  <c r="V33" i="33"/>
  <c r="U33" i="33"/>
  <c r="P33" i="33"/>
  <c r="M33" i="33"/>
  <c r="J33" i="33"/>
  <c r="G33" i="33"/>
  <c r="D33" i="33"/>
  <c r="X32" i="33"/>
  <c r="W32" i="33"/>
  <c r="V32" i="33"/>
  <c r="U32" i="33"/>
  <c r="P32" i="33"/>
  <c r="M32" i="33"/>
  <c r="J32" i="33"/>
  <c r="G32" i="33"/>
  <c r="D32" i="33"/>
  <c r="X31" i="33"/>
  <c r="W31" i="33"/>
  <c r="V31" i="33"/>
  <c r="U31" i="33"/>
  <c r="P31" i="33"/>
  <c r="M31" i="33"/>
  <c r="J31" i="33"/>
  <c r="G31" i="33"/>
  <c r="D31" i="33"/>
  <c r="X30" i="33"/>
  <c r="W30" i="33"/>
  <c r="V30" i="33"/>
  <c r="U30" i="33"/>
  <c r="P30" i="33"/>
  <c r="M30" i="33"/>
  <c r="J30" i="33"/>
  <c r="G30" i="33"/>
  <c r="D30" i="33"/>
  <c r="X29" i="33"/>
  <c r="W29" i="33"/>
  <c r="V29" i="33"/>
  <c r="U29" i="33"/>
  <c r="P29" i="33"/>
  <c r="M29" i="33"/>
  <c r="J29" i="33"/>
  <c r="G29" i="33"/>
  <c r="D29" i="33"/>
  <c r="X28" i="33"/>
  <c r="W28" i="33"/>
  <c r="V28" i="33"/>
  <c r="U28" i="33"/>
  <c r="P28" i="33"/>
  <c r="M28" i="33"/>
  <c r="J28" i="33"/>
  <c r="G28" i="33"/>
  <c r="D28" i="33"/>
  <c r="X27" i="33"/>
  <c r="W27" i="33"/>
  <c r="V27" i="33"/>
  <c r="U27" i="33"/>
  <c r="P27" i="33"/>
  <c r="M27" i="33"/>
  <c r="J27" i="33"/>
  <c r="G27" i="33"/>
  <c r="D27" i="33"/>
  <c r="U26" i="33"/>
  <c r="V26" i="33" s="1"/>
  <c r="P26" i="33"/>
  <c r="G26" i="33"/>
  <c r="D26" i="33"/>
  <c r="M26" i="33" s="1"/>
  <c r="U25" i="33"/>
  <c r="V25" i="33" s="1"/>
  <c r="P25" i="33"/>
  <c r="G25" i="33"/>
  <c r="D25" i="33"/>
  <c r="U24" i="33"/>
  <c r="V24" i="33" s="1"/>
  <c r="G24" i="33"/>
  <c r="U23" i="33"/>
  <c r="V23" i="33" s="1"/>
  <c r="P23" i="33"/>
  <c r="G23" i="33"/>
  <c r="D23" i="33"/>
  <c r="U21" i="33"/>
  <c r="V21" i="33" s="1"/>
  <c r="P21" i="33"/>
  <c r="G21" i="33"/>
  <c r="D21" i="33"/>
  <c r="U20" i="33"/>
  <c r="V20" i="33" s="1"/>
  <c r="P20" i="33"/>
  <c r="G20" i="33"/>
  <c r="D20" i="33"/>
  <c r="J20" i="33" s="1"/>
  <c r="U19" i="33"/>
  <c r="V19" i="33" s="1"/>
  <c r="P19" i="33"/>
  <c r="G19" i="33"/>
  <c r="D19" i="33"/>
  <c r="U18" i="33"/>
  <c r="V18" i="33" s="1"/>
  <c r="P18" i="33"/>
  <c r="G18" i="33"/>
  <c r="D18" i="33"/>
  <c r="J18" i="33" s="1"/>
  <c r="U17" i="33"/>
  <c r="V17" i="33" s="1"/>
  <c r="P17" i="33"/>
  <c r="G17" i="33"/>
  <c r="D17" i="33"/>
  <c r="U15" i="33"/>
  <c r="V15" i="33" s="1"/>
  <c r="P15" i="33"/>
  <c r="G15" i="33"/>
  <c r="D15" i="33"/>
  <c r="U14" i="33"/>
  <c r="V14" i="33" s="1"/>
  <c r="P14" i="33"/>
  <c r="G14" i="33"/>
  <c r="D14" i="33"/>
  <c r="J14" i="33" s="1"/>
  <c r="U13" i="33"/>
  <c r="V13" i="33" s="1"/>
  <c r="P13" i="33"/>
  <c r="G13" i="33"/>
  <c r="D13" i="33"/>
  <c r="J13" i="33" s="1"/>
  <c r="U12" i="33"/>
  <c r="V12" i="33" s="1"/>
  <c r="P12" i="33"/>
  <c r="G12" i="33"/>
  <c r="D12" i="33"/>
  <c r="U11" i="33"/>
  <c r="V11" i="33" s="1"/>
  <c r="G11" i="33"/>
  <c r="D11" i="33"/>
  <c r="U10" i="33"/>
  <c r="V10" i="33" s="1"/>
  <c r="P10" i="33"/>
  <c r="J10" i="33"/>
  <c r="U9" i="33"/>
  <c r="V9" i="33" s="1"/>
  <c r="P9" i="33"/>
  <c r="G9" i="33"/>
  <c r="D9" i="33"/>
  <c r="U5" i="33"/>
  <c r="V5" i="33" s="1"/>
  <c r="P5" i="33"/>
  <c r="G5" i="33"/>
  <c r="D5" i="33"/>
  <c r="U4" i="33"/>
  <c r="V4" i="33" s="1"/>
  <c r="P4" i="33"/>
  <c r="G4" i="33"/>
  <c r="D4" i="33"/>
  <c r="U3" i="33"/>
  <c r="Q38" i="33"/>
  <c r="P3" i="33"/>
  <c r="I38" i="33"/>
  <c r="H38" i="33"/>
  <c r="G3" i="33"/>
  <c r="D3" i="33"/>
  <c r="C50" i="32"/>
  <c r="N38" i="32"/>
  <c r="L38" i="32"/>
  <c r="K38" i="32"/>
  <c r="F38" i="32"/>
  <c r="E38" i="32"/>
  <c r="X37" i="32"/>
  <c r="W37" i="32"/>
  <c r="V37" i="32"/>
  <c r="U37" i="32"/>
  <c r="P37" i="32"/>
  <c r="M37" i="32"/>
  <c r="J37" i="32"/>
  <c r="G37" i="32"/>
  <c r="D37" i="32"/>
  <c r="X36" i="32"/>
  <c r="W36" i="32"/>
  <c r="V36" i="32"/>
  <c r="U36" i="32"/>
  <c r="P36" i="32"/>
  <c r="M36" i="32"/>
  <c r="J36" i="32"/>
  <c r="G36" i="32"/>
  <c r="D36" i="32"/>
  <c r="X35" i="32"/>
  <c r="W35" i="32"/>
  <c r="V35" i="32"/>
  <c r="U35" i="32"/>
  <c r="P35" i="32"/>
  <c r="M35" i="32"/>
  <c r="J35" i="32"/>
  <c r="G35" i="32"/>
  <c r="D35" i="32"/>
  <c r="X34" i="32"/>
  <c r="W34" i="32"/>
  <c r="V34" i="32"/>
  <c r="U34" i="32"/>
  <c r="P34" i="32"/>
  <c r="M34" i="32"/>
  <c r="J34" i="32"/>
  <c r="G34" i="32"/>
  <c r="D34" i="32"/>
  <c r="X33" i="32"/>
  <c r="W33" i="32"/>
  <c r="V33" i="32"/>
  <c r="U33" i="32"/>
  <c r="P33" i="32"/>
  <c r="M33" i="32"/>
  <c r="J33" i="32"/>
  <c r="G33" i="32"/>
  <c r="D33" i="32"/>
  <c r="X32" i="32"/>
  <c r="W32" i="32"/>
  <c r="V32" i="32"/>
  <c r="U32" i="32"/>
  <c r="P32" i="32"/>
  <c r="M32" i="32"/>
  <c r="J32" i="32"/>
  <c r="G32" i="32"/>
  <c r="D32" i="32"/>
  <c r="X31" i="32"/>
  <c r="W31" i="32"/>
  <c r="V31" i="32"/>
  <c r="U31" i="32"/>
  <c r="P31" i="32"/>
  <c r="M31" i="32"/>
  <c r="J31" i="32"/>
  <c r="G31" i="32"/>
  <c r="D31" i="32"/>
  <c r="X30" i="32"/>
  <c r="W30" i="32"/>
  <c r="V30" i="32"/>
  <c r="U30" i="32"/>
  <c r="P30" i="32"/>
  <c r="M30" i="32"/>
  <c r="J30" i="32"/>
  <c r="G30" i="32"/>
  <c r="D30" i="32"/>
  <c r="X29" i="32"/>
  <c r="W29" i="32"/>
  <c r="V29" i="32"/>
  <c r="U29" i="32"/>
  <c r="P29" i="32"/>
  <c r="M29" i="32"/>
  <c r="J29" i="32"/>
  <c r="G29" i="32"/>
  <c r="D29" i="32"/>
  <c r="X28" i="32"/>
  <c r="W28" i="32"/>
  <c r="V28" i="32"/>
  <c r="U28" i="32"/>
  <c r="P28" i="32"/>
  <c r="M28" i="32"/>
  <c r="J28" i="32"/>
  <c r="G28" i="32"/>
  <c r="D28" i="32"/>
  <c r="X27" i="32"/>
  <c r="W27" i="32"/>
  <c r="V27" i="32"/>
  <c r="U27" i="32"/>
  <c r="P27" i="32"/>
  <c r="M27" i="32"/>
  <c r="J27" i="32"/>
  <c r="G27" i="32"/>
  <c r="D27" i="32"/>
  <c r="X26" i="32"/>
  <c r="W26" i="32"/>
  <c r="V26" i="32"/>
  <c r="U26" i="32"/>
  <c r="P26" i="32"/>
  <c r="M26" i="32"/>
  <c r="J26" i="32"/>
  <c r="G26" i="32"/>
  <c r="D26" i="32"/>
  <c r="X25" i="32"/>
  <c r="W25" i="32"/>
  <c r="V25" i="32"/>
  <c r="U25" i="32"/>
  <c r="P25" i="32"/>
  <c r="M25" i="32"/>
  <c r="J25" i="32"/>
  <c r="G25" i="32"/>
  <c r="D25" i="32"/>
  <c r="X24" i="32"/>
  <c r="W24" i="32"/>
  <c r="V24" i="32"/>
  <c r="U24" i="32"/>
  <c r="P24" i="32"/>
  <c r="M24" i="32"/>
  <c r="J24" i="32"/>
  <c r="G24" i="32"/>
  <c r="D24" i="32"/>
  <c r="U23" i="32"/>
  <c r="V23" i="32" s="1"/>
  <c r="P23" i="32"/>
  <c r="G23" i="32"/>
  <c r="D23" i="32"/>
  <c r="U22" i="32"/>
  <c r="V22" i="32" s="1"/>
  <c r="G22" i="32"/>
  <c r="D22" i="32"/>
  <c r="J22" i="32" s="1"/>
  <c r="U21" i="32"/>
  <c r="V21" i="32" s="1"/>
  <c r="G21" i="32"/>
  <c r="D21" i="32"/>
  <c r="U20" i="32"/>
  <c r="V20" i="32" s="1"/>
  <c r="P20" i="32"/>
  <c r="G20" i="32"/>
  <c r="D20" i="32"/>
  <c r="U19" i="32"/>
  <c r="V19" i="32" s="1"/>
  <c r="G19" i="32"/>
  <c r="D19" i="32"/>
  <c r="J19" i="32" s="1"/>
  <c r="U18" i="32"/>
  <c r="V18" i="32" s="1"/>
  <c r="P18" i="32"/>
  <c r="G18" i="32"/>
  <c r="D18" i="32"/>
  <c r="U17" i="32"/>
  <c r="V17" i="32" s="1"/>
  <c r="P17" i="32"/>
  <c r="G17" i="32"/>
  <c r="D17" i="32"/>
  <c r="U16" i="32"/>
  <c r="V16" i="32" s="1"/>
  <c r="P16" i="32"/>
  <c r="G16" i="32"/>
  <c r="D16" i="32"/>
  <c r="U15" i="32"/>
  <c r="V15" i="32" s="1"/>
  <c r="P15" i="32"/>
  <c r="G15" i="32"/>
  <c r="D15" i="32"/>
  <c r="U14" i="32"/>
  <c r="V14" i="32" s="1"/>
  <c r="P14" i="32"/>
  <c r="G14" i="32"/>
  <c r="D14" i="32"/>
  <c r="U13" i="32"/>
  <c r="V13" i="32" s="1"/>
  <c r="P13" i="32"/>
  <c r="G13" i="32"/>
  <c r="D13" i="32"/>
  <c r="U11" i="32"/>
  <c r="V11" i="32" s="1"/>
  <c r="G11" i="32"/>
  <c r="D11" i="32"/>
  <c r="U10" i="32"/>
  <c r="V10" i="32" s="1"/>
  <c r="G10" i="32"/>
  <c r="D10" i="32"/>
  <c r="U9" i="32"/>
  <c r="V9" i="32" s="1"/>
  <c r="G9" i="32"/>
  <c r="D9" i="32"/>
  <c r="U8" i="32"/>
  <c r="V8" i="32" s="1"/>
  <c r="P8" i="32"/>
  <c r="G8" i="32"/>
  <c r="D8" i="32"/>
  <c r="U6" i="32"/>
  <c r="V6" i="32" s="1"/>
  <c r="P6" i="32"/>
  <c r="X6" i="32" s="1"/>
  <c r="G6" i="32"/>
  <c r="Q38" i="32"/>
  <c r="O38" i="32"/>
  <c r="I38" i="32"/>
  <c r="H38" i="32"/>
  <c r="N38" i="31"/>
  <c r="L38" i="31"/>
  <c r="K38" i="31"/>
  <c r="F38" i="31"/>
  <c r="E38" i="31"/>
  <c r="X36" i="31"/>
  <c r="W36" i="31"/>
  <c r="V36" i="31"/>
  <c r="U36" i="31"/>
  <c r="P36" i="31"/>
  <c r="M36" i="31"/>
  <c r="J36" i="31"/>
  <c r="G36" i="31"/>
  <c r="D36" i="31"/>
  <c r="X35" i="31"/>
  <c r="W35" i="31"/>
  <c r="V35" i="31"/>
  <c r="U35" i="31"/>
  <c r="P35" i="31"/>
  <c r="M35" i="31"/>
  <c r="J35" i="31"/>
  <c r="G35" i="31"/>
  <c r="D35" i="31"/>
  <c r="X34" i="31"/>
  <c r="W34" i="31"/>
  <c r="V34" i="31"/>
  <c r="U34" i="31"/>
  <c r="P34" i="31"/>
  <c r="M34" i="31"/>
  <c r="J34" i="31"/>
  <c r="G34" i="31"/>
  <c r="D34" i="31"/>
  <c r="X33" i="31"/>
  <c r="W33" i="31"/>
  <c r="V33" i="31"/>
  <c r="U33" i="31"/>
  <c r="P33" i="31"/>
  <c r="M33" i="31"/>
  <c r="J33" i="31"/>
  <c r="G33" i="31"/>
  <c r="D33" i="31"/>
  <c r="X32" i="31"/>
  <c r="W32" i="31"/>
  <c r="V32" i="31"/>
  <c r="U32" i="31"/>
  <c r="P32" i="31"/>
  <c r="M32" i="31"/>
  <c r="J32" i="31"/>
  <c r="G32" i="31"/>
  <c r="D32" i="31"/>
  <c r="X31" i="31"/>
  <c r="W31" i="31"/>
  <c r="V31" i="31"/>
  <c r="U31" i="31"/>
  <c r="P31" i="31"/>
  <c r="M31" i="31"/>
  <c r="J31" i="31"/>
  <c r="G31" i="31"/>
  <c r="D31" i="31"/>
  <c r="X30" i="31"/>
  <c r="W30" i="31"/>
  <c r="V30" i="31"/>
  <c r="U30" i="31"/>
  <c r="P30" i="31"/>
  <c r="M30" i="31"/>
  <c r="J30" i="31"/>
  <c r="G30" i="31"/>
  <c r="D30" i="31"/>
  <c r="X29" i="31"/>
  <c r="W29" i="31"/>
  <c r="V29" i="31"/>
  <c r="U29" i="31"/>
  <c r="P29" i="31"/>
  <c r="M29" i="31"/>
  <c r="J29" i="31"/>
  <c r="G29" i="31"/>
  <c r="D29" i="31"/>
  <c r="X28" i="31"/>
  <c r="W28" i="31"/>
  <c r="V28" i="31"/>
  <c r="U28" i="31"/>
  <c r="P28" i="31"/>
  <c r="M28" i="31"/>
  <c r="J28" i="31"/>
  <c r="G28" i="31"/>
  <c r="D28" i="31"/>
  <c r="X27" i="31"/>
  <c r="W27" i="31"/>
  <c r="V27" i="31"/>
  <c r="U27" i="31"/>
  <c r="P27" i="31"/>
  <c r="M27" i="31"/>
  <c r="J27" i="31"/>
  <c r="G27" i="31"/>
  <c r="D27" i="31"/>
  <c r="X26" i="31"/>
  <c r="W26" i="31"/>
  <c r="V26" i="31"/>
  <c r="U26" i="31"/>
  <c r="P26" i="31"/>
  <c r="M26" i="31"/>
  <c r="J26" i="31"/>
  <c r="G26" i="31"/>
  <c r="D26" i="31"/>
  <c r="X25" i="31"/>
  <c r="W25" i="31"/>
  <c r="V25" i="31"/>
  <c r="U25" i="31"/>
  <c r="P25" i="31"/>
  <c r="M25" i="31"/>
  <c r="J25" i="31"/>
  <c r="G25" i="31"/>
  <c r="D25" i="31"/>
  <c r="X24" i="31"/>
  <c r="W24" i="31"/>
  <c r="V24" i="31"/>
  <c r="U24" i="31"/>
  <c r="P24" i="31"/>
  <c r="M24" i="31"/>
  <c r="J24" i="31"/>
  <c r="G24" i="31"/>
  <c r="D24" i="31"/>
  <c r="X23" i="31"/>
  <c r="W23" i="31"/>
  <c r="V23" i="31"/>
  <c r="U23" i="31"/>
  <c r="P23" i="31"/>
  <c r="M23" i="31"/>
  <c r="J23" i="31"/>
  <c r="G23" i="31"/>
  <c r="D23" i="31"/>
  <c r="X22" i="31"/>
  <c r="W22" i="31"/>
  <c r="V22" i="31"/>
  <c r="U22" i="31"/>
  <c r="P22" i="31"/>
  <c r="M22" i="31"/>
  <c r="J22" i="31"/>
  <c r="G22" i="31"/>
  <c r="D22" i="31"/>
  <c r="U20" i="31"/>
  <c r="V20" i="31" s="1"/>
  <c r="P20" i="31"/>
  <c r="G20" i="31"/>
  <c r="D20" i="31"/>
  <c r="U19" i="31"/>
  <c r="V19" i="31" s="1"/>
  <c r="P19" i="31"/>
  <c r="G19" i="31"/>
  <c r="D19" i="31"/>
  <c r="U18" i="31"/>
  <c r="V18" i="31" s="1"/>
  <c r="P18" i="31"/>
  <c r="G18" i="31"/>
  <c r="D18" i="31"/>
  <c r="U17" i="31"/>
  <c r="P17" i="31"/>
  <c r="G17" i="31"/>
  <c r="D17" i="31"/>
  <c r="U16" i="31"/>
  <c r="V16" i="31" s="1"/>
  <c r="P16" i="31"/>
  <c r="G16" i="31"/>
  <c r="D16" i="31"/>
  <c r="U37" i="31"/>
  <c r="V37" i="31" s="1"/>
  <c r="P37" i="31"/>
  <c r="G37" i="31"/>
  <c r="D37" i="31"/>
  <c r="U5" i="31"/>
  <c r="V5" i="31" s="1"/>
  <c r="P5" i="31"/>
  <c r="G5" i="31"/>
  <c r="D5" i="31"/>
  <c r="U4" i="31"/>
  <c r="V4" i="31" s="1"/>
  <c r="G4" i="31"/>
  <c r="U3" i="31"/>
  <c r="Q38" i="31"/>
  <c r="I38" i="31"/>
  <c r="H38" i="31"/>
  <c r="G3" i="31"/>
  <c r="D3" i="31"/>
  <c r="N38" i="30"/>
  <c r="L38" i="30"/>
  <c r="K38" i="30"/>
  <c r="F38" i="30"/>
  <c r="E38" i="30"/>
  <c r="X37" i="30"/>
  <c r="W37" i="30"/>
  <c r="V37" i="30"/>
  <c r="U37" i="30"/>
  <c r="P37" i="30"/>
  <c r="M37" i="30"/>
  <c r="J37" i="30"/>
  <c r="G37" i="30"/>
  <c r="D37" i="30"/>
  <c r="X36" i="30"/>
  <c r="W36" i="30"/>
  <c r="V36" i="30"/>
  <c r="U36" i="30"/>
  <c r="P36" i="30"/>
  <c r="M36" i="30"/>
  <c r="J36" i="30"/>
  <c r="G36" i="30"/>
  <c r="D36" i="30"/>
  <c r="X35" i="30"/>
  <c r="W35" i="30"/>
  <c r="V35" i="30"/>
  <c r="U35" i="30"/>
  <c r="P35" i="30"/>
  <c r="M35" i="30"/>
  <c r="J35" i="30"/>
  <c r="G35" i="30"/>
  <c r="D35" i="30"/>
  <c r="X34" i="30"/>
  <c r="W34" i="30"/>
  <c r="V34" i="30"/>
  <c r="U34" i="30"/>
  <c r="P34" i="30"/>
  <c r="M34" i="30"/>
  <c r="J34" i="30"/>
  <c r="G34" i="30"/>
  <c r="D34" i="30"/>
  <c r="X33" i="30"/>
  <c r="W33" i="30"/>
  <c r="V33" i="30"/>
  <c r="U33" i="30"/>
  <c r="P33" i="30"/>
  <c r="M33" i="30"/>
  <c r="J33" i="30"/>
  <c r="G33" i="30"/>
  <c r="D33" i="30"/>
  <c r="X32" i="30"/>
  <c r="W32" i="30"/>
  <c r="V32" i="30"/>
  <c r="U32" i="30"/>
  <c r="P32" i="30"/>
  <c r="M32" i="30"/>
  <c r="J32" i="30"/>
  <c r="G32" i="30"/>
  <c r="D32" i="30"/>
  <c r="X31" i="30"/>
  <c r="W31" i="30"/>
  <c r="V31" i="30"/>
  <c r="U31" i="30"/>
  <c r="P31" i="30"/>
  <c r="M31" i="30"/>
  <c r="J31" i="30"/>
  <c r="G31" i="30"/>
  <c r="D31" i="30"/>
  <c r="X30" i="30"/>
  <c r="W30" i="30"/>
  <c r="V30" i="30"/>
  <c r="U30" i="30"/>
  <c r="P30" i="30"/>
  <c r="M30" i="30"/>
  <c r="J30" i="30"/>
  <c r="G30" i="30"/>
  <c r="D30" i="30"/>
  <c r="X29" i="30"/>
  <c r="W29" i="30"/>
  <c r="V29" i="30"/>
  <c r="U29" i="30"/>
  <c r="P29" i="30"/>
  <c r="M29" i="30"/>
  <c r="J29" i="30"/>
  <c r="G29" i="30"/>
  <c r="D29" i="30"/>
  <c r="X28" i="30"/>
  <c r="W28" i="30"/>
  <c r="V28" i="30"/>
  <c r="U28" i="30"/>
  <c r="P28" i="30"/>
  <c r="M28" i="30"/>
  <c r="J28" i="30"/>
  <c r="G28" i="30"/>
  <c r="D28" i="30"/>
  <c r="U27" i="30"/>
  <c r="P27" i="30"/>
  <c r="M27" i="30"/>
  <c r="J27" i="30"/>
  <c r="G27" i="30"/>
  <c r="D27" i="30"/>
  <c r="U26" i="30"/>
  <c r="P26" i="30"/>
  <c r="M26" i="30"/>
  <c r="J26" i="30"/>
  <c r="G26" i="30"/>
  <c r="D26" i="30"/>
  <c r="U25" i="30"/>
  <c r="V25" i="30" s="1"/>
  <c r="P25" i="30"/>
  <c r="G25" i="30"/>
  <c r="D25" i="30"/>
  <c r="U22" i="30"/>
  <c r="V22" i="30" s="1"/>
  <c r="P22" i="30"/>
  <c r="G22" i="30"/>
  <c r="D22" i="30"/>
  <c r="J22" i="30" s="1"/>
  <c r="U21" i="30"/>
  <c r="V21" i="30" s="1"/>
  <c r="P21" i="30"/>
  <c r="G21" i="30"/>
  <c r="D21" i="30"/>
  <c r="U20" i="30"/>
  <c r="V20" i="30" s="1"/>
  <c r="G20" i="30"/>
  <c r="D20" i="30"/>
  <c r="U19" i="30"/>
  <c r="V19" i="30" s="1"/>
  <c r="P19" i="30"/>
  <c r="G19" i="30"/>
  <c r="D19" i="30"/>
  <c r="U18" i="30"/>
  <c r="V18" i="30" s="1"/>
  <c r="G18" i="30"/>
  <c r="D18" i="30"/>
  <c r="U17" i="30"/>
  <c r="V17" i="30" s="1"/>
  <c r="P17" i="30"/>
  <c r="G17" i="30"/>
  <c r="D17" i="30"/>
  <c r="U16" i="30"/>
  <c r="V16" i="30" s="1"/>
  <c r="P16" i="30"/>
  <c r="G16" i="30"/>
  <c r="D16" i="30"/>
  <c r="U15" i="30"/>
  <c r="V15" i="30" s="1"/>
  <c r="P15" i="30"/>
  <c r="G15" i="30"/>
  <c r="D15" i="30"/>
  <c r="U14" i="30"/>
  <c r="V14" i="30" s="1"/>
  <c r="P14" i="30"/>
  <c r="G14" i="30"/>
  <c r="D14" i="30"/>
  <c r="U12" i="30"/>
  <c r="V12" i="30" s="1"/>
  <c r="G12" i="30"/>
  <c r="D12" i="30"/>
  <c r="U11" i="30"/>
  <c r="V11" i="30" s="1"/>
  <c r="G11" i="30"/>
  <c r="D11" i="30"/>
  <c r="U10" i="30"/>
  <c r="V10" i="30" s="1"/>
  <c r="P10" i="30"/>
  <c r="G10" i="30"/>
  <c r="D10" i="30"/>
  <c r="J10" i="30" s="1"/>
  <c r="U9" i="30"/>
  <c r="V9" i="30" s="1"/>
  <c r="P9" i="30"/>
  <c r="G9" i="30"/>
  <c r="D9" i="30"/>
  <c r="J9" i="30" s="1"/>
  <c r="U8" i="30"/>
  <c r="V8" i="30" s="1"/>
  <c r="P8" i="30"/>
  <c r="G8" i="30"/>
  <c r="D8" i="30"/>
  <c r="U7" i="30"/>
  <c r="V7" i="30" s="1"/>
  <c r="P7" i="30"/>
  <c r="G7" i="30"/>
  <c r="D7" i="30"/>
  <c r="U6" i="30"/>
  <c r="V6" i="30" s="1"/>
  <c r="P6" i="30"/>
  <c r="G6" i="30"/>
  <c r="D6" i="30"/>
  <c r="J6" i="30" s="1"/>
  <c r="U3" i="30"/>
  <c r="Q38" i="30"/>
  <c r="I38" i="30"/>
  <c r="H38" i="30"/>
  <c r="G3" i="30"/>
  <c r="D3" i="30"/>
  <c r="J3" i="30" s="1"/>
  <c r="N38" i="29"/>
  <c r="L38" i="29"/>
  <c r="K38" i="29"/>
  <c r="F38" i="29"/>
  <c r="E38" i="29"/>
  <c r="X37" i="29"/>
  <c r="W37" i="29"/>
  <c r="V37" i="29"/>
  <c r="U37" i="29"/>
  <c r="P37" i="29"/>
  <c r="M37" i="29"/>
  <c r="J37" i="29"/>
  <c r="G37" i="29"/>
  <c r="D37" i="29"/>
  <c r="X36" i="29"/>
  <c r="W36" i="29"/>
  <c r="V36" i="29"/>
  <c r="U36" i="29"/>
  <c r="P36" i="29"/>
  <c r="M36" i="29"/>
  <c r="J36" i="29"/>
  <c r="G36" i="29"/>
  <c r="D36" i="29"/>
  <c r="X35" i="29"/>
  <c r="W35" i="29"/>
  <c r="V35" i="29"/>
  <c r="U35" i="29"/>
  <c r="P35" i="29"/>
  <c r="M35" i="29"/>
  <c r="J35" i="29"/>
  <c r="G35" i="29"/>
  <c r="D35" i="29"/>
  <c r="X34" i="29"/>
  <c r="W34" i="29"/>
  <c r="V34" i="29"/>
  <c r="U34" i="29"/>
  <c r="P34" i="29"/>
  <c r="M34" i="29"/>
  <c r="J34" i="29"/>
  <c r="G34" i="29"/>
  <c r="D34" i="29"/>
  <c r="X33" i="29"/>
  <c r="W33" i="29"/>
  <c r="V33" i="29"/>
  <c r="U33" i="29"/>
  <c r="P33" i="29"/>
  <c r="M33" i="29"/>
  <c r="J33" i="29"/>
  <c r="G33" i="29"/>
  <c r="D33" i="29"/>
  <c r="X32" i="29"/>
  <c r="W32" i="29"/>
  <c r="V32" i="29"/>
  <c r="U32" i="29"/>
  <c r="P32" i="29"/>
  <c r="M32" i="29"/>
  <c r="J32" i="29"/>
  <c r="G32" i="29"/>
  <c r="D32" i="29"/>
  <c r="X31" i="29"/>
  <c r="W31" i="29"/>
  <c r="V31" i="29"/>
  <c r="U31" i="29"/>
  <c r="P31" i="29"/>
  <c r="M31" i="29"/>
  <c r="J31" i="29"/>
  <c r="G31" i="29"/>
  <c r="D31" i="29"/>
  <c r="X30" i="29"/>
  <c r="W30" i="29"/>
  <c r="V30" i="29"/>
  <c r="U30" i="29"/>
  <c r="P30" i="29"/>
  <c r="M30" i="29"/>
  <c r="J30" i="29"/>
  <c r="G30" i="29"/>
  <c r="D30" i="29"/>
  <c r="X29" i="29"/>
  <c r="W29" i="29"/>
  <c r="V29" i="29"/>
  <c r="U29" i="29"/>
  <c r="P29" i="29"/>
  <c r="M29" i="29"/>
  <c r="J29" i="29"/>
  <c r="G29" i="29"/>
  <c r="D29" i="29"/>
  <c r="X28" i="29"/>
  <c r="W28" i="29"/>
  <c r="V28" i="29"/>
  <c r="U28" i="29"/>
  <c r="P28" i="29"/>
  <c r="M28" i="29"/>
  <c r="J28" i="29"/>
  <c r="G28" i="29"/>
  <c r="D28" i="29"/>
  <c r="X27" i="29"/>
  <c r="W27" i="29"/>
  <c r="V27" i="29"/>
  <c r="U27" i="29"/>
  <c r="P27" i="29"/>
  <c r="M27" i="29"/>
  <c r="J27" i="29"/>
  <c r="G27" i="29"/>
  <c r="D27" i="29"/>
  <c r="X26" i="29"/>
  <c r="W26" i="29"/>
  <c r="V26" i="29"/>
  <c r="U26" i="29"/>
  <c r="P26" i="29"/>
  <c r="M26" i="29"/>
  <c r="J26" i="29"/>
  <c r="G26" i="29"/>
  <c r="D26" i="29"/>
  <c r="X25" i="29"/>
  <c r="W25" i="29"/>
  <c r="V25" i="29"/>
  <c r="U25" i="29"/>
  <c r="P25" i="29"/>
  <c r="M25" i="29"/>
  <c r="J25" i="29"/>
  <c r="G25" i="29"/>
  <c r="D25" i="29"/>
  <c r="X24" i="29"/>
  <c r="W24" i="29"/>
  <c r="V24" i="29"/>
  <c r="U24" i="29"/>
  <c r="P24" i="29"/>
  <c r="M24" i="29"/>
  <c r="J24" i="29"/>
  <c r="G24" i="29"/>
  <c r="D24" i="29"/>
  <c r="X23" i="29"/>
  <c r="W23" i="29"/>
  <c r="V23" i="29"/>
  <c r="U23" i="29"/>
  <c r="P23" i="29"/>
  <c r="M23" i="29"/>
  <c r="J23" i="29"/>
  <c r="G23" i="29"/>
  <c r="D23" i="29"/>
  <c r="X22" i="29"/>
  <c r="W22" i="29"/>
  <c r="V22" i="29"/>
  <c r="U22" i="29"/>
  <c r="P22" i="29"/>
  <c r="M22" i="29"/>
  <c r="J22" i="29"/>
  <c r="G22" i="29"/>
  <c r="D22" i="29"/>
  <c r="U21" i="29"/>
  <c r="V21" i="29" s="1"/>
  <c r="U20" i="29"/>
  <c r="V20" i="29" s="1"/>
  <c r="U19" i="29"/>
  <c r="V19" i="29" s="1"/>
  <c r="U18" i="29"/>
  <c r="V18" i="29" s="1"/>
  <c r="U17" i="29"/>
  <c r="V17" i="29" s="1"/>
  <c r="U16" i="29"/>
  <c r="V16" i="29" s="1"/>
  <c r="U15" i="29"/>
  <c r="V15" i="29" s="1"/>
  <c r="U14" i="29"/>
  <c r="V14" i="29" s="1"/>
  <c r="U13" i="29"/>
  <c r="V13" i="29" s="1"/>
  <c r="U12" i="29"/>
  <c r="V12" i="29" s="1"/>
  <c r="U11" i="29"/>
  <c r="V11" i="29" s="1"/>
  <c r="G10" i="29"/>
  <c r="D10" i="29"/>
  <c r="U8" i="29"/>
  <c r="V8" i="29" s="1"/>
  <c r="G8" i="29"/>
  <c r="D8" i="29"/>
  <c r="U7" i="29"/>
  <c r="V7" i="29" s="1"/>
  <c r="P7" i="29"/>
  <c r="G7" i="29"/>
  <c r="D7" i="29"/>
  <c r="U6" i="29"/>
  <c r="V6" i="29" s="1"/>
  <c r="G6" i="29"/>
  <c r="D6" i="29"/>
  <c r="U5" i="29"/>
  <c r="V5" i="29" s="1"/>
  <c r="G5" i="29"/>
  <c r="D5" i="29"/>
  <c r="U4" i="29"/>
  <c r="V4" i="29" s="1"/>
  <c r="P4" i="29"/>
  <c r="G4" i="29"/>
  <c r="D4" i="29"/>
  <c r="U3" i="29"/>
  <c r="Q38" i="29"/>
  <c r="P3" i="29"/>
  <c r="I38" i="29"/>
  <c r="H38" i="29"/>
  <c r="D3" i="29"/>
  <c r="J3" i="29" s="1"/>
  <c r="N38" i="28"/>
  <c r="L38" i="28"/>
  <c r="K38" i="28"/>
  <c r="F38" i="28"/>
  <c r="E38" i="28"/>
  <c r="X37" i="28"/>
  <c r="W37" i="28"/>
  <c r="V37" i="28"/>
  <c r="U37" i="28"/>
  <c r="P37" i="28"/>
  <c r="M37" i="28"/>
  <c r="J37" i="28"/>
  <c r="G37" i="28"/>
  <c r="D37" i="28"/>
  <c r="X36" i="28"/>
  <c r="W36" i="28"/>
  <c r="V36" i="28"/>
  <c r="U36" i="28"/>
  <c r="P36" i="28"/>
  <c r="M36" i="28"/>
  <c r="J36" i="28"/>
  <c r="G36" i="28"/>
  <c r="D36" i="28"/>
  <c r="X35" i="28"/>
  <c r="W35" i="28"/>
  <c r="V35" i="28"/>
  <c r="U35" i="28"/>
  <c r="P35" i="28"/>
  <c r="M35" i="28"/>
  <c r="J35" i="28"/>
  <c r="G35" i="28"/>
  <c r="D35" i="28"/>
  <c r="X34" i="28"/>
  <c r="W34" i="28"/>
  <c r="V34" i="28"/>
  <c r="U34" i="28"/>
  <c r="P34" i="28"/>
  <c r="M34" i="28"/>
  <c r="J34" i="28"/>
  <c r="G34" i="28"/>
  <c r="D34" i="28"/>
  <c r="X33" i="28"/>
  <c r="W33" i="28"/>
  <c r="V33" i="28"/>
  <c r="U33" i="28"/>
  <c r="P33" i="28"/>
  <c r="M33" i="28"/>
  <c r="J33" i="28"/>
  <c r="G33" i="28"/>
  <c r="D33" i="28"/>
  <c r="X32" i="28"/>
  <c r="W32" i="28"/>
  <c r="V32" i="28"/>
  <c r="U32" i="28"/>
  <c r="P32" i="28"/>
  <c r="M32" i="28"/>
  <c r="J32" i="28"/>
  <c r="G32" i="28"/>
  <c r="D32" i="28"/>
  <c r="X31" i="28"/>
  <c r="W31" i="28"/>
  <c r="V31" i="28"/>
  <c r="U31" i="28"/>
  <c r="P31" i="28"/>
  <c r="M31" i="28"/>
  <c r="J31" i="28"/>
  <c r="G31" i="28"/>
  <c r="D31" i="28"/>
  <c r="X30" i="28"/>
  <c r="W30" i="28"/>
  <c r="V30" i="28"/>
  <c r="U30" i="28"/>
  <c r="P30" i="28"/>
  <c r="M30" i="28"/>
  <c r="J30" i="28"/>
  <c r="G30" i="28"/>
  <c r="D30" i="28"/>
  <c r="X27" i="28"/>
  <c r="W27" i="28"/>
  <c r="V27" i="28"/>
  <c r="U27" i="28"/>
  <c r="P27" i="28"/>
  <c r="M27" i="28"/>
  <c r="J27" i="28"/>
  <c r="G27" i="28"/>
  <c r="D27" i="28"/>
  <c r="X26" i="28"/>
  <c r="W26" i="28"/>
  <c r="V26" i="28"/>
  <c r="U26" i="28"/>
  <c r="P26" i="28"/>
  <c r="M26" i="28"/>
  <c r="J26" i="28"/>
  <c r="G26" i="28"/>
  <c r="D26" i="28"/>
  <c r="X25" i="28"/>
  <c r="W25" i="28"/>
  <c r="V25" i="28"/>
  <c r="U25" i="28"/>
  <c r="P25" i="28"/>
  <c r="M25" i="28"/>
  <c r="J25" i="28"/>
  <c r="G25" i="28"/>
  <c r="D25" i="28"/>
  <c r="X24" i="28"/>
  <c r="W24" i="28"/>
  <c r="V24" i="28"/>
  <c r="U24" i="28"/>
  <c r="P24" i="28"/>
  <c r="M24" i="28"/>
  <c r="J24" i="28"/>
  <c r="G24" i="28"/>
  <c r="D24" i="28"/>
  <c r="X23" i="28"/>
  <c r="W23" i="28"/>
  <c r="V23" i="28"/>
  <c r="U23" i="28"/>
  <c r="P23" i="28"/>
  <c r="M23" i="28"/>
  <c r="J23" i="28"/>
  <c r="G23" i="28"/>
  <c r="D23" i="28"/>
  <c r="U16" i="28"/>
  <c r="V16" i="28" s="1"/>
  <c r="P16" i="28"/>
  <c r="G16" i="28"/>
  <c r="D16" i="28"/>
  <c r="J16" i="28" s="1"/>
  <c r="U15" i="28"/>
  <c r="V15" i="28" s="1"/>
  <c r="P15" i="28"/>
  <c r="G15" i="28"/>
  <c r="D15" i="28"/>
  <c r="U14" i="28"/>
  <c r="V14" i="28" s="1"/>
  <c r="P14" i="28"/>
  <c r="G14" i="28"/>
  <c r="D14" i="28"/>
  <c r="M14" i="28" s="1"/>
  <c r="U13" i="28"/>
  <c r="V13" i="28" s="1"/>
  <c r="P13" i="28"/>
  <c r="D13" i="28"/>
  <c r="U12" i="28"/>
  <c r="V12" i="28" s="1"/>
  <c r="G12" i="28"/>
  <c r="D12" i="28"/>
  <c r="U11" i="28"/>
  <c r="V11" i="28" s="1"/>
  <c r="P11" i="28"/>
  <c r="D11" i="28"/>
  <c r="J11" i="28" s="1"/>
  <c r="U10" i="28"/>
  <c r="V10" i="28" s="1"/>
  <c r="P10" i="28"/>
  <c r="G10" i="28"/>
  <c r="D10" i="28"/>
  <c r="M10" i="28" s="1"/>
  <c r="U9" i="28"/>
  <c r="V9" i="28" s="1"/>
  <c r="P9" i="28"/>
  <c r="G9" i="28"/>
  <c r="D9" i="28"/>
  <c r="M9" i="28" s="1"/>
  <c r="U8" i="28"/>
  <c r="V8" i="28" s="1"/>
  <c r="P8" i="28"/>
  <c r="G8" i="28"/>
  <c r="D8" i="28"/>
  <c r="U7" i="28"/>
  <c r="V7" i="28" s="1"/>
  <c r="P7" i="28"/>
  <c r="G7" i="28"/>
  <c r="M7" i="28" s="1"/>
  <c r="U6" i="28"/>
  <c r="V6" i="28" s="1"/>
  <c r="P6" i="28"/>
  <c r="G6" i="28"/>
  <c r="D6" i="28"/>
  <c r="U5" i="28"/>
  <c r="V5" i="28" s="1"/>
  <c r="P5" i="28"/>
  <c r="G5" i="28"/>
  <c r="D5" i="28"/>
  <c r="U4" i="28"/>
  <c r="V4" i="28" s="1"/>
  <c r="P4" i="28"/>
  <c r="G4" i="28"/>
  <c r="D4" i="28"/>
  <c r="Q38" i="28"/>
  <c r="I38" i="28"/>
  <c r="H38" i="28"/>
  <c r="M11" i="33" l="1"/>
  <c r="J6" i="32"/>
  <c r="W6" i="32" s="1"/>
  <c r="M25" i="30"/>
  <c r="J25" i="30"/>
  <c r="W25" i="30"/>
  <c r="X25" i="30"/>
  <c r="J24" i="33"/>
  <c r="M24" i="33"/>
  <c r="W22" i="30"/>
  <c r="M27" i="35"/>
  <c r="J27" i="35"/>
  <c r="X27" i="35"/>
  <c r="W27" i="35"/>
  <c r="M26" i="35"/>
  <c r="J26" i="35"/>
  <c r="X26" i="35"/>
  <c r="W26" i="35"/>
  <c r="J24" i="35"/>
  <c r="X23" i="35"/>
  <c r="M21" i="35"/>
  <c r="J21" i="35"/>
  <c r="J18" i="35"/>
  <c r="M18" i="35"/>
  <c r="J17" i="35"/>
  <c r="M17" i="35"/>
  <c r="M16" i="35"/>
  <c r="J16" i="35"/>
  <c r="M15" i="35"/>
  <c r="J16" i="34"/>
  <c r="W24" i="33"/>
  <c r="X24" i="33"/>
  <c r="J5" i="33"/>
  <c r="J4" i="33"/>
  <c r="M23" i="32"/>
  <c r="J23" i="32"/>
  <c r="X23" i="32"/>
  <c r="W23" i="32"/>
  <c r="M22" i="32"/>
  <c r="X22" i="32" s="1"/>
  <c r="W22" i="32"/>
  <c r="W38" i="32" s="1"/>
  <c r="M21" i="32"/>
  <c r="J21" i="32"/>
  <c r="X21" i="32"/>
  <c r="W21" i="32"/>
  <c r="W10" i="30"/>
  <c r="W6" i="30"/>
  <c r="W11" i="29"/>
  <c r="X11" i="29"/>
  <c r="M10" i="29"/>
  <c r="X10" i="29" s="1"/>
  <c r="J10" i="29"/>
  <c r="W10" i="29" s="1"/>
  <c r="M5" i="29"/>
  <c r="M8" i="28"/>
  <c r="J3" i="31"/>
  <c r="X19" i="35"/>
  <c r="X20" i="35"/>
  <c r="X24" i="35"/>
  <c r="X16" i="35"/>
  <c r="W16" i="35"/>
  <c r="X21" i="35"/>
  <c r="X25" i="35"/>
  <c r="X17" i="35"/>
  <c r="W17" i="35"/>
  <c r="X15" i="35"/>
  <c r="W15" i="35"/>
  <c r="X18" i="35"/>
  <c r="W18" i="35"/>
  <c r="J11" i="35"/>
  <c r="W11" i="35" s="1"/>
  <c r="M22" i="35"/>
  <c r="X22" i="35" s="1"/>
  <c r="J20" i="35"/>
  <c r="W20" i="35" s="1"/>
  <c r="W24" i="35"/>
  <c r="J25" i="35"/>
  <c r="M8" i="35"/>
  <c r="J23" i="35"/>
  <c r="W25" i="35"/>
  <c r="J19" i="35"/>
  <c r="W19" i="35" s="1"/>
  <c r="W23" i="35"/>
  <c r="W21" i="35"/>
  <c r="J9" i="35"/>
  <c r="W9" i="35" s="1"/>
  <c r="M7" i="35"/>
  <c r="X7" i="35" s="1"/>
  <c r="X13" i="35"/>
  <c r="X12" i="35"/>
  <c r="M11" i="35"/>
  <c r="X11" i="35" s="1"/>
  <c r="J12" i="35"/>
  <c r="W12" i="35" s="1"/>
  <c r="J13" i="35"/>
  <c r="W13" i="35" s="1"/>
  <c r="J10" i="35"/>
  <c r="W10" i="35" s="1"/>
  <c r="J6" i="35"/>
  <c r="W6" i="35" s="1"/>
  <c r="M10" i="35"/>
  <c r="X10" i="35" s="1"/>
  <c r="J8" i="35"/>
  <c r="W8" i="35" s="1"/>
  <c r="M9" i="35"/>
  <c r="X9" i="35" s="1"/>
  <c r="X8" i="35"/>
  <c r="J7" i="35"/>
  <c r="W7" i="35" s="1"/>
  <c r="M6" i="35"/>
  <c r="X6" i="35" s="1"/>
  <c r="M19" i="34"/>
  <c r="J25" i="34"/>
  <c r="W25" i="34" s="1"/>
  <c r="M24" i="34"/>
  <c r="X24" i="34" s="1"/>
  <c r="J23" i="34"/>
  <c r="W23" i="34" s="1"/>
  <c r="M25" i="34"/>
  <c r="X25" i="34" s="1"/>
  <c r="J24" i="34"/>
  <c r="W24" i="34" s="1"/>
  <c r="M23" i="34"/>
  <c r="X23" i="34" s="1"/>
  <c r="M22" i="34"/>
  <c r="X22" i="34" s="1"/>
  <c r="W22" i="34"/>
  <c r="J21" i="34"/>
  <c r="W21" i="34" s="1"/>
  <c r="M21" i="34"/>
  <c r="X21" i="34" s="1"/>
  <c r="W20" i="34"/>
  <c r="M20" i="34"/>
  <c r="X20" i="34" s="1"/>
  <c r="X18" i="34"/>
  <c r="J19" i="34"/>
  <c r="W19" i="34" s="1"/>
  <c r="J18" i="34"/>
  <c r="W18" i="34" s="1"/>
  <c r="X19" i="34"/>
  <c r="M17" i="34"/>
  <c r="X17" i="34" s="1"/>
  <c r="J17" i="34"/>
  <c r="W17" i="34" s="1"/>
  <c r="M16" i="34"/>
  <c r="X16" i="34" s="1"/>
  <c r="W16" i="34"/>
  <c r="M17" i="32"/>
  <c r="X17" i="32" s="1"/>
  <c r="X21" i="29"/>
  <c r="W21" i="29"/>
  <c r="M10" i="34"/>
  <c r="X10" i="34" s="1"/>
  <c r="J10" i="34"/>
  <c r="W10" i="34" s="1"/>
  <c r="M6" i="34"/>
  <c r="X6" i="34" s="1"/>
  <c r="W6" i="34"/>
  <c r="M5" i="34"/>
  <c r="X5" i="34" s="1"/>
  <c r="J5" i="34"/>
  <c r="W5" i="34" s="1"/>
  <c r="M4" i="34"/>
  <c r="X4" i="34" s="1"/>
  <c r="G38" i="34"/>
  <c r="J4" i="34"/>
  <c r="W4" i="34" s="1"/>
  <c r="X26" i="33"/>
  <c r="J26" i="33"/>
  <c r="W26" i="33" s="1"/>
  <c r="M25" i="33"/>
  <c r="X25" i="33" s="1"/>
  <c r="J25" i="33"/>
  <c r="W25" i="33" s="1"/>
  <c r="J23" i="33"/>
  <c r="W23" i="33" s="1"/>
  <c r="M23" i="33"/>
  <c r="X23" i="33" s="1"/>
  <c r="M21" i="33"/>
  <c r="X21" i="33" s="1"/>
  <c r="J21" i="33"/>
  <c r="W21" i="33" s="1"/>
  <c r="J17" i="33"/>
  <c r="W17" i="33" s="1"/>
  <c r="M20" i="33"/>
  <c r="X20" i="33" s="1"/>
  <c r="W20" i="33"/>
  <c r="M19" i="33"/>
  <c r="X19" i="33" s="1"/>
  <c r="J19" i="33"/>
  <c r="W19" i="33" s="1"/>
  <c r="W18" i="33"/>
  <c r="M18" i="33"/>
  <c r="X18" i="33" s="1"/>
  <c r="M17" i="33"/>
  <c r="X17" i="33" s="1"/>
  <c r="J15" i="33"/>
  <c r="W15" i="33" s="1"/>
  <c r="M15" i="33"/>
  <c r="X15" i="33" s="1"/>
  <c r="M14" i="33"/>
  <c r="X14" i="33" s="1"/>
  <c r="W14" i="33"/>
  <c r="M13" i="33"/>
  <c r="X13" i="33" s="1"/>
  <c r="W13" i="33"/>
  <c r="M12" i="33"/>
  <c r="X12" i="33" s="1"/>
  <c r="J12" i="33"/>
  <c r="W12" i="33" s="1"/>
  <c r="J11" i="32"/>
  <c r="W11" i="32" s="1"/>
  <c r="M11" i="32"/>
  <c r="X11" i="32" s="1"/>
  <c r="G38" i="32"/>
  <c r="X11" i="33"/>
  <c r="J11" i="33"/>
  <c r="W11" i="33" s="1"/>
  <c r="X10" i="33"/>
  <c r="W10" i="33"/>
  <c r="M9" i="33"/>
  <c r="X9" i="33" s="1"/>
  <c r="J9" i="33"/>
  <c r="W9" i="33" s="1"/>
  <c r="M20" i="32"/>
  <c r="X20" i="32" s="1"/>
  <c r="J20" i="32"/>
  <c r="W20" i="32" s="1"/>
  <c r="W19" i="32"/>
  <c r="M19" i="32"/>
  <c r="X19" i="32" s="1"/>
  <c r="M18" i="32"/>
  <c r="X18" i="32" s="1"/>
  <c r="J18" i="32"/>
  <c r="W18" i="32" s="1"/>
  <c r="J17" i="32"/>
  <c r="W17" i="32" s="1"/>
  <c r="M16" i="32"/>
  <c r="X16" i="32" s="1"/>
  <c r="P38" i="32"/>
  <c r="D49" i="32" s="1"/>
  <c r="E49" i="32" s="1"/>
  <c r="J16" i="32"/>
  <c r="W16" i="32" s="1"/>
  <c r="M5" i="33"/>
  <c r="X5" i="33" s="1"/>
  <c r="W5" i="33"/>
  <c r="J3" i="33"/>
  <c r="M4" i="33"/>
  <c r="X4" i="33" s="1"/>
  <c r="W4" i="33"/>
  <c r="M15" i="32"/>
  <c r="X15" i="32" s="1"/>
  <c r="J15" i="32"/>
  <c r="W15" i="32" s="1"/>
  <c r="M14" i="32"/>
  <c r="X14" i="32" s="1"/>
  <c r="J14" i="32"/>
  <c r="W14" i="32" s="1"/>
  <c r="M13" i="32"/>
  <c r="X13" i="32" s="1"/>
  <c r="J13" i="32"/>
  <c r="W13" i="32" s="1"/>
  <c r="M10" i="32"/>
  <c r="X10" i="32" s="1"/>
  <c r="J10" i="32"/>
  <c r="W10" i="32" s="1"/>
  <c r="M9" i="32"/>
  <c r="X9" i="32" s="1"/>
  <c r="J9" i="32"/>
  <c r="W9" i="32" s="1"/>
  <c r="M8" i="32"/>
  <c r="X8" i="32" s="1"/>
  <c r="J8" i="32"/>
  <c r="W8" i="32" s="1"/>
  <c r="M20" i="31"/>
  <c r="X20" i="31" s="1"/>
  <c r="J20" i="31"/>
  <c r="W20" i="31"/>
  <c r="M19" i="31"/>
  <c r="J19" i="31"/>
  <c r="X19" i="31"/>
  <c r="W19" i="31"/>
  <c r="M18" i="31"/>
  <c r="X18" i="31" s="1"/>
  <c r="J18" i="31"/>
  <c r="W18" i="31" s="1"/>
  <c r="M17" i="31"/>
  <c r="X17" i="31" s="1"/>
  <c r="J17" i="31"/>
  <c r="W17" i="31" s="1"/>
  <c r="M16" i="31"/>
  <c r="J16" i="31"/>
  <c r="W16" i="31" s="1"/>
  <c r="X16" i="31"/>
  <c r="M37" i="31"/>
  <c r="X37" i="31" s="1"/>
  <c r="W37" i="31"/>
  <c r="J5" i="31"/>
  <c r="W5" i="31" s="1"/>
  <c r="M5" i="31"/>
  <c r="X5" i="31" s="1"/>
  <c r="J4" i="31"/>
  <c r="M4" i="31"/>
  <c r="X4" i="31" s="1"/>
  <c r="W4" i="31"/>
  <c r="M22" i="30"/>
  <c r="X22" i="30" s="1"/>
  <c r="M21" i="30"/>
  <c r="X21" i="30" s="1"/>
  <c r="J21" i="30"/>
  <c r="W21" i="30" s="1"/>
  <c r="M20" i="30"/>
  <c r="J20" i="30"/>
  <c r="W20" i="30" s="1"/>
  <c r="X20" i="30"/>
  <c r="M19" i="30"/>
  <c r="X19" i="30" s="1"/>
  <c r="J19" i="30"/>
  <c r="W19" i="30"/>
  <c r="M18" i="30"/>
  <c r="X18" i="30" s="1"/>
  <c r="J18" i="30"/>
  <c r="W18" i="30"/>
  <c r="M17" i="30"/>
  <c r="X17" i="30" s="1"/>
  <c r="J17" i="30"/>
  <c r="W17" i="30"/>
  <c r="M16" i="30"/>
  <c r="J16" i="30"/>
  <c r="W16" i="30" s="1"/>
  <c r="X16" i="30"/>
  <c r="M15" i="30"/>
  <c r="J15" i="30"/>
  <c r="X15" i="30"/>
  <c r="W15" i="30"/>
  <c r="M14" i="30"/>
  <c r="J14" i="30"/>
  <c r="W14" i="30" s="1"/>
  <c r="X14" i="30"/>
  <c r="M12" i="30"/>
  <c r="X12" i="30" s="1"/>
  <c r="J12" i="30"/>
  <c r="W12" i="30"/>
  <c r="M11" i="30"/>
  <c r="X11" i="30" s="1"/>
  <c r="J11" i="30"/>
  <c r="W11" i="30"/>
  <c r="M10" i="30"/>
  <c r="X10" i="30" s="1"/>
  <c r="M9" i="30"/>
  <c r="X9" i="30" s="1"/>
  <c r="W9" i="30"/>
  <c r="M8" i="30"/>
  <c r="X8" i="30" s="1"/>
  <c r="J8" i="30"/>
  <c r="W8" i="30" s="1"/>
  <c r="M7" i="30"/>
  <c r="X7" i="30" s="1"/>
  <c r="J7" i="30"/>
  <c r="W7" i="30" s="1"/>
  <c r="M6" i="30"/>
  <c r="X6" i="30" s="1"/>
  <c r="X20" i="29"/>
  <c r="W20" i="29"/>
  <c r="X19" i="29"/>
  <c r="W19" i="29"/>
  <c r="X18" i="29"/>
  <c r="W18" i="29"/>
  <c r="X17" i="29"/>
  <c r="W17" i="29"/>
  <c r="X16" i="29"/>
  <c r="W16" i="29"/>
  <c r="X15" i="29"/>
  <c r="W15" i="29"/>
  <c r="X14" i="29"/>
  <c r="W14" i="29"/>
  <c r="X13" i="29"/>
  <c r="W13" i="29"/>
  <c r="X12" i="29"/>
  <c r="W12" i="29"/>
  <c r="M8" i="29"/>
  <c r="J8" i="29"/>
  <c r="X8" i="29"/>
  <c r="W8" i="29"/>
  <c r="M7" i="29"/>
  <c r="J7" i="29"/>
  <c r="X7" i="29"/>
  <c r="W7" i="29"/>
  <c r="J5" i="29"/>
  <c r="M6" i="29"/>
  <c r="J6" i="29"/>
  <c r="X6" i="29"/>
  <c r="W6" i="29"/>
  <c r="W5" i="29"/>
  <c r="X5" i="29"/>
  <c r="M4" i="29"/>
  <c r="X4" i="29" s="1"/>
  <c r="J4" i="29"/>
  <c r="W4" i="29" s="1"/>
  <c r="M16" i="28"/>
  <c r="X16" i="28" s="1"/>
  <c r="M15" i="28"/>
  <c r="X15" i="28" s="1"/>
  <c r="W16" i="28"/>
  <c r="J15" i="28"/>
  <c r="W15" i="28" s="1"/>
  <c r="X14" i="28"/>
  <c r="J14" i="28"/>
  <c r="W14" i="28" s="1"/>
  <c r="M13" i="28"/>
  <c r="X13" i="28" s="1"/>
  <c r="M12" i="28"/>
  <c r="X12" i="28" s="1"/>
  <c r="J13" i="28"/>
  <c r="W13" i="28" s="1"/>
  <c r="J12" i="28"/>
  <c r="W12" i="28" s="1"/>
  <c r="X10" i="28"/>
  <c r="J10" i="28"/>
  <c r="W10" i="28" s="1"/>
  <c r="W11" i="28"/>
  <c r="M11" i="28"/>
  <c r="X11" i="28" s="1"/>
  <c r="X9" i="28"/>
  <c r="J9" i="28"/>
  <c r="W9" i="28" s="1"/>
  <c r="X8" i="28"/>
  <c r="J8" i="28"/>
  <c r="W8" i="28"/>
  <c r="J7" i="28"/>
  <c r="W7" i="28" s="1"/>
  <c r="X7" i="28"/>
  <c r="M6" i="28"/>
  <c r="X6" i="28" s="1"/>
  <c r="J6" i="28"/>
  <c r="W6" i="28" s="1"/>
  <c r="G38" i="28"/>
  <c r="M5" i="28"/>
  <c r="J5" i="28"/>
  <c r="X5" i="28"/>
  <c r="W5" i="28"/>
  <c r="M4" i="28"/>
  <c r="X4" i="28" s="1"/>
  <c r="J4" i="28"/>
  <c r="W4" i="28" s="1"/>
  <c r="O38" i="28"/>
  <c r="P38" i="28" s="1"/>
  <c r="D51" i="28" s="1"/>
  <c r="E51" i="28" s="1"/>
  <c r="D38" i="28"/>
  <c r="M3" i="29"/>
  <c r="V3" i="29"/>
  <c r="V38" i="29" s="1"/>
  <c r="D52" i="29" s="1"/>
  <c r="E52" i="29" s="1"/>
  <c r="M3" i="30"/>
  <c r="O38" i="30"/>
  <c r="P38" i="30" s="1"/>
  <c r="P3" i="30"/>
  <c r="V3" i="30"/>
  <c r="V38" i="30" s="1"/>
  <c r="M3" i="31"/>
  <c r="O38" i="31"/>
  <c r="P38" i="31" s="1"/>
  <c r="P3" i="31"/>
  <c r="V3" i="31"/>
  <c r="W3" i="31" s="1"/>
  <c r="V38" i="32"/>
  <c r="M3" i="33"/>
  <c r="V3" i="33"/>
  <c r="V38" i="34"/>
  <c r="D50" i="34" s="1"/>
  <c r="G38" i="35"/>
  <c r="O38" i="35"/>
  <c r="P38" i="35" s="1"/>
  <c r="D49" i="35" s="1"/>
  <c r="E49" i="35" s="1"/>
  <c r="D38" i="35"/>
  <c r="O38" i="34"/>
  <c r="P38" i="34" s="1"/>
  <c r="D38" i="34"/>
  <c r="G38" i="33"/>
  <c r="O38" i="33"/>
  <c r="P38" i="33" s="1"/>
  <c r="D49" i="33" s="1"/>
  <c r="E49" i="33" s="1"/>
  <c r="D38" i="33"/>
  <c r="D38" i="32"/>
  <c r="G38" i="31"/>
  <c r="D38" i="31"/>
  <c r="G38" i="30"/>
  <c r="D38" i="30"/>
  <c r="G38" i="29"/>
  <c r="O38" i="29"/>
  <c r="P38" i="29" s="1"/>
  <c r="D51" i="29" s="1"/>
  <c r="E51" i="29" s="1"/>
  <c r="D38" i="29"/>
  <c r="V38" i="28"/>
  <c r="D52" i="28" s="1"/>
  <c r="E52" i="28" s="1"/>
  <c r="D51" i="31" l="1"/>
  <c r="E51" i="31" s="1"/>
  <c r="D51" i="30"/>
  <c r="E51" i="30" s="1"/>
  <c r="I34" i="27"/>
  <c r="D52" i="30"/>
  <c r="E52" i="30" s="1"/>
  <c r="I35" i="27"/>
  <c r="W3" i="30"/>
  <c r="V38" i="35"/>
  <c r="D50" i="35" s="1"/>
  <c r="E50" i="35" s="1"/>
  <c r="X3" i="30"/>
  <c r="D49" i="34"/>
  <c r="E49" i="34" s="1"/>
  <c r="V38" i="31"/>
  <c r="X3" i="31"/>
  <c r="W3" i="33"/>
  <c r="X3" i="33"/>
  <c r="V38" i="33"/>
  <c r="D50" i="33" s="1"/>
  <c r="E50" i="33" s="1"/>
  <c r="J38" i="31"/>
  <c r="X3" i="29"/>
  <c r="W3" i="29"/>
  <c r="J38" i="28"/>
  <c r="D49" i="28" s="1"/>
  <c r="E49" i="28" s="1"/>
  <c r="M38" i="28"/>
  <c r="M38" i="35"/>
  <c r="J38" i="35"/>
  <c r="E50" i="34"/>
  <c r="M38" i="34"/>
  <c r="X38" i="34" s="1"/>
  <c r="J38" i="34"/>
  <c r="M38" i="33"/>
  <c r="J38" i="33"/>
  <c r="M38" i="32"/>
  <c r="X38" i="32" s="1"/>
  <c r="J38" i="32"/>
  <c r="D48" i="32" s="1"/>
  <c r="E48" i="32" s="1"/>
  <c r="D50" i="32"/>
  <c r="E50" i="32" s="1"/>
  <c r="M38" i="31"/>
  <c r="D50" i="31" s="1"/>
  <c r="E50" i="31" s="1"/>
  <c r="M38" i="30"/>
  <c r="I33" i="27" s="1"/>
  <c r="J38" i="30"/>
  <c r="M38" i="29"/>
  <c r="J38" i="29"/>
  <c r="D49" i="29" s="1"/>
  <c r="E49" i="29" s="1"/>
  <c r="D49" i="31" l="1"/>
  <c r="E49" i="31" s="1"/>
  <c r="W38" i="31"/>
  <c r="D52" i="31"/>
  <c r="E52" i="31" s="1"/>
  <c r="X38" i="29"/>
  <c r="D50" i="29"/>
  <c r="E50" i="29" s="1"/>
  <c r="D48" i="29"/>
  <c r="E48" i="29" s="1"/>
  <c r="W38" i="30"/>
  <c r="D47" i="30" s="1"/>
  <c r="E47" i="30" s="1"/>
  <c r="D49" i="30"/>
  <c r="E49" i="30" s="1"/>
  <c r="X38" i="30"/>
  <c r="D50" i="30"/>
  <c r="E50" i="30" s="1"/>
  <c r="X38" i="28"/>
  <c r="D50" i="28"/>
  <c r="E50" i="28" s="1"/>
  <c r="X38" i="35"/>
  <c r="D48" i="34"/>
  <c r="E48" i="34" s="1"/>
  <c r="X38" i="31"/>
  <c r="K4" i="27"/>
  <c r="X38" i="33"/>
  <c r="W38" i="29"/>
  <c r="W38" i="28"/>
  <c r="I4" i="27"/>
  <c r="J4" i="27"/>
  <c r="J5" i="27" s="1"/>
  <c r="D48" i="33"/>
  <c r="E48" i="33" s="1"/>
  <c r="W38" i="33"/>
  <c r="L4" i="27" s="1"/>
  <c r="D48" i="35"/>
  <c r="E48" i="35" s="1"/>
  <c r="W38" i="35"/>
  <c r="W40" i="35" s="1"/>
  <c r="W38" i="34"/>
  <c r="M4" i="27" s="1"/>
  <c r="D47" i="28" l="1"/>
  <c r="E47" i="28" s="1"/>
  <c r="G4" i="27"/>
  <c r="G5" i="27" s="1"/>
  <c r="D48" i="28"/>
  <c r="E48" i="28" s="1"/>
  <c r="V41" i="34"/>
  <c r="D47" i="35"/>
  <c r="E47" i="35" s="1"/>
  <c r="N4" i="27"/>
  <c r="T41" i="33"/>
  <c r="D47" i="33"/>
  <c r="E47" i="33" s="1"/>
  <c r="D47" i="31"/>
  <c r="E47" i="31" s="1"/>
  <c r="D48" i="31"/>
  <c r="E48" i="31" s="1"/>
  <c r="D48" i="30"/>
  <c r="E48" i="30" s="1"/>
  <c r="G44" i="30"/>
  <c r="D47" i="32"/>
  <c r="E47" i="32" s="1"/>
  <c r="D47" i="29"/>
  <c r="E47" i="29" s="1"/>
  <c r="D47" i="34"/>
  <c r="E47" i="34" s="1"/>
  <c r="N5" i="27" l="1"/>
  <c r="I5" i="27"/>
  <c r="K5" i="27"/>
  <c r="L5" i="27"/>
  <c r="M5"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3" authorId="0" shapeId="0" xr:uid="{ACB269C7-E462-4129-B8EB-4F27494BAC09}">
      <text>
        <r>
          <rPr>
            <sz val="11"/>
            <color theme="1"/>
            <rFont val="Calibri"/>
            <family val="2"/>
            <scheme val="minor"/>
          </rPr>
          <t>Kaylil Baptiste:
139cases Carib Amber in old crates</t>
        </r>
      </text>
    </comment>
    <comment ref="T3" authorId="0" shapeId="0" xr:uid="{C1FF87A9-4E3B-4AF0-9616-BE50883CBCEF}">
      <text>
        <r>
          <rPr>
            <sz val="11"/>
            <color theme="1"/>
            <rFont val="Calibri"/>
            <family val="2"/>
            <scheme val="minor"/>
          </rPr>
          <t>Kaylil Baptiste:
139cases Carib Amber transferred into good crates</t>
        </r>
      </text>
    </comment>
    <comment ref="S6" authorId="0" shapeId="0" xr:uid="{FE20D453-EDEA-4D57-8322-CB2706E74F47}">
      <text>
        <r>
          <rPr>
            <sz val="11"/>
            <color theme="1"/>
            <rFont val="Calibri"/>
            <family val="2"/>
            <scheme val="minor"/>
          </rPr>
          <t>Kaylil Baptiste:
1 Carib Amber missing labels</t>
        </r>
      </text>
    </comment>
    <comment ref="S9" authorId="0" shapeId="0" xr:uid="{1D29C7F0-393F-48D1-B670-EEACF87921B7}">
      <text>
        <r>
          <rPr>
            <sz val="11"/>
            <color theme="1"/>
            <rFont val="Calibri"/>
            <family val="2"/>
            <scheme val="minor"/>
          </rPr>
          <t>Kaylil Baptiste:
1517cases Starmalt missing labels</t>
        </r>
      </text>
    </comment>
    <comment ref="T9" authorId="0" shapeId="0" xr:uid="{7BDA3068-F132-4D93-A81F-AB87F6B6ADF9}">
      <text>
        <r>
          <rPr>
            <sz val="11"/>
            <color theme="1"/>
            <rFont val="Calibri"/>
            <family val="2"/>
            <scheme val="minor"/>
          </rPr>
          <t xml:space="preserve">Kaylil Baptiste:
1513cases product relabeled </t>
        </r>
      </text>
    </comment>
    <comment ref="T13" authorId="0" shapeId="0" xr:uid="{432024F3-BFFC-4D51-AA5A-D19D79E3B9EC}">
      <text>
        <r>
          <rPr>
            <sz val="11"/>
            <color theme="1"/>
            <rFont val="Calibri"/>
            <family val="2"/>
            <scheme val="minor"/>
          </rPr>
          <t>Kaylil Baptiste:
105cases Stag date code applied and relabeled on 17th
40cases labels attached Feb 12th</t>
        </r>
      </text>
    </comment>
    <comment ref="S14" authorId="0" shapeId="0" xr:uid="{87829A55-A170-4C2E-825C-D82119A49063}">
      <text>
        <r>
          <rPr>
            <sz val="11"/>
            <color theme="1"/>
            <rFont val="Calibri"/>
            <family val="2"/>
            <scheme val="minor"/>
          </rPr>
          <t xml:space="preserve">Kaylil Baptiste:
4cases + 14pints Stag flagging and missing labels </t>
        </r>
      </text>
    </comment>
    <comment ref="T14" authorId="0" shapeId="0" xr:uid="{149F632C-71DE-41CD-8905-16072D988146}">
      <text>
        <r>
          <rPr>
            <sz val="11"/>
            <color theme="1"/>
            <rFont val="Calibri"/>
            <family val="2"/>
            <scheme val="minor"/>
          </rPr>
          <t>Kaylil Baptiste:
4cases + 14pints neck labels reattached</t>
        </r>
      </text>
    </comment>
    <comment ref="S15" authorId="0" shapeId="0" xr:uid="{3E67FEF9-C5F0-4F4B-AF78-634BE5AC0D78}">
      <text>
        <r>
          <rPr>
            <sz val="11"/>
            <color theme="1"/>
            <rFont val="Calibri"/>
            <family val="2"/>
            <scheme val="minor"/>
          </rPr>
          <t>Kaylil Baptiste:
70cases Kola Champagne in damaged crates</t>
        </r>
      </text>
    </comment>
    <comment ref="T15" authorId="0" shapeId="0" xr:uid="{9C271C48-998A-442F-8319-0E1890A0211E}">
      <text>
        <r>
          <rPr>
            <sz val="11"/>
            <color theme="1"/>
            <rFont val="Calibri"/>
            <family val="2"/>
            <scheme val="minor"/>
          </rPr>
          <t>Kaylil Baptiste:
70cases product transferred to good crates</t>
        </r>
      </text>
    </comment>
    <comment ref="S17" authorId="0" shapeId="0" xr:uid="{4B2A578B-64C2-4C7E-B907-6E1D5008A641}">
      <text>
        <r>
          <rPr>
            <sz val="11"/>
            <color theme="1"/>
            <rFont val="Calibri"/>
            <family val="2"/>
            <scheme val="minor"/>
          </rPr>
          <t>Kaylil Baptiste:
350cases Carib high PU</t>
        </r>
      </text>
    </comment>
    <comment ref="T17" authorId="0" shapeId="0" xr:uid="{FEE1FC60-F566-4EC7-B653-A9EE6178EBB8}">
      <text>
        <r>
          <rPr>
            <sz val="11"/>
            <color theme="1"/>
            <rFont val="Calibri"/>
            <family val="2"/>
            <scheme val="minor"/>
          </rPr>
          <t>Kaylil Baptiste:
350cases tasted and released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T11" authorId="0" shapeId="0" xr:uid="{86C46DCF-D6EF-40B0-B26C-4DFA0A1C2CC4}">
      <text>
        <r>
          <rPr>
            <sz val="11"/>
            <color theme="1"/>
            <rFont val="Calibri"/>
            <family val="2"/>
            <scheme val="minor"/>
          </rPr>
          <t>Kaylil Baptiste:
70cases Pearsecco recoded</t>
        </r>
      </text>
    </comment>
    <comment ref="S13" authorId="0" shapeId="0" xr:uid="{4A18F106-926A-44F2-ABEF-1566461E518A}">
      <text>
        <r>
          <rPr>
            <sz val="11"/>
            <color theme="1"/>
            <rFont val="Calibri"/>
            <family val="2"/>
            <scheme val="minor"/>
          </rPr>
          <t>Kaylil Baptiste:
177cases missing labels
43cases flagging + missing labels</t>
        </r>
      </text>
    </comment>
    <comment ref="S14" authorId="0" shapeId="0" xr:uid="{E6918CDE-250B-47F0-9DC2-DFD14DECD3BA}">
      <text>
        <r>
          <rPr>
            <sz val="11"/>
            <color theme="1"/>
            <rFont val="Calibri"/>
            <family val="2"/>
            <scheme val="minor"/>
          </rPr>
          <t>Kaylil Baptiste:
177cases missing labels
43cases flagging + missing labels</t>
        </r>
      </text>
    </comment>
    <comment ref="S15" authorId="0" shapeId="0" xr:uid="{00090B45-0CC7-4245-82CA-476B00793617}">
      <text>
        <r>
          <rPr>
            <sz val="11"/>
            <color theme="1"/>
            <rFont val="Calibri"/>
            <family val="2"/>
            <scheme val="minor"/>
          </rPr>
          <t>Kaylil Baptiste:
350cases Carib Amber (low PU)</t>
        </r>
      </text>
    </comment>
    <comment ref="T15" authorId="0" shapeId="0" xr:uid="{3E534B63-5949-4F19-9253-5DBD3648E4D9}">
      <text>
        <r>
          <rPr>
            <sz val="11"/>
            <color theme="1"/>
            <rFont val="Calibri"/>
            <family val="2"/>
            <scheme val="minor"/>
          </rPr>
          <t>Kaylil Baptiste:
350cases invertase negative (released for small shops only)</t>
        </r>
      </text>
    </comment>
    <comment ref="S17" authorId="0" shapeId="0" xr:uid="{19958967-D496-48E8-87F9-94172728CDD3}">
      <text>
        <r>
          <rPr>
            <sz val="11"/>
            <color theme="1"/>
            <rFont val="Calibri"/>
            <family val="2"/>
            <scheme val="minor"/>
          </rPr>
          <t>Kaylil Baptiste:
70cases tasted and released in trade</t>
        </r>
      </text>
    </comment>
    <comment ref="S18" authorId="0" shapeId="0" xr:uid="{19C476BF-C554-43EB-919D-112E1CF61D9A}">
      <text>
        <r>
          <rPr>
            <sz val="11"/>
            <color theme="1"/>
            <rFont val="Calibri"/>
            <family val="2"/>
            <scheme val="minor"/>
          </rPr>
          <t xml:space="preserve">Kaylil Baptiste:
144cases missing labels Guinness
210cases Guinness high PU
</t>
        </r>
      </text>
    </comment>
    <comment ref="T18" authorId="0" shapeId="0" xr:uid="{43BE2005-0B25-476D-9655-FD3DD4FD0830}">
      <text>
        <r>
          <rPr>
            <sz val="11"/>
            <color theme="1"/>
            <rFont val="Calibri"/>
            <family val="2"/>
            <scheme val="minor"/>
          </rPr>
          <t>Kaylil Baptiste:
144cases missing labels applied Guinness
210cases tasted and released Guinness</t>
        </r>
      </text>
    </comment>
    <comment ref="S19" authorId="0" shapeId="0" xr:uid="{23C318C6-4D8E-40E9-A2C7-2450C8AAA812}">
      <text>
        <r>
          <rPr>
            <sz val="11"/>
            <color theme="1"/>
            <rFont val="Calibri"/>
            <family val="2"/>
            <scheme val="minor"/>
          </rPr>
          <t>Kaylil Baptiste:
140cases possible high PU</t>
        </r>
      </text>
    </comment>
    <comment ref="T19" authorId="0" shapeId="0" xr:uid="{D5DAE2D7-2BDE-4FD8-85D5-DAA2A8088862}">
      <text>
        <r>
          <rPr>
            <sz val="11"/>
            <color theme="1"/>
            <rFont val="Calibri"/>
            <family val="2"/>
            <scheme val="minor"/>
          </rPr>
          <t>Kaylil Baptiste:
1240 cases product tated and released</t>
        </r>
      </text>
    </comment>
    <comment ref="S21" authorId="0" shapeId="0" xr:uid="{A17E39FB-2068-4701-A3E6-CA8910041456}">
      <text>
        <r>
          <rPr>
            <sz val="11"/>
            <color theme="1"/>
            <rFont val="Calibri"/>
            <family val="2"/>
            <scheme val="minor"/>
          </rPr>
          <t>Kaylil Baptiste:
490cases missing labels Starmalt</t>
        </r>
      </text>
    </comment>
    <comment ref="T21" authorId="0" shapeId="0" xr:uid="{F2FA7444-842C-4EE7-975E-35EA4F5556DD}">
      <text>
        <r>
          <rPr>
            <sz val="11"/>
            <color theme="1"/>
            <rFont val="Calibri"/>
            <family val="2"/>
            <scheme val="minor"/>
          </rPr>
          <t>Kaylil Baptiste:
490cases missing labels applied</t>
        </r>
      </text>
    </comment>
    <comment ref="W38" authorId="0" shapeId="0" xr:uid="{7B34F214-8AC2-4BF2-A22E-FE6A7DD4814A}">
      <text>
        <r>
          <rPr>
            <b/>
            <sz val="9"/>
            <color indexed="81"/>
            <rFont val="Tahoma"/>
            <family val="2"/>
          </rPr>
          <t>Kaylil Baptiste:</t>
        </r>
        <r>
          <rPr>
            <sz val="9"/>
            <color indexed="81"/>
            <rFont val="Tahoma"/>
            <family val="2"/>
          </rPr>
          <t xml:space="preserve">
60.5 reported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5" authorId="0" shapeId="0" xr:uid="{D6F56F04-1B4B-40A9-A1DF-8B760C52B768}">
      <text>
        <r>
          <rPr>
            <sz val="11"/>
            <color theme="1"/>
            <rFont val="Calibri"/>
            <family val="2"/>
            <scheme val="minor"/>
          </rPr>
          <t>Kaylil Baptiste:
140cases Carib missing code</t>
        </r>
      </text>
    </comment>
    <comment ref="S11" authorId="0" shapeId="0" xr:uid="{85C47869-2B05-4F2C-B851-ECC008A1D349}">
      <text>
        <r>
          <rPr>
            <sz val="11"/>
            <color theme="1"/>
            <rFont val="Calibri"/>
            <family val="2"/>
            <scheme val="minor"/>
          </rPr>
          <t>Kaylil Baptiste:
70cases Caribe Pearsecco missing date code</t>
        </r>
      </text>
    </comment>
    <comment ref="S12" authorId="0" shapeId="0" xr:uid="{82E96552-A68E-4F39-B58A-25D61B5D855B}">
      <text>
        <r>
          <rPr>
            <sz val="11"/>
            <color theme="1"/>
            <rFont val="Calibri"/>
            <family val="2"/>
            <scheme val="minor"/>
          </rPr>
          <t>Kaylil Baptiste:
394cases missing labels Starmalt</t>
        </r>
      </text>
    </comment>
    <comment ref="T12" authorId="0" shapeId="0" xr:uid="{031700E2-AC98-4354-BC64-6853FC4ED2A0}">
      <text>
        <r>
          <rPr>
            <sz val="11"/>
            <color theme="1"/>
            <rFont val="Calibri"/>
            <family val="2"/>
            <scheme val="minor"/>
          </rPr>
          <t>Kaylil Baptiste:
44cases missing labels applied</t>
        </r>
      </text>
    </comment>
    <comment ref="T13" authorId="0" shapeId="0" xr:uid="{8E706C82-9AB3-4D29-8426-367715CEE2F0}">
      <text>
        <r>
          <rPr>
            <sz val="11"/>
            <color theme="1"/>
            <rFont val="Calibri"/>
            <family val="2"/>
            <scheme val="minor"/>
          </rPr>
          <t>Kaylil Baptiste:
854cases product relabeled</t>
        </r>
      </text>
    </comment>
    <comment ref="S17" authorId="0" shapeId="0" xr:uid="{5A520088-D0F2-4796-9FAB-DD378E8232AE}">
      <text>
        <r>
          <rPr>
            <sz val="11"/>
            <color theme="1"/>
            <rFont val="Calibri"/>
            <family val="2"/>
            <scheme val="minor"/>
          </rPr>
          <t>Kaylil Baptiste:
398cases Stag in damaged crates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4" authorId="0" shapeId="0" xr:uid="{93CD8C0D-D7A9-46A8-9291-620B758E7D31}">
      <text>
        <r>
          <rPr>
            <sz val="11"/>
            <color theme="1"/>
            <rFont val="Calibri"/>
            <family val="2"/>
            <scheme val="minor"/>
          </rPr>
          <t>Kaylil Baptiste:
3cases Carib Amber</t>
        </r>
      </text>
    </comment>
    <comment ref="S5" authorId="0" shapeId="0" xr:uid="{1F1959D7-9086-4100-94B1-583AC903805F}">
      <text>
        <r>
          <rPr>
            <sz val="11"/>
            <color theme="1"/>
            <rFont val="Calibri"/>
            <family val="2"/>
            <scheme val="minor"/>
          </rPr>
          <t>Kaylil Baptiste:
1075 cases in crates to be transferred
3 cases twisted labels</t>
        </r>
      </text>
    </comment>
    <comment ref="S9" authorId="0" shapeId="0" xr:uid="{96E292DD-1B5E-4953-949F-6591172C570D}">
      <text>
        <r>
          <rPr>
            <sz val="11"/>
            <color theme="1"/>
            <rFont val="Calibri"/>
            <family val="2"/>
            <scheme val="minor"/>
          </rPr>
          <t>Kaylil Baptiste:
807cases Carib Rose missing, smudged and incorrect date code</t>
        </r>
      </text>
    </comment>
    <comment ref="T9" authorId="0" shapeId="0" xr:uid="{AA385EFE-F119-4754-8291-3ACB4038E1A6}">
      <text>
        <r>
          <rPr>
            <sz val="11"/>
            <color theme="1"/>
            <rFont val="Calibri"/>
            <family val="2"/>
            <scheme val="minor"/>
          </rPr>
          <t xml:space="preserve">Kaylil Baptiste:
807cases Caribe Rose (transport to warehouse separately </t>
        </r>
      </text>
    </comment>
    <comment ref="S11" authorId="0" shapeId="0" xr:uid="{ADECD6D7-E758-4765-BFF9-D7BD938D5EF7}">
      <text>
        <r>
          <rPr>
            <sz val="11"/>
            <color theme="1"/>
            <rFont val="Calibri"/>
            <family val="2"/>
            <scheme val="minor"/>
          </rPr>
          <t>Kaylil Baptiste:
4cases 16pints Shandy Sorrel missing labels</t>
        </r>
      </text>
    </comment>
    <comment ref="T11" authorId="0" shapeId="0" xr:uid="{03CFBA88-9F8F-465C-880D-C59A7FCEE85D}">
      <text>
        <r>
          <rPr>
            <sz val="11"/>
            <color theme="1"/>
            <rFont val="Calibri"/>
            <family val="2"/>
            <scheme val="minor"/>
          </rPr>
          <t xml:space="preserve">Kaylil Baptiste:
4cases 16pints Shandy Sorrel neck and body labels applied </t>
        </r>
      </text>
    </comment>
    <comment ref="S13" authorId="0" shapeId="0" xr:uid="{10641328-55D3-4758-8E6B-0CFBC7220586}">
      <text>
        <r>
          <rPr>
            <sz val="11"/>
            <color theme="1"/>
            <rFont val="Calibri"/>
            <family val="2"/>
            <scheme val="minor"/>
          </rPr>
          <t>Kaylil Baptiste:
140cases Ginseng Apple low PU
26cases missing labels</t>
        </r>
      </text>
    </comment>
    <comment ref="T13" authorId="0" shapeId="0" xr:uid="{C529C487-981D-44D0-8809-5A1876D541A8}">
      <text>
        <r>
          <rPr>
            <sz val="11"/>
            <color theme="1"/>
            <rFont val="Calibri"/>
            <family val="2"/>
            <scheme val="minor"/>
          </rPr>
          <t xml:space="preserve">Kaylil Baptiste:
140cases Ginseng Apple zero micros found 
21cases + 20pints product relabeled </t>
        </r>
      </text>
    </comment>
    <comment ref="S14" authorId="0" shapeId="0" xr:uid="{3C806F56-EF14-47C4-BC98-A65577DB1BF6}">
      <text>
        <r>
          <rPr>
            <sz val="11"/>
            <color theme="1"/>
            <rFont val="Calibri"/>
            <family val="2"/>
            <scheme val="minor"/>
          </rPr>
          <t xml:space="preserve">Kaylil Baptiste:
39cases Ginseng Apple missing labels </t>
        </r>
      </text>
    </comment>
    <comment ref="S15" authorId="0" shapeId="0" xr:uid="{3A294FC6-AF84-4570-8068-D4EE2C50281A}">
      <text>
        <r>
          <rPr>
            <sz val="11"/>
            <color theme="1"/>
            <rFont val="Calibri"/>
            <family val="2"/>
            <scheme val="minor"/>
          </rPr>
          <t>Kaylil Baptiste:
5caseS 20pints missing labels</t>
        </r>
      </text>
    </comment>
    <comment ref="S16" authorId="0" shapeId="0" xr:uid="{F5988FE0-2653-4B5C-BA7D-61FD95C529DF}">
      <text>
        <r>
          <rPr>
            <sz val="11"/>
            <color theme="1"/>
            <rFont val="Calibri"/>
            <family val="2"/>
            <scheme val="minor"/>
          </rPr>
          <t xml:space="preserve">Kaylil Baptiste:
368cases Stag damaged crates </t>
        </r>
      </text>
    </comment>
    <comment ref="S22" authorId="0" shapeId="0" xr:uid="{70D786E0-26F0-4DCB-B47C-0F86F71ED695}">
      <text>
        <r>
          <rPr>
            <sz val="11"/>
            <color theme="1"/>
            <rFont val="Calibri"/>
            <family val="2"/>
            <scheme val="minor"/>
          </rPr>
          <t>Kaylil Baptiste:
276cases damaged crates</t>
        </r>
      </text>
    </comment>
    <comment ref="T22" authorId="0" shapeId="0" xr:uid="{F567D121-8CE9-4FB9-BD61-C7F7FBFDAE9F}">
      <text>
        <r>
          <rPr>
            <sz val="11"/>
            <color theme="1"/>
            <rFont val="Calibri"/>
            <family val="2"/>
            <scheme val="minor"/>
          </rPr>
          <t>Kaylil Baptiste:
276cases released to warehouse to be transferred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4" authorId="0" shapeId="0" xr:uid="{AEE13A23-937F-4219-B8D3-44F32A2A1EC8}">
      <text>
        <r>
          <rPr>
            <sz val="11"/>
            <color theme="1"/>
            <rFont val="Calibri"/>
            <family val="2"/>
            <scheme val="minor"/>
          </rPr>
          <t>Kaylil Baptiste:
3cases missing labels Vita Ginger</t>
        </r>
      </text>
    </comment>
    <comment ref="S5" authorId="0" shapeId="0" xr:uid="{43F8D694-46F0-4D39-ACD4-7363991B8747}">
      <text>
        <r>
          <rPr>
            <sz val="11"/>
            <color theme="1"/>
            <rFont val="Calibri"/>
            <family val="2"/>
            <scheme val="minor"/>
          </rPr>
          <t>Kaylil Baptiste:
49mins missing labels Stag</t>
        </r>
      </text>
    </comment>
    <comment ref="S10" authorId="0" shapeId="0" xr:uid="{F0A27B1E-1D18-4EBD-9A95-56239D3CF686}">
      <text>
        <r>
          <rPr>
            <sz val="11"/>
            <color theme="1"/>
            <rFont val="Calibri"/>
            <family val="2"/>
            <scheme val="minor"/>
          </rPr>
          <t>Kaylil Baptiste:
33mins flagging labels Guinness</t>
        </r>
      </text>
    </comment>
    <comment ref="T10" authorId="0" shapeId="0" xr:uid="{28C75CCF-94A4-459B-81A7-580B5B2F22B3}">
      <text>
        <r>
          <rPr>
            <sz val="11"/>
            <color theme="1"/>
            <rFont val="Calibri"/>
            <family val="2"/>
            <scheme val="minor"/>
          </rPr>
          <t>Kaylil Baptiste:
33cases flagging labels</t>
        </r>
      </text>
    </comment>
    <comment ref="S14" authorId="0" shapeId="0" xr:uid="{BD8D2912-750D-4E7E-8C3A-9EC01CDF6E36}">
      <text>
        <r>
          <rPr>
            <sz val="11"/>
            <color theme="1"/>
            <rFont val="Calibri"/>
            <family val="2"/>
            <scheme val="minor"/>
          </rPr>
          <t>Kaylil Baptiste:
31cases missing labels Carib Flint</t>
        </r>
      </text>
    </comment>
    <comment ref="S19" authorId="0" shapeId="0" xr:uid="{C0404050-5D36-4689-BC24-408A74F9BC63}">
      <text>
        <r>
          <rPr>
            <sz val="11"/>
            <color theme="1"/>
            <rFont val="Calibri"/>
            <family val="2"/>
            <scheme val="minor"/>
          </rPr>
          <t>Kaylil Baptiste:
26cases missing labels pornstar martini</t>
        </r>
      </text>
    </comment>
    <comment ref="S21" authorId="0" shapeId="0" xr:uid="{AF0798D2-B35B-4A45-9F8B-7EF6FDE3FD17}">
      <text>
        <r>
          <rPr>
            <sz val="11"/>
            <color theme="1"/>
            <rFont val="Calibri"/>
            <family val="2"/>
            <scheme val="minor"/>
          </rPr>
          <t>Kaylil Baptiste:
15cases missing date code
2cases missing labels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Kaylil Baptiste</author>
    <author>Reshelle Fleming</author>
  </authors>
  <commentList>
    <comment ref="S3" authorId="0" shapeId="0" xr:uid="{43714774-5EFE-4E43-B8D0-F93AD299A609}">
      <text>
        <r>
          <rPr>
            <sz val="11"/>
            <color theme="1"/>
            <rFont val="Calibri"/>
            <family val="2"/>
            <scheme val="minor"/>
          </rPr>
          <t xml:space="preserve">Kaylil Baptiste:
80cases missing neck labels </t>
        </r>
      </text>
    </comment>
    <comment ref="S8" authorId="1" shapeId="0" xr:uid="{0AE81ACE-B0F6-4EB3-A7A3-F5B2792EBFCB}">
      <text>
        <r>
          <rPr>
            <b/>
            <sz val="9"/>
            <color indexed="81"/>
            <rFont val="Tahoma"/>
            <family val="2"/>
          </rPr>
          <t>Reshelle Fleming:</t>
        </r>
        <r>
          <rPr>
            <sz val="9"/>
            <color indexed="81"/>
            <rFont val="Tahoma"/>
            <family val="2"/>
          </rPr>
          <t xml:space="preserve">
8cases missing labels </t>
        </r>
      </text>
    </comment>
    <comment ref="S10" authorId="1" shapeId="0" xr:uid="{2764940A-B584-4A67-B47D-FE5F7745F48C}">
      <text>
        <r>
          <rPr>
            <b/>
            <sz val="9"/>
            <color indexed="81"/>
            <rFont val="Tahoma"/>
            <family val="2"/>
          </rPr>
          <t>Reshelle Fleming:</t>
        </r>
        <r>
          <rPr>
            <sz val="9"/>
            <color indexed="81"/>
            <rFont val="Tahoma"/>
            <family val="2"/>
          </rPr>
          <t xml:space="preserve">
293cases damage crates (13 stag, 280carib)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D4" authorId="0" shapeId="0" xr:uid="{A9918F9E-4E30-40CE-8507-3552DCD6FA4A}">
      <text>
        <r>
          <rPr>
            <sz val="11"/>
            <color theme="1"/>
            <rFont val="Calibri"/>
            <family val="2"/>
            <scheme val="minor"/>
          </rPr>
          <t>Kaylil Baptiste:
60.5 reported</t>
        </r>
      </text>
    </comment>
  </commentList>
</comments>
</file>

<file path=xl/sharedStrings.xml><?xml version="1.0" encoding="utf-8"?>
<sst xmlns="http://schemas.openxmlformats.org/spreadsheetml/2006/main" count="624" uniqueCount="162">
  <si>
    <t>OEE Calculation</t>
  </si>
  <si>
    <t>CARIB BREWERY</t>
  </si>
  <si>
    <t>SKU</t>
  </si>
  <si>
    <r>
      <t xml:space="preserve">Start Time
</t>
    </r>
    <r>
      <rPr>
        <sz val="8"/>
        <color theme="1"/>
        <rFont val="Calibri"/>
        <family val="2"/>
        <scheme val="minor"/>
      </rPr>
      <t>dd/mm/yyyy h:mm</t>
    </r>
  </si>
  <si>
    <r>
      <t xml:space="preserve">End Time
</t>
    </r>
    <r>
      <rPr>
        <sz val="8"/>
        <color theme="1"/>
        <rFont val="Calibri"/>
        <family val="2"/>
        <scheme val="minor"/>
      </rPr>
      <t>dd/mm/yyyy h:mm</t>
    </r>
    <r>
      <rPr>
        <sz val="11"/>
        <color theme="1"/>
        <rFont val="Calibri"/>
        <family val="2"/>
        <scheme val="minor"/>
      </rPr>
      <t xml:space="preserve">
</t>
    </r>
    <r>
      <rPr>
        <sz val="8"/>
        <color theme="1"/>
        <rFont val="Calibri"/>
        <family val="2"/>
        <scheme val="minor"/>
      </rPr>
      <t>(when production actually ends)</t>
    </r>
  </si>
  <si>
    <t>Available time /mins</t>
  </si>
  <si>
    <t>Changeover Standard time /mins</t>
  </si>
  <si>
    <t>Actual Changeover /mins</t>
  </si>
  <si>
    <t>Changeover Deviation /mins</t>
  </si>
  <si>
    <t>Total Breakdowns /mins</t>
  </si>
  <si>
    <t>Total Minor Stops /mins</t>
  </si>
  <si>
    <t>Availability (for OEE)</t>
  </si>
  <si>
    <t>Planned Downtime /mins</t>
  </si>
  <si>
    <t>External Downtime /mins</t>
  </si>
  <si>
    <t>Availability (for OEE Utilization)</t>
  </si>
  <si>
    <t>Nominal Speed</t>
  </si>
  <si>
    <t>Actual (Average) Speed</t>
  </si>
  <si>
    <t>Performance</t>
  </si>
  <si>
    <t>Total Products Produced /Cases</t>
  </si>
  <si>
    <t>Low Fill /Cases</t>
  </si>
  <si>
    <t>Embargo /cases</t>
  </si>
  <si>
    <t>Embargo release date</t>
  </si>
  <si>
    <t>Embargo Residence time /days</t>
  </si>
  <si>
    <t>Quality</t>
  </si>
  <si>
    <t>OEE</t>
  </si>
  <si>
    <t>OEE Utilization</t>
  </si>
  <si>
    <t>Carib Amber</t>
  </si>
  <si>
    <t xml:space="preserve">Carib Amber to Starmalt </t>
  </si>
  <si>
    <t>Starmalt</t>
  </si>
  <si>
    <t xml:space="preserve">Vitamalt to Starmalt to Stag </t>
  </si>
  <si>
    <t xml:space="preserve">Stag to Carib Amber </t>
  </si>
  <si>
    <t>Carib Amber to Stag</t>
  </si>
  <si>
    <t>Mackeson to Shandy Sorrel</t>
  </si>
  <si>
    <t xml:space="preserve">Ting to Carib Amber </t>
  </si>
  <si>
    <t>Stag to Ginseng up Original</t>
  </si>
  <si>
    <t>Soda water to Kola Champ to Cream Soda to Banana</t>
  </si>
  <si>
    <t>Banana to Ginger to Grape to Sorrel</t>
  </si>
  <si>
    <t>J.Cool Sorrel to Carib Amber</t>
  </si>
  <si>
    <t>Carib Amber to Pearsecco</t>
  </si>
  <si>
    <t>Pearsecco to Rose (Export) to Rose to Vitamalt Classic</t>
  </si>
  <si>
    <t>Vitamalt Classic to Vitamalt Ginger to Guinness to Carib Amber</t>
  </si>
  <si>
    <t>Total</t>
  </si>
  <si>
    <t>ytd</t>
  </si>
  <si>
    <t>Real</t>
  </si>
  <si>
    <t xml:space="preserve">Opportunity </t>
  </si>
  <si>
    <t xml:space="preserve">OEE </t>
  </si>
  <si>
    <t xml:space="preserve">OEE Utilization </t>
  </si>
  <si>
    <t>Carib Flint (Export) to Caribe Rose</t>
  </si>
  <si>
    <t>Caribe Rose to Guinness to Carib Amber</t>
  </si>
  <si>
    <t>Carib Amber to Shandy Ginger</t>
  </si>
  <si>
    <t>Shandy Ginger Local to Shandy Ginger Export to Stag</t>
  </si>
  <si>
    <t xml:space="preserve">Pink Ting to Orginal Ting to Carib Amber </t>
  </si>
  <si>
    <t>Carib Amber to Stag Local</t>
  </si>
  <si>
    <t>Stag Local</t>
  </si>
  <si>
    <t>Stag Local to Shandy Sorrel</t>
  </si>
  <si>
    <t xml:space="preserve">Carib Amber to Shandy Sorrel to Ting Original </t>
  </si>
  <si>
    <t>Ting Original to Carib Amber</t>
  </si>
  <si>
    <t>Carib Amber to Guinness</t>
  </si>
  <si>
    <t>Stag</t>
  </si>
  <si>
    <t>Carib Amber to Starmalt to Carib Amber</t>
  </si>
  <si>
    <t>Starmalt to Carib Amber</t>
  </si>
  <si>
    <t>Stag to Carib Amber</t>
  </si>
  <si>
    <t>Carib Amber to Vitamalt Classic</t>
  </si>
  <si>
    <t>Vitamalt Classic to Vitamalt Ginger to Guinness</t>
  </si>
  <si>
    <t>Carib Amber to Caribe Pearsecco</t>
  </si>
  <si>
    <t>Caribe Pearsecco to Caribe Rose to Stag</t>
  </si>
  <si>
    <t>Stag to Starmalt</t>
  </si>
  <si>
    <t>Starmalt to Guinness</t>
  </si>
  <si>
    <t>Guinness</t>
  </si>
  <si>
    <t>Guinness to Carib Amber</t>
  </si>
  <si>
    <t xml:space="preserve">Carib Amber to Flint Local to Carib Amber </t>
  </si>
  <si>
    <t>Stag to Carib Amber to Carib Flint</t>
  </si>
  <si>
    <t>Shandy Ginger Export to Shandy Ginger Local to Starmalt</t>
  </si>
  <si>
    <t xml:space="preserve">Starmalt to Club Soda to Kola Champagne to Cream Soda </t>
  </si>
  <si>
    <t>Juicy Cool Sorrel to Stag Local</t>
  </si>
  <si>
    <t>Carib Amber to Flint Local to Carib Amber to Vitmalt Classic</t>
  </si>
  <si>
    <t>Vitamalt Classic to Vitamalt Ginger</t>
  </si>
  <si>
    <t>Caribe Pearsecco to Carib Amber</t>
  </si>
  <si>
    <t xml:space="preserve">Caribe Rose to Carib Amber </t>
  </si>
  <si>
    <t>Carib Amber to Shandy Lime Loc to Shandy Lime Exp to Shandy Sorrel Exp</t>
  </si>
  <si>
    <t xml:space="preserve">Shandy Sorrel Export to Shandy Sorrel Local to Stag </t>
  </si>
  <si>
    <t>Carib Amber to Ginseng Apple</t>
  </si>
  <si>
    <t xml:space="preserve">Ginseng Apple (med) to Ginseng Apple ( short) to Carib Amber </t>
  </si>
  <si>
    <t>Stag to Guinness</t>
  </si>
  <si>
    <t>Carib Export (Explorer) to Carib Amber (Short)</t>
  </si>
  <si>
    <t>Carib Amber (Short) to Carib Amber</t>
  </si>
  <si>
    <t xml:space="preserve">Stag to Ginseng Original </t>
  </si>
  <si>
    <t xml:space="preserve">Ginseng Original to Vitamalt Classic </t>
  </si>
  <si>
    <t xml:space="preserve">Carib Flint to Carib Amber </t>
  </si>
  <si>
    <t>Carib Amber to Ting Original to Stag</t>
  </si>
  <si>
    <t>Stag to Carib</t>
  </si>
  <si>
    <t>Carib Amber to Stag to Shandy Sorrel to Mackeson</t>
  </si>
  <si>
    <t>Carib  to Carib Flint to Stag</t>
  </si>
  <si>
    <t>Carib Amber to Stag to Caribe Pearsecco</t>
  </si>
  <si>
    <t>Caribe Rose to Ting Original to Carib Amber</t>
  </si>
  <si>
    <t>Carib Amber to Starmalt</t>
  </si>
  <si>
    <t xml:space="preserve">Starmalt to Carib Amber </t>
  </si>
  <si>
    <t>Carib Amber to Stag to Guinness</t>
  </si>
  <si>
    <t xml:space="preserve">Carib Amber to Stag to Carib Flint to Carib Amber </t>
  </si>
  <si>
    <t>Carib Amber to Ting</t>
  </si>
  <si>
    <t>Stag to Ting to Ginseng Orignal</t>
  </si>
  <si>
    <t xml:space="preserve"> </t>
  </si>
  <si>
    <t xml:space="preserve">Vitamalt Classic to Vitamalt Ginger to Carib Amber </t>
  </si>
  <si>
    <t>Carib Amber to Shandy Lime Local to Shandy Lime Export to Shandy Ginger Export to Shandy Ginger Local</t>
  </si>
  <si>
    <t>Shandy Ginger Local to Shandy Sorrel Export to Shandy Sorrel Local</t>
  </si>
  <si>
    <t>Mackeson to Guinness</t>
  </si>
  <si>
    <t>Guinness to Stag</t>
  </si>
  <si>
    <t>Carib Flint Export to Stag</t>
  </si>
  <si>
    <t xml:space="preserve">Stag to Carib Flint Export to Carib Flint Local to Carib Amber </t>
  </si>
  <si>
    <t>Carib Amber to Pink Ting</t>
  </si>
  <si>
    <t>Starmalt to Pink Ting</t>
  </si>
  <si>
    <t>Pink Ting to Carib Amber to Pink Ting</t>
  </si>
  <si>
    <t xml:space="preserve">Pink Ting </t>
  </si>
  <si>
    <t>Pornstar Martini to Dark Berry Royale</t>
  </si>
  <si>
    <t xml:space="preserve">Dark Berry Royale </t>
  </si>
  <si>
    <t>Carib Amber to Carib Flint Export</t>
  </si>
  <si>
    <t>Carib Flnt Export to Carib Flint Local to Vitamalt</t>
  </si>
  <si>
    <t xml:space="preserve">Vitamalt Classic to Stag to Carib Amber </t>
  </si>
  <si>
    <t xml:space="preserve">Carib Amber to Stag to Carib Amber </t>
  </si>
  <si>
    <t xml:space="preserve">Starmalt to Carib Flint to Amber </t>
  </si>
  <si>
    <t xml:space="preserve"> Carib Flint Export </t>
  </si>
  <si>
    <t xml:space="preserve"> Carib Flint Export to Local to Carib Amber </t>
  </si>
  <si>
    <t xml:space="preserve"> Carib Flint Export to Local </t>
  </si>
  <si>
    <t xml:space="preserve"> Carib Flint Local to Amber </t>
  </si>
  <si>
    <t xml:space="preserve"> Carib  Amber to Ting</t>
  </si>
  <si>
    <t xml:space="preserve"> Ting to Stag</t>
  </si>
  <si>
    <t>Carib Amber to Club Soda to Kola Champagne</t>
  </si>
  <si>
    <t>Cream Soda to Banana to Grape to Vitamalt</t>
  </si>
  <si>
    <t>Vitamalt</t>
  </si>
  <si>
    <t>Stag to Carib Export</t>
  </si>
  <si>
    <t>Carib Export to Carib Flint Local to Carib Amber</t>
  </si>
  <si>
    <t>Carib Amber to Stag to Ginseng Original</t>
  </si>
  <si>
    <t>Ginseng Original</t>
  </si>
  <si>
    <t>Carib Amber to Mackeson</t>
  </si>
  <si>
    <t>Mackeson to Stag</t>
  </si>
  <si>
    <t>Carib Amber to Pornstar Martini</t>
  </si>
  <si>
    <t>Pornstar Martini to Bellini to Royale</t>
  </si>
  <si>
    <t>Carib Amber to Shandy Lime Exp. to Shandy Lime Local to Shandy Ginger Exp. to Shandy Ginger Local</t>
  </si>
  <si>
    <t>Shandy Sorrel Export to Shandy Sorrel Local</t>
  </si>
  <si>
    <t>Stag to Carib Flint Export</t>
  </si>
  <si>
    <t>Carib Flint Export</t>
  </si>
  <si>
    <t xml:space="preserve">Carib Flint Export to Guinness </t>
  </si>
  <si>
    <t xml:space="preserve">Guinness to Carib Amber </t>
  </si>
  <si>
    <t>Availability</t>
  </si>
  <si>
    <t>Starmalt to Vitamalt Classic</t>
  </si>
  <si>
    <t>Caribe Rose to Carib Flint (Local)</t>
  </si>
  <si>
    <t>Carib Flint (Local) to Carib Amber</t>
  </si>
  <si>
    <t>January</t>
  </si>
  <si>
    <t>February</t>
  </si>
  <si>
    <t>March</t>
  </si>
  <si>
    <t>April</t>
  </si>
  <si>
    <t>May</t>
  </si>
  <si>
    <t>June</t>
  </si>
  <si>
    <t>July</t>
  </si>
  <si>
    <t>August</t>
  </si>
  <si>
    <t>September</t>
  </si>
  <si>
    <t>October</t>
  </si>
  <si>
    <t>November</t>
  </si>
  <si>
    <t>December</t>
  </si>
  <si>
    <t>YTD</t>
  </si>
  <si>
    <t>TARGET</t>
  </si>
  <si>
    <t>MTD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</si>
</sst>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4">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sz val="26"/>
      <color theme="0"/>
      <name val="Calibri"/>
      <family val="2"/>
      <scheme val="minor"/>
    </font>
    <font>
      <b/>
      <sz val="14"/>
      <color rgb="FFC00000"/>
      <name val="Calibri"/>
      <family val="2"/>
      <scheme val="minor"/>
    </font>
    <font>
      <b/>
      <sz val="22"/>
      <color theme="1"/>
      <name val="Calibri"/>
      <family val="2"/>
      <scheme val="minor"/>
    </font>
    <font>
      <sz val="22"/>
      <color theme="1"/>
      <name val="Calibri"/>
      <family val="2"/>
      <scheme val="minor"/>
    </font>
    <font>
      <sz val="8"/>
      <name val="Calibri"/>
      <family val="2"/>
      <scheme val="minor"/>
    </font>
    <font>
      <b/>
      <sz val="14"/>
      <color theme="1"/>
      <name val="Calibri"/>
      <family val="2"/>
      <scheme val="minor"/>
    </font>
    <font>
      <sz val="10"/>
      <name val="Arial"/>
      <family val="2"/>
    </font>
    <font>
      <sz val="11"/>
      <color rgb="FF242424"/>
      <name val="Aptos Narrow"/>
      <family val="2"/>
    </font>
    <font>
      <sz val="9"/>
      <color indexed="81"/>
      <name val="Tahoma"/>
      <family val="2"/>
    </font>
    <font>
      <b/>
      <sz val="9"/>
      <color indexed="81"/>
      <name val="Tahoma"/>
      <family val="2"/>
    </font>
  </fonts>
  <fills count="10">
    <fill>
      <patternFill patternType="none"/>
    </fill>
    <fill>
      <patternFill patternType="gray125"/>
    </fill>
    <fill>
      <patternFill patternType="solid">
        <fgColor theme="0" tint="-4.9989318521683403E-2"/>
        <bgColor indexed="64"/>
      </patternFill>
    </fill>
    <fill>
      <patternFill patternType="solid">
        <fgColor rgb="FF093A6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0000"/>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0" fillId="0" borderId="0"/>
  </cellStyleXfs>
  <cellXfs count="69">
    <xf numFmtId="0" fontId="0" fillId="0" borderId="0" xfId="0"/>
    <xf numFmtId="0" fontId="0" fillId="0" borderId="1" xfId="0" applyBorder="1" applyAlignment="1">
      <alignment horizontal="center" vertical="center" wrapText="1"/>
    </xf>
    <xf numFmtId="0" fontId="0" fillId="0" borderId="1" xfId="0"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22" fontId="0" fillId="0" borderId="1" xfId="0" applyNumberFormat="1" applyBorder="1" applyAlignment="1" applyProtection="1">
      <alignment horizontal="center" vertical="center"/>
      <protection locked="0"/>
    </xf>
    <xf numFmtId="1" fontId="0" fillId="2" borderId="1" xfId="0" applyNumberFormat="1" applyFill="1" applyBorder="1" applyAlignment="1">
      <alignment horizontal="center" vertical="center"/>
    </xf>
    <xf numFmtId="0" fontId="0" fillId="0" borderId="1" xfId="0" applyBorder="1" applyAlignment="1" applyProtection="1">
      <alignment horizontal="center" vertical="center"/>
      <protection locked="0"/>
    </xf>
    <xf numFmtId="0" fontId="0" fillId="2" borderId="1" xfId="0" applyFill="1" applyBorder="1" applyAlignment="1">
      <alignment horizontal="center" vertical="center"/>
    </xf>
    <xf numFmtId="164" fontId="2"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164" fontId="2" fillId="2" borderId="1" xfId="0" applyNumberFormat="1" applyFont="1" applyFill="1" applyBorder="1" applyAlignment="1">
      <alignment horizontal="center" vertical="center"/>
    </xf>
    <xf numFmtId="0" fontId="4" fillId="3" borderId="0" xfId="0" applyFont="1" applyFill="1" applyAlignment="1" applyProtection="1">
      <alignment horizontal="center" vertical="center"/>
      <protection locked="0"/>
    </xf>
    <xf numFmtId="0" fontId="4" fillId="3" borderId="0" xfId="0" applyFont="1" applyFill="1" applyAlignment="1" applyProtection="1">
      <alignment vertical="center"/>
      <protection locked="0"/>
    </xf>
    <xf numFmtId="0" fontId="4" fillId="3" borderId="0" xfId="0" applyFont="1" applyFill="1" applyAlignment="1">
      <alignment vertical="center"/>
    </xf>
    <xf numFmtId="1" fontId="0" fillId="0" borderId="1" xfId="0" applyNumberFormat="1" applyBorder="1" applyAlignment="1" applyProtection="1">
      <alignment horizontal="center" vertical="center"/>
      <protection locked="0"/>
    </xf>
    <xf numFmtId="164" fontId="0" fillId="0" borderId="0" xfId="0" applyNumberFormat="1"/>
    <xf numFmtId="0" fontId="0" fillId="0" borderId="0" xfId="0" applyAlignment="1">
      <alignment horizontal="center"/>
    </xf>
    <xf numFmtId="9" fontId="0" fillId="0" borderId="0" xfId="1" applyFont="1"/>
    <xf numFmtId="0" fontId="2" fillId="0" borderId="0" xfId="0" applyFont="1"/>
    <xf numFmtId="0" fontId="6" fillId="4" borderId="0" xfId="0" applyFont="1" applyFill="1"/>
    <xf numFmtId="164" fontId="6" fillId="4" borderId="0" xfId="0" applyNumberFormat="1" applyFont="1" applyFill="1"/>
    <xf numFmtId="0" fontId="7" fillId="0" borderId="0" xfId="0" applyFont="1"/>
    <xf numFmtId="0" fontId="2" fillId="4" borderId="0" xfId="0" applyFont="1" applyFill="1" applyAlignment="1">
      <alignment horizontal="center"/>
    </xf>
    <xf numFmtId="0" fontId="9" fillId="4" borderId="6" xfId="0" applyFont="1" applyFill="1" applyBorder="1"/>
    <xf numFmtId="164" fontId="2" fillId="0" borderId="6" xfId="1" applyNumberFormat="1" applyFont="1" applyBorder="1"/>
    <xf numFmtId="164" fontId="2" fillId="0" borderId="6" xfId="1" applyNumberFormat="1" applyFont="1" applyFill="1" applyBorder="1"/>
    <xf numFmtId="16" fontId="0" fillId="0" borderId="1" xfId="0" applyNumberFormat="1" applyBorder="1" applyProtection="1">
      <protection locked="0"/>
    </xf>
    <xf numFmtId="165" fontId="1" fillId="0" borderId="1" xfId="1" applyNumberFormat="1" applyFont="1" applyFill="1" applyBorder="1" applyAlignment="1" applyProtection="1">
      <alignment horizontal="center" vertical="center"/>
      <protection locked="0"/>
    </xf>
    <xf numFmtId="0" fontId="0" fillId="0" borderId="1" xfId="0" applyBorder="1" applyProtection="1">
      <protection locked="0"/>
    </xf>
    <xf numFmtId="1" fontId="0" fillId="0" borderId="0" xfId="0" applyNumberFormat="1" applyAlignment="1" applyProtection="1">
      <alignment horizontal="center"/>
      <protection locked="0"/>
    </xf>
    <xf numFmtId="0" fontId="5" fillId="5" borderId="2" xfId="0" applyFont="1" applyFill="1" applyBorder="1"/>
    <xf numFmtId="0" fontId="5" fillId="5" borderId="3" xfId="0" applyFont="1" applyFill="1" applyBorder="1" applyProtection="1">
      <protection locked="0"/>
    </xf>
    <xf numFmtId="1" fontId="5" fillId="5" borderId="3" xfId="0" applyNumberFormat="1" applyFont="1" applyFill="1" applyBorder="1" applyAlignment="1">
      <alignment horizontal="center"/>
    </xf>
    <xf numFmtId="164" fontId="5" fillId="5" borderId="4" xfId="1" applyNumberFormat="1" applyFont="1" applyFill="1" applyBorder="1" applyAlignment="1">
      <alignment horizontal="center" vertical="center"/>
    </xf>
    <xf numFmtId="165" fontId="5" fillId="5" borderId="3" xfId="1" applyNumberFormat="1" applyFont="1" applyFill="1" applyBorder="1" applyAlignment="1">
      <alignment horizontal="center" vertical="center"/>
    </xf>
    <xf numFmtId="164" fontId="5" fillId="5" borderId="3" xfId="1" applyNumberFormat="1" applyFont="1" applyFill="1" applyBorder="1" applyAlignment="1">
      <alignment horizontal="center" vertical="center"/>
    </xf>
    <xf numFmtId="0" fontId="5" fillId="5" borderId="3" xfId="0" applyFont="1" applyFill="1" applyBorder="1" applyAlignment="1" applyProtection="1">
      <alignment horizontal="center"/>
      <protection locked="0"/>
    </xf>
    <xf numFmtId="1" fontId="5" fillId="5" borderId="3" xfId="0" applyNumberFormat="1" applyFont="1" applyFill="1" applyBorder="1" applyAlignment="1" applyProtection="1">
      <alignment horizontal="center"/>
      <protection locked="0"/>
    </xf>
    <xf numFmtId="0" fontId="5" fillId="5" borderId="3" xfId="0" applyFont="1" applyFill="1" applyBorder="1"/>
    <xf numFmtId="164" fontId="5" fillId="5" borderId="3" xfId="1" applyNumberFormat="1" applyFont="1" applyFill="1" applyBorder="1" applyAlignment="1" applyProtection="1">
      <alignment horizontal="center"/>
      <protection locked="0"/>
    </xf>
    <xf numFmtId="164" fontId="5" fillId="5" borderId="4" xfId="0" applyNumberFormat="1" applyFont="1" applyFill="1" applyBorder="1" applyAlignment="1">
      <alignment horizontal="center" vertical="center"/>
    </xf>
    <xf numFmtId="164" fontId="5" fillId="5" borderId="7" xfId="0" applyNumberFormat="1" applyFont="1" applyFill="1" applyBorder="1" applyAlignment="1">
      <alignment horizontal="center" vertical="center"/>
    </xf>
    <xf numFmtId="0" fontId="5" fillId="0" borderId="0" xfId="0" applyFont="1"/>
    <xf numFmtId="0" fontId="6" fillId="0" borderId="0" xfId="0" applyFont="1"/>
    <xf numFmtId="164" fontId="6" fillId="0" borderId="0" xfId="0" applyNumberFormat="1" applyFont="1"/>
    <xf numFmtId="9" fontId="6" fillId="0" borderId="0" xfId="0" applyNumberFormat="1" applyFont="1"/>
    <xf numFmtId="165" fontId="0" fillId="0" borderId="1" xfId="0" applyNumberFormat="1"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0" fontId="0" fillId="7" borderId="1" xfId="0" applyFill="1" applyBorder="1" applyAlignment="1" applyProtection="1">
      <alignment horizontal="center" vertical="center" wrapText="1"/>
      <protection locked="0"/>
    </xf>
    <xf numFmtId="0" fontId="0" fillId="7" borderId="1" xfId="0" applyFill="1" applyBorder="1" applyAlignment="1">
      <alignment horizontal="center" vertical="center" wrapText="1"/>
    </xf>
    <xf numFmtId="0" fontId="0" fillId="6" borderId="0" xfId="0" applyFill="1"/>
    <xf numFmtId="164" fontId="2" fillId="9" borderId="6" xfId="1" applyNumberFormat="1" applyFont="1" applyFill="1" applyBorder="1"/>
    <xf numFmtId="0" fontId="2" fillId="0" borderId="0" xfId="0" applyFont="1" applyAlignment="1">
      <alignment horizontal="center"/>
    </xf>
    <xf numFmtId="164" fontId="0" fillId="0" borderId="0" xfId="0" applyNumberFormat="1" applyAlignment="1">
      <alignment horizontal="center"/>
    </xf>
    <xf numFmtId="9" fontId="0" fillId="0" borderId="0" xfId="1" applyFont="1" applyAlignment="1">
      <alignment horizontal="center"/>
    </xf>
    <xf numFmtId="165" fontId="0" fillId="0" borderId="1" xfId="1" applyNumberFormat="1" applyFont="1" applyBorder="1" applyAlignment="1" applyProtection="1">
      <alignment horizontal="center" vertical="center"/>
      <protection locked="0"/>
    </xf>
    <xf numFmtId="0" fontId="0" fillId="0" borderId="1" xfId="0" applyBorder="1" applyAlignment="1" applyProtection="1">
      <alignment wrapText="1"/>
      <protection locked="0"/>
    </xf>
    <xf numFmtId="164" fontId="2" fillId="0" borderId="1" xfId="1" applyNumberFormat="1" applyFont="1" applyFill="1" applyBorder="1" applyAlignment="1">
      <alignment horizontal="center" vertical="center"/>
    </xf>
    <xf numFmtId="0" fontId="11" fillId="0" borderId="0" xfId="0" applyFont="1"/>
    <xf numFmtId="16" fontId="0" fillId="0" borderId="0" xfId="0" applyNumberFormat="1"/>
    <xf numFmtId="22" fontId="0" fillId="8" borderId="0" xfId="0" applyNumberFormat="1" applyFill="1" applyAlignment="1">
      <alignment horizontal="center"/>
    </xf>
    <xf numFmtId="0" fontId="0" fillId="0" borderId="8" xfId="0" applyBorder="1"/>
    <xf numFmtId="164" fontId="2" fillId="0" borderId="9" xfId="1" applyNumberFormat="1" applyFont="1" applyFill="1" applyBorder="1"/>
    <xf numFmtId="164" fontId="2" fillId="9" borderId="10" xfId="1" applyNumberFormat="1" applyFont="1" applyFill="1" applyBorder="1"/>
    <xf numFmtId="1" fontId="7" fillId="0" borderId="0" xfId="0" applyNumberFormat="1" applyFont="1"/>
    <xf numFmtId="0" fontId="6" fillId="0" borderId="5" xfId="0" applyFont="1" applyBorder="1" applyAlignment="1">
      <alignment horizontal="center"/>
    </xf>
    <xf numFmtId="0" fontId="6" fillId="0" borderId="0" xfId="0" applyFont="1" applyAlignment="1">
      <alignment horizontal="center"/>
    </xf>
    <xf numFmtId="164" fontId="6" fillId="0" borderId="0" xfId="0" applyNumberFormat="1" applyFont="1" applyAlignment="1">
      <alignment horizontal="center"/>
    </xf>
  </cellXfs>
  <cellStyles count="4">
    <cellStyle name="Comma 2 2" xfId="2" xr:uid="{00000000-0005-0000-0000-000000000000}"/>
    <cellStyle name="Normal" xfId="0" builtinId="0"/>
    <cellStyle name="Normal 2" xfId="3"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January 2026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9854713756660426E-2"/>
          <c:y val="0.11975222945654856"/>
          <c:w val="0.88096625815611196"/>
          <c:h val="0.65355503761248213"/>
        </c:manualLayout>
      </c:layout>
      <c:barChart>
        <c:barDir val="col"/>
        <c:grouping val="stacked"/>
        <c:varyColors val="0"/>
        <c:ser>
          <c:idx val="0"/>
          <c:order val="0"/>
          <c:tx>
            <c:strRef>
              <c:f>'January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'January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'January 2026 (w Utilization)'!$D$47:$D$52</c:f>
              <c:numCache>
                <c:formatCode>0.0%</c:formatCode>
                <c:ptCount val="6"/>
                <c:pt idx="0">
                  <c:v>0.64362996422531538</c:v>
                </c:pt>
                <c:pt idx="1">
                  <c:v>0.54121281347452155</c:v>
                </c:pt>
                <c:pt idx="2">
                  <c:v>0.7606447540905179</c:v>
                </c:pt>
                <c:pt idx="3">
                  <c:v>0.63960770986083448</c:v>
                </c:pt>
                <c:pt idx="4">
                  <c:v>0.87063192938306744</c:v>
                </c:pt>
                <c:pt idx="5">
                  <c:v>0.97189598882433748</c:v>
                </c:pt>
              </c:numCache>
            </c:numRef>
          </c:val>
          <c:extLst>
            <c:ext xmlns:c16="http://schemas.microsoft.com/office/drawing/2014/chart" uri="{C3380CC4-5D6E-409C-BE32-E72D297353CC}">
              <c16:uniqueId val="{00000000-9795-4D1A-A0A8-28AF5627E8EA}"/>
            </c:ext>
          </c:extLst>
        </c:ser>
        <c:ser>
          <c:idx val="1"/>
          <c:order val="1"/>
          <c:tx>
            <c:strRef>
              <c:f>'January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'January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'January 2026 (w Utilization)'!$E$47:$E$52</c:f>
              <c:numCache>
                <c:formatCode>0%</c:formatCode>
                <c:ptCount val="6"/>
                <c:pt idx="0">
                  <c:v>0.35637003577468462</c:v>
                </c:pt>
                <c:pt idx="1">
                  <c:v>0.45878718652547845</c:v>
                </c:pt>
                <c:pt idx="2">
                  <c:v>0.2393552459094821</c:v>
                </c:pt>
                <c:pt idx="3">
                  <c:v>0.36039229013916552</c:v>
                </c:pt>
                <c:pt idx="4">
                  <c:v>0.12936807061693256</c:v>
                </c:pt>
                <c:pt idx="5">
                  <c:v>2.8104011175662524E-2</c:v>
                </c:pt>
              </c:numCache>
            </c:numRef>
          </c:val>
          <c:extLst>
            <c:ext xmlns:c16="http://schemas.microsoft.com/office/drawing/2014/chart" uri="{C3380CC4-5D6E-409C-BE32-E72D297353CC}">
              <c16:uniqueId val="{00000001-9795-4D1A-A0A8-28AF5627E8EA}"/>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layout>
        <c:manualLayout>
          <c:xMode val="edge"/>
          <c:yMode val="edge"/>
          <c:x val="6.2237895128057642E-2"/>
          <c:y val="0.88317245442972347"/>
          <c:w val="0.89223377773556589"/>
          <c:h val="6.957920958565690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February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'February 2026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'February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'February 2026 (w Utilization) '!$D$47:$D$52</c:f>
              <c:numCache>
                <c:formatCode>0.0%</c:formatCode>
                <c:ptCount val="6"/>
                <c:pt idx="0">
                  <c:v>0.60499999999999998</c:v>
                </c:pt>
                <c:pt idx="1">
                  <c:v>0.50027098623751065</c:v>
                </c:pt>
                <c:pt idx="2">
                  <c:v>0.70134795333667943</c:v>
                </c:pt>
                <c:pt idx="3">
                  <c:v>0.58501999257975867</c:v>
                </c:pt>
                <c:pt idx="4">
                  <c:v>0.86496339636910569</c:v>
                </c:pt>
                <c:pt idx="5">
                  <c:v>0.98863704301841404</c:v>
                </c:pt>
              </c:numCache>
            </c:numRef>
          </c:val>
          <c:extLst>
            <c:ext xmlns:c16="http://schemas.microsoft.com/office/drawing/2014/chart" uri="{C3380CC4-5D6E-409C-BE32-E72D297353CC}">
              <c16:uniqueId val="{00000000-883D-4ABE-A28B-32A7817305BC}"/>
            </c:ext>
          </c:extLst>
        </c:ser>
        <c:ser>
          <c:idx val="1"/>
          <c:order val="1"/>
          <c:tx>
            <c:strRef>
              <c:f>'February 2026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'February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'February 2026 (w Utilization) '!$E$47:$E$52</c:f>
              <c:numCache>
                <c:formatCode>0%</c:formatCode>
                <c:ptCount val="6"/>
                <c:pt idx="0">
                  <c:v>0.39500000000000002</c:v>
                </c:pt>
                <c:pt idx="1">
                  <c:v>0.49972901376248935</c:v>
                </c:pt>
                <c:pt idx="2">
                  <c:v>0.29865204666332057</c:v>
                </c:pt>
                <c:pt idx="3">
                  <c:v>0.41498000742024133</c:v>
                </c:pt>
                <c:pt idx="4">
                  <c:v>0.13503660363089431</c:v>
                </c:pt>
                <c:pt idx="5">
                  <c:v>1.1362956981585959E-2</c:v>
                </c:pt>
              </c:numCache>
            </c:numRef>
          </c:val>
          <c:extLst>
            <c:ext xmlns:c16="http://schemas.microsoft.com/office/drawing/2014/chart" uri="{C3380CC4-5D6E-409C-BE32-E72D297353CC}">
              <c16:uniqueId val="{00000001-883D-4ABE-A28B-32A7817305BC}"/>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March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'March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'March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'March 2026 (w Utilization'!$D$47:$D$52</c:f>
              <c:numCache>
                <c:formatCode>0.0%</c:formatCode>
                <c:ptCount val="6"/>
                <c:pt idx="0">
                  <c:v>0.62883701226206656</c:v>
                </c:pt>
                <c:pt idx="1">
                  <c:v>0.53134899258041124</c:v>
                </c:pt>
                <c:pt idx="2">
                  <c:v>0.75578396832908379</c:v>
                </c:pt>
                <c:pt idx="3">
                  <c:v>0.63861547960654119</c:v>
                </c:pt>
                <c:pt idx="4">
                  <c:v>0.84548021362606396</c:v>
                </c:pt>
                <c:pt idx="5">
                  <c:v>0.98409487868999934</c:v>
                </c:pt>
              </c:numCache>
            </c:numRef>
          </c:val>
          <c:extLst>
            <c:ext xmlns:c16="http://schemas.microsoft.com/office/drawing/2014/chart" uri="{C3380CC4-5D6E-409C-BE32-E72D297353CC}">
              <c16:uniqueId val="{00000000-1158-4825-AF33-91D6B27F2E5A}"/>
            </c:ext>
          </c:extLst>
        </c:ser>
        <c:ser>
          <c:idx val="1"/>
          <c:order val="1"/>
          <c:tx>
            <c:strRef>
              <c:f>'March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'March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'March 2026 (w Utilization'!$E$47:$E$52</c:f>
              <c:numCache>
                <c:formatCode>0%</c:formatCode>
                <c:ptCount val="6"/>
                <c:pt idx="0">
                  <c:v>0.37116298773793344</c:v>
                </c:pt>
                <c:pt idx="1">
                  <c:v>0.46865100741958876</c:v>
                </c:pt>
                <c:pt idx="2">
                  <c:v>0.24421603167091621</c:v>
                </c:pt>
                <c:pt idx="3">
                  <c:v>0.36138452039345881</c:v>
                </c:pt>
                <c:pt idx="4">
                  <c:v>0.15451978637393604</c:v>
                </c:pt>
                <c:pt idx="5">
                  <c:v>1.5905121310000658E-2</c:v>
                </c:pt>
              </c:numCache>
            </c:numRef>
          </c:val>
          <c:extLst>
            <c:ext xmlns:c16="http://schemas.microsoft.com/office/drawing/2014/chart" uri="{C3380CC4-5D6E-409C-BE32-E72D297353CC}">
              <c16:uniqueId val="{00000001-1158-4825-AF33-91D6B27F2E5A}"/>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April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'April 2026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'April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'April 2026 (w Utilization) '!$D$47:$D$52</c:f>
              <c:numCache>
                <c:formatCode>0.0%</c:formatCode>
                <c:ptCount val="6"/>
                <c:pt idx="0">
                  <c:v>0.59018107126946273</c:v>
                </c:pt>
                <c:pt idx="1">
                  <c:v>0.52841874785041865</c:v>
                </c:pt>
                <c:pt idx="2">
                  <c:v>0.67551150895143985</c:v>
                </c:pt>
                <c:pt idx="3">
                  <c:v>0.60481937340157499</c:v>
                </c:pt>
                <c:pt idx="4">
                  <c:v>0.88131466486729659</c:v>
                </c:pt>
                <c:pt idx="5">
                  <c:v>0.99133748201668848</c:v>
                </c:pt>
              </c:numCache>
            </c:numRef>
          </c:val>
          <c:extLst>
            <c:ext xmlns:c16="http://schemas.microsoft.com/office/drawing/2014/chart" uri="{C3380CC4-5D6E-409C-BE32-E72D297353CC}">
              <c16:uniqueId val="{00000000-3DFE-4758-8A59-0575C8852AD8}"/>
            </c:ext>
          </c:extLst>
        </c:ser>
        <c:ser>
          <c:idx val="1"/>
          <c:order val="1"/>
          <c:tx>
            <c:strRef>
              <c:f>'April 2026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'April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'April 2026 (w Utilization) '!$E$47:$E$52</c:f>
              <c:numCache>
                <c:formatCode>0%</c:formatCode>
                <c:ptCount val="6"/>
                <c:pt idx="0">
                  <c:v>0.40981892873053727</c:v>
                </c:pt>
                <c:pt idx="1">
                  <c:v>0.47158125214958135</c:v>
                </c:pt>
                <c:pt idx="2">
                  <c:v>0.32448849104856015</c:v>
                </c:pt>
                <c:pt idx="3">
                  <c:v>0.39518062659842501</c:v>
                </c:pt>
                <c:pt idx="4">
                  <c:v>0.11868533513270341</c:v>
                </c:pt>
                <c:pt idx="5">
                  <c:v>8.662517983311524E-3</c:v>
                </c:pt>
              </c:numCache>
            </c:numRef>
          </c:val>
          <c:extLst>
            <c:ext xmlns:c16="http://schemas.microsoft.com/office/drawing/2014/chart" uri="{C3380CC4-5D6E-409C-BE32-E72D297353CC}">
              <c16:uniqueId val="{00000001-3DFE-4758-8A59-0575C8852AD8}"/>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May OEE Performance </a:t>
            </a:r>
          </a:p>
        </c:rich>
      </c:tx>
      <c:layout>
        <c:manualLayout>
          <c:xMode val="edge"/>
          <c:yMode val="edge"/>
          <c:x val="0.39942045158262507"/>
          <c:y val="2.4282585152553965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'May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'May 2026 (w Utilization)'!$D$47:$D$52</c:f>
              <c:numCache>
                <c:formatCode>0.0%</c:formatCode>
                <c:ptCount val="6"/>
                <c:pt idx="0">
                  <c:v>0.69367246046800968</c:v>
                </c:pt>
                <c:pt idx="1">
                  <c:v>0.61392030347749249</c:v>
                </c:pt>
                <c:pt idx="2">
                  <c:v>0.78495735332118755</c:v>
                </c:pt>
                <c:pt idx="3">
                  <c:v>0.69471008873943429</c:v>
                </c:pt>
                <c:pt idx="4">
                  <c:v>0.88647126989988445</c:v>
                </c:pt>
                <c:pt idx="5">
                  <c:v>0.99688193454019081</c:v>
                </c:pt>
              </c:numCache>
            </c:numRef>
          </c:val>
          <c:extLst>
            <c:ext xmlns:c16="http://schemas.microsoft.com/office/drawing/2014/chart" uri="{C3380CC4-5D6E-409C-BE32-E72D297353CC}">
              <c16:uniqueId val="{00000000-278F-462E-B38A-188492130E00}"/>
            </c:ext>
          </c:extLst>
        </c:ser>
        <c:ser>
          <c:idx val="1"/>
          <c:order val="1"/>
          <c:tx>
            <c:strRef>
              <c:f>'May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'May 2026 (w Utilization)'!$E$47:$E$52</c:f>
              <c:numCache>
                <c:formatCode>0%</c:formatCode>
                <c:ptCount val="6"/>
                <c:pt idx="0">
                  <c:v>0.30632753953199032</c:v>
                </c:pt>
                <c:pt idx="1">
                  <c:v>0.38607969652250751</c:v>
                </c:pt>
                <c:pt idx="2">
                  <c:v>0.21504264667881245</c:v>
                </c:pt>
                <c:pt idx="3">
                  <c:v>0.30528991126056571</c:v>
                </c:pt>
                <c:pt idx="4">
                  <c:v>0.11352873010011555</c:v>
                </c:pt>
                <c:pt idx="5">
                  <c:v>3.1180654598091939E-3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June 2026 OEE Performance </a:t>
            </a:r>
          </a:p>
        </c:rich>
      </c:tx>
      <c:layout>
        <c:manualLayout>
          <c:xMode val="edge"/>
          <c:yMode val="edge"/>
          <c:x val="0.28600020515529129"/>
          <c:y val="6.642535087804196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'June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'June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'June 2026 (w Utilization)'!$D$47:$D$52</c:f>
              <c:numCache>
                <c:formatCode>0.0%</c:formatCode>
                <c:ptCount val="6"/>
                <c:pt idx="0">
                  <c:v>0.71826436760350876</c:v>
                </c:pt>
                <c:pt idx="1">
                  <c:v>0.60789068331015406</c:v>
                </c:pt>
                <c:pt idx="2">
                  <c:v>0.72557585385298051</c:v>
                </c:pt>
                <c:pt idx="3">
                  <c:v>0.61407863383738615</c:v>
                </c:pt>
                <c:pt idx="4">
                  <c:v>0.99364916129622016</c:v>
                </c:pt>
                <c:pt idx="5">
                  <c:v>0.99625021965001648</c:v>
                </c:pt>
              </c:numCache>
            </c:numRef>
          </c:val>
          <c:extLst>
            <c:ext xmlns:c16="http://schemas.microsoft.com/office/drawing/2014/chart" uri="{C3380CC4-5D6E-409C-BE32-E72D297353CC}">
              <c16:uniqueId val="{00000000-278F-462E-B38A-188492130E00}"/>
            </c:ext>
          </c:extLst>
        </c:ser>
        <c:ser>
          <c:idx val="1"/>
          <c:order val="1"/>
          <c:tx>
            <c:strRef>
              <c:f>'June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'June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'June 2026 (w Utilization)'!$E$47:$E$52</c:f>
              <c:numCache>
                <c:formatCode>0%</c:formatCode>
                <c:ptCount val="6"/>
                <c:pt idx="0">
                  <c:v>0.28173563239649124</c:v>
                </c:pt>
                <c:pt idx="1">
                  <c:v>0.39210931668984594</c:v>
                </c:pt>
                <c:pt idx="2">
                  <c:v>0.27442414614701949</c:v>
                </c:pt>
                <c:pt idx="3">
                  <c:v>0.38592136616261385</c:v>
                </c:pt>
                <c:pt idx="4">
                  <c:v>6.3508387037798375E-3</c:v>
                </c:pt>
                <c:pt idx="5">
                  <c:v>3.7497803499835225E-3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3480"/>
        <c:axId val="446226816"/>
      </c:barChart>
      <c:catAx>
        <c:axId val="446233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6816"/>
        <c:crosses val="autoZero"/>
        <c:auto val="1"/>
        <c:lblAlgn val="ctr"/>
        <c:lblOffset val="100"/>
        <c:noMultiLvlLbl val="0"/>
      </c:catAx>
      <c:valAx>
        <c:axId val="44622681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3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July OEE Performance </a:t>
            </a:r>
          </a:p>
        </c:rich>
      </c:tx>
      <c:layout>
        <c:manualLayout>
          <c:xMode val="edge"/>
          <c:yMode val="edge"/>
          <c:x val="0.44347460390243576"/>
          <c:y val="4.7135725272433648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'July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'July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'July 2026 (w Utilization)'!$D$47:$D$52</c:f>
              <c:numCache>
                <c:formatCode>0.0%</c:formatCode>
                <c:ptCount val="6"/>
                <c:pt idx="0">
                  <c:v>0.74469256157625063</c:v>
                </c:pt>
                <c:pt idx="1">
                  <c:v>0.55175689573249098</c:v>
                </c:pt>
                <c:pt idx="2">
                  <c:v>0.75620518477667598</c:v>
                </c:pt>
                <c:pt idx="3">
                  <c:v>0.56028681742978748</c:v>
                </c:pt>
                <c:pt idx="4">
                  <c:v>0.98903238396632065</c:v>
                </c:pt>
                <c:pt idx="5">
                  <c:v>0.99569620810782622</c:v>
                </c:pt>
              </c:numCache>
            </c:numRef>
          </c:val>
          <c:extLst>
            <c:ext xmlns:c16="http://schemas.microsoft.com/office/drawing/2014/chart" uri="{C3380CC4-5D6E-409C-BE32-E72D297353CC}">
              <c16:uniqueId val="{00000000-278F-462E-B38A-188492130E00}"/>
            </c:ext>
          </c:extLst>
        </c:ser>
        <c:ser>
          <c:idx val="1"/>
          <c:order val="1"/>
          <c:tx>
            <c:strRef>
              <c:f>'July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'July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'July 2026 (w Utilization)'!$E$47:$E$52</c:f>
              <c:numCache>
                <c:formatCode>0%</c:formatCode>
                <c:ptCount val="6"/>
                <c:pt idx="0">
                  <c:v>0.25530743842374937</c:v>
                </c:pt>
                <c:pt idx="1">
                  <c:v>0.44824310426750902</c:v>
                </c:pt>
                <c:pt idx="2">
                  <c:v>0.24379481522332402</c:v>
                </c:pt>
                <c:pt idx="3">
                  <c:v>0.43971318257021252</c:v>
                </c:pt>
                <c:pt idx="4">
                  <c:v>1.096761603367935E-2</c:v>
                </c:pt>
                <c:pt idx="5">
                  <c:v>4.3037918921737806E-3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9168"/>
        <c:axId val="446228776"/>
      </c:barChart>
      <c:catAx>
        <c:axId val="44622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8776"/>
        <c:crosses val="autoZero"/>
        <c:auto val="1"/>
        <c:lblAlgn val="ctr"/>
        <c:lblOffset val="100"/>
        <c:noMultiLvlLbl val="0"/>
      </c:catAx>
      <c:valAx>
        <c:axId val="44622877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August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'August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'August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'August 2026 (w Utilization)'!$D$47:$D$52</c:f>
              <c:numCache>
                <c:formatCode>0.0%</c:formatCode>
                <c:ptCount val="6"/>
                <c:pt idx="0">
                  <c:v>0.71817904812838051</c:v>
                </c:pt>
                <c:pt idx="1">
                  <c:v>0.60233704485855222</c:v>
                </c:pt>
                <c:pt idx="2">
                  <c:v>0.77065482796879303</c:v>
                </c:pt>
                <c:pt idx="3">
                  <c:v>0.64634850166461577</c:v>
                </c:pt>
                <c:pt idx="4">
                  <c:v>0.93711550090731166</c:v>
                </c:pt>
                <c:pt idx="5">
                  <c:v>0.99444256685429311</c:v>
                </c:pt>
              </c:numCache>
            </c:numRef>
          </c:val>
          <c:extLst>
            <c:ext xmlns:c16="http://schemas.microsoft.com/office/drawing/2014/chart" uri="{C3380CC4-5D6E-409C-BE32-E72D297353CC}">
              <c16:uniqueId val="{00000000-278F-462E-B38A-188492130E00}"/>
            </c:ext>
          </c:extLst>
        </c:ser>
        <c:ser>
          <c:idx val="1"/>
          <c:order val="1"/>
          <c:tx>
            <c:strRef>
              <c:f>'August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'August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'August 2026 (w Utilization)'!$E$47:$E$52</c:f>
              <c:numCache>
                <c:formatCode>0%</c:formatCode>
                <c:ptCount val="6"/>
                <c:pt idx="0">
                  <c:v>0.28182095187161949</c:v>
                </c:pt>
                <c:pt idx="1">
                  <c:v>0.39766295514144778</c:v>
                </c:pt>
                <c:pt idx="2">
                  <c:v>0.22934517203120697</c:v>
                </c:pt>
                <c:pt idx="3">
                  <c:v>0.35365149833538423</c:v>
                </c:pt>
                <c:pt idx="4">
                  <c:v>6.288449909268834E-2</c:v>
                </c:pt>
                <c:pt idx="5">
                  <c:v>5.5574331457068915E-3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2696"/>
        <c:axId val="446227208"/>
      </c:barChart>
      <c:catAx>
        <c:axId val="446232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7208"/>
        <c:crosses val="autoZero"/>
        <c:auto val="1"/>
        <c:lblAlgn val="ctr"/>
        <c:lblOffset val="100"/>
        <c:noMultiLvlLbl val="0"/>
      </c:catAx>
      <c:valAx>
        <c:axId val="4462272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September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'September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'September 2026 (w Utilization)'!$C$47:$C$50</c:f>
              <c:strCache>
                <c:ptCount val="4"/>
                <c:pt idx="0">
                  <c:v>OEE </c:v>
                </c:pt>
                <c:pt idx="1">
                  <c:v>Availability</c:v>
                </c:pt>
                <c:pt idx="2">
                  <c:v>Performance</c:v>
                </c:pt>
                <c:pt idx="3">
                  <c:v>Quality</c:v>
                </c:pt>
              </c:strCache>
            </c:strRef>
          </c:cat>
          <c:val>
            <c:numRef>
              <c:f>'September 2026 (w Utilization)'!$D$47:$D$50</c:f>
              <c:numCache>
                <c:formatCode>0.0%</c:formatCode>
                <c:ptCount val="4"/>
                <c:pt idx="0">
                  <c:v>0.73946902404390458</c:v>
                </c:pt>
                <c:pt idx="1">
                  <c:v>0.81378063479317231</c:v>
                </c:pt>
                <c:pt idx="2">
                  <c:v>0.90525163546406084</c:v>
                </c:pt>
                <c:pt idx="3">
                  <c:v>0.99669934007271688</c:v>
                </c:pt>
              </c:numCache>
            </c:numRef>
          </c:val>
          <c:extLst>
            <c:ext xmlns:c16="http://schemas.microsoft.com/office/drawing/2014/chart" uri="{C3380CC4-5D6E-409C-BE32-E72D297353CC}">
              <c16:uniqueId val="{00000000-278F-462E-B38A-188492130E00}"/>
            </c:ext>
          </c:extLst>
        </c:ser>
        <c:ser>
          <c:idx val="1"/>
          <c:order val="1"/>
          <c:tx>
            <c:strRef>
              <c:f>'September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'September 2026 (w Utilization)'!$C$47:$C$50</c:f>
              <c:strCache>
                <c:ptCount val="4"/>
                <c:pt idx="0">
                  <c:v>OEE </c:v>
                </c:pt>
                <c:pt idx="1">
                  <c:v>Availability</c:v>
                </c:pt>
                <c:pt idx="2">
                  <c:v>Performance</c:v>
                </c:pt>
                <c:pt idx="3">
                  <c:v>Quality</c:v>
                </c:pt>
              </c:strCache>
            </c:strRef>
          </c:cat>
          <c:val>
            <c:numRef>
              <c:f>'September 2026 (w Utilization)'!$E$47:$E$50</c:f>
              <c:numCache>
                <c:formatCode>0%</c:formatCode>
                <c:ptCount val="4"/>
                <c:pt idx="0">
                  <c:v>0.26053097595609542</c:v>
                </c:pt>
                <c:pt idx="1">
                  <c:v>0.18621936520682769</c:v>
                </c:pt>
                <c:pt idx="2">
                  <c:v>9.4748364535939156E-2</c:v>
                </c:pt>
                <c:pt idx="3">
                  <c:v>3.3006599272831227E-3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6424"/>
        <c:axId val="446229560"/>
      </c:barChart>
      <c:catAx>
        <c:axId val="446226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9560"/>
        <c:crosses val="autoZero"/>
        <c:auto val="1"/>
        <c:lblAlgn val="ctr"/>
        <c:lblOffset val="100"/>
        <c:noMultiLvlLbl val="0"/>
      </c:catAx>
      <c:valAx>
        <c:axId val="44622956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6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October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'October 2026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'October 2026 (w Utilization) '!$C$47:$C$50</c:f>
              <c:strCache>
                <c:ptCount val="4"/>
                <c:pt idx="0">
                  <c:v>OEE </c:v>
                </c:pt>
                <c:pt idx="1">
                  <c:v>Availability</c:v>
                </c:pt>
                <c:pt idx="2">
                  <c:v>Performance</c:v>
                </c:pt>
                <c:pt idx="3">
                  <c:v>Quality</c:v>
                </c:pt>
              </c:strCache>
            </c:strRef>
          </c:cat>
          <c:val>
            <c:numRef>
              <c:f>'October 2026 (w Utilization) '!$D$47:$D$50</c:f>
              <c:numCache>
                <c:formatCode>0.0%</c:formatCode>
                <c:ptCount val="4"/>
                <c:pt idx="0">
                  <c:v>0.74821229819867618</c:v>
                </c:pt>
                <c:pt idx="1">
                  <c:v>0.8165879973027359</c:v>
                </c:pt>
                <c:pt idx="2">
                  <c:v>0.91864702109800156</c:v>
                </c:pt>
                <c:pt idx="3">
                  <c:v>0.99740876211357432</c:v>
                </c:pt>
              </c:numCache>
            </c:numRef>
          </c:val>
          <c:extLst>
            <c:ext xmlns:c16="http://schemas.microsoft.com/office/drawing/2014/chart" uri="{C3380CC4-5D6E-409C-BE32-E72D297353CC}">
              <c16:uniqueId val="{00000000-278F-462E-B38A-188492130E00}"/>
            </c:ext>
          </c:extLst>
        </c:ser>
        <c:ser>
          <c:idx val="1"/>
          <c:order val="1"/>
          <c:tx>
            <c:strRef>
              <c:f>'October 2026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'October 2026 (w Utilization) '!$C$47:$C$50</c:f>
              <c:strCache>
                <c:ptCount val="4"/>
                <c:pt idx="0">
                  <c:v>OEE </c:v>
                </c:pt>
                <c:pt idx="1">
                  <c:v>Availability</c:v>
                </c:pt>
                <c:pt idx="2">
                  <c:v>Performance</c:v>
                </c:pt>
                <c:pt idx="3">
                  <c:v>Quality</c:v>
                </c:pt>
              </c:strCache>
            </c:strRef>
          </c:cat>
          <c:val>
            <c:numRef>
              <c:f>'October 2026 (w Utilization) '!$E$47:$E$50</c:f>
              <c:numCache>
                <c:formatCode>0%</c:formatCode>
                <c:ptCount val="4"/>
                <c:pt idx="0">
                  <c:v>0.25178770180132382</c:v>
                </c:pt>
                <c:pt idx="1">
                  <c:v>0.1834120026972641</c:v>
                </c:pt>
                <c:pt idx="2">
                  <c:v>8.1352978901998441E-2</c:v>
                </c:pt>
                <c:pt idx="3">
                  <c:v>2.5912378864256791E-3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7992"/>
        <c:axId val="446229952"/>
      </c:barChart>
      <c:catAx>
        <c:axId val="446227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9952"/>
        <c:crosses val="autoZero"/>
        <c:auto val="1"/>
        <c:lblAlgn val="ctr"/>
        <c:lblOffset val="100"/>
        <c:noMultiLvlLbl val="0"/>
      </c:catAx>
      <c:valAx>
        <c:axId val="44622995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7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Overall Organization Equipment Efficiency (OEE) Performance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5C-4074-8259-EF80554541F8}"/>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37-48EA-B85D-C9FD9CD890F1}"/>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1D6-4563-9595-00BC7451A8DE}"/>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4D5-4A1C-B3FC-1BB3299AB0E6}"/>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2EA-4734-9936-91EBE6A8BEF8}"/>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AA7-4926-9F85-36143491DD1B}"/>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7CC-4DC5-9009-C013C491804F}"/>
              </c:ext>
            </c:extLst>
          </c:dPt>
          <c:dPt>
            <c:idx val="9"/>
            <c:invertIfNegative val="0"/>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A8-4B14-99FC-B3D7DBB1F5AB}"/>
              </c:ext>
            </c:extLst>
          </c:dPt>
          <c:dPt>
            <c:idx val="1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FA8-4B14-99FC-B3D7DBB1F5AB}"/>
              </c:ext>
            </c:extLst>
          </c:dPt>
          <c:dLbls>
            <c:dLbl>
              <c:idx val="0"/>
              <c:layout>
                <c:manualLayout>
                  <c:x val="3.612552831052991E-3"/>
                  <c:y val="8.25210255566574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FA8-4B14-99FC-B3D7DBB1F5AB}"/>
                </c:ext>
              </c:extLst>
            </c:dLbl>
            <c:dLbl>
              <c:idx val="1"/>
              <c:layout>
                <c:manualLayout>
                  <c:x val="4.4917198938624909E-3"/>
                  <c:y val="5.090309735659131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C05C-4074-8259-EF80554541F8}"/>
                </c:ext>
              </c:extLst>
            </c:dLbl>
            <c:dLbl>
              <c:idx val="2"/>
              <c:layout>
                <c:manualLayout>
                  <c:x val="-1.6152982576339841E-3"/>
                  <c:y val="5.818144598220419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CD37-48EA-B85D-C9FD9CD890F1}"/>
                </c:ext>
              </c:extLst>
            </c:dLbl>
            <c:dLbl>
              <c:idx val="3"/>
              <c:layout>
                <c:manualLayout>
                  <c:x val="-4.6376721974705198E-3"/>
                  <c:y val="1.873971881648498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21D6-4563-9595-00BC7451A8DE}"/>
                </c:ext>
              </c:extLst>
            </c:dLbl>
            <c:dLbl>
              <c:idx val="4"/>
              <c:layout>
                <c:manualLayout>
                  <c:x val="-1.0411128771571626E-4"/>
                  <c:y val="1.1066903545134853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B-C4D5-4A1C-B3FC-1BB3299AB0E6}"/>
                </c:ext>
              </c:extLst>
            </c:dLbl>
            <c:dLbl>
              <c:idx val="5"/>
              <c:layout>
                <c:manualLayout>
                  <c:x val="6.1163558025566342E-4"/>
                  <c:y val="1.6704064052353293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D-E2EA-4734-9936-91EBE6A8BEF8}"/>
                </c:ext>
              </c:extLst>
            </c:dLbl>
            <c:dLbl>
              <c:idx val="6"/>
              <c:layout>
                <c:manualLayout>
                  <c:x val="8.8535229345111013E-3"/>
                  <c:y val="8.9936523459814184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F-4AA7-4926-9F85-36143491DD1B}"/>
                </c:ext>
              </c:extLst>
            </c:dLbl>
            <c:dLbl>
              <c:idx val="7"/>
              <c:layout>
                <c:manualLayout>
                  <c:x val="2.1537766130202683E-3"/>
                  <c:y val="2.866814350156091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1-87CC-4DC5-9009-C013C491804F}"/>
                </c:ext>
              </c:extLst>
            </c:dLbl>
            <c:dLbl>
              <c:idx val="8"/>
              <c:layout>
                <c:manualLayout>
                  <c:x val="0"/>
                  <c:y val="1.4800517623319369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2-C0A0-4DCF-8526-796D4500B71E}"/>
                </c:ext>
              </c:extLst>
            </c:dLbl>
            <c:dLbl>
              <c:idx val="9"/>
              <c:layout>
                <c:manualLayout>
                  <c:x val="5.8567921935365509E-3"/>
                  <c:y val="-2.180473233068733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A8-4B14-99FC-B3D7DBB1F5AB}"/>
                </c:ext>
              </c:extLst>
            </c:dLbl>
            <c:dLbl>
              <c:idx val="10"/>
              <c:layout>
                <c:manualLayout>
                  <c:x val="4.9407568345448101E-3"/>
                  <c:y val="-1.14065834631959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FA8-4B14-99FC-B3D7DBB1F5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Summary!$C$3:$P$3</c15:sqref>
                  </c15:fullRef>
                </c:ext>
              </c:extLst>
              <c:f>(Summary!$C$3:$K$3,Summary!$O$3:$P$3)</c:f>
              <c:strCache>
                <c:ptCount val="11"/>
                <c:pt idx="0">
                  <c:v>January</c:v>
                </c:pt>
                <c:pt idx="1">
                  <c:v>February</c:v>
                </c:pt>
                <c:pt idx="2">
                  <c:v>March</c:v>
                </c:pt>
                <c:pt idx="3">
                  <c:v>April</c:v>
                </c:pt>
                <c:pt idx="4">
                  <c:v>May</c:v>
                </c:pt>
                <c:pt idx="5">
                  <c:v>June</c:v>
                </c:pt>
                <c:pt idx="6">
                  <c:v>July</c:v>
                </c:pt>
                <c:pt idx="7">
                  <c:v>August</c:v>
                </c:pt>
                <c:pt idx="8">
                  <c:v>September</c:v>
                </c:pt>
                <c:pt idx="9">
                  <c:v>YTD</c:v>
                </c:pt>
                <c:pt idx="10">
                  <c:v>TARGET</c:v>
                </c:pt>
              </c:strCache>
            </c:strRef>
          </c:cat>
          <c:val>
            <c:numRef>
              <c:extLst>
                <c:ext xmlns:c15="http://schemas.microsoft.com/office/drawing/2012/chart" uri="{02D57815-91ED-43cb-92C2-25804820EDAC}">
                  <c15:fullRef>
                    <c15:sqref>Summary!$C$4:$P$4</c15:sqref>
                  </c15:fullRef>
                </c:ext>
              </c:extLst>
              <c:f>(Summary!$C$4:$K$4,Summary!$O$4:$P$4)</c:f>
              <c:numCache>
                <c:formatCode>0.0%</c:formatCode>
                <c:ptCount val="11"/>
                <c:pt idx="0">
                  <c:v>0.64362996422531538</c:v>
                </c:pt>
                <c:pt idx="1">
                  <c:v>0.60499999999999998</c:v>
                </c:pt>
                <c:pt idx="2">
                  <c:v>0.62883701226206656</c:v>
                </c:pt>
                <c:pt idx="3">
                  <c:v>0.59018107126946273</c:v>
                </c:pt>
                <c:pt idx="4">
                  <c:v>0.69367246046800968</c:v>
                </c:pt>
                <c:pt idx="5">
                  <c:v>0.71826436760350876</c:v>
                </c:pt>
                <c:pt idx="6">
                  <c:v>0.74469256157625063</c:v>
                </c:pt>
                <c:pt idx="7">
                  <c:v>0.71817904812838051</c:v>
                </c:pt>
                <c:pt idx="8">
                  <c:v>0.73946902404390458</c:v>
                </c:pt>
                <c:pt idx="9">
                  <c:v>0.67576950106409983</c:v>
                </c:pt>
                <c:pt idx="10">
                  <c:v>0.72</c:v>
                </c:pt>
              </c:numCache>
            </c:numRef>
          </c:val>
          <c:extLst>
            <c:ext xmlns:c15="http://schemas.microsoft.com/office/drawing/2012/chart" uri="{02D57815-91ED-43cb-92C2-25804820EDAC}">
              <c15:categoryFilterExceptions>
                <c15:categoryFilterException>
                  <c15:sqref>Summary!$L$4</c15:sqref>
                  <c15:dLbl>
                    <c:idx val="8"/>
                    <c:layout>
                      <c:manualLayout>
                        <c:x val="0"/>
                        <c:y val="1.8514538050431718E-2"/>
                      </c:manualLayout>
                    </c:layout>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12-B2D3-458C-A932-9BDEE0319B4C}"/>
                      </c:ext>
                    </c:extLst>
                  </c15:dLbl>
                </c15:categoryFilterException>
              </c15:categoryFilterExceptions>
            </c:ext>
            <c:ext xmlns:c16="http://schemas.microsoft.com/office/drawing/2014/chart" uri="{C3380CC4-5D6E-409C-BE32-E72D297353CC}">
              <c16:uniqueId val="{00000000-DFA8-4B14-99FC-B3D7DBB1F5AB}"/>
            </c:ext>
          </c:extLst>
        </c:ser>
        <c:dLbls>
          <c:showLegendKey val="0"/>
          <c:showVal val="0"/>
          <c:showCatName val="0"/>
          <c:showSerName val="0"/>
          <c:showPercent val="0"/>
          <c:showBubbleSize val="0"/>
        </c:dLbls>
        <c:gapWidth val="100"/>
        <c:overlap val="-24"/>
        <c:axId val="372101840"/>
        <c:axId val="372102232"/>
      </c:barChart>
      <c:catAx>
        <c:axId val="37210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02232"/>
        <c:crosses val="autoZero"/>
        <c:auto val="1"/>
        <c:lblAlgn val="ctr"/>
        <c:lblOffset val="100"/>
        <c:noMultiLvlLbl val="0"/>
      </c:catAx>
      <c:valAx>
        <c:axId val="372102232"/>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0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November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'November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'November 2025 (w Utilization)'!$C$47:$C$50</c:f>
              <c:strCache>
                <c:ptCount val="4"/>
                <c:pt idx="0">
                  <c:v>OEE </c:v>
                </c:pt>
                <c:pt idx="1">
                  <c:v>Availability</c:v>
                </c:pt>
                <c:pt idx="2">
                  <c:v>Performance</c:v>
                </c:pt>
                <c:pt idx="3">
                  <c:v>Quality</c:v>
                </c:pt>
              </c:strCache>
            </c:strRef>
          </c:cat>
          <c:val>
            <c:numRef>
              <c:f>'November 2025 (w Utilization)'!$D$47:$D$50</c:f>
              <c:numCache>
                <c:formatCode>0.0%</c:formatCode>
                <c:ptCount val="4"/>
                <c:pt idx="0">
                  <c:v>0</c:v>
                </c:pt>
                <c:pt idx="1">
                  <c:v>0</c:v>
                </c:pt>
                <c:pt idx="2">
                  <c:v>0</c:v>
                </c:pt>
                <c:pt idx="3">
                  <c:v>0</c:v>
                </c:pt>
              </c:numCache>
            </c:numRef>
          </c:val>
          <c:extLst>
            <c:ext xmlns:c16="http://schemas.microsoft.com/office/drawing/2014/chart" uri="{C3380CC4-5D6E-409C-BE32-E72D297353CC}">
              <c16:uniqueId val="{00000000-278F-462E-B38A-188492130E00}"/>
            </c:ext>
          </c:extLst>
        </c:ser>
        <c:ser>
          <c:idx val="1"/>
          <c:order val="1"/>
          <c:tx>
            <c:strRef>
              <c:f>'November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'November 2025 (w Utilization)'!$C$47:$C$50</c:f>
              <c:strCache>
                <c:ptCount val="4"/>
                <c:pt idx="0">
                  <c:v>OEE </c:v>
                </c:pt>
                <c:pt idx="1">
                  <c:v>Availability</c:v>
                </c:pt>
                <c:pt idx="2">
                  <c:v>Performance</c:v>
                </c:pt>
                <c:pt idx="3">
                  <c:v>Quality</c:v>
                </c:pt>
              </c:strCache>
            </c:strRef>
          </c:cat>
          <c:val>
            <c:numRef>
              <c:f>'November 2025 (w Utilization)'!$E$47:$E$50</c:f>
              <c:numCache>
                <c:formatCode>0%</c:formatCode>
                <c:ptCount val="4"/>
                <c:pt idx="0">
                  <c:v>0</c:v>
                </c:pt>
                <c:pt idx="1">
                  <c:v>0</c:v>
                </c:pt>
                <c:pt idx="2">
                  <c:v>0</c:v>
                </c:pt>
                <c:pt idx="3">
                  <c:v>0</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0344"/>
        <c:axId val="446231128"/>
      </c:barChart>
      <c:catAx>
        <c:axId val="446230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128"/>
        <c:crosses val="autoZero"/>
        <c:auto val="1"/>
        <c:lblAlgn val="ctr"/>
        <c:lblOffset val="100"/>
        <c:noMultiLvlLbl val="0"/>
      </c:catAx>
      <c:valAx>
        <c:axId val="44623112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0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December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'December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'December 2025 (w Utilization)'!$C$47:$C$50</c:f>
              <c:strCache>
                <c:ptCount val="4"/>
                <c:pt idx="0">
                  <c:v>OEE </c:v>
                </c:pt>
                <c:pt idx="1">
                  <c:v>Availability</c:v>
                </c:pt>
                <c:pt idx="2">
                  <c:v>Performance</c:v>
                </c:pt>
                <c:pt idx="3">
                  <c:v>Quality</c:v>
                </c:pt>
              </c:strCache>
            </c:strRef>
          </c:cat>
          <c:val>
            <c:numRef>
              <c:f>'December 2025 (w Utilization)'!$D$47:$D$50</c:f>
              <c:numCache>
                <c:formatCode>0.0%</c:formatCode>
                <c:ptCount val="4"/>
                <c:pt idx="0">
                  <c:v>0</c:v>
                </c:pt>
                <c:pt idx="1">
                  <c:v>0</c:v>
                </c:pt>
                <c:pt idx="2">
                  <c:v>0</c:v>
                </c:pt>
                <c:pt idx="3">
                  <c:v>0</c:v>
                </c:pt>
              </c:numCache>
            </c:numRef>
          </c:val>
          <c:extLst>
            <c:ext xmlns:c16="http://schemas.microsoft.com/office/drawing/2014/chart" uri="{C3380CC4-5D6E-409C-BE32-E72D297353CC}">
              <c16:uniqueId val="{00000000-278F-462E-B38A-188492130E00}"/>
            </c:ext>
          </c:extLst>
        </c:ser>
        <c:ser>
          <c:idx val="1"/>
          <c:order val="1"/>
          <c:tx>
            <c:strRef>
              <c:f>'December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'December 2025 (w Utilization)'!$C$47:$C$50</c:f>
              <c:strCache>
                <c:ptCount val="4"/>
                <c:pt idx="0">
                  <c:v>OEE </c:v>
                </c:pt>
                <c:pt idx="1">
                  <c:v>Availability</c:v>
                </c:pt>
                <c:pt idx="2">
                  <c:v>Performance</c:v>
                </c:pt>
                <c:pt idx="3">
                  <c:v>Quality</c:v>
                </c:pt>
              </c:strCache>
            </c:strRef>
          </c:cat>
          <c:val>
            <c:numRef>
              <c:f>'December 2025 (w Utilization)'!$E$47:$E$50</c:f>
              <c:numCache>
                <c:formatCode>0%</c:formatCode>
                <c:ptCount val="4"/>
                <c:pt idx="0">
                  <c:v>0</c:v>
                </c:pt>
                <c:pt idx="1">
                  <c:v>0</c:v>
                </c:pt>
                <c:pt idx="2">
                  <c:v>0</c:v>
                </c:pt>
                <c:pt idx="3">
                  <c:v>0</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8284968"/>
        <c:axId val="448292808"/>
      </c:barChart>
      <c:catAx>
        <c:axId val="448284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8292808"/>
        <c:crosses val="autoZero"/>
        <c:auto val="1"/>
        <c:lblAlgn val="ctr"/>
        <c:lblOffset val="100"/>
        <c:noMultiLvlLbl val="0"/>
      </c:catAx>
      <c:valAx>
        <c:axId val="4482928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8284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D34B2E46-6614-4244-9075-F62E0E353D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54</xdr:row>
      <xdr:rowOff>141514</xdr:rowOff>
    </xdr:from>
    <xdr:to>
      <xdr:col>7</xdr:col>
      <xdr:colOff>816428</xdr:colOff>
      <xdr:row>74</xdr:row>
      <xdr:rowOff>119743</xdr:rowOff>
    </xdr:to>
    <xdr:graphicFrame macro="">
      <xdr:nvGraphicFramePr>
        <xdr:cNvPr id="5" name="Chart 2">
          <a:extLst>
            <a:ext uri="{FF2B5EF4-FFF2-40B4-BE49-F238E27FC236}">
              <a16:creationId xmlns:a16="http://schemas.microsoft.com/office/drawing/2014/main" id="{A6063E06-D5D2-48DF-A3BD-AFF0AA5A9E3B}"/>
            </a:ext>
            <a:ext uri="{147F2762-F138-4A5C-976F-8EAC2B608ADB}">
              <a16:predDERef xmlns:a16="http://schemas.microsoft.com/office/drawing/2014/main" pred="{D34B2E46-6614-4244-9075-F62E0E353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AB8365BF-72D7-4CC2-8109-360791BA30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177221</xdr:colOff>
      <xdr:row>40</xdr:row>
      <xdr:rowOff>219075</xdr:rowOff>
    </xdr:from>
    <xdr:to>
      <xdr:col>16</xdr:col>
      <xdr:colOff>15875</xdr:colOff>
      <xdr:row>56</xdr:row>
      <xdr:rowOff>19050</xdr:rowOff>
    </xdr:to>
    <xdr:graphicFrame macro="">
      <xdr:nvGraphicFramePr>
        <xdr:cNvPr id="3" name="Chart 2">
          <a:extLst>
            <a:ext uri="{FF2B5EF4-FFF2-40B4-BE49-F238E27FC236}">
              <a16:creationId xmlns:a16="http://schemas.microsoft.com/office/drawing/2014/main" id="{FCE8AF13-F698-4605-B285-8DB01499D1F5}"/>
            </a:ext>
            <a:ext uri="{147F2762-F138-4A5C-976F-8EAC2B608ADB}">
              <a16:predDERef xmlns:a16="http://schemas.microsoft.com/office/drawing/2014/main" pred="{AB8365BF-72D7-4CC2-8109-360791BA3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A1073AC6-2BF7-4905-9357-E7186FE85F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174046</xdr:colOff>
      <xdr:row>42</xdr:row>
      <xdr:rowOff>291687</xdr:rowOff>
    </xdr:from>
    <xdr:to>
      <xdr:col>15</xdr:col>
      <xdr:colOff>750865</xdr:colOff>
      <xdr:row>57</xdr:row>
      <xdr:rowOff>11626</xdr:rowOff>
    </xdr:to>
    <xdr:graphicFrame macro="">
      <xdr:nvGraphicFramePr>
        <xdr:cNvPr id="3" name="Chart 2">
          <a:extLst>
            <a:ext uri="{FF2B5EF4-FFF2-40B4-BE49-F238E27FC236}">
              <a16:creationId xmlns:a16="http://schemas.microsoft.com/office/drawing/2014/main" id="{CD002527-1E54-4C7F-A340-5C912A7D5377}"/>
            </a:ext>
            <a:ext uri="{147F2762-F138-4A5C-976F-8EAC2B608ADB}">
              <a16:predDERef xmlns:a16="http://schemas.microsoft.com/office/drawing/2014/main" pred="{A1073AC6-2BF7-4905-9357-E7186FE85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58DB22F7-DBF0-4859-B5BE-84CA15F650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2790825</xdr:colOff>
      <xdr:row>55</xdr:row>
      <xdr:rowOff>9525</xdr:rowOff>
    </xdr:from>
    <xdr:to>
      <xdr:col>7</xdr:col>
      <xdr:colOff>304800</xdr:colOff>
      <xdr:row>74</xdr:row>
      <xdr:rowOff>104775</xdr:rowOff>
    </xdr:to>
    <xdr:graphicFrame macro="">
      <xdr:nvGraphicFramePr>
        <xdr:cNvPr id="3" name="Chart 2">
          <a:extLst>
            <a:ext uri="{FF2B5EF4-FFF2-40B4-BE49-F238E27FC236}">
              <a16:creationId xmlns:a16="http://schemas.microsoft.com/office/drawing/2014/main" id="{6847F3A6-6388-41F1-BD9F-3D024808E510}"/>
            </a:ext>
            <a:ext uri="{147F2762-F138-4A5C-976F-8EAC2B608ADB}">
              <a16:predDERef xmlns:a16="http://schemas.microsoft.com/office/drawing/2014/main" pred="{58DB22F7-DBF0-4859-B5BE-84CA15F65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203200</xdr:colOff>
      <xdr:row>45</xdr:row>
      <xdr:rowOff>85725</xdr:rowOff>
    </xdr:from>
    <xdr:to>
      <xdr:col>17</xdr:col>
      <xdr:colOff>25400</xdr:colOff>
      <xdr:row>61</xdr:row>
      <xdr:rowOff>120650</xdr:rowOff>
    </xdr:to>
    <xdr:graphicFrame macro="">
      <xdr:nvGraphicFramePr>
        <xdr:cNvPr id="8" name="Chart 2">
          <a:extLst>
            <a:ext uri="{FF2B5EF4-FFF2-40B4-BE49-F238E27FC236}">
              <a16:creationId xmlns:a16="http://schemas.microsoft.com/office/drawing/2014/main" id="{00000000-0008-0000-0500-000003000000}"/>
            </a:ext>
            <a:ext uri="{147F2762-F138-4A5C-976F-8EAC2B608ADB}">
              <a16:predDERef xmlns:a16="http://schemas.microsoft.com/office/drawing/2014/main" pre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631247</xdr:colOff>
      <xdr:row>40</xdr:row>
      <xdr:rowOff>259028</xdr:rowOff>
    </xdr:from>
    <xdr:to>
      <xdr:col>16</xdr:col>
      <xdr:colOff>609600</xdr:colOff>
      <xdr:row>55</xdr:row>
      <xdr:rowOff>174171</xdr:rowOff>
    </xdr:to>
    <xdr:graphicFrame macro="">
      <xdr:nvGraphicFramePr>
        <xdr:cNvPr id="3" name="Chart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3510517</xdr:colOff>
      <xdr:row>56</xdr:row>
      <xdr:rowOff>494</xdr:rowOff>
    </xdr:from>
    <xdr:to>
      <xdr:col>10</xdr:col>
      <xdr:colOff>476250</xdr:colOff>
      <xdr:row>83</xdr:row>
      <xdr:rowOff>5444</xdr:rowOff>
    </xdr:to>
    <xdr:graphicFrame macro="">
      <xdr:nvGraphicFramePr>
        <xdr:cNvPr id="3" name="Chart 2">
          <a:extLst>
            <a:ext uri="{FF2B5EF4-FFF2-40B4-BE49-F238E27FC236}">
              <a16:creationId xmlns:a16="http://schemas.microsoft.com/office/drawing/2014/main" id="{00000000-0008-0000-0700-000003000000}"/>
            </a:ext>
            <a:ext uri="{147F2762-F138-4A5C-976F-8EAC2B608ADB}">
              <a16:predDERef xmlns:a16="http://schemas.microsoft.com/office/drawing/2014/main" pre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2857715</xdr:colOff>
      <xdr:row>53</xdr:row>
      <xdr:rowOff>87239</xdr:rowOff>
    </xdr:from>
    <xdr:to>
      <xdr:col>8</xdr:col>
      <xdr:colOff>452437</xdr:colOff>
      <xdr:row>75</xdr:row>
      <xdr:rowOff>71436</xdr:rowOff>
    </xdr:to>
    <xdr:graphicFrame macro="">
      <xdr:nvGraphicFramePr>
        <xdr:cNvPr id="3" name="Chart 2">
          <a:extLst>
            <a:ext uri="{FF2B5EF4-FFF2-40B4-BE49-F238E27FC236}">
              <a16:creationId xmlns:a16="http://schemas.microsoft.com/office/drawing/2014/main" id="{00000000-0008-0000-0800-000003000000}"/>
            </a:ext>
            <a:ext uri="{147F2762-F138-4A5C-976F-8EAC2B608ADB}">
              <a16:predDERef xmlns:a16="http://schemas.microsoft.com/office/drawing/2014/main" pre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3709183</xdr:colOff>
      <xdr:row>53</xdr:row>
      <xdr:rowOff>35872</xdr:rowOff>
    </xdr:from>
    <xdr:to>
      <xdr:col>6</xdr:col>
      <xdr:colOff>40822</xdr:colOff>
      <xdr:row>74</xdr:row>
      <xdr:rowOff>81643</xdr:rowOff>
    </xdr:to>
    <xdr:graphicFrame macro="">
      <xdr:nvGraphicFramePr>
        <xdr:cNvPr id="3" name="Chart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A00-000003000000}"/>
            </a:ext>
            <a:ext uri="{147F2762-F138-4A5C-976F-8EAC2B608ADB}">
              <a16:predDERef xmlns:a16="http://schemas.microsoft.com/office/drawing/2014/main" pre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262889</xdr:colOff>
      <xdr:row>9</xdr:row>
      <xdr:rowOff>9524</xdr:rowOff>
    </xdr:from>
    <xdr:to>
      <xdr:col>13</xdr:col>
      <xdr:colOff>657225</xdr:colOff>
      <xdr:row>26</xdr:row>
      <xdr:rowOff>190499</xdr:rowOff>
    </xdr:to>
    <xdr:graphicFrame macro="">
      <xdr:nvGraphicFramePr>
        <xdr:cNvPr id="12"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B00-000003000000}"/>
            </a:ext>
            <a:ext uri="{147F2762-F138-4A5C-976F-8EAC2B608ADB}">
              <a16:predDERef xmlns:a16="http://schemas.microsoft.com/office/drawing/2014/main" pre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C00-000003000000}"/>
            </a:ext>
            <a:ext uri="{147F2762-F138-4A5C-976F-8EAC2B608ADB}">
              <a16:predDERef xmlns:a16="http://schemas.microsoft.com/office/drawing/2014/main" pre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IshaH/Downloads/CBG%20OEE%20Calculation-%202024-%20CBG.xlsx" TargetMode="External"/><Relationship Id="rId1" Type="http://schemas.openxmlformats.org/officeDocument/2006/relationships/externalLinkPath" Target="/Users/IshaH/Downloads/CBG%20OEE%20Calculation-%202024-%20CB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 2024"/>
      <sheetName val="February 2024"/>
      <sheetName val="March 2024"/>
      <sheetName val="April 2024"/>
      <sheetName val="Summary"/>
      <sheetName val="May 2024"/>
      <sheetName val="June 2024"/>
      <sheetName val="July 2024"/>
      <sheetName val="August 2024"/>
      <sheetName val="September 2024"/>
      <sheetName val="October 2024"/>
      <sheetName val="November 2024"/>
      <sheetName val="December 2024"/>
      <sheetName val="Data Sheet "/>
    </sheetNames>
    <sheetDataSet>
      <sheetData sheetId="0">
        <row r="31">
          <cell r="T31">
            <v>0.68457996967473245</v>
          </cell>
        </row>
      </sheetData>
      <sheetData sheetId="1">
        <row r="31">
          <cell r="T31">
            <v>0.74484737317576966</v>
          </cell>
        </row>
      </sheetData>
      <sheetData sheetId="2">
        <row r="31">
          <cell r="T31">
            <v>0.72293506087982795</v>
          </cell>
        </row>
      </sheetData>
      <sheetData sheetId="3">
        <row r="39">
          <cell r="D39" t="str">
            <v>Real</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27D4-15D4-4887-AAB4-04CF319B9FF4}">
  <sheetPr>
    <pageSetUpPr fitToPage="1"/>
  </sheetPr>
  <dimension ref="A1:X52"/>
  <sheetViews>
    <sheetView topLeftCell="C22" zoomScale="70" zoomScaleNormal="70" workbookViewId="0">
      <selection activeCell="T43" sqref="T43"/>
    </sheetView>
  </sheetViews>
  <sheetFormatPr defaultRowHeight="15"/>
  <cols>
    <col min="1" max="1" width="60" customWidth="1"/>
    <col min="2" max="2" width="17.140625" bestFit="1" customWidth="1"/>
    <col min="3" max="3" width="28.8554687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26</v>
      </c>
      <c r="B3" s="5">
        <v>46024.385416666664</v>
      </c>
      <c r="C3" s="5">
        <v>46024.794444444444</v>
      </c>
      <c r="D3" s="6">
        <f t="shared" ref="D3:D37" si="0">IF(B3="","",(C3-B3)*24*60)</f>
        <v>589.00000000256114</v>
      </c>
      <c r="E3" s="7">
        <v>0</v>
      </c>
      <c r="F3" s="7">
        <v>0</v>
      </c>
      <c r="G3" s="8">
        <f t="shared" ref="G3:G37" si="1">IF(E3="","",F3-E3)</f>
        <v>0</v>
      </c>
      <c r="H3" s="7">
        <f>6+6+10+5+32+5+7+5+6+6</f>
        <v>88</v>
      </c>
      <c r="I3" s="7">
        <f>2+3+3+3+2+3+3+3+3</f>
        <v>25</v>
      </c>
      <c r="J3" s="9">
        <f t="shared" ref="J3:J13" si="2">IF(B3="","",(D3-G3-H3-I3)/D3)</f>
        <v>0.80814940577332994</v>
      </c>
      <c r="K3" s="28">
        <v>0</v>
      </c>
      <c r="L3" s="28">
        <f>10+5+4+3+5+8</f>
        <v>35</v>
      </c>
      <c r="M3" s="9">
        <f t="shared" ref="M3:M37" si="3">IF(B3="","",(D3-G3-H3-I3-K3-L3-E3)/D3)</f>
        <v>0.74872665534914018</v>
      </c>
      <c r="N3" s="7">
        <v>17000</v>
      </c>
      <c r="O3" s="30">
        <f>AVERAGE(15000,15000,15000,15000,15000,15000,15000,15000,15000)</f>
        <v>15000</v>
      </c>
      <c r="P3" s="9">
        <f>IF(B3="","",O3/N3)</f>
        <v>0.88235294117647056</v>
      </c>
      <c r="Q3" s="15">
        <v>3360</v>
      </c>
      <c r="R3" s="7">
        <v>4</v>
      </c>
      <c r="S3" s="7">
        <v>139</v>
      </c>
      <c r="T3" s="5">
        <v>46028.708333333336</v>
      </c>
      <c r="U3" s="10">
        <f t="shared" ref="U3:U20" si="4">IF(S3="","",(T3-C3))</f>
        <v>3.913888888891961</v>
      </c>
      <c r="V3" s="9">
        <f t="shared" ref="V3:V37" si="5">IF(B3="","",IF(U3&lt;3,(Q3-R3)/Q3,(Q3-R3-S3)/Q3))</f>
        <v>0.95744047619047623</v>
      </c>
      <c r="W3" s="11">
        <f t="shared" ref="W3:W37" si="6">IF(B3="","",V3*P3*J3)</f>
        <v>0.68272495755588303</v>
      </c>
      <c r="X3" s="11">
        <f t="shared" ref="X3:X37" si="7">IF(B3="","",V3*P3*M3)</f>
        <v>0.63252459302998532</v>
      </c>
    </row>
    <row r="4" spans="1:24">
      <c r="A4" s="27" t="s">
        <v>26</v>
      </c>
      <c r="B4" s="5">
        <v>46027.076388888891</v>
      </c>
      <c r="C4" s="5">
        <v>46027.1875</v>
      </c>
      <c r="D4" s="6">
        <f t="shared" si="0"/>
        <v>159.99999999767169</v>
      </c>
      <c r="E4" s="7">
        <v>0</v>
      </c>
      <c r="F4" s="7">
        <v>0</v>
      </c>
      <c r="G4" s="8">
        <f t="shared" si="1"/>
        <v>0</v>
      </c>
      <c r="H4" s="7">
        <f>60+60+30</f>
        <v>150</v>
      </c>
      <c r="I4" s="7">
        <v>0</v>
      </c>
      <c r="J4" s="9">
        <f t="shared" si="2"/>
        <v>6.2499999986357579E-2</v>
      </c>
      <c r="K4" s="28">
        <v>0</v>
      </c>
      <c r="L4" s="28">
        <v>0</v>
      </c>
      <c r="M4" s="9">
        <f t="shared" si="3"/>
        <v>6.2499999986357579E-2</v>
      </c>
      <c r="N4" s="7">
        <v>17000</v>
      </c>
      <c r="O4" s="30">
        <v>15000</v>
      </c>
      <c r="P4" s="9">
        <f>IF(B4="","",O4/N4)</f>
        <v>0.88235294117647056</v>
      </c>
      <c r="Q4" s="15">
        <v>19</v>
      </c>
      <c r="R4" s="7"/>
      <c r="S4" s="7"/>
      <c r="T4" s="5"/>
      <c r="U4" s="10" t="str">
        <f t="shared" si="4"/>
        <v/>
      </c>
      <c r="V4" s="9">
        <f t="shared" si="5"/>
        <v>1</v>
      </c>
      <c r="W4" s="11">
        <f t="shared" si="6"/>
        <v>5.5147058811491984E-2</v>
      </c>
      <c r="X4" s="11">
        <f t="shared" si="7"/>
        <v>5.5147058811491984E-2</v>
      </c>
    </row>
    <row r="5" spans="1:24">
      <c r="A5" s="27" t="s">
        <v>26</v>
      </c>
      <c r="B5" s="5">
        <v>46030.80972222222</v>
      </c>
      <c r="C5" s="5">
        <v>46031</v>
      </c>
      <c r="D5" s="6">
        <f t="shared" si="0"/>
        <v>274.00000000256114</v>
      </c>
      <c r="E5" s="7">
        <v>0</v>
      </c>
      <c r="F5" s="7">
        <v>0</v>
      </c>
      <c r="G5" s="8">
        <f t="shared" si="1"/>
        <v>0</v>
      </c>
      <c r="H5" s="7">
        <f>6+5+26+7+11+10</f>
        <v>65</v>
      </c>
      <c r="I5" s="7">
        <f>2+4+1+3+4+2</f>
        <v>16</v>
      </c>
      <c r="J5" s="9">
        <f t="shared" si="2"/>
        <v>0.70437956204655883</v>
      </c>
      <c r="K5" s="28">
        <v>0</v>
      </c>
      <c r="L5" s="28">
        <f>3</f>
        <v>3</v>
      </c>
      <c r="M5" s="9">
        <f t="shared" si="3"/>
        <v>0.6934306569371721</v>
      </c>
      <c r="N5" s="7">
        <v>17000</v>
      </c>
      <c r="O5" s="30">
        <f>AVERAGE(13000,13000,13000,13000)</f>
        <v>13000</v>
      </c>
      <c r="P5" s="9">
        <f>IF(B5="","",Q5/N5)</f>
        <v>9.1941176470588235E-2</v>
      </c>
      <c r="Q5" s="15">
        <v>1563</v>
      </c>
      <c r="R5" s="7">
        <v>4</v>
      </c>
      <c r="S5" s="7"/>
      <c r="T5" s="5"/>
      <c r="U5" s="10" t="str">
        <f t="shared" si="4"/>
        <v/>
      </c>
      <c r="V5" s="9">
        <f t="shared" si="5"/>
        <v>0.9974408189379399</v>
      </c>
      <c r="W5" s="11">
        <f t="shared" si="6"/>
        <v>6.4595749248857956E-2</v>
      </c>
      <c r="X5" s="11">
        <f t="shared" si="7"/>
        <v>6.3591670245003021E-2</v>
      </c>
    </row>
    <row r="6" spans="1:24">
      <c r="A6" s="27" t="s">
        <v>27</v>
      </c>
      <c r="B6" s="5">
        <v>46031.010416666664</v>
      </c>
      <c r="C6" s="5">
        <v>46031.833333333336</v>
      </c>
      <c r="D6" s="6">
        <f t="shared" si="0"/>
        <v>1185.0000000069849</v>
      </c>
      <c r="E6" s="7">
        <v>45</v>
      </c>
      <c r="F6" s="7">
        <v>18</v>
      </c>
      <c r="G6" s="8">
        <f t="shared" si="1"/>
        <v>-27</v>
      </c>
      <c r="H6" s="7">
        <f>5+6+57+37+11+10+5+7+18+6</f>
        <v>162</v>
      </c>
      <c r="I6" s="7">
        <f>2+3+3+2+4+2+3+2+3+3+2+2+3+4+1+4+2+4+2+2+2+2+4+4+3+2+4</f>
        <v>74</v>
      </c>
      <c r="J6" s="9">
        <f t="shared" si="2"/>
        <v>0.823628691984162</v>
      </c>
      <c r="K6" s="28">
        <v>0</v>
      </c>
      <c r="L6" s="28">
        <f>30+10+5+15+6+7+6+13+7+6+3+10+15+3+11+2+4+3</f>
        <v>156</v>
      </c>
      <c r="M6" s="9">
        <f t="shared" si="3"/>
        <v>0.65400843882060478</v>
      </c>
      <c r="N6" s="7">
        <v>17000</v>
      </c>
      <c r="O6" s="30">
        <f>AVERAGE(13000,13000,13000,13000,13000,13000,13000,14000,17000,20000,18000,18000,17000,18000,18000,18000,18000,18000)</f>
        <v>15833.333333333334</v>
      </c>
      <c r="P6" s="9">
        <f>IF(B6="","",Q6/N6)</f>
        <v>0.36464705882352944</v>
      </c>
      <c r="Q6" s="15">
        <v>6199</v>
      </c>
      <c r="R6" s="7">
        <v>29</v>
      </c>
      <c r="S6" s="7">
        <v>1</v>
      </c>
      <c r="T6" s="5"/>
      <c r="U6" s="10">
        <f t="shared" si="4"/>
        <v>-46031.833333333336</v>
      </c>
      <c r="V6" s="9">
        <f t="shared" si="5"/>
        <v>0.99532182610098408</v>
      </c>
      <c r="W6" s="11">
        <f t="shared" si="6"/>
        <v>0.29892876644366351</v>
      </c>
      <c r="X6" s="11">
        <f t="shared" si="7"/>
        <v>0.23736659220724304</v>
      </c>
    </row>
    <row r="7" spans="1:24">
      <c r="A7" s="29" t="s">
        <v>28</v>
      </c>
      <c r="B7" s="5">
        <v>46032.350694444445</v>
      </c>
      <c r="C7" s="5">
        <v>46032.604166666664</v>
      </c>
      <c r="D7" s="6">
        <f t="shared" si="0"/>
        <v>364.99999999534339</v>
      </c>
      <c r="E7" s="7">
        <v>0</v>
      </c>
      <c r="F7" s="7">
        <v>0</v>
      </c>
      <c r="G7" s="8">
        <f t="shared" si="1"/>
        <v>0</v>
      </c>
      <c r="H7" s="7">
        <f>5+5+6+9+6+5+6</f>
        <v>42</v>
      </c>
      <c r="I7" s="7">
        <f>3+3+4+2+1+3+2+4+4+4+2+4</f>
        <v>36</v>
      </c>
      <c r="J7" s="9">
        <f t="shared" si="2"/>
        <v>0.78630136986028731</v>
      </c>
      <c r="K7" s="28">
        <v>0</v>
      </c>
      <c r="L7" s="28">
        <f>4</f>
        <v>4</v>
      </c>
      <c r="M7" s="9">
        <f t="shared" si="3"/>
        <v>0.77534246575055854</v>
      </c>
      <c r="N7" s="7">
        <v>17000</v>
      </c>
      <c r="O7" s="30">
        <f>AVERAGE(17500,17000,17000,17000,17000)</f>
        <v>17100</v>
      </c>
      <c r="P7" s="9">
        <f>IF(B7="","",Q7/N7)</f>
        <v>0.15158823529411763</v>
      </c>
      <c r="Q7" s="15">
        <v>2577</v>
      </c>
      <c r="R7" s="7">
        <v>32</v>
      </c>
      <c r="S7" s="7"/>
      <c r="T7" s="5"/>
      <c r="U7" s="10" t="str">
        <f t="shared" si="4"/>
        <v/>
      </c>
      <c r="V7" s="9">
        <f t="shared" si="5"/>
        <v>0.9875824602250679</v>
      </c>
      <c r="W7" s="11">
        <f t="shared" si="6"/>
        <v>0.11771394037026064</v>
      </c>
      <c r="X7" s="11">
        <f t="shared" si="7"/>
        <v>0.11607332796089243</v>
      </c>
    </row>
    <row r="8" spans="1:24">
      <c r="A8" s="29" t="s">
        <v>29</v>
      </c>
      <c r="B8" s="5">
        <v>46034.135416666664</v>
      </c>
      <c r="C8" s="5">
        <v>46035</v>
      </c>
      <c r="D8" s="6">
        <f t="shared" si="0"/>
        <v>1245.0000000034925</v>
      </c>
      <c r="E8" s="7">
        <f>100+45</f>
        <v>145</v>
      </c>
      <c r="F8" s="7">
        <v>238</v>
      </c>
      <c r="G8" s="8">
        <f t="shared" si="1"/>
        <v>93</v>
      </c>
      <c r="H8" s="7">
        <f>10+8+5+7+6+6+5+5+8+6+7+5+29+6+11</f>
        <v>124</v>
      </c>
      <c r="I8" s="7">
        <f>3+3+2+3+1+2+4+1+2+2+3+3+2+2+4+3+2+3+4+4+2+2+4+2+3+1+4+3+3+3+2+3+3</f>
        <v>88</v>
      </c>
      <c r="J8" s="9">
        <f t="shared" si="2"/>
        <v>0.75502008032197232</v>
      </c>
      <c r="K8" s="28">
        <v>0</v>
      </c>
      <c r="L8" s="28">
        <f>17+12+10+4</f>
        <v>43</v>
      </c>
      <c r="M8" s="9">
        <f t="shared" si="3"/>
        <v>0.60401606425813892</v>
      </c>
      <c r="N8" s="7">
        <v>17000</v>
      </c>
      <c r="O8" s="30">
        <f>AVERAGE(17500,17000,17000,17000,17000)</f>
        <v>17100</v>
      </c>
      <c r="P8" s="9">
        <f t="shared" ref="P8:P21" si="8">IF(B8="","",O8/N8)</f>
        <v>1.0058823529411764</v>
      </c>
      <c r="Q8" s="15">
        <v>5669</v>
      </c>
      <c r="R8" s="7">
        <v>21</v>
      </c>
      <c r="S8" s="7"/>
      <c r="T8" s="5"/>
      <c r="U8" s="10" t="str">
        <f>IF(S8="","",(T8-C8))</f>
        <v/>
      </c>
      <c r="V8" s="9">
        <f>IF(B8="","",IF(U8&lt;3,(Q8-R8)/Q8,(Q8-R8-S8)/Q8))</f>
        <v>0.99629564297054152</v>
      </c>
      <c r="W8" s="11">
        <f t="shared" si="6"/>
        <v>0.75664805882934372</v>
      </c>
      <c r="X8" s="11">
        <f t="shared" si="7"/>
        <v>0.60531844706403726</v>
      </c>
    </row>
    <row r="9" spans="1:24">
      <c r="A9" s="29" t="s">
        <v>30</v>
      </c>
      <c r="B9" s="5">
        <v>46035.010416666664</v>
      </c>
      <c r="C9" s="5">
        <v>46036</v>
      </c>
      <c r="D9" s="6">
        <f t="shared" si="0"/>
        <v>1425.0000000034925</v>
      </c>
      <c r="E9" s="7">
        <v>10</v>
      </c>
      <c r="F9" s="7">
        <v>30</v>
      </c>
      <c r="G9" s="8">
        <f t="shared" si="1"/>
        <v>20</v>
      </c>
      <c r="H9" s="7">
        <f>5+6+5+5+6+6+57+50+10+7+5+15+7+7+33+7+30+18+5</f>
        <v>284</v>
      </c>
      <c r="I9" s="7">
        <f>4+2+1+2+2+3+3+3+3+1+2+1+4+3+2+3+3+2+2+2+1+3+2+2+2+3+3+1+2+4+3+2+4+1+3+4+1+2</f>
        <v>91</v>
      </c>
      <c r="J9" s="9">
        <f t="shared" si="2"/>
        <v>0.72280701754453902</v>
      </c>
      <c r="K9" s="56">
        <v>0</v>
      </c>
      <c r="L9" s="56">
        <f>3+2+2+5+8+4</f>
        <v>24</v>
      </c>
      <c r="M9" s="9">
        <f t="shared" si="3"/>
        <v>0.6989473684217905</v>
      </c>
      <c r="N9" s="7">
        <v>17000</v>
      </c>
      <c r="O9" s="30">
        <f>AVERAGE(16500,16500,15000,15000,15000,15000,15000,15000,15000,15000,15000,15000,15000,15000,15000,15000,16000,16000,16000,16000,15000,15000)</f>
        <v>15318.181818181818</v>
      </c>
      <c r="P9" s="9">
        <f t="shared" si="8"/>
        <v>0.90106951871657748</v>
      </c>
      <c r="Q9" s="15">
        <v>7544</v>
      </c>
      <c r="R9" s="7">
        <v>18</v>
      </c>
      <c r="S9" s="7">
        <v>1517</v>
      </c>
      <c r="T9" s="5">
        <v>46066.833333333336</v>
      </c>
      <c r="U9" s="10">
        <f>IF(S9="","",(T9-C9))</f>
        <v>30.833333333335759</v>
      </c>
      <c r="V9" s="9">
        <f>IF(B9="","",IF(U9&lt;3,(Q9-R9)/Q9,(Q9-R9-S9)/Q9))</f>
        <v>0.79652704135737007</v>
      </c>
      <c r="W9" s="11">
        <f t="shared" si="6"/>
        <v>0.51877756135813224</v>
      </c>
      <c r="X9" s="11">
        <f t="shared" si="7"/>
        <v>0.50165286515801899</v>
      </c>
    </row>
    <row r="10" spans="1:24">
      <c r="A10" s="29" t="s">
        <v>31</v>
      </c>
      <c r="B10" s="5">
        <v>46036.008333333331</v>
      </c>
      <c r="C10" s="5">
        <v>46036.981944444444</v>
      </c>
      <c r="D10" s="6">
        <f t="shared" si="0"/>
        <v>1402.0000000018626</v>
      </c>
      <c r="E10" s="7">
        <v>10</v>
      </c>
      <c r="F10" s="7">
        <v>16</v>
      </c>
      <c r="G10" s="8">
        <f t="shared" si="1"/>
        <v>6</v>
      </c>
      <c r="H10" s="7">
        <f>11+9+24+15+5+5+16+5+11+10+5+5+6+5+6+7+9</f>
        <v>154</v>
      </c>
      <c r="I10" s="7">
        <f>1+2+2+3+1+2+4+3+2+3+2+2+3+1+3+1+3+3+2+3+2+1+3+2+1+2+4+2+4+1</f>
        <v>68</v>
      </c>
      <c r="J10" s="9">
        <f t="shared" si="2"/>
        <v>0.83737517831690655</v>
      </c>
      <c r="K10" s="28">
        <v>0</v>
      </c>
      <c r="L10" s="28">
        <f>4+11+4+4+9+5+60+25+18+14+12+16</f>
        <v>182</v>
      </c>
      <c r="M10" s="9">
        <f t="shared" si="3"/>
        <v>0.70042796005745933</v>
      </c>
      <c r="N10" s="7">
        <v>17000</v>
      </c>
      <c r="O10" s="30">
        <f>AVERAGE(15000,15000,15000,15000,15000,15000,15000,15000,15000,15000,15000,15000,15000,15000,15000,15000,15000,15000,15000,15000)</f>
        <v>15000</v>
      </c>
      <c r="P10" s="9">
        <f t="shared" si="8"/>
        <v>0.88235294117647056</v>
      </c>
      <c r="Q10" s="15">
        <v>7396</v>
      </c>
      <c r="R10" s="7">
        <v>30</v>
      </c>
      <c r="S10" s="7"/>
      <c r="T10" s="5"/>
      <c r="U10" s="10" t="str">
        <f t="shared" si="4"/>
        <v/>
      </c>
      <c r="V10" s="9">
        <f t="shared" si="5"/>
        <v>0.99594375338020547</v>
      </c>
      <c r="W10" s="11">
        <f t="shared" si="6"/>
        <v>0.73586345124737529</v>
      </c>
      <c r="X10" s="11">
        <f t="shared" si="7"/>
        <v>0.61551781015770579</v>
      </c>
    </row>
    <row r="11" spans="1:24">
      <c r="A11" s="29" t="s">
        <v>32</v>
      </c>
      <c r="B11" s="5">
        <v>46037.022222222222</v>
      </c>
      <c r="C11" s="5">
        <v>46037.956944444442</v>
      </c>
      <c r="D11" s="6">
        <f t="shared" si="0"/>
        <v>1345.9999999974389</v>
      </c>
      <c r="E11" s="7">
        <v>60</v>
      </c>
      <c r="F11" s="7">
        <v>73</v>
      </c>
      <c r="G11" s="8">
        <f t="shared" si="1"/>
        <v>13</v>
      </c>
      <c r="H11" s="7">
        <f>5+5+11+8+5+6+6+6+29+5+9+5+5+6+5+7+15+5+5+14+6+5</f>
        <v>173</v>
      </c>
      <c r="I11" s="7">
        <f>2+3+2+1+2+3+1+2+2+2+1+2+2+3+4+3+4+3+4+2+2+4+3+4+3+2+2+4+2+3+1+3+4+2+4</f>
        <v>91</v>
      </c>
      <c r="J11" s="9">
        <f t="shared" si="2"/>
        <v>0.79420505200555191</v>
      </c>
      <c r="K11" s="28">
        <v>0</v>
      </c>
      <c r="L11" s="28">
        <f>10+22+10</f>
        <v>42</v>
      </c>
      <c r="M11" s="9">
        <f t="shared" si="3"/>
        <v>0.71842496285236168</v>
      </c>
      <c r="N11" s="7">
        <v>17000</v>
      </c>
      <c r="O11" s="30">
        <f>AVERAGE(15000,15000,15000,14500,15000,15000,15000,15000,15000,15000,15000,15000,15000,15000,15000,15000,15000,15000)</f>
        <v>14972.222222222223</v>
      </c>
      <c r="P11" s="9">
        <f t="shared" si="8"/>
        <v>0.88071895424836599</v>
      </c>
      <c r="Q11" s="15">
        <v>7088</v>
      </c>
      <c r="R11" s="7">
        <v>30</v>
      </c>
      <c r="S11" s="7"/>
      <c r="T11" s="5"/>
      <c r="U11" s="10" t="str">
        <f t="shared" si="4"/>
        <v/>
      </c>
      <c r="V11" s="9">
        <f t="shared" si="5"/>
        <v>0.99576749435665912</v>
      </c>
      <c r="W11" s="11">
        <f t="shared" si="6"/>
        <v>0.6965109260318334</v>
      </c>
      <c r="X11" s="11">
        <f t="shared" si="7"/>
        <v>0.63005244665351989</v>
      </c>
    </row>
    <row r="12" spans="1:24">
      <c r="A12" s="29" t="s">
        <v>33</v>
      </c>
      <c r="B12" s="5">
        <v>46038.020833333336</v>
      </c>
      <c r="C12" s="5">
        <v>46038.824999999997</v>
      </c>
      <c r="D12" s="6">
        <f t="shared" si="0"/>
        <v>1157.9999999923166</v>
      </c>
      <c r="E12" s="7">
        <v>60</v>
      </c>
      <c r="F12" s="7">
        <v>120</v>
      </c>
      <c r="G12" s="8">
        <f t="shared" si="1"/>
        <v>60</v>
      </c>
      <c r="H12" s="7">
        <f>6+9+8+6+10+26+6+12+5+5+6+6+5+11+5</f>
        <v>126</v>
      </c>
      <c r="I12" s="7">
        <f>3+4+2+2+2+1+2+4+2+2+1+2+2+2+1+2+3+4+2+3+2+2+2+1+3+3+3+2+4+2+4+3+1+2+2+3+4+4+2+1</f>
        <v>96</v>
      </c>
      <c r="J12" s="9">
        <f t="shared" si="2"/>
        <v>0.75647668393620804</v>
      </c>
      <c r="K12" s="56">
        <v>0</v>
      </c>
      <c r="L12" s="56">
        <f>36+9+11</f>
        <v>56</v>
      </c>
      <c r="M12" s="9">
        <f t="shared" si="3"/>
        <v>0.65630397236386806</v>
      </c>
      <c r="N12" s="7">
        <v>17000</v>
      </c>
      <c r="O12" s="30">
        <f>AVERAGE(15000,15000,15000,15000,15000,15000,15000,15000,15000,15000,15000,15000,15000,15000,15000)</f>
        <v>15000</v>
      </c>
      <c r="P12" s="9">
        <f t="shared" si="8"/>
        <v>0.88235294117647056</v>
      </c>
      <c r="Q12" s="15">
        <v>6434</v>
      </c>
      <c r="R12" s="7">
        <v>17</v>
      </c>
      <c r="S12" s="7"/>
      <c r="T12" s="5"/>
      <c r="U12" s="10" t="str">
        <f t="shared" si="4"/>
        <v/>
      </c>
      <c r="V12" s="9">
        <f t="shared" si="5"/>
        <v>0.99735778675784892</v>
      </c>
      <c r="W12" s="11">
        <f t="shared" si="6"/>
        <v>0.66571580402164698</v>
      </c>
      <c r="X12" s="11">
        <f t="shared" si="7"/>
        <v>0.57756165645636348</v>
      </c>
    </row>
    <row r="13" spans="1:24">
      <c r="A13" s="29" t="s">
        <v>31</v>
      </c>
      <c r="B13" s="5">
        <v>46041.107638888891</v>
      </c>
      <c r="C13" s="5">
        <v>46042</v>
      </c>
      <c r="D13" s="6">
        <f t="shared" si="0"/>
        <v>1284.9999999976717</v>
      </c>
      <c r="E13" s="7">
        <v>10</v>
      </c>
      <c r="F13" s="7">
        <v>24</v>
      </c>
      <c r="G13" s="8">
        <f t="shared" si="1"/>
        <v>14</v>
      </c>
      <c r="H13" s="7">
        <f>5+5+7+5+5+5+16+5+5+6+5+8</f>
        <v>77</v>
      </c>
      <c r="I13" s="7">
        <f>3+3+3+4+1+2+3+2+3+2+3+4+4+2+3+2+2+1+2+1+1+1+1+1+2+1+1+2+1+1+2+1+3+4+1+1+1+1+2+1+2+2+2+1+1+2+3+2+2+2+2+1+2+1+3+3+2+2+1+2</f>
        <v>117</v>
      </c>
      <c r="J13" s="9">
        <f t="shared" si="2"/>
        <v>0.83813229571955106</v>
      </c>
      <c r="K13" s="28">
        <v>0</v>
      </c>
      <c r="L13" s="28">
        <f>5+22+4+8+2</f>
        <v>41</v>
      </c>
      <c r="M13" s="9">
        <f t="shared" si="3"/>
        <v>0.79844357976617175</v>
      </c>
      <c r="N13" s="7">
        <v>17000</v>
      </c>
      <c r="O13" s="30">
        <f>AVERAGE(15000,15000,15000,15000,15000,15000,14900,15000,15000,14000,14500,14500,15000,15000,15000,15000,15000,15000,15000,15000,15000)</f>
        <v>14900</v>
      </c>
      <c r="P13" s="9">
        <f t="shared" si="8"/>
        <v>0.87647058823529411</v>
      </c>
      <c r="Q13" s="15">
        <v>7967</v>
      </c>
      <c r="R13" s="7">
        <v>12</v>
      </c>
      <c r="S13" s="7"/>
      <c r="T13" s="5"/>
      <c r="U13" s="10" t="str">
        <f t="shared" si="4"/>
        <v/>
      </c>
      <c r="V13" s="9">
        <f t="shared" si="5"/>
        <v>0.99849378687084223</v>
      </c>
      <c r="W13" s="11">
        <f t="shared" si="6"/>
        <v>0.73349184463478412</v>
      </c>
      <c r="X13" s="11">
        <f t="shared" si="7"/>
        <v>0.6987582475350117</v>
      </c>
    </row>
    <row r="14" spans="1:24">
      <c r="A14" s="29" t="s">
        <v>34</v>
      </c>
      <c r="B14" s="5">
        <v>46042.003472222219</v>
      </c>
      <c r="C14" s="5">
        <v>46042.863194444442</v>
      </c>
      <c r="D14" s="6">
        <f t="shared" si="0"/>
        <v>1238.0000000016298</v>
      </c>
      <c r="E14" s="7">
        <v>45</v>
      </c>
      <c r="F14" s="7">
        <v>76</v>
      </c>
      <c r="G14" s="8">
        <f t="shared" si="1"/>
        <v>31</v>
      </c>
      <c r="H14" s="7">
        <f>5+18+5+50+9+14+6+6+5+5+6+5+5+5+7</f>
        <v>151</v>
      </c>
      <c r="I14" s="7">
        <f>2+3+3+2+3+3+3+4+2+2+3+3+2+3+3+1+2+1+1+1+4+1+1+1+1+2+1+1+2+3+4+1+1+1+1+1+1+2+1+2+1+1+2+2+2+1+4</f>
        <v>92</v>
      </c>
      <c r="J14" s="9">
        <f>IF(B14="","",(D14-G14-H15-I14)/D14)</f>
        <v>0.68336025848183846</v>
      </c>
      <c r="K14" s="28">
        <v>0</v>
      </c>
      <c r="L14" s="28">
        <v>3</v>
      </c>
      <c r="M14" s="9">
        <f t="shared" si="3"/>
        <v>0.73990306946722451</v>
      </c>
      <c r="N14" s="7">
        <v>17000</v>
      </c>
      <c r="O14" s="30">
        <f>AVERAGE(15000,15000,15000,15000,15000,15000,15000,14900,15000,15000,14800,15000,15000,15000,15000,15000,15000)</f>
        <v>14982.35294117647</v>
      </c>
      <c r="P14" s="9">
        <f t="shared" si="8"/>
        <v>0.88131487889273352</v>
      </c>
      <c r="Q14" s="15">
        <v>6535</v>
      </c>
      <c r="R14" s="7">
        <v>21</v>
      </c>
      <c r="S14" s="7">
        <v>4.1399999999999997</v>
      </c>
      <c r="T14" s="5">
        <v>46073.625</v>
      </c>
      <c r="U14" s="10">
        <f t="shared" si="4"/>
        <v>30.761805555557657</v>
      </c>
      <c r="V14" s="9">
        <f t="shared" si="5"/>
        <v>0.99615302218821722</v>
      </c>
      <c r="W14" s="11">
        <f t="shared" si="6"/>
        <v>0.59993869965443658</v>
      </c>
      <c r="X14" s="11">
        <f t="shared" si="7"/>
        <v>0.64957901759265146</v>
      </c>
    </row>
    <row r="15" spans="1:24">
      <c r="A15" s="29" t="s">
        <v>35</v>
      </c>
      <c r="B15" s="5">
        <v>46043.111111111109</v>
      </c>
      <c r="C15" s="5">
        <v>46044</v>
      </c>
      <c r="D15" s="6">
        <f t="shared" si="0"/>
        <v>1280.0000000023283</v>
      </c>
      <c r="E15" s="7">
        <f>120+20+20+20</f>
        <v>180</v>
      </c>
      <c r="F15" s="7">
        <v>289</v>
      </c>
      <c r="G15" s="8">
        <f t="shared" si="1"/>
        <v>109</v>
      </c>
      <c r="H15" s="7">
        <f>25+60+60+30+8+8+5+15+25+33</f>
        <v>269</v>
      </c>
      <c r="I15" s="7">
        <f>4+4+3+1+2+1+1+2+3+2+2+2+2+2+4+2+4+4+2+3+2</f>
        <v>52</v>
      </c>
      <c r="J15" s="9">
        <f t="shared" ref="J15:J21" si="9">IF(B15="","",(D15-G15-H15-I15)/D15)</f>
        <v>0.66406250000061107</v>
      </c>
      <c r="K15" s="28">
        <v>0</v>
      </c>
      <c r="L15" s="28">
        <f>30+36+3+4+8+8+5+5+4+57+2+20+27+36</f>
        <v>245</v>
      </c>
      <c r="M15" s="9">
        <f t="shared" si="3"/>
        <v>0.33203125000121503</v>
      </c>
      <c r="N15" s="7">
        <v>17000</v>
      </c>
      <c r="O15" s="15">
        <f>AVERAGE(15000,15000,10900,10900,14500,14500,14500,14500,14000,14000)</f>
        <v>13780</v>
      </c>
      <c r="P15" s="9">
        <f t="shared" si="8"/>
        <v>0.81058823529411761</v>
      </c>
      <c r="Q15" s="15">
        <v>3535</v>
      </c>
      <c r="R15" s="7">
        <v>46</v>
      </c>
      <c r="S15" s="7">
        <v>70</v>
      </c>
      <c r="T15" s="5">
        <v>46075.583333333336</v>
      </c>
      <c r="U15" s="10">
        <f t="shared" si="4"/>
        <v>31.583333333335759</v>
      </c>
      <c r="V15" s="9">
        <f t="shared" si="5"/>
        <v>0.96718528995756714</v>
      </c>
      <c r="W15" s="11">
        <f t="shared" si="6"/>
        <v>0.52061770686045072</v>
      </c>
      <c r="X15" s="11">
        <f t="shared" si="7"/>
        <v>0.2603088534309384</v>
      </c>
    </row>
    <row r="16" spans="1:24">
      <c r="A16" s="29" t="s">
        <v>36</v>
      </c>
      <c r="B16" s="5">
        <v>46045.276388888888</v>
      </c>
      <c r="C16" s="5">
        <v>46045.847916666666</v>
      </c>
      <c r="D16" s="6">
        <f t="shared" si="0"/>
        <v>823.00000000046566</v>
      </c>
      <c r="E16" s="7">
        <f>20+20+20</f>
        <v>60</v>
      </c>
      <c r="F16" s="7">
        <v>70</v>
      </c>
      <c r="G16" s="8">
        <f t="shared" si="1"/>
        <v>10</v>
      </c>
      <c r="H16" s="7">
        <f>9+25+8+6+5+7+6</f>
        <v>66</v>
      </c>
      <c r="I16" s="7">
        <f>1+3+2+4+2+1+1+1+2+2+2+2+3+3+2+1+3+2+3</f>
        <v>40</v>
      </c>
      <c r="J16" s="9">
        <f t="shared" si="9"/>
        <v>0.85905224787371282</v>
      </c>
      <c r="K16" s="28">
        <v>0</v>
      </c>
      <c r="L16" s="28">
        <f>8+26+6+12+32+6+39+2+4+3+13</f>
        <v>151</v>
      </c>
      <c r="M16" s="9">
        <f t="shared" si="3"/>
        <v>0.6026731470233111</v>
      </c>
      <c r="N16" s="7">
        <v>17000</v>
      </c>
      <c r="O16" s="30">
        <f>AVERAGE(11000,10100,9300,13200,9000,9000,11000,9000,11000)</f>
        <v>10288.888888888889</v>
      </c>
      <c r="P16" s="9">
        <f t="shared" si="8"/>
        <v>0.6052287581699346</v>
      </c>
      <c r="Q16" s="15">
        <v>2836</v>
      </c>
      <c r="R16" s="7">
        <v>21</v>
      </c>
      <c r="S16" s="7"/>
      <c r="T16" s="5"/>
      <c r="U16" s="10" t="str">
        <f t="shared" si="4"/>
        <v/>
      </c>
      <c r="V16" s="9">
        <f t="shared" si="5"/>
        <v>0.99259520451339911</v>
      </c>
      <c r="W16" s="11">
        <f t="shared" si="6"/>
        <v>0.51607320077295837</v>
      </c>
      <c r="X16" s="11">
        <f t="shared" si="7"/>
        <v>0.36205418328636363</v>
      </c>
    </row>
    <row r="17" spans="1:24">
      <c r="A17" s="29" t="s">
        <v>37</v>
      </c>
      <c r="B17" s="5">
        <v>46048.072916666664</v>
      </c>
      <c r="C17" s="5">
        <v>46049</v>
      </c>
      <c r="D17" s="6">
        <f t="shared" si="0"/>
        <v>1335.0000000034925</v>
      </c>
      <c r="E17" s="7">
        <v>100</v>
      </c>
      <c r="F17" s="7">
        <v>32</v>
      </c>
      <c r="G17" s="8">
        <f t="shared" si="1"/>
        <v>-68</v>
      </c>
      <c r="H17" s="7">
        <f>12+60+25+51+60+60+480+60+60+21+15+18+60+55+7+6+5</f>
        <v>1055</v>
      </c>
      <c r="I17" s="7">
        <f>2+3+2+4+4+2+2+2+3+2</f>
        <v>26</v>
      </c>
      <c r="J17" s="9">
        <f t="shared" si="9"/>
        <v>0.24119850187464426</v>
      </c>
      <c r="K17" s="28">
        <v>0</v>
      </c>
      <c r="L17" s="28">
        <v>0</v>
      </c>
      <c r="M17" s="9">
        <f t="shared" si="3"/>
        <v>0.16629213483364172</v>
      </c>
      <c r="N17" s="7">
        <v>17000</v>
      </c>
      <c r="O17" s="30">
        <f>AVERAGE(12500,15000,15000,15000,15000,15000)</f>
        <v>14583.333333333334</v>
      </c>
      <c r="P17" s="9">
        <f t="shared" si="8"/>
        <v>0.85784313725490202</v>
      </c>
      <c r="Q17" s="15">
        <v>2426</v>
      </c>
      <c r="R17" s="7">
        <v>15</v>
      </c>
      <c r="S17" s="7">
        <f>5*70</f>
        <v>350</v>
      </c>
      <c r="T17" s="5">
        <v>46080.375</v>
      </c>
      <c r="U17" s="10">
        <f t="shared" si="4"/>
        <v>31.375</v>
      </c>
      <c r="V17" s="9">
        <f t="shared" si="5"/>
        <v>0.8495465787304205</v>
      </c>
      <c r="W17" s="11">
        <f t="shared" si="6"/>
        <v>0.17578009000460157</v>
      </c>
      <c r="X17" s="11">
        <f t="shared" si="7"/>
        <v>0.1211899999416528</v>
      </c>
    </row>
    <row r="18" spans="1:24">
      <c r="A18" s="29" t="s">
        <v>38</v>
      </c>
      <c r="B18" s="5">
        <v>46049.003472222219</v>
      </c>
      <c r="C18" s="5">
        <v>46050</v>
      </c>
      <c r="D18" s="6">
        <f t="shared" si="0"/>
        <v>1435.0000000046566</v>
      </c>
      <c r="E18" s="7">
        <v>60</v>
      </c>
      <c r="F18" s="7">
        <v>60</v>
      </c>
      <c r="G18" s="8">
        <f t="shared" si="1"/>
        <v>0</v>
      </c>
      <c r="H18" s="7">
        <f>14+6+5+5+5+5+14+5+7+5+5+8+10</f>
        <v>94</v>
      </c>
      <c r="I18" s="7">
        <f>3+2+2+2+1+3+2+2+2+2+1+1+4+3+3+2+1+4+2+4+4+1+4+4+2+3+3+3+3+2+4+3+3+2+2+2</f>
        <v>91</v>
      </c>
      <c r="J18" s="9">
        <f t="shared" si="9"/>
        <v>0.87108013937324069</v>
      </c>
      <c r="K18" s="28">
        <v>0</v>
      </c>
      <c r="L18" s="28">
        <f>30+60+60+15+4+4+3+4+3+3+4+3</f>
        <v>193</v>
      </c>
      <c r="M18" s="9">
        <f t="shared" si="3"/>
        <v>0.69477351916475349</v>
      </c>
      <c r="N18" s="7">
        <v>17000</v>
      </c>
      <c r="O18" s="30">
        <f>AVERAGE(15000,15000,15000,15000,15000,15000,15000,16000,16000,16000,15000,15000,15000,15000,15000,15000)</f>
        <v>15187.5</v>
      </c>
      <c r="P18" s="9">
        <f t="shared" si="8"/>
        <v>0.89338235294117652</v>
      </c>
      <c r="Q18" s="15">
        <v>7706</v>
      </c>
      <c r="R18" s="7">
        <v>10</v>
      </c>
      <c r="S18" s="7"/>
      <c r="T18" s="5"/>
      <c r="U18" s="10" t="str">
        <f t="shared" si="4"/>
        <v/>
      </c>
      <c r="V18" s="9">
        <f t="shared" si="5"/>
        <v>0.9987023098883987</v>
      </c>
      <c r="W18" s="11">
        <f t="shared" si="6"/>
        <v>0.77719775217448972</v>
      </c>
      <c r="X18" s="11">
        <f t="shared" si="7"/>
        <v>0.61989292713495892</v>
      </c>
    </row>
    <row r="19" spans="1:24">
      <c r="A19" s="29" t="s">
        <v>39</v>
      </c>
      <c r="B19" s="5">
        <v>46050.003472222219</v>
      </c>
      <c r="C19" s="5">
        <v>46051</v>
      </c>
      <c r="D19" s="6">
        <f t="shared" si="0"/>
        <v>1435.0000000046566</v>
      </c>
      <c r="E19" s="7">
        <f>45+45+60</f>
        <v>150</v>
      </c>
      <c r="F19" s="7">
        <v>155</v>
      </c>
      <c r="G19" s="8">
        <f t="shared" si="1"/>
        <v>5</v>
      </c>
      <c r="H19" s="7">
        <f>7+36+21+7+7+9+15+5+6+5+5+6+11+6+5+5+5+10+10+5+5+10</f>
        <v>201</v>
      </c>
      <c r="I19" s="7">
        <f>2+1+2+2+1+3+1+2+2+2+1+2+1+1+1+1+1+2+3+3+2+2+4+3+3+1+3+4+4+3+4+4+3+3+2+3+3+3+4+1+2+1+2+2+1+2</f>
        <v>103</v>
      </c>
      <c r="J19" s="9">
        <f t="shared" si="9"/>
        <v>0.78466898954773712</v>
      </c>
      <c r="K19" s="28">
        <v>0</v>
      </c>
      <c r="L19" s="28">
        <f>6+10+6+7+2</f>
        <v>31</v>
      </c>
      <c r="M19" s="9">
        <f t="shared" si="3"/>
        <v>0.65853658536696169</v>
      </c>
      <c r="N19" s="7">
        <v>17000</v>
      </c>
      <c r="O19" s="30">
        <f>AVERAGE(15000,15000,15000,15000,15000,15000,15000,15000,15000,15000,15000,15000,15000,15000,15000,15000,15500)</f>
        <v>15029.411764705883</v>
      </c>
      <c r="P19" s="9">
        <f t="shared" si="8"/>
        <v>0.88408304498269896</v>
      </c>
      <c r="Q19" s="15">
        <v>6199</v>
      </c>
      <c r="R19" s="7">
        <v>10</v>
      </c>
      <c r="S19" s="7"/>
      <c r="T19" s="5"/>
      <c r="U19" s="10" t="str">
        <f t="shared" si="4"/>
        <v/>
      </c>
      <c r="V19" s="9">
        <f t="shared" si="5"/>
        <v>0.99838683658654626</v>
      </c>
      <c r="W19" s="11">
        <f t="shared" si="6"/>
        <v>0.69259347787842029</v>
      </c>
      <c r="X19" s="11">
        <f t="shared" si="7"/>
        <v>0.58126184422346849</v>
      </c>
    </row>
    <row r="20" spans="1:24">
      <c r="A20" s="29" t="s">
        <v>40</v>
      </c>
      <c r="B20" s="5">
        <v>46051.005555555559</v>
      </c>
      <c r="C20" s="5">
        <v>46052</v>
      </c>
      <c r="D20" s="6">
        <f t="shared" si="0"/>
        <v>1431.9999999948777</v>
      </c>
      <c r="E20" s="7">
        <f>10+100+60</f>
        <v>170</v>
      </c>
      <c r="F20" s="7">
        <v>64</v>
      </c>
      <c r="G20" s="8">
        <f t="shared" si="1"/>
        <v>-106</v>
      </c>
      <c r="H20" s="7">
        <f>5+5+8+5+6+15+8+6+10+6+35</f>
        <v>109</v>
      </c>
      <c r="I20" s="7">
        <f>4+3+4+3+3+3+2+1+2+2+1+2+2+1+2+2+4+4+3+3+1+3+3+4+3+4+2+4+1+1+1+3+2+2+4+3+2</f>
        <v>94</v>
      </c>
      <c r="J20" s="9">
        <f t="shared" si="9"/>
        <v>0.93226256983215994</v>
      </c>
      <c r="K20" s="28">
        <v>0</v>
      </c>
      <c r="L20" s="28">
        <f>8+2+2+8+25+50+9+2</f>
        <v>106</v>
      </c>
      <c r="M20" s="9">
        <f t="shared" si="3"/>
        <v>0.73952513966387279</v>
      </c>
      <c r="N20" s="7">
        <v>17000</v>
      </c>
      <c r="O20" s="30">
        <f>AVERAGE(14000,14000,15000,15000,15000,15000,15000,15000)</f>
        <v>14750</v>
      </c>
      <c r="P20" s="9">
        <f t="shared" si="8"/>
        <v>0.86764705882352944</v>
      </c>
      <c r="Q20" s="15">
        <v>7217</v>
      </c>
      <c r="R20" s="7">
        <v>378</v>
      </c>
      <c r="S20" s="7"/>
      <c r="T20" s="5"/>
      <c r="U20" s="10" t="str">
        <f t="shared" si="4"/>
        <v/>
      </c>
      <c r="V20" s="9">
        <f t="shared" si="5"/>
        <v>0.94762366634335593</v>
      </c>
      <c r="W20" s="11">
        <f t="shared" si="6"/>
        <v>0.7665089763341586</v>
      </c>
      <c r="X20" s="11">
        <f t="shared" si="7"/>
        <v>0.6080397048217695</v>
      </c>
    </row>
    <row r="21" spans="1:24">
      <c r="A21" s="29" t="s">
        <v>31</v>
      </c>
      <c r="B21" s="5">
        <v>46052.006944444445</v>
      </c>
      <c r="C21" s="5">
        <v>46052.829861111109</v>
      </c>
      <c r="D21" s="6">
        <f t="shared" si="0"/>
        <v>1184.9999999965075</v>
      </c>
      <c r="E21" s="7">
        <v>10</v>
      </c>
      <c r="F21" s="7">
        <v>30</v>
      </c>
      <c r="G21" s="8">
        <f t="shared" si="1"/>
        <v>20</v>
      </c>
      <c r="H21" s="7">
        <f>6+10+5+5+6+11+10+9</f>
        <v>62</v>
      </c>
      <c r="I21" s="7">
        <f>2+1+2+2+3+2+2+3+4+3+3+4+2+2+2+3+3+1+4+4+2+4+3+3+3+4+3+4+2+4+2+4+2+2+2+2</f>
        <v>98</v>
      </c>
      <c r="J21" s="9">
        <f t="shared" si="9"/>
        <v>0.84810126582233714</v>
      </c>
      <c r="K21" s="28">
        <v>0</v>
      </c>
      <c r="L21" s="28">
        <f>6+6+15+5+21+2+8</f>
        <v>63</v>
      </c>
      <c r="M21" s="9">
        <f t="shared" si="3"/>
        <v>0.78649789029472938</v>
      </c>
      <c r="N21" s="7">
        <v>17000</v>
      </c>
      <c r="O21" s="30">
        <f>AVERAGE(15000,15000,15000,15000,15000,15000,15000,14000,14000,14000,14000,14000,14000,14000,14000,14000,14000,14000)</f>
        <v>14388.888888888889</v>
      </c>
      <c r="P21" s="9">
        <f t="shared" si="8"/>
        <v>0.84640522875816993</v>
      </c>
      <c r="Q21" s="15">
        <v>6837</v>
      </c>
      <c r="R21" s="7">
        <v>16</v>
      </c>
      <c r="S21" s="7"/>
      <c r="T21" s="5"/>
      <c r="U21" s="10"/>
      <c r="V21" s="9">
        <f t="shared" si="5"/>
        <v>0.99765979230656721</v>
      </c>
      <c r="W21" s="11">
        <f t="shared" si="6"/>
        <v>0.71615745742892034</v>
      </c>
      <c r="X21" s="11">
        <f t="shared" si="7"/>
        <v>0.66413806002345477</v>
      </c>
    </row>
    <row r="22" spans="1:24">
      <c r="A22" s="29"/>
      <c r="B22" s="5"/>
      <c r="C22" s="5"/>
      <c r="D22" s="6" t="str">
        <f t="shared" si="0"/>
        <v/>
      </c>
      <c r="E22" s="7"/>
      <c r="F22" s="7"/>
      <c r="G22" s="8" t="str">
        <f t="shared" si="1"/>
        <v/>
      </c>
      <c r="H22" s="7"/>
      <c r="I22" s="7"/>
      <c r="J22" s="9" t="str">
        <f t="shared" ref="J22:J37" si="10">IF(B22="","",(D22-G22-H22-I22)/D22)</f>
        <v/>
      </c>
      <c r="K22" s="28"/>
      <c r="L22" s="28"/>
      <c r="M22" s="9" t="str">
        <f t="shared" si="3"/>
        <v/>
      </c>
      <c r="N22" s="7"/>
      <c r="O22" s="30"/>
      <c r="P22" s="9" t="str">
        <f t="shared" ref="P22:P37" si="11">IF(B22="","",O22/N22)</f>
        <v/>
      </c>
      <c r="Q22" s="15"/>
      <c r="R22" s="7"/>
      <c r="S22" s="7"/>
      <c r="T22" s="5"/>
      <c r="U22" s="10" t="str">
        <f t="shared" ref="U22:U37" si="12">IF(S22="","",(T22-C22))</f>
        <v/>
      </c>
      <c r="V22" s="9" t="str">
        <f t="shared" si="5"/>
        <v/>
      </c>
      <c r="W22" s="11" t="str">
        <f t="shared" si="6"/>
        <v/>
      </c>
      <c r="X22" s="11" t="str">
        <f t="shared" si="7"/>
        <v/>
      </c>
    </row>
    <row r="23" spans="1:24" ht="15.75" thickBot="1">
      <c r="A23" s="29"/>
      <c r="B23" s="5"/>
      <c r="C23" s="5"/>
      <c r="D23" s="6" t="str">
        <f t="shared" si="0"/>
        <v/>
      </c>
      <c r="E23" s="7"/>
      <c r="F23" s="7"/>
      <c r="G23" s="8" t="str">
        <f t="shared" si="1"/>
        <v/>
      </c>
      <c r="H23" s="7"/>
      <c r="I23" s="7"/>
      <c r="J23" s="9" t="str">
        <f t="shared" si="10"/>
        <v/>
      </c>
      <c r="K23" s="28"/>
      <c r="L23" s="28"/>
      <c r="M23" s="9" t="str">
        <f t="shared" si="3"/>
        <v/>
      </c>
      <c r="N23" s="7"/>
      <c r="O23" s="15"/>
      <c r="P23" s="9" t="str">
        <f t="shared" si="11"/>
        <v/>
      </c>
      <c r="Q23" s="15"/>
      <c r="R23" s="7"/>
      <c r="S23" s="7"/>
      <c r="T23" s="5"/>
      <c r="U23" s="10" t="str">
        <f t="shared" si="12"/>
        <v/>
      </c>
      <c r="V23" s="9" t="str">
        <f t="shared" si="5"/>
        <v/>
      </c>
      <c r="W23" s="11" t="str">
        <f t="shared" si="6"/>
        <v/>
      </c>
      <c r="X23" s="11" t="str">
        <f t="shared" si="7"/>
        <v/>
      </c>
    </row>
    <row r="24" spans="1:24">
      <c r="A24" s="29"/>
      <c r="B24" s="5"/>
      <c r="C24" s="5"/>
      <c r="D24" s="6" t="str">
        <f t="shared" si="0"/>
        <v/>
      </c>
      <c r="E24" s="7"/>
      <c r="F24" s="7"/>
      <c r="G24" s="8" t="str">
        <f t="shared" si="1"/>
        <v/>
      </c>
      <c r="H24" s="7"/>
      <c r="I24" s="7"/>
      <c r="J24" s="9" t="str">
        <f t="shared" si="10"/>
        <v/>
      </c>
      <c r="K24" s="28"/>
      <c r="L24" s="28"/>
      <c r="M24" s="9" t="str">
        <f t="shared" si="3"/>
        <v/>
      </c>
      <c r="N24" s="7"/>
      <c r="O24" s="15"/>
      <c r="P24" s="9" t="str">
        <f t="shared" si="11"/>
        <v/>
      </c>
      <c r="Q24" s="7"/>
      <c r="R24" s="7"/>
      <c r="S24" s="7"/>
      <c r="T24" s="5"/>
      <c r="U24" s="10" t="str">
        <f t="shared" si="12"/>
        <v/>
      </c>
      <c r="V24" s="9" t="str">
        <f t="shared" si="5"/>
        <v/>
      </c>
      <c r="W24" s="11" t="str">
        <f t="shared" si="6"/>
        <v/>
      </c>
      <c r="X24" s="11" t="str">
        <f t="shared" si="7"/>
        <v/>
      </c>
    </row>
    <row r="25" spans="1:24">
      <c r="A25" s="29"/>
      <c r="B25" s="5"/>
      <c r="C25" s="5"/>
      <c r="D25" s="6" t="str">
        <f t="shared" si="0"/>
        <v/>
      </c>
      <c r="E25" s="7"/>
      <c r="F25" s="7"/>
      <c r="G25" s="8" t="str">
        <f t="shared" si="1"/>
        <v/>
      </c>
      <c r="H25" s="7"/>
      <c r="I25" s="7"/>
      <c r="J25" s="9" t="str">
        <f t="shared" si="10"/>
        <v/>
      </c>
      <c r="K25" s="28"/>
      <c r="L25" s="28"/>
      <c r="M25" s="9" t="str">
        <f t="shared" si="3"/>
        <v/>
      </c>
      <c r="N25" s="7"/>
      <c r="O25" s="15"/>
      <c r="P25" s="9" t="str">
        <f t="shared" si="11"/>
        <v/>
      </c>
      <c r="Q25" s="7"/>
      <c r="R25" s="7"/>
      <c r="S25" s="7"/>
      <c r="T25" s="5"/>
      <c r="U25" s="10" t="str">
        <f t="shared" si="12"/>
        <v/>
      </c>
      <c r="V25" s="9" t="str">
        <f t="shared" si="5"/>
        <v/>
      </c>
      <c r="W25" s="11" t="str">
        <f t="shared" si="6"/>
        <v/>
      </c>
      <c r="X25" s="11" t="str">
        <f t="shared" si="7"/>
        <v/>
      </c>
    </row>
    <row r="26" spans="1:24">
      <c r="A26" s="29"/>
      <c r="B26" s="5"/>
      <c r="C26" s="5"/>
      <c r="D26" s="6" t="str">
        <f t="shared" si="0"/>
        <v/>
      </c>
      <c r="E26" s="7"/>
      <c r="F26" s="7"/>
      <c r="G26" s="8" t="str">
        <f t="shared" si="1"/>
        <v/>
      </c>
      <c r="H26" s="7"/>
      <c r="I26" s="7"/>
      <c r="J26" s="9" t="str">
        <f t="shared" si="10"/>
        <v/>
      </c>
      <c r="K26" s="28"/>
      <c r="L26" s="28"/>
      <c r="M26" s="9" t="str">
        <f t="shared" si="3"/>
        <v/>
      </c>
      <c r="N26" s="7"/>
      <c r="O26" s="15"/>
      <c r="P26" s="9" t="str">
        <f t="shared" si="11"/>
        <v/>
      </c>
      <c r="Q26" s="7"/>
      <c r="R26" s="7"/>
      <c r="S26" s="7"/>
      <c r="T26" s="5"/>
      <c r="U26" s="10" t="str">
        <f t="shared" si="12"/>
        <v/>
      </c>
      <c r="V26" s="9" t="str">
        <f t="shared" si="5"/>
        <v/>
      </c>
      <c r="W26" s="11" t="str">
        <f t="shared" si="6"/>
        <v/>
      </c>
      <c r="X26" s="11" t="str">
        <f t="shared" si="7"/>
        <v/>
      </c>
    </row>
    <row r="27" spans="1:24">
      <c r="A27" s="29"/>
      <c r="B27" s="5"/>
      <c r="C27" s="5"/>
      <c r="D27" s="6" t="str">
        <f t="shared" si="0"/>
        <v/>
      </c>
      <c r="E27" s="7"/>
      <c r="F27" s="7"/>
      <c r="G27" s="8" t="str">
        <f t="shared" si="1"/>
        <v/>
      </c>
      <c r="H27" s="7"/>
      <c r="I27" s="7"/>
      <c r="J27" s="9" t="str">
        <f t="shared" si="10"/>
        <v/>
      </c>
      <c r="K27" s="28"/>
      <c r="L27" s="28"/>
      <c r="M27" s="9" t="str">
        <f t="shared" si="3"/>
        <v/>
      </c>
      <c r="N27" s="7"/>
      <c r="O27" s="15"/>
      <c r="P27" s="9" t="str">
        <f t="shared" si="11"/>
        <v/>
      </c>
      <c r="Q27" s="7"/>
      <c r="R27" s="7"/>
      <c r="S27" s="7"/>
      <c r="T27" s="5"/>
      <c r="U27" s="10" t="str">
        <f t="shared" si="12"/>
        <v/>
      </c>
      <c r="V27" s="9" t="str">
        <f t="shared" si="5"/>
        <v/>
      </c>
      <c r="W27" s="11" t="str">
        <f t="shared" si="6"/>
        <v/>
      </c>
      <c r="X27" s="11" t="str">
        <f t="shared" si="7"/>
        <v/>
      </c>
    </row>
    <row r="28" spans="1:24">
      <c r="A28" s="29"/>
      <c r="B28" s="5"/>
      <c r="C28" s="5"/>
      <c r="D28" s="6" t="str">
        <f t="shared" si="0"/>
        <v/>
      </c>
      <c r="E28" s="7"/>
      <c r="F28" s="7"/>
      <c r="G28" s="8" t="str">
        <f t="shared" si="1"/>
        <v/>
      </c>
      <c r="H28" s="7"/>
      <c r="I28" s="7"/>
      <c r="J28" s="9" t="str">
        <f t="shared" si="10"/>
        <v/>
      </c>
      <c r="K28" s="28"/>
      <c r="L28" s="28"/>
      <c r="M28" s="9" t="str">
        <f t="shared" si="3"/>
        <v/>
      </c>
      <c r="N28" s="7"/>
      <c r="O28" s="15"/>
      <c r="P28" s="9" t="str">
        <f t="shared" si="11"/>
        <v/>
      </c>
      <c r="Q28" s="15"/>
      <c r="R28" s="7"/>
      <c r="S28" s="7"/>
      <c r="T28" s="5"/>
      <c r="U28" s="10" t="str">
        <f t="shared" si="12"/>
        <v/>
      </c>
      <c r="V28" s="9" t="str">
        <f t="shared" si="5"/>
        <v/>
      </c>
      <c r="W28" s="11" t="str">
        <f t="shared" si="6"/>
        <v/>
      </c>
      <c r="X28" s="11" t="str">
        <f t="shared" si="7"/>
        <v/>
      </c>
    </row>
    <row r="29" spans="1:24">
      <c r="A29" s="29"/>
      <c r="B29" s="5"/>
      <c r="C29" s="5"/>
      <c r="D29" s="6" t="str">
        <f t="shared" si="0"/>
        <v/>
      </c>
      <c r="E29" s="7"/>
      <c r="F29" s="7"/>
      <c r="G29" s="8" t="str">
        <f t="shared" si="1"/>
        <v/>
      </c>
      <c r="H29" s="7"/>
      <c r="I29" s="7"/>
      <c r="J29" s="9" t="str">
        <f t="shared" si="10"/>
        <v/>
      </c>
      <c r="K29" s="28"/>
      <c r="L29" s="28"/>
      <c r="M29" s="9" t="str">
        <f t="shared" si="3"/>
        <v/>
      </c>
      <c r="N29" s="7"/>
      <c r="O29" s="7"/>
      <c r="P29" s="9" t="str">
        <f t="shared" si="11"/>
        <v/>
      </c>
      <c r="Q29" s="7"/>
      <c r="R29" s="7"/>
      <c r="S29" s="7"/>
      <c r="T29" s="5"/>
      <c r="U29" s="10" t="str">
        <f t="shared" si="12"/>
        <v/>
      </c>
      <c r="V29" s="9" t="str">
        <f t="shared" si="5"/>
        <v/>
      </c>
      <c r="W29" s="11" t="str">
        <f t="shared" si="6"/>
        <v/>
      </c>
      <c r="X29" s="11" t="str">
        <f t="shared" si="7"/>
        <v/>
      </c>
    </row>
    <row r="30" spans="1:24">
      <c r="A30" s="29"/>
      <c r="B30" s="5"/>
      <c r="C30" s="5"/>
      <c r="D30" s="6" t="str">
        <f t="shared" si="0"/>
        <v/>
      </c>
      <c r="E30" s="7"/>
      <c r="F30" s="7"/>
      <c r="G30" s="8" t="str">
        <f t="shared" si="1"/>
        <v/>
      </c>
      <c r="H30" s="7"/>
      <c r="I30" s="7"/>
      <c r="J30" s="9" t="str">
        <f t="shared" si="10"/>
        <v/>
      </c>
      <c r="K30" s="28"/>
      <c r="L30" s="28"/>
      <c r="M30" s="9" t="str">
        <f t="shared" si="3"/>
        <v/>
      </c>
      <c r="N30" s="7"/>
      <c r="O30" s="15"/>
      <c r="P30" s="9" t="str">
        <f t="shared" si="11"/>
        <v/>
      </c>
      <c r="Q30" s="15"/>
      <c r="R30" s="7"/>
      <c r="S30" s="7"/>
      <c r="T30" s="5"/>
      <c r="U30" s="10" t="str">
        <f t="shared" si="12"/>
        <v/>
      </c>
      <c r="V30" s="9" t="str">
        <f t="shared" si="5"/>
        <v/>
      </c>
      <c r="W30" s="11" t="str">
        <f t="shared" si="6"/>
        <v/>
      </c>
      <c r="X30" s="11" t="str">
        <f t="shared" si="7"/>
        <v/>
      </c>
    </row>
    <row r="31" spans="1:24">
      <c r="A31" s="29"/>
      <c r="B31" s="5"/>
      <c r="C31" s="5"/>
      <c r="D31" s="6" t="str">
        <f t="shared" si="0"/>
        <v/>
      </c>
      <c r="E31" s="7"/>
      <c r="F31" s="7"/>
      <c r="G31" s="8" t="str">
        <f t="shared" si="1"/>
        <v/>
      </c>
      <c r="H31" s="7"/>
      <c r="I31" s="7"/>
      <c r="J31" s="9" t="str">
        <f t="shared" si="10"/>
        <v/>
      </c>
      <c r="K31" s="28"/>
      <c r="L31" s="28"/>
      <c r="M31" s="9" t="str">
        <f t="shared" si="3"/>
        <v/>
      </c>
      <c r="N31" s="7"/>
      <c r="O31" s="15"/>
      <c r="P31" s="9" t="str">
        <f t="shared" si="11"/>
        <v/>
      </c>
      <c r="Q31" s="15"/>
      <c r="R31" s="15"/>
      <c r="S31" s="7"/>
      <c r="T31" s="5"/>
      <c r="U31" s="10" t="str">
        <f t="shared" si="12"/>
        <v/>
      </c>
      <c r="V31" s="9" t="str">
        <f t="shared" si="5"/>
        <v/>
      </c>
      <c r="W31" s="11" t="str">
        <f t="shared" si="6"/>
        <v/>
      </c>
      <c r="X31" s="11" t="str">
        <f t="shared" si="7"/>
        <v/>
      </c>
    </row>
    <row r="32" spans="1:24">
      <c r="A32" s="29"/>
      <c r="B32" s="5"/>
      <c r="C32" s="5"/>
      <c r="D32" s="6" t="str">
        <f t="shared" si="0"/>
        <v/>
      </c>
      <c r="E32" s="7"/>
      <c r="F32" s="7"/>
      <c r="G32" s="8" t="str">
        <f t="shared" si="1"/>
        <v/>
      </c>
      <c r="H32" s="7"/>
      <c r="I32" s="7"/>
      <c r="J32" s="9" t="str">
        <f t="shared" si="10"/>
        <v/>
      </c>
      <c r="K32" s="28"/>
      <c r="L32" s="28"/>
      <c r="M32" s="9" t="str">
        <f t="shared" si="3"/>
        <v/>
      </c>
      <c r="N32" s="7"/>
      <c r="O32" s="15"/>
      <c r="P32" s="9" t="str">
        <f t="shared" si="11"/>
        <v/>
      </c>
      <c r="Q32" s="15"/>
      <c r="R32" s="7"/>
      <c r="S32" s="7"/>
      <c r="T32" s="5"/>
      <c r="U32" s="10" t="str">
        <f t="shared" si="12"/>
        <v/>
      </c>
      <c r="V32" s="9" t="str">
        <f t="shared" si="5"/>
        <v/>
      </c>
      <c r="W32" s="11" t="str">
        <f t="shared" si="6"/>
        <v/>
      </c>
      <c r="X32" s="11" t="str">
        <f t="shared" si="7"/>
        <v/>
      </c>
    </row>
    <row r="33" spans="1:24">
      <c r="A33" s="29"/>
      <c r="B33" s="5"/>
      <c r="C33" s="5"/>
      <c r="D33" s="6" t="str">
        <f t="shared" si="0"/>
        <v/>
      </c>
      <c r="E33" s="7"/>
      <c r="F33" s="7"/>
      <c r="G33" s="8" t="str">
        <f t="shared" si="1"/>
        <v/>
      </c>
      <c r="H33" s="7"/>
      <c r="I33" s="7"/>
      <c r="J33" s="9" t="str">
        <f t="shared" si="10"/>
        <v/>
      </c>
      <c r="K33" s="28"/>
      <c r="L33" s="28"/>
      <c r="M33" s="9" t="str">
        <f t="shared" si="3"/>
        <v/>
      </c>
      <c r="N33" s="7"/>
      <c r="O33" s="15"/>
      <c r="P33" s="9" t="str">
        <f t="shared" si="11"/>
        <v/>
      </c>
      <c r="Q33" s="15"/>
      <c r="R33" s="7"/>
      <c r="S33" s="7"/>
      <c r="T33" s="5"/>
      <c r="U33" s="10" t="str">
        <f t="shared" si="12"/>
        <v/>
      </c>
      <c r="V33" s="9" t="str">
        <f t="shared" si="5"/>
        <v/>
      </c>
      <c r="W33" s="11" t="str">
        <f t="shared" si="6"/>
        <v/>
      </c>
      <c r="X33" s="11" t="str">
        <f t="shared" si="7"/>
        <v/>
      </c>
    </row>
    <row r="34" spans="1:24">
      <c r="A34" s="29"/>
      <c r="B34" s="5"/>
      <c r="C34" s="5"/>
      <c r="D34" s="6" t="str">
        <f t="shared" si="0"/>
        <v/>
      </c>
      <c r="E34" s="7"/>
      <c r="F34" s="7"/>
      <c r="G34" s="8" t="str">
        <f t="shared" si="1"/>
        <v/>
      </c>
      <c r="H34" s="7"/>
      <c r="I34" s="7"/>
      <c r="J34" s="9" t="str">
        <f t="shared" si="10"/>
        <v/>
      </c>
      <c r="K34" s="28"/>
      <c r="L34" s="28"/>
      <c r="M34" s="9" t="str">
        <f t="shared" si="3"/>
        <v/>
      </c>
      <c r="N34" s="7"/>
      <c r="O34" s="15"/>
      <c r="P34" s="9" t="str">
        <f t="shared" si="11"/>
        <v/>
      </c>
      <c r="Q34" s="15"/>
      <c r="R34" s="7"/>
      <c r="S34" s="7"/>
      <c r="T34" s="5"/>
      <c r="U34" s="10" t="str">
        <f t="shared" si="12"/>
        <v/>
      </c>
      <c r="V34" s="9" t="str">
        <f t="shared" si="5"/>
        <v/>
      </c>
      <c r="W34" s="11" t="str">
        <f t="shared" si="6"/>
        <v/>
      </c>
      <c r="X34" s="11" t="str">
        <f t="shared" si="7"/>
        <v/>
      </c>
    </row>
    <row r="35" spans="1:24">
      <c r="A35" s="29"/>
      <c r="B35" s="5"/>
      <c r="C35" s="5"/>
      <c r="D35" s="6" t="str">
        <f t="shared" si="0"/>
        <v/>
      </c>
      <c r="E35" s="7"/>
      <c r="F35" s="7"/>
      <c r="G35" s="8" t="str">
        <f t="shared" si="1"/>
        <v/>
      </c>
      <c r="H35" s="7"/>
      <c r="I35" s="7"/>
      <c r="J35" s="9" t="str">
        <f t="shared" si="10"/>
        <v/>
      </c>
      <c r="K35" s="28"/>
      <c r="L35" s="28"/>
      <c r="M35" s="9" t="str">
        <f t="shared" si="3"/>
        <v/>
      </c>
      <c r="N35" s="7"/>
      <c r="O35" s="15"/>
      <c r="P35" s="9" t="str">
        <f t="shared" si="11"/>
        <v/>
      </c>
      <c r="Q35" s="15"/>
      <c r="R35" s="7"/>
      <c r="S35" s="7"/>
      <c r="T35" s="5"/>
      <c r="U35" s="10" t="str">
        <f t="shared" si="12"/>
        <v/>
      </c>
      <c r="V35" s="9" t="str">
        <f t="shared" si="5"/>
        <v/>
      </c>
      <c r="W35" s="11" t="str">
        <f t="shared" si="6"/>
        <v/>
      </c>
      <c r="X35" s="11" t="str">
        <f t="shared" si="7"/>
        <v/>
      </c>
    </row>
    <row r="36" spans="1:24">
      <c r="A36" s="29"/>
      <c r="B36" s="5"/>
      <c r="C36" s="5"/>
      <c r="D36" s="6" t="str">
        <f t="shared" si="0"/>
        <v/>
      </c>
      <c r="E36" s="7"/>
      <c r="F36" s="7"/>
      <c r="G36" s="8" t="str">
        <f t="shared" si="1"/>
        <v/>
      </c>
      <c r="H36" s="7"/>
      <c r="I36" s="7"/>
      <c r="J36" s="9" t="str">
        <f t="shared" si="10"/>
        <v/>
      </c>
      <c r="K36" s="28"/>
      <c r="L36" s="28"/>
      <c r="M36" s="9" t="str">
        <f t="shared" si="3"/>
        <v/>
      </c>
      <c r="N36" s="7"/>
      <c r="O36" s="15"/>
      <c r="P36" s="9" t="str">
        <f t="shared" si="11"/>
        <v/>
      </c>
      <c r="Q36" s="15"/>
      <c r="R36" s="7"/>
      <c r="S36" s="7"/>
      <c r="T36" s="5"/>
      <c r="U36" s="10" t="str">
        <f t="shared" si="12"/>
        <v/>
      </c>
      <c r="V36" s="9" t="str">
        <f t="shared" si="5"/>
        <v/>
      </c>
      <c r="W36" s="11" t="str">
        <f t="shared" si="6"/>
        <v/>
      </c>
      <c r="X36" s="11" t="str">
        <f t="shared" si="7"/>
        <v/>
      </c>
    </row>
    <row r="37" spans="1:24" ht="15.75" thickBot="1">
      <c r="A37" s="29"/>
      <c r="B37" s="5"/>
      <c r="C37" s="5"/>
      <c r="D37" s="6" t="str">
        <f t="shared" si="0"/>
        <v/>
      </c>
      <c r="E37" s="7"/>
      <c r="F37" s="7"/>
      <c r="G37" s="8" t="str">
        <f t="shared" si="1"/>
        <v/>
      </c>
      <c r="H37" s="7"/>
      <c r="I37" s="7"/>
      <c r="J37" s="9" t="str">
        <f t="shared" si="10"/>
        <v/>
      </c>
      <c r="K37" s="28"/>
      <c r="L37" s="28"/>
      <c r="M37" s="9" t="str">
        <f t="shared" si="3"/>
        <v/>
      </c>
      <c r="N37" s="7"/>
      <c r="O37" s="15"/>
      <c r="P37" s="9" t="str">
        <f t="shared" si="11"/>
        <v/>
      </c>
      <c r="Q37" s="7"/>
      <c r="R37" s="7"/>
      <c r="S37" s="7"/>
      <c r="T37" s="5"/>
      <c r="U37" s="10" t="str">
        <f t="shared" si="12"/>
        <v/>
      </c>
      <c r="V37" s="9" t="str">
        <f t="shared" si="5"/>
        <v/>
      </c>
      <c r="W37" s="11" t="str">
        <f t="shared" si="6"/>
        <v/>
      </c>
      <c r="X37" s="11" t="str">
        <f t="shared" si="7"/>
        <v/>
      </c>
    </row>
    <row r="38" spans="1:24" s="43" customFormat="1" ht="19.5" thickBot="1">
      <c r="A38" s="31"/>
      <c r="B38" s="32" t="s">
        <v>41</v>
      </c>
      <c r="C38" s="32"/>
      <c r="D38" s="33">
        <f>SUM(D3:D37)</f>
        <v>20597.000000010012</v>
      </c>
      <c r="E38" s="33">
        <f>SUM(E3:E37)</f>
        <v>1115</v>
      </c>
      <c r="F38" s="33">
        <f>SUM(F3:F37)</f>
        <v>1295</v>
      </c>
      <c r="G38" s="33">
        <f>SUM(G3:G37)</f>
        <v>180</v>
      </c>
      <c r="H38" s="33">
        <f>SUM(H2:H37)</f>
        <v>3452</v>
      </c>
      <c r="I38" s="33">
        <f>SUM(I3:I37)</f>
        <v>1298</v>
      </c>
      <c r="J38" s="34">
        <f>(D38-G38-H38-I38)/D38</f>
        <v>0.7606447540905179</v>
      </c>
      <c r="K38" s="35">
        <f>SUM(K3:K37)</f>
        <v>0</v>
      </c>
      <c r="L38" s="35">
        <f>SUM(L3:L37)</f>
        <v>1378</v>
      </c>
      <c r="M38" s="36">
        <f>(D38-G38-H38-I38-E38-K38-L38)/D38</f>
        <v>0.63960770986083448</v>
      </c>
      <c r="N38" s="37">
        <f>AVERAGE(N3:N37)</f>
        <v>17000</v>
      </c>
      <c r="O38" s="38">
        <f>AVERAGE(O3:O37)</f>
        <v>14800.742799512147</v>
      </c>
      <c r="P38" s="34">
        <f>O38/N38</f>
        <v>0.87063192938306744</v>
      </c>
      <c r="Q38" s="37">
        <f>SUM(Q3:Q35)</f>
        <v>99107</v>
      </c>
      <c r="R38" s="37"/>
      <c r="S38" s="32"/>
      <c r="T38" s="32"/>
      <c r="U38" s="39"/>
      <c r="V38" s="40">
        <f>AVERAGE(V3:V37)</f>
        <v>0.97189598882433748</v>
      </c>
      <c r="W38" s="41">
        <f>V38*P38*J38</f>
        <v>0.64362996422531538</v>
      </c>
      <c r="X38" s="42">
        <f>V38*P38*M38</f>
        <v>0.54121281347452155</v>
      </c>
    </row>
    <row r="39" spans="1:24" ht="28.5">
      <c r="O39" s="20" t="s">
        <v>42</v>
      </c>
      <c r="P39" s="21">
        <f>W38</f>
        <v>0.64362996422531538</v>
      </c>
      <c r="Q39" s="66"/>
      <c r="R39" s="66"/>
      <c r="S39" s="44"/>
      <c r="T39" s="45"/>
      <c r="U39" s="22"/>
    </row>
    <row r="40" spans="1:24" ht="28.5">
      <c r="Q40" s="22"/>
      <c r="R40" s="22"/>
      <c r="S40" s="22"/>
      <c r="T40" s="22"/>
      <c r="U40" s="22"/>
    </row>
    <row r="41" spans="1:24" ht="28.5">
      <c r="Q41" s="65">
        <f>O38</f>
        <v>14800.742799512147</v>
      </c>
      <c r="R41" s="67"/>
      <c r="S41" s="67"/>
      <c r="T41" s="46"/>
      <c r="U41" s="22"/>
    </row>
    <row r="42" spans="1:24" ht="28.5">
      <c r="Q42" s="65">
        <f>'February 2026 (w Utilization) '!O38</f>
        <v>14704.377738274798</v>
      </c>
      <c r="R42" s="22"/>
      <c r="S42" s="22"/>
      <c r="T42" s="22"/>
      <c r="U42" s="22"/>
    </row>
    <row r="43" spans="1:24" ht="28.5">
      <c r="Q43" s="65">
        <f>'March 2026 (w Utilization'!O38</f>
        <v>14373.163631643087</v>
      </c>
      <c r="R43" s="22"/>
      <c r="S43" s="22"/>
      <c r="T43" s="22"/>
      <c r="U43" s="22"/>
    </row>
    <row r="44" spans="1:24" ht="28.5">
      <c r="Q44" s="65">
        <f>'April 2026 (w Utilization) '!O38</f>
        <v>14982.349302744042</v>
      </c>
      <c r="R44" s="22"/>
      <c r="S44" s="22"/>
      <c r="T44" s="22"/>
      <c r="U44" s="22"/>
    </row>
    <row r="46" spans="1:24">
      <c r="C46" s="17"/>
      <c r="D46" s="53" t="s">
        <v>43</v>
      </c>
      <c r="E46" s="53" t="s">
        <v>44</v>
      </c>
    </row>
    <row r="47" spans="1:24">
      <c r="C47" s="4" t="s">
        <v>45</v>
      </c>
      <c r="D47" s="54">
        <f>W38</f>
        <v>0.64362996422531538</v>
      </c>
      <c r="E47" s="55">
        <f t="shared" ref="E47:E52" si="13">100%-D47</f>
        <v>0.35637003577468462</v>
      </c>
    </row>
    <row r="48" spans="1:24">
      <c r="C48" s="4" t="s">
        <v>46</v>
      </c>
      <c r="D48" s="54">
        <f>X38</f>
        <v>0.54121281347452155</v>
      </c>
      <c r="E48" s="55">
        <f t="shared" si="13"/>
        <v>0.45878718652547845</v>
      </c>
    </row>
    <row r="49" spans="3:5">
      <c r="C49" s="4" t="s">
        <v>11</v>
      </c>
      <c r="D49" s="54">
        <f>J38</f>
        <v>0.7606447540905179</v>
      </c>
      <c r="E49" s="55">
        <f t="shared" si="13"/>
        <v>0.2393552459094821</v>
      </c>
    </row>
    <row r="50" spans="3:5" ht="30">
      <c r="C50" s="4" t="s">
        <v>14</v>
      </c>
      <c r="D50" s="54">
        <f>M38</f>
        <v>0.63960770986083448</v>
      </c>
      <c r="E50" s="55">
        <f t="shared" si="13"/>
        <v>0.36039229013916552</v>
      </c>
    </row>
    <row r="51" spans="3:5">
      <c r="C51" s="4" t="s">
        <v>17</v>
      </c>
      <c r="D51" s="54">
        <f>P38</f>
        <v>0.87063192938306744</v>
      </c>
      <c r="E51" s="55">
        <f t="shared" si="13"/>
        <v>0.12936807061693256</v>
      </c>
    </row>
    <row r="52" spans="3:5">
      <c r="C52" s="4" t="str">
        <f>V2</f>
        <v>Quality</v>
      </c>
      <c r="D52" s="54">
        <f>V38</f>
        <v>0.97189598882433748</v>
      </c>
      <c r="E52" s="55">
        <f t="shared" si="13"/>
        <v>2.8104011175662524E-2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7C9F-34C5-411F-9850-DC77A7FC2087}">
  <sheetPr>
    <pageSetUpPr fitToPage="1"/>
  </sheetPr>
  <dimension ref="A1:X52"/>
  <sheetViews>
    <sheetView topLeftCell="C7" zoomScale="90" zoomScaleNormal="90" workbookViewId="0">
      <selection activeCell="J2" sqref="J2"/>
    </sheetView>
  </sheetViews>
  <sheetFormatPr defaultRowHeight="15"/>
  <cols>
    <col min="1" max="1" width="65.855468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30</v>
      </c>
      <c r="B3" s="5">
        <v>46055.07916666667</v>
      </c>
      <c r="C3" s="5">
        <v>46056</v>
      </c>
      <c r="D3" s="6">
        <f t="shared" ref="D3:D37" si="0">IF(B3="","",(C3-B3)*24*60)</f>
        <v>1325.9999999951106</v>
      </c>
      <c r="E3" s="7">
        <v>10</v>
      </c>
      <c r="F3" s="7">
        <v>13</v>
      </c>
      <c r="G3" s="8">
        <f t="shared" ref="G3:G37" si="1">IF(E3="","",F3-E3)</f>
        <v>3</v>
      </c>
      <c r="H3" s="7">
        <f>6+5+5+18+8+13+5+5+5+5</f>
        <v>75</v>
      </c>
      <c r="I3" s="7">
        <f>3+4+1+2+1+3+3+4+3+3+4+2+3+2+2+3+3+2+2+2+3+3+1+2+2+3+4+2+2+2+4+1+2+2+2</f>
        <v>87</v>
      </c>
      <c r="J3" s="9">
        <f t="shared" ref="J3:J37" si="2">IF(B3="","",(D3-G3-H3-I3)/D3)</f>
        <v>0.87556561085926965</v>
      </c>
      <c r="K3" s="28">
        <v>0</v>
      </c>
      <c r="L3" s="28">
        <f>34+33+23+17+4+5+4+3+16+11</f>
        <v>150</v>
      </c>
      <c r="M3" s="9">
        <f t="shared" ref="M3:M37" si="3">IF(B3="","",(D3-G3-H3-I3-K3-L3-E3)/D3)</f>
        <v>0.75490196078340999</v>
      </c>
      <c r="N3" s="7">
        <v>17000</v>
      </c>
      <c r="O3" s="15">
        <f>AVERAGE(15000,14000,14000,14000,14000,15000,15000,15000,12000,15000,15000,15000,15000,15000,15000,15000,15000,15000,15000,15000,14000)</f>
        <v>14619.047619047618</v>
      </c>
      <c r="P3" s="9">
        <f t="shared" ref="P3:P8" si="4">IF(B3="","",O3/N3)</f>
        <v>0.85994397759103636</v>
      </c>
      <c r="Q3" s="7">
        <v>7920</v>
      </c>
      <c r="R3" s="7">
        <v>6</v>
      </c>
      <c r="S3" s="7"/>
      <c r="T3" s="5"/>
      <c r="U3" s="10" t="str">
        <f t="shared" ref="U3:U36" si="5">IF(S3="","",(T3-C3))</f>
        <v/>
      </c>
      <c r="V3" s="9">
        <f t="shared" ref="V3:V9" si="6">IF(B3="","",IF(U3&lt;3,(Q3-R3)/Q3,(Q3-R3-S3)/Q3))</f>
        <v>0.99924242424242427</v>
      </c>
      <c r="W3" s="11">
        <f t="shared" ref="W3:W8" si="7">IF(B3="","",V3*P3*J3)</f>
        <v>0.75236696694269722</v>
      </c>
      <c r="X3" s="11">
        <f t="shared" ref="X3:X8" si="8">IF(B3="","",V3*P3*M3)</f>
        <v>0.64868159682095861</v>
      </c>
    </row>
    <row r="4" spans="1:24">
      <c r="A4" s="27" t="s">
        <v>26</v>
      </c>
      <c r="B4" s="5">
        <v>46056.008333333331</v>
      </c>
      <c r="C4" s="5">
        <v>46057</v>
      </c>
      <c r="D4" s="6">
        <f t="shared" si="0"/>
        <v>1428.000000002794</v>
      </c>
      <c r="E4" s="7">
        <v>0</v>
      </c>
      <c r="F4" s="7">
        <v>0</v>
      </c>
      <c r="G4" s="8">
        <f t="shared" si="1"/>
        <v>0</v>
      </c>
      <c r="H4" s="7">
        <f>12+5+6+6+5+36+8+11+6+5+10</f>
        <v>110</v>
      </c>
      <c r="I4" s="7">
        <f>3+3+2+3+2+1+1+2+3+3+2+2+1+2+3+3+3+2+4+3+4+1+2+2+4+1+2+3</f>
        <v>67</v>
      </c>
      <c r="J4" s="9">
        <f t="shared" si="2"/>
        <v>0.8760504201683097</v>
      </c>
      <c r="K4" s="56">
        <v>0</v>
      </c>
      <c r="L4" s="56">
        <f>4+4+34+2+2+10+4+5+60+60+47+11</f>
        <v>243</v>
      </c>
      <c r="M4" s="9">
        <f t="shared" si="3"/>
        <v>0.70588235294175194</v>
      </c>
      <c r="N4" s="7">
        <v>17000</v>
      </c>
      <c r="O4" s="15">
        <f>AVERAGE(15000,14000,14000,14000,14000,14000,14000,14000,14000,14500,14500,14500,14500,14500,14500,15000,15000,15000,15000,15000)</f>
        <v>14450</v>
      </c>
      <c r="P4" s="9">
        <f>IF(B4="","",O4/N4)</f>
        <v>0.85</v>
      </c>
      <c r="Q4" s="7">
        <v>8556</v>
      </c>
      <c r="R4" s="7">
        <v>7</v>
      </c>
      <c r="S4" s="7"/>
      <c r="T4" s="5"/>
      <c r="U4" s="10" t="str">
        <f t="shared" si="5"/>
        <v/>
      </c>
      <c r="V4" s="9">
        <f t="shared" si="6"/>
        <v>0.99918186068256198</v>
      </c>
      <c r="W4" s="11">
        <f t="shared" si="7"/>
        <v>0.74403363554418511</v>
      </c>
      <c r="X4" s="11">
        <f t="shared" si="8"/>
        <v>0.59950911641002591</v>
      </c>
    </row>
    <row r="5" spans="1:24">
      <c r="A5" s="29" t="s">
        <v>47</v>
      </c>
      <c r="B5" s="5">
        <v>46057.012499999997</v>
      </c>
      <c r="C5" s="5">
        <v>46058</v>
      </c>
      <c r="D5" s="6">
        <f t="shared" si="0"/>
        <v>1422.000000004191</v>
      </c>
      <c r="E5" s="7">
        <v>60</v>
      </c>
      <c r="F5" s="7">
        <v>165</v>
      </c>
      <c r="G5" s="8">
        <f t="shared" si="1"/>
        <v>105</v>
      </c>
      <c r="H5" s="7">
        <f>14+6+5+8+6+13+8+6+22+25+10+20+5+9+9+10+7+6+38+60+6+8+5+8+14+6+13+7+45+10</f>
        <v>409</v>
      </c>
      <c r="I5" s="7">
        <f>4+4+2+3+3+2+2+2+4+3+2+1+2+1+4+3+3+1+1+2+2+2+2+3+2+3+4+1+4+3+3</f>
        <v>78</v>
      </c>
      <c r="J5" s="9">
        <f>IF(B5="","",(D5-G5-H5-I5)/D5)</f>
        <v>0.58368495077478533</v>
      </c>
      <c r="K5" s="56">
        <v>0</v>
      </c>
      <c r="L5" s="56">
        <f>16+3+5+11+3+10+7+6+4+12</f>
        <v>77</v>
      </c>
      <c r="M5" s="9">
        <f t="shared" si="3"/>
        <v>0.48734177215340962</v>
      </c>
      <c r="N5" s="7">
        <v>17000</v>
      </c>
      <c r="O5" s="15">
        <f>AVERAGE(15000,15000,15000,15000,15000,14500,14500,14500,14500,14500,15000,15000,15000,15000,15000)</f>
        <v>14833.333333333334</v>
      </c>
      <c r="P5" s="9">
        <f t="shared" si="4"/>
        <v>0.87254901960784315</v>
      </c>
      <c r="Q5" s="7">
        <v>4372</v>
      </c>
      <c r="R5" s="7">
        <v>12</v>
      </c>
      <c r="S5" s="7"/>
      <c r="T5" s="5"/>
      <c r="U5" s="10" t="str">
        <f t="shared" si="5"/>
        <v/>
      </c>
      <c r="V5" s="9">
        <f t="shared" si="6"/>
        <v>0.99725526075022874</v>
      </c>
      <c r="W5" s="11">
        <f>IF(B5="","",V5*P5*J5)</f>
        <v>0.50789585306372032</v>
      </c>
      <c r="X5" s="11">
        <f t="shared" si="8"/>
        <v>0.42406244117290304</v>
      </c>
    </row>
    <row r="6" spans="1:24">
      <c r="A6" s="29" t="s">
        <v>48</v>
      </c>
      <c r="B6" s="5">
        <v>46058.006944444445</v>
      </c>
      <c r="C6" s="5">
        <v>46059</v>
      </c>
      <c r="D6" s="6">
        <f t="shared" si="0"/>
        <v>1429.9999999988358</v>
      </c>
      <c r="E6" s="7">
        <v>60</v>
      </c>
      <c r="F6" s="7">
        <v>132</v>
      </c>
      <c r="G6" s="8">
        <f t="shared" si="1"/>
        <v>72</v>
      </c>
      <c r="H6" s="7">
        <f>9+5+37+12+20+6+7+16+22+5+16+10+6+5+8+6+12+8+11+20+5+7</f>
        <v>253</v>
      </c>
      <c r="I6" s="7">
        <f>3+4+3+2+1+3+2+2+22+3+2+4+3+2+2+1+1+1+2+3+3+2+4+1+3+2+2+2</f>
        <v>85</v>
      </c>
      <c r="J6" s="9">
        <f t="shared" si="2"/>
        <v>0.71328671328647986</v>
      </c>
      <c r="K6" s="56">
        <v>0</v>
      </c>
      <c r="L6" s="56">
        <f>4+5+21+4+27+13+7+4+13</f>
        <v>98</v>
      </c>
      <c r="M6" s="9">
        <f t="shared" si="3"/>
        <v>0.60279720279687943</v>
      </c>
      <c r="N6" s="7">
        <v>17000</v>
      </c>
      <c r="O6" s="15">
        <f>AVERAGE(15000,15000,15000,15000,15000,14500,14500,14500,14500,14500,14500,14500,15000,15000,15000,15000,15000)</f>
        <v>14794.117647058823</v>
      </c>
      <c r="P6" s="9">
        <f t="shared" si="4"/>
        <v>0.87024221453287198</v>
      </c>
      <c r="Q6" s="7">
        <v>5501</v>
      </c>
      <c r="R6" s="7">
        <v>22</v>
      </c>
      <c r="S6" s="7"/>
      <c r="T6" s="5"/>
      <c r="U6" s="10" t="str">
        <f t="shared" si="5"/>
        <v/>
      </c>
      <c r="V6" s="9">
        <f t="shared" si="6"/>
        <v>0.9960007271405199</v>
      </c>
      <c r="W6" s="11">
        <f t="shared" si="7"/>
        <v>0.61824973149097184</v>
      </c>
      <c r="X6" s="11">
        <f t="shared" si="8"/>
        <v>0.52248163582853557</v>
      </c>
    </row>
    <row r="7" spans="1:24">
      <c r="A7" s="29" t="s">
        <v>49</v>
      </c>
      <c r="B7" s="5">
        <v>46059.006944444445</v>
      </c>
      <c r="C7" s="5">
        <v>46059.84375</v>
      </c>
      <c r="D7" s="6">
        <f t="shared" si="0"/>
        <v>1204.9999999988358</v>
      </c>
      <c r="E7" s="7">
        <v>20</v>
      </c>
      <c r="F7" s="7">
        <v>40</v>
      </c>
      <c r="G7" s="8">
        <f t="shared" si="1"/>
        <v>20</v>
      </c>
      <c r="H7" s="7">
        <f>10+60+27+15+11+10+9+6+5+9+19+17+5+10+8+7+13+11</f>
        <v>252</v>
      </c>
      <c r="I7" s="7">
        <f>1+3+2+2+2+3+1+2+2+3+3+1+1+4+2+2+3+2+3</f>
        <v>42</v>
      </c>
      <c r="J7" s="9">
        <f t="shared" si="2"/>
        <v>0.7394190871366777</v>
      </c>
      <c r="K7" s="56">
        <v>15</v>
      </c>
      <c r="L7" s="56">
        <v>0</v>
      </c>
      <c r="M7" s="9">
        <f t="shared" si="3"/>
        <v>0.71037344398312263</v>
      </c>
      <c r="N7" s="7">
        <v>17000</v>
      </c>
      <c r="O7" s="15">
        <f>AVERAGE(15000,15000,14500,12000,12000,14500,14500,14500,14500,14500,16000,16000,16000)</f>
        <v>14538.461538461539</v>
      </c>
      <c r="P7" s="9">
        <f t="shared" si="4"/>
        <v>0.85520361990950233</v>
      </c>
      <c r="Q7" s="15">
        <v>5998</v>
      </c>
      <c r="R7" s="15">
        <v>9</v>
      </c>
      <c r="S7" s="7"/>
      <c r="T7" s="5"/>
      <c r="U7" s="10" t="str">
        <f t="shared" si="5"/>
        <v/>
      </c>
      <c r="V7" s="9">
        <f t="shared" si="6"/>
        <v>0.99849949983327779</v>
      </c>
      <c r="W7" s="11">
        <f t="shared" si="7"/>
        <v>0.63140503284717497</v>
      </c>
      <c r="X7" s="11">
        <f t="shared" si="8"/>
        <v>0.60660236601251716</v>
      </c>
    </row>
    <row r="8" spans="1:24">
      <c r="A8" s="29" t="s">
        <v>50</v>
      </c>
      <c r="B8" s="5">
        <v>46062.121527777781</v>
      </c>
      <c r="C8" s="5">
        <v>46062.886111111111</v>
      </c>
      <c r="D8" s="6">
        <f t="shared" si="0"/>
        <v>1100.9999999951106</v>
      </c>
      <c r="E8" s="7">
        <v>45</v>
      </c>
      <c r="F8" s="7">
        <v>50</v>
      </c>
      <c r="G8" s="8">
        <f t="shared" si="1"/>
        <v>5</v>
      </c>
      <c r="H8" s="7">
        <f>5+18+7+11+7+6+22+9+5+7+5+37+12+6+29+40+5</f>
        <v>231</v>
      </c>
      <c r="I8" s="7">
        <f>4+3+4+2+2+2+3+4+3+3+3+3+3+4+3+4+3+4+2+4+3+2+2+3+1+2+1+1+3+3</f>
        <v>84</v>
      </c>
      <c r="J8" s="9">
        <f t="shared" si="2"/>
        <v>0.70935513169716524</v>
      </c>
      <c r="K8" s="56">
        <v>0</v>
      </c>
      <c r="L8" s="56">
        <f>6+10+9+50+60+5+7+8</f>
        <v>155</v>
      </c>
      <c r="M8" s="9">
        <f t="shared" si="3"/>
        <v>0.5277020890078935</v>
      </c>
      <c r="N8" s="7">
        <v>17000</v>
      </c>
      <c r="O8" s="15">
        <f>AVERAGE( 15000,15000,15000,15000,15000,12000,12000,13000,14000,14000,14000,14000,14000)</f>
        <v>14000</v>
      </c>
      <c r="P8" s="9">
        <f t="shared" si="4"/>
        <v>0.82352941176470584</v>
      </c>
      <c r="Q8" s="15">
        <v>4432</v>
      </c>
      <c r="R8" s="15">
        <v>8</v>
      </c>
      <c r="S8" s="7"/>
      <c r="T8" s="5"/>
      <c r="U8" s="10" t="str">
        <f t="shared" si="5"/>
        <v/>
      </c>
      <c r="V8" s="9">
        <f t="shared" si="6"/>
        <v>0.99819494584837543</v>
      </c>
      <c r="W8" s="11">
        <f t="shared" si="7"/>
        <v>0.5831203471649451</v>
      </c>
      <c r="X8" s="11">
        <f t="shared" si="8"/>
        <v>0.43379375377990137</v>
      </c>
    </row>
    <row r="9" spans="1:24">
      <c r="A9" s="29" t="s">
        <v>51</v>
      </c>
      <c r="B9" s="5">
        <v>46063.027777777781</v>
      </c>
      <c r="C9" s="5">
        <v>46064</v>
      </c>
      <c r="D9" s="6">
        <f t="shared" si="0"/>
        <v>1399.9999999953434</v>
      </c>
      <c r="E9" s="7">
        <f>30+45</f>
        <v>75</v>
      </c>
      <c r="F9" s="7">
        <v>150</v>
      </c>
      <c r="G9" s="8">
        <f t="shared" si="1"/>
        <v>75</v>
      </c>
      <c r="H9" s="7">
        <f>5+6+5+7+5+14+10</f>
        <v>52</v>
      </c>
      <c r="I9" s="7">
        <f>3+4+3+4+3+4+3+2+3+2+2+2+2+3+2+3+4+3+2+3+4+3+2</f>
        <v>66</v>
      </c>
      <c r="J9" s="9">
        <f t="shared" si="2"/>
        <v>0.86214285714239858</v>
      </c>
      <c r="K9" s="56">
        <v>0</v>
      </c>
      <c r="L9" s="56">
        <f>2+10+6+45+60+28+4+6+6+6+6+6+4+4+6</f>
        <v>199</v>
      </c>
      <c r="M9" s="9">
        <f t="shared" si="3"/>
        <v>0.66642857142746192</v>
      </c>
      <c r="N9" s="7">
        <v>17000</v>
      </c>
      <c r="O9" s="15">
        <f>AVERAGE(14500,14500,14500,14500,14500,15000,15000,15000,15000)</f>
        <v>14722.222222222223</v>
      </c>
      <c r="P9" s="9">
        <f>IF(B9="","",O9/N9)</f>
        <v>0.86601307189542487</v>
      </c>
      <c r="Q9" s="15">
        <v>7015</v>
      </c>
      <c r="R9" s="15">
        <v>9</v>
      </c>
      <c r="S9" s="7"/>
      <c r="T9" s="5"/>
      <c r="U9" s="10" t="str">
        <f t="shared" si="5"/>
        <v/>
      </c>
      <c r="V9" s="9">
        <f t="shared" si="6"/>
        <v>0.9987170349251604</v>
      </c>
      <c r="W9" s="11">
        <f>IF(B9="","",V9*P9*J9)</f>
        <v>0.74566908778201979</v>
      </c>
      <c r="X9" s="11">
        <f>IF(B9="","",V9*P9*M9)</f>
        <v>0.5763954091962189</v>
      </c>
    </row>
    <row r="10" spans="1:24">
      <c r="A10" s="29" t="s">
        <v>52</v>
      </c>
      <c r="B10" s="5">
        <v>46064.003472222219</v>
      </c>
      <c r="C10" s="5">
        <v>46065</v>
      </c>
      <c r="D10" s="6">
        <f t="shared" si="0"/>
        <v>1435.0000000046566</v>
      </c>
      <c r="E10" s="7">
        <v>10</v>
      </c>
      <c r="F10" s="7">
        <v>48</v>
      </c>
      <c r="G10" s="8">
        <f t="shared" si="1"/>
        <v>38</v>
      </c>
      <c r="H10" s="7">
        <f>12+6+5+5+5+18+60+10+5+7+5+7+9+24+6+5</f>
        <v>189</v>
      </c>
      <c r="I10" s="7">
        <f>2+1+2+3+2+2+4+2+1+3+2+3+2+3+3+4+3+3+3+1+4+2+4+2+2+2+3+3+2+3+3+2+3+3+3+2+4+3+4+3+2+3+3+2+2+2+5</f>
        <v>125</v>
      </c>
      <c r="J10" s="9">
        <f t="shared" si="2"/>
        <v>0.75470383275340924</v>
      </c>
      <c r="K10" s="56">
        <v>0</v>
      </c>
      <c r="L10" s="56">
        <f>5+4+10+6+3+20+4+45+8+27+4</f>
        <v>136</v>
      </c>
      <c r="M10" s="9">
        <f t="shared" si="3"/>
        <v>0.6529616724749937</v>
      </c>
      <c r="N10" s="7">
        <v>17000</v>
      </c>
      <c r="O10" s="15">
        <f>AVERAGE(15000,15000,15000,15000,15000,15000,15000,15000,15000,13000,11000,15000,15000,15000,15000,15000,15000,15000,15000,15000,15000)</f>
        <v>14714.285714285714</v>
      </c>
      <c r="P10" s="9">
        <f t="shared" ref="P10:P37" si="9">IF(B10="","",O10/N10)</f>
        <v>0.86554621848739488</v>
      </c>
      <c r="Q10" s="15">
        <v>6898</v>
      </c>
      <c r="R10" s="15">
        <v>4</v>
      </c>
      <c r="S10" s="7"/>
      <c r="T10" s="5"/>
      <c r="U10" s="10" t="str">
        <f t="shared" si="5"/>
        <v/>
      </c>
      <c r="V10" s="9">
        <f t="shared" ref="V10" si="10">IF(B10="","",IF(U10&lt;3,(Q10-R10)/Q10,(Q10-R10-S10)/Q10))</f>
        <v>0.99942012177442741</v>
      </c>
      <c r="W10" s="11">
        <f t="shared" ref="W10" si="11">IF(B10="","",V10*P10*J10)</f>
        <v>0.65285225405635339</v>
      </c>
      <c r="X10" s="11">
        <f t="shared" ref="X10" si="12">IF(B10="","",V10*P10*M10)</f>
        <v>0.56484077751727879</v>
      </c>
    </row>
    <row r="11" spans="1:24">
      <c r="A11" s="29" t="s">
        <v>53</v>
      </c>
      <c r="B11" s="5">
        <v>46065.006944444445</v>
      </c>
      <c r="C11" s="5">
        <v>46066</v>
      </c>
      <c r="D11" s="6">
        <f>IF(B11="","",(C11-B11)*24*60)</f>
        <v>1429.9999999988358</v>
      </c>
      <c r="E11" s="7">
        <v>0</v>
      </c>
      <c r="F11" s="7">
        <v>10</v>
      </c>
      <c r="G11" s="8">
        <f>IF(E11="","",F11-E11)</f>
        <v>10</v>
      </c>
      <c r="H11" s="7">
        <f>7+14+10+10+6+9+5+5+7+7+7+7+13+5+7+5+17+21+20+6+12+5+8+21+10+5+5+8+19+38+18+6+20</f>
        <v>363</v>
      </c>
      <c r="I11" s="7">
        <f>3+3+3+1+4+4+1+3+2+3+3+3+2+3+1+2+3+3+2+2+2+2+2+2+1+2+1+2+2+2+1+1+2+2+2+2+1</f>
        <v>80</v>
      </c>
      <c r="J11" s="9">
        <f>IF(B11="","",(D11-G11-H11-I11)/D11)</f>
        <v>0.68321678321652535</v>
      </c>
      <c r="K11" s="56">
        <v>0</v>
      </c>
      <c r="L11" s="56">
        <f>28+6+5+30+3+4+3+3+4+3+4+9+4</f>
        <v>106</v>
      </c>
      <c r="M11" s="9">
        <f>IF(B11="","",(D11-G11-H11-I11-K11-L11-E11)/D11)</f>
        <v>0.60909090909059083</v>
      </c>
      <c r="N11" s="7">
        <v>17000</v>
      </c>
      <c r="O11" s="15">
        <f>AVERAGE(15000,15000,15000,15000,15000,15000,15000,15000,15000,15000,15000,15000,15000,15000,15000,15000,15000,15000,15000,15000,15000,15000)</f>
        <v>15000</v>
      </c>
      <c r="P11" s="9">
        <f>IF(B11="","",O11/N11)</f>
        <v>0.88235294117647056</v>
      </c>
      <c r="Q11" s="15">
        <v>6114</v>
      </c>
      <c r="R11" s="15">
        <v>32</v>
      </c>
      <c r="S11" s="7"/>
      <c r="T11" s="5"/>
      <c r="U11" s="10" t="str">
        <f t="shared" si="5"/>
        <v/>
      </c>
      <c r="V11" s="9">
        <f>IF(B11="","",IF(U11&lt;3,(Q11-R11)/Q11,(Q11-R11-S11)/Q11))</f>
        <v>0.99476611056591424</v>
      </c>
      <c r="W11" s="11">
        <f>IF(B11="","",V11*P11*J11)</f>
        <v>0.59968314892381613</v>
      </c>
      <c r="X11" s="11">
        <f>IF(B11="","",V11*P11*M11)</f>
        <v>0.53462028936803285</v>
      </c>
    </row>
    <row r="12" spans="1:24">
      <c r="A12" s="29" t="s">
        <v>54</v>
      </c>
      <c r="B12" s="5">
        <v>46066.006944444445</v>
      </c>
      <c r="C12" s="5">
        <v>46066.836111111108</v>
      </c>
      <c r="D12" s="6">
        <f>IF(B12="","",(C12-B12)*24*60)</f>
        <v>1193.9999999944121</v>
      </c>
      <c r="E12" s="7">
        <v>60</v>
      </c>
      <c r="F12" s="7">
        <v>60</v>
      </c>
      <c r="G12" s="8">
        <f>IF(E12="","",F12-E12)</f>
        <v>0</v>
      </c>
      <c r="H12" s="7">
        <f>7+5+9+5+6+11+9+6+12+8</f>
        <v>78</v>
      </c>
      <c r="I12" s="7">
        <f>1+4+3+2+3+4+3+2+3+1+4</f>
        <v>30</v>
      </c>
      <c r="J12" s="9">
        <f>IF(B12="","",(D12-G12-H12-I12)/D12)</f>
        <v>0.90954773869304406</v>
      </c>
      <c r="K12" s="56">
        <v>0</v>
      </c>
      <c r="L12" s="56">
        <v>675</v>
      </c>
      <c r="M12" s="9">
        <f>IF(B12="","",(D12-G12-H12-I12-K12-L12-E12)/D12)</f>
        <v>0.29396984924292691</v>
      </c>
      <c r="N12" s="7">
        <v>17000</v>
      </c>
      <c r="O12" s="15">
        <f>AVERAGE(15000, 15000,15000,11000,15000,15000,15000,15000)</f>
        <v>14500</v>
      </c>
      <c r="P12" s="9">
        <f>IF(B12="","",O12/N12)</f>
        <v>0.8529411764705882</v>
      </c>
      <c r="Q12" s="15">
        <v>2856</v>
      </c>
      <c r="R12" s="15">
        <v>8</v>
      </c>
      <c r="S12" s="7"/>
      <c r="T12" s="5"/>
      <c r="U12" s="10" t="str">
        <f t="shared" si="5"/>
        <v/>
      </c>
      <c r="V12" s="9">
        <f>IF(B12="","",IF(U12&lt;3,(Q12-R12)/Q12,(Q12-R12-S12)/Q12))</f>
        <v>0.99719887955182074</v>
      </c>
      <c r="W12" s="11">
        <f>IF(B12="","",V12*P12*J12)</f>
        <v>0.77361763505247871</v>
      </c>
      <c r="X12" s="11">
        <f>IF(B12="","",V12*P12*M12)</f>
        <v>0.25003663895073136</v>
      </c>
    </row>
    <row r="13" spans="1:24">
      <c r="A13" s="29" t="s">
        <v>26</v>
      </c>
      <c r="B13" s="5">
        <v>46069.489583333336</v>
      </c>
      <c r="C13" s="5">
        <v>46070</v>
      </c>
      <c r="D13" s="6">
        <f t="shared" si="0"/>
        <v>734.99999999650754</v>
      </c>
      <c r="E13" s="7">
        <v>0</v>
      </c>
      <c r="F13" s="7">
        <v>0</v>
      </c>
      <c r="G13" s="8">
        <f t="shared" si="1"/>
        <v>0</v>
      </c>
      <c r="H13" s="7">
        <f>15+6+5+11+6+7+7</f>
        <v>57</v>
      </c>
      <c r="I13" s="7">
        <f>3+3+3+2+4+4+2+2+1+3+2+2+4+4+1+4+2+2+4+3+4+3+1+1+3+4+2</f>
        <v>73</v>
      </c>
      <c r="J13" s="9">
        <f>IF(B13="","",(D13-G13-H13-I13)/D13)</f>
        <v>0.82312925169983986</v>
      </c>
      <c r="K13" s="56">
        <v>0</v>
      </c>
      <c r="L13" s="56">
        <f>2+12+6</f>
        <v>20</v>
      </c>
      <c r="M13" s="9">
        <f>IF(B13="","",(D13-G13-H13-I13-K13-L13-E13)/D13)</f>
        <v>0.7959183673459691</v>
      </c>
      <c r="N13" s="7">
        <v>17000</v>
      </c>
      <c r="O13" s="15">
        <f>AVERAGE(15000,15000,15000,15000,15000,15000,15000,17000,15000,15000,15000,15000)</f>
        <v>15166.666666666666</v>
      </c>
      <c r="P13" s="9">
        <f>IF(B13="","",O13/N13)</f>
        <v>0.89215686274509798</v>
      </c>
      <c r="Q13" s="15">
        <v>4596</v>
      </c>
      <c r="R13" s="15">
        <v>10</v>
      </c>
      <c r="S13" s="7">
        <f>177+43</f>
        <v>220</v>
      </c>
      <c r="T13" s="5">
        <v>46065</v>
      </c>
      <c r="U13" s="10">
        <f t="shared" si="5"/>
        <v>-5</v>
      </c>
      <c r="V13" s="9">
        <f>IF(B13="","",IF(U13&lt;3,(Q13-R13)/Q13,(Q13-R13-S13)/Q13))</f>
        <v>0.99782419495213226</v>
      </c>
      <c r="W13" s="11">
        <f t="shared" ref="W13:W37" si="13">IF(B13="","",V13*P13*J13)</f>
        <v>0.73276258574141062</v>
      </c>
      <c r="X13" s="11">
        <f t="shared" ref="X13:X37" si="14">IF(B13="","",V13*P13*M13)</f>
        <v>0.70853902918783573</v>
      </c>
    </row>
    <row r="14" spans="1:24">
      <c r="A14" s="29" t="s">
        <v>26</v>
      </c>
      <c r="B14" s="5">
        <v>46070.011805555558</v>
      </c>
      <c r="C14" s="5">
        <v>46070.400000000001</v>
      </c>
      <c r="D14" s="6">
        <f t="shared" si="0"/>
        <v>558.99999999906868</v>
      </c>
      <c r="E14" s="7">
        <v>0</v>
      </c>
      <c r="F14" s="7">
        <v>0</v>
      </c>
      <c r="G14" s="8">
        <f>IF(E14="","",F14-E14)</f>
        <v>0</v>
      </c>
      <c r="H14" s="7">
        <f>13+9+7+6+10+9+5+5+10+5</f>
        <v>79</v>
      </c>
      <c r="I14" s="7">
        <f>4+1+1+2+2+2+2+1+1+4+2+3+3+3+3+2+1</f>
        <v>37</v>
      </c>
      <c r="J14" s="9">
        <f t="shared" si="2"/>
        <v>0.79248658318391185</v>
      </c>
      <c r="K14" s="56">
        <v>0</v>
      </c>
      <c r="L14" s="56">
        <f>31</f>
        <v>31</v>
      </c>
      <c r="M14" s="9">
        <f t="shared" si="3"/>
        <v>0.73703041144857795</v>
      </c>
      <c r="N14" s="7">
        <v>17000</v>
      </c>
      <c r="O14" s="15">
        <f>AVERAGE(15000,15000,15000,15000,15000,15000,15000,15000,15000,15000)</f>
        <v>15000</v>
      </c>
      <c r="P14" s="9">
        <f t="shared" si="9"/>
        <v>0.88235294117647056</v>
      </c>
      <c r="Q14" s="15">
        <v>2895</v>
      </c>
      <c r="R14" s="15">
        <v>13</v>
      </c>
      <c r="S14" s="7"/>
      <c r="T14" s="5"/>
      <c r="U14" s="10" t="str">
        <f t="shared" si="5"/>
        <v/>
      </c>
      <c r="V14" s="9">
        <f>IF(B14="","",IF(U14&lt;3,(Q14-R14)/Q14,(Q14-R14-S14)/Q14))</f>
        <v>0.99550949913644216</v>
      </c>
      <c r="W14" s="11">
        <f t="shared" si="13"/>
        <v>0.69611287190979387</v>
      </c>
      <c r="X14" s="11">
        <f t="shared" si="14"/>
        <v>0.64740068448485266</v>
      </c>
    </row>
    <row r="15" spans="1:24">
      <c r="A15" s="29" t="s">
        <v>55</v>
      </c>
      <c r="B15" s="5">
        <v>46072.083333333336</v>
      </c>
      <c r="C15" s="5">
        <v>46073</v>
      </c>
      <c r="D15" s="6">
        <f t="shared" si="0"/>
        <v>1319.9999999965075</v>
      </c>
      <c r="E15" s="7">
        <f>60+60</f>
        <v>120</v>
      </c>
      <c r="F15" s="7">
        <v>103</v>
      </c>
      <c r="G15" s="8">
        <f>IF(E15="","",F15-E15)</f>
        <v>-17</v>
      </c>
      <c r="H15" s="7">
        <f>7+8+28+7+5+5+6+5+6+6+15+8+10+60+40+7+6+5+16+24+5+11+13+9+7+6+60</f>
        <v>385</v>
      </c>
      <c r="I15" s="7">
        <f>2+2+4+2+2+4+3+4+4+2+3+1+2+3+1+3+4+4+4+4+1+3+3+3+1</f>
        <v>69</v>
      </c>
      <c r="J15" s="9">
        <f t="shared" si="2"/>
        <v>0.66893939393851798</v>
      </c>
      <c r="K15" s="28">
        <v>0</v>
      </c>
      <c r="L15" s="28">
        <f>4+9+15+8+6+10</f>
        <v>52</v>
      </c>
      <c r="M15" s="9">
        <f t="shared" si="3"/>
        <v>0.538636363635143</v>
      </c>
      <c r="N15" s="7">
        <v>17000</v>
      </c>
      <c r="O15" s="15">
        <f>AVERAGE(12000,15000,15000,15000,15000,15000,15000,15000,15000,14000,15000,12000,12000)</f>
        <v>14230.76923076923</v>
      </c>
      <c r="P15" s="9">
        <f t="shared" si="9"/>
        <v>0.83710407239819007</v>
      </c>
      <c r="Q15" s="15">
        <v>4680</v>
      </c>
      <c r="R15" s="15">
        <v>10</v>
      </c>
      <c r="S15" s="7">
        <v>350</v>
      </c>
      <c r="T15" s="5">
        <v>46073.392361111109</v>
      </c>
      <c r="U15" s="10">
        <f t="shared" si="5"/>
        <v>0.39236111110949423</v>
      </c>
      <c r="V15" s="9">
        <f t="shared" ref="V15:V37" si="15">IF(B15="","",IF(U15&lt;3,(Q15-R15)/Q15,(Q15-R15-S15)/Q15))</f>
        <v>0.99786324786324787</v>
      </c>
      <c r="W15" s="11">
        <f t="shared" si="13"/>
        <v>0.55877536971920816</v>
      </c>
      <c r="X15" s="11">
        <f t="shared" si="14"/>
        <v>0.44993124334085721</v>
      </c>
    </row>
    <row r="16" spans="1:24">
      <c r="A16" s="29" t="s">
        <v>56</v>
      </c>
      <c r="B16" s="5">
        <v>46073.006249999999</v>
      </c>
      <c r="C16" s="5">
        <v>46073.836805555555</v>
      </c>
      <c r="D16" s="6">
        <f>IF(B16="","",(C16-B16)*24*60)</f>
        <v>1196.0000000009313</v>
      </c>
      <c r="E16" s="7">
        <v>60</v>
      </c>
      <c r="F16" s="7">
        <v>79</v>
      </c>
      <c r="G16" s="8">
        <f>IF(E16="","",F16-E16)</f>
        <v>19</v>
      </c>
      <c r="H16" s="7">
        <f>9+5+6+54+6+9+5+9+7+29+22+5+6+5+10+5+30+30+37+7+11+6+17</f>
        <v>330</v>
      </c>
      <c r="I16" s="7">
        <f>3+4+3+3+2+2+4+4+4+2+2+2+4+4+2+3+4+2+3+3+4+1+4+3+3+3+2+4+1+1+2</f>
        <v>88</v>
      </c>
      <c r="J16" s="9">
        <f>IF(B16="","",(D16-G16-H16-I16)/D16)</f>
        <v>0.63461538461566913</v>
      </c>
      <c r="K16" s="56">
        <v>0</v>
      </c>
      <c r="L16" s="56">
        <f>9+6+6+10+2+27+15</f>
        <v>75</v>
      </c>
      <c r="M16" s="9">
        <f>IF(B16="","",(D16-G16-H16-I16-K16-L16-E16)/D16)</f>
        <v>0.52173913043515507</v>
      </c>
      <c r="N16" s="7">
        <v>17000</v>
      </c>
      <c r="O16" s="15">
        <f>AVERAGE(14000,14000,14000,14000,14000,14000,14000,14000,15000,15000,14500,14500,13500,7500,13000,15000)</f>
        <v>13750</v>
      </c>
      <c r="P16" s="9">
        <f>IF(B16="","",O16/N16)</f>
        <v>0.80882352941176472</v>
      </c>
      <c r="Q16" s="15">
        <v>3788</v>
      </c>
      <c r="R16" s="15">
        <v>6</v>
      </c>
      <c r="S16" s="7"/>
      <c r="T16" s="5"/>
      <c r="U16" s="10" t="str">
        <f t="shared" si="5"/>
        <v/>
      </c>
      <c r="V16" s="9">
        <f>IF(B16="","",IF(U16&lt;3,(Q16-R16)/Q16,(Q16-R16-S16)/Q16))</f>
        <v>0.99841605068637806</v>
      </c>
      <c r="W16" s="11">
        <f>IF(B16="","",V16*P16*J16)</f>
        <v>0.51247882692211222</v>
      </c>
      <c r="X16" s="11">
        <f>IF(B16="","",V16*P16*M16)</f>
        <v>0.42132646640248078</v>
      </c>
    </row>
    <row r="17" spans="1:24">
      <c r="A17" s="29" t="s">
        <v>26</v>
      </c>
      <c r="B17" s="5">
        <v>46076.442361111112</v>
      </c>
      <c r="C17" s="5">
        <v>46077</v>
      </c>
      <c r="D17" s="6">
        <f t="shared" si="0"/>
        <v>802.99999999813735</v>
      </c>
      <c r="E17" s="7">
        <v>25</v>
      </c>
      <c r="F17" s="7">
        <v>0</v>
      </c>
      <c r="G17" s="8">
        <f t="shared" ref="G17:G26" si="16">IF(E17="","",F17-E17)</f>
        <v>-25</v>
      </c>
      <c r="H17" s="7">
        <f>14+10+20+9+7+6+5+30+16+12+6+5+22+6+6+8+5+5+5+7+5+8+10</f>
        <v>227</v>
      </c>
      <c r="I17" s="7">
        <f>4+3+4+2+4+3+2+3+1+2+2+4+3+3+3+2+4+3+4+3+2+2+1+3+2+3</f>
        <v>72</v>
      </c>
      <c r="J17" s="9">
        <f t="shared" si="2"/>
        <v>0.65877957658700426</v>
      </c>
      <c r="K17" s="7">
        <v>0</v>
      </c>
      <c r="L17" s="7">
        <f>23+10+4</f>
        <v>37</v>
      </c>
      <c r="M17" s="9">
        <f t="shared" si="3"/>
        <v>0.58156911581472059</v>
      </c>
      <c r="N17" s="7">
        <v>17000</v>
      </c>
      <c r="O17" s="15">
        <f>AVERAGE(15000,15000,15000,15000,15000,14000,14000,15000,15000,15000,15000,15000,15000,15000)</f>
        <v>14857.142857142857</v>
      </c>
      <c r="P17" s="9">
        <f t="shared" si="9"/>
        <v>0.87394957983193278</v>
      </c>
      <c r="Q17" s="15">
        <v>3491</v>
      </c>
      <c r="R17" s="15">
        <v>4</v>
      </c>
      <c r="S17" s="7">
        <v>70</v>
      </c>
      <c r="T17" s="5">
        <v>46078</v>
      </c>
      <c r="U17" s="10">
        <f t="shared" si="5"/>
        <v>1</v>
      </c>
      <c r="V17" s="9">
        <f t="shared" si="15"/>
        <v>0.99885419650529939</v>
      </c>
      <c r="W17" s="11">
        <f t="shared" si="13"/>
        <v>0.57508044910231093</v>
      </c>
      <c r="X17" s="11">
        <f t="shared" si="14"/>
        <v>0.50767971593696348</v>
      </c>
    </row>
    <row r="18" spans="1:24">
      <c r="A18" s="29" t="s">
        <v>57</v>
      </c>
      <c r="B18" s="5">
        <v>46077.008333333331</v>
      </c>
      <c r="C18" s="5">
        <v>46077.961805555555</v>
      </c>
      <c r="D18" s="6">
        <f t="shared" si="0"/>
        <v>1373.0000000016298</v>
      </c>
      <c r="E18" s="7">
        <v>25</v>
      </c>
      <c r="F18" s="7">
        <v>31</v>
      </c>
      <c r="G18" s="8">
        <f t="shared" si="16"/>
        <v>6</v>
      </c>
      <c r="H18" s="7">
        <f>5+10+10+6+57+60+60+60+43+5+26+16+42+30+7+6+5+6</f>
        <v>454</v>
      </c>
      <c r="I18" s="7">
        <f>4+3+1+3+1+1+2+4+3+3+3+3+4+1+2+3+4+2+3+4+3+3+2+3+3+4+2+4+2+3+3+4+4+3+1+4+4+4+4+3+3+4+2+3+3</f>
        <v>132</v>
      </c>
      <c r="J18" s="9">
        <f t="shared" si="2"/>
        <v>0.56882738528820298</v>
      </c>
      <c r="K18" s="28">
        <v>0</v>
      </c>
      <c r="L18" s="28">
        <f>7+4+2+4+6+6</f>
        <v>29</v>
      </c>
      <c r="M18" s="9">
        <f t="shared" si="3"/>
        <v>0.52949745083814048</v>
      </c>
      <c r="N18" s="7">
        <v>17000</v>
      </c>
      <c r="O18" s="15">
        <f>AVERAGE(15000,15000,15000,15000,15000,15000,15000,15000,15000,15000,15000,15000,15000,15000,16500,14000,13000,14500)</f>
        <v>14888.888888888889</v>
      </c>
      <c r="P18" s="9">
        <f t="shared" si="9"/>
        <v>0.87581699346405228</v>
      </c>
      <c r="Q18" s="7">
        <v>5142</v>
      </c>
      <c r="R18" s="7">
        <v>15</v>
      </c>
      <c r="S18" s="7">
        <f>140+4+210</f>
        <v>354</v>
      </c>
      <c r="T18" s="5">
        <v>46097.524305555555</v>
      </c>
      <c r="U18" s="10">
        <f t="shared" si="5"/>
        <v>19.5625</v>
      </c>
      <c r="V18" s="9">
        <f t="shared" si="15"/>
        <v>0.92823803967327889</v>
      </c>
      <c r="W18" s="11">
        <f t="shared" si="13"/>
        <v>0.46243769334863655</v>
      </c>
      <c r="X18" s="11">
        <f t="shared" si="14"/>
        <v>0.43046376832843908</v>
      </c>
    </row>
    <row r="19" spans="1:24">
      <c r="A19" s="29" t="s">
        <v>58</v>
      </c>
      <c r="B19" s="5">
        <v>46078.017361111109</v>
      </c>
      <c r="C19" s="5">
        <v>46079</v>
      </c>
      <c r="D19" s="6">
        <f t="shared" si="0"/>
        <v>1415.0000000023283</v>
      </c>
      <c r="E19" s="7">
        <v>0</v>
      </c>
      <c r="F19" s="7">
        <v>0</v>
      </c>
      <c r="G19" s="8">
        <f t="shared" si="16"/>
        <v>0</v>
      </c>
      <c r="H19" s="7">
        <f>13+5+38+10+8+60+25+16+12+9+8+5+6+9+8+10+5+6+7+8+60+60+60+60+47+7+6+5+10+11+6+7+5+25+10+10+19</f>
        <v>676</v>
      </c>
      <c r="I19" s="7">
        <f>2+2+3+2+2+3+2+2+4+3+3+2+3+3+4+2+4+2+2+2+4+2+3+1+2+4+2+3+4+3+4+4+2+2+1+3</f>
        <v>96</v>
      </c>
      <c r="J19" s="9">
        <f t="shared" si="2"/>
        <v>0.45441696113163976</v>
      </c>
      <c r="K19" s="28">
        <v>0</v>
      </c>
      <c r="L19" s="28">
        <v>0</v>
      </c>
      <c r="M19" s="9">
        <f t="shared" si="3"/>
        <v>0.45441696113163976</v>
      </c>
      <c r="N19" s="7">
        <v>17000</v>
      </c>
      <c r="O19" s="15">
        <f>AVERAGE(16000,16000,16000,16000,15000,14500,15000,15000,15000,15000,15000,15000,15000,15000,15000)</f>
        <v>15233.333333333334</v>
      </c>
      <c r="P19" s="9">
        <f t="shared" si="9"/>
        <v>0.89607843137254906</v>
      </c>
      <c r="Q19" s="15">
        <v>4008</v>
      </c>
      <c r="R19" s="7">
        <v>12</v>
      </c>
      <c r="S19" s="7">
        <v>140</v>
      </c>
      <c r="T19" s="5">
        <v>46083.673611111109</v>
      </c>
      <c r="U19" s="10">
        <f t="shared" si="5"/>
        <v>4.6736111111094942</v>
      </c>
      <c r="V19" s="9">
        <f t="shared" si="15"/>
        <v>0.96207584830339321</v>
      </c>
      <c r="W19" s="11">
        <f t="shared" si="13"/>
        <v>0.39175077960279764</v>
      </c>
      <c r="X19" s="11">
        <f t="shared" si="14"/>
        <v>0.39175077960279764</v>
      </c>
    </row>
    <row r="20" spans="1:24">
      <c r="A20" s="29" t="s">
        <v>30</v>
      </c>
      <c r="B20" s="5">
        <v>46079.009722222225</v>
      </c>
      <c r="C20" s="5">
        <v>46080</v>
      </c>
      <c r="D20" s="6">
        <f t="shared" si="0"/>
        <v>1425.9999999962747</v>
      </c>
      <c r="E20" s="7">
        <v>10</v>
      </c>
      <c r="F20" s="7">
        <v>23</v>
      </c>
      <c r="G20" s="8">
        <f t="shared" si="16"/>
        <v>13</v>
      </c>
      <c r="H20" s="7">
        <f>44+60+60+60+60+60+47+5+60+60+60+60+60+5+6+6+16+12+11+5+7+5+7+6+40+10+10</f>
        <v>842</v>
      </c>
      <c r="I20" s="7">
        <f>2+2+3+4+1+1+4+4+3+3+3+2+4+4+1+3+4+4+1+3+2</f>
        <v>58</v>
      </c>
      <c r="J20" s="9">
        <f t="shared" si="2"/>
        <v>0.35974754558037508</v>
      </c>
      <c r="K20" s="28">
        <v>0</v>
      </c>
      <c r="L20" s="28">
        <f>3</f>
        <v>3</v>
      </c>
      <c r="M20" s="9">
        <f t="shared" si="3"/>
        <v>0.35063113604318435</v>
      </c>
      <c r="N20" s="7">
        <v>17000</v>
      </c>
      <c r="O20" s="30">
        <f>AVERAGE(15000,15000,15000,15000,15000,15000,15000,15000,14000,15000)</f>
        <v>14900</v>
      </c>
      <c r="P20" s="9">
        <f t="shared" si="9"/>
        <v>0.87647058823529411</v>
      </c>
      <c r="Q20" s="7">
        <v>3264</v>
      </c>
      <c r="R20" s="7">
        <v>7</v>
      </c>
      <c r="S20" s="7"/>
      <c r="T20" s="5"/>
      <c r="U20" s="10" t="str">
        <f t="shared" si="5"/>
        <v/>
      </c>
      <c r="V20" s="9">
        <f t="shared" si="15"/>
        <v>0.9978553921568627</v>
      </c>
      <c r="W20" s="11">
        <f t="shared" si="13"/>
        <v>0.31463193057478545</v>
      </c>
      <c r="X20" s="11">
        <f t="shared" si="14"/>
        <v>0.30665880172975246</v>
      </c>
    </row>
    <row r="21" spans="1:24">
      <c r="A21" s="29" t="s">
        <v>59</v>
      </c>
      <c r="B21" s="5">
        <v>46080.006944444445</v>
      </c>
      <c r="C21" s="5">
        <v>46080.840277777781</v>
      </c>
      <c r="D21" s="6">
        <f t="shared" si="0"/>
        <v>1200.0000000034925</v>
      </c>
      <c r="E21" s="7">
        <f>30+45</f>
        <v>75</v>
      </c>
      <c r="F21" s="7">
        <v>73</v>
      </c>
      <c r="G21" s="8">
        <f t="shared" si="16"/>
        <v>-2</v>
      </c>
      <c r="H21" s="7">
        <f>6</f>
        <v>6</v>
      </c>
      <c r="I21" s="7">
        <f>1+3+2+2</f>
        <v>8</v>
      </c>
      <c r="J21" s="9">
        <f t="shared" si="2"/>
        <v>0.99000000000002908</v>
      </c>
      <c r="K21" s="28"/>
      <c r="L21" s="28">
        <f>9</f>
        <v>9</v>
      </c>
      <c r="M21" s="9">
        <f t="shared" si="3"/>
        <v>0.92000000000023285</v>
      </c>
      <c r="N21" s="7">
        <v>17000</v>
      </c>
      <c r="O21" s="15">
        <f>AVERAGE(15000,15000,15000,15000,15000,15000,15000,15000,15000,15000,14800,14800,14800,14800,14800,14800)</f>
        <v>14925</v>
      </c>
      <c r="P21" s="9">
        <f t="shared" si="9"/>
        <v>0.87794117647058822</v>
      </c>
      <c r="Q21" s="7">
        <v>6071</v>
      </c>
      <c r="R21" s="15">
        <v>7</v>
      </c>
      <c r="S21" s="7">
        <v>490</v>
      </c>
      <c r="T21" s="5">
        <v>46086</v>
      </c>
      <c r="U21" s="10">
        <f t="shared" si="5"/>
        <v>5.1597222222189885</v>
      </c>
      <c r="V21" s="9">
        <f t="shared" si="15"/>
        <v>0.91813539779278541</v>
      </c>
      <c r="W21" s="11">
        <f t="shared" si="13"/>
        <v>0.79800818258453809</v>
      </c>
      <c r="X21" s="11">
        <f t="shared" si="14"/>
        <v>0.74158336159387805</v>
      </c>
    </row>
    <row r="22" spans="1:24">
      <c r="A22" s="29" t="s">
        <v>60</v>
      </c>
      <c r="B22" s="5">
        <v>46081.34375</v>
      </c>
      <c r="C22" s="5">
        <v>46081.941666666666</v>
      </c>
      <c r="D22" s="6">
        <f>IF(B22="","",(C22-B22)*24*60)</f>
        <v>860.99999999860302</v>
      </c>
      <c r="E22" s="7">
        <v>45</v>
      </c>
      <c r="F22" s="7">
        <v>50</v>
      </c>
      <c r="G22" s="8">
        <f>IF(E22="","",F22-E22)</f>
        <v>5</v>
      </c>
      <c r="H22" s="7">
        <f>5+29+6+20+6+5+5+6+5+5+5+5+7+7+8+7+6+30+12+7+8+8+6+8+7+5+6+15+6+6+7+5+5+6</f>
        <v>284</v>
      </c>
      <c r="I22" s="7">
        <f>3+4+2+4+4+3+3+2+1+1+3+3+1+3+2+4+2+4+4+4+4+4+3+3+3+2+4+2+4+3+4+2+2+4+4+2+2+3+1+4+2+3+3+3+3+2+4+3+3+2+4+1+1+3+1+2+1+2+2+1+2+2+2+3+4+3+4+2+2+2</f>
        <v>189</v>
      </c>
      <c r="J22" s="9">
        <f>IF(B22="","",(D22-G22-H22-I22)/D22)</f>
        <v>0.44483159117215382</v>
      </c>
      <c r="K22" s="28">
        <v>0</v>
      </c>
      <c r="L22" s="28">
        <f>7+5</f>
        <v>12</v>
      </c>
      <c r="M22" s="9">
        <f>IF(B22="","",(D22-G22-H22-I22-K22-L22-E22)/D22)</f>
        <v>0.3786295005797119</v>
      </c>
      <c r="N22" s="7">
        <v>17000</v>
      </c>
      <c r="O22" s="30">
        <f>AVERAGE(15000,15000,15000,15000,15000,15000,15000,14500,15000,15000,15000,15000,15000,15000)</f>
        <v>14964.285714285714</v>
      </c>
      <c r="P22" s="9">
        <f>IF(B22="","",O22/N22)</f>
        <v>0.88025210084033612</v>
      </c>
      <c r="Q22" s="15">
        <v>3938</v>
      </c>
      <c r="R22" s="7">
        <v>2</v>
      </c>
      <c r="S22" s="7"/>
      <c r="T22" s="5"/>
      <c r="U22" s="10" t="str">
        <f>IF(S22="","",(T22-C22))</f>
        <v/>
      </c>
      <c r="V22" s="9">
        <f>IF(B22="","",IF(U22&lt;3,(Q22-R22)/Q22,(Q22-R22-S22)/Q22))</f>
        <v>0.99949212798374809</v>
      </c>
      <c r="W22" s="11">
        <f>IF(B22="","",V22*P22*J22)</f>
        <v>0.39136507828039302</v>
      </c>
      <c r="X22" s="11">
        <f>IF(B22="","",V22*P22*M22)</f>
        <v>0.33312014495907766</v>
      </c>
    </row>
    <row r="23" spans="1:24" ht="15.75" thickBot="1">
      <c r="A23" s="29"/>
      <c r="B23" s="5"/>
      <c r="C23" s="5"/>
      <c r="D23" s="6" t="str">
        <f t="shared" si="0"/>
        <v/>
      </c>
      <c r="E23" s="7"/>
      <c r="F23" s="7"/>
      <c r="G23" s="8" t="str">
        <f t="shared" si="16"/>
        <v/>
      </c>
      <c r="H23" s="7"/>
      <c r="I23" s="7"/>
      <c r="J23" s="9" t="str">
        <f t="shared" si="2"/>
        <v/>
      </c>
      <c r="K23" s="28"/>
      <c r="L23" s="28"/>
      <c r="M23" s="9" t="str">
        <f t="shared" si="3"/>
        <v/>
      </c>
      <c r="N23" s="7"/>
      <c r="O23" s="15"/>
      <c r="P23" s="9" t="str">
        <f t="shared" si="9"/>
        <v/>
      </c>
      <c r="Q23" s="15"/>
      <c r="R23" s="7"/>
      <c r="S23" s="7"/>
      <c r="T23" s="5"/>
      <c r="U23" s="10" t="str">
        <f t="shared" si="5"/>
        <v/>
      </c>
      <c r="V23" s="9" t="str">
        <f t="shared" si="15"/>
        <v/>
      </c>
      <c r="W23" s="11" t="str">
        <f t="shared" si="13"/>
        <v/>
      </c>
      <c r="X23" s="11" t="str">
        <f t="shared" si="14"/>
        <v/>
      </c>
    </row>
    <row r="24" spans="1:24" ht="20.45" hidden="1" customHeight="1">
      <c r="A24" s="29"/>
      <c r="B24" s="5"/>
      <c r="C24" s="5"/>
      <c r="D24" s="6" t="str">
        <f t="shared" si="0"/>
        <v/>
      </c>
      <c r="E24" s="7"/>
      <c r="F24" s="7"/>
      <c r="G24" s="8" t="str">
        <f t="shared" si="16"/>
        <v/>
      </c>
      <c r="H24" s="7"/>
      <c r="I24" s="7"/>
      <c r="J24" s="9" t="str">
        <f t="shared" si="2"/>
        <v/>
      </c>
      <c r="K24" s="28"/>
      <c r="L24" s="28"/>
      <c r="M24" s="9" t="str">
        <f t="shared" si="3"/>
        <v/>
      </c>
      <c r="N24" s="7"/>
      <c r="O24" s="15"/>
      <c r="P24" s="9" t="str">
        <f t="shared" si="9"/>
        <v/>
      </c>
      <c r="Q24" s="7"/>
      <c r="R24" s="7"/>
      <c r="S24" s="7"/>
      <c r="T24" s="5"/>
      <c r="U24" s="10" t="str">
        <f t="shared" si="5"/>
        <v/>
      </c>
      <c r="V24" s="9" t="str">
        <f t="shared" si="15"/>
        <v/>
      </c>
      <c r="W24" s="11" t="str">
        <f t="shared" si="13"/>
        <v/>
      </c>
      <c r="X24" s="11" t="str">
        <f t="shared" si="14"/>
        <v/>
      </c>
    </row>
    <row r="25" spans="1:24" hidden="1">
      <c r="A25" s="29"/>
      <c r="B25" s="5"/>
      <c r="C25" s="5"/>
      <c r="D25" s="6" t="str">
        <f t="shared" si="0"/>
        <v/>
      </c>
      <c r="E25" s="7"/>
      <c r="F25" s="7"/>
      <c r="G25" s="8" t="str">
        <f t="shared" si="16"/>
        <v/>
      </c>
      <c r="H25" s="7"/>
      <c r="I25" s="7"/>
      <c r="J25" s="9" t="str">
        <f t="shared" si="2"/>
        <v/>
      </c>
      <c r="K25" s="28"/>
      <c r="L25" s="28"/>
      <c r="M25" s="9" t="str">
        <f t="shared" si="3"/>
        <v/>
      </c>
      <c r="N25" s="7"/>
      <c r="O25" s="15"/>
      <c r="P25" s="9" t="str">
        <f t="shared" si="9"/>
        <v/>
      </c>
      <c r="Q25" s="7"/>
      <c r="R25" s="7"/>
      <c r="S25" s="7"/>
      <c r="T25" s="5"/>
      <c r="U25" s="10" t="str">
        <f t="shared" si="5"/>
        <v/>
      </c>
      <c r="V25" s="9" t="str">
        <f t="shared" si="15"/>
        <v/>
      </c>
      <c r="W25" s="11" t="str">
        <f t="shared" si="13"/>
        <v/>
      </c>
      <c r="X25" s="11" t="str">
        <f t="shared" si="14"/>
        <v/>
      </c>
    </row>
    <row r="26" spans="1:24" hidden="1">
      <c r="A26" s="29"/>
      <c r="B26" s="5"/>
      <c r="C26" s="5"/>
      <c r="D26" s="6" t="str">
        <f t="shared" si="0"/>
        <v/>
      </c>
      <c r="E26" s="7"/>
      <c r="F26" s="7"/>
      <c r="G26" s="8" t="str">
        <f t="shared" si="16"/>
        <v/>
      </c>
      <c r="H26" s="7"/>
      <c r="I26" s="7"/>
      <c r="J26" s="9" t="str">
        <f t="shared" si="2"/>
        <v/>
      </c>
      <c r="K26" s="28"/>
      <c r="L26" s="28"/>
      <c r="M26" s="9" t="str">
        <f t="shared" si="3"/>
        <v/>
      </c>
      <c r="N26" s="7"/>
      <c r="O26" s="15"/>
      <c r="P26" s="9" t="str">
        <f t="shared" si="9"/>
        <v/>
      </c>
      <c r="Q26" s="7"/>
      <c r="R26" s="7"/>
      <c r="S26" s="7"/>
      <c r="T26" s="5"/>
      <c r="U26" s="10" t="str">
        <f t="shared" si="5"/>
        <v/>
      </c>
      <c r="V26" s="9" t="str">
        <f t="shared" si="15"/>
        <v/>
      </c>
      <c r="W26" s="11" t="str">
        <f t="shared" si="13"/>
        <v/>
      </c>
      <c r="X26" s="11" t="str">
        <f t="shared" si="14"/>
        <v/>
      </c>
    </row>
    <row r="27" spans="1:24" hidden="1">
      <c r="A27" s="29"/>
      <c r="B27" s="5"/>
      <c r="C27" s="5"/>
      <c r="D27" s="6" t="str">
        <f t="shared" si="0"/>
        <v/>
      </c>
      <c r="E27" s="7"/>
      <c r="F27" s="7"/>
      <c r="G27" s="8" t="str">
        <f t="shared" si="1"/>
        <v/>
      </c>
      <c r="H27" s="7"/>
      <c r="I27" s="7"/>
      <c r="J27" s="9" t="str">
        <f t="shared" si="2"/>
        <v/>
      </c>
      <c r="K27" s="28"/>
      <c r="L27" s="28"/>
      <c r="M27" s="9" t="str">
        <f t="shared" si="3"/>
        <v/>
      </c>
      <c r="N27" s="7"/>
      <c r="O27" s="15"/>
      <c r="P27" s="9" t="str">
        <f t="shared" si="9"/>
        <v/>
      </c>
      <c r="Q27" s="7"/>
      <c r="R27" s="7"/>
      <c r="S27" s="7"/>
      <c r="T27" s="5"/>
      <c r="U27" s="10" t="str">
        <f t="shared" si="5"/>
        <v/>
      </c>
      <c r="V27" s="9" t="str">
        <f t="shared" si="15"/>
        <v/>
      </c>
      <c r="W27" s="11" t="str">
        <f t="shared" si="13"/>
        <v/>
      </c>
      <c r="X27" s="11" t="str">
        <f t="shared" si="14"/>
        <v/>
      </c>
    </row>
    <row r="28" spans="1:24" hidden="1">
      <c r="A28" s="29"/>
      <c r="B28" s="5"/>
      <c r="C28" s="5"/>
      <c r="D28" s="6" t="str">
        <f t="shared" si="0"/>
        <v/>
      </c>
      <c r="E28" s="7"/>
      <c r="F28" s="7"/>
      <c r="G28" s="8" t="str">
        <f t="shared" si="1"/>
        <v/>
      </c>
      <c r="H28" s="7"/>
      <c r="I28" s="7"/>
      <c r="J28" s="9" t="str">
        <f t="shared" si="2"/>
        <v/>
      </c>
      <c r="K28" s="28"/>
      <c r="L28" s="28"/>
      <c r="M28" s="9" t="str">
        <f t="shared" si="3"/>
        <v/>
      </c>
      <c r="N28" s="7"/>
      <c r="O28" s="15"/>
      <c r="P28" s="9" t="str">
        <f t="shared" si="9"/>
        <v/>
      </c>
      <c r="Q28" s="15"/>
      <c r="R28" s="7"/>
      <c r="S28" s="7"/>
      <c r="T28" s="5"/>
      <c r="U28" s="10" t="str">
        <f t="shared" si="5"/>
        <v/>
      </c>
      <c r="V28" s="9" t="str">
        <f t="shared" si="15"/>
        <v/>
      </c>
      <c r="W28" s="11" t="str">
        <f t="shared" si="13"/>
        <v/>
      </c>
      <c r="X28" s="11" t="str">
        <f t="shared" si="14"/>
        <v/>
      </c>
    </row>
    <row r="29" spans="1:24" hidden="1">
      <c r="A29" s="29"/>
      <c r="B29" s="5"/>
      <c r="C29" s="5"/>
      <c r="D29" s="6" t="str">
        <f t="shared" si="0"/>
        <v/>
      </c>
      <c r="E29" s="7"/>
      <c r="F29" s="7"/>
      <c r="G29" s="8" t="str">
        <f t="shared" si="1"/>
        <v/>
      </c>
      <c r="H29" s="7"/>
      <c r="I29" s="7"/>
      <c r="J29" s="9" t="str">
        <f t="shared" si="2"/>
        <v/>
      </c>
      <c r="K29" s="28"/>
      <c r="L29" s="28"/>
      <c r="M29" s="9" t="str">
        <f t="shared" si="3"/>
        <v/>
      </c>
      <c r="N29" s="7"/>
      <c r="O29" s="7"/>
      <c r="P29" s="9" t="str">
        <f t="shared" si="9"/>
        <v/>
      </c>
      <c r="Q29" s="7"/>
      <c r="R29" s="7"/>
      <c r="S29" s="7"/>
      <c r="T29" s="5"/>
      <c r="U29" s="10" t="str">
        <f t="shared" si="5"/>
        <v/>
      </c>
      <c r="V29" s="9" t="str">
        <f t="shared" si="15"/>
        <v/>
      </c>
      <c r="W29" s="11" t="str">
        <f t="shared" si="13"/>
        <v/>
      </c>
      <c r="X29" s="11" t="str">
        <f t="shared" si="14"/>
        <v/>
      </c>
    </row>
    <row r="30" spans="1:24" hidden="1">
      <c r="A30" s="29"/>
      <c r="B30" s="5"/>
      <c r="C30" s="5"/>
      <c r="D30" s="6" t="str">
        <f t="shared" si="0"/>
        <v/>
      </c>
      <c r="E30" s="7"/>
      <c r="F30" s="7"/>
      <c r="G30" s="8" t="str">
        <f t="shared" si="1"/>
        <v/>
      </c>
      <c r="H30" s="7"/>
      <c r="I30" s="7"/>
      <c r="J30" s="9" t="str">
        <f t="shared" si="2"/>
        <v/>
      </c>
      <c r="K30" s="28"/>
      <c r="L30" s="28"/>
      <c r="M30" s="9" t="str">
        <f t="shared" si="3"/>
        <v/>
      </c>
      <c r="N30" s="7"/>
      <c r="O30" s="15"/>
      <c r="P30" s="9" t="str">
        <f t="shared" si="9"/>
        <v/>
      </c>
      <c r="Q30" s="15"/>
      <c r="R30" s="7"/>
      <c r="S30" s="7"/>
      <c r="T30" s="5"/>
      <c r="U30" s="10" t="str">
        <f t="shared" si="5"/>
        <v/>
      </c>
      <c r="V30" s="9" t="str">
        <f t="shared" si="15"/>
        <v/>
      </c>
      <c r="W30" s="11" t="str">
        <f t="shared" si="13"/>
        <v/>
      </c>
      <c r="X30" s="11" t="str">
        <f t="shared" si="14"/>
        <v/>
      </c>
    </row>
    <row r="31" spans="1:24" hidden="1">
      <c r="A31" s="29"/>
      <c r="B31" s="5"/>
      <c r="C31" s="5"/>
      <c r="D31" s="6" t="str">
        <f t="shared" si="0"/>
        <v/>
      </c>
      <c r="E31" s="7"/>
      <c r="F31" s="7"/>
      <c r="G31" s="8" t="str">
        <f t="shared" si="1"/>
        <v/>
      </c>
      <c r="H31" s="7"/>
      <c r="I31" s="7"/>
      <c r="J31" s="9" t="str">
        <f t="shared" si="2"/>
        <v/>
      </c>
      <c r="K31" s="28"/>
      <c r="L31" s="28"/>
      <c r="M31" s="9" t="str">
        <f t="shared" si="3"/>
        <v/>
      </c>
      <c r="N31" s="7"/>
      <c r="O31" s="15"/>
      <c r="P31" s="9" t="str">
        <f t="shared" si="9"/>
        <v/>
      </c>
      <c r="Q31" s="15"/>
      <c r="R31" s="15"/>
      <c r="S31" s="7"/>
      <c r="T31" s="5"/>
      <c r="U31" s="10" t="str">
        <f t="shared" si="5"/>
        <v/>
      </c>
      <c r="V31" s="9" t="str">
        <f t="shared" si="15"/>
        <v/>
      </c>
      <c r="W31" s="11" t="str">
        <f t="shared" si="13"/>
        <v/>
      </c>
      <c r="X31" s="11" t="str">
        <f t="shared" si="14"/>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9"/>
        <v/>
      </c>
      <c r="Q32" s="15"/>
      <c r="R32" s="7"/>
      <c r="S32" s="7"/>
      <c r="T32" s="5"/>
      <c r="U32" s="10" t="str">
        <f t="shared" si="5"/>
        <v/>
      </c>
      <c r="V32" s="9" t="str">
        <f t="shared" si="15"/>
        <v/>
      </c>
      <c r="W32" s="11" t="str">
        <f t="shared" si="13"/>
        <v/>
      </c>
      <c r="X32" s="11" t="str">
        <f t="shared" si="14"/>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9"/>
        <v/>
      </c>
      <c r="Q33" s="15"/>
      <c r="R33" s="7"/>
      <c r="S33" s="7"/>
      <c r="T33" s="5"/>
      <c r="U33" s="10" t="str">
        <f t="shared" si="5"/>
        <v/>
      </c>
      <c r="V33" s="9" t="str">
        <f t="shared" si="15"/>
        <v/>
      </c>
      <c r="W33" s="11" t="str">
        <f t="shared" si="13"/>
        <v/>
      </c>
      <c r="X33" s="11" t="str">
        <f t="shared" si="14"/>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9"/>
        <v/>
      </c>
      <c r="Q34" s="15"/>
      <c r="R34" s="7"/>
      <c r="S34" s="7"/>
      <c r="T34" s="5"/>
      <c r="U34" s="10" t="str">
        <f t="shared" si="5"/>
        <v/>
      </c>
      <c r="V34" s="9" t="str">
        <f t="shared" si="15"/>
        <v/>
      </c>
      <c r="W34" s="11" t="str">
        <f t="shared" si="13"/>
        <v/>
      </c>
      <c r="X34" s="11" t="str">
        <f t="shared" si="14"/>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9"/>
        <v/>
      </c>
      <c r="Q35" s="15"/>
      <c r="R35" s="7"/>
      <c r="S35" s="7"/>
      <c r="T35" s="5"/>
      <c r="U35" s="10" t="str">
        <f t="shared" si="5"/>
        <v/>
      </c>
      <c r="V35" s="9" t="str">
        <f t="shared" si="15"/>
        <v/>
      </c>
      <c r="W35" s="11" t="str">
        <f t="shared" si="13"/>
        <v/>
      </c>
      <c r="X35" s="11" t="str">
        <f t="shared" si="14"/>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9"/>
        <v/>
      </c>
      <c r="Q36" s="15"/>
      <c r="R36" s="7"/>
      <c r="S36" s="7"/>
      <c r="T36" s="5"/>
      <c r="U36" s="10" t="str">
        <f t="shared" si="5"/>
        <v/>
      </c>
      <c r="V36" s="9" t="str">
        <f t="shared" si="15"/>
        <v/>
      </c>
      <c r="W36" s="11" t="str">
        <f t="shared" si="13"/>
        <v/>
      </c>
      <c r="X36" s="11" t="str">
        <f t="shared" si="14"/>
        <v/>
      </c>
    </row>
    <row r="37" spans="1:24" ht="15.75" hidden="1"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9"/>
        <v/>
      </c>
      <c r="Q37" s="7"/>
      <c r="R37" s="7"/>
      <c r="S37" s="7"/>
      <c r="T37" s="5"/>
      <c r="U37" s="10"/>
      <c r="V37" s="9" t="str">
        <f t="shared" si="15"/>
        <v/>
      </c>
      <c r="W37" s="11" t="str">
        <f t="shared" si="13"/>
        <v/>
      </c>
      <c r="X37" s="11" t="str">
        <f t="shared" si="14"/>
        <v/>
      </c>
    </row>
    <row r="38" spans="1:24" s="43" customFormat="1" ht="19.5" thickBot="1">
      <c r="A38" s="31"/>
      <c r="B38" s="32" t="s">
        <v>41</v>
      </c>
      <c r="C38" s="32"/>
      <c r="D38" s="33">
        <f>SUM(D3:D37)</f>
        <v>24258.999999981606</v>
      </c>
      <c r="E38" s="33">
        <f>SUM(E3:E37)</f>
        <v>700</v>
      </c>
      <c r="F38" s="33">
        <f>SUM(F3:F37)</f>
        <v>1027</v>
      </c>
      <c r="G38" s="33">
        <f>SUM(G3:G37)</f>
        <v>327</v>
      </c>
      <c r="H38" s="33">
        <f>SUM(H2:H37)</f>
        <v>5352</v>
      </c>
      <c r="I38" s="33">
        <f>SUM(I3:I37)</f>
        <v>1566</v>
      </c>
      <c r="J38" s="34">
        <f>(D38-G38-H38-I38)/D38</f>
        <v>0.70134795333667943</v>
      </c>
      <c r="K38" s="35">
        <f>SUM(K3:K37)</f>
        <v>15</v>
      </c>
      <c r="L38" s="35">
        <f>SUM(L3:L37)</f>
        <v>2107</v>
      </c>
      <c r="M38" s="36">
        <f>(D38-G38-H38-I38-E38-K38-L38)/D38</f>
        <v>0.58501999257975867</v>
      </c>
      <c r="N38" s="37">
        <f>AVERAGE(N3:N37)</f>
        <v>17000</v>
      </c>
      <c r="O38" s="38">
        <f>AVERAGE(O3:O37)</f>
        <v>14704.377738274798</v>
      </c>
      <c r="P38" s="34">
        <f>O38/N38</f>
        <v>0.86496339636910569</v>
      </c>
      <c r="Q38" s="37">
        <f>SUM(Q3:Q35)</f>
        <v>101535</v>
      </c>
      <c r="R38" s="37"/>
      <c r="S38" s="32"/>
      <c r="T38" s="32"/>
      <c r="U38" s="39"/>
      <c r="V38" s="40">
        <f>AVERAGE(V3:V37)</f>
        <v>0.98863704301841404</v>
      </c>
      <c r="W38" s="41">
        <v>0.60499999999999998</v>
      </c>
      <c r="X38" s="42">
        <f>V38*P38*M38</f>
        <v>0.50027098623751065</v>
      </c>
    </row>
    <row r="39" spans="1:24" ht="28.5">
      <c r="O39" s="44"/>
      <c r="P39" s="45"/>
      <c r="Q39" s="66"/>
      <c r="R39" s="66"/>
      <c r="S39" s="44"/>
      <c r="T39" s="45"/>
      <c r="U39" s="22"/>
    </row>
    <row r="40" spans="1:24" ht="28.5">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0.60499999999999998</v>
      </c>
      <c r="E47" s="55">
        <f t="shared" ref="E47:E52" si="17">100%-D47</f>
        <v>0.39500000000000002</v>
      </c>
    </row>
    <row r="48" spans="1:24">
      <c r="C48" s="4" t="s">
        <v>46</v>
      </c>
      <c r="D48" s="54">
        <f>X38</f>
        <v>0.50027098623751065</v>
      </c>
      <c r="E48" s="55">
        <f t="shared" si="17"/>
        <v>0.49972901376248935</v>
      </c>
    </row>
    <row r="49" spans="3:5">
      <c r="C49" s="4" t="s">
        <v>11</v>
      </c>
      <c r="D49" s="54">
        <f>J38</f>
        <v>0.70134795333667943</v>
      </c>
      <c r="E49" s="55">
        <f t="shared" si="17"/>
        <v>0.29865204666332057</v>
      </c>
    </row>
    <row r="50" spans="3:5" ht="30">
      <c r="C50" s="4" t="s">
        <v>14</v>
      </c>
      <c r="D50" s="54">
        <f>M38</f>
        <v>0.58501999257975867</v>
      </c>
      <c r="E50" s="55">
        <f t="shared" si="17"/>
        <v>0.41498000742024133</v>
      </c>
    </row>
    <row r="51" spans="3:5">
      <c r="C51" s="4" t="s">
        <v>17</v>
      </c>
      <c r="D51" s="54">
        <f>P38</f>
        <v>0.86496339636910569</v>
      </c>
      <c r="E51" s="55">
        <f t="shared" si="17"/>
        <v>0.13503660363089431</v>
      </c>
    </row>
    <row r="52" spans="3:5">
      <c r="C52" s="4" t="str">
        <f>V2</f>
        <v>Quality</v>
      </c>
      <c r="D52" s="54">
        <f>V38</f>
        <v>0.98863704301841404</v>
      </c>
      <c r="E52" s="55">
        <f t="shared" si="17"/>
        <v>1.1362956981585959E-2</v>
      </c>
    </row>
  </sheetData>
  <mergeCells count="2">
    <mergeCell ref="Q39:R39"/>
    <mergeCell ref="R41:S41"/>
  </mergeCells>
  <pageMargins left="0.7" right="0.7" top="0.75" bottom="0.75" header="0.3" footer="0.3"/>
  <pageSetup paperSize="5" scale="42" orientation="landscape" horizontalDpi="4294967295" verticalDpi="4294967295"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91F8-31BD-4B9B-AC3E-ECE145CC6C42}">
  <sheetPr>
    <pageSetUpPr fitToPage="1"/>
  </sheetPr>
  <dimension ref="A1:X52"/>
  <sheetViews>
    <sheetView topLeftCell="J8" zoomScale="70" zoomScaleNormal="70" workbookViewId="0">
      <selection activeCell="X39" sqref="X39"/>
    </sheetView>
  </sheetViews>
  <sheetFormatPr defaultRowHeight="15"/>
  <cols>
    <col min="1" max="1" width="76" customWidth="1"/>
    <col min="2" max="2" width="22.85546875" bestFit="1" customWidth="1"/>
    <col min="3" max="3" width="35.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57" t="s">
        <v>31</v>
      </c>
      <c r="B3" s="5">
        <v>46083.052777777775</v>
      </c>
      <c r="C3" s="5">
        <v>46084</v>
      </c>
      <c r="D3" s="6">
        <f t="shared" ref="D3" si="0">IF(B3="","",(C3-B3)*24*60)</f>
        <v>1364.0000000037253</v>
      </c>
      <c r="E3" s="7">
        <v>10</v>
      </c>
      <c r="F3" s="7">
        <v>9</v>
      </c>
      <c r="G3" s="8">
        <f t="shared" ref="G3:G18" si="1">IF(E3="","",F3-E3)</f>
        <v>-1</v>
      </c>
      <c r="H3" s="7">
        <f>7+14+8+6+7+15+7+37+11+21+13+10+26+9+14+5+5+8+8+6</f>
        <v>237</v>
      </c>
      <c r="I3" s="7">
        <f>4+2+2+4+2+2+3+1+2+2+3+3+4+3+4+2+4+2+4+3+3+1+3+2+3+4+4+3+4+3+4+4+2+2+4+2+3+3+4+2+2+4+3+4+2+3+4+4+2+1+2</f>
        <v>147</v>
      </c>
      <c r="J3" s="9">
        <f t="shared" ref="J3:J21" si="2">IF(B3="","",(D3-G3-H3-I3)/D3)</f>
        <v>0.71920821114446187</v>
      </c>
      <c r="K3" s="56">
        <v>0</v>
      </c>
      <c r="L3" s="56">
        <f>5+7</f>
        <v>12</v>
      </c>
      <c r="M3" s="9">
        <f t="shared" ref="M3:M36" si="3">IF(B3="","",(D3-G3-H3-I3-K3-L3-E3)/D3)</f>
        <v>0.70307917888644145</v>
      </c>
      <c r="N3" s="7">
        <v>17000</v>
      </c>
      <c r="O3" s="15">
        <f>AVERAGE(14000,14000,14000,14500,15000,14000,14000,14000,14000,15000,14000,14000,14000,14000,14000,14000,15000,15000,15000,15000,15000)</f>
        <v>14357.142857142857</v>
      </c>
      <c r="P3" s="9">
        <f t="shared" ref="P3:P36" si="4">IF(B3="","",O3/N3)</f>
        <v>0.84453781512605042</v>
      </c>
      <c r="Q3" s="7">
        <v>6587</v>
      </c>
      <c r="R3" s="7">
        <v>9</v>
      </c>
      <c r="S3" s="7"/>
      <c r="T3" s="5"/>
      <c r="U3" s="10" t="str">
        <f t="shared" ref="U3" si="5">IF(S3="","",(T3-C3))</f>
        <v/>
      </c>
      <c r="V3" s="9">
        <f t="shared" ref="V3" si="6">IF(B3="","",IF(U3&lt;3,(Q3-R3)/Q3,(Q3-R3-S3)/Q3))</f>
        <v>0.99863367238500078</v>
      </c>
      <c r="W3" s="11">
        <f t="shared" ref="W3" si="7">IF(B3="","",V3*P3*J3)</f>
        <v>0.60656862587408755</v>
      </c>
      <c r="X3" s="11">
        <f t="shared" ref="X3" si="8">IF(B3="","",V3*P3*M3)</f>
        <v>0.59296565974852267</v>
      </c>
    </row>
    <row r="4" spans="1:24">
      <c r="A4" s="29" t="s">
        <v>58</v>
      </c>
      <c r="B4" s="5">
        <v>46084.003472222219</v>
      </c>
      <c r="C4" s="5">
        <v>46085</v>
      </c>
      <c r="D4" s="6">
        <f t="shared" ref="D4:D11" si="9">IF(B4="","",(C4-B4)*24*60)</f>
        <v>1435.0000000046566</v>
      </c>
      <c r="E4" s="7">
        <v>0</v>
      </c>
      <c r="F4" s="7">
        <v>0</v>
      </c>
      <c r="G4" s="8">
        <f t="shared" si="1"/>
        <v>0</v>
      </c>
      <c r="H4" s="7">
        <f>15+12+6+5+5+10+5+11+5+14+12+15+23+60+18+11+7+14+7+8+6+18</f>
        <v>287</v>
      </c>
      <c r="I4" s="7">
        <f>2+2+2+3+4+2+3+3+3+1+2+2+2+2+4+2+4+2+2+4+4+2+4+3+3+2+2+1+3+2+3+4+3+3+4+3+3+4+2+1+4+2+2+2+3+4+1+3+2+1+1+2+4+2+3+4+3+4</f>
        <v>154</v>
      </c>
      <c r="J4" s="9">
        <f t="shared" si="2"/>
        <v>0.69268292683026556</v>
      </c>
      <c r="K4" s="56">
        <v>0</v>
      </c>
      <c r="L4" s="56">
        <f>4+3+2+6+24+7+14</f>
        <v>60</v>
      </c>
      <c r="M4" s="9">
        <f t="shared" si="3"/>
        <v>0.65087108014050576</v>
      </c>
      <c r="N4" s="7">
        <v>17000</v>
      </c>
      <c r="O4" s="15">
        <f>AVERAGE(15000,1480,14800,14800,14800,14800)</f>
        <v>12613.333333333334</v>
      </c>
      <c r="P4" s="9">
        <f t="shared" si="4"/>
        <v>0.74196078431372547</v>
      </c>
      <c r="Q4" s="15">
        <v>6137</v>
      </c>
      <c r="R4" s="15">
        <v>15</v>
      </c>
      <c r="S4" s="7"/>
      <c r="T4" s="5"/>
      <c r="U4" s="10" t="str">
        <f t="shared" ref="U4:U36" si="10">IF(S4="","",(T4-C4))</f>
        <v/>
      </c>
      <c r="V4" s="9">
        <f t="shared" ref="V4:V36" si="11">IF(B4="","",IF(U4&lt;3,(Q4-R4)/Q4,(Q4-R4-S4)/Q4))</f>
        <v>0.99755580902721197</v>
      </c>
      <c r="W4" s="11">
        <f t="shared" ref="W4:W36" si="12">IF(B4="","",V4*P4*J4)</f>
        <v>0.51268739144308506</v>
      </c>
      <c r="X4" s="11">
        <f t="shared" ref="X4:X36" si="13">IF(B4="","",V4*P4*M4)</f>
        <v>0.48174046640642409</v>
      </c>
    </row>
    <row r="5" spans="1:24">
      <c r="A5" s="29" t="s">
        <v>61</v>
      </c>
      <c r="B5" s="5">
        <v>46085.013888888891</v>
      </c>
      <c r="C5" s="5">
        <v>46086</v>
      </c>
      <c r="D5" s="6">
        <f t="shared" si="9"/>
        <v>1419.9999999976717</v>
      </c>
      <c r="E5" s="7">
        <v>10</v>
      </c>
      <c r="F5" s="7">
        <v>9</v>
      </c>
      <c r="G5" s="8">
        <f t="shared" si="1"/>
        <v>-1</v>
      </c>
      <c r="H5" s="7">
        <f>20+23+5+5+5+6+5+15+7+8+10+14+45+5+9+9+60+6+6+6+10</f>
        <v>279</v>
      </c>
      <c r="I5" s="7">
        <f>2+2+2+2+4+3+2+4+2+4+1+2+4+2+1+2+2+2+2+1+3+2+2+2+3+1+3+3+2+4+2+2+4+4+2+3+2+2+2+1+3+4+1+2+2+4+4</f>
        <v>115</v>
      </c>
      <c r="J5" s="9">
        <f t="shared" si="2"/>
        <v>0.72323943661926449</v>
      </c>
      <c r="K5" s="56">
        <v>0</v>
      </c>
      <c r="L5" s="56">
        <f>6+4+4+10+2+5+45+15</f>
        <v>91</v>
      </c>
      <c r="M5" s="9">
        <f t="shared" si="3"/>
        <v>0.65211267605576761</v>
      </c>
      <c r="N5" s="7">
        <v>17000</v>
      </c>
      <c r="O5" s="15">
        <f>AVERAGE(13000,14500,15000,15000,14000,14000,14000,14000,14000,13500,14000,13500,14000,14000,14000,14000,14000)</f>
        <v>14029.411764705883</v>
      </c>
      <c r="P5" s="9">
        <f t="shared" si="4"/>
        <v>0.82525951557093424</v>
      </c>
      <c r="Q5" s="15">
        <v>6354</v>
      </c>
      <c r="R5" s="15">
        <v>4</v>
      </c>
      <c r="S5" s="7">
        <v>140</v>
      </c>
      <c r="T5" s="5"/>
      <c r="U5" s="10">
        <f t="shared" si="10"/>
        <v>-46086</v>
      </c>
      <c r="V5" s="9">
        <f t="shared" si="11"/>
        <v>0.99937047529115519</v>
      </c>
      <c r="W5" s="11">
        <f t="shared" si="12"/>
        <v>0.59648448884551952</v>
      </c>
      <c r="X5" s="11">
        <f t="shared" si="13"/>
        <v>0.53782340474276003</v>
      </c>
    </row>
    <row r="6" spans="1:24">
      <c r="A6" s="29" t="s">
        <v>62</v>
      </c>
      <c r="B6" s="5">
        <v>46086.003472222219</v>
      </c>
      <c r="C6" s="5">
        <v>46087</v>
      </c>
      <c r="D6" s="6">
        <f t="shared" si="9"/>
        <v>1435.0000000046566</v>
      </c>
      <c r="E6" s="7">
        <v>100</v>
      </c>
      <c r="F6" s="7">
        <v>81</v>
      </c>
      <c r="G6" s="8">
        <f t="shared" si="1"/>
        <v>-19</v>
      </c>
      <c r="H6" s="7">
        <f>5+40+47+60+60+27+30+52+5+5+6+10+8+17+6+6+9+6+5+5+5+6+5+8+26+5+6+5+43</f>
        <v>518</v>
      </c>
      <c r="I6" s="7">
        <f>2+2+4+2+4+3+3+3+4+2+4+1+2+3+3+4+3+3+2+3+2+1+1+4+4+3+3+2+3+4+4+3+3</f>
        <v>94</v>
      </c>
      <c r="J6" s="9">
        <f t="shared" si="2"/>
        <v>0.58675958188287403</v>
      </c>
      <c r="K6" s="28">
        <v>0</v>
      </c>
      <c r="L6" s="28">
        <f>3+10+2+3+3</f>
        <v>21</v>
      </c>
      <c r="M6" s="9">
        <f t="shared" si="3"/>
        <v>0.5024390243918585</v>
      </c>
      <c r="N6" s="7">
        <v>17000</v>
      </c>
      <c r="O6" s="15">
        <f>AVERAGE(13500,13500,15000,15000,15000,13000,13000,13000,14000,14000,14000,14000,14000,14000,14000,14000,14000)</f>
        <v>13941.176470588236</v>
      </c>
      <c r="P6" s="9">
        <f t="shared" si="4"/>
        <v>0.82006920415224915</v>
      </c>
      <c r="Q6" s="7">
        <v>3969</v>
      </c>
      <c r="R6" s="7">
        <v>17</v>
      </c>
      <c r="S6" s="7"/>
      <c r="T6" s="5"/>
      <c r="U6" s="10" t="str">
        <f t="shared" si="10"/>
        <v/>
      </c>
      <c r="V6" s="9">
        <f t="shared" si="11"/>
        <v>0.99571680524061479</v>
      </c>
      <c r="W6" s="11">
        <f t="shared" si="12"/>
        <v>0.47912246085489973</v>
      </c>
      <c r="X6" s="11">
        <f t="shared" si="13"/>
        <v>0.41026994569679731</v>
      </c>
    </row>
    <row r="7" spans="1:24">
      <c r="A7" s="29" t="s">
        <v>63</v>
      </c>
      <c r="B7" s="5">
        <v>46087</v>
      </c>
      <c r="C7" s="5">
        <v>46087.824305555558</v>
      </c>
      <c r="D7" s="6">
        <f t="shared" si="9"/>
        <v>1187.0000000030268</v>
      </c>
      <c r="E7" s="7">
        <f>10+100</f>
        <v>110</v>
      </c>
      <c r="F7" s="7">
        <v>129</v>
      </c>
      <c r="G7" s="8">
        <f t="shared" si="1"/>
        <v>19</v>
      </c>
      <c r="H7" s="7">
        <f>45+60+37+5+6+5+6+5+12+6+15+20</f>
        <v>222</v>
      </c>
      <c r="I7" s="7">
        <f>2+4+2+4+2+2+4+3+2+4+1+3+2+1+2+1+2+3+4+2+1+3+2+2+3+3+2+3+3+4+4+3+3+3+2+2+4+3</f>
        <v>100</v>
      </c>
      <c r="J7" s="9">
        <f t="shared" si="2"/>
        <v>0.71272114574630963</v>
      </c>
      <c r="K7" s="28">
        <v>0</v>
      </c>
      <c r="L7" s="28">
        <f>7</f>
        <v>7</v>
      </c>
      <c r="M7" s="9">
        <f t="shared" si="3"/>
        <v>0.61415332771791731</v>
      </c>
      <c r="N7" s="7">
        <v>17000</v>
      </c>
      <c r="O7" s="15">
        <f>AVERAGE(13000,14000,14000,14000,13000,13000,13000,12500,13500,13500,13500)</f>
        <v>13363.636363636364</v>
      </c>
      <c r="P7" s="9">
        <f t="shared" si="4"/>
        <v>0.78609625668449201</v>
      </c>
      <c r="Q7" s="15">
        <v>4509</v>
      </c>
      <c r="R7" s="15">
        <v>6</v>
      </c>
      <c r="S7" s="7"/>
      <c r="T7" s="5"/>
      <c r="U7" s="10" t="str">
        <f t="shared" si="10"/>
        <v/>
      </c>
      <c r="V7" s="9">
        <f t="shared" si="11"/>
        <v>0.99866932801064534</v>
      </c>
      <c r="W7" s="11">
        <f t="shared" si="12"/>
        <v>0.5595218925624188</v>
      </c>
      <c r="X7" s="11">
        <f t="shared" si="13"/>
        <v>0.48214120529342497</v>
      </c>
    </row>
    <row r="8" spans="1:24">
      <c r="A8" s="29" t="s">
        <v>26</v>
      </c>
      <c r="B8" s="5">
        <v>46089.444444444445</v>
      </c>
      <c r="C8" s="5">
        <v>46090</v>
      </c>
      <c r="D8" s="6">
        <f t="shared" si="9"/>
        <v>799.99999999883585</v>
      </c>
      <c r="E8" s="7">
        <v>0</v>
      </c>
      <c r="F8" s="7">
        <v>0</v>
      </c>
      <c r="G8" s="8">
        <f t="shared" si="1"/>
        <v>0</v>
      </c>
      <c r="H8" s="7">
        <f>5+5+12+38+9+5+6+13+6+10+6+6+23+5+5+6</f>
        <v>160</v>
      </c>
      <c r="I8" s="7">
        <f>4+3+4+3+3+1+3+4+2+4+3+2+3+1+2+2+3+2+3+3+1+2+2+3+4+2+1+2+2+3</f>
        <v>77</v>
      </c>
      <c r="J8" s="9">
        <f t="shared" si="2"/>
        <v>0.70374999999956889</v>
      </c>
      <c r="K8" s="28">
        <v>0</v>
      </c>
      <c r="L8" s="28">
        <f>4+3</f>
        <v>7</v>
      </c>
      <c r="M8" s="9">
        <f t="shared" si="3"/>
        <v>0.6949999999995562</v>
      </c>
      <c r="N8" s="7">
        <v>17000</v>
      </c>
      <c r="O8" s="15">
        <f>AVERAGE(13000,14000,14000,14000,13000,13000,13000,12500,13500,13500,13500)</f>
        <v>13363.636363636364</v>
      </c>
      <c r="P8" s="9">
        <f t="shared" si="4"/>
        <v>0.78609625668449201</v>
      </c>
      <c r="Q8" s="15">
        <v>3630</v>
      </c>
      <c r="R8" s="15">
        <v>8</v>
      </c>
      <c r="S8" s="7"/>
      <c r="T8" s="5"/>
      <c r="U8" s="10" t="str">
        <f t="shared" si="10"/>
        <v/>
      </c>
      <c r="V8" s="9">
        <f t="shared" si="11"/>
        <v>0.99779614325068866</v>
      </c>
      <c r="W8" s="11">
        <f t="shared" si="12"/>
        <v>0.55199603349946291</v>
      </c>
      <c r="X8" s="11">
        <f t="shared" si="13"/>
        <v>0.54513285013444657</v>
      </c>
    </row>
    <row r="9" spans="1:24">
      <c r="A9" s="29" t="s">
        <v>26</v>
      </c>
      <c r="B9" s="5">
        <v>46090.007638888892</v>
      </c>
      <c r="C9" s="5">
        <v>46091</v>
      </c>
      <c r="D9" s="6">
        <f t="shared" si="9"/>
        <v>1428.9999999955762</v>
      </c>
      <c r="E9" s="7">
        <v>0</v>
      </c>
      <c r="F9" s="7">
        <v>0</v>
      </c>
      <c r="G9" s="8">
        <f t="shared" si="1"/>
        <v>0</v>
      </c>
      <c r="H9" s="7">
        <f>20+8+8+5+5+5+10+6+5+6+5+5+24+30+5</f>
        <v>147</v>
      </c>
      <c r="I9" s="7">
        <f>4+2+1+3+4+1+2+2+2+1+3+2+1+2+1+3+4+4+3+3+3+2+3+1+3+1+2+2+3+1+3+4+3+3+3+2+2+2+1+3+1+1</f>
        <v>97</v>
      </c>
      <c r="J9" s="9">
        <f t="shared" si="2"/>
        <v>0.82925122463208167</v>
      </c>
      <c r="K9" s="28">
        <v>0</v>
      </c>
      <c r="L9" s="28">
        <f>31+60+60+10+60+60+27+60+30+30</f>
        <v>428</v>
      </c>
      <c r="M9" s="9">
        <f t="shared" si="3"/>
        <v>0.52974107767524126</v>
      </c>
      <c r="N9" s="7">
        <v>17000</v>
      </c>
      <c r="O9" s="15">
        <f>AVERAGE(14000,14500,14500,14500,14500,14500,15000,15000)</f>
        <v>14562.5</v>
      </c>
      <c r="P9" s="9">
        <f t="shared" si="4"/>
        <v>0.85661764705882348</v>
      </c>
      <c r="Q9" s="15">
        <v>5423</v>
      </c>
      <c r="R9" s="15">
        <v>5</v>
      </c>
      <c r="S9" s="7"/>
      <c r="T9" s="5"/>
      <c r="U9" s="10" t="str">
        <f t="shared" si="10"/>
        <v/>
      </c>
      <c r="V9" s="9">
        <f t="shared" si="11"/>
        <v>0.99907800110639866</v>
      </c>
      <c r="W9" s="11">
        <f t="shared" si="12"/>
        <v>0.70969628981421184</v>
      </c>
      <c r="X9" s="11">
        <f t="shared" si="13"/>
        <v>0.45336716572845942</v>
      </c>
    </row>
    <row r="10" spans="1:24">
      <c r="A10" s="29" t="s">
        <v>64</v>
      </c>
      <c r="B10" s="5">
        <v>46091.007638888892</v>
      </c>
      <c r="C10" s="5">
        <v>46092</v>
      </c>
      <c r="D10" s="6">
        <f t="shared" si="9"/>
        <v>1428.9999999955762</v>
      </c>
      <c r="E10" s="7">
        <v>60</v>
      </c>
      <c r="F10" s="7">
        <v>80</v>
      </c>
      <c r="G10" s="8">
        <f t="shared" si="1"/>
        <v>20</v>
      </c>
      <c r="H10" s="7">
        <f>12+40+5+6+5+6+7+5+7+5+6+12+5+31+9+5+5+22</f>
        <v>193</v>
      </c>
      <c r="I10" s="7">
        <f>2+1+3+3+3+3+3+4+3+4+3+2+3+3+4+2+2+3+1+2+1+3+2+2+3+2+2+4+1+4+2+3+1+1+3+3+4+4+2+1+2</f>
        <v>104</v>
      </c>
      <c r="J10" s="9">
        <f t="shared" si="2"/>
        <v>0.7781665500343028</v>
      </c>
      <c r="K10" s="28">
        <v>10</v>
      </c>
      <c r="L10" s="28">
        <f>3+4+4+4+6+3+3+4+4+6+3+34+2+2+2</f>
        <v>84</v>
      </c>
      <c r="M10" s="9">
        <f t="shared" si="3"/>
        <v>0.67039888033487893</v>
      </c>
      <c r="N10" s="7">
        <v>17000</v>
      </c>
      <c r="O10" s="15">
        <f>AVERAGE(14000,14500,16400,15000,15000,15000,15000,15000,15000,15000,14000,14000,14000,14000,14000,14000,14000,14000,14000)</f>
        <v>14521.052631578947</v>
      </c>
      <c r="P10" s="9">
        <f t="shared" si="4"/>
        <v>0.8541795665634675</v>
      </c>
      <c r="Q10" s="15">
        <v>6959</v>
      </c>
      <c r="R10" s="15">
        <v>22</v>
      </c>
      <c r="S10" s="7"/>
      <c r="T10" s="5"/>
      <c r="U10" s="10" t="str">
        <f t="shared" si="10"/>
        <v/>
      </c>
      <c r="V10" s="9">
        <f t="shared" si="11"/>
        <v>0.99683862623940223</v>
      </c>
      <c r="W10" s="11">
        <f t="shared" si="12"/>
        <v>0.66259262035821387</v>
      </c>
      <c r="X10" s="11">
        <f t="shared" si="13"/>
        <v>0.5708306927183121</v>
      </c>
    </row>
    <row r="11" spans="1:24">
      <c r="A11" s="29" t="s">
        <v>65</v>
      </c>
      <c r="B11" s="5">
        <v>46092.010416666664</v>
      </c>
      <c r="C11" s="5">
        <v>46093</v>
      </c>
      <c r="D11" s="6">
        <f t="shared" si="9"/>
        <v>1425.0000000034925</v>
      </c>
      <c r="E11" s="7">
        <f>45+60</f>
        <v>105</v>
      </c>
      <c r="F11" s="7">
        <v>90</v>
      </c>
      <c r="G11" s="8">
        <f t="shared" si="1"/>
        <v>-15</v>
      </c>
      <c r="H11" s="7">
        <f>8+42+17+5+5+6+30+45+10+5+10+50+25+8+13+8+10+10+5+5</f>
        <v>317</v>
      </c>
      <c r="I11" s="7">
        <f>1+4+4+2+4+2+3+4+4+3+4+3+4+2+2+1+1+2+2+2+2+4 +2+3+3+2+4+4</f>
        <v>78</v>
      </c>
      <c r="J11" s="9">
        <f t="shared" si="2"/>
        <v>0.73333333333398687</v>
      </c>
      <c r="K11" s="28">
        <v>0</v>
      </c>
      <c r="L11" s="28">
        <f>6+8+18+10+1</f>
        <v>43</v>
      </c>
      <c r="M11" s="9">
        <f t="shared" si="3"/>
        <v>0.62947368421143446</v>
      </c>
      <c r="N11" s="7">
        <v>17000</v>
      </c>
      <c r="O11" s="15">
        <f>AVERAGE(14000,14000,14000,14000,14000,14000,14000,16000,15400,15400,15400,15000,15000,15000)</f>
        <v>14657.142857142857</v>
      </c>
      <c r="P11" s="9">
        <f t="shared" si="4"/>
        <v>0.86218487394957977</v>
      </c>
      <c r="Q11" s="15">
        <v>6315</v>
      </c>
      <c r="R11" s="15">
        <v>11</v>
      </c>
      <c r="S11" s="7">
        <v>70</v>
      </c>
      <c r="T11" s="5">
        <v>46097.736111111109</v>
      </c>
      <c r="U11" s="10">
        <f t="shared" si="10"/>
        <v>4.7361111111094942</v>
      </c>
      <c r="V11" s="9">
        <f t="shared" si="11"/>
        <v>0.98717339667458437</v>
      </c>
      <c r="W11" s="11">
        <f t="shared" si="12"/>
        <v>0.62415904509127662</v>
      </c>
      <c r="X11" s="11">
        <f t="shared" si="13"/>
        <v>0.53576140042792719</v>
      </c>
    </row>
    <row r="12" spans="1:24">
      <c r="A12" s="29" t="s">
        <v>66</v>
      </c>
      <c r="B12" s="5">
        <v>46093.008333333331</v>
      </c>
      <c r="C12" s="5">
        <v>46094</v>
      </c>
      <c r="D12" s="6">
        <f t="shared" ref="D12:D21" si="14">IF(B12="","",(C12-B12)*24*60)</f>
        <v>1428.000000002794</v>
      </c>
      <c r="E12" s="7">
        <v>45</v>
      </c>
      <c r="F12" s="7">
        <v>32</v>
      </c>
      <c r="G12" s="8">
        <f t="shared" si="1"/>
        <v>-13</v>
      </c>
      <c r="H12" s="7">
        <f>5+8+6+6+5+5+5+7+9+5+13+60+5+5+7+5+11+8+12+6+5+7+6+5</f>
        <v>216</v>
      </c>
      <c r="I12" s="7">
        <f>1+3+3+1+2+2+2+2+2+2+1+1+1+1+4+2+4+4+2+2+1+4+3+2+2+3+4+4+3+3+2+1+1+3+2+4+2+2+4</f>
        <v>92</v>
      </c>
      <c r="J12" s="9">
        <f t="shared" si="2"/>
        <v>0.7934173669471829</v>
      </c>
      <c r="K12" s="28">
        <f>27+60+60+60+30</f>
        <v>237</v>
      </c>
      <c r="L12" s="28">
        <f>5+7+8</f>
        <v>20</v>
      </c>
      <c r="M12" s="9">
        <f t="shared" si="3"/>
        <v>0.58193277311006164</v>
      </c>
      <c r="N12" s="7">
        <v>17000</v>
      </c>
      <c r="O12" s="15">
        <f>AVERAGE(13500,13500,13000,1270,12500,14500,14500,14000,14000,13500,13000,13000,14000,14200,14400,14000,14000,14000,14000,14000,14000,14000)</f>
        <v>13221.363636363636</v>
      </c>
      <c r="P12" s="9">
        <f t="shared" si="4"/>
        <v>0.77772727272727271</v>
      </c>
      <c r="Q12" s="15">
        <v>7804</v>
      </c>
      <c r="R12" s="7">
        <v>12</v>
      </c>
      <c r="S12" s="7">
        <f>350+44</f>
        <v>394</v>
      </c>
      <c r="T12" s="5">
        <v>46104</v>
      </c>
      <c r="U12" s="10">
        <f t="shared" si="10"/>
        <v>10</v>
      </c>
      <c r="V12" s="9">
        <f t="shared" si="11"/>
        <v>0.9479753972321886</v>
      </c>
      <c r="W12" s="11">
        <f t="shared" si="12"/>
        <v>0.58495990259280606</v>
      </c>
      <c r="X12" s="11">
        <f t="shared" si="13"/>
        <v>0.42903943429396069</v>
      </c>
    </row>
    <row r="13" spans="1:24">
      <c r="A13" s="29" t="s">
        <v>67</v>
      </c>
      <c r="B13" s="5">
        <v>46094.006944444445</v>
      </c>
      <c r="C13" s="5">
        <v>46094.833333333336</v>
      </c>
      <c r="D13" s="6">
        <f t="shared" si="14"/>
        <v>1190.0000000023283</v>
      </c>
      <c r="E13" s="7">
        <v>45</v>
      </c>
      <c r="F13" s="7">
        <v>43</v>
      </c>
      <c r="G13" s="8">
        <f t="shared" si="1"/>
        <v>-2</v>
      </c>
      <c r="H13" s="7">
        <f>20+9+5+5+23+60+30+5+32+8+5+6</f>
        <v>208</v>
      </c>
      <c r="I13" s="7">
        <f>4+2+2+1+4+3+2+3+2+2+2+2+3+2+3+2+2+1+2+3+2+2+4+3+2+4+4+2+4+2+2+2+2+2+3+2+1+4+3</f>
        <v>97</v>
      </c>
      <c r="J13" s="9">
        <f t="shared" si="2"/>
        <v>0.74537815126100238</v>
      </c>
      <c r="K13" s="28">
        <v>0</v>
      </c>
      <c r="L13" s="28">
        <f>10+17+120+45</f>
        <v>192</v>
      </c>
      <c r="M13" s="9">
        <f t="shared" si="3"/>
        <v>0.54621848739584589</v>
      </c>
      <c r="N13" s="7">
        <v>17000</v>
      </c>
      <c r="O13" s="15">
        <f>AVERAGE(12500,12500,13500,15000,14000,14000,14000,14000,14000,14000,14000,14000,14000)</f>
        <v>13807.692307692309</v>
      </c>
      <c r="P13" s="9">
        <f t="shared" si="4"/>
        <v>0.81221719457013575</v>
      </c>
      <c r="Q13" s="15">
        <v>4694</v>
      </c>
      <c r="R13" s="7">
        <v>12</v>
      </c>
      <c r="S13" s="7">
        <f>840+14</f>
        <v>854</v>
      </c>
      <c r="T13" s="5">
        <v>46113.958333333336</v>
      </c>
      <c r="U13" s="10">
        <f t="shared" si="10"/>
        <v>19.125</v>
      </c>
      <c r="V13" s="9">
        <f t="shared" si="11"/>
        <v>0.8155091606305922</v>
      </c>
      <c r="W13" s="11">
        <f t="shared" si="12"/>
        <v>0.49371654539574689</v>
      </c>
      <c r="X13" s="11">
        <f t="shared" si="13"/>
        <v>0.36179904679542574</v>
      </c>
    </row>
    <row r="14" spans="1:24">
      <c r="A14" s="29" t="s">
        <v>68</v>
      </c>
      <c r="B14" s="5">
        <v>46097.055555555555</v>
      </c>
      <c r="C14" s="5">
        <v>46097.425000000003</v>
      </c>
      <c r="D14" s="6">
        <f t="shared" si="14"/>
        <v>532.0000000053551</v>
      </c>
      <c r="E14" s="7">
        <v>0</v>
      </c>
      <c r="F14" s="7">
        <v>0</v>
      </c>
      <c r="G14" s="8">
        <f t="shared" si="1"/>
        <v>0</v>
      </c>
      <c r="H14" s="7">
        <f>5+7</f>
        <v>12</v>
      </c>
      <c r="I14" s="7">
        <f>1+1+2+3+3+2+3+3</f>
        <v>18</v>
      </c>
      <c r="J14" s="9">
        <f t="shared" si="2"/>
        <v>0.94360902255695855</v>
      </c>
      <c r="K14" s="28">
        <v>0</v>
      </c>
      <c r="L14" s="28">
        <f>45+60+60+43+4+4+5+7+3</f>
        <v>231</v>
      </c>
      <c r="M14" s="9">
        <f t="shared" si="3"/>
        <v>0.5093984962455399</v>
      </c>
      <c r="N14" s="7">
        <v>17000</v>
      </c>
      <c r="O14" s="15">
        <f>AVERAGE(15000,12500,14000,15000,15000)</f>
        <v>14300</v>
      </c>
      <c r="P14" s="9">
        <f t="shared" si="4"/>
        <v>0.8411764705882353</v>
      </c>
      <c r="Q14" s="15">
        <v>1735</v>
      </c>
      <c r="R14" s="7">
        <v>6</v>
      </c>
      <c r="S14" s="7"/>
      <c r="T14" s="5"/>
      <c r="U14" s="10" t="str">
        <f t="shared" si="10"/>
        <v/>
      </c>
      <c r="V14" s="9">
        <f t="shared" si="11"/>
        <v>0.9965417867435159</v>
      </c>
      <c r="W14" s="11">
        <f t="shared" si="12"/>
        <v>0.79099677911558008</v>
      </c>
      <c r="X14" s="11">
        <f t="shared" si="13"/>
        <v>0.42701220546269203</v>
      </c>
    </row>
    <row r="15" spans="1:24">
      <c r="A15" s="29" t="s">
        <v>69</v>
      </c>
      <c r="B15" s="5">
        <v>46099.333333333336</v>
      </c>
      <c r="C15" s="5">
        <v>46100</v>
      </c>
      <c r="D15" s="6">
        <f t="shared" si="14"/>
        <v>959.99999999650754</v>
      </c>
      <c r="E15" s="7">
        <v>60</v>
      </c>
      <c r="F15" s="7">
        <v>66</v>
      </c>
      <c r="G15" s="8">
        <f t="shared" si="1"/>
        <v>6</v>
      </c>
      <c r="H15" s="7">
        <f>5+5+23+8+8+5+7+5+6+9+8</f>
        <v>89</v>
      </c>
      <c r="I15" s="7">
        <f>4+4+3+4+4+3+2+3+3+2+3+2+3+3+4+2+4+4+2+3+3+1+4+4+2</f>
        <v>76</v>
      </c>
      <c r="J15" s="9">
        <f t="shared" si="2"/>
        <v>0.82187499999935199</v>
      </c>
      <c r="K15" s="28">
        <v>0</v>
      </c>
      <c r="L15" s="28">
        <f>15+7+9+4</f>
        <v>35</v>
      </c>
      <c r="M15" s="9">
        <f t="shared" si="3"/>
        <v>0.72291666666565868</v>
      </c>
      <c r="N15" s="7">
        <v>17000</v>
      </c>
      <c r="O15" s="15">
        <f>AVERAGE(15000,15000,15000,15000,15000,15000,15000,15000,15000,15000,15000,15000,15000,15000,15000,15000)</f>
        <v>15000</v>
      </c>
      <c r="P15" s="9">
        <f t="shared" si="4"/>
        <v>0.88235294117647056</v>
      </c>
      <c r="Q15" s="15">
        <v>5524</v>
      </c>
      <c r="R15" s="7">
        <v>10</v>
      </c>
      <c r="S15" s="47"/>
      <c r="T15" s="5"/>
      <c r="U15" s="10" t="str">
        <f t="shared" si="10"/>
        <v/>
      </c>
      <c r="V15" s="9">
        <f t="shared" si="11"/>
        <v>0.99818971759594499</v>
      </c>
      <c r="W15" s="11">
        <f t="shared" si="12"/>
        <v>0.72387103601340042</v>
      </c>
      <c r="X15" s="11">
        <f t="shared" si="13"/>
        <v>0.63671292648034916</v>
      </c>
    </row>
    <row r="16" spans="1:24">
      <c r="A16" s="29" t="s">
        <v>70</v>
      </c>
      <c r="B16" s="5">
        <v>46100.006944444445</v>
      </c>
      <c r="C16" s="5">
        <v>46101</v>
      </c>
      <c r="D16" s="6">
        <f t="shared" si="14"/>
        <v>1429.9999999988358</v>
      </c>
      <c r="E16" s="7">
        <f>30+30</f>
        <v>60</v>
      </c>
      <c r="F16" s="7">
        <v>14</v>
      </c>
      <c r="G16" s="8">
        <f t="shared" si="1"/>
        <v>-46</v>
      </c>
      <c r="H16" s="7">
        <f>6+7+8+5+6+6+5</f>
        <v>43</v>
      </c>
      <c r="I16" s="7">
        <f>1+3+2+2+2+2+3+2+2+4+2+2+2+2+2+2+2+4+2+1+1+2+3+3+3+4+2+4+2+2+1+2+4+2+2+4+2+4+4+1+3+3+4+2+2+1</f>
        <v>111</v>
      </c>
      <c r="J16" s="9">
        <f t="shared" si="2"/>
        <v>0.924475524475463</v>
      </c>
      <c r="K16" s="28">
        <v>0</v>
      </c>
      <c r="L16" s="28">
        <f>3+2+33+5+3+2+4+10+2</f>
        <v>64</v>
      </c>
      <c r="M16" s="9">
        <f t="shared" si="3"/>
        <v>0.83776223776210568</v>
      </c>
      <c r="N16" s="7">
        <v>17000</v>
      </c>
      <c r="O16" s="15">
        <f>AVERAGE(15000,15000,15000,15000,15000,15000,15000,15000,15000,15000,15000,15000,15000,15000,15000,15000,15000,15000,15000,15000,15000,15000,15000)</f>
        <v>15000</v>
      </c>
      <c r="P16" s="9">
        <f t="shared" si="4"/>
        <v>0.88235294117647056</v>
      </c>
      <c r="Q16" s="15">
        <v>11008</v>
      </c>
      <c r="R16" s="7">
        <v>12</v>
      </c>
      <c r="S16" s="7"/>
      <c r="T16" s="5"/>
      <c r="U16" s="10" t="str">
        <f t="shared" si="10"/>
        <v/>
      </c>
      <c r="V16" s="9">
        <f t="shared" si="11"/>
        <v>0.99890988372093026</v>
      </c>
      <c r="W16" s="11">
        <f t="shared" si="12"/>
        <v>0.81482447528526236</v>
      </c>
      <c r="X16" s="11">
        <f t="shared" si="13"/>
        <v>0.73839615839005701</v>
      </c>
    </row>
    <row r="17" spans="1:24">
      <c r="A17" s="29" t="s">
        <v>31</v>
      </c>
      <c r="B17" s="5">
        <v>46101.006944444445</v>
      </c>
      <c r="C17" s="5">
        <v>46101.84652777778</v>
      </c>
      <c r="D17" s="6">
        <f t="shared" si="14"/>
        <v>1209.000000001397</v>
      </c>
      <c r="E17" s="7">
        <v>10</v>
      </c>
      <c r="F17" s="7">
        <v>17</v>
      </c>
      <c r="G17" s="8">
        <f t="shared" si="1"/>
        <v>7</v>
      </c>
      <c r="H17" s="7">
        <f>9+7+9+8+15+11+7+5+5+6+12</f>
        <v>94</v>
      </c>
      <c r="I17" s="7">
        <f>2+2+1+2+3+2+3+4+1+4+4+2+2+2+4+3+3+4+4+3+3+3+2+1+2+4+3+3+4+4</f>
        <v>84</v>
      </c>
      <c r="J17" s="9">
        <f t="shared" si="2"/>
        <v>0.84698097601341094</v>
      </c>
      <c r="K17" s="28">
        <v>0</v>
      </c>
      <c r="L17" s="28">
        <f>7+2+2+2+12+3+13+2+12+4+3+3+2+4+4+4+2+18+7+6</f>
        <v>112</v>
      </c>
      <c r="M17" s="9">
        <f t="shared" si="3"/>
        <v>0.74607113316820073</v>
      </c>
      <c r="N17" s="7">
        <v>17000</v>
      </c>
      <c r="O17" s="15">
        <f>AVERAGE(15000,15000,15000,15000,15000,15000,15000,15000,15000,13000,13000,15500,15000,15000,15000,15000,15000,15000)</f>
        <v>14805.555555555555</v>
      </c>
      <c r="P17" s="9">
        <f t="shared" si="4"/>
        <v>0.87091503267973847</v>
      </c>
      <c r="Q17" s="15">
        <v>7390</v>
      </c>
      <c r="R17" s="7">
        <v>18</v>
      </c>
      <c r="S17" s="7">
        <v>398</v>
      </c>
      <c r="T17" s="5">
        <v>46134</v>
      </c>
      <c r="U17" s="10">
        <f t="shared" si="10"/>
        <v>32.153472222220444</v>
      </c>
      <c r="V17" s="9">
        <f t="shared" si="11"/>
        <v>0.94370771312584578</v>
      </c>
      <c r="W17" s="11">
        <f t="shared" si="12"/>
        <v>0.69612454543333646</v>
      </c>
      <c r="X17" s="11">
        <f t="shared" si="13"/>
        <v>0.6131878320126809</v>
      </c>
    </row>
    <row r="18" spans="1:24">
      <c r="A18" s="29" t="s">
        <v>71</v>
      </c>
      <c r="B18" s="5">
        <v>46104.072916666664</v>
      </c>
      <c r="C18" s="5">
        <v>46104.991666666669</v>
      </c>
      <c r="D18" s="6">
        <f t="shared" si="14"/>
        <v>1323.0000000062864</v>
      </c>
      <c r="E18" s="7">
        <f>10+30</f>
        <v>40</v>
      </c>
      <c r="F18" s="7">
        <v>28</v>
      </c>
      <c r="G18" s="8">
        <f t="shared" si="1"/>
        <v>-12</v>
      </c>
      <c r="H18" s="7">
        <f>7+5+6+5+12+5+8+6</f>
        <v>54</v>
      </c>
      <c r="I18" s="7">
        <f>3+3+2+2+4+3+4+2+1+2+3+3+2+2+2+1+2+2+2+1+1+2+1+2+2+2+2+1+2+2+1+4+4+2+2+3+2</f>
        <v>81</v>
      </c>
      <c r="J18" s="9">
        <f t="shared" si="2"/>
        <v>0.90702947845849169</v>
      </c>
      <c r="K18" s="28">
        <v>0</v>
      </c>
      <c r="L18" s="28">
        <f>3+2+2+5+4+4+2+1+4+3+3+2+1+5+4</f>
        <v>45</v>
      </c>
      <c r="M18" s="9">
        <f t="shared" si="3"/>
        <v>0.84278155706801838</v>
      </c>
      <c r="N18" s="7">
        <v>17000</v>
      </c>
      <c r="O18" s="15">
        <f>AVERAGE(15000,15000,15000,15000,15000,15000,15000,15000,15000,15000,15000,15000,15000,15000,15000,15000,15000,15500,15500)</f>
        <v>15052.631578947368</v>
      </c>
      <c r="P18" s="9">
        <f t="shared" si="4"/>
        <v>0.88544891640866874</v>
      </c>
      <c r="Q18" s="15">
        <v>9289</v>
      </c>
      <c r="R18" s="7">
        <v>30</v>
      </c>
      <c r="S18" s="7"/>
      <c r="T18" s="5"/>
      <c r="U18" s="10" t="str">
        <f t="shared" si="10"/>
        <v/>
      </c>
      <c r="V18" s="9">
        <f t="shared" si="11"/>
        <v>0.99677037356012488</v>
      </c>
      <c r="W18" s="11">
        <f t="shared" si="12"/>
        <v>0.80053446456009658</v>
      </c>
      <c r="X18" s="11">
        <f t="shared" si="13"/>
        <v>0.74382993998738667</v>
      </c>
    </row>
    <row r="19" spans="1:24">
      <c r="A19" s="29" t="s">
        <v>72</v>
      </c>
      <c r="B19" s="5">
        <v>46105.087500000001</v>
      </c>
      <c r="C19" s="5">
        <v>46106</v>
      </c>
      <c r="D19" s="6">
        <f t="shared" si="14"/>
        <v>1313.9999999979045</v>
      </c>
      <c r="E19" s="7">
        <f>30+45</f>
        <v>75</v>
      </c>
      <c r="F19" s="7">
        <v>66</v>
      </c>
      <c r="G19" s="8">
        <f t="shared" ref="G19:G20" si="15">IF(E19="","",F19-E19)</f>
        <v>-9</v>
      </c>
      <c r="H19" s="7">
        <f>6+30+30+15+60+60+22+6+30+60+60+22+16+7+6+10</f>
        <v>440</v>
      </c>
      <c r="I19" s="7">
        <f>4+3+3+4+1+2+3+3+2+3+2+2+2+3+3+2+1+2+3+2+3+2+2+3+2+2+2+4+2+3</f>
        <v>75</v>
      </c>
      <c r="J19" s="9">
        <f t="shared" si="2"/>
        <v>0.61491628614854876</v>
      </c>
      <c r="K19" s="28">
        <f>10+19</f>
        <v>29</v>
      </c>
      <c r="L19" s="28">
        <f>3+4+5+8</f>
        <v>20</v>
      </c>
      <c r="M19" s="9">
        <f t="shared" si="3"/>
        <v>0.52054794520471481</v>
      </c>
      <c r="N19" s="7">
        <v>17000</v>
      </c>
      <c r="O19" s="15">
        <f>AVERAGE(15000,15000,15000,15000,15000,15000,15000,15000,15000,15000)</f>
        <v>15000</v>
      </c>
      <c r="P19" s="9">
        <f t="shared" si="4"/>
        <v>0.88235294117647056</v>
      </c>
      <c r="Q19" s="15">
        <v>5939</v>
      </c>
      <c r="R19" s="7">
        <v>16</v>
      </c>
      <c r="S19" s="47"/>
      <c r="T19" s="5"/>
      <c r="U19" s="10" t="str">
        <f t="shared" si="10"/>
        <v/>
      </c>
      <c r="V19" s="9">
        <f t="shared" si="11"/>
        <v>0.997305943761576</v>
      </c>
      <c r="W19" s="11">
        <f t="shared" si="12"/>
        <v>0.54111147096330159</v>
      </c>
      <c r="X19" s="11">
        <f t="shared" si="13"/>
        <v>0.45806961155782699</v>
      </c>
    </row>
    <row r="20" spans="1:24">
      <c r="A20" s="29" t="s">
        <v>73</v>
      </c>
      <c r="B20" s="5">
        <v>46106.002083333333</v>
      </c>
      <c r="C20" s="5">
        <v>46107</v>
      </c>
      <c r="D20" s="6">
        <f t="shared" si="14"/>
        <v>1437.0000000006985</v>
      </c>
      <c r="E20" s="7">
        <f>120+20+20</f>
        <v>160</v>
      </c>
      <c r="F20" s="7">
        <v>189</v>
      </c>
      <c r="G20" s="8">
        <f t="shared" si="15"/>
        <v>29</v>
      </c>
      <c r="H20" s="7">
        <f>5+7+7+5+7+6+6+60+20+5+13+60+8+22+60+8+23+23+20+50+52+38+11</f>
        <v>516</v>
      </c>
      <c r="I20" s="7">
        <f>3+4+4+3+1+4+2+4+2+2+3+4+1+1+3+4+3+3+2+2+2+1+3+4+2+2</f>
        <v>69</v>
      </c>
      <c r="J20" s="9">
        <f t="shared" si="2"/>
        <v>0.57272094641635241</v>
      </c>
      <c r="K20" s="28">
        <v>0</v>
      </c>
      <c r="L20" s="28">
        <f>3+4+3+6+4+8+4+23+7</f>
        <v>62</v>
      </c>
      <c r="M20" s="9">
        <f t="shared" si="3"/>
        <v>0.41823242867112481</v>
      </c>
      <c r="N20" s="7">
        <v>17000</v>
      </c>
      <c r="O20" s="15">
        <f>AVERAGE(14000,14000,14000,14000,14000,14000,14000,14000,15000,16000,16000,16000,16000,16000,16000,16000)</f>
        <v>14937.5</v>
      </c>
      <c r="P20" s="9">
        <f t="shared" si="4"/>
        <v>0.87867647058823528</v>
      </c>
      <c r="Q20" s="15">
        <v>4936</v>
      </c>
      <c r="R20" s="7">
        <v>23</v>
      </c>
      <c r="S20" s="7"/>
      <c r="T20" s="5"/>
      <c r="U20" s="10" t="str">
        <f t="shared" si="10"/>
        <v/>
      </c>
      <c r="V20" s="9">
        <f t="shared" si="11"/>
        <v>0.99534035656401942</v>
      </c>
      <c r="W20" s="11">
        <f t="shared" si="12"/>
        <v>0.50089151754867145</v>
      </c>
      <c r="X20" s="11">
        <f t="shared" si="13"/>
        <v>0.36577861731086986</v>
      </c>
    </row>
    <row r="21" spans="1:24">
      <c r="A21" s="29" t="s">
        <v>36</v>
      </c>
      <c r="B21" s="5">
        <v>46107.118055555555</v>
      </c>
      <c r="C21" s="5">
        <v>46108</v>
      </c>
      <c r="D21" s="6">
        <f t="shared" si="14"/>
        <v>1270.0000000011642</v>
      </c>
      <c r="E21" s="7">
        <f>20+20+20</f>
        <v>60</v>
      </c>
      <c r="F21" s="7">
        <v>211</v>
      </c>
      <c r="G21" s="8">
        <f>IF(E21="","",F21-E21)</f>
        <v>151</v>
      </c>
      <c r="H21" s="7">
        <f>5+6+6+8+11+9+22+5+10</f>
        <v>82</v>
      </c>
      <c r="I21" s="7">
        <f>4+4+2+4+2+3+4+2+3+1+2+3+3+4+2+2+3+2+2+2+1+3+2+3+4+3+2</f>
        <v>72</v>
      </c>
      <c r="J21" s="9">
        <f t="shared" si="2"/>
        <v>0.75984251968525951</v>
      </c>
      <c r="K21" s="28">
        <v>0</v>
      </c>
      <c r="L21" s="28">
        <f>14+2+12+10+12+30+10+22+3+5</f>
        <v>120</v>
      </c>
      <c r="M21" s="9">
        <f t="shared" si="3"/>
        <v>0.61811023622082251</v>
      </c>
      <c r="N21" s="7">
        <v>17000</v>
      </c>
      <c r="O21" s="15">
        <f>AVERAGE(13500,13500,13500,14000,13500,13500,13500,14000,15000,15000,15000,14000,14000,14000,14000,14000)</f>
        <v>14000</v>
      </c>
      <c r="P21" s="9">
        <f t="shared" si="4"/>
        <v>0.82352941176470584</v>
      </c>
      <c r="Q21" s="15">
        <v>5114</v>
      </c>
      <c r="R21" s="7">
        <v>3</v>
      </c>
      <c r="S21" s="7"/>
      <c r="T21" s="5"/>
      <c r="U21" s="10" t="str">
        <f t="shared" si="10"/>
        <v/>
      </c>
      <c r="V21" s="9">
        <f t="shared" si="11"/>
        <v>0.99941337504888539</v>
      </c>
      <c r="W21" s="11">
        <f t="shared" si="12"/>
        <v>0.62538558114471299</v>
      </c>
      <c r="X21" s="11">
        <f t="shared" si="13"/>
        <v>0.50873334839247197</v>
      </c>
    </row>
    <row r="22" spans="1:24">
      <c r="A22" s="29" t="s">
        <v>74</v>
      </c>
      <c r="B22" s="5">
        <v>46108.003472222219</v>
      </c>
      <c r="C22" s="5">
        <v>46108.793749999997</v>
      </c>
      <c r="D22" s="6">
        <f t="shared" ref="D22:D36" si="16">IF(B22="","",(C22-B22)*24*60)</f>
        <v>1138.0000000004657</v>
      </c>
      <c r="E22" s="7">
        <v>100</v>
      </c>
      <c r="F22" s="7">
        <v>68</v>
      </c>
      <c r="G22" s="8">
        <f>IF(E22="","",F22-E22)</f>
        <v>-32</v>
      </c>
      <c r="H22" s="7">
        <f>24+18+60+54+10+5+5+5+5+30+8</f>
        <v>224</v>
      </c>
      <c r="I22" s="7">
        <f>3+3+4+3+4+4+3+3+3+3+1+1+3+1+3+1+2+2+1+2+2+3+1</f>
        <v>56</v>
      </c>
      <c r="J22" s="9">
        <f t="shared" ref="J22:J36" si="17">IF(B22="","",(D22-G22-H22-I22)/D22)</f>
        <v>0.78207381370834927</v>
      </c>
      <c r="K22" s="28">
        <v>0</v>
      </c>
      <c r="L22" s="28">
        <f>11+4+3+3+3</f>
        <v>24</v>
      </c>
      <c r="M22" s="9">
        <f t="shared" si="3"/>
        <v>0.67311072056252397</v>
      </c>
      <c r="N22" s="7">
        <v>17000</v>
      </c>
      <c r="O22" s="15">
        <f>AVERAGE(13500,13500,15000,15000,15000,16000,16000,16000,16000,15000,17000,15000,15000,15000)</f>
        <v>15214.285714285714</v>
      </c>
      <c r="P22" s="9">
        <f t="shared" si="4"/>
        <v>0.89495798319327724</v>
      </c>
      <c r="Q22" s="15">
        <v>6026</v>
      </c>
      <c r="R22" s="7">
        <v>34</v>
      </c>
      <c r="S22" s="7"/>
      <c r="T22" s="5"/>
      <c r="U22" s="10" t="str">
        <f t="shared" si="10"/>
        <v/>
      </c>
      <c r="V22" s="9">
        <f t="shared" si="11"/>
        <v>0.99435778294059074</v>
      </c>
      <c r="W22" s="11">
        <f t="shared" si="12"/>
        <v>0.69597408438831676</v>
      </c>
      <c r="X22" s="11">
        <f t="shared" si="13"/>
        <v>0.59900690858595029</v>
      </c>
    </row>
    <row r="23" spans="1:24" ht="15.75" thickBot="1">
      <c r="A23" s="29" t="s">
        <v>26</v>
      </c>
      <c r="B23" s="5">
        <v>46111.34375</v>
      </c>
      <c r="C23" s="5">
        <v>46112</v>
      </c>
      <c r="D23" s="6">
        <f t="shared" si="16"/>
        <v>945</v>
      </c>
      <c r="E23" s="7">
        <v>0</v>
      </c>
      <c r="F23" s="7">
        <v>0</v>
      </c>
      <c r="G23" s="8">
        <f t="shared" ref="G23:G36" si="18">IF(E23="","",F23-E23)</f>
        <v>0</v>
      </c>
      <c r="H23" s="7">
        <f>5+5+6+26+7+5</f>
        <v>54</v>
      </c>
      <c r="I23" s="7">
        <f>4+2+2+2+3+2+3+3+4+1+4+4+4+1+3+3+4+1+3+2+1+3</f>
        <v>59</v>
      </c>
      <c r="J23" s="9">
        <f t="shared" si="17"/>
        <v>0.88042328042328044</v>
      </c>
      <c r="K23" s="28">
        <v>0</v>
      </c>
      <c r="L23" s="28">
        <f>10+3+3+3+2+5</f>
        <v>26</v>
      </c>
      <c r="M23" s="9">
        <f t="shared" si="3"/>
        <v>0.85291005291005295</v>
      </c>
      <c r="N23" s="7">
        <v>17000</v>
      </c>
      <c r="O23" s="15">
        <f>AVERAGE(16000,15000,16000,16000,15000,15000,15000,15000,15000,15000,16000,16000,16000)</f>
        <v>15461.538461538461</v>
      </c>
      <c r="P23" s="9">
        <f t="shared" si="4"/>
        <v>0.9095022624434389</v>
      </c>
      <c r="Q23" s="7">
        <v>6785</v>
      </c>
      <c r="R23" s="7">
        <v>19</v>
      </c>
      <c r="S23" s="7"/>
      <c r="T23" s="5"/>
      <c r="U23" s="10" t="str">
        <f t="shared" si="10"/>
        <v/>
      </c>
      <c r="V23" s="9">
        <f t="shared" si="11"/>
        <v>0.99719970523212975</v>
      </c>
      <c r="W23" s="11">
        <f t="shared" si="12"/>
        <v>0.79850463791510229</v>
      </c>
      <c r="X23" s="11">
        <f t="shared" si="13"/>
        <v>0.77355136798025537</v>
      </c>
    </row>
    <row r="24" spans="1:24" ht="15.75" thickBot="1">
      <c r="A24" s="29" t="s">
        <v>75</v>
      </c>
      <c r="B24" s="5">
        <v>46112.004861111112</v>
      </c>
      <c r="C24" s="5">
        <v>46113</v>
      </c>
      <c r="D24" s="6">
        <f t="shared" si="16"/>
        <v>1432.9999999981374</v>
      </c>
      <c r="E24" s="7">
        <f>30+30+100</f>
        <v>160</v>
      </c>
      <c r="F24" s="7">
        <v>120</v>
      </c>
      <c r="G24" s="8">
        <f t="shared" si="18"/>
        <v>-40</v>
      </c>
      <c r="H24" s="7">
        <f>5+9+11+15+17+5+9+5+6+8+6+9+11+5+5+5+5+6+36+24+50+10+60+23+5+8</f>
        <v>358</v>
      </c>
      <c r="I24" s="7">
        <f>1+3+3+2+3+1+2+2+4+2+4+3+2+1+4+3+1+3+3+2+4+2+1+3+3+2+2+1+2+3+2+1+1</f>
        <v>76</v>
      </c>
      <c r="J24" s="9">
        <f t="shared" si="17"/>
        <v>0.72505233775260847</v>
      </c>
      <c r="K24" s="28">
        <v>0</v>
      </c>
      <c r="L24" s="28">
        <f>3+11+5+4+13</f>
        <v>36</v>
      </c>
      <c r="M24" s="9">
        <f t="shared" si="3"/>
        <v>0.58827634333512424</v>
      </c>
      <c r="N24" s="7">
        <v>17000</v>
      </c>
      <c r="O24" s="15">
        <f>AVERAGE(15000,15000,15000,15000,15000,15000,15000,15000,15000,15000,15000,15000,15000,15000,15000,15000,15000,15000,15000)</f>
        <v>15000</v>
      </c>
      <c r="P24" s="9">
        <f t="shared" si="4"/>
        <v>0.88235294117647056</v>
      </c>
      <c r="Q24" s="7">
        <v>6612</v>
      </c>
      <c r="R24" s="7">
        <v>13</v>
      </c>
      <c r="S24" s="7"/>
      <c r="T24" s="5"/>
      <c r="U24" s="10" t="str">
        <f t="shared" si="10"/>
        <v/>
      </c>
      <c r="V24" s="9">
        <f t="shared" si="11"/>
        <v>0.99803387779794317</v>
      </c>
      <c r="W24" s="11">
        <f t="shared" si="12"/>
        <v>0.6384942319885587</v>
      </c>
      <c r="X24" s="11">
        <f t="shared" si="13"/>
        <v>0.51804681190195434</v>
      </c>
    </row>
    <row r="25" spans="1:24" ht="15.75" thickBot="1">
      <c r="A25" s="29"/>
      <c r="B25" s="5"/>
      <c r="C25" s="5"/>
      <c r="D25" s="6" t="str">
        <f t="shared" si="16"/>
        <v/>
      </c>
      <c r="E25" s="7"/>
      <c r="F25" s="7"/>
      <c r="G25" s="8" t="str">
        <f t="shared" si="18"/>
        <v/>
      </c>
      <c r="H25" s="7"/>
      <c r="I25" s="7"/>
      <c r="J25" s="9" t="str">
        <f t="shared" si="17"/>
        <v/>
      </c>
      <c r="K25" s="28"/>
      <c r="L25" s="28"/>
      <c r="M25" s="9" t="str">
        <f t="shared" si="3"/>
        <v/>
      </c>
      <c r="N25" s="7"/>
      <c r="O25" s="15"/>
      <c r="P25" s="9" t="str">
        <f t="shared" si="4"/>
        <v/>
      </c>
      <c r="Q25" s="7"/>
      <c r="R25" s="7"/>
      <c r="S25" s="7"/>
      <c r="T25" s="5"/>
      <c r="U25" s="10" t="str">
        <f t="shared" si="10"/>
        <v/>
      </c>
      <c r="V25" s="9" t="str">
        <f t="shared" si="11"/>
        <v/>
      </c>
      <c r="W25" s="11" t="str">
        <f t="shared" si="12"/>
        <v/>
      </c>
      <c r="X25" s="11" t="str">
        <f t="shared" si="13"/>
        <v/>
      </c>
    </row>
    <row r="26" spans="1:24" ht="15.75" thickBot="1">
      <c r="A26" s="29"/>
      <c r="B26" s="5"/>
      <c r="C26" s="5"/>
      <c r="D26" s="6" t="str">
        <f t="shared" si="16"/>
        <v/>
      </c>
      <c r="E26" s="7"/>
      <c r="F26" s="7"/>
      <c r="G26" s="8" t="str">
        <f t="shared" si="18"/>
        <v/>
      </c>
      <c r="H26" s="7"/>
      <c r="I26" s="7"/>
      <c r="J26" s="9" t="str">
        <f t="shared" si="17"/>
        <v/>
      </c>
      <c r="K26" s="28"/>
      <c r="L26" s="28"/>
      <c r="M26" s="9" t="str">
        <f t="shared" si="3"/>
        <v/>
      </c>
      <c r="N26" s="7"/>
      <c r="O26" s="15"/>
      <c r="P26" s="9" t="str">
        <f t="shared" si="4"/>
        <v/>
      </c>
      <c r="Q26" s="7"/>
      <c r="R26" s="7"/>
      <c r="S26" s="7"/>
      <c r="T26" s="5"/>
      <c r="U26" s="10" t="str">
        <f t="shared" si="10"/>
        <v/>
      </c>
      <c r="V26" s="9" t="str">
        <f t="shared" si="11"/>
        <v/>
      </c>
      <c r="W26" s="11" t="str">
        <f t="shared" si="12"/>
        <v/>
      </c>
      <c r="X26" s="11" t="str">
        <f t="shared" si="13"/>
        <v/>
      </c>
    </row>
    <row r="27" spans="1:24" ht="15.75" thickBot="1">
      <c r="A27" s="29"/>
      <c r="B27" s="5"/>
      <c r="C27" s="5"/>
      <c r="D27" s="6" t="str">
        <f t="shared" si="16"/>
        <v/>
      </c>
      <c r="E27" s="7"/>
      <c r="F27" s="7"/>
      <c r="G27" s="8" t="str">
        <f t="shared" si="18"/>
        <v/>
      </c>
      <c r="H27" s="7"/>
      <c r="I27" s="7"/>
      <c r="J27" s="9" t="str">
        <f t="shared" si="17"/>
        <v/>
      </c>
      <c r="K27" s="28"/>
      <c r="L27" s="28"/>
      <c r="M27" s="9" t="str">
        <f t="shared" si="3"/>
        <v/>
      </c>
      <c r="N27" s="7"/>
      <c r="O27" s="15"/>
      <c r="P27" s="9" t="str">
        <f t="shared" si="4"/>
        <v/>
      </c>
      <c r="Q27" s="15"/>
      <c r="R27" s="7"/>
      <c r="S27" s="7"/>
      <c r="T27" s="5"/>
      <c r="U27" s="10" t="str">
        <f t="shared" si="10"/>
        <v/>
      </c>
      <c r="V27" s="9" t="str">
        <f t="shared" si="11"/>
        <v/>
      </c>
      <c r="W27" s="11" t="str">
        <f t="shared" si="12"/>
        <v/>
      </c>
      <c r="X27" s="11" t="str">
        <f t="shared" si="13"/>
        <v/>
      </c>
    </row>
    <row r="28" spans="1:24" ht="15.75" hidden="1" thickBot="1">
      <c r="A28" s="29"/>
      <c r="B28" s="5"/>
      <c r="C28" s="5"/>
      <c r="D28" s="6" t="str">
        <f t="shared" si="16"/>
        <v/>
      </c>
      <c r="E28" s="7"/>
      <c r="F28" s="7"/>
      <c r="G28" s="8" t="str">
        <f t="shared" si="18"/>
        <v/>
      </c>
      <c r="H28" s="7"/>
      <c r="I28" s="7"/>
      <c r="J28" s="9" t="str">
        <f t="shared" si="17"/>
        <v/>
      </c>
      <c r="K28" s="28"/>
      <c r="L28" s="28"/>
      <c r="M28" s="9" t="str">
        <f t="shared" si="3"/>
        <v/>
      </c>
      <c r="N28" s="7"/>
      <c r="O28" s="7"/>
      <c r="P28" s="9" t="str">
        <f t="shared" si="4"/>
        <v/>
      </c>
      <c r="Q28" s="7"/>
      <c r="R28" s="7"/>
      <c r="S28" s="7"/>
      <c r="T28" s="5"/>
      <c r="U28" s="10" t="str">
        <f t="shared" si="10"/>
        <v/>
      </c>
      <c r="V28" s="9" t="str">
        <f t="shared" si="11"/>
        <v/>
      </c>
      <c r="W28" s="11" t="str">
        <f t="shared" si="12"/>
        <v/>
      </c>
      <c r="X28" s="11" t="str">
        <f t="shared" si="13"/>
        <v/>
      </c>
    </row>
    <row r="29" spans="1:24" ht="15.75" hidden="1" thickBot="1">
      <c r="A29" s="29"/>
      <c r="B29" s="5"/>
      <c r="C29" s="5"/>
      <c r="D29" s="6" t="str">
        <f t="shared" si="16"/>
        <v/>
      </c>
      <c r="E29" s="7"/>
      <c r="F29" s="7"/>
      <c r="G29" s="8" t="str">
        <f t="shared" si="18"/>
        <v/>
      </c>
      <c r="H29" s="7"/>
      <c r="I29" s="7"/>
      <c r="J29" s="9" t="str">
        <f t="shared" si="17"/>
        <v/>
      </c>
      <c r="K29" s="28"/>
      <c r="L29" s="28"/>
      <c r="M29" s="9" t="str">
        <f t="shared" si="3"/>
        <v/>
      </c>
      <c r="N29" s="7"/>
      <c r="O29" s="15"/>
      <c r="P29" s="9" t="str">
        <f t="shared" si="4"/>
        <v/>
      </c>
      <c r="Q29" s="15"/>
      <c r="R29" s="7"/>
      <c r="S29" s="7"/>
      <c r="T29" s="5"/>
      <c r="U29" s="10" t="str">
        <f t="shared" si="10"/>
        <v/>
      </c>
      <c r="V29" s="9" t="str">
        <f t="shared" si="11"/>
        <v/>
      </c>
      <c r="W29" s="11" t="str">
        <f t="shared" si="12"/>
        <v/>
      </c>
      <c r="X29" s="11" t="str">
        <f t="shared" si="13"/>
        <v/>
      </c>
    </row>
    <row r="30" spans="1:24" ht="15.75" hidden="1" thickBot="1">
      <c r="A30" s="29"/>
      <c r="B30" s="5"/>
      <c r="C30" s="5"/>
      <c r="D30" s="6" t="str">
        <f t="shared" si="16"/>
        <v/>
      </c>
      <c r="E30" s="7"/>
      <c r="F30" s="7"/>
      <c r="G30" s="8" t="str">
        <f t="shared" si="18"/>
        <v/>
      </c>
      <c r="H30" s="7"/>
      <c r="I30" s="7"/>
      <c r="J30" s="9" t="str">
        <f t="shared" si="17"/>
        <v/>
      </c>
      <c r="K30" s="28"/>
      <c r="L30" s="28"/>
      <c r="M30" s="9" t="str">
        <f t="shared" si="3"/>
        <v/>
      </c>
      <c r="N30" s="7"/>
      <c r="O30" s="15"/>
      <c r="P30" s="9" t="str">
        <f t="shared" si="4"/>
        <v/>
      </c>
      <c r="Q30" s="15"/>
      <c r="R30" s="15"/>
      <c r="S30" s="7"/>
      <c r="T30" s="5"/>
      <c r="U30" s="10" t="str">
        <f t="shared" si="10"/>
        <v/>
      </c>
      <c r="V30" s="9" t="str">
        <f t="shared" si="11"/>
        <v/>
      </c>
      <c r="W30" s="11" t="str">
        <f t="shared" si="12"/>
        <v/>
      </c>
      <c r="X30" s="11" t="str">
        <f t="shared" si="13"/>
        <v/>
      </c>
    </row>
    <row r="31" spans="1:24" ht="15.75" hidden="1" thickBot="1">
      <c r="A31" s="29"/>
      <c r="B31" s="5"/>
      <c r="C31" s="5"/>
      <c r="D31" s="6" t="str">
        <f t="shared" si="16"/>
        <v/>
      </c>
      <c r="E31" s="7"/>
      <c r="F31" s="7"/>
      <c r="G31" s="8" t="str">
        <f t="shared" si="18"/>
        <v/>
      </c>
      <c r="H31" s="7"/>
      <c r="I31" s="7"/>
      <c r="J31" s="9" t="str">
        <f t="shared" si="17"/>
        <v/>
      </c>
      <c r="K31" s="28"/>
      <c r="L31" s="28"/>
      <c r="M31" s="9" t="str">
        <f t="shared" si="3"/>
        <v/>
      </c>
      <c r="N31" s="7"/>
      <c r="O31" s="15"/>
      <c r="P31" s="9" t="str">
        <f t="shared" si="4"/>
        <v/>
      </c>
      <c r="Q31" s="15"/>
      <c r="R31" s="7"/>
      <c r="S31" s="7"/>
      <c r="T31" s="5"/>
      <c r="U31" s="10" t="str">
        <f t="shared" si="10"/>
        <v/>
      </c>
      <c r="V31" s="9" t="str">
        <f t="shared" si="11"/>
        <v/>
      </c>
      <c r="W31" s="11" t="str">
        <f t="shared" si="12"/>
        <v/>
      </c>
      <c r="X31" s="11" t="str">
        <f t="shared" si="13"/>
        <v/>
      </c>
    </row>
    <row r="32" spans="1:24" ht="15.75" hidden="1" thickBot="1">
      <c r="A32" s="29"/>
      <c r="B32" s="5"/>
      <c r="C32" s="5"/>
      <c r="D32" s="6" t="str">
        <f t="shared" si="16"/>
        <v/>
      </c>
      <c r="E32" s="7"/>
      <c r="F32" s="7"/>
      <c r="G32" s="8" t="str">
        <f t="shared" si="18"/>
        <v/>
      </c>
      <c r="H32" s="7"/>
      <c r="I32" s="7"/>
      <c r="J32" s="9" t="str">
        <f t="shared" si="17"/>
        <v/>
      </c>
      <c r="K32" s="28"/>
      <c r="L32" s="28"/>
      <c r="M32" s="9" t="str">
        <f t="shared" si="3"/>
        <v/>
      </c>
      <c r="N32" s="7"/>
      <c r="O32" s="15"/>
      <c r="P32" s="9" t="str">
        <f t="shared" si="4"/>
        <v/>
      </c>
      <c r="Q32" s="15"/>
      <c r="R32" s="7"/>
      <c r="S32" s="7"/>
      <c r="T32" s="5"/>
      <c r="U32" s="10" t="str">
        <f t="shared" si="10"/>
        <v/>
      </c>
      <c r="V32" s="9" t="str">
        <f t="shared" si="11"/>
        <v/>
      </c>
      <c r="W32" s="11" t="str">
        <f t="shared" si="12"/>
        <v/>
      </c>
      <c r="X32" s="11" t="str">
        <f t="shared" si="13"/>
        <v/>
      </c>
    </row>
    <row r="33" spans="1:24" ht="15.75" hidden="1" thickBot="1">
      <c r="A33" s="29"/>
      <c r="B33" s="5"/>
      <c r="C33" s="5"/>
      <c r="D33" s="6" t="str">
        <f t="shared" si="16"/>
        <v/>
      </c>
      <c r="E33" s="7"/>
      <c r="F33" s="7"/>
      <c r="G33" s="8" t="str">
        <f t="shared" si="18"/>
        <v/>
      </c>
      <c r="H33" s="7"/>
      <c r="I33" s="7"/>
      <c r="J33" s="9" t="str">
        <f t="shared" si="17"/>
        <v/>
      </c>
      <c r="K33" s="28"/>
      <c r="L33" s="28"/>
      <c r="M33" s="9" t="str">
        <f t="shared" si="3"/>
        <v/>
      </c>
      <c r="N33" s="7"/>
      <c r="O33" s="15"/>
      <c r="P33" s="9" t="str">
        <f t="shared" si="4"/>
        <v/>
      </c>
      <c r="Q33" s="15"/>
      <c r="R33" s="7"/>
      <c r="S33" s="7"/>
      <c r="T33" s="5"/>
      <c r="U33" s="10" t="str">
        <f t="shared" si="10"/>
        <v/>
      </c>
      <c r="V33" s="9" t="str">
        <f t="shared" si="11"/>
        <v/>
      </c>
      <c r="W33" s="11" t="str">
        <f t="shared" si="12"/>
        <v/>
      </c>
      <c r="X33" s="11" t="str">
        <f t="shared" si="13"/>
        <v/>
      </c>
    </row>
    <row r="34" spans="1:24" ht="15.75" hidden="1" thickBot="1">
      <c r="A34" s="29"/>
      <c r="B34" s="5"/>
      <c r="C34" s="5"/>
      <c r="D34" s="6" t="str">
        <f t="shared" si="16"/>
        <v/>
      </c>
      <c r="E34" s="7"/>
      <c r="F34" s="7"/>
      <c r="G34" s="8" t="str">
        <f t="shared" si="18"/>
        <v/>
      </c>
      <c r="H34" s="7"/>
      <c r="I34" s="7"/>
      <c r="J34" s="9" t="str">
        <f t="shared" si="17"/>
        <v/>
      </c>
      <c r="K34" s="28"/>
      <c r="L34" s="28"/>
      <c r="M34" s="9" t="str">
        <f t="shared" si="3"/>
        <v/>
      </c>
      <c r="N34" s="7"/>
      <c r="O34" s="15"/>
      <c r="P34" s="9" t="str">
        <f t="shared" si="4"/>
        <v/>
      </c>
      <c r="Q34" s="15"/>
      <c r="R34" s="7"/>
      <c r="S34" s="7"/>
      <c r="T34" s="5"/>
      <c r="U34" s="10" t="str">
        <f t="shared" si="10"/>
        <v/>
      </c>
      <c r="V34" s="9" t="str">
        <f t="shared" si="11"/>
        <v/>
      </c>
      <c r="W34" s="11" t="str">
        <f t="shared" si="12"/>
        <v/>
      </c>
      <c r="X34" s="11" t="str">
        <f t="shared" si="13"/>
        <v/>
      </c>
    </row>
    <row r="35" spans="1:24" ht="15.75" hidden="1" thickBot="1">
      <c r="A35" s="29"/>
      <c r="B35" s="5"/>
      <c r="C35" s="5"/>
      <c r="D35" s="6" t="str">
        <f t="shared" si="16"/>
        <v/>
      </c>
      <c r="E35" s="7"/>
      <c r="F35" s="7"/>
      <c r="G35" s="8" t="str">
        <f t="shared" si="18"/>
        <v/>
      </c>
      <c r="H35" s="7"/>
      <c r="I35" s="7"/>
      <c r="J35" s="9" t="str">
        <f t="shared" si="17"/>
        <v/>
      </c>
      <c r="K35" s="28"/>
      <c r="L35" s="28"/>
      <c r="M35" s="9" t="str">
        <f t="shared" si="3"/>
        <v/>
      </c>
      <c r="N35" s="7"/>
      <c r="O35" s="15"/>
      <c r="P35" s="9" t="str">
        <f t="shared" si="4"/>
        <v/>
      </c>
      <c r="Q35" s="15"/>
      <c r="R35" s="7"/>
      <c r="S35" s="7"/>
      <c r="T35" s="5"/>
      <c r="U35" s="10" t="str">
        <f t="shared" si="10"/>
        <v/>
      </c>
      <c r="V35" s="9" t="str">
        <f t="shared" si="11"/>
        <v/>
      </c>
      <c r="W35" s="11" t="str">
        <f t="shared" si="12"/>
        <v/>
      </c>
      <c r="X35" s="11" t="str">
        <f t="shared" si="13"/>
        <v/>
      </c>
    </row>
    <row r="36" spans="1:24" ht="15.75" hidden="1" thickBot="1">
      <c r="A36" s="29"/>
      <c r="B36" s="5"/>
      <c r="C36" s="5"/>
      <c r="D36" s="6" t="str">
        <f t="shared" si="16"/>
        <v/>
      </c>
      <c r="E36" s="7"/>
      <c r="F36" s="7"/>
      <c r="G36" s="8" t="str">
        <f t="shared" si="18"/>
        <v/>
      </c>
      <c r="H36" s="7"/>
      <c r="I36" s="7"/>
      <c r="J36" s="9" t="str">
        <f t="shared" si="17"/>
        <v/>
      </c>
      <c r="K36" s="28"/>
      <c r="L36" s="28"/>
      <c r="M36" s="9" t="str">
        <f t="shared" si="3"/>
        <v/>
      </c>
      <c r="N36" s="7"/>
      <c r="O36" s="15"/>
      <c r="P36" s="9" t="str">
        <f t="shared" si="4"/>
        <v/>
      </c>
      <c r="Q36" s="7"/>
      <c r="R36" s="7"/>
      <c r="S36" s="7"/>
      <c r="T36" s="5"/>
      <c r="U36" s="10" t="str">
        <f t="shared" si="10"/>
        <v/>
      </c>
      <c r="V36" s="9" t="str">
        <f t="shared" si="11"/>
        <v/>
      </c>
      <c r="W36" s="11" t="str">
        <f t="shared" si="12"/>
        <v/>
      </c>
      <c r="X36" s="11" t="str">
        <f t="shared" si="13"/>
        <v/>
      </c>
    </row>
    <row r="37" spans="1:24" ht="15.75" hidden="1" thickBot="1">
      <c r="A37" s="29"/>
      <c r="B37" s="5"/>
      <c r="C37" s="5"/>
      <c r="D37" s="6" t="str">
        <f>IF(B37="","",(C37-B37)*24*60)</f>
        <v/>
      </c>
      <c r="E37" s="7"/>
      <c r="F37" s="7"/>
      <c r="G37" s="8" t="str">
        <f>IF(E37="","",F37-E37)</f>
        <v/>
      </c>
      <c r="H37" s="7"/>
      <c r="I37" s="7"/>
      <c r="J37" s="9" t="str">
        <f>IF(B37="","",(D37-G37-H37-I37)/D37)</f>
        <v/>
      </c>
      <c r="K37" s="28"/>
      <c r="L37" s="28"/>
      <c r="M37" s="9" t="str">
        <f>IF(B37="","",(D37-G37-H37-I37-K37-L37-E37)/D37)</f>
        <v/>
      </c>
      <c r="N37" s="7"/>
      <c r="O37" s="15"/>
      <c r="P37" s="9" t="str">
        <f>IF(B37="","",O37/N37)</f>
        <v/>
      </c>
      <c r="Q37" s="15"/>
      <c r="R37" s="7"/>
      <c r="S37" s="7"/>
      <c r="T37" s="5"/>
      <c r="U37" s="10" t="str">
        <f>IF(S37="","",(T37-C37))</f>
        <v/>
      </c>
      <c r="V37" s="9" t="str">
        <f>IF(B37="","",IF(U37&lt;3,(Q37-R37)/Q37,(Q37-R37-S37)/Q37))</f>
        <v/>
      </c>
      <c r="W37" s="11" t="str">
        <f>IF(B37="","",V37*P37*J37)</f>
        <v/>
      </c>
      <c r="X37" s="11" t="str">
        <f>IF(B37="","",V37*P37*M37)</f>
        <v/>
      </c>
    </row>
    <row r="38" spans="1:24" s="43" customFormat="1" ht="19.5" thickBot="1">
      <c r="A38" s="31"/>
      <c r="B38" s="32" t="s">
        <v>41</v>
      </c>
      <c r="C38" s="32"/>
      <c r="D38" s="33">
        <f>SUM(D3:D36)</f>
        <v>27533.000000019092</v>
      </c>
      <c r="E38" s="33">
        <f>SUM(E3:E36)</f>
        <v>1210</v>
      </c>
      <c r="F38" s="33">
        <f>SUM(F3:F36)</f>
        <v>1252</v>
      </c>
      <c r="G38" s="33">
        <f>SUM(G3:G36)</f>
        <v>42</v>
      </c>
      <c r="H38" s="33">
        <f>SUM(H2:H36)</f>
        <v>4750</v>
      </c>
      <c r="I38" s="33">
        <f>SUM(I3:I36)</f>
        <v>1932</v>
      </c>
      <c r="J38" s="34">
        <f>(D38-G38-H38-I38)/D38</f>
        <v>0.75578396832908379</v>
      </c>
      <c r="K38" s="35">
        <f>SUM(K3:K36)</f>
        <v>276</v>
      </c>
      <c r="L38" s="35">
        <f>SUM(L3:L36)</f>
        <v>1740</v>
      </c>
      <c r="M38" s="36">
        <f>(D38-G38-H38-I38-E38-K38-L38)/D38</f>
        <v>0.63861547960654119</v>
      </c>
      <c r="N38" s="37">
        <f>AVERAGE(N3:N36)</f>
        <v>17000</v>
      </c>
      <c r="O38" s="38">
        <f>AVERAGE(O3:O36)</f>
        <v>14373.163631643087</v>
      </c>
      <c r="P38" s="34">
        <f>O38/N38</f>
        <v>0.84548021362606396</v>
      </c>
      <c r="Q38" s="37">
        <f>SUM(Q3:Q34)</f>
        <v>132739</v>
      </c>
      <c r="R38" s="37"/>
      <c r="S38" s="32"/>
      <c r="T38" s="32"/>
      <c r="U38" s="39"/>
      <c r="V38" s="40">
        <f>AVERAGE(V3:V36)</f>
        <v>0.98409487868999934</v>
      </c>
      <c r="W38" s="41">
        <f>V38*P38*J38</f>
        <v>0.62883701226206656</v>
      </c>
      <c r="X38" s="42">
        <f>V38*P38*M38</f>
        <v>0.53134899258041124</v>
      </c>
    </row>
    <row r="39" spans="1:24" ht="28.5">
      <c r="Q39" s="66"/>
      <c r="R39" s="66"/>
      <c r="S39" s="44"/>
      <c r="T39" s="45"/>
      <c r="U39" s="22"/>
      <c r="X39" s="16">
        <f>AVERAGE('January 2026 (w Utilization)'!X38,'February 2026 (w Utilization) '!X38,'March 2026 (w Utilization'!X38)</f>
        <v>0.52427759743081437</v>
      </c>
    </row>
    <row r="40" spans="1:24" ht="28.5">
      <c r="Q40" s="22"/>
      <c r="R40" s="22"/>
      <c r="S40" s="22"/>
      <c r="T40" s="22"/>
      <c r="U40" s="22"/>
    </row>
    <row r="41" spans="1:24" ht="28.5">
      <c r="P41">
        <f>AVERAGE(X38,'February 2026 (w Utilization) '!X38,'January 2026 (w Utilization)'!X38)*100</f>
        <v>52.427759743081445</v>
      </c>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0.62883701226206656</v>
      </c>
      <c r="E47" s="55">
        <f t="shared" ref="E47:E52" si="19">100%-D47</f>
        <v>0.37116298773793344</v>
      </c>
    </row>
    <row r="48" spans="1:24">
      <c r="C48" s="4" t="s">
        <v>46</v>
      </c>
      <c r="D48" s="54">
        <f>X38</f>
        <v>0.53134899258041124</v>
      </c>
      <c r="E48" s="55">
        <f t="shared" si="19"/>
        <v>0.46865100741958876</v>
      </c>
    </row>
    <row r="49" spans="3:5">
      <c r="C49" s="4" t="s">
        <v>11</v>
      </c>
      <c r="D49" s="54">
        <f>J38</f>
        <v>0.75578396832908379</v>
      </c>
      <c r="E49" s="55">
        <f t="shared" si="19"/>
        <v>0.24421603167091621</v>
      </c>
    </row>
    <row r="50" spans="3:5">
      <c r="C50" s="4" t="s">
        <v>14</v>
      </c>
      <c r="D50" s="54">
        <f>M38</f>
        <v>0.63861547960654119</v>
      </c>
      <c r="E50" s="55">
        <f t="shared" si="19"/>
        <v>0.36138452039345881</v>
      </c>
    </row>
    <row r="51" spans="3:5">
      <c r="C51" s="4" t="s">
        <v>17</v>
      </c>
      <c r="D51" s="54">
        <f>P38</f>
        <v>0.84548021362606396</v>
      </c>
      <c r="E51" s="55">
        <f t="shared" si="19"/>
        <v>0.15451978637393604</v>
      </c>
    </row>
    <row r="52" spans="3:5">
      <c r="C52" s="4" t="str">
        <f>V2</f>
        <v>Quality</v>
      </c>
      <c r="D52" s="54">
        <f>V38</f>
        <v>0.98409487868999934</v>
      </c>
      <c r="E52" s="55">
        <f t="shared" si="19"/>
        <v>1.5905121310000658E-2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A2D4-9E07-41C6-B8A8-DDCB37D71C1C}">
  <sheetPr>
    <pageSetUpPr fitToPage="1"/>
  </sheetPr>
  <dimension ref="A1:Y52"/>
  <sheetViews>
    <sheetView topLeftCell="G19" zoomScale="50" zoomScaleNormal="50" workbookViewId="0">
      <selection activeCell="X40" sqref="X40"/>
    </sheetView>
  </sheetViews>
  <sheetFormatPr defaultRowHeight="15" customHeight="1"/>
  <cols>
    <col min="1" max="1" width="70.425781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76</v>
      </c>
      <c r="B3" s="5">
        <v>46113.005555555559</v>
      </c>
      <c r="C3" s="5">
        <v>46113.82916666667</v>
      </c>
      <c r="D3" s="6">
        <f t="shared" ref="D3:D37" si="0">IF(B3="","",(C3-B3)*24*60)</f>
        <v>1185.9999999997672</v>
      </c>
      <c r="E3" s="7">
        <v>10</v>
      </c>
      <c r="F3" s="7">
        <v>63</v>
      </c>
      <c r="G3" s="8">
        <f t="shared" ref="G3:G37" si="1">IF(E3="","",F3-E3)</f>
        <v>53</v>
      </c>
      <c r="H3" s="7">
        <f>5+6+5+9+654</f>
        <v>679</v>
      </c>
      <c r="I3" s="7">
        <f>3+1+2+2+1+2+1+1+1+3+2+1+2+2+2+1+1</f>
        <v>28</v>
      </c>
      <c r="J3" s="9">
        <f t="shared" ref="J3:J37" si="2">IF(B3="","",(D3-G3-H3-I3)/D3)</f>
        <v>0.35919055649228565</v>
      </c>
      <c r="K3" s="28">
        <v>0</v>
      </c>
      <c r="L3" s="28">
        <v>3</v>
      </c>
      <c r="M3" s="9">
        <f t="shared" ref="M3:M10" si="3">IF(A3="","",(C3-F3-G3-H3-J3-L3-D3)/C3)</f>
        <v>0.95696824084193277</v>
      </c>
      <c r="N3" s="7">
        <v>17000</v>
      </c>
      <c r="O3" s="15">
        <f>AVERAGE(15000,15000,15000,15000,15000,15000,15000)</f>
        <v>15000</v>
      </c>
      <c r="P3" s="9">
        <f t="shared" ref="P3:P8" si="4">IF(A3="","",O3/N3)</f>
        <v>0.88235294117647056</v>
      </c>
      <c r="Q3" s="7">
        <v>3173</v>
      </c>
      <c r="R3" s="7">
        <v>0</v>
      </c>
      <c r="S3" s="7"/>
      <c r="T3" s="5"/>
      <c r="U3" s="10" t="str">
        <f t="shared" ref="U3:U37" si="5">IF(S3="","",(T3-C3))</f>
        <v/>
      </c>
      <c r="V3" s="9">
        <f t="shared" ref="V3:V37" si="6">IF(B3="","",IF(U3&lt;3,(Q3-R3)/Q3,(Q3-R3-S3)/Q3))</f>
        <v>1</v>
      </c>
      <c r="W3" s="11">
        <f t="shared" ref="W3:W37" si="7">IF(B3="","",V3*P3*J3)</f>
        <v>0.31693284396378146</v>
      </c>
      <c r="X3" s="11">
        <f t="shared" ref="X3:X37" si="8">IF(B3="","",V3*P3*M3)</f>
        <v>0.84438374191935239</v>
      </c>
    </row>
    <row r="4" spans="1:24">
      <c r="A4" s="27" t="s">
        <v>77</v>
      </c>
      <c r="B4" s="5">
        <v>46114.291666666664</v>
      </c>
      <c r="C4" s="5">
        <v>46114.915277777778</v>
      </c>
      <c r="D4" s="6">
        <f t="shared" si="0"/>
        <v>898.00000000395812</v>
      </c>
      <c r="E4" s="7">
        <v>60</v>
      </c>
      <c r="F4" s="7">
        <v>125</v>
      </c>
      <c r="G4" s="8">
        <f t="shared" si="1"/>
        <v>65</v>
      </c>
      <c r="H4" s="7">
        <f>60+40+10+60+30+5+14+20+22+15+7+26+13+26+37</f>
        <v>385</v>
      </c>
      <c r="I4" s="7">
        <f>3+2+1+1+3+2+2</f>
        <v>14</v>
      </c>
      <c r="J4" s="9">
        <f t="shared" si="2"/>
        <v>0.48329621381074073</v>
      </c>
      <c r="K4" s="28">
        <v>0</v>
      </c>
      <c r="L4" s="28">
        <f>6+7+2</f>
        <v>15</v>
      </c>
      <c r="M4" s="9">
        <f t="shared" si="3"/>
        <v>0.96772230226919553</v>
      </c>
      <c r="N4" s="7">
        <v>17000</v>
      </c>
      <c r="O4" s="15">
        <f>AVERAGE(15000,15000,15000,15000,16000,16000,11000,11000)</f>
        <v>14250</v>
      </c>
      <c r="P4" s="9">
        <f t="shared" si="4"/>
        <v>0.83823529411764708</v>
      </c>
      <c r="Q4" s="7">
        <v>2868</v>
      </c>
      <c r="R4" s="7">
        <v>28</v>
      </c>
      <c r="S4" s="7">
        <v>3</v>
      </c>
      <c r="T4" s="5"/>
      <c r="U4" s="10">
        <f t="shared" si="5"/>
        <v>-46114.915277777778</v>
      </c>
      <c r="V4" s="9">
        <f t="shared" si="6"/>
        <v>0.99023709902370993</v>
      </c>
      <c r="W4" s="11">
        <f t="shared" si="7"/>
        <v>0.40116083708509065</v>
      </c>
      <c r="X4" s="11">
        <f t="shared" si="8"/>
        <v>0.80325952852642435</v>
      </c>
    </row>
    <row r="5" spans="1:24">
      <c r="A5" s="27" t="s">
        <v>77</v>
      </c>
      <c r="B5" s="5">
        <v>46119.5</v>
      </c>
      <c r="C5" s="5">
        <v>46120</v>
      </c>
      <c r="D5" s="6">
        <f t="shared" si="0"/>
        <v>720</v>
      </c>
      <c r="E5" s="7">
        <v>60</v>
      </c>
      <c r="F5" s="7">
        <v>121</v>
      </c>
      <c r="G5" s="8">
        <f t="shared" si="1"/>
        <v>61</v>
      </c>
      <c r="H5" s="7">
        <f>46+60+60+60+60+20+20+5+6+46+50</f>
        <v>433</v>
      </c>
      <c r="I5" s="7">
        <f>4+2</f>
        <v>6</v>
      </c>
      <c r="J5" s="9">
        <f t="shared" si="2"/>
        <v>0.30555555555555558</v>
      </c>
      <c r="K5" s="28">
        <v>0</v>
      </c>
      <c r="L5" s="28">
        <f>7+7+6</f>
        <v>20</v>
      </c>
      <c r="M5" s="9">
        <f t="shared" si="3"/>
        <v>0.9706134961935049</v>
      </c>
      <c r="N5" s="7">
        <v>17000</v>
      </c>
      <c r="O5" s="15">
        <f>AVERAGE(15000,15000,15000)</f>
        <v>15000</v>
      </c>
      <c r="P5" s="9">
        <f t="shared" si="4"/>
        <v>0.88235294117647056</v>
      </c>
      <c r="Q5" s="7">
        <v>1078</v>
      </c>
      <c r="R5" s="7">
        <v>37</v>
      </c>
      <c r="S5" s="7">
        <f>1075+3</f>
        <v>1078</v>
      </c>
      <c r="T5" s="5"/>
      <c r="U5" s="10">
        <f t="shared" si="5"/>
        <v>-46120</v>
      </c>
      <c r="V5" s="9">
        <f t="shared" si="6"/>
        <v>0.96567717996289426</v>
      </c>
      <c r="W5" s="11">
        <f t="shared" si="7"/>
        <v>0.26035414165666271</v>
      </c>
      <c r="X5" s="11">
        <f t="shared" si="8"/>
        <v>0.82702879750417868</v>
      </c>
    </row>
    <row r="6" spans="1:24">
      <c r="A6" s="29" t="s">
        <v>31</v>
      </c>
      <c r="B6" s="5">
        <v>46120</v>
      </c>
      <c r="C6" s="5">
        <v>46121</v>
      </c>
      <c r="D6" s="6">
        <f t="shared" si="0"/>
        <v>1440</v>
      </c>
      <c r="E6" s="7">
        <v>10</v>
      </c>
      <c r="F6" s="7">
        <v>48</v>
      </c>
      <c r="G6" s="8">
        <f t="shared" si="1"/>
        <v>38</v>
      </c>
      <c r="H6" s="7">
        <f>17+10+6+9+16+7+34+5+35+5+6+5+8+5+4+18+6+8+8+5+9+6</f>
        <v>232</v>
      </c>
      <c r="I6" s="7">
        <f>2+4+2+2+4+3+1+3+2+2+2+3+3+4+2+3+2+2+3+4+4+4+4+4+1+2+4+1+2+4+3</f>
        <v>86</v>
      </c>
      <c r="J6" s="9">
        <f t="shared" si="2"/>
        <v>0.75277777777777777</v>
      </c>
      <c r="K6" s="28">
        <v>0</v>
      </c>
      <c r="L6" s="28">
        <f>2+2+3+4+2+5+4+10</f>
        <v>32</v>
      </c>
      <c r="M6" s="9">
        <f t="shared" si="3"/>
        <v>0.96117272440368207</v>
      </c>
      <c r="N6" s="7">
        <v>17000</v>
      </c>
      <c r="O6" s="15">
        <f>AVERAGE(16000,16000,16000,16000,16000,16000,15000,15000,15000,15000,15000,15000,15000,15000,15000,15000,15000,15000,15000)</f>
        <v>15315.78947368421</v>
      </c>
      <c r="P6" s="9">
        <f t="shared" si="4"/>
        <v>0.90092879256965941</v>
      </c>
      <c r="Q6" s="7">
        <v>9133</v>
      </c>
      <c r="R6" s="7">
        <v>59</v>
      </c>
      <c r="S6" s="7"/>
      <c r="T6" s="5"/>
      <c r="U6" s="10" t="str">
        <f t="shared" si="5"/>
        <v/>
      </c>
      <c r="V6" s="9">
        <f>IF(B6="","",IF(U6&lt;3,(Q6-R6)/Q6,(Q6-R6-S6)/Q6))</f>
        <v>0.99353991021570132</v>
      </c>
      <c r="W6" s="11">
        <f t="shared" si="7"/>
        <v>0.67381794684830087</v>
      </c>
      <c r="X6" s="11">
        <f t="shared" si="8"/>
        <v>0.86035407904331962</v>
      </c>
    </row>
    <row r="7" spans="1:24">
      <c r="A7" s="29" t="s">
        <v>58</v>
      </c>
      <c r="B7" s="5">
        <v>46121.006944444445</v>
      </c>
      <c r="C7" s="5">
        <v>46121.991666666669</v>
      </c>
      <c r="D7" s="6">
        <f t="shared" si="0"/>
        <v>1418.0000000016298</v>
      </c>
      <c r="E7" s="7">
        <v>0</v>
      </c>
      <c r="F7" s="7">
        <v>12</v>
      </c>
      <c r="G7" s="8">
        <f t="shared" si="1"/>
        <v>12</v>
      </c>
      <c r="H7" s="7">
        <f>10+16+6+5+18+5+6+5+10</f>
        <v>81</v>
      </c>
      <c r="I7" s="7">
        <f>2+3+4+2+2+2+2+3+3+2+4+4+3+43+3+4+3+3+2+2+1+2+4+1+3+3+3+2+3+3+4+2+4+3+4+2+3+1+4+3+3+3+3+3+1+3+2+2+2+4+1+2+2+3+3</f>
        <v>188</v>
      </c>
      <c r="J7" s="9">
        <f t="shared" si="2"/>
        <v>0.80183356840643372</v>
      </c>
      <c r="K7" s="28">
        <v>0</v>
      </c>
      <c r="L7" s="28">
        <f>3+2+2+7+4+7</f>
        <v>25</v>
      </c>
      <c r="M7" s="9">
        <f t="shared" si="3"/>
        <v>0.96641945029686604</v>
      </c>
      <c r="N7" s="7">
        <v>17000</v>
      </c>
      <c r="O7" s="15">
        <f>AVERAGE(15000,14500,14500,15000,15000,15000,15000,15000,15000,15000,15000,15000)</f>
        <v>14916.666666666666</v>
      </c>
      <c r="P7" s="9">
        <f t="shared" si="4"/>
        <v>0.87745098039215685</v>
      </c>
      <c r="Q7" s="15">
        <v>9870</v>
      </c>
      <c r="R7" s="15">
        <v>17</v>
      </c>
      <c r="S7" s="7"/>
      <c r="T7" s="5"/>
      <c r="U7" s="10" t="str">
        <f t="shared" si="5"/>
        <v/>
      </c>
      <c r="V7" s="9">
        <f t="shared" si="6"/>
        <v>0.99827760891590678</v>
      </c>
      <c r="W7" s="11">
        <f t="shared" si="7"/>
        <v>0.70235782861614615</v>
      </c>
      <c r="X7" s="11">
        <f t="shared" si="8"/>
        <v>0.84652513113402106</v>
      </c>
    </row>
    <row r="8" spans="1:24">
      <c r="A8" s="29" t="s">
        <v>26</v>
      </c>
      <c r="B8" s="5">
        <v>46122.03125</v>
      </c>
      <c r="C8" s="5">
        <v>46122.794444444444</v>
      </c>
      <c r="D8" s="6">
        <f t="shared" si="0"/>
        <v>1098.9999999990687</v>
      </c>
      <c r="E8" s="7">
        <v>0</v>
      </c>
      <c r="F8" s="7">
        <v>0</v>
      </c>
      <c r="G8" s="8">
        <f t="shared" si="1"/>
        <v>0</v>
      </c>
      <c r="H8" s="7">
        <f>5+7+5+7+5+50+60+30+6</f>
        <v>175</v>
      </c>
      <c r="I8" s="2">
        <f>2+3+3+3+2+2+3+3+2+1+2+4+1+2+2+3+4+2+2+3+1+3+4+2+4+4+3+3+3+3+4</f>
        <v>83</v>
      </c>
      <c r="J8" s="9">
        <f t="shared" si="2"/>
        <v>0.76524112829825419</v>
      </c>
      <c r="K8" s="28">
        <v>0</v>
      </c>
      <c r="L8" s="28">
        <f>2+2+4+5+15+23+2</f>
        <v>53</v>
      </c>
      <c r="M8" s="9">
        <f t="shared" si="3"/>
        <v>0.97121238517482544</v>
      </c>
      <c r="N8" s="7">
        <v>17000</v>
      </c>
      <c r="O8" s="15">
        <f>AVERAGE(14500,15000,15000,15000,15000,16000,16000,15000,15000,15000,15000,15000,15000,15000,15000)</f>
        <v>15100</v>
      </c>
      <c r="P8" s="9">
        <f t="shared" si="4"/>
        <v>0.88823529411764701</v>
      </c>
      <c r="Q8" s="15">
        <v>6477</v>
      </c>
      <c r="R8" s="15">
        <v>34</v>
      </c>
      <c r="S8" s="7"/>
      <c r="T8" s="5"/>
      <c r="U8" s="10" t="str">
        <f t="shared" si="5"/>
        <v/>
      </c>
      <c r="V8" s="9">
        <f t="shared" si="6"/>
        <v>0.99475065616797897</v>
      </c>
      <c r="W8" s="11">
        <f t="shared" si="7"/>
        <v>0.67614612523360795</v>
      </c>
      <c r="X8" s="11">
        <f t="shared" si="8"/>
        <v>0.85813669277705862</v>
      </c>
    </row>
    <row r="9" spans="1:24">
      <c r="A9" s="29" t="s">
        <v>78</v>
      </c>
      <c r="B9" s="5">
        <v>46125.111111111109</v>
      </c>
      <c r="C9" s="5">
        <v>46126</v>
      </c>
      <c r="D9" s="6">
        <f t="shared" si="0"/>
        <v>1280.0000000023283</v>
      </c>
      <c r="E9" s="7">
        <v>60</v>
      </c>
      <c r="F9" s="7">
        <v>65</v>
      </c>
      <c r="G9" s="8">
        <f t="shared" si="1"/>
        <v>5</v>
      </c>
      <c r="H9" s="7">
        <f>5+15+10+11+13+44+32+5+6+10+7+8+40+28+6+20+7+14+9+8+5</f>
        <v>303</v>
      </c>
      <c r="I9" s="7">
        <f>3+3+2+4+4+1+3+4+2+4+1+2+2+3+2+3+3+4+2+4+3+1+2</f>
        <v>62</v>
      </c>
      <c r="J9" s="9">
        <f t="shared" si="2"/>
        <v>0.7109375000005258</v>
      </c>
      <c r="K9" s="28">
        <v>0</v>
      </c>
      <c r="L9" s="28">
        <f>5+2+4+4+2+3</f>
        <v>20</v>
      </c>
      <c r="M9" s="9">
        <f t="shared" si="3"/>
        <v>0.96371437069109989</v>
      </c>
      <c r="N9" s="7">
        <v>17000</v>
      </c>
      <c r="O9" s="15">
        <f>AVERAGE(15000,15000,15000,15000,15000,15000,15000,15000,15000,15000,15000,15000,15000,15000,15000,15000,15000,15000)</f>
        <v>15000</v>
      </c>
      <c r="P9" s="9">
        <f t="shared" ref="P9:P37" si="9">IF(B9="","",O9/N9)</f>
        <v>0.88235294117647056</v>
      </c>
      <c r="Q9" s="15">
        <v>6334</v>
      </c>
      <c r="R9" s="15">
        <v>10</v>
      </c>
      <c r="S9" s="7">
        <v>807</v>
      </c>
      <c r="T9" s="5">
        <v>46127</v>
      </c>
      <c r="U9" s="10">
        <f t="shared" si="5"/>
        <v>1</v>
      </c>
      <c r="V9" s="9">
        <f t="shared" si="6"/>
        <v>0.99842121881907164</v>
      </c>
      <c r="W9" s="11">
        <f t="shared" si="7"/>
        <v>0.62630742816591944</v>
      </c>
      <c r="X9" s="11">
        <f t="shared" si="8"/>
        <v>0.84899371462840822</v>
      </c>
    </row>
    <row r="10" spans="1:24">
      <c r="A10" s="29" t="s">
        <v>79</v>
      </c>
      <c r="B10" s="5">
        <v>46126.004166666666</v>
      </c>
      <c r="C10" s="5">
        <v>46127</v>
      </c>
      <c r="D10" s="6">
        <f t="shared" si="0"/>
        <v>1434.000000001397</v>
      </c>
      <c r="E10" s="7">
        <f>60+30+20</f>
        <v>110</v>
      </c>
      <c r="F10" s="7">
        <v>172</v>
      </c>
      <c r="G10" s="8">
        <f t="shared" si="1"/>
        <v>62</v>
      </c>
      <c r="H10" s="7">
        <f>6+6+5+5+9+8+7+17+38+22+36+30+7+5+25+15+60+26+13</f>
        <v>340</v>
      </c>
      <c r="I10" s="7">
        <f>1+2+4+2+2+2+2+4+2+4+3+4+1+4+4+2+2+1+2+4+3+1+3+2+4+4+2</f>
        <v>71</v>
      </c>
      <c r="J10" s="9">
        <f t="shared" si="2"/>
        <v>0.670153417015663</v>
      </c>
      <c r="K10" s="28">
        <v>0</v>
      </c>
      <c r="L10" s="28">
        <f>5+3+4+3+3+10+4+4+6+2+4+4+2</f>
        <v>54</v>
      </c>
      <c r="M10" s="9">
        <f t="shared" si="3"/>
        <v>0.95528280283958611</v>
      </c>
      <c r="N10" s="7">
        <v>17000</v>
      </c>
      <c r="O10" s="15">
        <f>AVERAGE(15000,15000,15000,15000,15000,15000,15000,15000,15000,15000,15000,15000,15000,15000,15000,15000)</f>
        <v>15000</v>
      </c>
      <c r="P10" s="9">
        <f t="shared" si="9"/>
        <v>0.88235294117647056</v>
      </c>
      <c r="Q10" s="15">
        <v>5980</v>
      </c>
      <c r="R10" s="15">
        <v>9</v>
      </c>
      <c r="S10" s="7"/>
      <c r="T10" s="5"/>
      <c r="U10" s="10" t="str">
        <f t="shared" si="5"/>
        <v/>
      </c>
      <c r="V10" s="9">
        <f t="shared" ref="V10" si="10">IF(B10="","",IF(U10&lt;3,(Q10-R10)/Q10,(Q10-R10-S10)/Q10))</f>
        <v>0.99849498327759201</v>
      </c>
      <c r="W10" s="11">
        <f t="shared" ref="W10" si="11">IF(B10="","",V10*P10*J10)</f>
        <v>0.59042190433806663</v>
      </c>
      <c r="X10" s="11">
        <f t="shared" ref="X10" si="12">IF(B10="","",V10*P10*M10)</f>
        <v>0.84162801727648562</v>
      </c>
    </row>
    <row r="11" spans="1:24">
      <c r="A11" s="29" t="s">
        <v>80</v>
      </c>
      <c r="B11" s="5">
        <v>46127.003472222219</v>
      </c>
      <c r="C11" s="5">
        <v>46128</v>
      </c>
      <c r="D11" s="6">
        <f t="shared" si="0"/>
        <v>1435.0000000046566</v>
      </c>
      <c r="E11" s="7">
        <f>30+60</f>
        <v>90</v>
      </c>
      <c r="F11" s="7">
        <v>87</v>
      </c>
      <c r="G11" s="8">
        <f t="shared" si="1"/>
        <v>-3</v>
      </c>
      <c r="H11" s="7">
        <f>8+9+5+10+5+10+15+6+7+5+47+60+11+6+7+5</f>
        <v>216</v>
      </c>
      <c r="I11" s="7">
        <f>2+2+4+1+4+2+3+2+3+3+1+4+3+4+2+3+2+2+3+4+2+2+4+3+2+4+3+3+2+2+2+4+3+1+2+2+4</f>
        <v>99</v>
      </c>
      <c r="J11" s="9">
        <f t="shared" si="2"/>
        <v>0.78257839721324907</v>
      </c>
      <c r="K11" s="28">
        <v>0</v>
      </c>
      <c r="L11" s="28">
        <f>2+14+9+10+15</f>
        <v>50</v>
      </c>
      <c r="M11" s="9">
        <f t="shared" ref="M11:M37" si="13">IF(B11="","",(D11-G11-H11-I11-K11-L11-E11)/D11)</f>
        <v>0.68501742160380963</v>
      </c>
      <c r="N11" s="7">
        <v>17000</v>
      </c>
      <c r="O11" s="15">
        <f>AVERAGE(15000,15000,15000,15000,15000,15000,15000,15000,15000,15000,15000,15000,15000,15000,15000,15000,15000,15000,15000)</f>
        <v>15000</v>
      </c>
      <c r="P11" s="9">
        <f t="shared" si="9"/>
        <v>0.88235294117647056</v>
      </c>
      <c r="Q11" s="15">
        <v>7421</v>
      </c>
      <c r="R11" s="15">
        <v>4</v>
      </c>
      <c r="S11" s="7">
        <v>4.16</v>
      </c>
      <c r="T11" s="5">
        <v>46135.413194444445</v>
      </c>
      <c r="U11" s="10">
        <f t="shared" si="5"/>
        <v>7.4131944444452529</v>
      </c>
      <c r="V11" s="9">
        <f t="shared" si="6"/>
        <v>0.99890041773345917</v>
      </c>
      <c r="W11" s="11">
        <f t="shared" si="7"/>
        <v>0.68975107754602538</v>
      </c>
      <c r="X11" s="11">
        <f t="shared" si="8"/>
        <v>0.60376251934830227</v>
      </c>
    </row>
    <row r="12" spans="1:24">
      <c r="A12" s="29" t="s">
        <v>61</v>
      </c>
      <c r="B12" s="5">
        <v>46128.005555555559</v>
      </c>
      <c r="C12" s="5">
        <v>46129</v>
      </c>
      <c r="D12" s="6">
        <f t="shared" si="0"/>
        <v>1431.9999999948777</v>
      </c>
      <c r="E12" s="7">
        <v>10</v>
      </c>
      <c r="F12" s="7">
        <v>10</v>
      </c>
      <c r="G12" s="8">
        <f t="shared" si="1"/>
        <v>0</v>
      </c>
      <c r="H12" s="7">
        <f>5+7+6+6+36+38+6+8+5+6+7+5+9</f>
        <v>144</v>
      </c>
      <c r="I12" s="7">
        <f>2+4+2+4+3+4+1+3+2+3+1+3+4+3+4+4+3+4+1+3+2+1+3+2+1+2+3+3+2+3+4+4+3+3+3+2+4+3</f>
        <v>106</v>
      </c>
      <c r="J12" s="9">
        <f t="shared" si="2"/>
        <v>0.82541899441278332</v>
      </c>
      <c r="K12" s="28">
        <v>0</v>
      </c>
      <c r="L12" s="28">
        <f>5+15+4+4+3+12</f>
        <v>43</v>
      </c>
      <c r="M12" s="9">
        <f t="shared" si="13"/>
        <v>0.78840782122829345</v>
      </c>
      <c r="N12" s="7">
        <v>17000</v>
      </c>
      <c r="O12" s="15">
        <f>AVERAGE(15000,15000,15000,15000,15000,15000,15000,15000,15000,15000,15000,15000,15000,15000,15000,15000,15000,15000,15000,15000,15000,15000)</f>
        <v>15000</v>
      </c>
      <c r="P12" s="9">
        <f t="shared" si="9"/>
        <v>0.88235294117647056</v>
      </c>
      <c r="Q12" s="15">
        <v>9432</v>
      </c>
      <c r="R12" s="15">
        <v>26</v>
      </c>
      <c r="S12" s="7"/>
      <c r="T12" s="5"/>
      <c r="U12" s="10" t="str">
        <f t="shared" si="5"/>
        <v/>
      </c>
      <c r="V12" s="9">
        <f t="shared" si="6"/>
        <v>0.99724342663273957</v>
      </c>
      <c r="W12" s="11">
        <f t="shared" si="7"/>
        <v>0.72630323505525363</v>
      </c>
      <c r="X12" s="11">
        <f t="shared" si="8"/>
        <v>0.69373633872860796</v>
      </c>
    </row>
    <row r="13" spans="1:24">
      <c r="A13" s="29" t="s">
        <v>81</v>
      </c>
      <c r="B13" s="5">
        <v>46129.004166666666</v>
      </c>
      <c r="C13" s="5">
        <v>46129.836111111108</v>
      </c>
      <c r="D13" s="6">
        <f t="shared" si="0"/>
        <v>1197.9999999969732</v>
      </c>
      <c r="E13" s="7">
        <v>60</v>
      </c>
      <c r="F13" s="7">
        <v>50</v>
      </c>
      <c r="G13" s="8">
        <f t="shared" si="1"/>
        <v>-10</v>
      </c>
      <c r="H13" s="7">
        <f>6+6+5+6+10+5+5+5+6+6+8+7+36+6+6+15+19+9+9+5+17+5</f>
        <v>202</v>
      </c>
      <c r="I13" s="7">
        <f>4+3+1+1+2+3+4+2+3+3+1+2+2+2+2+1+4+1+3+2+1+4+1+3+2+2+3+4+2</f>
        <v>68</v>
      </c>
      <c r="J13" s="9">
        <f t="shared" si="2"/>
        <v>0.78297161936506099</v>
      </c>
      <c r="K13" s="28">
        <v>0</v>
      </c>
      <c r="L13" s="28">
        <f>5+28+4+4+5+10+55+60+60+2+12+7</f>
        <v>252</v>
      </c>
      <c r="M13" s="9">
        <f t="shared" si="13"/>
        <v>0.52253756260313422</v>
      </c>
      <c r="N13" s="7">
        <v>17000</v>
      </c>
      <c r="O13" s="15">
        <f>AVERAGE(15000,15000,15000,15000,15000,15000,15000,15000,15000,15000,15000,11000,15000)</f>
        <v>14692.307692307691</v>
      </c>
      <c r="P13" s="9">
        <f t="shared" si="9"/>
        <v>0.8642533936651583</v>
      </c>
      <c r="Q13" s="15">
        <v>5000</v>
      </c>
      <c r="R13" s="15">
        <v>12</v>
      </c>
      <c r="S13" s="7">
        <f>140+26</f>
        <v>166</v>
      </c>
      <c r="T13" s="5">
        <v>46140.590277777781</v>
      </c>
      <c r="U13" s="10">
        <f t="shared" si="5"/>
        <v>10.754166666672972</v>
      </c>
      <c r="V13" s="9">
        <f t="shared" si="6"/>
        <v>0.96440000000000003</v>
      </c>
      <c r="W13" s="11">
        <f t="shared" si="7"/>
        <v>0.65259586188095919</v>
      </c>
      <c r="X13" s="11">
        <f t="shared" si="8"/>
        <v>0.43552772871729578</v>
      </c>
    </row>
    <row r="14" spans="1:24">
      <c r="A14" s="29" t="s">
        <v>82</v>
      </c>
      <c r="B14" s="5">
        <v>46132.115277777775</v>
      </c>
      <c r="C14" s="5">
        <v>46133</v>
      </c>
      <c r="D14" s="6">
        <f t="shared" si="0"/>
        <v>1274.0000000037253</v>
      </c>
      <c r="E14" s="7">
        <v>120</v>
      </c>
      <c r="F14" s="7">
        <v>174</v>
      </c>
      <c r="G14" s="8">
        <f t="shared" si="1"/>
        <v>54</v>
      </c>
      <c r="H14" s="7">
        <f>7+5+12+60+60+60+60+50+25+10+18+5+6+6+36</f>
        <v>420</v>
      </c>
      <c r="I14" s="7">
        <f>3+1+4+1+2+3+4+3+2+2+3+3</f>
        <v>31</v>
      </c>
      <c r="J14" s="9">
        <f t="shared" si="2"/>
        <v>0.60361067504040555</v>
      </c>
      <c r="K14" s="28">
        <v>0</v>
      </c>
      <c r="L14" s="28">
        <f>35+5+7+8+4+3+5</f>
        <v>67</v>
      </c>
      <c r="M14" s="9">
        <f t="shared" si="13"/>
        <v>0.45682888540190225</v>
      </c>
      <c r="N14" s="7">
        <v>17000</v>
      </c>
      <c r="O14" s="15">
        <f>AVERAGE(15000,15000,15000,15000,15000,15000,15000,15000,15000,15000)</f>
        <v>15000</v>
      </c>
      <c r="P14" s="9">
        <f t="shared" si="9"/>
        <v>0.88235294117647056</v>
      </c>
      <c r="Q14" s="15">
        <v>3885</v>
      </c>
      <c r="R14" s="15">
        <v>9</v>
      </c>
      <c r="S14" s="7">
        <v>239</v>
      </c>
      <c r="T14" s="5"/>
      <c r="U14" s="10">
        <f t="shared" si="5"/>
        <v>-46133</v>
      </c>
      <c r="V14" s="9">
        <f>IF(B14="","",IF(U14&lt;3,(Q14-R14)/Q14,(Q14-R14-S14)/Q14))</f>
        <v>0.99768339768339764</v>
      </c>
      <c r="W14" s="11">
        <f>IF(B14="","",V14*P14*J14)</f>
        <v>0.53136383748730676</v>
      </c>
      <c r="X14" s="11">
        <f>IF(B14="","",V14*P14*M14)</f>
        <v>0.40215052460090234</v>
      </c>
    </row>
    <row r="15" spans="1:24">
      <c r="A15" s="29" t="s">
        <v>31</v>
      </c>
      <c r="B15" s="5">
        <v>46133.003472222219</v>
      </c>
      <c r="C15" s="5">
        <v>46134</v>
      </c>
      <c r="D15" s="6">
        <f t="shared" si="0"/>
        <v>1435.0000000046566</v>
      </c>
      <c r="E15" s="7">
        <v>10</v>
      </c>
      <c r="F15" s="7">
        <v>25</v>
      </c>
      <c r="G15" s="8">
        <f t="shared" si="1"/>
        <v>15</v>
      </c>
      <c r="H15" s="7">
        <f>10+35+55+6+6+12+5+5+10+13+9+5+8+8+14+9+19+7+27+29+7+20+60+5</f>
        <v>384</v>
      </c>
      <c r="I15" s="7">
        <f>2+1+3+3+2+4+4+1+3+2+4+4+4+2+3+3+2+1+2+3+2+4+2+3+1</f>
        <v>65</v>
      </c>
      <c r="J15" s="9">
        <f t="shared" si="2"/>
        <v>0.67665505226585765</v>
      </c>
      <c r="K15" s="28">
        <v>0</v>
      </c>
      <c r="L15" s="28">
        <f>4+3+3+3+7+3+2+3+2+2</f>
        <v>32</v>
      </c>
      <c r="M15" s="9">
        <f t="shared" si="13"/>
        <v>0.64738675958302572</v>
      </c>
      <c r="N15" s="7">
        <v>17000</v>
      </c>
      <c r="O15" s="15">
        <f>AVERAGE(15000,15000,15000,15000,15000,15000,15000,15000,15000,15000,15000,15000,15000,15000,15000,15000,15000,15000)</f>
        <v>15000</v>
      </c>
      <c r="P15" s="9">
        <f t="shared" si="9"/>
        <v>0.88235294117647056</v>
      </c>
      <c r="Q15" s="15">
        <v>7901</v>
      </c>
      <c r="R15" s="7">
        <v>24</v>
      </c>
      <c r="S15" s="7">
        <v>5.2</v>
      </c>
      <c r="T15" s="5"/>
      <c r="U15" s="10">
        <f t="shared" si="5"/>
        <v>-46134</v>
      </c>
      <c r="V15" s="9">
        <f t="shared" si="6"/>
        <v>0.99696240982154161</v>
      </c>
      <c r="W15" s="11">
        <f t="shared" si="7"/>
        <v>0.59523498663960939</v>
      </c>
      <c r="X15" s="11">
        <f t="shared" si="8"/>
        <v>0.5694884681651049</v>
      </c>
    </row>
    <row r="16" spans="1:24">
      <c r="A16" s="29" t="s">
        <v>83</v>
      </c>
      <c r="B16" s="5">
        <v>46134.00277777778</v>
      </c>
      <c r="C16" s="5">
        <v>46135.020833333336</v>
      </c>
      <c r="D16" s="6">
        <f t="shared" si="0"/>
        <v>1466.0000000009313</v>
      </c>
      <c r="E16" s="7">
        <v>25</v>
      </c>
      <c r="F16" s="7">
        <v>65</v>
      </c>
      <c r="G16" s="8">
        <f t="shared" si="1"/>
        <v>40</v>
      </c>
      <c r="H16" s="7">
        <f>30+11+7+5+7+5+22+6+28+5+5+14</f>
        <v>145</v>
      </c>
      <c r="I16" s="7">
        <f>2+3+4+2+2+2+4+4+4+2+1+2+3+3+2+3+3+1+3+2+2+1+2+1+1+2+2+1+1+2+2+1+2+2+1+1+1+2+4</f>
        <v>83</v>
      </c>
      <c r="J16" s="9">
        <f>IF(B16="","",(D16-G16-H16-I16)/D16)</f>
        <v>0.81718963165086644</v>
      </c>
      <c r="K16" s="28">
        <v>0</v>
      </c>
      <c r="L16" s="28">
        <f>7+3+3+2+4+4+11+4+9+6+7+60+5+4+1+2</f>
        <v>132</v>
      </c>
      <c r="M16" s="9">
        <f>IF(B16="","",(D16-G16-H16-I16-K16-L16-E16)/D16)</f>
        <v>0.71009549795379945</v>
      </c>
      <c r="N16" s="7">
        <v>17000</v>
      </c>
      <c r="O16" s="15">
        <f>AVERAGE(15000,15000,15000,15000,15000,15000,15000,15000,15000,15000,15000,15000,15000,15000,15000,15000,15000)</f>
        <v>15000</v>
      </c>
      <c r="P16" s="9">
        <f>IF(B16="","",O16/N16)</f>
        <v>0.88235294117647056</v>
      </c>
      <c r="Q16" s="7">
        <v>7908</v>
      </c>
      <c r="R16" s="7">
        <v>15</v>
      </c>
      <c r="S16" s="7">
        <v>368</v>
      </c>
      <c r="T16" s="5"/>
      <c r="U16" s="10">
        <f t="shared" si="5"/>
        <v>-46135.020833333336</v>
      </c>
      <c r="V16" s="9">
        <f t="shared" si="6"/>
        <v>0.99810318664643394</v>
      </c>
      <c r="W16" s="11">
        <f t="shared" si="7"/>
        <v>0.71968197833396053</v>
      </c>
      <c r="X16" s="11">
        <f t="shared" si="8"/>
        <v>0.62536639352732959</v>
      </c>
    </row>
    <row r="17" spans="1:24">
      <c r="A17" s="29" t="s">
        <v>84</v>
      </c>
      <c r="B17" s="5">
        <v>46135.076388888891</v>
      </c>
      <c r="C17" s="5">
        <v>46136</v>
      </c>
      <c r="D17" s="6">
        <f>IF(B17="","",(C17-B17)*24*60)</f>
        <v>1329.9999999976717</v>
      </c>
      <c r="E17" s="7">
        <v>30</v>
      </c>
      <c r="F17" s="7">
        <v>124</v>
      </c>
      <c r="G17" s="8">
        <f>IF(E17="","",F17-E17)</f>
        <v>94</v>
      </c>
      <c r="H17" s="7">
        <f>32+9+9+16+10+12+40+60+60+60+60+5+13+8+5+5+7+14+60+60+60+60</f>
        <v>665</v>
      </c>
      <c r="I17" s="7">
        <f>3+3+2+2+4+1+4+1+1+1+3+1+1+1+1+1+1+1+1+2+1+1</f>
        <v>37</v>
      </c>
      <c r="J17" s="9">
        <f>IF(B17="","",(D17-G17-H17-I17)/D17)</f>
        <v>0.40150375939744853</v>
      </c>
      <c r="K17" s="28">
        <v>0</v>
      </c>
      <c r="L17" s="28">
        <f>35+2+7+4+7+2+3+10</f>
        <v>70</v>
      </c>
      <c r="M17" s="9">
        <f>IF(B17="","",(D17-G17-H17-I17-K17-L17-E17)/D17)</f>
        <v>0.32631578947250484</v>
      </c>
      <c r="N17" s="7">
        <v>17000</v>
      </c>
      <c r="O17" s="15">
        <f>AVERAGE(15000,13000,,15000,15000,15000,15000,15000,15000,15000,15000,15000)</f>
        <v>13583.333333333334</v>
      </c>
      <c r="P17" s="9">
        <f>IF(B17="","",O17/N17)</f>
        <v>0.7990196078431373</v>
      </c>
      <c r="Q17" s="7">
        <v>3659</v>
      </c>
      <c r="R17" s="7">
        <v>15</v>
      </c>
      <c r="S17" s="7"/>
      <c r="T17" s="5"/>
      <c r="U17" s="10" t="str">
        <f t="shared" si="5"/>
        <v/>
      </c>
      <c r="V17" s="9">
        <f>IF(B17="","",IF(U17&lt;3,(Q17-R17)/Q17,(Q17-R17-S17)/Q17))</f>
        <v>0.9959005192675594</v>
      </c>
      <c r="W17" s="11">
        <f>IF(B17="","",V17*P17*J17)</f>
        <v>0.31949422452403325</v>
      </c>
      <c r="X17" s="11">
        <f>IF(B17="","",V17*P17*M17)</f>
        <v>0.25966384539942156</v>
      </c>
    </row>
    <row r="18" spans="1:24">
      <c r="A18" s="59" t="s">
        <v>85</v>
      </c>
      <c r="B18" s="5">
        <v>46136.078472222223</v>
      </c>
      <c r="C18" s="5">
        <v>46136.546527777777</v>
      </c>
      <c r="D18" s="6">
        <f>IF(B18="","",(C18-B18)*24*60)</f>
        <v>673.99999999674037</v>
      </c>
      <c r="E18" s="7">
        <v>0</v>
      </c>
      <c r="F18" s="7">
        <v>19</v>
      </c>
      <c r="G18" s="8">
        <f t="shared" si="1"/>
        <v>19</v>
      </c>
      <c r="H18" s="7">
        <f>12+5+15+60+60+34+6+6</f>
        <v>198</v>
      </c>
      <c r="I18" s="7">
        <f>3+3+3+3+3+2+2+3+3+3+4+3+4+3+4</f>
        <v>46</v>
      </c>
      <c r="J18" s="9">
        <f>IF(B18="","",(D18-G18-H18-I18)/D18)</f>
        <v>0.6097922848645817</v>
      </c>
      <c r="K18" s="28">
        <v>0</v>
      </c>
      <c r="L18" s="28">
        <f>5+2+2+8+2+8</f>
        <v>27</v>
      </c>
      <c r="M18" s="9">
        <f>IF(B18="","",(D18-G18-H18-I18-K18-L18-E18)/D18)</f>
        <v>0.56973293768337907</v>
      </c>
      <c r="N18" s="7">
        <v>17000</v>
      </c>
      <c r="O18" s="15">
        <f>AVERAGE(15000,15000,15000,15000,15000,15000,15000,16000,16000)</f>
        <v>15222.222222222223</v>
      </c>
      <c r="P18" s="9">
        <f>IF(B18="","",O18/N18)</f>
        <v>0.89542483660130723</v>
      </c>
      <c r="Q18" s="7">
        <v>3399</v>
      </c>
      <c r="R18" s="7">
        <v>17</v>
      </c>
      <c r="S18" s="7"/>
      <c r="T18" s="5"/>
      <c r="U18" s="10" t="str">
        <f t="shared" si="5"/>
        <v/>
      </c>
      <c r="V18" s="9">
        <f>IF(B18="","",IF(U18&lt;3,(Q18-R18)/Q18,(Q18-R18-S18)/Q18))</f>
        <v>0.99499852897911145</v>
      </c>
      <c r="W18" s="11">
        <f>IF(B18="","",V18*P18*J18)</f>
        <v>0.54329223803895821</v>
      </c>
      <c r="X18" s="11">
        <f>IF(B18="","",V18*P18*M18)</f>
        <v>0.5076015070726122</v>
      </c>
    </row>
    <row r="19" spans="1:24">
      <c r="A19" s="29" t="s">
        <v>28</v>
      </c>
      <c r="B19" s="5">
        <v>46139.166666666664</v>
      </c>
      <c r="C19" s="5">
        <v>46139.957638888889</v>
      </c>
      <c r="D19" s="6">
        <f>IF(B19="","",(C19-B19)*24*60)</f>
        <v>1139.0000000037253</v>
      </c>
      <c r="E19" s="7">
        <v>0</v>
      </c>
      <c r="F19" s="7">
        <v>0</v>
      </c>
      <c r="G19" s="8">
        <f>IF(E19="","",F19-E19)</f>
        <v>0</v>
      </c>
      <c r="H19" s="7">
        <f>9+44+7+28+10+5+15+14+15+15+5+9+25+12+5+6</f>
        <v>224</v>
      </c>
      <c r="I19" s="7">
        <f>1+1+1+1+2+4+2+2+4+4+3+2+3+2+4+3+3+4+3+2+1+3+2+4+2+3+4+4+4+3+2+3</f>
        <v>86</v>
      </c>
      <c r="J19" s="9">
        <f>IF(B19="","",(D19-G19-H19-I19)/D19)</f>
        <v>0.72783143108078485</v>
      </c>
      <c r="K19" s="28">
        <v>0</v>
      </c>
      <c r="L19" s="28">
        <f>2+5+3+7+2+6+2+5+22+2+3</f>
        <v>59</v>
      </c>
      <c r="M19" s="9">
        <f>IF(B19="","",(D19-G19-H19-I19-K19-L19-E19)/D19)</f>
        <v>0.67603160667357931</v>
      </c>
      <c r="N19" s="7">
        <v>17000</v>
      </c>
      <c r="O19" s="15">
        <f>AVERAGE(15000,15000,15000,15000,15000,16400,16400,16400,16400,15000,15000,15000,16000,16000,16000,16000,16000,16000)</f>
        <v>15644.444444444445</v>
      </c>
      <c r="P19" s="9">
        <f>IF(B19="","",O19/N19)</f>
        <v>0.92026143790849679</v>
      </c>
      <c r="Q19" s="15">
        <v>5916</v>
      </c>
      <c r="R19" s="7"/>
      <c r="S19" s="7"/>
      <c r="T19" s="5"/>
      <c r="U19" s="10" t="str">
        <f>IF(S19="","",(T19-C19))</f>
        <v/>
      </c>
      <c r="V19" s="9">
        <f>IF(B19="","",IF(U19&lt;3,(Q19-R19)/Q19,(Q19-R19-S19)/Q19))</f>
        <v>1</v>
      </c>
      <c r="W19" s="11">
        <f>IF(B19="","",V19*P19*J19)</f>
        <v>0.66979519932140208</v>
      </c>
      <c r="X19" s="11">
        <f>IF(B19="","",V19*P19*M19)</f>
        <v>0.62212581842901948</v>
      </c>
    </row>
    <row r="20" spans="1:24">
      <c r="A20" s="29" t="s">
        <v>26</v>
      </c>
      <c r="B20" s="5">
        <v>46140.00277777778</v>
      </c>
      <c r="C20" s="5">
        <v>46141</v>
      </c>
      <c r="D20" s="6">
        <f t="shared" si="0"/>
        <v>1435.9999999974389</v>
      </c>
      <c r="E20" s="7">
        <v>0</v>
      </c>
      <c r="F20" s="7">
        <v>0</v>
      </c>
      <c r="G20" s="8">
        <f t="shared" si="1"/>
        <v>0</v>
      </c>
      <c r="H20" s="7">
        <f>17+7+7+44+60+60+60+12+5+32+8+4+5+5+47+60+60</f>
        <v>493</v>
      </c>
      <c r="I20" s="7">
        <f>2+3+1+2+3+4+3+3+2+2+2+1+1+3+2+2+2+3+4+2+1+4+2+2+3+3+2+2+3+1+2+2+3+2+2+2+4+2+1+1</f>
        <v>91</v>
      </c>
      <c r="J20" s="9">
        <f t="shared" si="2"/>
        <v>0.59331476323047239</v>
      </c>
      <c r="K20" s="28">
        <v>0</v>
      </c>
      <c r="L20" s="56">
        <f>4+1+4+12+1</f>
        <v>22</v>
      </c>
      <c r="M20" s="9">
        <f t="shared" si="13"/>
        <v>0.57799442896860664</v>
      </c>
      <c r="N20" s="7">
        <v>17000</v>
      </c>
      <c r="O20" s="30">
        <f>AVERAGE(15000,15000,15000,15000,16000,16000,16000,16000,16000,16000,16000,16000,15000,15000,12500)</f>
        <v>15366.666666666666</v>
      </c>
      <c r="P20" s="9">
        <f>IF(B20="","",O20/N20)</f>
        <v>0.90392156862745099</v>
      </c>
      <c r="Q20" s="7">
        <v>6856</v>
      </c>
      <c r="R20" s="7"/>
      <c r="S20" s="7"/>
      <c r="T20" s="5"/>
      <c r="U20" s="10" t="str">
        <f t="shared" si="5"/>
        <v/>
      </c>
      <c r="V20" s="9">
        <f t="shared" si="6"/>
        <v>1</v>
      </c>
      <c r="W20" s="11">
        <f t="shared" si="7"/>
        <v>0.53631001146911328</v>
      </c>
      <c r="X20" s="11">
        <f t="shared" si="8"/>
        <v>0.52246163089123077</v>
      </c>
    </row>
    <row r="21" spans="1:24">
      <c r="A21" s="29" t="s">
        <v>52</v>
      </c>
      <c r="B21" s="5">
        <v>46141.020833333336</v>
      </c>
      <c r="C21" s="5">
        <v>46142</v>
      </c>
      <c r="D21" s="6">
        <f t="shared" si="0"/>
        <v>1409.9999999965075</v>
      </c>
      <c r="E21" s="7">
        <v>10</v>
      </c>
      <c r="F21" s="7">
        <v>18</v>
      </c>
      <c r="G21" s="8">
        <f t="shared" si="1"/>
        <v>8</v>
      </c>
      <c r="H21" s="7">
        <f>18+21+15+21+21+10+6+5+7+6+6+5+18</f>
        <v>159</v>
      </c>
      <c r="I21" s="7">
        <f>2+2+2+1+1+1+1+2+2+2+1+1+2+2+2+2+1+1+1+1+1+3+3+2+1+2+4+2+2+2+2+2+2+3+3+2+2+4+3+4+3+3+4+2+4+3+4+4+2+2+2+2+1+2+2+2+2</f>
        <v>123</v>
      </c>
      <c r="J21" s="9">
        <f t="shared" si="2"/>
        <v>0.79432624113424233</v>
      </c>
      <c r="K21" s="28">
        <v>0</v>
      </c>
      <c r="L21" s="28">
        <f>2+15+29+5+3</f>
        <v>54</v>
      </c>
      <c r="M21" s="9">
        <f t="shared" si="13"/>
        <v>0.74893617021214409</v>
      </c>
      <c r="N21" s="7">
        <v>17000</v>
      </c>
      <c r="O21" s="15">
        <f>AVERAGE(15000,15000,15000,15000,15000,15000,15000,15000,16000,16000,16000,15000,15000,15000,15000,16000,16000,16000)</f>
        <v>15333.333333333334</v>
      </c>
      <c r="P21" s="9">
        <f t="shared" si="9"/>
        <v>0.90196078431372551</v>
      </c>
      <c r="Q21" s="7">
        <v>8639</v>
      </c>
      <c r="R21" s="15">
        <v>24</v>
      </c>
      <c r="S21" s="7"/>
      <c r="T21" s="5"/>
      <c r="U21" s="10" t="str">
        <f t="shared" si="5"/>
        <v/>
      </c>
      <c r="V21" s="9">
        <f t="shared" si="6"/>
        <v>0.99722190068294947</v>
      </c>
      <c r="W21" s="11">
        <f t="shared" si="7"/>
        <v>0.71446074708875829</v>
      </c>
      <c r="X21" s="11">
        <f t="shared" si="8"/>
        <v>0.67363441868355911</v>
      </c>
    </row>
    <row r="22" spans="1:24">
      <c r="A22" s="29" t="s">
        <v>86</v>
      </c>
      <c r="B22" s="5">
        <v>46142.006944444445</v>
      </c>
      <c r="C22" s="5">
        <v>46142.923611111109</v>
      </c>
      <c r="D22" s="6">
        <f t="shared" si="0"/>
        <v>1319.9999999965075</v>
      </c>
      <c r="E22" s="7">
        <v>60</v>
      </c>
      <c r="F22" s="7">
        <v>71</v>
      </c>
      <c r="G22" s="8">
        <f t="shared" si="1"/>
        <v>11</v>
      </c>
      <c r="H22" s="7">
        <f>26+6+9+20+5+7+6+6+16+10+6+5+5+8+21+7+6+5+5+13+8+8+6+5+9</f>
        <v>228</v>
      </c>
      <c r="I22" s="7">
        <f>3+2+2+2+4+1+2+1+3+1+3+2+2+4+2+3+2+3+3+2+2+2+3+2+2+1+2+1+2+4+1+3+3+2+3+4+3+3+2+2+3+3+3+4+3+2+2+3</f>
        <v>117</v>
      </c>
      <c r="J22" s="9">
        <f t="shared" si="2"/>
        <v>0.73030303030231669</v>
      </c>
      <c r="K22" s="28">
        <v>0</v>
      </c>
      <c r="L22" s="28">
        <f>2+5+4+3</f>
        <v>14</v>
      </c>
      <c r="M22" s="9">
        <f t="shared" si="13"/>
        <v>0.67424242424156233</v>
      </c>
      <c r="N22" s="7">
        <v>17000</v>
      </c>
      <c r="O22" s="30">
        <f>AVERAGE(15000,15000,15000,16000,16000,16000,16000,15000,15000,15000,15000,15000,15000,15000,15000,15000,15000,15000)</f>
        <v>15222.222222222223</v>
      </c>
      <c r="P22" s="9">
        <f t="shared" si="9"/>
        <v>0.89542483660130723</v>
      </c>
      <c r="Q22" s="15">
        <v>6178</v>
      </c>
      <c r="R22" s="7">
        <v>58</v>
      </c>
      <c r="S22" s="7">
        <v>276</v>
      </c>
      <c r="T22" s="5">
        <v>46147.416666666664</v>
      </c>
      <c r="U22" s="10">
        <f t="shared" si="5"/>
        <v>4.4930555555547471</v>
      </c>
      <c r="V22" s="9">
        <f t="shared" si="6"/>
        <v>0.94593719650372288</v>
      </c>
      <c r="W22" s="11">
        <f t="shared" si="7"/>
        <v>0.61857810292994453</v>
      </c>
      <c r="X22" s="11">
        <f t="shared" si="8"/>
        <v>0.57109389170900915</v>
      </c>
    </row>
    <row r="23" spans="1:24">
      <c r="A23" s="29"/>
      <c r="B23" s="5"/>
      <c r="C23" s="5"/>
      <c r="D23" s="6" t="str">
        <f t="shared" si="0"/>
        <v/>
      </c>
      <c r="E23" s="7"/>
      <c r="F23" s="7"/>
      <c r="G23" s="8" t="str">
        <f t="shared" si="1"/>
        <v/>
      </c>
      <c r="H23" s="7"/>
      <c r="I23" s="7"/>
      <c r="J23" s="9" t="str">
        <f t="shared" si="2"/>
        <v/>
      </c>
      <c r="K23" s="28"/>
      <c r="L23" s="28"/>
      <c r="M23" s="9" t="str">
        <f t="shared" si="13"/>
        <v/>
      </c>
      <c r="N23" s="7"/>
      <c r="O23" s="15"/>
      <c r="P23" s="9" t="str">
        <f t="shared" si="9"/>
        <v/>
      </c>
      <c r="Q23" s="15"/>
      <c r="R23" s="7"/>
      <c r="S23" s="7"/>
      <c r="T23" s="5"/>
      <c r="U23" s="10" t="str">
        <f t="shared" si="5"/>
        <v/>
      </c>
      <c r="V23" s="9" t="str">
        <f t="shared" si="6"/>
        <v/>
      </c>
      <c r="W23" s="11" t="str">
        <f t="shared" si="7"/>
        <v/>
      </c>
      <c r="X23" s="11" t="str">
        <f t="shared" si="8"/>
        <v/>
      </c>
    </row>
    <row r="24" spans="1:24" hidden="1">
      <c r="A24" s="29"/>
      <c r="B24" s="5"/>
      <c r="C24" s="5"/>
      <c r="D24" s="6" t="str">
        <f t="shared" si="0"/>
        <v/>
      </c>
      <c r="E24" s="7"/>
      <c r="F24" s="7"/>
      <c r="G24" s="8" t="str">
        <f t="shared" si="1"/>
        <v/>
      </c>
      <c r="H24" s="7"/>
      <c r="I24" s="7"/>
      <c r="J24" s="9" t="str">
        <f t="shared" si="2"/>
        <v/>
      </c>
      <c r="K24" s="28"/>
      <c r="L24" s="28"/>
      <c r="M24" s="9" t="str">
        <f t="shared" si="13"/>
        <v/>
      </c>
      <c r="N24" s="7"/>
      <c r="O24" s="15"/>
      <c r="P24" s="9" t="str">
        <f t="shared" si="9"/>
        <v/>
      </c>
      <c r="Q24" s="7"/>
      <c r="R24" s="7"/>
      <c r="S24" s="7"/>
      <c r="T24" s="5"/>
      <c r="U24" s="10" t="str">
        <f t="shared" si="5"/>
        <v/>
      </c>
      <c r="V24" s="9" t="str">
        <f t="shared" si="6"/>
        <v/>
      </c>
      <c r="W24" s="11" t="str">
        <f t="shared" si="7"/>
        <v/>
      </c>
      <c r="X24" s="11" t="str">
        <f t="shared" si="8"/>
        <v/>
      </c>
    </row>
    <row r="25" spans="1:24" hidden="1">
      <c r="A25" s="29"/>
      <c r="B25" s="5"/>
      <c r="C25" s="5"/>
      <c r="D25" s="6" t="str">
        <f t="shared" si="0"/>
        <v/>
      </c>
      <c r="E25" s="7"/>
      <c r="F25" s="7"/>
      <c r="G25" s="8" t="str">
        <f t="shared" si="1"/>
        <v/>
      </c>
      <c r="H25" s="7"/>
      <c r="I25" s="7"/>
      <c r="J25" s="9" t="str">
        <f t="shared" si="2"/>
        <v/>
      </c>
      <c r="K25" s="28"/>
      <c r="L25" s="28"/>
      <c r="M25" s="9" t="str">
        <f t="shared" si="13"/>
        <v/>
      </c>
      <c r="N25" s="7"/>
      <c r="O25" s="15"/>
      <c r="P25" s="9" t="str">
        <f t="shared" si="9"/>
        <v/>
      </c>
      <c r="Q25" s="7"/>
      <c r="R25" s="7"/>
      <c r="S25" s="7"/>
      <c r="T25" s="5"/>
      <c r="U25" s="10" t="str">
        <f t="shared" si="5"/>
        <v/>
      </c>
      <c r="V25" s="9" t="str">
        <f t="shared" si="6"/>
        <v/>
      </c>
      <c r="W25" s="11" t="str">
        <f t="shared" si="7"/>
        <v/>
      </c>
      <c r="X25" s="11" t="str">
        <f t="shared" si="8"/>
        <v/>
      </c>
    </row>
    <row r="26" spans="1:24" hidden="1">
      <c r="A26" s="29"/>
      <c r="B26" s="5"/>
      <c r="C26" s="5"/>
      <c r="D26" s="6" t="str">
        <f t="shared" si="0"/>
        <v/>
      </c>
      <c r="E26" s="7"/>
      <c r="F26" s="7"/>
      <c r="G26" s="8" t="str">
        <f t="shared" si="1"/>
        <v/>
      </c>
      <c r="H26" s="7"/>
      <c r="I26" s="7"/>
      <c r="J26" s="9" t="str">
        <f t="shared" si="2"/>
        <v/>
      </c>
      <c r="K26" s="28"/>
      <c r="L26" s="28"/>
      <c r="M26" s="9" t="str">
        <f t="shared" si="13"/>
        <v/>
      </c>
      <c r="N26" s="7"/>
      <c r="O26" s="15"/>
      <c r="P26" s="9" t="str">
        <f t="shared" si="9"/>
        <v/>
      </c>
      <c r="Q26" s="7"/>
      <c r="R26" s="7"/>
      <c r="S26" s="7"/>
      <c r="T26" s="5"/>
      <c r="U26" s="10" t="str">
        <f t="shared" si="5"/>
        <v/>
      </c>
      <c r="V26" s="9" t="str">
        <f t="shared" si="6"/>
        <v/>
      </c>
      <c r="W26" s="11" t="str">
        <f t="shared" si="7"/>
        <v/>
      </c>
      <c r="X26" s="11" t="str">
        <f t="shared" si="8"/>
        <v/>
      </c>
    </row>
    <row r="27" spans="1:24" hidden="1">
      <c r="A27" s="29"/>
      <c r="B27" s="5"/>
      <c r="C27" s="5"/>
      <c r="D27" s="6" t="str">
        <f t="shared" si="0"/>
        <v/>
      </c>
      <c r="E27" s="7"/>
      <c r="F27" s="7"/>
      <c r="G27" s="8" t="str">
        <f t="shared" si="1"/>
        <v/>
      </c>
      <c r="H27" s="7"/>
      <c r="I27" s="7"/>
      <c r="J27" s="9" t="str">
        <f t="shared" si="2"/>
        <v/>
      </c>
      <c r="K27" s="28"/>
      <c r="L27" s="28"/>
      <c r="M27" s="9" t="str">
        <f t="shared" si="13"/>
        <v/>
      </c>
      <c r="N27" s="7"/>
      <c r="O27" s="15"/>
      <c r="P27" s="9" t="str">
        <f t="shared" si="9"/>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1"/>
        <v/>
      </c>
      <c r="H28" s="7"/>
      <c r="I28" s="7"/>
      <c r="J28" s="9" t="str">
        <f t="shared" si="2"/>
        <v/>
      </c>
      <c r="K28" s="28"/>
      <c r="L28" s="28"/>
      <c r="M28" s="9" t="str">
        <f t="shared" si="13"/>
        <v/>
      </c>
      <c r="N28" s="7"/>
      <c r="O28" s="15"/>
      <c r="P28" s="9" t="str">
        <f t="shared" si="9"/>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2"/>
        <v/>
      </c>
      <c r="K29" s="28"/>
      <c r="L29" s="28"/>
      <c r="M29" s="9" t="str">
        <f t="shared" si="13"/>
        <v/>
      </c>
      <c r="N29" s="7"/>
      <c r="O29" s="7"/>
      <c r="P29" s="9" t="str">
        <f t="shared" si="9"/>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1"/>
        <v/>
      </c>
      <c r="H30" s="7"/>
      <c r="I30" s="7"/>
      <c r="J30" s="9" t="str">
        <f t="shared" si="2"/>
        <v/>
      </c>
      <c r="K30" s="28"/>
      <c r="L30" s="28"/>
      <c r="M30" s="9" t="str">
        <f t="shared" si="13"/>
        <v/>
      </c>
      <c r="N30" s="7"/>
      <c r="O30" s="15"/>
      <c r="P30" s="9" t="str">
        <f t="shared" si="9"/>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2"/>
        <v/>
      </c>
      <c r="K31" s="28"/>
      <c r="L31" s="28"/>
      <c r="M31" s="9" t="str">
        <f t="shared" si="13"/>
        <v/>
      </c>
      <c r="N31" s="7"/>
      <c r="O31" s="15"/>
      <c r="P31" s="9" t="str">
        <f t="shared" si="9"/>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2"/>
        <v/>
      </c>
      <c r="K32" s="28"/>
      <c r="L32" s="28"/>
      <c r="M32" s="9" t="str">
        <f t="shared" si="13"/>
        <v/>
      </c>
      <c r="N32" s="7"/>
      <c r="O32" s="15"/>
      <c r="P32" s="9" t="str">
        <f t="shared" si="9"/>
        <v/>
      </c>
      <c r="Q32" s="15"/>
      <c r="R32" s="7"/>
      <c r="S32" s="7"/>
      <c r="T32" s="5"/>
      <c r="U32" s="10" t="str">
        <f t="shared" si="5"/>
        <v/>
      </c>
      <c r="V32" s="9" t="str">
        <f t="shared" si="6"/>
        <v/>
      </c>
      <c r="W32" s="11" t="str">
        <f t="shared" si="7"/>
        <v/>
      </c>
      <c r="X32" s="11" t="str">
        <f t="shared" si="8"/>
        <v/>
      </c>
    </row>
    <row r="33" spans="1:25" hidden="1">
      <c r="A33" s="29"/>
      <c r="B33" s="5"/>
      <c r="C33" s="5"/>
      <c r="D33" s="6" t="str">
        <f t="shared" si="0"/>
        <v/>
      </c>
      <c r="E33" s="7"/>
      <c r="F33" s="7"/>
      <c r="G33" s="8" t="str">
        <f t="shared" si="1"/>
        <v/>
      </c>
      <c r="H33" s="7"/>
      <c r="I33" s="7"/>
      <c r="J33" s="9" t="str">
        <f t="shared" si="2"/>
        <v/>
      </c>
      <c r="K33" s="28"/>
      <c r="L33" s="28"/>
      <c r="M33" s="9" t="str">
        <f t="shared" si="13"/>
        <v/>
      </c>
      <c r="N33" s="7"/>
      <c r="O33" s="15"/>
      <c r="P33" s="9" t="str">
        <f t="shared" si="9"/>
        <v/>
      </c>
      <c r="Q33" s="15"/>
      <c r="R33" s="7"/>
      <c r="S33" s="7"/>
      <c r="T33" s="5"/>
      <c r="U33" s="10" t="str">
        <f t="shared" si="5"/>
        <v/>
      </c>
      <c r="V33" s="9" t="str">
        <f t="shared" si="6"/>
        <v/>
      </c>
      <c r="W33" s="11" t="str">
        <f t="shared" si="7"/>
        <v/>
      </c>
      <c r="X33" s="11" t="str">
        <f t="shared" si="8"/>
        <v/>
      </c>
    </row>
    <row r="34" spans="1:25" hidden="1">
      <c r="A34" s="29"/>
      <c r="B34" s="5"/>
      <c r="C34" s="5"/>
      <c r="D34" s="6" t="str">
        <f t="shared" si="0"/>
        <v/>
      </c>
      <c r="E34" s="7"/>
      <c r="F34" s="7"/>
      <c r="G34" s="8" t="str">
        <f t="shared" si="1"/>
        <v/>
      </c>
      <c r="H34" s="7"/>
      <c r="I34" s="7"/>
      <c r="J34" s="9" t="str">
        <f t="shared" si="2"/>
        <v/>
      </c>
      <c r="K34" s="28"/>
      <c r="L34" s="28"/>
      <c r="M34" s="9" t="str">
        <f t="shared" si="13"/>
        <v/>
      </c>
      <c r="N34" s="7"/>
      <c r="O34" s="15"/>
      <c r="P34" s="9" t="str">
        <f t="shared" si="9"/>
        <v/>
      </c>
      <c r="Q34" s="15"/>
      <c r="R34" s="7"/>
      <c r="S34" s="7"/>
      <c r="T34" s="5"/>
      <c r="U34" s="10" t="str">
        <f t="shared" si="5"/>
        <v/>
      </c>
      <c r="V34" s="9" t="str">
        <f t="shared" si="6"/>
        <v/>
      </c>
      <c r="W34" s="11" t="str">
        <f t="shared" si="7"/>
        <v/>
      </c>
      <c r="X34" s="11" t="str">
        <f t="shared" si="8"/>
        <v/>
      </c>
    </row>
    <row r="35" spans="1:25" hidden="1">
      <c r="A35" s="29"/>
      <c r="B35" s="5"/>
      <c r="C35" s="5"/>
      <c r="D35" s="6" t="str">
        <f t="shared" si="0"/>
        <v/>
      </c>
      <c r="E35" s="7"/>
      <c r="F35" s="7"/>
      <c r="G35" s="8" t="str">
        <f t="shared" si="1"/>
        <v/>
      </c>
      <c r="H35" s="7"/>
      <c r="I35" s="7"/>
      <c r="J35" s="9" t="str">
        <f t="shared" si="2"/>
        <v/>
      </c>
      <c r="K35" s="28"/>
      <c r="L35" s="28"/>
      <c r="M35" s="9" t="str">
        <f t="shared" si="13"/>
        <v/>
      </c>
      <c r="N35" s="7"/>
      <c r="O35" s="15"/>
      <c r="P35" s="9" t="str">
        <f t="shared" si="9"/>
        <v/>
      </c>
      <c r="Q35" s="15"/>
      <c r="R35" s="7"/>
      <c r="S35" s="7"/>
      <c r="T35" s="5"/>
      <c r="U35" s="10" t="str">
        <f t="shared" si="5"/>
        <v/>
      </c>
      <c r="V35" s="9" t="str">
        <f t="shared" si="6"/>
        <v/>
      </c>
      <c r="W35" s="11" t="str">
        <f t="shared" si="7"/>
        <v/>
      </c>
      <c r="X35" s="11" t="str">
        <f t="shared" si="8"/>
        <v/>
      </c>
    </row>
    <row r="36" spans="1:25" hidden="1">
      <c r="A36" s="29"/>
      <c r="B36" s="5"/>
      <c r="C36" s="5"/>
      <c r="D36" s="6" t="str">
        <f t="shared" si="0"/>
        <v/>
      </c>
      <c r="E36" s="7"/>
      <c r="F36" s="7"/>
      <c r="G36" s="8" t="str">
        <f t="shared" si="1"/>
        <v/>
      </c>
      <c r="H36" s="7"/>
      <c r="I36" s="7"/>
      <c r="J36" s="9" t="str">
        <f t="shared" si="2"/>
        <v/>
      </c>
      <c r="K36" s="28"/>
      <c r="L36" s="28"/>
      <c r="M36" s="9" t="str">
        <f t="shared" si="13"/>
        <v/>
      </c>
      <c r="N36" s="7"/>
      <c r="O36" s="15"/>
      <c r="P36" s="9" t="str">
        <f t="shared" si="9"/>
        <v/>
      </c>
      <c r="Q36" s="15"/>
      <c r="R36" s="7"/>
      <c r="S36" s="7"/>
      <c r="T36" s="5"/>
      <c r="U36" s="10" t="str">
        <f t="shared" si="5"/>
        <v/>
      </c>
      <c r="V36" s="9" t="str">
        <f t="shared" si="6"/>
        <v/>
      </c>
      <c r="W36" s="11" t="str">
        <f t="shared" si="7"/>
        <v/>
      </c>
      <c r="X36" s="11" t="str">
        <f t="shared" si="8"/>
        <v/>
      </c>
    </row>
    <row r="37" spans="1:25" hidden="1">
      <c r="A37" s="29"/>
      <c r="B37" s="5"/>
      <c r="C37" s="5"/>
      <c r="D37" s="6" t="str">
        <f t="shared" si="0"/>
        <v/>
      </c>
      <c r="E37" s="7"/>
      <c r="F37" s="7"/>
      <c r="G37" s="8" t="str">
        <f t="shared" si="1"/>
        <v/>
      </c>
      <c r="H37" s="7"/>
      <c r="I37" s="7"/>
      <c r="J37" s="9" t="str">
        <f t="shared" si="2"/>
        <v/>
      </c>
      <c r="K37" s="28"/>
      <c r="L37" s="28"/>
      <c r="M37" s="9" t="str">
        <f t="shared" si="13"/>
        <v/>
      </c>
      <c r="N37" s="7"/>
      <c r="O37" s="15"/>
      <c r="P37" s="9" t="str">
        <f t="shared" si="9"/>
        <v/>
      </c>
      <c r="Q37" s="7"/>
      <c r="R37" s="7"/>
      <c r="S37" s="7"/>
      <c r="T37" s="5"/>
      <c r="U37" s="10" t="str">
        <f t="shared" si="5"/>
        <v/>
      </c>
      <c r="V37" s="9" t="str">
        <f t="shared" si="6"/>
        <v/>
      </c>
      <c r="W37" s="11" t="str">
        <f t="shared" si="7"/>
        <v/>
      </c>
      <c r="X37" s="11" t="str">
        <f t="shared" si="8"/>
        <v/>
      </c>
    </row>
    <row r="38" spans="1:25" s="43" customFormat="1" ht="18.75">
      <c r="A38" s="31"/>
      <c r="B38" s="32" t="s">
        <v>41</v>
      </c>
      <c r="C38" s="32"/>
      <c r="D38" s="33">
        <f>SUM(D3:D37)</f>
        <v>25024.000000002561</v>
      </c>
      <c r="E38" s="33">
        <f>SUM(E3:E37)</f>
        <v>725</v>
      </c>
      <c r="F38" s="33">
        <f>SUM(F3:F37)</f>
        <v>1249</v>
      </c>
      <c r="G38" s="33">
        <f>SUM(G3:G37)</f>
        <v>524</v>
      </c>
      <c r="H38" s="33">
        <f>SUM(H2:H37)</f>
        <v>6106</v>
      </c>
      <c r="I38" s="33">
        <f>SUM(I3:I37)</f>
        <v>1490</v>
      </c>
      <c r="J38" s="34">
        <f>(D38-G38-H38-I38)/D38</f>
        <v>0.67551150895143985</v>
      </c>
      <c r="K38" s="35">
        <f>SUM(K3:K37)</f>
        <v>0</v>
      </c>
      <c r="L38" s="35">
        <f>SUM(L3:L37)</f>
        <v>1044</v>
      </c>
      <c r="M38" s="36">
        <f>(D38-G38-H38-I38-E38-K38-L38)/D38</f>
        <v>0.60481937340157499</v>
      </c>
      <c r="N38" s="37">
        <f>AVERAGE(N3:N37)</f>
        <v>17000</v>
      </c>
      <c r="O38" s="38">
        <f>AVERAGE(O3:O37)</f>
        <v>14982.349302744042</v>
      </c>
      <c r="P38" s="34">
        <f>O38/N38</f>
        <v>0.88131466486729659</v>
      </c>
      <c r="Q38" s="37">
        <f>SUM(Q3:Q35)</f>
        <v>121107</v>
      </c>
      <c r="R38" s="37"/>
      <c r="S38" s="32"/>
      <c r="T38" s="32"/>
      <c r="U38" s="39"/>
      <c r="V38" s="40">
        <f>AVERAGE(V3:V37)</f>
        <v>0.99133748201668848</v>
      </c>
      <c r="W38" s="41">
        <f>V38*P38*J38</f>
        <v>0.59018107126946273</v>
      </c>
      <c r="X38" s="42">
        <f>V38*P38*M38</f>
        <v>0.52841874785041865</v>
      </c>
    </row>
    <row r="39" spans="1:25" ht="28.5">
      <c r="O39" s="20" t="s">
        <v>42</v>
      </c>
      <c r="P39" s="21" t="e">
        <f>AVERAGE('[1]January 2024'!S38,'[1]February 2024'!S38,'[1]March 2024'!S38,S38)</f>
        <v>#DIV/0!</v>
      </c>
      <c r="Q39" s="66"/>
      <c r="R39" s="66"/>
      <c r="S39" s="44"/>
      <c r="T39" s="45"/>
      <c r="U39" s="22"/>
      <c r="X39" s="16">
        <f>AVERAGE('January 2026 (w Utilization)'!X38,'February 2026 (w Utilization) '!X38,'March 2026 (w Utilization'!X38,X38,'May 2026 (w Utilization)'!X38,'June 2026 (w Utilization)'!X38)</f>
        <v>0.55384375448841816</v>
      </c>
    </row>
    <row r="40" spans="1:25" ht="28.5">
      <c r="Q40" s="22"/>
      <c r="R40" s="22"/>
      <c r="S40" s="22"/>
      <c r="T40" s="22"/>
      <c r="U40" s="22"/>
      <c r="W40" s="16"/>
      <c r="X40" s="16"/>
      <c r="Y40" s="16"/>
    </row>
    <row r="41" spans="1:25" ht="28.5">
      <c r="Q41" s="22"/>
      <c r="R41" s="67"/>
      <c r="S41" s="67"/>
      <c r="T41" s="46"/>
      <c r="U41" s="22"/>
    </row>
    <row r="42" spans="1:25" ht="28.5">
      <c r="Q42" s="22"/>
      <c r="R42" s="22"/>
      <c r="S42" s="22"/>
      <c r="T42" s="22"/>
      <c r="U42" s="22"/>
    </row>
    <row r="43" spans="1:25" ht="28.5">
      <c r="Q43" s="22"/>
      <c r="R43" s="22"/>
      <c r="S43" s="22"/>
      <c r="T43" s="22"/>
      <c r="U43" s="22"/>
    </row>
    <row r="44" spans="1:25" ht="28.5">
      <c r="Q44" s="22"/>
      <c r="R44" s="22"/>
      <c r="S44" s="22"/>
      <c r="T44" s="22"/>
      <c r="U44" s="22"/>
    </row>
    <row r="46" spans="1:25">
      <c r="C46" s="17"/>
      <c r="D46" s="53" t="s">
        <v>43</v>
      </c>
      <c r="E46" s="53" t="s">
        <v>44</v>
      </c>
    </row>
    <row r="47" spans="1:25">
      <c r="C47" s="4" t="s">
        <v>45</v>
      </c>
      <c r="D47" s="54">
        <f>W38</f>
        <v>0.59018107126946273</v>
      </c>
      <c r="E47" s="55">
        <f t="shared" ref="E47:E52" si="14">100%-D47</f>
        <v>0.40981892873053727</v>
      </c>
    </row>
    <row r="48" spans="1:25">
      <c r="C48" s="4" t="s">
        <v>46</v>
      </c>
      <c r="D48" s="54">
        <f>X38</f>
        <v>0.52841874785041865</v>
      </c>
      <c r="E48" s="55">
        <f t="shared" si="14"/>
        <v>0.47158125214958135</v>
      </c>
    </row>
    <row r="49" spans="3:5">
      <c r="C49" s="4" t="s">
        <v>11</v>
      </c>
      <c r="D49" s="54">
        <f>J38</f>
        <v>0.67551150895143985</v>
      </c>
      <c r="E49" s="55">
        <f t="shared" si="14"/>
        <v>0.32448849104856015</v>
      </c>
    </row>
    <row r="50" spans="3:5" ht="30">
      <c r="C50" s="4" t="s">
        <v>14</v>
      </c>
      <c r="D50" s="54">
        <f>M38</f>
        <v>0.60481937340157499</v>
      </c>
      <c r="E50" s="55">
        <f t="shared" si="14"/>
        <v>0.39518062659842501</v>
      </c>
    </row>
    <row r="51" spans="3:5" ht="15" customHeight="1">
      <c r="C51" s="4" t="s">
        <v>17</v>
      </c>
      <c r="D51" s="54">
        <f>P38</f>
        <v>0.88131466486729659</v>
      </c>
      <c r="E51" s="55">
        <f t="shared" si="14"/>
        <v>0.11868533513270341</v>
      </c>
    </row>
    <row r="52" spans="3:5" ht="15" customHeight="1">
      <c r="C52" s="4" t="str">
        <f>V2</f>
        <v>Quality</v>
      </c>
      <c r="D52" s="54">
        <f>V38</f>
        <v>0.99133748201668848</v>
      </c>
      <c r="E52" s="55">
        <f t="shared" si="14"/>
        <v>8.662517983311524E-3</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52"/>
  <sheetViews>
    <sheetView topLeftCell="K1" zoomScale="60" zoomScaleNormal="60" workbookViewId="0">
      <selection activeCell="O42" sqref="O42"/>
    </sheetView>
  </sheetViews>
  <sheetFormatPr defaultRowHeight="15" customHeight="1"/>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9" t="s">
        <v>87</v>
      </c>
      <c r="B3" s="5">
        <v>46146.135416666664</v>
      </c>
      <c r="C3" s="5">
        <v>46147.001388888886</v>
      </c>
      <c r="D3" s="6">
        <f>IF(B3="","",(C3-B3)*24*60)</f>
        <v>1246.9999999995343</v>
      </c>
      <c r="E3" s="7">
        <v>120</v>
      </c>
      <c r="F3" s="7">
        <v>220</v>
      </c>
      <c r="G3" s="8">
        <f>IF(E3="","",F3-E3)</f>
        <v>100</v>
      </c>
      <c r="H3" s="7">
        <f>5+15+10+32+39+5+20+20+10+5+6+6+5</f>
        <v>178</v>
      </c>
      <c r="I3" s="7">
        <f>3+2+2+4+2+3+1+1+1+2+2+2+4+4+2+3+1+2+4+4+2+3</f>
        <v>54</v>
      </c>
      <c r="J3" s="9">
        <f t="shared" ref="J3:J27" si="0">IF(B3="","",(D3-G3-H3-I3)/D3)</f>
        <v>0.73376102646341301</v>
      </c>
      <c r="K3" s="56">
        <v>0</v>
      </c>
      <c r="L3" s="56">
        <f>4+17+3+2+2+2+2+3+3+2+4+2</f>
        <v>46</v>
      </c>
      <c r="M3" s="9">
        <f>IF(A3="","",(C3-F3-G3-H3-J3-L3-D3)/C3)</f>
        <v>0.96117334372548402</v>
      </c>
      <c r="N3" s="7">
        <v>17000</v>
      </c>
      <c r="O3" s="15">
        <f>AVERAGE(16000,16000,16000,16000,16000,16000,16000,16000,16000,16000,16000,16000,15000,15000)</f>
        <v>15857.142857142857</v>
      </c>
      <c r="P3" s="9">
        <f>IF(A3="","",O3/N3)</f>
        <v>0.9327731092436975</v>
      </c>
      <c r="Q3" s="7">
        <v>5395</v>
      </c>
      <c r="R3" s="7">
        <v>32</v>
      </c>
      <c r="S3" s="7"/>
      <c r="T3" s="5"/>
      <c r="U3" s="10" t="str">
        <f t="shared" ref="U3:U27" si="1">IF(S3="","",(T3-C3))</f>
        <v/>
      </c>
      <c r="V3" s="9">
        <f t="shared" ref="V3:V27" si="2">IF(B3="","",IF(U3&lt;3,(Q3-R3)/Q3,(Q3-R3-S3)/Q3))</f>
        <v>0.99406858202038928</v>
      </c>
      <c r="W3" s="11">
        <f t="shared" ref="W3:W27" si="3">IF(B3="","",V3*P3*J3)</f>
        <v>0.68037289853892813</v>
      </c>
      <c r="X3" s="11">
        <f t="shared" ref="X3:X27" si="4">IF(B3="","",V3*P3*M3)</f>
        <v>0.89123879612522416</v>
      </c>
    </row>
    <row r="4" spans="1:24">
      <c r="A4" s="57" t="s">
        <v>88</v>
      </c>
      <c r="B4" s="5">
        <v>46147.166666666664</v>
      </c>
      <c r="C4" s="5">
        <v>46148</v>
      </c>
      <c r="D4" s="6">
        <f t="shared" ref="D4:D37" si="5">IF(B4="","",(C4-B4)*24*60)</f>
        <v>1200.0000000034925</v>
      </c>
      <c r="E4" s="7">
        <v>30</v>
      </c>
      <c r="F4" s="7">
        <v>124</v>
      </c>
      <c r="G4" s="8">
        <f t="shared" ref="G4:G37" si="6">IF(E4="","",F4-E4)</f>
        <v>94</v>
      </c>
      <c r="H4" s="7">
        <f>10+19+9+8+11+5+7+5+42+45+15+60+12+7+24+60+60+60+60+49+6+18+11+30+18+7+5+11+8</f>
        <v>682</v>
      </c>
      <c r="I4" s="7">
        <f>3+3+4+4+3+3+2+3+2+1+2</f>
        <v>30</v>
      </c>
      <c r="J4" s="9">
        <f t="shared" si="0"/>
        <v>0.32833333333528814</v>
      </c>
      <c r="K4" s="28">
        <v>0</v>
      </c>
      <c r="L4" s="28">
        <f>5+30+6+6</f>
        <v>47</v>
      </c>
      <c r="M4" s="9">
        <f t="shared" ref="M4:M27" si="7">IF(B4="","",(D4-G4-H4-I4-K4-L4-E4)/D4)</f>
        <v>0.26416666666880823</v>
      </c>
      <c r="N4" s="7">
        <v>17000</v>
      </c>
      <c r="O4" s="15">
        <f>AVERAGE(16000,16000,16000,16000,16000,16000,15000,15000,15000,15000)</f>
        <v>15600</v>
      </c>
      <c r="P4" s="9">
        <f t="shared" ref="P4:P27" si="8">IF(B4="","",O4/N4)</f>
        <v>0.91764705882352937</v>
      </c>
      <c r="Q4" s="7">
        <v>2758</v>
      </c>
      <c r="R4" s="7">
        <v>48</v>
      </c>
      <c r="S4" s="7"/>
      <c r="T4" s="5"/>
      <c r="U4" s="10" t="str">
        <f t="shared" si="1"/>
        <v/>
      </c>
      <c r="V4" s="9">
        <f t="shared" si="2"/>
        <v>0.98259608411892674</v>
      </c>
      <c r="W4" s="11">
        <f t="shared" si="3"/>
        <v>0.2960504201698298</v>
      </c>
      <c r="X4" s="11">
        <f t="shared" si="4"/>
        <v>0.23819285074628962</v>
      </c>
    </row>
    <row r="5" spans="1:24">
      <c r="A5" s="29" t="s">
        <v>26</v>
      </c>
      <c r="B5" s="5">
        <v>46148.005555555559</v>
      </c>
      <c r="C5" s="5">
        <v>46149</v>
      </c>
      <c r="D5" s="6">
        <f t="shared" si="5"/>
        <v>1431.9999999948777</v>
      </c>
      <c r="E5" s="7">
        <v>0</v>
      </c>
      <c r="F5" s="7">
        <v>0</v>
      </c>
      <c r="G5" s="8">
        <f t="shared" si="6"/>
        <v>0</v>
      </c>
      <c r="H5" s="7">
        <f>5+49+18+5+5+5+15+7+14+10+5</f>
        <v>138</v>
      </c>
      <c r="I5" s="7">
        <f>3+2+2+3+1+3+2+2+2+2+3+3+3+1+1+1+4+2+2+2+3+2+1+1+3+3+1+2+2+3+2+4+2+2+1+2+4+4+3+2+1</f>
        <v>92</v>
      </c>
      <c r="J5" s="9">
        <f t="shared" si="0"/>
        <v>0.83938547485976067</v>
      </c>
      <c r="K5" s="28">
        <v>0</v>
      </c>
      <c r="L5" s="28">
        <f>1+1+2</f>
        <v>4</v>
      </c>
      <c r="M5" s="9">
        <f t="shared" si="7"/>
        <v>0.83659217877036518</v>
      </c>
      <c r="N5" s="7">
        <v>17000</v>
      </c>
      <c r="O5" s="15">
        <f>AVERAGE(15000,15000,15000,15000,15000,15000,15000,15000,15000,15000,16000,15000,15000,15000,15000,15000,15000,15000,15000,15000,15000,15000)</f>
        <v>15045.454545454546</v>
      </c>
      <c r="P5" s="9">
        <f t="shared" si="8"/>
        <v>0.88502673796791442</v>
      </c>
      <c r="Q5" s="7">
        <v>10035</v>
      </c>
      <c r="R5" s="7">
        <v>29</v>
      </c>
      <c r="S5" s="7"/>
      <c r="T5" s="5"/>
      <c r="U5" s="10" t="str">
        <f t="shared" si="1"/>
        <v/>
      </c>
      <c r="V5" s="9">
        <f t="shared" si="2"/>
        <v>0.99711011459890386</v>
      </c>
      <c r="W5" s="11">
        <f t="shared" si="3"/>
        <v>0.74073175472447483</v>
      </c>
      <c r="X5" s="11">
        <f t="shared" si="4"/>
        <v>0.73826675720458246</v>
      </c>
    </row>
    <row r="6" spans="1:24">
      <c r="A6" s="29" t="s">
        <v>89</v>
      </c>
      <c r="B6" s="5">
        <v>46149.004166666666</v>
      </c>
      <c r="C6" s="5">
        <v>46150</v>
      </c>
      <c r="D6" s="6">
        <f t="shared" si="5"/>
        <v>1434.000000001397</v>
      </c>
      <c r="E6" s="7">
        <f>60+60</f>
        <v>120</v>
      </c>
      <c r="F6" s="7">
        <v>135</v>
      </c>
      <c r="G6" s="8">
        <f t="shared" si="6"/>
        <v>15</v>
      </c>
      <c r="H6" s="7">
        <f>10+5+6+6+6+6+17+5+6+10+6</f>
        <v>83</v>
      </c>
      <c r="I6" s="7">
        <f>2+2+2+1+4+2+3+2+3+4+2+2+3+2+3+2+2+2+1+1+4+3+1+3+1+1+3+3+2+2</f>
        <v>68</v>
      </c>
      <c r="J6" s="9">
        <f t="shared" si="0"/>
        <v>0.88423988842410162</v>
      </c>
      <c r="K6" s="28">
        <v>0</v>
      </c>
      <c r="L6" s="28">
        <f>4+60+42+47+4+8+26+7+3</f>
        <v>201</v>
      </c>
      <c r="M6" s="9">
        <f t="shared" si="7"/>
        <v>0.66039051603938248</v>
      </c>
      <c r="N6" s="7">
        <v>17000</v>
      </c>
      <c r="O6" s="15">
        <f>AVERAGE(15000,15000,15000,15000,15000,15000,15000,15000,15000,15000,15000,15000,15000,15000,15000,15000,15000,15000)</f>
        <v>15000</v>
      </c>
      <c r="P6" s="9">
        <f t="shared" si="8"/>
        <v>0.88235294117647056</v>
      </c>
      <c r="Q6" s="7">
        <v>7593</v>
      </c>
      <c r="R6" s="7">
        <v>21</v>
      </c>
      <c r="S6" s="7"/>
      <c r="T6" s="5"/>
      <c r="U6" s="10" t="str">
        <f t="shared" si="1"/>
        <v/>
      </c>
      <c r="V6" s="9">
        <f t="shared" si="2"/>
        <v>0.99723429474516001</v>
      </c>
      <c r="W6" s="11">
        <f t="shared" si="3"/>
        <v>0.77805383075130707</v>
      </c>
      <c r="X6" s="11">
        <f t="shared" si="4"/>
        <v>0.58108594457552287</v>
      </c>
    </row>
    <row r="7" spans="1:24">
      <c r="A7" s="29" t="s">
        <v>83</v>
      </c>
      <c r="B7" s="5">
        <v>46150.006944444445</v>
      </c>
      <c r="C7" s="5">
        <v>46150.729166666664</v>
      </c>
      <c r="D7" s="6">
        <f>IF(B7="","",(C7-B7)*24*60)</f>
        <v>1039.9999999953434</v>
      </c>
      <c r="E7" s="7">
        <v>25</v>
      </c>
      <c r="F7" s="7">
        <v>11</v>
      </c>
      <c r="G7" s="8">
        <f t="shared" si="6"/>
        <v>-14</v>
      </c>
      <c r="H7" s="7">
        <f>5+7+22+9+8+8</f>
        <v>59</v>
      </c>
      <c r="I7" s="7">
        <f>2+2+3+1+4+1+3+3+4+1+2+3+4+4+3+3+3+2+2+1+3+4+3+1+1+1+1+2+3+2+3+2+2+3+2+2</f>
        <v>86</v>
      </c>
      <c r="J7" s="9">
        <f t="shared" si="0"/>
        <v>0.87403846153789755</v>
      </c>
      <c r="K7" s="28">
        <v>0</v>
      </c>
      <c r="L7" s="28">
        <f>9+3+7+3+2+29+10+2</f>
        <v>65</v>
      </c>
      <c r="M7" s="9">
        <f t="shared" si="7"/>
        <v>0.78749999999904852</v>
      </c>
      <c r="N7" s="7">
        <v>17000</v>
      </c>
      <c r="O7" s="15">
        <f>AVERAGE(14800,15000,15000,15000,15000,15000,15000,15000,15000,15000,15000,15000,15000,15000,15000,15000,15000)</f>
        <v>14988.235294117647</v>
      </c>
      <c r="P7" s="9">
        <f t="shared" si="8"/>
        <v>0.8816608996539792</v>
      </c>
      <c r="Q7" s="15">
        <v>6568</v>
      </c>
      <c r="R7" s="15">
        <v>8</v>
      </c>
      <c r="S7" s="7"/>
      <c r="T7" s="5"/>
      <c r="U7" s="10" t="str">
        <f t="shared" si="1"/>
        <v/>
      </c>
      <c r="V7" s="9">
        <f t="shared" si="2"/>
        <v>0.99878197320341044</v>
      </c>
      <c r="W7" s="11">
        <f t="shared" si="3"/>
        <v>0.76966691813883037</v>
      </c>
      <c r="X7" s="11">
        <f t="shared" si="4"/>
        <v>0.69346227277815975</v>
      </c>
    </row>
    <row r="8" spans="1:24">
      <c r="A8" s="29" t="s">
        <v>68</v>
      </c>
      <c r="B8" s="5">
        <v>46151.34375</v>
      </c>
      <c r="C8" s="5">
        <v>46151.959027777775</v>
      </c>
      <c r="D8" s="6">
        <f t="shared" si="5"/>
        <v>885.99999999627471</v>
      </c>
      <c r="E8" s="7">
        <v>0</v>
      </c>
      <c r="F8" s="7">
        <v>0</v>
      </c>
      <c r="G8" s="8">
        <f t="shared" si="6"/>
        <v>0</v>
      </c>
      <c r="H8" s="7">
        <f>15+21+9+10+5+9+9+5+11+10+20</f>
        <v>124</v>
      </c>
      <c r="I8" s="7">
        <f>1+3+2+2+1+2+2+3+3+2+3+3+2+3+2+2+1+3+2+4+3+1+1+1+1+1+3+3+4+3+2</f>
        <v>69</v>
      </c>
      <c r="J8" s="9">
        <f t="shared" si="0"/>
        <v>0.78216704288847461</v>
      </c>
      <c r="K8" s="28">
        <v>0</v>
      </c>
      <c r="L8" s="28">
        <f>3+3</f>
        <v>6</v>
      </c>
      <c r="M8" s="9">
        <f t="shared" si="7"/>
        <v>0.7753950338591008</v>
      </c>
      <c r="N8" s="7">
        <v>17000</v>
      </c>
      <c r="O8" s="15">
        <f>AVERAGE(18000,16000,15000,15000,15000,15000,15000,15000,14800,14800,14800,14800,14900,15700)</f>
        <v>15271.428571428571</v>
      </c>
      <c r="P8" s="9">
        <f t="shared" si="8"/>
        <v>0.89831932773109235</v>
      </c>
      <c r="Q8" s="15">
        <v>5853</v>
      </c>
      <c r="R8" s="15">
        <v>12</v>
      </c>
      <c r="S8" s="7"/>
      <c r="T8" s="5"/>
      <c r="U8" s="10" t="str">
        <f t="shared" si="1"/>
        <v/>
      </c>
      <c r="V8" s="9">
        <f t="shared" si="2"/>
        <v>0.99794976934905177</v>
      </c>
      <c r="W8" s="11">
        <f t="shared" si="3"/>
        <v>0.70119520674449487</v>
      </c>
      <c r="X8" s="11">
        <f t="shared" si="4"/>
        <v>0.69512425257351429</v>
      </c>
    </row>
    <row r="9" spans="1:24">
      <c r="A9" s="29" t="s">
        <v>26</v>
      </c>
      <c r="B9" s="5">
        <v>46153.350694444445</v>
      </c>
      <c r="C9" s="5">
        <v>46153.979166666664</v>
      </c>
      <c r="D9" s="6">
        <f t="shared" si="5"/>
        <v>904.99999999534339</v>
      </c>
      <c r="E9" s="7">
        <v>0</v>
      </c>
      <c r="F9" s="7">
        <v>0</v>
      </c>
      <c r="G9" s="8">
        <f t="shared" si="6"/>
        <v>0</v>
      </c>
      <c r="H9" s="7">
        <f>15+7+15+6</f>
        <v>43</v>
      </c>
      <c r="I9" s="7">
        <f>4+4+4+3+3+2+3+4+1+3+2+2+1+4+2+2+3+2+1+1+1+2+3+3+2+4+3+3</f>
        <v>72</v>
      </c>
      <c r="J9" s="9">
        <f t="shared" si="0"/>
        <v>0.87292817679492629</v>
      </c>
      <c r="K9" s="28">
        <v>0</v>
      </c>
      <c r="L9" s="28">
        <f>3+5+4+2+2+5+6+3+32</f>
        <v>62</v>
      </c>
      <c r="M9" s="9">
        <f t="shared" si="7"/>
        <v>0.80441988950175614</v>
      </c>
      <c r="N9" s="7">
        <v>17000</v>
      </c>
      <c r="O9" s="15">
        <f>AVERAGE(17000,17000,17000,17000,17000,17000,17000,17000,17000,17000,17000,17000,17000)</f>
        <v>17000</v>
      </c>
      <c r="P9" s="9">
        <f t="shared" si="8"/>
        <v>1</v>
      </c>
      <c r="Q9" s="15">
        <v>6901</v>
      </c>
      <c r="R9" s="15">
        <v>12</v>
      </c>
      <c r="S9" s="7"/>
      <c r="T9" s="5"/>
      <c r="U9" s="10" t="str">
        <f t="shared" si="1"/>
        <v/>
      </c>
      <c r="V9" s="9">
        <f t="shared" si="2"/>
        <v>0.99826112157658309</v>
      </c>
      <c r="W9" s="11">
        <f t="shared" si="3"/>
        <v>0.87141026082310491</v>
      </c>
      <c r="X9" s="11">
        <f t="shared" si="4"/>
        <v>0.80302110111253411</v>
      </c>
    </row>
    <row r="10" spans="1:24">
      <c r="A10" s="29" t="s">
        <v>31</v>
      </c>
      <c r="B10" s="5">
        <v>46154.003472222219</v>
      </c>
      <c r="C10" s="5">
        <v>46155</v>
      </c>
      <c r="D10" s="6">
        <f t="shared" si="5"/>
        <v>1435.0000000046566</v>
      </c>
      <c r="E10" s="7">
        <v>10</v>
      </c>
      <c r="F10" s="7">
        <v>20</v>
      </c>
      <c r="G10" s="8">
        <f t="shared" si="6"/>
        <v>10</v>
      </c>
      <c r="H10" s="7">
        <f>5+60+7+6+22+56+5+5+5+5+5+7+5</f>
        <v>193</v>
      </c>
      <c r="I10" s="7">
        <f>1+2+1+1+1+1+2+2+4+1+4+2+1+4+2+1+2+3+2+1+2+4+2+2+1+2+4+4+4+2+1+4+2+3+3+1+2+4+3+2+4+3+3+4+2+4+2+1+2+3</f>
        <v>118</v>
      </c>
      <c r="J10" s="58">
        <f t="shared" si="0"/>
        <v>0.77630662020978514</v>
      </c>
      <c r="K10" s="28">
        <v>0</v>
      </c>
      <c r="L10" s="28">
        <f>5+5+3+4+2+3+3+4+2+5+3</f>
        <v>39</v>
      </c>
      <c r="M10" s="58">
        <f t="shared" si="7"/>
        <v>0.74216027874648127</v>
      </c>
      <c r="N10" s="7">
        <v>17000</v>
      </c>
      <c r="O10" s="15">
        <f>AVERAGE(17000,17000,15000,14000,14000,17000,17000,17000,17000,17000,15000,15000,15000,17000,15400,,15400,15400,14000,14000,14000)</f>
        <v>14866.666666666666</v>
      </c>
      <c r="P10" s="9">
        <f t="shared" si="8"/>
        <v>0.87450980392156863</v>
      </c>
      <c r="Q10" s="15">
        <v>9074</v>
      </c>
      <c r="R10" s="15">
        <v>5</v>
      </c>
      <c r="S10" s="7"/>
      <c r="T10" s="5"/>
      <c r="U10" s="10" t="str">
        <f t="shared" si="1"/>
        <v/>
      </c>
      <c r="V10" s="9">
        <f t="shared" si="2"/>
        <v>0.99944897509367425</v>
      </c>
      <c r="W10" s="11">
        <f t="shared" si="3"/>
        <v>0.67851366616370268</v>
      </c>
      <c r="X10" s="11">
        <f t="shared" si="4"/>
        <v>0.64866881011174349</v>
      </c>
    </row>
    <row r="11" spans="1:24">
      <c r="A11" s="29" t="s">
        <v>90</v>
      </c>
      <c r="B11" s="5">
        <v>46155.007638888892</v>
      </c>
      <c r="C11" s="5">
        <v>46156</v>
      </c>
      <c r="D11" s="6">
        <f t="shared" si="5"/>
        <v>1428.9999999955762</v>
      </c>
      <c r="E11" s="7">
        <v>10</v>
      </c>
      <c r="F11" s="7">
        <v>74</v>
      </c>
      <c r="G11" s="8">
        <f>IF(E11="","",F11-E11)</f>
        <v>64</v>
      </c>
      <c r="H11" s="7">
        <f>6+48+34+6</f>
        <v>94</v>
      </c>
      <c r="I11" s="7">
        <f>3+2+4+3+2+4+3+2+4+4+3+3+2+4+3+1+2+1+4+2+3+3+2+3+4+3+2+2+2+3+2+3+3+4+2+2+3+2</f>
        <v>104</v>
      </c>
      <c r="J11" s="9">
        <f t="shared" si="0"/>
        <v>0.81665500349838271</v>
      </c>
      <c r="K11" s="28">
        <v>0</v>
      </c>
      <c r="L11" s="28">
        <f>4+4+4+3+2+5+4+3+2+2+3+4+2+2+2+4+9+4+3+4+4+3+3+10</f>
        <v>90</v>
      </c>
      <c r="M11" s="9">
        <f t="shared" si="7"/>
        <v>0.74667599720005551</v>
      </c>
      <c r="N11" s="7">
        <v>17000</v>
      </c>
      <c r="O11" s="15">
        <f>AVERAGE(15000,15000,15000,15000,15000,15000,15000,15000,15000,15000,15000,15000,14500,15000,15000,15000,15000,15000,15000,15000,15000,15000)</f>
        <v>14977.272727272728</v>
      </c>
      <c r="P11" s="9">
        <f t="shared" si="8"/>
        <v>0.88101604278074874</v>
      </c>
      <c r="Q11" s="15">
        <v>8456</v>
      </c>
      <c r="R11" s="15">
        <v>10</v>
      </c>
      <c r="S11" s="7"/>
      <c r="T11" s="5"/>
      <c r="U11" s="10" t="str">
        <f t="shared" si="1"/>
        <v/>
      </c>
      <c r="V11" s="9">
        <f t="shared" si="2"/>
        <v>0.99881740775780514</v>
      </c>
      <c r="W11" s="11">
        <f t="shared" si="3"/>
        <v>0.71863530074865323</v>
      </c>
      <c r="X11" s="11">
        <f t="shared" si="4"/>
        <v>0.65705558346061743</v>
      </c>
    </row>
    <row r="12" spans="1:24">
      <c r="A12" s="29" t="s">
        <v>91</v>
      </c>
      <c r="B12" s="5">
        <v>46156.004166666666</v>
      </c>
      <c r="C12" s="5">
        <v>46157.025694444441</v>
      </c>
      <c r="D12" s="6">
        <f t="shared" si="5"/>
        <v>1470.9999999962747</v>
      </c>
      <c r="E12" s="7">
        <f>10+60+60</f>
        <v>130</v>
      </c>
      <c r="F12" s="7">
        <v>117</v>
      </c>
      <c r="G12" s="8">
        <f t="shared" si="6"/>
        <v>-13</v>
      </c>
      <c r="H12" s="7">
        <f>28+8+5+77+28+7+5+8+5</f>
        <v>171</v>
      </c>
      <c r="I12" s="7">
        <f>1+4+4+6+2+2+1+2+2+2+3+2+3+2+4+1+3+4+4+1+2+3+4+3+2+3+1+2+3+2+1+2+3+4+2+3</f>
        <v>93</v>
      </c>
      <c r="J12" s="9">
        <f t="shared" si="0"/>
        <v>0.8293677770220016</v>
      </c>
      <c r="K12" s="28">
        <v>0</v>
      </c>
      <c r="L12" s="28">
        <f>5+15+7+31+7+2+1+1</f>
        <v>69</v>
      </c>
      <c r="M12" s="9">
        <f t="shared" si="7"/>
        <v>0.69408565601554073</v>
      </c>
      <c r="N12" s="7">
        <v>17000</v>
      </c>
      <c r="O12" s="15">
        <f>AVERAGE(15000,16000,16000,15000,16100,15000,15000,15000,15000,15000,15000,15000,15000,15000,15000,15000,15000,15000)</f>
        <v>15172.222222222223</v>
      </c>
      <c r="P12" s="9">
        <f>IF(B12="","",O12/N12)</f>
        <v>0.892483660130719</v>
      </c>
      <c r="Q12" s="15">
        <v>8672</v>
      </c>
      <c r="R12" s="15">
        <v>15</v>
      </c>
      <c r="S12" s="7"/>
      <c r="T12" s="5"/>
      <c r="U12" s="10" t="str">
        <f t="shared" si="1"/>
        <v/>
      </c>
      <c r="V12" s="9">
        <f t="shared" si="2"/>
        <v>0.99827029520295207</v>
      </c>
      <c r="W12" s="11">
        <f t="shared" si="3"/>
        <v>0.73891686660209965</v>
      </c>
      <c r="X12" s="11">
        <f t="shared" si="4"/>
        <v>0.61838862360679903</v>
      </c>
    </row>
    <row r="13" spans="1:24">
      <c r="A13" s="29" t="s">
        <v>76</v>
      </c>
      <c r="B13" s="5">
        <v>46157.208333333336</v>
      </c>
      <c r="C13" s="5">
        <v>46157.826388888891</v>
      </c>
      <c r="D13" s="6">
        <f t="shared" si="5"/>
        <v>889.99999999883585</v>
      </c>
      <c r="E13" s="7">
        <v>10</v>
      </c>
      <c r="F13" s="7">
        <v>148</v>
      </c>
      <c r="G13" s="8">
        <f>IF(E13="","",F13-E13)</f>
        <v>138</v>
      </c>
      <c r="H13" s="7">
        <f>5+69+5+6+17+5</f>
        <v>107</v>
      </c>
      <c r="I13" s="7">
        <f>1+2+1+4+1+3+3+4+2+1+4+1+4+2+3+2+2+3</f>
        <v>43</v>
      </c>
      <c r="J13" s="9">
        <f t="shared" si="0"/>
        <v>0.67640449438159922</v>
      </c>
      <c r="K13" s="28">
        <v>0</v>
      </c>
      <c r="L13" s="28">
        <f>4+4+2+3+5+6+8+5+5+12+4+3+4+4+5</f>
        <v>74</v>
      </c>
      <c r="M13" s="9">
        <f t="shared" si="7"/>
        <v>0.58202247190956558</v>
      </c>
      <c r="N13" s="7">
        <v>17000</v>
      </c>
      <c r="O13" s="15">
        <f>AVERAGE(16000,16000,16000,14000,15000,15000,15000,15000,15000,15000,15000,15000,15000,15000,15000)</f>
        <v>15133.333333333334</v>
      </c>
      <c r="P13" s="9">
        <f t="shared" si="8"/>
        <v>0.89019607843137261</v>
      </c>
      <c r="Q13" s="15">
        <v>5315</v>
      </c>
      <c r="R13" s="15">
        <v>11</v>
      </c>
      <c r="S13" s="7"/>
      <c r="T13" s="5"/>
      <c r="U13" s="10" t="str">
        <f t="shared" si="1"/>
        <v/>
      </c>
      <c r="V13" s="9">
        <f t="shared" si="2"/>
        <v>0.99793038570084669</v>
      </c>
      <c r="W13" s="11">
        <f t="shared" si="3"/>
        <v>0.60088644603427266</v>
      </c>
      <c r="X13" s="11">
        <f t="shared" si="4"/>
        <v>0.51704182565723522</v>
      </c>
    </row>
    <row r="14" spans="1:24">
      <c r="A14" s="29" t="s">
        <v>26</v>
      </c>
      <c r="B14" s="5">
        <v>46158.345833333333</v>
      </c>
      <c r="C14" s="5">
        <v>46158.881249999999</v>
      </c>
      <c r="D14" s="6">
        <f t="shared" si="5"/>
        <v>770.99999999860302</v>
      </c>
      <c r="E14" s="7">
        <v>0</v>
      </c>
      <c r="F14" s="7">
        <v>0</v>
      </c>
      <c r="G14" s="8">
        <f t="shared" si="6"/>
        <v>0</v>
      </c>
      <c r="H14" s="7">
        <f>9+11+5+5</f>
        <v>30</v>
      </c>
      <c r="I14" s="7">
        <f>4+2+4+4+4+3+4+3+2+1+1+1+1+1+1+2+1+2+1+1+2+4+1+2</f>
        <v>52</v>
      </c>
      <c r="J14" s="9">
        <f t="shared" si="0"/>
        <v>0.89364461737983325</v>
      </c>
      <c r="K14" s="28">
        <v>0</v>
      </c>
      <c r="L14" s="28">
        <f>12+8+1</f>
        <v>21</v>
      </c>
      <c r="M14" s="9">
        <f t="shared" si="7"/>
        <v>0.86640726329418072</v>
      </c>
      <c r="N14" s="7">
        <v>17000</v>
      </c>
      <c r="O14" s="15">
        <f>AVERAGE(16000,16000,16000,16000,16000,16000,16000,16000,16000,16000,17000,17000)</f>
        <v>16166.666666666666</v>
      </c>
      <c r="P14" s="9">
        <f t="shared" si="8"/>
        <v>0.9509803921568627</v>
      </c>
      <c r="Q14" s="15">
        <v>5683</v>
      </c>
      <c r="R14" s="15">
        <v>17</v>
      </c>
      <c r="S14" s="7"/>
      <c r="T14" s="5"/>
      <c r="U14" s="10" t="str">
        <f t="shared" si="1"/>
        <v/>
      </c>
      <c r="V14" s="9">
        <f t="shared" si="2"/>
        <v>0.99700862220658104</v>
      </c>
      <c r="W14" s="11">
        <f t="shared" si="3"/>
        <v>0.84729632064187144</v>
      </c>
      <c r="X14" s="11">
        <f t="shared" si="4"/>
        <v>0.82147161420716119</v>
      </c>
    </row>
    <row r="15" spans="1:24">
      <c r="A15" s="29" t="s">
        <v>60</v>
      </c>
      <c r="B15" s="5">
        <v>46160.104166666664</v>
      </c>
      <c r="C15" s="5">
        <v>46161</v>
      </c>
      <c r="D15" s="6">
        <f t="shared" si="5"/>
        <v>1290.0000000034925</v>
      </c>
      <c r="E15" s="7">
        <v>60</v>
      </c>
      <c r="F15" s="7">
        <v>58</v>
      </c>
      <c r="G15" s="8">
        <f t="shared" si="6"/>
        <v>-2</v>
      </c>
      <c r="H15" s="7">
        <f>5+5+5+6+9+6+6+5</f>
        <v>47</v>
      </c>
      <c r="I15" s="7">
        <f>3+3+2+1+2+1+1+2+2+1+2+4+2+2+3+11+1+2+4+3+4+2+3+4+1+3+3+4</f>
        <v>76</v>
      </c>
      <c r="J15" s="9">
        <f t="shared" si="0"/>
        <v>0.90620155038785088</v>
      </c>
      <c r="K15" s="28">
        <v>0</v>
      </c>
      <c r="L15" s="28">
        <f>1+3+4+8+8+3+2+5+5+2+4+5+3+7+5+4+60</f>
        <v>129</v>
      </c>
      <c r="M15" s="9">
        <f t="shared" si="7"/>
        <v>0.75968992248127076</v>
      </c>
      <c r="N15" s="7">
        <v>17000</v>
      </c>
      <c r="O15" s="15">
        <f>AVERAGE(15000,15000,15000,15000,15000,15000,15000,15000,15000,15200,15200,15200,15000,15200,15200,15200,15200)</f>
        <v>15082.35294117647</v>
      </c>
      <c r="P15" s="9">
        <f t="shared" si="8"/>
        <v>0.88719723183390997</v>
      </c>
      <c r="Q15" s="15">
        <v>8576</v>
      </c>
      <c r="R15" s="7">
        <v>13</v>
      </c>
      <c r="S15" s="7"/>
      <c r="T15" s="5"/>
      <c r="U15" s="10" t="str">
        <f t="shared" si="1"/>
        <v/>
      </c>
      <c r="V15" s="9">
        <f t="shared" si="2"/>
        <v>0.99848414179104472</v>
      </c>
      <c r="W15" s="11">
        <f t="shared" si="3"/>
        <v>0.80276078805219964</v>
      </c>
      <c r="X15" s="11">
        <f t="shared" si="4"/>
        <v>0.67297311573277063</v>
      </c>
    </row>
    <row r="16" spans="1:24">
      <c r="A16" s="29" t="s">
        <v>92</v>
      </c>
      <c r="B16" s="5">
        <v>46161.003472222219</v>
      </c>
      <c r="C16" s="5">
        <v>46162</v>
      </c>
      <c r="D16" s="6">
        <f t="shared" si="5"/>
        <v>1435.0000000046566</v>
      </c>
      <c r="E16" s="7">
        <f>10+10</f>
        <v>20</v>
      </c>
      <c r="F16" s="7">
        <v>67</v>
      </c>
      <c r="G16" s="8">
        <f t="shared" si="6"/>
        <v>47</v>
      </c>
      <c r="H16" s="7">
        <f>9+26+12+6+6+5+10+5+5+5+6+6+11+6+20+5+11+6+6+5+21+6+5+5+13+7+13+5+6+9</f>
        <v>261</v>
      </c>
      <c r="I16" s="7">
        <f>1+1+1+3+2+1+3+4+3+4+3+4+4+3+2+4+2+2+2+2+1+1+2+1+2+1+3+3+2+4+1+4+4+4+4+1+2+4+4+2+2+1+4+3</f>
        <v>111</v>
      </c>
      <c r="J16" s="9">
        <f t="shared" si="0"/>
        <v>0.70801393728317752</v>
      </c>
      <c r="K16" s="28">
        <v>0</v>
      </c>
      <c r="L16" s="28">
        <f>5+3+3+3+6+5+6+2+13</f>
        <v>46</v>
      </c>
      <c r="M16" s="9">
        <f t="shared" si="7"/>
        <v>0.66202090592444174</v>
      </c>
      <c r="N16" s="7">
        <v>17000</v>
      </c>
      <c r="O16" s="15">
        <f>AVERAGE(14000,14000,14000,14000,15000,15000,15000,15000,15000,15000,15000,15000,15000,15000,15000,15000,15000,15000,15000,15000,15000,15000,15000)</f>
        <v>14826.08695652174</v>
      </c>
      <c r="P16" s="9">
        <f t="shared" si="8"/>
        <v>0.87212276214833762</v>
      </c>
      <c r="Q16" s="7">
        <v>6752</v>
      </c>
      <c r="R16" s="7">
        <v>25</v>
      </c>
      <c r="S16" s="7"/>
      <c r="T16" s="5"/>
      <c r="U16" s="10" t="str">
        <f t="shared" si="1"/>
        <v/>
      </c>
      <c r="V16" s="9">
        <f t="shared" si="2"/>
        <v>0.99629739336492895</v>
      </c>
      <c r="W16" s="11">
        <f t="shared" si="3"/>
        <v>0.61518880332944526</v>
      </c>
      <c r="X16" s="11">
        <f t="shared" si="4"/>
        <v>0.57522575114484165</v>
      </c>
    </row>
    <row r="17" spans="1:24">
      <c r="A17" s="29" t="s">
        <v>61</v>
      </c>
      <c r="B17" s="5">
        <v>46162.024305555555</v>
      </c>
      <c r="C17" s="5">
        <v>46163</v>
      </c>
      <c r="D17" s="6">
        <f t="shared" si="5"/>
        <v>1405.0000000011642</v>
      </c>
      <c r="E17" s="7">
        <v>10</v>
      </c>
      <c r="F17" s="7">
        <v>58</v>
      </c>
      <c r="G17" s="8">
        <f>IF(E17="","",F17-E17)</f>
        <v>48</v>
      </c>
      <c r="H17" s="7">
        <f>10+33+5+5</f>
        <v>53</v>
      </c>
      <c r="I17" s="7">
        <f>3+2+4+3+1+2+2+2+2+2+2+2+1+1+1+3+2+2+2+2+1+1+3+4+3+3+4+2+4+2+1+4+2+1+1+4</f>
        <v>81</v>
      </c>
      <c r="J17" s="9">
        <f t="shared" si="0"/>
        <v>0.87046263345206465</v>
      </c>
      <c r="K17" s="28">
        <v>0</v>
      </c>
      <c r="L17" s="28">
        <f>2+4+6+4+4+3+60+33+4+6+3+2+3+6+2</f>
        <v>142</v>
      </c>
      <c r="M17" s="9">
        <f t="shared" si="7"/>
        <v>0.76227758007137136</v>
      </c>
      <c r="N17" s="7">
        <v>17000</v>
      </c>
      <c r="O17" s="15">
        <f>AVERAGE(15000,15000,15000,15000,15000,15000,15000,15000,15000,15000,15000,15000,14000,14000,14000,14000,14000,14000,14000,14800,14800,14800)</f>
        <v>14654.545454545454</v>
      </c>
      <c r="P17" s="9">
        <f t="shared" si="8"/>
        <v>0.86203208556149735</v>
      </c>
      <c r="Q17" s="7">
        <v>9082</v>
      </c>
      <c r="R17" s="7">
        <v>18</v>
      </c>
      <c r="S17" s="7"/>
      <c r="T17" s="5"/>
      <c r="U17" s="10" t="str">
        <f t="shared" si="1"/>
        <v/>
      </c>
      <c r="V17" s="9">
        <f t="shared" si="2"/>
        <v>0.99801805769654262</v>
      </c>
      <c r="W17" s="11">
        <f t="shared" si="3"/>
        <v>0.74887953577391353</v>
      </c>
      <c r="X17" s="11">
        <f t="shared" si="4"/>
        <v>0.65580538251346665</v>
      </c>
    </row>
    <row r="18" spans="1:24">
      <c r="A18" s="29" t="s">
        <v>93</v>
      </c>
      <c r="B18" s="5">
        <v>46163.006944444445</v>
      </c>
      <c r="C18" s="5">
        <v>46164</v>
      </c>
      <c r="D18" s="6">
        <f t="shared" si="5"/>
        <v>1429.9999999988358</v>
      </c>
      <c r="E18" s="7">
        <f>10+60</f>
        <v>70</v>
      </c>
      <c r="F18" s="7">
        <v>90</v>
      </c>
      <c r="G18" s="8">
        <f t="shared" si="6"/>
        <v>20</v>
      </c>
      <c r="H18" s="7">
        <f>20+5+16+8+18+30</f>
        <v>97</v>
      </c>
      <c r="I18" s="7">
        <f>1+2+2+4+1+2+2+1+3+2+2+1+2+1+1+2+1+1+2+2+3+1+1+4+3+2+2+1+3+3+2+3+3+2+3+3+3+3+2+3+2</f>
        <v>87</v>
      </c>
      <c r="J18" s="9">
        <f t="shared" si="0"/>
        <v>0.85734265734254123</v>
      </c>
      <c r="K18" s="28">
        <v>0</v>
      </c>
      <c r="L18" s="28">
        <f>2+2+2+5+10+3+2+2+3+12+4+6+2+4+4+65+15+5+10+2+2</f>
        <v>162</v>
      </c>
      <c r="M18" s="9">
        <f t="shared" si="7"/>
        <v>0.6951048951046469</v>
      </c>
      <c r="N18" s="7">
        <v>17000</v>
      </c>
      <c r="O18" s="15">
        <f>AVERAGE(15000,15000,16000,17000,17000,17000,15100,15100,15100,15100,15100,15100,15100,15100,15000,15000,15000)</f>
        <v>15458.823529411764</v>
      </c>
      <c r="P18" s="9">
        <f t="shared" si="8"/>
        <v>0.90934256055363316</v>
      </c>
      <c r="Q18" s="7">
        <v>7730</v>
      </c>
      <c r="R18" s="7">
        <v>13</v>
      </c>
      <c r="S18" s="7"/>
      <c r="T18" s="5"/>
      <c r="U18" s="10" t="str">
        <f t="shared" si="1"/>
        <v/>
      </c>
      <c r="V18" s="9">
        <f t="shared" si="2"/>
        <v>0.99831824062095731</v>
      </c>
      <c r="W18" s="11">
        <f t="shared" si="3"/>
        <v>0.7783070371347941</v>
      </c>
      <c r="X18" s="11">
        <f t="shared" si="4"/>
        <v>0.63102544446314346</v>
      </c>
    </row>
    <row r="19" spans="1:24">
      <c r="A19" s="29" t="s">
        <v>94</v>
      </c>
      <c r="B19" s="5">
        <v>46164.015277777777</v>
      </c>
      <c r="C19" s="5">
        <v>46164.827777777777</v>
      </c>
      <c r="D19" s="6">
        <f t="shared" si="5"/>
        <v>1170</v>
      </c>
      <c r="E19" s="7">
        <f>60+60</f>
        <v>120</v>
      </c>
      <c r="F19" s="7">
        <v>177</v>
      </c>
      <c r="G19" s="8">
        <f>IF(E19="","",F19-E19)</f>
        <v>57</v>
      </c>
      <c r="H19" s="7">
        <f>17+10+6+37+7+7+9+5+7+6+7+15+5</f>
        <v>138</v>
      </c>
      <c r="I19" s="7">
        <f>2+2+2+3+2+1+1+1+2+3+2+3+4+3+1+3+2+2+1+2+4+2+1+2+4+2+4+3+2+3+2+2+3+2+2+4</f>
        <v>84</v>
      </c>
      <c r="J19" s="9">
        <f t="shared" si="0"/>
        <v>0.7615384615384615</v>
      </c>
      <c r="K19" s="28">
        <v>0</v>
      </c>
      <c r="L19" s="28">
        <f>5+16+15+10+9+4+5+6</f>
        <v>70</v>
      </c>
      <c r="M19" s="9">
        <f t="shared" si="7"/>
        <v>0.59914529914529913</v>
      </c>
      <c r="N19" s="7">
        <v>17000</v>
      </c>
      <c r="O19" s="15">
        <f>AVERAGE(15000,15000,15000,15000,15000,15000,15000,15000,15000,15000,15000,15000,15000,15000,15000,15000)</f>
        <v>15000</v>
      </c>
      <c r="P19" s="9">
        <f t="shared" si="8"/>
        <v>0.88235294117647056</v>
      </c>
      <c r="Q19" s="15">
        <v>5235</v>
      </c>
      <c r="R19" s="7">
        <v>9</v>
      </c>
      <c r="S19" s="7"/>
      <c r="T19" s="5"/>
      <c r="U19" s="10" t="str">
        <f t="shared" si="1"/>
        <v/>
      </c>
      <c r="V19" s="9">
        <f t="shared" si="2"/>
        <v>0.99828080229226357</v>
      </c>
      <c r="W19" s="11">
        <f t="shared" si="3"/>
        <v>0.67079049384796896</v>
      </c>
      <c r="X19" s="11">
        <f t="shared" si="4"/>
        <v>0.52774874992977128</v>
      </c>
    </row>
    <row r="20" spans="1:24">
      <c r="A20" s="29" t="s">
        <v>26</v>
      </c>
      <c r="B20" s="5">
        <v>46168.53125</v>
      </c>
      <c r="C20" s="5">
        <v>46169</v>
      </c>
      <c r="D20" s="6">
        <f t="shared" si="5"/>
        <v>675</v>
      </c>
      <c r="E20" s="7">
        <v>0</v>
      </c>
      <c r="F20" s="7">
        <v>0</v>
      </c>
      <c r="G20" s="8">
        <f>IF(E20="","",F20-E20)</f>
        <v>0</v>
      </c>
      <c r="H20" s="7">
        <f>28+17</f>
        <v>45</v>
      </c>
      <c r="I20" s="7">
        <f>1+2+3+2+2+2+2+1+1+3+1+2+2+3+2+3+1+1+1+3+2+4+3+4</f>
        <v>51</v>
      </c>
      <c r="J20" s="9">
        <f t="shared" si="0"/>
        <v>0.85777777777777775</v>
      </c>
      <c r="K20" s="28">
        <v>0</v>
      </c>
      <c r="L20" s="28">
        <f>4+3</f>
        <v>7</v>
      </c>
      <c r="M20" s="9">
        <f t="shared" si="7"/>
        <v>0.84740740740740739</v>
      </c>
      <c r="N20" s="7">
        <v>17000</v>
      </c>
      <c r="O20" s="30">
        <f>AVERAGE(15000,15000,15000,15000,15000,15000,15000,15000,15000,15000)</f>
        <v>15000</v>
      </c>
      <c r="P20" s="9">
        <f t="shared" si="8"/>
        <v>0.88235294117647056</v>
      </c>
      <c r="Q20" s="15">
        <v>4705</v>
      </c>
      <c r="R20" s="7">
        <v>8</v>
      </c>
      <c r="S20" s="7"/>
      <c r="T20" s="5"/>
      <c r="U20" s="10" t="str">
        <f t="shared" si="1"/>
        <v/>
      </c>
      <c r="V20" s="9">
        <f t="shared" si="2"/>
        <v>0.99829968119022316</v>
      </c>
      <c r="W20" s="11">
        <f t="shared" si="3"/>
        <v>0.75557583713612964</v>
      </c>
      <c r="X20" s="11">
        <f t="shared" si="4"/>
        <v>0.74644106881151318</v>
      </c>
    </row>
    <row r="21" spans="1:24">
      <c r="A21" s="29" t="s">
        <v>95</v>
      </c>
      <c r="B21" s="5">
        <v>46169.005555555559</v>
      </c>
      <c r="C21" s="5">
        <v>46170</v>
      </c>
      <c r="D21" s="6">
        <f t="shared" si="5"/>
        <v>1431.9999999948777</v>
      </c>
      <c r="E21" s="7">
        <v>45</v>
      </c>
      <c r="F21" s="7">
        <v>31</v>
      </c>
      <c r="G21" s="8">
        <f t="shared" si="6"/>
        <v>-14</v>
      </c>
      <c r="H21" s="7">
        <f>5+16+16+10+8+52+60+60+8+15+18+20+28+15+27+10+12+8+23+5+20</f>
        <v>436</v>
      </c>
      <c r="I21" s="7">
        <f>2+2+1+2+2+2+2+1+4+1+2+3+1+2+2+1+1+1+2+2+2</f>
        <v>38</v>
      </c>
      <c r="J21" s="9">
        <f t="shared" si="0"/>
        <v>0.67877094971952134</v>
      </c>
      <c r="K21" s="28">
        <v>0</v>
      </c>
      <c r="L21" s="28">
        <f>4+4+2+2+3+3+4+7+2+4</f>
        <v>35</v>
      </c>
      <c r="M21" s="9">
        <f t="shared" si="7"/>
        <v>0.62290502793161207</v>
      </c>
      <c r="N21" s="7">
        <v>17000</v>
      </c>
      <c r="O21" s="15">
        <f>AVERAGE(15000,15000,15000,15000,15000,12000,11000,10000,10000,10000,10000,11000,13000,13500,13800,13800,13800,13500)</f>
        <v>12800</v>
      </c>
      <c r="P21" s="9">
        <f t="shared" si="8"/>
        <v>0.75294117647058822</v>
      </c>
      <c r="Q21" s="7">
        <v>6557</v>
      </c>
      <c r="R21" s="15">
        <v>23</v>
      </c>
      <c r="S21" s="7"/>
      <c r="T21" s="5"/>
      <c r="U21" s="10" t="str">
        <f t="shared" si="1"/>
        <v/>
      </c>
      <c r="V21" s="9">
        <f t="shared" si="2"/>
        <v>0.99649229830715269</v>
      </c>
      <c r="W21" s="11">
        <f t="shared" si="3"/>
        <v>0.50928190020527775</v>
      </c>
      <c r="X21" s="11">
        <f t="shared" si="4"/>
        <v>0.46736569442684478</v>
      </c>
    </row>
    <row r="22" spans="1:24">
      <c r="A22" s="29" t="s">
        <v>28</v>
      </c>
      <c r="B22" s="5">
        <v>46170.003472222219</v>
      </c>
      <c r="C22" s="5">
        <v>46170.168055555558</v>
      </c>
      <c r="D22" s="6">
        <f t="shared" si="5"/>
        <v>237.00000000768341</v>
      </c>
      <c r="E22" s="7">
        <v>0</v>
      </c>
      <c r="F22" s="7">
        <v>0</v>
      </c>
      <c r="G22" s="8">
        <f t="shared" si="6"/>
        <v>0</v>
      </c>
      <c r="H22" s="7">
        <f>33+6+10+5</f>
        <v>54</v>
      </c>
      <c r="I22" s="7">
        <v>0</v>
      </c>
      <c r="J22" s="9">
        <f t="shared" si="0"/>
        <v>0.77215189874156398</v>
      </c>
      <c r="K22" s="28">
        <v>0</v>
      </c>
      <c r="L22" s="28">
        <v>0</v>
      </c>
      <c r="M22" s="9">
        <f t="shared" si="7"/>
        <v>0.77215189874156398</v>
      </c>
      <c r="N22" s="7">
        <v>17000</v>
      </c>
      <c r="O22" s="30">
        <f>AVERAGE(13500,13500,13500,13500)</f>
        <v>13500</v>
      </c>
      <c r="P22" s="9">
        <f t="shared" si="8"/>
        <v>0.79411764705882348</v>
      </c>
      <c r="Q22" s="15">
        <v>1489</v>
      </c>
      <c r="R22" s="7">
        <v>6</v>
      </c>
      <c r="S22" s="7"/>
      <c r="T22" s="5"/>
      <c r="U22" s="10" t="str">
        <f t="shared" si="1"/>
        <v/>
      </c>
      <c r="V22" s="9">
        <f t="shared" si="2"/>
        <v>0.99597044996642037</v>
      </c>
      <c r="W22" s="11">
        <f t="shared" si="3"/>
        <v>0.61070861173134272</v>
      </c>
      <c r="X22" s="11">
        <f t="shared" si="4"/>
        <v>0.61070861173134272</v>
      </c>
    </row>
    <row r="23" spans="1:24">
      <c r="A23" s="29"/>
      <c r="B23" s="5"/>
      <c r="C23" s="5"/>
      <c r="D23" s="6" t="str">
        <f t="shared" si="5"/>
        <v/>
      </c>
      <c r="E23" s="7"/>
      <c r="F23" s="7"/>
      <c r="G23" s="8" t="str">
        <f t="shared" si="6"/>
        <v/>
      </c>
      <c r="H23" s="7"/>
      <c r="I23" s="7"/>
      <c r="J23" s="9" t="str">
        <f t="shared" si="0"/>
        <v/>
      </c>
      <c r="K23" s="28"/>
      <c r="L23" s="28"/>
      <c r="M23" s="9" t="str">
        <f t="shared" si="7"/>
        <v/>
      </c>
      <c r="N23" s="7"/>
      <c r="O23" s="15"/>
      <c r="P23" s="9" t="str">
        <f t="shared" si="8"/>
        <v/>
      </c>
      <c r="Q23" s="15"/>
      <c r="R23" s="7"/>
      <c r="S23" s="7"/>
      <c r="T23" s="5"/>
      <c r="U23" s="10" t="str">
        <f t="shared" si="1"/>
        <v/>
      </c>
      <c r="V23" s="9" t="str">
        <f t="shared" si="2"/>
        <v/>
      </c>
      <c r="W23" s="11" t="str">
        <f t="shared" si="3"/>
        <v/>
      </c>
      <c r="X23" s="11" t="str">
        <f t="shared" si="4"/>
        <v/>
      </c>
    </row>
    <row r="24" spans="1:24">
      <c r="A24" s="29"/>
      <c r="B24" s="5"/>
      <c r="C24" s="5"/>
      <c r="D24" s="6" t="str">
        <f t="shared" si="5"/>
        <v/>
      </c>
      <c r="E24" s="7"/>
      <c r="F24" s="7"/>
      <c r="G24" s="8" t="str">
        <f t="shared" si="6"/>
        <v/>
      </c>
      <c r="H24" s="7"/>
      <c r="I24" s="7"/>
      <c r="J24" s="9" t="str">
        <f t="shared" si="0"/>
        <v/>
      </c>
      <c r="K24" s="28"/>
      <c r="L24" s="28"/>
      <c r="M24" s="9" t="str">
        <f t="shared" si="7"/>
        <v/>
      </c>
      <c r="N24" s="7"/>
      <c r="O24" s="15"/>
      <c r="P24" s="9" t="str">
        <f t="shared" si="8"/>
        <v/>
      </c>
      <c r="Q24" s="7"/>
      <c r="R24" s="7"/>
      <c r="S24" s="7"/>
      <c r="T24" s="5"/>
      <c r="U24" s="10" t="str">
        <f t="shared" si="1"/>
        <v/>
      </c>
      <c r="V24" s="9" t="str">
        <f t="shared" si="2"/>
        <v/>
      </c>
      <c r="W24" s="11" t="str">
        <f t="shared" si="3"/>
        <v/>
      </c>
      <c r="X24" s="11" t="str">
        <f t="shared" si="4"/>
        <v/>
      </c>
    </row>
    <row r="25" spans="1:24">
      <c r="A25" s="29"/>
      <c r="B25" s="5"/>
      <c r="C25" s="5"/>
      <c r="D25" s="6" t="str">
        <f t="shared" si="5"/>
        <v/>
      </c>
      <c r="E25" s="7"/>
      <c r="F25" s="7"/>
      <c r="G25" s="8" t="str">
        <f t="shared" si="6"/>
        <v/>
      </c>
      <c r="H25" s="7"/>
      <c r="I25" s="7"/>
      <c r="J25" s="9" t="str">
        <f t="shared" si="0"/>
        <v/>
      </c>
      <c r="K25" s="28"/>
      <c r="L25" s="28"/>
      <c r="M25" s="9" t="str">
        <f t="shared" si="7"/>
        <v/>
      </c>
      <c r="N25" s="7"/>
      <c r="O25" s="15"/>
      <c r="P25" s="9" t="str">
        <f t="shared" si="8"/>
        <v/>
      </c>
      <c r="Q25" s="7"/>
      <c r="R25" s="7"/>
      <c r="S25" s="7"/>
      <c r="T25" s="5"/>
      <c r="U25" s="10" t="str">
        <f t="shared" si="1"/>
        <v/>
      </c>
      <c r="V25" s="9" t="str">
        <f t="shared" si="2"/>
        <v/>
      </c>
      <c r="W25" s="11" t="str">
        <f t="shared" si="3"/>
        <v/>
      </c>
      <c r="X25" s="11" t="str">
        <f t="shared" si="4"/>
        <v/>
      </c>
    </row>
    <row r="26" spans="1:24">
      <c r="A26" s="29"/>
      <c r="B26" s="5"/>
      <c r="C26" s="5"/>
      <c r="D26" s="6" t="str">
        <f t="shared" si="5"/>
        <v/>
      </c>
      <c r="E26" s="7"/>
      <c r="F26" s="7"/>
      <c r="G26" s="8" t="str">
        <f t="shared" si="6"/>
        <v/>
      </c>
      <c r="H26" s="7"/>
      <c r="I26" s="7"/>
      <c r="J26" s="9" t="str">
        <f t="shared" si="0"/>
        <v/>
      </c>
      <c r="K26" s="28"/>
      <c r="L26" s="28"/>
      <c r="M26" s="9" t="str">
        <f t="shared" si="7"/>
        <v/>
      </c>
      <c r="N26" s="7"/>
      <c r="O26" s="15"/>
      <c r="P26" s="9" t="str">
        <f t="shared" si="8"/>
        <v/>
      </c>
      <c r="Q26" s="7"/>
      <c r="R26" s="7"/>
      <c r="S26" s="7"/>
      <c r="T26" s="5"/>
      <c r="U26" s="10" t="str">
        <f t="shared" si="1"/>
        <v/>
      </c>
      <c r="V26" s="9" t="str">
        <f t="shared" si="2"/>
        <v/>
      </c>
      <c r="W26" s="11" t="str">
        <f t="shared" si="3"/>
        <v/>
      </c>
      <c r="X26" s="11" t="str">
        <f t="shared" si="4"/>
        <v/>
      </c>
    </row>
    <row r="27" spans="1:24">
      <c r="A27" s="29"/>
      <c r="B27" s="5"/>
      <c r="C27" s="5"/>
      <c r="D27" s="6" t="str">
        <f t="shared" si="5"/>
        <v/>
      </c>
      <c r="E27" s="7"/>
      <c r="F27" s="7"/>
      <c r="G27" s="8" t="str">
        <f t="shared" si="6"/>
        <v/>
      </c>
      <c r="H27" s="7"/>
      <c r="I27" s="7"/>
      <c r="J27" s="9" t="str">
        <f t="shared" si="0"/>
        <v/>
      </c>
      <c r="K27" s="28"/>
      <c r="L27" s="28"/>
      <c r="M27" s="9" t="str">
        <f t="shared" si="7"/>
        <v/>
      </c>
      <c r="N27" s="7"/>
      <c r="O27" s="15"/>
      <c r="P27" s="9" t="str">
        <f t="shared" si="8"/>
        <v/>
      </c>
      <c r="Q27" s="7"/>
      <c r="R27" s="7"/>
      <c r="S27" s="7"/>
      <c r="T27" s="5"/>
      <c r="U27" s="10" t="str">
        <f t="shared" si="1"/>
        <v/>
      </c>
      <c r="V27" s="9" t="str">
        <f t="shared" si="2"/>
        <v/>
      </c>
      <c r="W27" s="11" t="str">
        <f t="shared" si="3"/>
        <v/>
      </c>
      <c r="X27" s="11" t="str">
        <f t="shared" si="4"/>
        <v/>
      </c>
    </row>
    <row r="28" spans="1:24">
      <c r="A28" s="27"/>
      <c r="B28" s="5"/>
      <c r="C28" s="5"/>
      <c r="D28" s="6"/>
      <c r="E28" s="7"/>
      <c r="F28" s="7"/>
      <c r="G28" s="8"/>
      <c r="H28" s="7"/>
      <c r="I28" s="7"/>
      <c r="J28" s="9"/>
      <c r="K28" s="28"/>
      <c r="L28" s="28"/>
      <c r="M28" s="9"/>
      <c r="N28" s="7"/>
      <c r="O28" s="15"/>
      <c r="P28" s="9"/>
      <c r="Q28" s="7"/>
      <c r="R28" s="7"/>
      <c r="S28" s="7"/>
      <c r="T28" s="5"/>
      <c r="U28" s="10"/>
      <c r="V28" s="9"/>
      <c r="W28" s="11"/>
      <c r="X28" s="11"/>
    </row>
    <row r="29" spans="1:24">
      <c r="A29" s="29"/>
      <c r="B29" s="5"/>
      <c r="C29" s="5"/>
      <c r="D29" s="6"/>
      <c r="E29" s="7"/>
      <c r="F29" s="7"/>
      <c r="G29" s="8"/>
      <c r="H29" s="7"/>
      <c r="I29" s="7"/>
      <c r="J29" s="9"/>
      <c r="K29" s="28"/>
      <c r="L29" s="28"/>
      <c r="M29" s="9"/>
      <c r="N29" s="7"/>
      <c r="O29" s="15"/>
      <c r="P29" s="9"/>
      <c r="Q29" s="7"/>
      <c r="R29" s="7"/>
      <c r="S29" s="7"/>
      <c r="T29" s="5"/>
      <c r="U29" s="10"/>
      <c r="V29" s="9"/>
      <c r="W29" s="11"/>
      <c r="X29" s="11"/>
    </row>
    <row r="30" spans="1:24">
      <c r="A30" s="29"/>
      <c r="B30" s="5"/>
      <c r="C30" s="5"/>
      <c r="D30" s="6" t="str">
        <f t="shared" si="5"/>
        <v/>
      </c>
      <c r="E30" s="7"/>
      <c r="F30" s="7"/>
      <c r="G30" s="8" t="str">
        <f t="shared" si="6"/>
        <v/>
      </c>
      <c r="H30" s="7"/>
      <c r="I30" s="7"/>
      <c r="J30" s="9" t="str">
        <f t="shared" ref="J30:J37" si="9">IF(B30="","",(D30-G30-H30-I30)/D30)</f>
        <v/>
      </c>
      <c r="K30" s="28"/>
      <c r="L30" s="28"/>
      <c r="M30" s="9" t="str">
        <f t="shared" ref="M30:M37" si="10">IF(B30="","",(D30-G30-H30-I30-K30-L30-E30)/D30)</f>
        <v/>
      </c>
      <c r="N30" s="7"/>
      <c r="O30" s="15"/>
      <c r="P30" s="9" t="str">
        <f t="shared" ref="P30:P37" si="11">IF(B30="","",O30/N30)</f>
        <v/>
      </c>
      <c r="Q30" s="15"/>
      <c r="R30" s="7"/>
      <c r="S30" s="7"/>
      <c r="T30" s="5"/>
      <c r="U30" s="10" t="str">
        <f t="shared" ref="U30:U37" si="12">IF(S30="","",(T30-C30))</f>
        <v/>
      </c>
      <c r="V30" s="9" t="str">
        <f t="shared" ref="V30:V37" si="13">IF(B30="","",IF(U30&lt;3,(Q30-R30)/Q30,(Q30-R30-S30)/Q30))</f>
        <v/>
      </c>
      <c r="W30" s="11" t="str">
        <f t="shared" ref="W30:W37" si="14">IF(B30="","",V30*P30*J30)</f>
        <v/>
      </c>
      <c r="X30" s="11" t="str">
        <f t="shared" ref="X30:X37" si="15">IF(B30="","",V30*P30*M30)</f>
        <v/>
      </c>
    </row>
    <row r="31" spans="1:24">
      <c r="A31" s="29"/>
      <c r="B31" s="5"/>
      <c r="C31" s="5"/>
      <c r="D31" s="6" t="str">
        <f t="shared" si="5"/>
        <v/>
      </c>
      <c r="E31" s="7"/>
      <c r="F31" s="7"/>
      <c r="G31" s="8" t="str">
        <f t="shared" si="6"/>
        <v/>
      </c>
      <c r="H31" s="7"/>
      <c r="I31" s="7"/>
      <c r="J31" s="9" t="str">
        <f t="shared" si="9"/>
        <v/>
      </c>
      <c r="K31" s="28"/>
      <c r="L31" s="28"/>
      <c r="M31" s="9" t="str">
        <f t="shared" si="10"/>
        <v/>
      </c>
      <c r="N31" s="7"/>
      <c r="O31" s="15"/>
      <c r="P31" s="9" t="str">
        <f t="shared" si="11"/>
        <v/>
      </c>
      <c r="Q31" s="15"/>
      <c r="R31" s="15"/>
      <c r="S31" s="7"/>
      <c r="T31" s="5"/>
      <c r="U31" s="10" t="str">
        <f t="shared" si="12"/>
        <v/>
      </c>
      <c r="V31" s="9" t="str">
        <f t="shared" si="13"/>
        <v/>
      </c>
      <c r="W31" s="11" t="str">
        <f t="shared" si="14"/>
        <v/>
      </c>
      <c r="X31" s="11" t="str">
        <f t="shared" si="15"/>
        <v/>
      </c>
    </row>
    <row r="32" spans="1:24" hidden="1">
      <c r="A32" s="29"/>
      <c r="B32" s="5"/>
      <c r="C32" s="5"/>
      <c r="D32" s="6" t="str">
        <f t="shared" si="5"/>
        <v/>
      </c>
      <c r="E32" s="7"/>
      <c r="F32" s="7"/>
      <c r="G32" s="8" t="str">
        <f t="shared" si="6"/>
        <v/>
      </c>
      <c r="H32" s="7"/>
      <c r="I32" s="7"/>
      <c r="J32" s="9" t="str">
        <f t="shared" si="9"/>
        <v/>
      </c>
      <c r="K32" s="28"/>
      <c r="L32" s="28"/>
      <c r="M32" s="9" t="str">
        <f t="shared" si="10"/>
        <v/>
      </c>
      <c r="N32" s="7"/>
      <c r="O32" s="15"/>
      <c r="P32" s="9" t="str">
        <f t="shared" si="11"/>
        <v/>
      </c>
      <c r="Q32" s="15"/>
      <c r="R32" s="7"/>
      <c r="S32" s="7"/>
      <c r="T32" s="5"/>
      <c r="U32" s="10" t="str">
        <f t="shared" si="12"/>
        <v/>
      </c>
      <c r="V32" s="9" t="str">
        <f t="shared" si="13"/>
        <v/>
      </c>
      <c r="W32" s="11" t="str">
        <f t="shared" si="14"/>
        <v/>
      </c>
      <c r="X32" s="11" t="str">
        <f t="shared" si="15"/>
        <v/>
      </c>
    </row>
    <row r="33" spans="1:24" hidden="1">
      <c r="A33" s="29"/>
      <c r="B33" s="5"/>
      <c r="C33" s="5"/>
      <c r="D33" s="6" t="str">
        <f t="shared" si="5"/>
        <v/>
      </c>
      <c r="E33" s="7"/>
      <c r="F33" s="7"/>
      <c r="G33" s="8" t="str">
        <f t="shared" si="6"/>
        <v/>
      </c>
      <c r="H33" s="7"/>
      <c r="I33" s="7"/>
      <c r="J33" s="9" t="str">
        <f t="shared" si="9"/>
        <v/>
      </c>
      <c r="K33" s="28"/>
      <c r="L33" s="28"/>
      <c r="M33" s="9" t="str">
        <f t="shared" si="10"/>
        <v/>
      </c>
      <c r="N33" s="7"/>
      <c r="O33" s="15"/>
      <c r="P33" s="9" t="str">
        <f t="shared" si="11"/>
        <v/>
      </c>
      <c r="Q33" s="15"/>
      <c r="R33" s="7"/>
      <c r="S33" s="7"/>
      <c r="T33" s="5"/>
      <c r="U33" s="10" t="str">
        <f t="shared" si="12"/>
        <v/>
      </c>
      <c r="V33" s="9" t="str">
        <f t="shared" si="13"/>
        <v/>
      </c>
      <c r="W33" s="11" t="str">
        <f t="shared" si="14"/>
        <v/>
      </c>
      <c r="X33" s="11" t="str">
        <f t="shared" si="15"/>
        <v/>
      </c>
    </row>
    <row r="34" spans="1:24" hidden="1">
      <c r="A34" s="29"/>
      <c r="B34" s="5"/>
      <c r="C34" s="5"/>
      <c r="D34" s="6" t="str">
        <f t="shared" si="5"/>
        <v/>
      </c>
      <c r="E34" s="7"/>
      <c r="F34" s="7"/>
      <c r="G34" s="8" t="str">
        <f t="shared" si="6"/>
        <v/>
      </c>
      <c r="H34" s="7"/>
      <c r="I34" s="7"/>
      <c r="J34" s="9" t="str">
        <f t="shared" si="9"/>
        <v/>
      </c>
      <c r="K34" s="28"/>
      <c r="L34" s="28"/>
      <c r="M34" s="9" t="str">
        <f t="shared" si="10"/>
        <v/>
      </c>
      <c r="N34" s="7"/>
      <c r="O34" s="15"/>
      <c r="P34" s="9" t="str">
        <f t="shared" si="11"/>
        <v/>
      </c>
      <c r="Q34" s="15"/>
      <c r="R34" s="7"/>
      <c r="S34" s="7"/>
      <c r="T34" s="5"/>
      <c r="U34" s="10" t="str">
        <f t="shared" si="12"/>
        <v/>
      </c>
      <c r="V34" s="9" t="str">
        <f t="shared" si="13"/>
        <v/>
      </c>
      <c r="W34" s="11" t="str">
        <f t="shared" si="14"/>
        <v/>
      </c>
      <c r="X34" s="11" t="str">
        <f t="shared" si="15"/>
        <v/>
      </c>
    </row>
    <row r="35" spans="1:24" hidden="1">
      <c r="A35" s="29"/>
      <c r="B35" s="5"/>
      <c r="C35" s="5"/>
      <c r="D35" s="6" t="str">
        <f t="shared" si="5"/>
        <v/>
      </c>
      <c r="E35" s="7"/>
      <c r="F35" s="7"/>
      <c r="G35" s="8" t="str">
        <f t="shared" si="6"/>
        <v/>
      </c>
      <c r="H35" s="7"/>
      <c r="I35" s="7"/>
      <c r="J35" s="9" t="str">
        <f t="shared" si="9"/>
        <v/>
      </c>
      <c r="K35" s="28"/>
      <c r="L35" s="28"/>
      <c r="M35" s="9" t="str">
        <f t="shared" si="10"/>
        <v/>
      </c>
      <c r="N35" s="7"/>
      <c r="O35" s="15"/>
      <c r="P35" s="9" t="str">
        <f t="shared" si="11"/>
        <v/>
      </c>
      <c r="Q35" s="15"/>
      <c r="R35" s="7"/>
      <c r="S35" s="7"/>
      <c r="T35" s="5"/>
      <c r="U35" s="10" t="str">
        <f t="shared" si="12"/>
        <v/>
      </c>
      <c r="V35" s="9" t="str">
        <f t="shared" si="13"/>
        <v/>
      </c>
      <c r="W35" s="11" t="str">
        <f t="shared" si="14"/>
        <v/>
      </c>
      <c r="X35" s="11" t="str">
        <f t="shared" si="15"/>
        <v/>
      </c>
    </row>
    <row r="36" spans="1:24" hidden="1">
      <c r="A36" s="29"/>
      <c r="B36" s="5"/>
      <c r="C36" s="5"/>
      <c r="D36" s="6" t="str">
        <f t="shared" si="5"/>
        <v/>
      </c>
      <c r="E36" s="7"/>
      <c r="F36" s="7"/>
      <c r="G36" s="8" t="str">
        <f t="shared" si="6"/>
        <v/>
      </c>
      <c r="H36" s="7"/>
      <c r="I36" s="7"/>
      <c r="J36" s="9" t="str">
        <f t="shared" si="9"/>
        <v/>
      </c>
      <c r="K36" s="28"/>
      <c r="L36" s="28"/>
      <c r="M36" s="9" t="str">
        <f t="shared" si="10"/>
        <v/>
      </c>
      <c r="N36" s="7"/>
      <c r="O36" s="15"/>
      <c r="P36" s="9" t="str">
        <f t="shared" si="11"/>
        <v/>
      </c>
      <c r="Q36" s="15"/>
      <c r="R36" s="7"/>
      <c r="S36" s="7"/>
      <c r="T36" s="5"/>
      <c r="U36" s="10" t="str">
        <f t="shared" si="12"/>
        <v/>
      </c>
      <c r="V36" s="9" t="str">
        <f t="shared" si="13"/>
        <v/>
      </c>
      <c r="W36" s="11" t="str">
        <f t="shared" si="14"/>
        <v/>
      </c>
      <c r="X36" s="11" t="str">
        <f t="shared" si="15"/>
        <v/>
      </c>
    </row>
    <row r="37" spans="1:24">
      <c r="A37" s="29"/>
      <c r="B37" s="5"/>
      <c r="C37" s="5"/>
      <c r="D37" s="6" t="str">
        <f t="shared" si="5"/>
        <v/>
      </c>
      <c r="E37" s="7"/>
      <c r="F37" s="7"/>
      <c r="G37" s="8" t="str">
        <f t="shared" si="6"/>
        <v/>
      </c>
      <c r="H37" s="7"/>
      <c r="I37" s="7"/>
      <c r="J37" s="9" t="str">
        <f t="shared" si="9"/>
        <v/>
      </c>
      <c r="K37" s="28"/>
      <c r="L37" s="28"/>
      <c r="M37" s="9" t="str">
        <f t="shared" si="10"/>
        <v/>
      </c>
      <c r="N37" s="7"/>
      <c r="O37" s="15"/>
      <c r="P37" s="9" t="str">
        <f t="shared" si="11"/>
        <v/>
      </c>
      <c r="Q37" s="7"/>
      <c r="R37" s="7"/>
      <c r="S37" s="7"/>
      <c r="T37" s="5"/>
      <c r="U37" s="10" t="str">
        <f t="shared" si="12"/>
        <v/>
      </c>
      <c r="V37" s="9" t="str">
        <f t="shared" si="13"/>
        <v/>
      </c>
      <c r="W37" s="11" t="str">
        <f t="shared" si="14"/>
        <v/>
      </c>
      <c r="X37" s="11" t="str">
        <f t="shared" si="15"/>
        <v/>
      </c>
    </row>
    <row r="38" spans="1:24" s="43" customFormat="1" ht="18.75">
      <c r="A38" s="31"/>
      <c r="B38" s="32" t="s">
        <v>41</v>
      </c>
      <c r="C38" s="32"/>
      <c r="D38" s="33">
        <f>SUM(D3:D37)</f>
        <v>23213.99999999092</v>
      </c>
      <c r="E38" s="33">
        <f>SUM(E3:E37)</f>
        <v>780</v>
      </c>
      <c r="F38" s="33">
        <f>SUM(F3:F37)</f>
        <v>1330</v>
      </c>
      <c r="G38" s="33">
        <f>SUM(G3:G37)</f>
        <v>550</v>
      </c>
      <c r="H38" s="33">
        <f>SUM(H2:H37)</f>
        <v>3033</v>
      </c>
      <c r="I38" s="33">
        <f>SUM(I3:I37)</f>
        <v>1409</v>
      </c>
      <c r="J38" s="34">
        <f>(D38-G38-H38-I38)/D38</f>
        <v>0.78495735332118755</v>
      </c>
      <c r="K38" s="35">
        <f>SUM(K3:K37)</f>
        <v>0</v>
      </c>
      <c r="L38" s="35">
        <f>SUM(L3:L37)</f>
        <v>1315</v>
      </c>
      <c r="M38" s="36">
        <f>(D38-G38-H38-I38-E38-K38-L38)/D38</f>
        <v>0.69471008873943429</v>
      </c>
      <c r="N38" s="37">
        <f>AVERAGE(N3:N37)</f>
        <v>17000</v>
      </c>
      <c r="O38" s="38">
        <f>AVERAGE(O3:O37)</f>
        <v>15070.011588298035</v>
      </c>
      <c r="P38" s="34">
        <f>O38/N38</f>
        <v>0.88647126989988445</v>
      </c>
      <c r="Q38" s="37">
        <f>SUM(Q3:Q35)</f>
        <v>132429</v>
      </c>
      <c r="R38" s="37"/>
      <c r="S38" s="32"/>
      <c r="T38" s="32"/>
      <c r="U38" s="39"/>
      <c r="V38" s="40">
        <f>AVERAGE(V3:V37)</f>
        <v>0.99688193454019081</v>
      </c>
      <c r="W38" s="41">
        <f>V38*P38*J38</f>
        <v>0.69367246046800968</v>
      </c>
      <c r="X38" s="42">
        <f>V38*P38*M38</f>
        <v>0.61392030347749249</v>
      </c>
    </row>
    <row r="39" spans="1:24" ht="28.5">
      <c r="O39" s="20" t="s">
        <v>42</v>
      </c>
      <c r="P39" s="21" t="e">
        <f>AVERAGE('[1]January 2024'!S38,'[1]February 2024'!S38,'[1]March 2024'!S38,S38)</f>
        <v>#DIV/0!</v>
      </c>
      <c r="Q39" s="66"/>
      <c r="R39" s="66"/>
      <c r="S39" s="44"/>
      <c r="T39" s="45"/>
      <c r="U39" s="22"/>
    </row>
    <row r="40" spans="1:24" ht="28.5">
      <c r="Q40" s="22"/>
      <c r="R40" s="22"/>
      <c r="S40" s="22"/>
      <c r="T40" s="22"/>
      <c r="U40" s="22"/>
    </row>
    <row r="41" spans="1:24" ht="28.5">
      <c r="Q41" s="22"/>
      <c r="R41" s="68"/>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0.69367246046800968</v>
      </c>
      <c r="E47" s="55">
        <f t="shared" ref="E47:E52" si="16">100%-D47</f>
        <v>0.30632753953199032</v>
      </c>
    </row>
    <row r="48" spans="1:24">
      <c r="C48" s="4" t="s">
        <v>46</v>
      </c>
      <c r="D48" s="54">
        <f>X38</f>
        <v>0.61392030347749249</v>
      </c>
      <c r="E48" s="55">
        <f t="shared" si="16"/>
        <v>0.38607969652250751</v>
      </c>
    </row>
    <row r="49" spans="3:5">
      <c r="C49" s="4" t="s">
        <v>11</v>
      </c>
      <c r="D49" s="54">
        <f>J38</f>
        <v>0.78495735332118755</v>
      </c>
      <c r="E49" s="55">
        <f t="shared" si="16"/>
        <v>0.21504264667881245</v>
      </c>
    </row>
    <row r="50" spans="3:5" ht="30">
      <c r="C50" s="4" t="s">
        <v>14</v>
      </c>
      <c r="D50" s="54">
        <f>M38</f>
        <v>0.69471008873943429</v>
      </c>
      <c r="E50" s="55">
        <f t="shared" si="16"/>
        <v>0.30528991126056571</v>
      </c>
    </row>
    <row r="51" spans="3:5">
      <c r="C51" s="4" t="s">
        <v>17</v>
      </c>
      <c r="D51" s="54">
        <f>P38</f>
        <v>0.88647126989988445</v>
      </c>
      <c r="E51" s="55">
        <f t="shared" si="16"/>
        <v>0.11352873010011555</v>
      </c>
    </row>
    <row r="52" spans="3:5">
      <c r="C52" s="4" t="str">
        <f>V2</f>
        <v>Quality</v>
      </c>
      <c r="D52" s="54">
        <f>V38</f>
        <v>0.99688193454019081</v>
      </c>
      <c r="E52" s="55">
        <f t="shared" si="16"/>
        <v>3.1180654598091939E-3</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52"/>
  <sheetViews>
    <sheetView zoomScale="70" zoomScaleNormal="70" workbookViewId="0">
      <selection activeCell="W47" sqref="W47"/>
    </sheetView>
  </sheetViews>
  <sheetFormatPr defaultRowHeight="1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58</v>
      </c>
      <c r="B3" s="5">
        <v>46192.791666666664</v>
      </c>
      <c r="C3" s="5">
        <v>46192.856249999997</v>
      </c>
      <c r="D3" s="6">
        <f t="shared" ref="D3:D37" si="0">IF(B3="","",(C3-B3)*24*60)</f>
        <v>92.999999999301508</v>
      </c>
      <c r="E3" s="7">
        <v>0</v>
      </c>
      <c r="F3" s="7">
        <v>0</v>
      </c>
      <c r="G3" s="8">
        <f>IF(E3="","",F3-E3)</f>
        <v>0</v>
      </c>
      <c r="H3" s="7">
        <f>10+24</f>
        <v>34</v>
      </c>
      <c r="I3" s="7">
        <v>0</v>
      </c>
      <c r="J3" s="9">
        <f>IF(B3="","",(D3-G3-H3-I3)/D3)</f>
        <v>0.63440860214779182</v>
      </c>
      <c r="K3" s="28">
        <v>0</v>
      </c>
      <c r="L3" s="28">
        <v>0</v>
      </c>
      <c r="M3" s="9">
        <f>IF(B3="","",(D3-G3-H3-I3-K3-L3-E3)/D3)</f>
        <v>0.63440860214779182</v>
      </c>
      <c r="N3" s="7">
        <v>17000</v>
      </c>
      <c r="O3" s="15">
        <v>17000</v>
      </c>
      <c r="P3" s="9">
        <f t="shared" ref="P3:P37" si="1">IF(B3="","",O3/N3)</f>
        <v>1</v>
      </c>
      <c r="Q3" s="7">
        <v>464</v>
      </c>
      <c r="R3" s="7">
        <v>5</v>
      </c>
      <c r="S3" s="7"/>
      <c r="T3" s="5"/>
      <c r="U3" s="10" t="str">
        <f>IF(S3="","",(T3-C3))</f>
        <v/>
      </c>
      <c r="V3" s="9">
        <f>IF(B3="","",IF(U3&lt;3,(Q3-R3)/Q3,(Q3-R3-S3)/Q3))</f>
        <v>0.98922413793103448</v>
      </c>
      <c r="W3" s="11">
        <f>IF(B3="","",V3*P3*J3)</f>
        <v>0.62757230255568197</v>
      </c>
      <c r="X3" s="11">
        <f>IF(B3="","",V3*P3*M3)</f>
        <v>0.62757230255568197</v>
      </c>
    </row>
    <row r="4" spans="1:24">
      <c r="A4" s="27" t="s">
        <v>58</v>
      </c>
      <c r="B4" s="5">
        <v>46193.409722222219</v>
      </c>
      <c r="C4" s="5">
        <v>46193.936111111114</v>
      </c>
      <c r="D4" s="6">
        <f t="shared" si="0"/>
        <v>758.00000000861473</v>
      </c>
      <c r="E4" s="7">
        <v>0</v>
      </c>
      <c r="F4" s="7">
        <v>0</v>
      </c>
      <c r="G4" s="8">
        <f t="shared" ref="G4:G37" si="2">IF(E4="","",F4-E4)</f>
        <v>0</v>
      </c>
      <c r="H4" s="7">
        <f>40+60+15+15+14+7+20+16+15+10+12+8+16+5+28</f>
        <v>281</v>
      </c>
      <c r="I4" s="7">
        <f>2+2+2+3+4+2+2+4+2+2+2+2+3+1+4+2+3+2</f>
        <v>44</v>
      </c>
      <c r="J4" s="9">
        <f t="shared" ref="J4:J37" si="3">IF(B4="","",(D4-G4-H4-I4)/D4)</f>
        <v>0.57124010554576998</v>
      </c>
      <c r="K4" s="28">
        <v>0</v>
      </c>
      <c r="L4" s="28">
        <v>22</v>
      </c>
      <c r="M4" s="9">
        <f t="shared" ref="M4:M37" si="4">IF(B4="","",(D4-G4-H4-I4-K4-L4-E4)/D4)</f>
        <v>0.5422163588442529</v>
      </c>
      <c r="N4" s="7">
        <v>17000</v>
      </c>
      <c r="O4" s="15">
        <f>AVERAGE(15800,15800,15800,16000, 15000,17000,17000,17000,17000,17000,17000)</f>
        <v>16400</v>
      </c>
      <c r="P4" s="9">
        <f t="shared" si="1"/>
        <v>0.96470588235294119</v>
      </c>
      <c r="Q4" s="7">
        <v>3602</v>
      </c>
      <c r="R4" s="7">
        <v>7</v>
      </c>
      <c r="S4" s="7"/>
      <c r="T4" s="5"/>
      <c r="U4" s="10" t="str">
        <f t="shared" ref="U4:U37" si="5">IF(S4="","",(T4-C4))</f>
        <v/>
      </c>
      <c r="V4" s="9">
        <f t="shared" ref="V4:V37" si="6">IF(B4="","",IF(U4&lt;3,(Q4-R4)/Q4,(Q4-R4-S4)/Q4))</f>
        <v>0.99805663520266519</v>
      </c>
      <c r="W4" s="11">
        <f t="shared" ref="W4:W37" si="7">IF(B4="","",V4*P4*J4)</f>
        <v>0.55000774312910317</v>
      </c>
      <c r="X4" s="11">
        <f t="shared" ref="X4:X37" si="8">IF(B4="","",V4*P4*M4)</f>
        <v>0.52206277696605585</v>
      </c>
    </row>
    <row r="5" spans="1:24">
      <c r="A5" s="29" t="s">
        <v>28</v>
      </c>
      <c r="B5" s="5">
        <v>46194.838194444441</v>
      </c>
      <c r="C5" s="5">
        <v>46195</v>
      </c>
      <c r="D5" s="6">
        <f t="shared" si="0"/>
        <v>233.00000000512227</v>
      </c>
      <c r="E5" s="7">
        <v>0</v>
      </c>
      <c r="F5" s="7">
        <v>0</v>
      </c>
      <c r="G5" s="8">
        <f t="shared" si="2"/>
        <v>0</v>
      </c>
      <c r="H5" s="7">
        <f>9+15</f>
        <v>24</v>
      </c>
      <c r="I5" s="7">
        <f>2+2+2+2+2+1+1+1+3</f>
        <v>16</v>
      </c>
      <c r="J5" s="9">
        <f t="shared" si="3"/>
        <v>0.82832618026128479</v>
      </c>
      <c r="K5" s="28">
        <v>0</v>
      </c>
      <c r="L5" s="28">
        <v>0</v>
      </c>
      <c r="M5" s="9">
        <f t="shared" si="4"/>
        <v>0.82832618026128479</v>
      </c>
      <c r="N5" s="7">
        <v>17000</v>
      </c>
      <c r="O5" s="15">
        <f>AVERAGE(11000,15000,15000,15000)</f>
        <v>14000</v>
      </c>
      <c r="P5" s="9">
        <f>IF(B5="","",O5/N5)</f>
        <v>0.82352941176470584</v>
      </c>
      <c r="Q5" s="7">
        <v>1505</v>
      </c>
      <c r="R5" s="7">
        <v>3</v>
      </c>
      <c r="S5" s="7"/>
      <c r="T5" s="5"/>
      <c r="U5" s="10" t="str">
        <f t="shared" si="5"/>
        <v/>
      </c>
      <c r="V5" s="9">
        <f t="shared" si="6"/>
        <v>0.99800664451827248</v>
      </c>
      <c r="W5" s="11">
        <f t="shared" si="7"/>
        <v>0.68079120260051973</v>
      </c>
      <c r="X5" s="11">
        <f t="shared" si="8"/>
        <v>0.68079120260051973</v>
      </c>
    </row>
    <row r="6" spans="1:24">
      <c r="A6" s="29" t="s">
        <v>96</v>
      </c>
      <c r="B6" s="5">
        <v>46195.006944444445</v>
      </c>
      <c r="C6" s="5">
        <v>46196</v>
      </c>
      <c r="D6" s="6">
        <f>IF(B6="","",(C6-B6)*24*60)</f>
        <v>1429.9999999988358</v>
      </c>
      <c r="E6" s="7">
        <v>60</v>
      </c>
      <c r="F6" s="7">
        <v>59</v>
      </c>
      <c r="G6" s="8">
        <f t="shared" si="2"/>
        <v>-1</v>
      </c>
      <c r="H6" s="7">
        <f>6+7+8+7+6+5+34+60+5+6+48+5+16+13+17+60+25+17+8</f>
        <v>353</v>
      </c>
      <c r="I6" s="7">
        <f>3+2+1+2+1+2+2+2+3+3+2+1+2+2+2+3+1+1+2+3+2+2+2+2+3+2+3+2+2+2+2+3+2</f>
        <v>69</v>
      </c>
      <c r="J6" s="9">
        <f>IF(B6="","",(D6-G6-H6-I6)/D6)</f>
        <v>0.70559440559416597</v>
      </c>
      <c r="K6" s="28">
        <v>0</v>
      </c>
      <c r="L6" s="28">
        <f>10+10+2+16+2+2+2+3+5+3</f>
        <v>55</v>
      </c>
      <c r="M6" s="9">
        <f>IF(B6="","",(D6-G6-H6-I6-K6-L6-E6)/D6)</f>
        <v>0.62517482517452005</v>
      </c>
      <c r="N6" s="7">
        <v>17000</v>
      </c>
      <c r="O6" s="15">
        <f>AVERAGE(10000,17000,16000,16000,16000,16000,17000,16000)</f>
        <v>15500</v>
      </c>
      <c r="P6" s="9">
        <f>IF(B6="","",O6/N6)</f>
        <v>0.91176470588235292</v>
      </c>
      <c r="Q6" s="7">
        <v>7219</v>
      </c>
      <c r="R6" s="7">
        <v>4</v>
      </c>
      <c r="S6" s="7"/>
      <c r="T6" s="5"/>
      <c r="U6" s="10" t="str">
        <f t="shared" si="5"/>
        <v/>
      </c>
      <c r="V6" s="9">
        <f>IF(B6="","",IF(U6&lt;3,(Q6-R6)/Q6,(Q6-R6-S6)/Q6))</f>
        <v>0.999445906635268</v>
      </c>
      <c r="W6" s="11">
        <f>IF(B6="","",V6*P6*J6)</f>
        <v>0.64297960743796645</v>
      </c>
      <c r="X6" s="11">
        <f>IF(B6="","",V6*P6*M6)</f>
        <v>0.56969650054455567</v>
      </c>
    </row>
    <row r="7" spans="1:24">
      <c r="A7" s="29" t="s">
        <v>97</v>
      </c>
      <c r="B7" s="5">
        <v>46196.006944444445</v>
      </c>
      <c r="C7" s="5">
        <v>46197</v>
      </c>
      <c r="D7" s="6">
        <f>IF(B7="","",(C7-B7)*24*60)</f>
        <v>1429.9999999988358</v>
      </c>
      <c r="E7" s="7">
        <f>10+25</f>
        <v>35</v>
      </c>
      <c r="F7" s="7">
        <v>28</v>
      </c>
      <c r="G7" s="8">
        <f t="shared" si="2"/>
        <v>-7</v>
      </c>
      <c r="H7" s="7">
        <f>7+5+35+19+22+42+5+11+5+26+14+60+60+60+60+60+60+45+10+5</f>
        <v>611</v>
      </c>
      <c r="I7" s="7">
        <f>4+1+3+3+4+1+3+4+2+2+3+2+1+4+2+4</f>
        <v>43</v>
      </c>
      <c r="J7" s="9">
        <f>IF(B7="","",(D7-G7-H7-I7)/D7)</f>
        <v>0.54755244755207921</v>
      </c>
      <c r="K7" s="28">
        <v>0</v>
      </c>
      <c r="L7" s="28">
        <f>4+17+20+3+13+7+48</f>
        <v>112</v>
      </c>
      <c r="M7" s="9">
        <f>IF(B7="","",(D7-G7-H7-I7-K7-L7-E7)/D7)</f>
        <v>0.44475524475479272</v>
      </c>
      <c r="N7" s="7">
        <v>17000</v>
      </c>
      <c r="O7" s="15">
        <f>AVERAGE(17000,17000,17000,17000,17000,17000,17000,17000,17000,18000,18000,18000,19000)</f>
        <v>17384.615384615383</v>
      </c>
      <c r="P7" s="9">
        <f>IF(B7="","",O7/N7)</f>
        <v>1.0226244343891402</v>
      </c>
      <c r="Q7" s="15">
        <v>5464</v>
      </c>
      <c r="R7" s="15">
        <v>21</v>
      </c>
      <c r="S7" s="7"/>
      <c r="T7" s="5"/>
      <c r="U7" s="10" t="str">
        <f t="shared" si="5"/>
        <v/>
      </c>
      <c r="V7" s="9">
        <f>IF(B7="","",IF(U7&lt;3,(Q7-R7)/Q7,(Q7-R7-S7)/Q7))</f>
        <v>0.99615666178623719</v>
      </c>
      <c r="W7" s="11">
        <f>IF(B7="","",V7*P7*J7)</f>
        <v>0.55778847120922181</v>
      </c>
      <c r="X7" s="11">
        <f>IF(B7="","",V7*P7*M7)</f>
        <v>0.45306956282112787</v>
      </c>
    </row>
    <row r="8" spans="1:24">
      <c r="A8" s="29" t="s">
        <v>69</v>
      </c>
      <c r="B8" s="5">
        <v>46197.012499999997</v>
      </c>
      <c r="C8" s="5">
        <v>46198</v>
      </c>
      <c r="D8" s="6">
        <f t="shared" si="0"/>
        <v>1422.000000004191</v>
      </c>
      <c r="E8" s="7">
        <v>60</v>
      </c>
      <c r="F8" s="7">
        <v>55</v>
      </c>
      <c r="G8" s="8">
        <f t="shared" si="2"/>
        <v>-5</v>
      </c>
      <c r="H8" s="7">
        <f>8+6+7+9+5+6+30+38+5+8+15+5+10+9+15+5+5+15</f>
        <v>201</v>
      </c>
      <c r="I8" s="7">
        <f>4+2+2+1+3+3+4+2+3+4+2+1+3+3+4+2+4+3+4+4+2+4+2+2+2+3+3+2+2+2+1+3+4+2+3+4+4+2</f>
        <v>105</v>
      </c>
      <c r="J8" s="9">
        <f t="shared" si="3"/>
        <v>0.78832630098515266</v>
      </c>
      <c r="K8" s="28">
        <f>9+10+60+24</f>
        <v>103</v>
      </c>
      <c r="L8" s="28">
        <f>3+7+26+3</f>
        <v>39</v>
      </c>
      <c r="M8" s="9">
        <f t="shared" si="4"/>
        <v>0.64627285513465715</v>
      </c>
      <c r="N8" s="7">
        <v>17000</v>
      </c>
      <c r="O8" s="15">
        <f>AVERAGE(18000,18000,17000,17000,18000,18000,18000,16000,16000,18000,18000,18000,18000,18000,18000,18000,18000,18000)</f>
        <v>17666.666666666668</v>
      </c>
      <c r="P8" s="9">
        <f t="shared" ref="P8:P11" si="9">IF(B8="","",O8/N8)</f>
        <v>1.0392156862745099</v>
      </c>
      <c r="Q8" s="15">
        <v>8185</v>
      </c>
      <c r="R8" s="15">
        <v>11</v>
      </c>
      <c r="S8" s="7"/>
      <c r="T8" s="5"/>
      <c r="U8" s="10" t="str">
        <f t="shared" si="5"/>
        <v/>
      </c>
      <c r="V8" s="9">
        <f t="shared" si="6"/>
        <v>0.99865607819181434</v>
      </c>
      <c r="W8" s="11">
        <f t="shared" si="7"/>
        <v>0.81814006196267641</v>
      </c>
      <c r="X8" s="11">
        <f t="shared" si="8"/>
        <v>0.67071428808592104</v>
      </c>
    </row>
    <row r="9" spans="1:24">
      <c r="A9" s="29" t="s">
        <v>98</v>
      </c>
      <c r="B9" s="5">
        <v>46198.008333333331</v>
      </c>
      <c r="C9" s="5">
        <v>46199</v>
      </c>
      <c r="D9" s="6">
        <f t="shared" si="0"/>
        <v>1428.000000002794</v>
      </c>
      <c r="E9" s="7">
        <f>10+10</f>
        <v>20</v>
      </c>
      <c r="F9" s="7">
        <v>78</v>
      </c>
      <c r="G9" s="8">
        <f t="shared" si="2"/>
        <v>58</v>
      </c>
      <c r="H9" s="7">
        <f>5+13+14+25+12+5+40</f>
        <v>114</v>
      </c>
      <c r="I9" s="7">
        <f>2+1+4+3+2+3+3+2+1+2+2+4+4+3+3+3+4+3+2+1+2+3+2+2+3+1+3+3+3+2+2+3+2+4+4+5+2+4+2+3+3+3+4+3+2+3+3</f>
        <v>128</v>
      </c>
      <c r="J9" s="9">
        <f t="shared" si="3"/>
        <v>0.78991596638696571</v>
      </c>
      <c r="K9" s="28">
        <v>0</v>
      </c>
      <c r="L9" s="28">
        <f>21+8+2+1+4+3+10+2</f>
        <v>51</v>
      </c>
      <c r="M9" s="9">
        <f t="shared" si="4"/>
        <v>0.74019607843188084</v>
      </c>
      <c r="N9" s="7">
        <v>17000</v>
      </c>
      <c r="O9" s="15">
        <f>AVERAGE(18000,18000,18000,18000,18000,18000,18000,18000,18000,18000,18000,18000,18000,18000,18000,18000,18000,18000)</f>
        <v>18000</v>
      </c>
      <c r="P9" s="9">
        <f t="shared" si="9"/>
        <v>1.0588235294117647</v>
      </c>
      <c r="Q9" s="15">
        <v>9125</v>
      </c>
      <c r="R9" s="15">
        <v>49</v>
      </c>
      <c r="S9" s="7"/>
      <c r="T9" s="5"/>
      <c r="U9" s="10" t="str">
        <f t="shared" si="5"/>
        <v/>
      </c>
      <c r="V9" s="9">
        <f t="shared" si="6"/>
        <v>0.99463013698630132</v>
      </c>
      <c r="W9" s="11">
        <f t="shared" si="7"/>
        <v>0.83189035678778933</v>
      </c>
      <c r="X9" s="11">
        <f t="shared" si="8"/>
        <v>0.77952846376315554</v>
      </c>
    </row>
    <row r="10" spans="1:24">
      <c r="A10" s="29" t="s">
        <v>99</v>
      </c>
      <c r="B10" s="5">
        <v>46199.017361111109</v>
      </c>
      <c r="C10" s="5">
        <v>46199.3125</v>
      </c>
      <c r="D10" s="6">
        <f t="shared" si="0"/>
        <v>425.00000000232831</v>
      </c>
      <c r="E10" s="7">
        <v>60</v>
      </c>
      <c r="F10" s="7">
        <v>45</v>
      </c>
      <c r="G10" s="8">
        <f t="shared" si="2"/>
        <v>-15</v>
      </c>
      <c r="H10" s="7">
        <f>5+5+12+6</f>
        <v>28</v>
      </c>
      <c r="I10" s="7">
        <f>3+2+2+3+2+1+3+3+2+2+1+3+2+4+4+3</f>
        <v>40</v>
      </c>
      <c r="J10" s="9">
        <f t="shared" si="3"/>
        <v>0.87529411764774201</v>
      </c>
      <c r="K10" s="28">
        <v>0</v>
      </c>
      <c r="L10" s="28">
        <f>17+8+2+5</f>
        <v>32</v>
      </c>
      <c r="M10" s="9">
        <f t="shared" si="4"/>
        <v>0.65882352941363376</v>
      </c>
      <c r="N10" s="7">
        <v>17000</v>
      </c>
      <c r="O10" s="15">
        <f>AVERAGE(18000,18000,18000,18000,18000,18000,18000,18000)</f>
        <v>18000</v>
      </c>
      <c r="P10" s="9">
        <f t="shared" si="9"/>
        <v>1.0588235294117647</v>
      </c>
      <c r="Q10" s="15">
        <v>2766</v>
      </c>
      <c r="R10" s="15">
        <v>6</v>
      </c>
      <c r="S10" s="7"/>
      <c r="T10" s="5"/>
      <c r="U10" s="10" t="str">
        <f t="shared" si="5"/>
        <v/>
      </c>
      <c r="V10" s="9">
        <f t="shared" ref="V10:V11" si="10">IF(B10="","",IF(U10&lt;3,(Q10-R10)/Q10,(Q10-R10-S10)/Q10))</f>
        <v>0.99783080260303691</v>
      </c>
      <c r="W10" s="11">
        <f t="shared" ref="W10" si="11">IF(B10="","",V10*P10*J10)</f>
        <v>0.92477163380417304</v>
      </c>
      <c r="X10" s="11">
        <f t="shared" ref="X10:X11" si="12">IF(B10="","",V10*P10*M10)</f>
        <v>0.69606467060672295</v>
      </c>
    </row>
    <row r="11" spans="1:24">
      <c r="A11" s="29" t="s">
        <v>31</v>
      </c>
      <c r="B11" s="5">
        <v>46200.506944444445</v>
      </c>
      <c r="C11" s="5">
        <v>46200.911111111112</v>
      </c>
      <c r="D11" s="6">
        <f t="shared" ref="D11:D21" si="13">IF(B11="","",(C11-B11)*24*60)</f>
        <v>582.00000000069849</v>
      </c>
      <c r="E11" s="7">
        <v>10</v>
      </c>
      <c r="F11" s="7">
        <v>20</v>
      </c>
      <c r="G11" s="8">
        <f t="shared" ref="G11:G19" si="14">IF(E11="","",F11-E11)</f>
        <v>10</v>
      </c>
      <c r="H11" s="7">
        <f>25+5+6+10+5+9+11+5+7</f>
        <v>83</v>
      </c>
      <c r="I11" s="7">
        <f>3+2+3+3+4+4+2+2+2+2+2+1+1</f>
        <v>31</v>
      </c>
      <c r="J11" s="9">
        <f t="shared" si="3"/>
        <v>0.78694158075626941</v>
      </c>
      <c r="K11" s="28">
        <v>0</v>
      </c>
      <c r="L11" s="28">
        <f>10+4</f>
        <v>14</v>
      </c>
      <c r="M11" s="9">
        <f t="shared" si="4"/>
        <v>0.74570446735425711</v>
      </c>
      <c r="N11" s="7">
        <v>17000</v>
      </c>
      <c r="O11" s="15">
        <f>AVERAGE(17000,18000,17000,18000,18000,18000,18000,18000,18000)</f>
        <v>17777.777777777777</v>
      </c>
      <c r="P11" s="9">
        <f t="shared" si="9"/>
        <v>1.0457516339869282</v>
      </c>
      <c r="Q11" s="15">
        <v>3663</v>
      </c>
      <c r="R11" s="15">
        <v>35</v>
      </c>
      <c r="S11" s="7"/>
      <c r="T11" s="5"/>
      <c r="U11" s="10" t="str">
        <f t="shared" si="5"/>
        <v/>
      </c>
      <c r="V11" s="9">
        <f t="shared" si="10"/>
        <v>0.99044499044499046</v>
      </c>
      <c r="W11" s="11">
        <f>IF(B11="","",V11*P11*J11)</f>
        <v>0.81508219234814017</v>
      </c>
      <c r="X11" s="11">
        <f t="shared" si="12"/>
        <v>0.77237046174480939</v>
      </c>
    </row>
    <row r="12" spans="1:24">
      <c r="A12" s="29" t="s">
        <v>100</v>
      </c>
      <c r="B12" s="5">
        <v>46202.104166666664</v>
      </c>
      <c r="C12" s="5">
        <v>46202.976388888892</v>
      </c>
      <c r="D12" s="6">
        <f>IF(B12="","",(C12-B12)*24*60)</f>
        <v>1256.0000000079162</v>
      </c>
      <c r="E12" s="7">
        <f>60+60</f>
        <v>120</v>
      </c>
      <c r="F12" s="7">
        <v>113</v>
      </c>
      <c r="G12" s="8">
        <f t="shared" si="14"/>
        <v>-7</v>
      </c>
      <c r="H12" s="7">
        <f>6+6+17+7+5+21+5+5+6+20+11+5</f>
        <v>114</v>
      </c>
      <c r="I12" s="7">
        <f>2+2+2+2+2+4+4+2+2+3+3+2+2+1+2+3+3+4+3+3+3+2+2</f>
        <v>58</v>
      </c>
      <c r="J12" s="9">
        <f>IF(B12="","",(D12-G12-H12-I12)/D12)</f>
        <v>0.86863057324923565</v>
      </c>
      <c r="K12" s="28">
        <v>0</v>
      </c>
      <c r="L12" s="28">
        <f>6+3+60+60+9+9+13+6+7+19+5+20+40+15+4</f>
        <v>276</v>
      </c>
      <c r="M12" s="9">
        <f>IF(B12="","",(D12-G12-H12-I12-K12-L12-E12)/D12)</f>
        <v>0.55334394904740114</v>
      </c>
      <c r="N12" s="7">
        <v>17000</v>
      </c>
      <c r="O12" s="15">
        <f>AVERAGE(18000,18000,18000,16000,16000,17000,17000,17000,17000,17000,17000,17000)</f>
        <v>17083.333333333332</v>
      </c>
      <c r="P12" s="9">
        <f>IF(B12="","",O12/N12)</f>
        <v>1.0049019607843137</v>
      </c>
      <c r="Q12" s="15">
        <v>5521</v>
      </c>
      <c r="R12" s="15">
        <v>14</v>
      </c>
      <c r="S12" s="7"/>
      <c r="T12" s="5"/>
      <c r="U12" s="10" t="str">
        <f>IF(S12="","",(T12-C12))</f>
        <v/>
      </c>
      <c r="V12" s="9">
        <f>IF(B12="","",IF(U12&lt;3,(Q12-R12)/Q12,(Q12-R12-S12)/Q12))</f>
        <v>0.99746422749501906</v>
      </c>
      <c r="W12" s="11">
        <f>IF(B12="","",V12*P12*J12)</f>
        <v>0.87067511942913678</v>
      </c>
      <c r="X12" s="11">
        <f>IF(B12="","",V12*P12*M12)</f>
        <v>0.55464638680637202</v>
      </c>
    </row>
    <row r="13" spans="1:24">
      <c r="A13" s="29" t="s">
        <v>61</v>
      </c>
      <c r="B13" s="5">
        <v>46203.256944444445</v>
      </c>
      <c r="C13" s="5">
        <v>46203.961805555555</v>
      </c>
      <c r="D13" s="6">
        <f t="shared" si="13"/>
        <v>1014.9999999976717</v>
      </c>
      <c r="E13" s="7">
        <v>10</v>
      </c>
      <c r="F13" s="7">
        <v>187</v>
      </c>
      <c r="G13" s="8">
        <f t="shared" si="14"/>
        <v>177</v>
      </c>
      <c r="H13" s="7">
        <f>12+11+11+11+30+5+6+5+6</f>
        <v>97</v>
      </c>
      <c r="I13" s="7">
        <f>4+2+3+2+4+3+2+4+4+3+2+2+1+4+4+1+3+3+2+1+3+2+3+3+2+4+4+1+2+2</f>
        <v>80</v>
      </c>
      <c r="J13" s="9">
        <f t="shared" ref="J13:J21" si="15">IF(B13="","",(D13-G13-H13-I13)/D13)</f>
        <v>0.65123152709279597</v>
      </c>
      <c r="K13" s="28">
        <v>0</v>
      </c>
      <c r="L13" s="28">
        <f>10+6+18+4+6</f>
        <v>44</v>
      </c>
      <c r="M13" s="9">
        <f t="shared" ref="M13:M21" si="16">IF(B13="","",(D13-G13-H13-I13-K13-L13-E13)/D13)</f>
        <v>0.59802955664932422</v>
      </c>
      <c r="N13" s="7">
        <v>17000</v>
      </c>
      <c r="O13" s="15">
        <f>AVERAGE(17000,17000,17000,17000,17000,17000,17000,17000,17000,17000,17000,17000,17000,17000,17000,17000,17000)</f>
        <v>17000</v>
      </c>
      <c r="P13" s="9">
        <f t="shared" ref="P13:P21" si="17">IF(B13="","",O13/N13)</f>
        <v>1</v>
      </c>
      <c r="Q13" s="15">
        <v>6874</v>
      </c>
      <c r="R13" s="15">
        <v>8</v>
      </c>
      <c r="S13" s="7"/>
      <c r="T13" s="5"/>
      <c r="U13" s="10" t="str">
        <f t="shared" si="5"/>
        <v/>
      </c>
      <c r="V13" s="9">
        <f t="shared" si="6"/>
        <v>0.99883619435554261</v>
      </c>
      <c r="W13" s="11">
        <f t="shared" si="7"/>
        <v>0.65047362016571675</v>
      </c>
      <c r="X13" s="11">
        <f t="shared" si="8"/>
        <v>0.59733356647574343</v>
      </c>
    </row>
    <row r="14" spans="1:24">
      <c r="A14" s="29"/>
      <c r="B14" s="5"/>
      <c r="C14" s="5"/>
      <c r="D14" s="6" t="str">
        <f t="shared" si="13"/>
        <v/>
      </c>
      <c r="E14" s="7"/>
      <c r="F14" s="7"/>
      <c r="G14" s="8" t="str">
        <f t="shared" si="14"/>
        <v/>
      </c>
      <c r="H14" s="7"/>
      <c r="I14" s="7"/>
      <c r="J14" s="9" t="str">
        <f t="shared" si="15"/>
        <v/>
      </c>
      <c r="K14" s="28"/>
      <c r="L14" s="28"/>
      <c r="M14" s="9" t="str">
        <f t="shared" si="16"/>
        <v/>
      </c>
      <c r="N14" s="7"/>
      <c r="O14" s="15"/>
      <c r="P14" s="9" t="str">
        <f t="shared" si="17"/>
        <v/>
      </c>
      <c r="Q14" s="15"/>
      <c r="R14" s="15"/>
      <c r="S14" s="7"/>
      <c r="T14" s="5"/>
      <c r="U14" s="10" t="str">
        <f t="shared" si="5"/>
        <v/>
      </c>
      <c r="V14" s="9" t="str">
        <f t="shared" si="6"/>
        <v/>
      </c>
      <c r="W14" s="11" t="str">
        <f t="shared" si="7"/>
        <v/>
      </c>
      <c r="X14" s="11" t="str">
        <f t="shared" si="8"/>
        <v/>
      </c>
    </row>
    <row r="15" spans="1:24">
      <c r="A15" s="29"/>
      <c r="B15" s="5"/>
      <c r="C15" s="5"/>
      <c r="D15" s="6" t="str">
        <f t="shared" si="13"/>
        <v/>
      </c>
      <c r="E15" s="7"/>
      <c r="F15" s="7"/>
      <c r="G15" s="8" t="str">
        <f t="shared" si="14"/>
        <v/>
      </c>
      <c r="H15" s="7"/>
      <c r="I15" s="7"/>
      <c r="J15" s="9" t="str">
        <f t="shared" si="15"/>
        <v/>
      </c>
      <c r="K15" s="28"/>
      <c r="L15" s="28"/>
      <c r="M15" s="9" t="str">
        <f t="shared" si="16"/>
        <v/>
      </c>
      <c r="N15" s="7"/>
      <c r="O15" s="15"/>
      <c r="P15" s="9" t="str">
        <f t="shared" si="17"/>
        <v/>
      </c>
      <c r="Q15" s="15"/>
      <c r="R15" s="7"/>
      <c r="S15" s="7"/>
      <c r="T15" s="5"/>
      <c r="U15" s="10" t="str">
        <f t="shared" si="5"/>
        <v/>
      </c>
      <c r="V15" s="9" t="str">
        <f t="shared" si="6"/>
        <v/>
      </c>
      <c r="W15" s="11" t="str">
        <f t="shared" si="7"/>
        <v/>
      </c>
      <c r="X15" s="11" t="str">
        <f t="shared" si="8"/>
        <v/>
      </c>
    </row>
    <row r="16" spans="1:24">
      <c r="A16" s="29"/>
      <c r="B16" s="5"/>
      <c r="C16" s="5"/>
      <c r="D16" s="6" t="str">
        <f t="shared" si="13"/>
        <v/>
      </c>
      <c r="E16" s="7"/>
      <c r="F16" s="7"/>
      <c r="G16" s="8" t="str">
        <f t="shared" si="14"/>
        <v/>
      </c>
      <c r="H16" s="7"/>
      <c r="I16" s="7"/>
      <c r="J16" s="9" t="str">
        <f t="shared" si="15"/>
        <v/>
      </c>
      <c r="K16" s="28"/>
      <c r="L16" s="28"/>
      <c r="M16" s="9" t="str">
        <f t="shared" si="16"/>
        <v/>
      </c>
      <c r="N16" s="7"/>
      <c r="O16" s="15"/>
      <c r="P16" s="9" t="str">
        <f t="shared" si="17"/>
        <v/>
      </c>
      <c r="Q16" s="7"/>
      <c r="R16" s="7"/>
      <c r="S16" s="7"/>
      <c r="T16" s="5"/>
      <c r="U16" s="10" t="str">
        <f t="shared" si="5"/>
        <v/>
      </c>
      <c r="V16" s="9" t="str">
        <f t="shared" si="6"/>
        <v/>
      </c>
      <c r="W16" s="11" t="str">
        <f t="shared" si="7"/>
        <v/>
      </c>
      <c r="X16" s="11" t="str">
        <f t="shared" si="8"/>
        <v/>
      </c>
    </row>
    <row r="17" spans="1:24">
      <c r="A17" s="29"/>
      <c r="B17" s="5"/>
      <c r="C17" s="5"/>
      <c r="D17" s="6" t="str">
        <f t="shared" si="13"/>
        <v/>
      </c>
      <c r="E17" s="7"/>
      <c r="F17" s="7"/>
      <c r="G17" s="8" t="str">
        <f t="shared" si="14"/>
        <v/>
      </c>
      <c r="H17" s="7"/>
      <c r="I17" s="7"/>
      <c r="J17" s="9" t="str">
        <f t="shared" si="15"/>
        <v/>
      </c>
      <c r="K17" s="28"/>
      <c r="L17" s="28"/>
      <c r="M17" s="9" t="str">
        <f t="shared" si="16"/>
        <v/>
      </c>
      <c r="N17" s="7"/>
      <c r="O17" s="15"/>
      <c r="P17" s="9" t="str">
        <f t="shared" si="17"/>
        <v/>
      </c>
      <c r="Q17" s="7"/>
      <c r="R17" s="7"/>
      <c r="S17" s="7"/>
      <c r="T17" s="5"/>
      <c r="U17" s="10" t="str">
        <f t="shared" si="5"/>
        <v/>
      </c>
      <c r="V17" s="9" t="str">
        <f t="shared" si="6"/>
        <v/>
      </c>
      <c r="W17" s="11" t="str">
        <f t="shared" si="7"/>
        <v/>
      </c>
      <c r="X17" s="11" t="str">
        <f t="shared" si="8"/>
        <v/>
      </c>
    </row>
    <row r="18" spans="1:24">
      <c r="A18" s="29"/>
      <c r="B18" s="5"/>
      <c r="C18" s="5"/>
      <c r="D18" s="6" t="str">
        <f t="shared" si="13"/>
        <v/>
      </c>
      <c r="E18" s="7"/>
      <c r="F18" s="7"/>
      <c r="G18" s="8" t="str">
        <f t="shared" si="14"/>
        <v/>
      </c>
      <c r="H18" s="7"/>
      <c r="I18" s="7"/>
      <c r="J18" s="9" t="str">
        <f t="shared" si="15"/>
        <v/>
      </c>
      <c r="K18" s="28"/>
      <c r="L18" s="28"/>
      <c r="M18" s="9" t="str">
        <f t="shared" si="16"/>
        <v/>
      </c>
      <c r="N18" s="7"/>
      <c r="O18" s="15"/>
      <c r="P18" s="9" t="str">
        <f t="shared" si="17"/>
        <v/>
      </c>
      <c r="Q18" s="7"/>
      <c r="R18" s="7"/>
      <c r="S18" s="7"/>
      <c r="T18" s="5"/>
      <c r="U18" s="10" t="str">
        <f t="shared" si="5"/>
        <v/>
      </c>
      <c r="V18" s="9" t="str">
        <f t="shared" si="6"/>
        <v/>
      </c>
      <c r="W18" s="11" t="str">
        <f t="shared" si="7"/>
        <v/>
      </c>
      <c r="X18" s="11" t="str">
        <f t="shared" si="8"/>
        <v/>
      </c>
    </row>
    <row r="19" spans="1:24">
      <c r="A19" s="29"/>
      <c r="B19" s="5"/>
      <c r="C19" s="5"/>
      <c r="D19" s="6" t="str">
        <f t="shared" si="13"/>
        <v/>
      </c>
      <c r="E19" s="7"/>
      <c r="F19" s="7"/>
      <c r="G19" s="8" t="str">
        <f t="shared" si="14"/>
        <v/>
      </c>
      <c r="H19" s="7"/>
      <c r="I19" s="7"/>
      <c r="J19" s="9" t="str">
        <f t="shared" si="15"/>
        <v/>
      </c>
      <c r="K19" s="28"/>
      <c r="L19" s="28"/>
      <c r="M19" s="9" t="str">
        <f t="shared" si="16"/>
        <v/>
      </c>
      <c r="N19" s="7"/>
      <c r="O19" s="15"/>
      <c r="P19" s="9" t="str">
        <f t="shared" si="17"/>
        <v/>
      </c>
      <c r="Q19" s="15"/>
      <c r="R19" s="7"/>
      <c r="S19" s="7"/>
      <c r="T19" s="5"/>
      <c r="U19" s="10" t="str">
        <f t="shared" si="5"/>
        <v/>
      </c>
      <c r="V19" s="9" t="str">
        <f t="shared" si="6"/>
        <v/>
      </c>
      <c r="W19" s="11" t="str">
        <f t="shared" si="7"/>
        <v/>
      </c>
      <c r="X19" s="11" t="str">
        <f t="shared" si="8"/>
        <v/>
      </c>
    </row>
    <row r="20" spans="1:24">
      <c r="A20" s="29"/>
      <c r="B20" s="5"/>
      <c r="C20" s="5"/>
      <c r="D20" s="6" t="str">
        <f t="shared" si="13"/>
        <v/>
      </c>
      <c r="E20" s="7"/>
      <c r="F20" s="7"/>
      <c r="G20" s="8" t="str">
        <f>IF(E20="","",F20-E20)</f>
        <v/>
      </c>
      <c r="H20" s="7"/>
      <c r="I20" s="7"/>
      <c r="J20" s="9" t="str">
        <f t="shared" si="15"/>
        <v/>
      </c>
      <c r="K20" s="28"/>
      <c r="L20" s="28"/>
      <c r="M20" s="9" t="str">
        <f t="shared" si="16"/>
        <v/>
      </c>
      <c r="N20" s="7"/>
      <c r="O20" s="30"/>
      <c r="P20" s="9" t="str">
        <f t="shared" si="17"/>
        <v/>
      </c>
      <c r="Q20" s="7"/>
      <c r="R20" s="7"/>
      <c r="S20" s="7"/>
      <c r="T20" s="5"/>
      <c r="U20" s="10" t="str">
        <f t="shared" si="5"/>
        <v/>
      </c>
      <c r="V20" s="9" t="str">
        <f t="shared" si="6"/>
        <v/>
      </c>
      <c r="W20" s="11" t="str">
        <f t="shared" si="7"/>
        <v/>
      </c>
      <c r="X20" s="11" t="str">
        <f t="shared" si="8"/>
        <v/>
      </c>
    </row>
    <row r="21" spans="1:24">
      <c r="A21" s="29"/>
      <c r="B21" s="5"/>
      <c r="C21" s="5"/>
      <c r="D21" s="6" t="str">
        <f t="shared" si="13"/>
        <v/>
      </c>
      <c r="E21" s="7"/>
      <c r="F21" s="7"/>
      <c r="G21" s="8" t="str">
        <f>IF(E21="","",F21-E21)</f>
        <v/>
      </c>
      <c r="H21" s="7"/>
      <c r="I21" s="7"/>
      <c r="J21" s="9" t="str">
        <f t="shared" si="15"/>
        <v/>
      </c>
      <c r="K21" s="28"/>
      <c r="L21" s="28"/>
      <c r="M21" s="9" t="str">
        <f t="shared" si="16"/>
        <v/>
      </c>
      <c r="N21" s="7"/>
      <c r="O21" s="15"/>
      <c r="P21" s="9" t="str">
        <f t="shared" si="17"/>
        <v/>
      </c>
      <c r="Q21" s="7"/>
      <c r="R21" s="15"/>
      <c r="S21" s="7"/>
      <c r="T21" s="5"/>
      <c r="U21" s="10" t="str">
        <f t="shared" si="5"/>
        <v/>
      </c>
      <c r="V21" s="9" t="str">
        <f t="shared" si="6"/>
        <v/>
      </c>
      <c r="W21" s="11" t="str">
        <f t="shared" si="7"/>
        <v/>
      </c>
      <c r="X21" s="11" t="str">
        <f t="shared" si="8"/>
        <v/>
      </c>
    </row>
    <row r="22" spans="1:24">
      <c r="A22" s="29"/>
      <c r="B22" s="5"/>
      <c r="C22" s="5"/>
      <c r="D22" s="6" t="str">
        <f t="shared" si="0"/>
        <v/>
      </c>
      <c r="E22" s="7"/>
      <c r="F22" s="7"/>
      <c r="G22" s="8" t="str">
        <f t="shared" si="2"/>
        <v/>
      </c>
      <c r="H22" s="7"/>
      <c r="I22" s="7"/>
      <c r="J22" s="9" t="str">
        <f t="shared" si="3"/>
        <v/>
      </c>
      <c r="K22" s="28"/>
      <c r="L22" s="28"/>
      <c r="M22" s="9" t="str">
        <f t="shared" si="4"/>
        <v/>
      </c>
      <c r="N22" s="7"/>
      <c r="O22" s="30"/>
      <c r="P22" s="9" t="str">
        <f t="shared" si="1"/>
        <v/>
      </c>
      <c r="Q22" s="15"/>
      <c r="R22" s="7"/>
      <c r="S22" s="7"/>
      <c r="T22" s="5"/>
      <c r="U22" s="10" t="str">
        <f t="shared" si="5"/>
        <v/>
      </c>
      <c r="V22" s="9" t="str">
        <f t="shared" si="6"/>
        <v/>
      </c>
      <c r="W22" s="11" t="str">
        <f t="shared" si="7"/>
        <v/>
      </c>
      <c r="X22" s="11" t="str">
        <f t="shared" si="8"/>
        <v/>
      </c>
    </row>
    <row r="23" spans="1:24" hidden="1">
      <c r="A23" s="29"/>
      <c r="B23" s="5"/>
      <c r="C23" s="5"/>
      <c r="D23" s="6" t="str">
        <f t="shared" si="0"/>
        <v/>
      </c>
      <c r="E23" s="7"/>
      <c r="F23" s="7"/>
      <c r="G23" s="8" t="str">
        <f t="shared" si="2"/>
        <v/>
      </c>
      <c r="H23" s="7"/>
      <c r="I23" s="7"/>
      <c r="J23" s="9" t="str">
        <f t="shared" si="3"/>
        <v/>
      </c>
      <c r="K23" s="28"/>
      <c r="L23" s="28"/>
      <c r="M23" s="9" t="str">
        <f t="shared" si="4"/>
        <v/>
      </c>
      <c r="N23" s="7"/>
      <c r="O23" s="15"/>
      <c r="P23" s="9" t="str">
        <f t="shared" si="1"/>
        <v/>
      </c>
      <c r="Q23" s="15"/>
      <c r="R23" s="7"/>
      <c r="S23" s="7"/>
      <c r="T23" s="5"/>
      <c r="U23" s="10" t="str">
        <f t="shared" si="5"/>
        <v/>
      </c>
      <c r="V23" s="9" t="str">
        <f t="shared" si="6"/>
        <v/>
      </c>
      <c r="W23" s="11" t="str">
        <f t="shared" si="7"/>
        <v/>
      </c>
      <c r="X23" s="11" t="str">
        <f t="shared" si="8"/>
        <v/>
      </c>
    </row>
    <row r="24" spans="1:24" hidden="1">
      <c r="A24" s="29"/>
      <c r="B24" s="5"/>
      <c r="C24" s="5"/>
      <c r="D24" s="6" t="str">
        <f t="shared" si="0"/>
        <v/>
      </c>
      <c r="E24" s="7"/>
      <c r="F24" s="7"/>
      <c r="G24" s="8" t="str">
        <f t="shared" si="2"/>
        <v/>
      </c>
      <c r="H24" s="7"/>
      <c r="I24" s="7"/>
      <c r="J24" s="9" t="str">
        <f t="shared" si="3"/>
        <v/>
      </c>
      <c r="K24" s="28"/>
      <c r="L24" s="28"/>
      <c r="M24" s="9" t="str">
        <f t="shared" si="4"/>
        <v/>
      </c>
      <c r="N24" s="7"/>
      <c r="O24" s="15"/>
      <c r="P24" s="9" t="str">
        <f t="shared" si="1"/>
        <v/>
      </c>
      <c r="Q24" s="7"/>
      <c r="R24" s="7"/>
      <c r="S24" s="7"/>
      <c r="T24" s="5"/>
      <c r="U24" s="10" t="str">
        <f t="shared" si="5"/>
        <v/>
      </c>
      <c r="V24" s="9" t="str">
        <f t="shared" si="6"/>
        <v/>
      </c>
      <c r="W24" s="11" t="str">
        <f t="shared" si="7"/>
        <v/>
      </c>
      <c r="X24" s="11" t="str">
        <f t="shared" si="8"/>
        <v/>
      </c>
    </row>
    <row r="25" spans="1:24" hidden="1">
      <c r="A25" s="29"/>
      <c r="B25" s="5"/>
      <c r="C25" s="5"/>
      <c r="D25" s="6" t="str">
        <f t="shared" si="0"/>
        <v/>
      </c>
      <c r="E25" s="7"/>
      <c r="F25" s="7"/>
      <c r="G25" s="8" t="str">
        <f t="shared" si="2"/>
        <v/>
      </c>
      <c r="H25" s="7"/>
      <c r="I25" s="7"/>
      <c r="J25" s="9" t="str">
        <f t="shared" si="3"/>
        <v/>
      </c>
      <c r="K25" s="28"/>
      <c r="L25" s="28"/>
      <c r="M25" s="9" t="str">
        <f t="shared" si="4"/>
        <v/>
      </c>
      <c r="N25" s="7"/>
      <c r="O25" s="15"/>
      <c r="P25" s="9" t="str">
        <f t="shared" si="1"/>
        <v/>
      </c>
      <c r="Q25" s="7"/>
      <c r="R25" s="7"/>
      <c r="S25" s="7"/>
      <c r="T25" s="5"/>
      <c r="U25" s="10" t="str">
        <f t="shared" si="5"/>
        <v/>
      </c>
      <c r="V25" s="9" t="str">
        <f t="shared" si="6"/>
        <v/>
      </c>
      <c r="W25" s="11" t="str">
        <f t="shared" si="7"/>
        <v/>
      </c>
      <c r="X25" s="11" t="str">
        <f t="shared" si="8"/>
        <v/>
      </c>
    </row>
    <row r="26" spans="1:24" hidden="1">
      <c r="A26" s="29"/>
      <c r="B26" s="5"/>
      <c r="C26" s="5"/>
      <c r="D26" s="6" t="str">
        <f t="shared" si="0"/>
        <v/>
      </c>
      <c r="E26" s="7"/>
      <c r="F26" s="7"/>
      <c r="G26" s="8" t="str">
        <f t="shared" si="2"/>
        <v/>
      </c>
      <c r="H26" s="7"/>
      <c r="I26" s="7"/>
      <c r="J26" s="9" t="str">
        <f t="shared" si="3"/>
        <v/>
      </c>
      <c r="K26" s="28"/>
      <c r="L26" s="28"/>
      <c r="M26" s="9" t="str">
        <f t="shared" si="4"/>
        <v/>
      </c>
      <c r="N26" s="7"/>
      <c r="O26" s="15"/>
      <c r="P26" s="9" t="str">
        <f t="shared" si="1"/>
        <v/>
      </c>
      <c r="Q26" s="7"/>
      <c r="R26" s="7"/>
      <c r="S26" s="7"/>
      <c r="T26" s="5"/>
      <c r="U26" s="10" t="str">
        <f t="shared" si="5"/>
        <v/>
      </c>
      <c r="V26" s="9" t="str">
        <f t="shared" si="6"/>
        <v/>
      </c>
      <c r="W26" s="11" t="str">
        <f t="shared" si="7"/>
        <v/>
      </c>
      <c r="X26" s="11" t="str">
        <f t="shared" si="8"/>
        <v/>
      </c>
    </row>
    <row r="27" spans="1:24" hidden="1">
      <c r="A27" s="29"/>
      <c r="B27" s="5"/>
      <c r="C27" s="5"/>
      <c r="D27" s="6" t="str">
        <f t="shared" si="0"/>
        <v/>
      </c>
      <c r="E27" s="7"/>
      <c r="F27" s="7"/>
      <c r="G27" s="8" t="str">
        <f t="shared" si="2"/>
        <v/>
      </c>
      <c r="H27" s="7"/>
      <c r="I27" s="7"/>
      <c r="J27" s="9" t="str">
        <f t="shared" si="3"/>
        <v/>
      </c>
      <c r="K27" s="28"/>
      <c r="L27" s="28"/>
      <c r="M27" s="9" t="str">
        <f t="shared" si="4"/>
        <v/>
      </c>
      <c r="N27" s="7"/>
      <c r="O27" s="15"/>
      <c r="P27" s="9" t="str">
        <f t="shared" si="1"/>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2"/>
        <v/>
      </c>
      <c r="H28" s="7"/>
      <c r="I28" s="7"/>
      <c r="J28" s="9" t="str">
        <f t="shared" si="3"/>
        <v/>
      </c>
      <c r="K28" s="28"/>
      <c r="L28" s="28"/>
      <c r="M28" s="9" t="str">
        <f t="shared" si="4"/>
        <v/>
      </c>
      <c r="N28" s="7"/>
      <c r="O28" s="15"/>
      <c r="P28" s="9" t="str">
        <f t="shared" si="1"/>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2"/>
        <v/>
      </c>
      <c r="H29" s="7"/>
      <c r="I29" s="7"/>
      <c r="J29" s="9" t="str">
        <f t="shared" si="3"/>
        <v/>
      </c>
      <c r="K29" s="28"/>
      <c r="L29" s="28"/>
      <c r="M29" s="9" t="str">
        <f t="shared" si="4"/>
        <v/>
      </c>
      <c r="N29" s="7"/>
      <c r="O29" s="7"/>
      <c r="P29" s="9" t="str">
        <f t="shared" si="1"/>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2"/>
        <v/>
      </c>
      <c r="H30" s="7"/>
      <c r="I30" s="7"/>
      <c r="J30" s="9" t="str">
        <f t="shared" si="3"/>
        <v/>
      </c>
      <c r="K30" s="28"/>
      <c r="L30" s="28"/>
      <c r="M30" s="9" t="str">
        <f t="shared" si="4"/>
        <v/>
      </c>
      <c r="N30" s="7"/>
      <c r="O30" s="15"/>
      <c r="P30" s="9" t="str">
        <f t="shared" si="1"/>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2"/>
        <v/>
      </c>
      <c r="H31" s="7"/>
      <c r="I31" s="7"/>
      <c r="J31" s="9" t="str">
        <f t="shared" si="3"/>
        <v/>
      </c>
      <c r="K31" s="28"/>
      <c r="L31" s="28"/>
      <c r="M31" s="9" t="str">
        <f t="shared" si="4"/>
        <v/>
      </c>
      <c r="N31" s="7"/>
      <c r="O31" s="15"/>
      <c r="P31" s="9" t="str">
        <f t="shared" si="1"/>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2"/>
        <v/>
      </c>
      <c r="H32" s="7"/>
      <c r="I32" s="7"/>
      <c r="J32" s="9" t="str">
        <f t="shared" si="3"/>
        <v/>
      </c>
      <c r="K32" s="28"/>
      <c r="L32" s="28"/>
      <c r="M32" s="9" t="str">
        <f t="shared" si="4"/>
        <v/>
      </c>
      <c r="N32" s="7"/>
      <c r="O32" s="15"/>
      <c r="P32" s="9" t="str">
        <f t="shared" si="1"/>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2"/>
        <v/>
      </c>
      <c r="H33" s="7"/>
      <c r="I33" s="7"/>
      <c r="J33" s="9" t="str">
        <f t="shared" si="3"/>
        <v/>
      </c>
      <c r="K33" s="28"/>
      <c r="L33" s="28"/>
      <c r="M33" s="9" t="str">
        <f t="shared" si="4"/>
        <v/>
      </c>
      <c r="N33" s="7"/>
      <c r="O33" s="15"/>
      <c r="P33" s="9" t="str">
        <f t="shared" si="1"/>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2"/>
        <v/>
      </c>
      <c r="H34" s="7"/>
      <c r="I34" s="7"/>
      <c r="J34" s="9" t="str">
        <f t="shared" si="3"/>
        <v/>
      </c>
      <c r="K34" s="28"/>
      <c r="L34" s="28"/>
      <c r="M34" s="9" t="str">
        <f t="shared" si="4"/>
        <v/>
      </c>
      <c r="N34" s="7"/>
      <c r="O34" s="15"/>
      <c r="P34" s="9" t="str">
        <f t="shared" si="1"/>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2"/>
        <v/>
      </c>
      <c r="H35" s="7"/>
      <c r="I35" s="7"/>
      <c r="J35" s="9" t="str">
        <f t="shared" si="3"/>
        <v/>
      </c>
      <c r="K35" s="28"/>
      <c r="L35" s="28"/>
      <c r="M35" s="9" t="str">
        <f t="shared" si="4"/>
        <v/>
      </c>
      <c r="N35" s="7"/>
      <c r="O35" s="15"/>
      <c r="P35" s="9" t="str">
        <f t="shared" si="1"/>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2"/>
        <v/>
      </c>
      <c r="H36" s="7"/>
      <c r="I36" s="7"/>
      <c r="J36" s="9" t="str">
        <f t="shared" si="3"/>
        <v/>
      </c>
      <c r="K36" s="28"/>
      <c r="L36" s="28"/>
      <c r="M36" s="9" t="str">
        <f t="shared" si="4"/>
        <v/>
      </c>
      <c r="N36" s="7"/>
      <c r="O36" s="15"/>
      <c r="P36" s="9" t="str">
        <f t="shared" si="1"/>
        <v/>
      </c>
      <c r="Q36" s="15"/>
      <c r="R36" s="7"/>
      <c r="S36" s="7"/>
      <c r="T36" s="5"/>
      <c r="U36" s="10" t="str">
        <f t="shared" si="5"/>
        <v/>
      </c>
      <c r="V36" s="9" t="str">
        <f t="shared" si="6"/>
        <v/>
      </c>
      <c r="W36" s="11" t="str">
        <f t="shared" si="7"/>
        <v/>
      </c>
      <c r="X36" s="11" t="str">
        <f t="shared" si="8"/>
        <v/>
      </c>
    </row>
    <row r="37" spans="1:24" ht="15.75" thickBot="1">
      <c r="A37" s="29"/>
      <c r="B37" s="5"/>
      <c r="C37" s="5"/>
      <c r="D37" s="6" t="str">
        <f t="shared" si="0"/>
        <v/>
      </c>
      <c r="E37" s="7"/>
      <c r="F37" s="7"/>
      <c r="G37" s="8" t="str">
        <f t="shared" si="2"/>
        <v/>
      </c>
      <c r="H37" s="7"/>
      <c r="I37" s="7"/>
      <c r="J37" s="9" t="str">
        <f t="shared" si="3"/>
        <v/>
      </c>
      <c r="K37" s="28"/>
      <c r="L37" s="28"/>
      <c r="M37" s="9" t="str">
        <f t="shared" si="4"/>
        <v/>
      </c>
      <c r="N37" s="7"/>
      <c r="O37" s="15"/>
      <c r="P37" s="9" t="str">
        <f t="shared" si="1"/>
        <v/>
      </c>
      <c r="Q37" s="7"/>
      <c r="R37" s="7"/>
      <c r="S37" s="7"/>
      <c r="T37" s="5"/>
      <c r="U37" s="10" t="str">
        <f t="shared" si="5"/>
        <v/>
      </c>
      <c r="V37" s="9" t="str">
        <f t="shared" si="6"/>
        <v/>
      </c>
      <c r="W37" s="11" t="str">
        <f t="shared" si="7"/>
        <v/>
      </c>
      <c r="X37" s="11" t="str">
        <f t="shared" si="8"/>
        <v/>
      </c>
    </row>
    <row r="38" spans="1:24" s="43" customFormat="1" ht="19.5" thickBot="1">
      <c r="A38" s="31"/>
      <c r="B38" s="32" t="s">
        <v>41</v>
      </c>
      <c r="C38" s="32"/>
      <c r="D38" s="33">
        <f>SUM(D3:D37)</f>
        <v>10072.00000002631</v>
      </c>
      <c r="E38" s="33">
        <f>SUM(E3:E37)</f>
        <v>375</v>
      </c>
      <c r="F38" s="33">
        <f>SUM(F3:F37)</f>
        <v>585</v>
      </c>
      <c r="G38" s="33">
        <f>SUM(G3:G37)</f>
        <v>210</v>
      </c>
      <c r="H38" s="33">
        <f>SUM(H2:H37)</f>
        <v>1940</v>
      </c>
      <c r="I38" s="33">
        <f>SUM(I3:I37)</f>
        <v>614</v>
      </c>
      <c r="J38" s="34">
        <f>(D38-G38-H38-I38)/D38</f>
        <v>0.72557585385298051</v>
      </c>
      <c r="K38" s="35">
        <f>SUM(K3:K37)</f>
        <v>103</v>
      </c>
      <c r="L38" s="35">
        <f>SUM(L3:L37)</f>
        <v>645</v>
      </c>
      <c r="M38" s="36">
        <f>(D38-G38-H38-I38-E38-K38-L38)/D38</f>
        <v>0.61407863383738615</v>
      </c>
      <c r="N38" s="37">
        <f>AVERAGE(N3:N37)</f>
        <v>17000</v>
      </c>
      <c r="O38" s="38">
        <f>AVERAGE(O3:O37)</f>
        <v>16892.035742035743</v>
      </c>
      <c r="P38" s="34">
        <f>O38/N38</f>
        <v>0.99364916129622016</v>
      </c>
      <c r="Q38" s="37">
        <f>SUM(Q3:Q35)</f>
        <v>54388</v>
      </c>
      <c r="R38" s="37"/>
      <c r="S38" s="32"/>
      <c r="T38" s="32"/>
      <c r="U38" s="39"/>
      <c r="V38" s="40">
        <f>AVERAGE(V3:V37)</f>
        <v>0.99625021965001648</v>
      </c>
      <c r="W38" s="41">
        <f>V38*P38*J38</f>
        <v>0.71826436760350876</v>
      </c>
      <c r="X38" s="42">
        <f>V38*P38*M38</f>
        <v>0.60789068331015406</v>
      </c>
    </row>
    <row r="39" spans="1:24" ht="28.5">
      <c r="Q39" s="66"/>
      <c r="R39" s="66"/>
      <c r="S39" s="44"/>
      <c r="T39" s="45"/>
      <c r="U39" s="22"/>
    </row>
    <row r="40" spans="1:24" ht="28.5">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0.71826436760350876</v>
      </c>
      <c r="E47" s="55">
        <f t="shared" ref="E47:E52" si="18">100%-D47</f>
        <v>0.28173563239649124</v>
      </c>
    </row>
    <row r="48" spans="1:24">
      <c r="C48" s="4" t="s">
        <v>46</v>
      </c>
      <c r="D48" s="54">
        <f>X38</f>
        <v>0.60789068331015406</v>
      </c>
      <c r="E48" s="55">
        <f t="shared" si="18"/>
        <v>0.39210931668984594</v>
      </c>
    </row>
    <row r="49" spans="3:5">
      <c r="C49" s="4" t="s">
        <v>11</v>
      </c>
      <c r="D49" s="54">
        <f>J38</f>
        <v>0.72557585385298051</v>
      </c>
      <c r="E49" s="55">
        <f t="shared" si="18"/>
        <v>0.27442414614701949</v>
      </c>
    </row>
    <row r="50" spans="3:5" ht="30">
      <c r="C50" s="4" t="s">
        <v>14</v>
      </c>
      <c r="D50" s="54">
        <f>M38</f>
        <v>0.61407863383738615</v>
      </c>
      <c r="E50" s="55">
        <f t="shared" si="18"/>
        <v>0.38592136616261385</v>
      </c>
    </row>
    <row r="51" spans="3:5">
      <c r="C51" s="4" t="s">
        <v>17</v>
      </c>
      <c r="D51" s="54">
        <f>P38</f>
        <v>0.99364916129622016</v>
      </c>
      <c r="E51" s="55">
        <f t="shared" si="18"/>
        <v>6.3508387037798375E-3</v>
      </c>
    </row>
    <row r="52" spans="3:5">
      <c r="C52" s="4" t="str">
        <f>V2</f>
        <v>Quality</v>
      </c>
      <c r="D52" s="54">
        <f>V38</f>
        <v>0.99625021965001648</v>
      </c>
      <c r="E52" s="55">
        <f t="shared" si="18"/>
        <v>3.7497803499835225E-3</v>
      </c>
    </row>
  </sheetData>
  <mergeCells count="2">
    <mergeCell ref="Q39:R39"/>
    <mergeCell ref="R41:S41"/>
  </mergeCells>
  <pageMargins left="0.7" right="0.7" top="0.75" bottom="0.75" header="0.3" footer="0.3"/>
  <pageSetup paperSize="5" scale="43"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52"/>
  <sheetViews>
    <sheetView topLeftCell="C13" zoomScale="70" zoomScaleNormal="70" workbookViewId="0">
      <selection activeCell="M44" sqref="M44"/>
    </sheetView>
  </sheetViews>
  <sheetFormatPr defaultRowHeight="15"/>
  <cols>
    <col min="1" max="1" width="102.57031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5703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101</v>
      </c>
      <c r="D1" s="14"/>
      <c r="E1" s="12"/>
      <c r="F1" s="12"/>
      <c r="G1" s="14" t="s">
        <v>1</v>
      </c>
      <c r="H1" s="12"/>
      <c r="I1" s="12"/>
      <c r="J1" s="14"/>
      <c r="K1" s="14"/>
      <c r="L1" s="14"/>
      <c r="M1" s="14"/>
      <c r="N1" s="13"/>
      <c r="O1" s="13"/>
      <c r="P1" s="14"/>
      <c r="Q1" s="13"/>
      <c r="R1" s="13"/>
      <c r="S1" s="13"/>
      <c r="T1" s="13"/>
      <c r="U1" s="14"/>
      <c r="V1" s="14"/>
      <c r="W1" s="14"/>
      <c r="X1" s="14"/>
    </row>
    <row r="2" spans="1:24" ht="60">
      <c r="A2" s="1" t="s">
        <v>2</v>
      </c>
      <c r="B2" s="49" t="s">
        <v>3</v>
      </c>
      <c r="C2" s="49" t="s">
        <v>4</v>
      </c>
      <c r="D2" s="50" t="s">
        <v>5</v>
      </c>
      <c r="E2" s="49" t="s">
        <v>6</v>
      </c>
      <c r="F2" s="49" t="s">
        <v>7</v>
      </c>
      <c r="G2" s="50"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62</v>
      </c>
      <c r="B3" s="5">
        <v>46204.041666666664</v>
      </c>
      <c r="C3" s="5">
        <v>46204.972222222219</v>
      </c>
      <c r="D3" s="6">
        <f t="shared" ref="D3:D37" si="0">IF(B3="","",(C3-B3)*24*60)</f>
        <v>1339.9999999988358</v>
      </c>
      <c r="E3" s="7">
        <v>100</v>
      </c>
      <c r="F3" s="7">
        <v>110</v>
      </c>
      <c r="G3" s="8">
        <f t="shared" ref="G3:G37" si="1">IF(E3="","",F3-E3)</f>
        <v>10</v>
      </c>
      <c r="H3" s="7">
        <f>8+9+18+5+60+60+60+7+6+16+13+20+17+9</f>
        <v>308</v>
      </c>
      <c r="I3" s="7">
        <f>2+2+1+3+4+4+3+4+2+1+2+1+1+2+2+2+2+3+1+3+2+3+4+1+1+2+3+2+2+1</f>
        <v>66</v>
      </c>
      <c r="J3" s="9">
        <f>IF(B3="","",(D3-G3-H3-I3)/D3)</f>
        <v>0.71343283582064654</v>
      </c>
      <c r="K3" s="28">
        <v>10</v>
      </c>
      <c r="L3" s="28">
        <f>3+2+17+2+60+10+23</f>
        <v>117</v>
      </c>
      <c r="M3" s="9">
        <f>IF(B3="","",(D3-G3-H3-I3-K3-L3-E3)/D3)</f>
        <v>0.54402985074587251</v>
      </c>
      <c r="N3" s="7">
        <v>17000</v>
      </c>
      <c r="O3" s="15">
        <f>AVERAGE(18000,17000,17000,18000,18000,18000,17000,17000,18000,14000,18000,18000,17000,17000)</f>
        <v>17285.714285714286</v>
      </c>
      <c r="P3" s="9">
        <f t="shared" ref="P3:P37" si="2">IF(B3="","",O3/N3)</f>
        <v>1.0168067226890756</v>
      </c>
      <c r="Q3" s="7">
        <v>7047</v>
      </c>
      <c r="R3" s="7">
        <v>34</v>
      </c>
      <c r="S3" s="7"/>
      <c r="T3" s="5"/>
      <c r="U3" s="10" t="str">
        <f>IF(S3="","",(T3-C3))</f>
        <v/>
      </c>
      <c r="V3" s="9">
        <f>IF(B3="","",IF(U3&lt;3,(Q3-R3)/Q3,(Q3-R3-S3)/Q3))</f>
        <v>0.9951752518802327</v>
      </c>
      <c r="W3" s="11">
        <f>IF(B3="","",V3*P3*J3)</f>
        <v>0.72192331892924633</v>
      </c>
      <c r="X3" s="11">
        <f>IF(B3="","",V3*P3*M3)</f>
        <v>0.55050428817910146</v>
      </c>
    </row>
    <row r="4" spans="1:24">
      <c r="A4" s="27" t="s">
        <v>102</v>
      </c>
      <c r="B4" s="5">
        <v>46205.006249999999</v>
      </c>
      <c r="C4" s="5">
        <v>46206</v>
      </c>
      <c r="D4" s="6">
        <f t="shared" si="0"/>
        <v>1431.0000000020955</v>
      </c>
      <c r="E4" s="7">
        <f>10+100</f>
        <v>110</v>
      </c>
      <c r="F4" s="7">
        <v>150</v>
      </c>
      <c r="G4" s="8">
        <f t="shared" si="1"/>
        <v>40</v>
      </c>
      <c r="H4" s="7">
        <f>5+9+7+26+17+5+12+8+6+20+10+7+17+6+9+5+7</f>
        <v>176</v>
      </c>
      <c r="I4" s="7">
        <f>2+2+2+3+4+2+3+3+4+4+3+3+2+2+4+2+4+2+1+2+2+3+3</f>
        <v>62</v>
      </c>
      <c r="J4" s="9">
        <f t="shared" ref="J4:J5" si="3">IF(B4="","",(D4-G4-H4-I4)/D4)</f>
        <v>0.80573025856073177</v>
      </c>
      <c r="K4" s="28">
        <f>20+60+60</f>
        <v>140</v>
      </c>
      <c r="L4" s="28">
        <f>12+10+5+28+13+2+35+3</f>
        <v>108</v>
      </c>
      <c r="M4" s="9">
        <f t="shared" ref="M4:M5" si="4">IF(B4="","",(D4-G4-H4-I4-K4-L4-E4)/D4)</f>
        <v>0.55555555555620639</v>
      </c>
      <c r="N4" s="7">
        <v>17000</v>
      </c>
      <c r="O4" s="15">
        <f>AVERAGE(17000,17000,18000,18000,17000,17000,17000,17000,17000,18000,18000,16500,17000,17000,17000,17000,17000,17000,17000)</f>
        <v>17184.21052631579</v>
      </c>
      <c r="P4" s="9">
        <f t="shared" si="2"/>
        <v>1.0108359133126936</v>
      </c>
      <c r="Q4" s="7">
        <v>7413</v>
      </c>
      <c r="R4" s="7">
        <v>26</v>
      </c>
      <c r="S4" s="7">
        <v>3</v>
      </c>
      <c r="T4" s="5"/>
      <c r="U4" s="10">
        <f t="shared" ref="U4:U5" si="5">IF(S4="","",(T4-C4))</f>
        <v>-46206</v>
      </c>
      <c r="V4" s="9">
        <f t="shared" ref="V4:V5" si="6">IF(B4="","",IF(U4&lt;3,(Q4-R4)/Q4,(Q4-R4-S4)/Q4))</f>
        <v>0.99649264805072169</v>
      </c>
      <c r="W4" s="11">
        <f t="shared" ref="W4:W5" si="7">IF(B4="","",V4*P4*J4)</f>
        <v>0.81160448013306186</v>
      </c>
      <c r="X4" s="11">
        <f t="shared" ref="X4:X5" si="8">IF(B4="","",V4*P4*M4)</f>
        <v>0.55960586444606431</v>
      </c>
    </row>
    <row r="5" spans="1:24">
      <c r="A5" s="29" t="s">
        <v>31</v>
      </c>
      <c r="B5" s="5">
        <v>46206.010416666664</v>
      </c>
      <c r="C5" s="5">
        <v>46206.829861111109</v>
      </c>
      <c r="D5" s="6">
        <f t="shared" si="0"/>
        <v>1180.0000000011642</v>
      </c>
      <c r="E5" s="7">
        <v>10</v>
      </c>
      <c r="F5" s="7">
        <v>14</v>
      </c>
      <c r="G5" s="8">
        <f t="shared" si="1"/>
        <v>4</v>
      </c>
      <c r="H5" s="7">
        <f>6+7+5+5+5+7+5</f>
        <v>40</v>
      </c>
      <c r="I5" s="7">
        <f>4+3+2+2+1+2+2+3+2+3+2+2+2+1+3+2+2+1+1+3+2+2+4+4+4+1+2+2+3+3+3+3+4+2</f>
        <v>82</v>
      </c>
      <c r="J5" s="9">
        <f t="shared" si="3"/>
        <v>0.89322033898315623</v>
      </c>
      <c r="K5" s="28">
        <f>39+60+60+30+8+3</f>
        <v>200</v>
      </c>
      <c r="L5" s="28">
        <f>5+30+34+10+3</f>
        <v>82</v>
      </c>
      <c r="M5" s="9">
        <f t="shared" si="4"/>
        <v>0.64576271186475631</v>
      </c>
      <c r="N5" s="7">
        <v>17000</v>
      </c>
      <c r="O5" s="15">
        <f>AVERAGE(17000,17000,17000,17000,17000,17000,17000,18000,18000,18000,16000,18000,18000,18000,18000)</f>
        <v>17400</v>
      </c>
      <c r="P5" s="9">
        <f t="shared" si="2"/>
        <v>1.0235294117647058</v>
      </c>
      <c r="Q5" s="7">
        <v>7455</v>
      </c>
      <c r="R5" s="7">
        <v>11</v>
      </c>
      <c r="S5" s="7">
        <v>49</v>
      </c>
      <c r="T5" s="5"/>
      <c r="U5" s="10">
        <f t="shared" si="5"/>
        <v>-46206.829861111109</v>
      </c>
      <c r="V5" s="9">
        <f t="shared" si="6"/>
        <v>0.99852448021462104</v>
      </c>
      <c r="W5" s="11">
        <f t="shared" si="7"/>
        <v>0.91288831292852557</v>
      </c>
      <c r="X5" s="11">
        <f t="shared" si="8"/>
        <v>0.6599818732939573</v>
      </c>
    </row>
    <row r="6" spans="1:24">
      <c r="A6" s="29" t="s">
        <v>58</v>
      </c>
      <c r="B6" s="5">
        <v>46209.083333333336</v>
      </c>
      <c r="C6" s="5">
        <v>46210</v>
      </c>
      <c r="D6" s="6">
        <f t="shared" si="0"/>
        <v>1319.9999999965075</v>
      </c>
      <c r="E6" s="7">
        <v>0</v>
      </c>
      <c r="F6" s="7">
        <v>0</v>
      </c>
      <c r="G6" s="8">
        <f t="shared" si="1"/>
        <v>0</v>
      </c>
      <c r="H6" s="7">
        <f>6+53+60+60+45+7+13+22+15+8+12+8+8+10+8+16+11+5+12+26+5+5+6+5+60+60</f>
        <v>546</v>
      </c>
      <c r="I6" s="7">
        <f>2+3+4+4+2+4+3+3+4+2+1+2+2+2+3+3+2+3+1+2+3+4+2+2+4+3</f>
        <v>70</v>
      </c>
      <c r="J6" s="9">
        <f>IF(B6="","",(D6-G6-H6-I6)/D6)</f>
        <v>0.53333333333209865</v>
      </c>
      <c r="K6" s="28">
        <v>0</v>
      </c>
      <c r="L6" s="28">
        <f>3+5</f>
        <v>8</v>
      </c>
      <c r="M6" s="9">
        <f>IF(B6="","",(D6-G6-H6-I6-K6-L6-E6)/D6)</f>
        <v>0.52727272727147656</v>
      </c>
      <c r="N6" s="7">
        <v>17000</v>
      </c>
      <c r="O6" s="15">
        <f>AVERAGE(18000,,17200,17200,17200,17500,17500,17500,17500,,17000,17500,17500,17500,17500,17500,17500,17500)</f>
        <v>15505.555555555555</v>
      </c>
      <c r="P6" s="9">
        <f t="shared" si="2"/>
        <v>0.91209150326797384</v>
      </c>
      <c r="Q6" s="7">
        <v>6224</v>
      </c>
      <c r="R6" s="7">
        <v>18</v>
      </c>
      <c r="S6" s="7"/>
      <c r="T6" s="5"/>
      <c r="U6" s="10" t="str">
        <f t="shared" ref="U6:U37" si="9">IF(S6="","",(T6-C6))</f>
        <v/>
      </c>
      <c r="V6" s="9">
        <f t="shared" ref="V6:V37" si="10">IF(B6="","",IF(U6&lt;3,(Q6-R6)/Q6,(Q6-R6-S6)/Q6))</f>
        <v>0.99710796915167099</v>
      </c>
      <c r="W6" s="11">
        <f t="shared" ref="W6:W8" si="11">IF(B6="","",V6*P6*J6)</f>
        <v>0.48504197680102329</v>
      </c>
      <c r="X6" s="11">
        <f t="shared" ref="X6:X8" si="12">IF(B6="","",V6*P6*M6)</f>
        <v>0.47953013615552981</v>
      </c>
    </row>
    <row r="7" spans="1:24">
      <c r="A7" s="29" t="s">
        <v>61</v>
      </c>
      <c r="B7" s="5">
        <v>46210.081944444442</v>
      </c>
      <c r="C7" s="5">
        <v>46211</v>
      </c>
      <c r="D7" s="6">
        <f t="shared" si="0"/>
        <v>1322.0000000030268</v>
      </c>
      <c r="E7" s="7">
        <v>10</v>
      </c>
      <c r="F7" s="7">
        <v>15</v>
      </c>
      <c r="G7" s="8">
        <f t="shared" si="1"/>
        <v>5</v>
      </c>
      <c r="H7" s="7">
        <f>5+8+11+12+19+5+13+11+14+5+12+6+7</f>
        <v>128</v>
      </c>
      <c r="I7" s="7">
        <f>3+3+4+4+3+2+3+3+4+3+3+2+4+4</f>
        <v>45</v>
      </c>
      <c r="J7" s="9">
        <f t="shared" ref="J7:J37" si="13">IF(B7="","",(D7-G7-H7-I7)/D7)</f>
        <v>0.86535552193676823</v>
      </c>
      <c r="K7" s="28">
        <v>780</v>
      </c>
      <c r="L7" s="28">
        <f>15</f>
        <v>15</v>
      </c>
      <c r="M7" s="9">
        <f t="shared" ref="M7:M37" si="14">IF(B7="","",(D7-G7-H7-I7-K7-L7-E7)/D7)</f>
        <v>0.25642965204406248</v>
      </c>
      <c r="N7" s="7">
        <v>17000</v>
      </c>
      <c r="O7" s="15">
        <f>AVERAGE(17500,17500,17500,18000,18000,17500)</f>
        <v>17666.666666666668</v>
      </c>
      <c r="P7" s="9">
        <f t="shared" si="2"/>
        <v>1.0392156862745099</v>
      </c>
      <c r="Q7" s="15">
        <v>3180</v>
      </c>
      <c r="R7" s="15">
        <v>12</v>
      </c>
      <c r="S7" s="7"/>
      <c r="T7" s="5"/>
      <c r="U7" s="10" t="str">
        <f t="shared" si="9"/>
        <v/>
      </c>
      <c r="V7" s="9">
        <f t="shared" si="10"/>
        <v>0.99622641509433962</v>
      </c>
      <c r="W7" s="11">
        <f t="shared" si="11"/>
        <v>0.89589748153453663</v>
      </c>
      <c r="X7" s="11">
        <f t="shared" si="12"/>
        <v>0.26548011035149999</v>
      </c>
    </row>
    <row r="8" spans="1:24">
      <c r="A8" s="29" t="s">
        <v>103</v>
      </c>
      <c r="B8" s="5">
        <v>46211.009722222225</v>
      </c>
      <c r="C8" s="5">
        <v>46212</v>
      </c>
      <c r="D8" s="6">
        <f t="shared" si="0"/>
        <v>1425.9999999962747</v>
      </c>
      <c r="E8" s="7">
        <f>60+30+20+30</f>
        <v>140</v>
      </c>
      <c r="F8" s="7">
        <v>97</v>
      </c>
      <c r="G8" s="8">
        <f t="shared" si="1"/>
        <v>-43</v>
      </c>
      <c r="H8" s="7">
        <f>40+60+5+7+6+7+7+16+6+6+8+16+30+30+15+30+19</f>
        <v>308</v>
      </c>
      <c r="I8" s="7">
        <f>2+4+3+2+2+2+2+1+3+2+4+2+2+4+1+1+2+2+1+1+3+2+2</f>
        <v>50</v>
      </c>
      <c r="J8" s="9">
        <f t="shared" si="13"/>
        <v>0.77910238429114798</v>
      </c>
      <c r="K8" s="28">
        <f>10+60+60+60+22</f>
        <v>212</v>
      </c>
      <c r="L8" s="28">
        <f>9+15+11+27+1+5</f>
        <v>68</v>
      </c>
      <c r="M8" s="9">
        <f t="shared" si="14"/>
        <v>0.48457223001267874</v>
      </c>
      <c r="N8" s="7">
        <v>17000</v>
      </c>
      <c r="O8" s="15">
        <f>AVERAGE(17500,17200,17200,17500,17500,17500,17500,17500,17500,17500,17400,17500,17500,17500,17500)</f>
        <v>17453.333333333332</v>
      </c>
      <c r="P8" s="9">
        <f t="shared" si="2"/>
        <v>1.0266666666666666</v>
      </c>
      <c r="Q8" s="15">
        <v>5705</v>
      </c>
      <c r="R8" s="15">
        <v>7</v>
      </c>
      <c r="S8" s="7"/>
      <c r="T8" s="5"/>
      <c r="U8" s="10" t="str">
        <f t="shared" si="9"/>
        <v/>
      </c>
      <c r="V8" s="9">
        <f t="shared" si="10"/>
        <v>0.99877300613496933</v>
      </c>
      <c r="W8" s="11">
        <f t="shared" si="11"/>
        <v>0.79889700192393576</v>
      </c>
      <c r="X8" s="11">
        <f t="shared" si="12"/>
        <v>0.49688373386887003</v>
      </c>
    </row>
    <row r="9" spans="1:24">
      <c r="A9" s="29" t="s">
        <v>104</v>
      </c>
      <c r="B9" s="5">
        <v>46212.006944444445</v>
      </c>
      <c r="C9" s="5">
        <v>46212.861111111109</v>
      </c>
      <c r="D9" s="6">
        <f t="shared" si="0"/>
        <v>1229.9999999965075</v>
      </c>
      <c r="E9" s="7">
        <f>20+30</f>
        <v>50</v>
      </c>
      <c r="F9" s="7">
        <v>117</v>
      </c>
      <c r="G9" s="8">
        <f t="shared" si="1"/>
        <v>67</v>
      </c>
      <c r="H9" s="7">
        <f>5+5+7+10+8+8+7+10+13+9+7+14+6+21+10+7+10</f>
        <v>157</v>
      </c>
      <c r="I9" s="7">
        <f>4+2+2+1+3+3+4+3+2+4+2+1+2+2+4+4+4+2+2+3+2+3+3+4+2+2</f>
        <v>70</v>
      </c>
      <c r="J9" s="9">
        <f>IF(B9="","",(D9-G9-H9-I9)/D9)</f>
        <v>0.76097560975541889</v>
      </c>
      <c r="K9" s="28">
        <v>0</v>
      </c>
      <c r="L9" s="28">
        <f>10+3+3+27+60+60+60+26+4+2+3+5+2+2</f>
        <v>267</v>
      </c>
      <c r="M9" s="9">
        <f t="shared" si="14"/>
        <v>0.5032520325189147</v>
      </c>
      <c r="N9" s="7">
        <v>17000</v>
      </c>
      <c r="O9" s="15">
        <f>AVERAGE(17000,17000,17000,16800,16800,16000,16000,16000,16000,17000)</f>
        <v>16560</v>
      </c>
      <c r="P9" s="9">
        <f t="shared" si="2"/>
        <v>0.97411764705882353</v>
      </c>
      <c r="Q9" s="15">
        <v>4891</v>
      </c>
      <c r="R9" s="15">
        <v>14</v>
      </c>
      <c r="S9" s="7"/>
      <c r="T9" s="5"/>
      <c r="U9" s="10" t="str">
        <f t="shared" si="9"/>
        <v/>
      </c>
      <c r="V9" s="9">
        <f t="shared" si="10"/>
        <v>0.99713759967286852</v>
      </c>
      <c r="W9" s="11">
        <f t="shared" ref="W9:W37" si="15">IF(B9="","",V9*P9*J9)</f>
        <v>0.73915793098668703</v>
      </c>
      <c r="X9" s="11">
        <f t="shared" ref="X9:X37" si="16">IF(B9="","",V9*P9*M9)</f>
        <v>0.48882346076910788</v>
      </c>
    </row>
    <row r="10" spans="1:24">
      <c r="A10" s="29" t="s">
        <v>105</v>
      </c>
      <c r="B10" s="5">
        <v>46213.019444444442</v>
      </c>
      <c r="C10" s="5">
        <v>46213.840277777781</v>
      </c>
      <c r="D10" s="6">
        <f t="shared" si="0"/>
        <v>1182.0000000076834</v>
      </c>
      <c r="E10" s="7">
        <v>60</v>
      </c>
      <c r="F10" s="7">
        <v>65</v>
      </c>
      <c r="G10" s="8">
        <f t="shared" si="1"/>
        <v>5</v>
      </c>
      <c r="H10" s="7">
        <f>10+60+20+8+5+5+30+27+60+60+5+8+6+5+24+15+7+5+8+7+8</f>
        <v>383</v>
      </c>
      <c r="I10" s="7">
        <f>4+2+1+4+4+2+4+2+4+2+2+4+2+4+2+4+2+4+3+4+2+4+3+3+1+3+2+3+2+2+2+4</f>
        <v>91</v>
      </c>
      <c r="J10" s="9">
        <f t="shared" si="13"/>
        <v>0.59475465313292186</v>
      </c>
      <c r="K10" s="28">
        <v>0</v>
      </c>
      <c r="L10" s="28">
        <f>5+5+3+10+2+7</f>
        <v>32</v>
      </c>
      <c r="M10" s="9">
        <f t="shared" si="14"/>
        <v>0.51692047377640582</v>
      </c>
      <c r="N10" s="7">
        <v>17000</v>
      </c>
      <c r="O10" s="15">
        <f>AVERAGE(17000,11000,17000,17000,17000,17000,17000,17000,17000,17000,17000,17500,17500,17500,18000)</f>
        <v>16766.666666666668</v>
      </c>
      <c r="P10" s="9">
        <f t="shared" si="2"/>
        <v>0.98627450980392162</v>
      </c>
      <c r="Q10" s="15">
        <v>5302</v>
      </c>
      <c r="R10" s="15">
        <v>11</v>
      </c>
      <c r="S10" s="7">
        <v>33</v>
      </c>
      <c r="T10" s="5"/>
      <c r="U10" s="10">
        <f t="shared" si="9"/>
        <v>-46213.840277777781</v>
      </c>
      <c r="V10" s="9">
        <f t="shared" ref="V10" si="17">IF(B10="","",IF(U10&lt;3,(Q10-R10)/Q10,(Q10-R10-S10)/Q10))</f>
        <v>0.99792531120331951</v>
      </c>
      <c r="W10" s="11">
        <f t="shared" ref="W10" si="18">IF(B10="","",V10*P10*J10)</f>
        <v>0.58537435946195804</v>
      </c>
      <c r="X10" s="11">
        <f t="shared" ref="X10" si="19">IF(B10="","",V10*P10*M10)</f>
        <v>0.5087677576555405</v>
      </c>
    </row>
    <row r="11" spans="1:24">
      <c r="A11" s="29" t="s">
        <v>106</v>
      </c>
      <c r="B11" s="5">
        <v>46216.072916666664</v>
      </c>
      <c r="C11" s="5">
        <v>46217</v>
      </c>
      <c r="D11" s="6">
        <f t="shared" si="0"/>
        <v>1335.0000000034925</v>
      </c>
      <c r="E11" s="7">
        <v>60</v>
      </c>
      <c r="F11" s="7">
        <v>55</v>
      </c>
      <c r="G11" s="8">
        <f t="shared" si="1"/>
        <v>-5</v>
      </c>
      <c r="H11" s="7">
        <f>5+17+5+45+55+60+5+6+6+5+6+5+8+6+5+6+15+7+8+7+7</f>
        <v>289</v>
      </c>
      <c r="I11" s="7">
        <f>2+3+4+2+2+2+3+1+2+2+4+4+1+4+3+2+2+2+2+3+4+2+4+4+2+3+1+1+3+3+3+4+4+2+2+2+2+1+4+3+4+2+4+2+3+2</f>
        <v>121</v>
      </c>
      <c r="J11" s="9">
        <f t="shared" si="13"/>
        <v>0.69662921348393969</v>
      </c>
      <c r="K11" s="7">
        <v>0</v>
      </c>
      <c r="L11" s="7">
        <f>5+4+10+2+37+60</f>
        <v>118</v>
      </c>
      <c r="M11" s="9">
        <f t="shared" si="14"/>
        <v>0.56329588015095522</v>
      </c>
      <c r="N11" s="7">
        <v>17000</v>
      </c>
      <c r="O11" s="15">
        <f>AVERAGE(17200,17200,17000,15000,15000,13500,13500,17000,17000,17000,17000,17000,17000,17000,17000,17000)</f>
        <v>16337.5</v>
      </c>
      <c r="P11" s="9">
        <f t="shared" si="2"/>
        <v>0.96102941176470591</v>
      </c>
      <c r="Q11" s="15">
        <v>6149</v>
      </c>
      <c r="R11" s="15">
        <v>47</v>
      </c>
      <c r="S11" s="7"/>
      <c r="T11" s="5"/>
      <c r="U11" s="10" t="str">
        <f t="shared" si="9"/>
        <v/>
      </c>
      <c r="V11" s="9">
        <f t="shared" si="10"/>
        <v>0.99235648072857374</v>
      </c>
      <c r="W11" s="11">
        <f t="shared" si="15"/>
        <v>0.66436397107940226</v>
      </c>
      <c r="X11" s="11">
        <f t="shared" si="16"/>
        <v>0.53720613575500498</v>
      </c>
    </row>
    <row r="12" spans="1:24">
      <c r="A12" s="29" t="s">
        <v>58</v>
      </c>
      <c r="B12" s="5">
        <v>46217.010416666664</v>
      </c>
      <c r="C12" s="5">
        <v>46218</v>
      </c>
      <c r="D12" s="6">
        <f t="shared" si="0"/>
        <v>1425.0000000034925</v>
      </c>
      <c r="E12" s="7">
        <v>0</v>
      </c>
      <c r="F12" s="7">
        <v>0</v>
      </c>
      <c r="G12" s="8">
        <f t="shared" si="1"/>
        <v>0</v>
      </c>
      <c r="H12" s="7">
        <f>10+5+5+7+5+5+6+10+8+7+5+6+22+5</f>
        <v>106</v>
      </c>
      <c r="I12" s="7">
        <f>2+3+3+4+1+1+4+2+3+1+3+2+2+3+2+4+2+2+2+2+4+2+3+3+4+1+1+2+2+4+4+2+2+3+2+1+3+4+3+3+2+2+3+2+1+1+3+3+2+3</f>
        <v>123</v>
      </c>
      <c r="J12" s="9">
        <f t="shared" si="13"/>
        <v>0.83929824561442889</v>
      </c>
      <c r="K12" s="28">
        <v>0</v>
      </c>
      <c r="L12" s="28">
        <f>2+10+5+6+4+5+5+3+8+5+9+4+16+42+4+60</f>
        <v>188</v>
      </c>
      <c r="M12" s="9">
        <f t="shared" si="14"/>
        <v>0.70736842105334874</v>
      </c>
      <c r="N12" s="7">
        <v>17000</v>
      </c>
      <c r="O12" s="15">
        <f>AVERAGE(17000,17000,17000,17000,17000,17000,17000,17000,17000,17000,17000,17000,17000,17000,17500,17500,17500,17300,17200,17200,17200,17200,17000)</f>
        <v>17113.043478260868</v>
      </c>
      <c r="P12" s="9">
        <f t="shared" si="2"/>
        <v>1.0066496163682863</v>
      </c>
      <c r="Q12" s="15">
        <v>9145</v>
      </c>
      <c r="R12" s="15">
        <v>13</v>
      </c>
      <c r="S12" s="7"/>
      <c r="T12" s="5"/>
      <c r="U12" s="10" t="str">
        <f t="shared" si="9"/>
        <v/>
      </c>
      <c r="V12" s="9">
        <f t="shared" si="10"/>
        <v>0.99857845817386548</v>
      </c>
      <c r="W12" s="11">
        <f t="shared" si="15"/>
        <v>0.84367822576452955</v>
      </c>
      <c r="X12" s="11">
        <f t="shared" si="16"/>
        <v>0.71105990934039209</v>
      </c>
    </row>
    <row r="13" spans="1:24">
      <c r="A13" s="29" t="s">
        <v>107</v>
      </c>
      <c r="B13" s="5">
        <v>46218.069444444445</v>
      </c>
      <c r="C13" s="5">
        <v>46219</v>
      </c>
      <c r="D13" s="6">
        <f t="shared" si="0"/>
        <v>1339.9999999988358</v>
      </c>
      <c r="E13" s="7">
        <f>30+30</f>
        <v>60</v>
      </c>
      <c r="F13" s="7">
        <v>138</v>
      </c>
      <c r="G13" s="8">
        <f t="shared" si="1"/>
        <v>78</v>
      </c>
      <c r="H13" s="7">
        <f>23+6+10+6+10+5+5+8+8+11+12+5+6+5+7+5+60+60+27+9+7+6+5</f>
        <v>306</v>
      </c>
      <c r="I13" s="7">
        <f>4+1+3+3+4+1+3+2+4+6+1+4+4+3+3+2+4+4+2+3+3+2+3+2+2+2+2+1+3+4+3+2+2+1</f>
        <v>93</v>
      </c>
      <c r="J13" s="9">
        <f t="shared" si="13"/>
        <v>0.64402985074595942</v>
      </c>
      <c r="K13" s="28">
        <v>0</v>
      </c>
      <c r="L13" s="28">
        <f>8+11+13+2+12+5</f>
        <v>51</v>
      </c>
      <c r="M13" s="9">
        <f>IF(B13="","",(D13-G13-H13-I13-K13-L13-E13)/D13)</f>
        <v>0.56119402985036504</v>
      </c>
      <c r="N13" s="7">
        <v>17000</v>
      </c>
      <c r="O13" s="15">
        <f>AVERAGE(17000,17000,17000,17000,17000,17000,17000,17000,17000,17000,17000,17000,17000,17000,17500,17500,17500,17300,17200,17200,17200,17200,17200,17000)</f>
        <v>17116.666666666668</v>
      </c>
      <c r="P13" s="9">
        <f t="shared" si="2"/>
        <v>1.0068627450980392</v>
      </c>
      <c r="Q13" s="15">
        <v>5874</v>
      </c>
      <c r="R13" s="15">
        <v>24</v>
      </c>
      <c r="S13" s="7"/>
      <c r="T13" s="5"/>
      <c r="U13" s="10" t="str">
        <f t="shared" si="9"/>
        <v/>
      </c>
      <c r="V13" s="9">
        <f t="shared" si="10"/>
        <v>0.99591419816138915</v>
      </c>
      <c r="W13" s="11">
        <f t="shared" si="15"/>
        <v>0.64580022661999825</v>
      </c>
      <c r="X13" s="11">
        <f t="shared" si="16"/>
        <v>0.56273669805114945</v>
      </c>
    </row>
    <row r="14" spans="1:24">
      <c r="A14" s="29" t="s">
        <v>108</v>
      </c>
      <c r="B14" s="5">
        <v>46219.010416666664</v>
      </c>
      <c r="C14" s="5">
        <v>46220</v>
      </c>
      <c r="D14" s="6">
        <f t="shared" si="0"/>
        <v>1425.0000000034925</v>
      </c>
      <c r="E14" s="7">
        <f>30+30+30</f>
        <v>90</v>
      </c>
      <c r="F14" s="7">
        <v>101</v>
      </c>
      <c r="G14" s="8">
        <f t="shared" si="1"/>
        <v>11</v>
      </c>
      <c r="H14" s="7">
        <f>14+5+7+11+30+25+60+60+21+6+7+26+50+25+6+8+5+8+6+9+20+5+11</f>
        <v>425</v>
      </c>
      <c r="I14" s="7">
        <f>4+3+2+4+4+1+3+4+2+2+3+1+4+3+4+3+1+2+2+3+2+3+1+2+2+1+2+2+2+3</f>
        <v>75</v>
      </c>
      <c r="J14" s="9">
        <f t="shared" si="13"/>
        <v>0.64140350877280872</v>
      </c>
      <c r="K14" s="28">
        <v>0</v>
      </c>
      <c r="L14" s="28">
        <f>9+1+1+11+4+21+8+3</f>
        <v>58</v>
      </c>
      <c r="M14" s="9">
        <f t="shared" si="14"/>
        <v>0.53754385965025619</v>
      </c>
      <c r="N14" s="7">
        <v>17000</v>
      </c>
      <c r="O14" s="15">
        <f>AVERAGE(17000,17000,17000,17000,17200,17200,17200,17200,17200,17200,17400,16000,17000,17000,17000,17000,17000)</f>
        <v>17035.294117647059</v>
      </c>
      <c r="P14" s="9">
        <f t="shared" si="2"/>
        <v>1.0020761245674741</v>
      </c>
      <c r="Q14" s="15">
        <v>6510</v>
      </c>
      <c r="R14" s="15">
        <v>6</v>
      </c>
      <c r="S14" s="7">
        <v>31</v>
      </c>
      <c r="T14" s="5"/>
      <c r="U14" s="10">
        <f t="shared" si="9"/>
        <v>-46220</v>
      </c>
      <c r="V14" s="9">
        <f t="shared" si="10"/>
        <v>0.99907834101382487</v>
      </c>
      <c r="W14" s="11">
        <f t="shared" si="15"/>
        <v>0.64214275973535395</v>
      </c>
      <c r="X14" s="11">
        <f t="shared" si="16"/>
        <v>0.53816340695584708</v>
      </c>
    </row>
    <row r="15" spans="1:24">
      <c r="A15" s="29" t="s">
        <v>109</v>
      </c>
      <c r="B15" s="5">
        <v>46220.015277777777</v>
      </c>
      <c r="C15" s="5">
        <v>46220.15625</v>
      </c>
      <c r="D15" s="6">
        <f t="shared" si="0"/>
        <v>203.00000000162981</v>
      </c>
      <c r="E15" s="7">
        <v>60</v>
      </c>
      <c r="F15" s="7">
        <v>45</v>
      </c>
      <c r="G15" s="8">
        <f t="shared" si="1"/>
        <v>-15</v>
      </c>
      <c r="H15" s="7">
        <f>16+11+14</f>
        <v>41</v>
      </c>
      <c r="I15" s="7">
        <f>3+3+3+2</f>
        <v>11</v>
      </c>
      <c r="J15" s="9">
        <f t="shared" si="13"/>
        <v>0.81773399014924664</v>
      </c>
      <c r="K15" s="28">
        <v>0</v>
      </c>
      <c r="L15" s="28">
        <f>20</f>
        <v>20</v>
      </c>
      <c r="M15" s="9">
        <f t="shared" si="14"/>
        <v>0.42364532020167167</v>
      </c>
      <c r="N15" s="7">
        <v>17000</v>
      </c>
      <c r="O15" s="15">
        <f>AVERAGE(17000,17000,17000,17000)</f>
        <v>17000</v>
      </c>
      <c r="P15" s="9">
        <f t="shared" si="2"/>
        <v>1</v>
      </c>
      <c r="Q15" s="15">
        <v>1090</v>
      </c>
      <c r="R15" s="7">
        <v>3</v>
      </c>
      <c r="S15" s="7"/>
      <c r="T15" s="5"/>
      <c r="U15" s="10" t="str">
        <f t="shared" si="9"/>
        <v/>
      </c>
      <c r="V15" s="9">
        <f t="shared" si="10"/>
        <v>0.99724770642201832</v>
      </c>
      <c r="W15" s="11">
        <f t="shared" si="15"/>
        <v>0.81548334613966156</v>
      </c>
      <c r="X15" s="11">
        <f t="shared" si="16"/>
        <v>0.42247932390753862</v>
      </c>
    </row>
    <row r="16" spans="1:24">
      <c r="A16" s="29" t="s">
        <v>110</v>
      </c>
      <c r="B16" s="5">
        <v>46223.144444444442</v>
      </c>
      <c r="C16" s="5">
        <v>46223.870833333334</v>
      </c>
      <c r="D16" s="6">
        <f t="shared" si="0"/>
        <v>1046.0000000044238</v>
      </c>
      <c r="E16" s="7">
        <v>60</v>
      </c>
      <c r="F16" s="7">
        <v>75</v>
      </c>
      <c r="G16" s="8">
        <f t="shared" si="1"/>
        <v>15</v>
      </c>
      <c r="H16" s="7">
        <f>5+20+33+9+12+6+10+60+60+60+15</f>
        <v>290</v>
      </c>
      <c r="I16" s="7">
        <f>4+3+2+2+1+1+1+1+1+1+1+4+3+1+4+3+4+3+2+4+2+1</f>
        <v>49</v>
      </c>
      <c r="J16" s="9">
        <f t="shared" si="13"/>
        <v>0.66156787763049441</v>
      </c>
      <c r="K16" s="28">
        <v>0</v>
      </c>
      <c r="L16" s="28">
        <f>3+7+3+4+3+3+2+10+5+55</f>
        <v>95</v>
      </c>
      <c r="M16" s="9">
        <f t="shared" si="14"/>
        <v>0.51338432122576738</v>
      </c>
      <c r="N16" s="7">
        <v>17000</v>
      </c>
      <c r="O16" s="15">
        <f>AVERAGE(16000,17000,17000,17000,17000,17000,17000,17000,17000,17000,17000,18000,18000,18000,17500)</f>
        <v>17166.666666666668</v>
      </c>
      <c r="P16" s="9">
        <f t="shared" si="2"/>
        <v>1.0098039215686274</v>
      </c>
      <c r="Q16" s="7">
        <v>6165</v>
      </c>
      <c r="R16" s="7">
        <v>23</v>
      </c>
      <c r="S16" s="7"/>
      <c r="T16" s="5"/>
      <c r="U16" s="10" t="str">
        <f t="shared" si="9"/>
        <v/>
      </c>
      <c r="V16" s="9">
        <f t="shared" si="10"/>
        <v>0.99626926196269261</v>
      </c>
      <c r="W16" s="11">
        <f t="shared" si="15"/>
        <v>0.66556150335363951</v>
      </c>
      <c r="X16" s="11">
        <f t="shared" si="16"/>
        <v>0.51648342095601729</v>
      </c>
    </row>
    <row r="17" spans="1:24">
      <c r="A17" s="29" t="s">
        <v>111</v>
      </c>
      <c r="B17" s="5">
        <v>46224</v>
      </c>
      <c r="C17" s="5">
        <v>46225</v>
      </c>
      <c r="D17" s="6">
        <f t="shared" si="0"/>
        <v>1440</v>
      </c>
      <c r="E17" s="7">
        <f>60+60</f>
        <v>120</v>
      </c>
      <c r="F17" s="7">
        <v>120</v>
      </c>
      <c r="G17" s="8">
        <f t="shared" si="1"/>
        <v>0</v>
      </c>
      <c r="H17" s="7">
        <f>9+5+5+6+14+60+60+30+8</f>
        <v>197</v>
      </c>
      <c r="I17" s="7">
        <f>2+1+2+2+1+2+1+2+1+1+1+1+1+3+2+3+1+2+2+4+1+3+2+1+2+1+2+2+3+2+3+2+2+3</f>
        <v>64</v>
      </c>
      <c r="J17" s="9">
        <f t="shared" si="13"/>
        <v>0.81874999999999998</v>
      </c>
      <c r="K17" s="28">
        <v>0</v>
      </c>
      <c r="L17" s="28">
        <f>60+60+15+3+3+5+6+60+60+30+2+2+4+2+3+2+3+2+2+3+2+2+1</f>
        <v>332</v>
      </c>
      <c r="M17" s="9">
        <f t="shared" si="14"/>
        <v>0.50486111111111109</v>
      </c>
      <c r="N17" s="7">
        <v>17000</v>
      </c>
      <c r="O17" s="15">
        <f>AVERAGE(17000,17000,17000,17000,15000,15000,15000,15000,15000,15000,15000,16000,11000,15500,16000,16000)</f>
        <v>15468.75</v>
      </c>
      <c r="P17" s="9">
        <f t="shared" si="2"/>
        <v>0.90992647058823528</v>
      </c>
      <c r="Q17" s="7">
        <v>7538</v>
      </c>
      <c r="R17" s="7">
        <v>17</v>
      </c>
      <c r="S17" s="7"/>
      <c r="T17" s="5"/>
      <c r="U17" s="10" t="str">
        <f t="shared" si="9"/>
        <v/>
      </c>
      <c r="V17" s="9">
        <f t="shared" si="10"/>
        <v>0.99774475988325817</v>
      </c>
      <c r="W17" s="11">
        <f t="shared" si="15"/>
        <v>0.74332213872506747</v>
      </c>
      <c r="X17" s="11">
        <f t="shared" si="16"/>
        <v>0.4583504621315726</v>
      </c>
    </row>
    <row r="18" spans="1:24">
      <c r="A18" s="29" t="s">
        <v>112</v>
      </c>
      <c r="B18" s="5">
        <v>46225.009027777778</v>
      </c>
      <c r="C18" s="5">
        <v>46225.472222222219</v>
      </c>
      <c r="D18" s="6">
        <f t="shared" si="0"/>
        <v>666.99999999487773</v>
      </c>
      <c r="E18" s="7">
        <v>0</v>
      </c>
      <c r="F18" s="7">
        <v>0</v>
      </c>
      <c r="G18" s="8">
        <f t="shared" si="1"/>
        <v>0</v>
      </c>
      <c r="H18" s="7">
        <f>7+9+6+8+7+13+13</f>
        <v>63</v>
      </c>
      <c r="I18" s="7">
        <f>4+4+4+4+2+4+1</f>
        <v>23</v>
      </c>
      <c r="J18" s="9">
        <f t="shared" si="13"/>
        <v>0.8710644677651268</v>
      </c>
      <c r="K18" s="28">
        <v>0</v>
      </c>
      <c r="L18" s="28">
        <f>13+17+8+3+28+4+2+2+2+2+2+3+2+2+1+2+2+1+2+2+2+2+2+2+2+2+2+2</f>
        <v>116</v>
      </c>
      <c r="M18" s="9">
        <f t="shared" si="14"/>
        <v>0.69715142428553034</v>
      </c>
      <c r="N18" s="7">
        <v>17000</v>
      </c>
      <c r="O18" s="15">
        <f>AVERAGE(17000,17000,17000,17000,17000,17000,17000,17000,17000,17000,15000)</f>
        <v>16818.18181818182</v>
      </c>
      <c r="P18" s="9">
        <f t="shared" si="2"/>
        <v>0.98930481283422467</v>
      </c>
      <c r="Q18" s="7">
        <v>3069</v>
      </c>
      <c r="R18" s="7">
        <v>12</v>
      </c>
      <c r="S18" s="7"/>
      <c r="T18" s="5"/>
      <c r="U18" s="10" t="str">
        <f t="shared" si="9"/>
        <v/>
      </c>
      <c r="V18" s="9">
        <f t="shared" si="10"/>
        <v>0.99608993157380255</v>
      </c>
      <c r="W18" s="11">
        <f t="shared" si="15"/>
        <v>0.85837877554609177</v>
      </c>
      <c r="X18" s="11">
        <f t="shared" si="16"/>
        <v>0.68699850366274495</v>
      </c>
    </row>
    <row r="19" spans="1:24">
      <c r="A19" s="29" t="s">
        <v>113</v>
      </c>
      <c r="B19" s="5">
        <v>46226.236111111109</v>
      </c>
      <c r="C19" s="5">
        <v>46227</v>
      </c>
      <c r="D19" s="6">
        <f t="shared" si="0"/>
        <v>1100.0000000023283</v>
      </c>
      <c r="E19" s="7">
        <v>45</v>
      </c>
      <c r="F19" s="7">
        <v>86</v>
      </c>
      <c r="G19" s="8">
        <f t="shared" si="1"/>
        <v>41</v>
      </c>
      <c r="H19" s="7">
        <f>9+6+13+5+6+5+8+60+60+28+40+26+36</f>
        <v>302</v>
      </c>
      <c r="I19" s="7">
        <f>3+3+2+2+3+1+2+2+4+2+3+1+3+3+4+3+4+1+2+2</f>
        <v>50</v>
      </c>
      <c r="J19" s="9">
        <f t="shared" si="13"/>
        <v>0.64272727272802899</v>
      </c>
      <c r="K19" s="28">
        <v>0</v>
      </c>
      <c r="L19" s="28">
        <f>5+60+60+15+15+10+7+3</f>
        <v>175</v>
      </c>
      <c r="M19" s="9">
        <f t="shared" si="14"/>
        <v>0.44272727272845225</v>
      </c>
      <c r="N19" s="7">
        <v>17000</v>
      </c>
      <c r="O19" s="15">
        <f>AVERAGE(15000,15000,11000,18000,17000,17500,17500,17500,18000)</f>
        <v>16277.777777777777</v>
      </c>
      <c r="P19" s="9">
        <f t="shared" si="2"/>
        <v>0.95751633986928097</v>
      </c>
      <c r="Q19" s="15">
        <v>3913</v>
      </c>
      <c r="R19" s="7">
        <v>3</v>
      </c>
      <c r="S19" s="7">
        <v>26</v>
      </c>
      <c r="T19" s="5"/>
      <c r="U19" s="10">
        <f t="shared" si="9"/>
        <v>-46227</v>
      </c>
      <c r="V19" s="9">
        <f t="shared" si="10"/>
        <v>0.99923332481472016</v>
      </c>
      <c r="W19" s="11">
        <f t="shared" si="15"/>
        <v>0.61495003704378381</v>
      </c>
      <c r="X19" s="11">
        <f t="shared" si="16"/>
        <v>0.42359358987378815</v>
      </c>
    </row>
    <row r="20" spans="1:24">
      <c r="A20" s="29" t="s">
        <v>114</v>
      </c>
      <c r="B20" s="5">
        <v>46227.536805555559</v>
      </c>
      <c r="C20" s="5">
        <v>46227.75277777778</v>
      </c>
      <c r="D20" s="6">
        <f t="shared" si="0"/>
        <v>310.99999999743886</v>
      </c>
      <c r="E20" s="7">
        <v>0</v>
      </c>
      <c r="F20" s="7">
        <v>0</v>
      </c>
      <c r="G20" s="8">
        <f t="shared" si="1"/>
        <v>0</v>
      </c>
      <c r="H20" s="7">
        <f>5+48+23+7+30</f>
        <v>113</v>
      </c>
      <c r="I20" s="7">
        <f>2+2+3+4</f>
        <v>11</v>
      </c>
      <c r="J20" s="9">
        <f t="shared" si="13"/>
        <v>0.60128617363015702</v>
      </c>
      <c r="K20" s="28">
        <v>0</v>
      </c>
      <c r="L20" s="28">
        <f>4+2+2+2+2</f>
        <v>12</v>
      </c>
      <c r="M20" s="9">
        <f t="shared" si="14"/>
        <v>0.56270096462662389</v>
      </c>
      <c r="N20" s="7">
        <v>17000</v>
      </c>
      <c r="O20" s="30">
        <f>AVERAGE(17000,17000,17000,17000)</f>
        <v>17000</v>
      </c>
      <c r="P20" s="9">
        <f t="shared" si="2"/>
        <v>1</v>
      </c>
      <c r="Q20" s="7">
        <v>1392</v>
      </c>
      <c r="R20" s="7">
        <v>45</v>
      </c>
      <c r="S20" s="7"/>
      <c r="T20" s="5"/>
      <c r="U20" s="10" t="str">
        <f t="shared" si="9"/>
        <v/>
      </c>
      <c r="V20" s="9">
        <f t="shared" si="10"/>
        <v>0.96767241379310343</v>
      </c>
      <c r="W20" s="11">
        <f t="shared" si="15"/>
        <v>0.58184804301711313</v>
      </c>
      <c r="X20" s="11">
        <f t="shared" si="16"/>
        <v>0.54451020068395284</v>
      </c>
    </row>
    <row r="21" spans="1:24">
      <c r="A21" s="29" t="s">
        <v>26</v>
      </c>
      <c r="B21" s="5">
        <v>46230.225694444445</v>
      </c>
      <c r="C21" s="5">
        <v>46231</v>
      </c>
      <c r="D21" s="6">
        <f t="shared" si="0"/>
        <v>1114.9999999988358</v>
      </c>
      <c r="E21" s="7">
        <v>0</v>
      </c>
      <c r="F21" s="7">
        <v>0</v>
      </c>
      <c r="G21" s="8">
        <f t="shared" si="1"/>
        <v>0</v>
      </c>
      <c r="H21" s="7">
        <f>6+5+60+60+60+35+8+18+14+21+7</f>
        <v>294</v>
      </c>
      <c r="I21" s="7">
        <f>4+2+2+4+2+3+2+2+4+2+3+1+2+4+2+1+1+1+3+2+2+4+3+3+3+2+3</f>
        <v>67</v>
      </c>
      <c r="J21" s="9">
        <f t="shared" si="13"/>
        <v>0.67623318385616416</v>
      </c>
      <c r="K21" s="28">
        <v>0</v>
      </c>
      <c r="L21" s="28">
        <f>2+6+4+35</f>
        <v>47</v>
      </c>
      <c r="M21" s="9">
        <f t="shared" si="14"/>
        <v>0.63408071748840722</v>
      </c>
      <c r="N21" s="7">
        <v>17000</v>
      </c>
      <c r="O21" s="15">
        <f>AVERAGE(17000,17000,17000,17000,17000,16800,16800,16000,17000,17000)</f>
        <v>16860</v>
      </c>
      <c r="P21" s="9">
        <f t="shared" si="2"/>
        <v>0.99176470588235299</v>
      </c>
      <c r="Q21" s="7">
        <v>5545</v>
      </c>
      <c r="R21" s="15">
        <v>46</v>
      </c>
      <c r="S21" s="7">
        <v>17</v>
      </c>
      <c r="T21" s="5"/>
      <c r="U21" s="10">
        <f t="shared" si="9"/>
        <v>-46231</v>
      </c>
      <c r="V21" s="9">
        <f t="shared" ref="V21:V27" si="20">IF(B21="","",IF(U21&lt;3,(Q21-R21)/Q21,(Q21-R21-S21)/Q21))</f>
        <v>0.99170423805229935</v>
      </c>
      <c r="W21" s="11">
        <f t="shared" ref="W21:W27" si="21">IF(B21="","",V21*P21*J21)</f>
        <v>0.66510053410600212</v>
      </c>
      <c r="X21" s="11">
        <f t="shared" ref="X21:X27" si="22">IF(B21="","",V21*P21*M21)</f>
        <v>0.62364201274919795</v>
      </c>
    </row>
    <row r="22" spans="1:24">
      <c r="A22" s="29" t="s">
        <v>115</v>
      </c>
      <c r="B22" s="5">
        <v>46231.006249999999</v>
      </c>
      <c r="C22" s="5">
        <v>46232</v>
      </c>
      <c r="D22" s="6">
        <f t="shared" si="0"/>
        <v>1431.0000000020955</v>
      </c>
      <c r="E22" s="7">
        <v>30</v>
      </c>
      <c r="F22" s="7">
        <v>22</v>
      </c>
      <c r="G22" s="8">
        <f t="shared" si="1"/>
        <v>-8</v>
      </c>
      <c r="H22" s="28">
        <f>10+5+5+11+7+5+29+10+6+33+8+5</f>
        <v>134</v>
      </c>
      <c r="I22" s="28">
        <f>3+1+2+3+4+4+3+3+1+4+4+3+3+2+2+2+2+2+3+2+3+3+1+2+4+2+3+3+2+3+1+4+2+3+3+1+2+2+2+1+4+3+3</f>
        <v>110</v>
      </c>
      <c r="J22" s="9">
        <f>IF(B22="","",(D22-G22-H22-I22)/D22)</f>
        <v>0.8350803633824917</v>
      </c>
      <c r="K22" s="28">
        <v>0</v>
      </c>
      <c r="L22" s="28">
        <f>8+2+2+2+3+10</f>
        <v>27</v>
      </c>
      <c r="M22" s="9">
        <f t="shared" si="14"/>
        <v>0.79524807826724597</v>
      </c>
      <c r="N22" s="7">
        <v>17000</v>
      </c>
      <c r="O22" s="30">
        <f>AVERAGE(17000,17000,17000,17000,17000,17000,17000,17000,16600,16600,16600,16700,16700)</f>
        <v>16861.538461538461</v>
      </c>
      <c r="P22" s="9">
        <f t="shared" si="2"/>
        <v>0.99185520361990942</v>
      </c>
      <c r="Q22" s="15">
        <v>9728</v>
      </c>
      <c r="R22" s="7">
        <v>27</v>
      </c>
      <c r="S22" s="7"/>
      <c r="T22" s="5"/>
      <c r="U22" s="10" t="str">
        <f t="shared" si="9"/>
        <v/>
      </c>
      <c r="V22" s="9">
        <f t="shared" ref="V22:V23" si="23">IF(B22="","",IF(U22&lt;3,(Q22-R22)/Q22,(Q22-R22-S22)/Q22))</f>
        <v>0.99722450657894735</v>
      </c>
      <c r="W22" s="11">
        <f t="shared" ref="W22:W23" si="24">IF(B22="","",V22*P22*J22)</f>
        <v>0.82597992149081367</v>
      </c>
      <c r="X22" s="11">
        <f t="shared" ref="X22:X23" si="25">IF(B22="","",V22*P22*M22)</f>
        <v>0.78658171603065141</v>
      </c>
    </row>
    <row r="23" spans="1:24">
      <c r="A23" s="29" t="s">
        <v>116</v>
      </c>
      <c r="B23" s="5">
        <v>46232.006944444445</v>
      </c>
      <c r="C23" s="5">
        <v>46233</v>
      </c>
      <c r="D23" s="6">
        <f t="shared" si="0"/>
        <v>1429.9999999988358</v>
      </c>
      <c r="E23" s="7">
        <f>30+100</f>
        <v>130</v>
      </c>
      <c r="F23" s="7">
        <v>150</v>
      </c>
      <c r="G23" s="8">
        <f t="shared" si="1"/>
        <v>20</v>
      </c>
      <c r="H23" s="7">
        <f>5+6+6+6+6+5+10+30+5+5+5+6</f>
        <v>95</v>
      </c>
      <c r="I23" s="7">
        <f>2+3+3+4+4+2+2+2+2+2+1+2+3+3+4+4</f>
        <v>43</v>
      </c>
      <c r="J23" s="9">
        <f t="shared" si="13"/>
        <v>0.88951048951039957</v>
      </c>
      <c r="K23" s="28">
        <v>0</v>
      </c>
      <c r="L23" s="28">
        <f>7+5+5+10+60+60+60+60+60+45+15+60+11+6+1+4+2+4+3+2+5</f>
        <v>485</v>
      </c>
      <c r="M23" s="9">
        <f t="shared" si="14"/>
        <v>0.45944055944011936</v>
      </c>
      <c r="N23" s="7">
        <v>17000</v>
      </c>
      <c r="O23" s="15">
        <f>AVERAGE(16000,16800,16000,16000,16000,16000,16000,16000,16000,16000,16000,16000,16000,16000,16000,16000,16000,18000,18000,17000,18000,18000,18000)</f>
        <v>16513.043478260868</v>
      </c>
      <c r="P23" s="9">
        <f t="shared" si="2"/>
        <v>0.97135549872122751</v>
      </c>
      <c r="Q23" s="15">
        <v>5577</v>
      </c>
      <c r="R23" s="7">
        <v>15</v>
      </c>
      <c r="S23" s="7"/>
      <c r="T23" s="5"/>
      <c r="U23" s="10" t="str">
        <f t="shared" si="9"/>
        <v/>
      </c>
      <c r="V23" s="9">
        <f t="shared" si="23"/>
        <v>0.99731038192576649</v>
      </c>
      <c r="W23" s="11">
        <f t="shared" si="24"/>
        <v>0.86170699201693313</v>
      </c>
      <c r="X23" s="11">
        <f t="shared" si="25"/>
        <v>0.44507979068761006</v>
      </c>
    </row>
    <row r="24" spans="1:24">
      <c r="A24" s="29" t="s">
        <v>117</v>
      </c>
      <c r="B24" s="5">
        <v>46233.004166666666</v>
      </c>
      <c r="C24" s="5">
        <v>46234</v>
      </c>
      <c r="D24" s="6">
        <f t="shared" si="0"/>
        <v>1434.000000001397</v>
      </c>
      <c r="E24" s="7">
        <f>100+10</f>
        <v>110</v>
      </c>
      <c r="F24" s="7">
        <v>112</v>
      </c>
      <c r="G24" s="8">
        <f t="shared" si="1"/>
        <v>2</v>
      </c>
      <c r="H24" s="7">
        <f>7+5+6+15+5+8+6+8+9</f>
        <v>69</v>
      </c>
      <c r="I24" s="7">
        <f>3+2+1+2+3+2+2+2+1+2+1+1+3+1+1+2+1+2+1+1+1+1+1+1+1+1+3+2+4+3+4+2+3+3+3+2+3+3+2+4+2+2+4</f>
        <v>89</v>
      </c>
      <c r="J24" s="9">
        <f t="shared" si="13"/>
        <v>0.88842398884250762</v>
      </c>
      <c r="K24" s="28">
        <v>0</v>
      </c>
      <c r="L24" s="28">
        <f>2+60+26+9+3+2+2+2+3+3+2+26+5+6+6+17+33+14</f>
        <v>221</v>
      </c>
      <c r="M24" s="9">
        <f t="shared" si="14"/>
        <v>0.65760111576044511</v>
      </c>
      <c r="N24" s="7">
        <v>17000</v>
      </c>
      <c r="O24" s="15">
        <f>AVERAGE(17000,15000,16500,17500,17000,16700,16700,16700,16700,16700,16700,16700,16700,17000,17000,17000,18000,17000,17000)</f>
        <v>16821.052631578947</v>
      </c>
      <c r="P24" s="9">
        <f t="shared" si="2"/>
        <v>0.98947368421052628</v>
      </c>
      <c r="Q24" s="7">
        <v>9108</v>
      </c>
      <c r="R24" s="7">
        <v>12</v>
      </c>
      <c r="S24" s="7"/>
      <c r="T24" s="5"/>
      <c r="U24" s="10" t="str">
        <f t="shared" si="9"/>
        <v/>
      </c>
      <c r="V24" s="9">
        <f t="shared" si="20"/>
        <v>0.99868247694334655</v>
      </c>
      <c r="W24" s="11">
        <f t="shared" si="21"/>
        <v>0.87791395954519602</v>
      </c>
      <c r="X24" s="11">
        <f t="shared" si="22"/>
        <v>0.64982171416910395</v>
      </c>
    </row>
    <row r="25" spans="1:24">
      <c r="A25" s="29" t="s">
        <v>26</v>
      </c>
      <c r="B25" s="5">
        <v>46234.006944444445</v>
      </c>
      <c r="C25" s="5">
        <v>46234.744444444441</v>
      </c>
      <c r="D25" s="6">
        <f t="shared" si="0"/>
        <v>1061.9999999937136</v>
      </c>
      <c r="E25" s="7">
        <v>0</v>
      </c>
      <c r="F25" s="7">
        <v>0</v>
      </c>
      <c r="G25" s="8">
        <f t="shared" si="1"/>
        <v>0</v>
      </c>
      <c r="H25" s="7">
        <f>6+5+40+9+5+5+7+8+6</f>
        <v>91</v>
      </c>
      <c r="I25" s="7">
        <f>4+4+1+3+4+2+1+4+3+2+2+1+3+3+2+2+3+4+2+4+3+1+1+1+2+2+2+4+2+2+3</f>
        <v>77</v>
      </c>
      <c r="J25" s="9">
        <f t="shared" si="13"/>
        <v>0.84180790960358332</v>
      </c>
      <c r="K25" s="28">
        <v>0</v>
      </c>
      <c r="L25" s="28">
        <f>6+16+17+5+50+5</f>
        <v>99</v>
      </c>
      <c r="M25" s="9">
        <f t="shared" si="14"/>
        <v>0.74858757061998071</v>
      </c>
      <c r="N25" s="7">
        <v>17000</v>
      </c>
      <c r="O25" s="15">
        <f>AVERAGE(16000,16000,16500,17000,17000,17000,17000,17000,17000,17000,17000,17000,15800,15800,15800,15800,15800)</f>
        <v>16500</v>
      </c>
      <c r="P25" s="9">
        <f t="shared" si="2"/>
        <v>0.97058823529411764</v>
      </c>
      <c r="Q25" s="7">
        <v>7553</v>
      </c>
      <c r="R25" s="7">
        <v>11</v>
      </c>
      <c r="S25" s="7"/>
      <c r="T25" s="5"/>
      <c r="U25" s="10" t="str">
        <f t="shared" si="9"/>
        <v/>
      </c>
      <c r="V25" s="9">
        <f t="shared" si="20"/>
        <v>0.99854362504964911</v>
      </c>
      <c r="W25" s="11">
        <f t="shared" si="21"/>
        <v>0.81585892395541093</v>
      </c>
      <c r="X25" s="11">
        <f t="shared" si="22"/>
        <v>0.72551213036239792</v>
      </c>
    </row>
    <row r="26" spans="1:24">
      <c r="A26" s="29"/>
      <c r="B26" s="5"/>
      <c r="C26" s="5"/>
      <c r="D26" s="6" t="str">
        <f t="shared" si="0"/>
        <v/>
      </c>
      <c r="E26" s="7"/>
      <c r="F26" s="7"/>
      <c r="G26" s="8" t="str">
        <f t="shared" si="1"/>
        <v/>
      </c>
      <c r="H26" s="7"/>
      <c r="I26" s="7"/>
      <c r="J26" s="9" t="str">
        <f t="shared" si="13"/>
        <v/>
      </c>
      <c r="K26" s="28"/>
      <c r="L26" s="28"/>
      <c r="M26" s="9" t="str">
        <f t="shared" si="14"/>
        <v/>
      </c>
      <c r="N26" s="7"/>
      <c r="O26" s="15"/>
      <c r="P26" s="9" t="str">
        <f t="shared" si="2"/>
        <v/>
      </c>
      <c r="Q26" s="7"/>
      <c r="R26" s="7"/>
      <c r="S26" s="7"/>
      <c r="T26" s="5"/>
      <c r="U26" s="10" t="str">
        <f t="shared" si="9"/>
        <v/>
      </c>
      <c r="V26" s="9" t="str">
        <f t="shared" si="20"/>
        <v/>
      </c>
      <c r="W26" s="11" t="str">
        <f t="shared" si="21"/>
        <v/>
      </c>
      <c r="X26" s="11" t="str">
        <f t="shared" si="22"/>
        <v/>
      </c>
    </row>
    <row r="27" spans="1:24" ht="15.75" thickBot="1">
      <c r="A27" s="29"/>
      <c r="B27" s="5"/>
      <c r="C27" s="5"/>
      <c r="D27" s="6" t="str">
        <f t="shared" si="0"/>
        <v/>
      </c>
      <c r="E27" s="7"/>
      <c r="F27" s="7"/>
      <c r="G27" s="8" t="str">
        <f t="shared" si="1"/>
        <v/>
      </c>
      <c r="H27" s="7"/>
      <c r="I27" s="7"/>
      <c r="J27" s="9" t="str">
        <f t="shared" si="13"/>
        <v/>
      </c>
      <c r="K27" s="28"/>
      <c r="L27" s="28"/>
      <c r="M27" s="9" t="str">
        <f t="shared" si="14"/>
        <v/>
      </c>
      <c r="N27" s="7"/>
      <c r="O27" s="15"/>
      <c r="P27" s="9" t="str">
        <f t="shared" si="2"/>
        <v/>
      </c>
      <c r="Q27" s="7"/>
      <c r="R27" s="7"/>
      <c r="S27" s="7"/>
      <c r="T27" s="5"/>
      <c r="U27" s="10" t="str">
        <f t="shared" si="9"/>
        <v/>
      </c>
      <c r="V27" s="9" t="str">
        <f t="shared" si="20"/>
        <v/>
      </c>
      <c r="W27" s="11" t="str">
        <f t="shared" si="21"/>
        <v/>
      </c>
      <c r="X27" s="11" t="str">
        <f t="shared" si="22"/>
        <v/>
      </c>
    </row>
    <row r="28" spans="1:24" hidden="1">
      <c r="A28" s="29"/>
      <c r="B28" s="5"/>
      <c r="C28" s="5"/>
      <c r="D28" s="6" t="str">
        <f t="shared" si="0"/>
        <v/>
      </c>
      <c r="E28" s="7"/>
      <c r="F28" s="7"/>
      <c r="G28" s="8" t="str">
        <f t="shared" si="1"/>
        <v/>
      </c>
      <c r="H28" s="7"/>
      <c r="I28" s="7"/>
      <c r="J28" s="9" t="str">
        <f t="shared" si="13"/>
        <v/>
      </c>
      <c r="K28" s="28"/>
      <c r="L28" s="28"/>
      <c r="M28" s="9" t="str">
        <f t="shared" si="14"/>
        <v/>
      </c>
      <c r="N28" s="7"/>
      <c r="O28" s="15"/>
      <c r="P28" s="9" t="str">
        <f t="shared" si="2"/>
        <v/>
      </c>
      <c r="Q28" s="15"/>
      <c r="R28" s="7"/>
      <c r="S28" s="7"/>
      <c r="T28" s="5"/>
      <c r="U28" s="10" t="str">
        <f t="shared" si="9"/>
        <v/>
      </c>
      <c r="V28" s="9" t="str">
        <f t="shared" si="10"/>
        <v/>
      </c>
      <c r="W28" s="11" t="str">
        <f t="shared" si="15"/>
        <v/>
      </c>
      <c r="X28" s="11" t="str">
        <f t="shared" si="16"/>
        <v/>
      </c>
    </row>
    <row r="29" spans="1:24" hidden="1">
      <c r="A29" s="29"/>
      <c r="B29" s="5"/>
      <c r="C29" s="5"/>
      <c r="D29" s="6" t="str">
        <f t="shared" si="0"/>
        <v/>
      </c>
      <c r="E29" s="7"/>
      <c r="F29" s="7"/>
      <c r="G29" s="8" t="str">
        <f t="shared" si="1"/>
        <v/>
      </c>
      <c r="H29" s="7"/>
      <c r="I29" s="7"/>
      <c r="J29" s="9" t="str">
        <f t="shared" si="13"/>
        <v/>
      </c>
      <c r="K29" s="28"/>
      <c r="L29" s="28"/>
      <c r="M29" s="9" t="str">
        <f t="shared" si="14"/>
        <v/>
      </c>
      <c r="N29" s="7"/>
      <c r="O29" s="7"/>
      <c r="P29" s="9" t="str">
        <f t="shared" si="2"/>
        <v/>
      </c>
      <c r="Q29" s="7"/>
      <c r="R29" s="7"/>
      <c r="S29" s="7"/>
      <c r="T29" s="5"/>
      <c r="U29" s="10" t="str">
        <f t="shared" si="9"/>
        <v/>
      </c>
      <c r="V29" s="9" t="str">
        <f t="shared" si="10"/>
        <v/>
      </c>
      <c r="W29" s="11" t="str">
        <f t="shared" si="15"/>
        <v/>
      </c>
      <c r="X29" s="11" t="str">
        <f t="shared" si="16"/>
        <v/>
      </c>
    </row>
    <row r="30" spans="1:24" hidden="1">
      <c r="A30" s="29"/>
      <c r="B30" s="5"/>
      <c r="C30" s="5"/>
      <c r="D30" s="6" t="str">
        <f t="shared" si="0"/>
        <v/>
      </c>
      <c r="E30" s="7"/>
      <c r="F30" s="7"/>
      <c r="G30" s="8" t="str">
        <f t="shared" si="1"/>
        <v/>
      </c>
      <c r="H30" s="7"/>
      <c r="I30" s="7"/>
      <c r="J30" s="9" t="str">
        <f t="shared" si="13"/>
        <v/>
      </c>
      <c r="K30" s="28"/>
      <c r="L30" s="28"/>
      <c r="M30" s="9" t="str">
        <f t="shared" si="14"/>
        <v/>
      </c>
      <c r="N30" s="7"/>
      <c r="O30" s="15"/>
      <c r="P30" s="9" t="str">
        <f t="shared" si="2"/>
        <v/>
      </c>
      <c r="Q30" s="15"/>
      <c r="R30" s="7"/>
      <c r="S30" s="7"/>
      <c r="T30" s="5"/>
      <c r="U30" s="10" t="str">
        <f t="shared" si="9"/>
        <v/>
      </c>
      <c r="V30" s="9" t="str">
        <f t="shared" si="10"/>
        <v/>
      </c>
      <c r="W30" s="11" t="str">
        <f t="shared" si="15"/>
        <v/>
      </c>
      <c r="X30" s="11" t="str">
        <f t="shared" si="16"/>
        <v/>
      </c>
    </row>
    <row r="31" spans="1:24" hidden="1">
      <c r="A31" s="29"/>
      <c r="B31" s="5"/>
      <c r="C31" s="5"/>
      <c r="D31" s="6" t="str">
        <f t="shared" si="0"/>
        <v/>
      </c>
      <c r="E31" s="7"/>
      <c r="F31" s="7"/>
      <c r="G31" s="8" t="str">
        <f t="shared" si="1"/>
        <v/>
      </c>
      <c r="H31" s="7"/>
      <c r="I31" s="7"/>
      <c r="J31" s="9" t="str">
        <f t="shared" si="13"/>
        <v/>
      </c>
      <c r="K31" s="28"/>
      <c r="L31" s="28"/>
      <c r="M31" s="9" t="str">
        <f t="shared" si="14"/>
        <v/>
      </c>
      <c r="N31" s="7"/>
      <c r="O31" s="15"/>
      <c r="P31" s="9" t="str">
        <f t="shared" si="2"/>
        <v/>
      </c>
      <c r="Q31" s="15"/>
      <c r="R31" s="15"/>
      <c r="S31" s="7"/>
      <c r="T31" s="5"/>
      <c r="U31" s="10" t="str">
        <f t="shared" si="9"/>
        <v/>
      </c>
      <c r="V31" s="9" t="str">
        <f t="shared" si="10"/>
        <v/>
      </c>
      <c r="W31" s="11" t="str">
        <f t="shared" si="15"/>
        <v/>
      </c>
      <c r="X31" s="11" t="str">
        <f t="shared" si="16"/>
        <v/>
      </c>
    </row>
    <row r="32" spans="1:24" hidden="1">
      <c r="A32" s="29"/>
      <c r="B32" s="5"/>
      <c r="C32" s="5"/>
      <c r="D32" s="6" t="str">
        <f t="shared" si="0"/>
        <v/>
      </c>
      <c r="E32" s="7"/>
      <c r="F32" s="7"/>
      <c r="G32" s="8" t="str">
        <f t="shared" si="1"/>
        <v/>
      </c>
      <c r="H32" s="7"/>
      <c r="I32" s="7"/>
      <c r="J32" s="9" t="str">
        <f t="shared" si="13"/>
        <v/>
      </c>
      <c r="K32" s="28"/>
      <c r="L32" s="28"/>
      <c r="M32" s="9" t="str">
        <f t="shared" si="14"/>
        <v/>
      </c>
      <c r="N32" s="7"/>
      <c r="O32" s="15"/>
      <c r="P32" s="9" t="str">
        <f t="shared" si="2"/>
        <v/>
      </c>
      <c r="Q32" s="15"/>
      <c r="R32" s="7"/>
      <c r="S32" s="7"/>
      <c r="T32" s="5"/>
      <c r="U32" s="10" t="str">
        <f t="shared" si="9"/>
        <v/>
      </c>
      <c r="V32" s="9" t="str">
        <f t="shared" si="10"/>
        <v/>
      </c>
      <c r="W32" s="11" t="str">
        <f t="shared" si="15"/>
        <v/>
      </c>
      <c r="X32" s="11" t="str">
        <f t="shared" si="16"/>
        <v/>
      </c>
    </row>
    <row r="33" spans="1:24" hidden="1">
      <c r="A33" s="29"/>
      <c r="B33" s="5"/>
      <c r="C33" s="5"/>
      <c r="D33" s="6" t="str">
        <f t="shared" si="0"/>
        <v/>
      </c>
      <c r="E33" s="7"/>
      <c r="F33" s="7"/>
      <c r="G33" s="8" t="str">
        <f t="shared" si="1"/>
        <v/>
      </c>
      <c r="H33" s="7"/>
      <c r="I33" s="7"/>
      <c r="J33" s="9" t="str">
        <f t="shared" si="13"/>
        <v/>
      </c>
      <c r="K33" s="28"/>
      <c r="L33" s="28"/>
      <c r="M33" s="9" t="str">
        <f t="shared" si="14"/>
        <v/>
      </c>
      <c r="N33" s="7"/>
      <c r="O33" s="15"/>
      <c r="P33" s="9" t="str">
        <f t="shared" si="2"/>
        <v/>
      </c>
      <c r="Q33" s="15"/>
      <c r="R33" s="7"/>
      <c r="S33" s="7"/>
      <c r="T33" s="5"/>
      <c r="U33" s="10" t="str">
        <f t="shared" si="9"/>
        <v/>
      </c>
      <c r="V33" s="9" t="str">
        <f t="shared" si="10"/>
        <v/>
      </c>
      <c r="W33" s="11" t="str">
        <f t="shared" si="15"/>
        <v/>
      </c>
      <c r="X33" s="11" t="str">
        <f t="shared" si="16"/>
        <v/>
      </c>
    </row>
    <row r="34" spans="1:24" hidden="1">
      <c r="A34" s="29"/>
      <c r="B34" s="5"/>
      <c r="C34" s="5"/>
      <c r="D34" s="6" t="str">
        <f t="shared" si="0"/>
        <v/>
      </c>
      <c r="E34" s="7"/>
      <c r="F34" s="7"/>
      <c r="G34" s="8" t="str">
        <f t="shared" si="1"/>
        <v/>
      </c>
      <c r="H34" s="7"/>
      <c r="I34" s="7"/>
      <c r="J34" s="9" t="str">
        <f t="shared" si="13"/>
        <v/>
      </c>
      <c r="K34" s="28"/>
      <c r="L34" s="28"/>
      <c r="M34" s="9" t="str">
        <f t="shared" si="14"/>
        <v/>
      </c>
      <c r="N34" s="7"/>
      <c r="O34" s="15"/>
      <c r="P34" s="9" t="str">
        <f t="shared" si="2"/>
        <v/>
      </c>
      <c r="Q34" s="15"/>
      <c r="R34" s="7"/>
      <c r="S34" s="7"/>
      <c r="T34" s="5"/>
      <c r="U34" s="10" t="str">
        <f t="shared" si="9"/>
        <v/>
      </c>
      <c r="V34" s="9" t="str">
        <f t="shared" si="10"/>
        <v/>
      </c>
      <c r="W34" s="11" t="str">
        <f t="shared" si="15"/>
        <v/>
      </c>
      <c r="X34" s="11" t="str">
        <f t="shared" si="16"/>
        <v/>
      </c>
    </row>
    <row r="35" spans="1:24" hidden="1">
      <c r="A35" s="29"/>
      <c r="B35" s="5"/>
      <c r="C35" s="5"/>
      <c r="D35" s="6" t="str">
        <f t="shared" si="0"/>
        <v/>
      </c>
      <c r="E35" s="7"/>
      <c r="F35" s="7"/>
      <c r="G35" s="8" t="str">
        <f t="shared" si="1"/>
        <v/>
      </c>
      <c r="H35" s="7"/>
      <c r="I35" s="7"/>
      <c r="J35" s="9" t="str">
        <f t="shared" si="13"/>
        <v/>
      </c>
      <c r="K35" s="28"/>
      <c r="L35" s="28"/>
      <c r="M35" s="9" t="str">
        <f t="shared" si="14"/>
        <v/>
      </c>
      <c r="N35" s="7"/>
      <c r="O35" s="15"/>
      <c r="P35" s="9" t="str">
        <f t="shared" si="2"/>
        <v/>
      </c>
      <c r="Q35" s="15"/>
      <c r="R35" s="7"/>
      <c r="S35" s="7"/>
      <c r="T35" s="5"/>
      <c r="U35" s="10" t="str">
        <f t="shared" si="9"/>
        <v/>
      </c>
      <c r="V35" s="9" t="str">
        <f t="shared" si="10"/>
        <v/>
      </c>
      <c r="W35" s="11" t="str">
        <f t="shared" si="15"/>
        <v/>
      </c>
      <c r="X35" s="11" t="str">
        <f t="shared" si="16"/>
        <v/>
      </c>
    </row>
    <row r="36" spans="1:24" hidden="1">
      <c r="A36" s="29"/>
      <c r="B36" s="5"/>
      <c r="C36" s="5"/>
      <c r="D36" s="6" t="str">
        <f t="shared" si="0"/>
        <v/>
      </c>
      <c r="E36" s="7"/>
      <c r="F36" s="7"/>
      <c r="G36" s="8" t="str">
        <f t="shared" si="1"/>
        <v/>
      </c>
      <c r="H36" s="7"/>
      <c r="I36" s="7"/>
      <c r="J36" s="9" t="str">
        <f t="shared" si="13"/>
        <v/>
      </c>
      <c r="K36" s="28"/>
      <c r="L36" s="28"/>
      <c r="M36" s="9" t="str">
        <f t="shared" si="14"/>
        <v/>
      </c>
      <c r="N36" s="7"/>
      <c r="O36" s="15"/>
      <c r="P36" s="9" t="str">
        <f t="shared" si="2"/>
        <v/>
      </c>
      <c r="Q36" s="15"/>
      <c r="R36" s="7"/>
      <c r="S36" s="7"/>
      <c r="T36" s="5"/>
      <c r="U36" s="10" t="str">
        <f t="shared" si="9"/>
        <v/>
      </c>
      <c r="V36" s="9" t="str">
        <f t="shared" si="10"/>
        <v/>
      </c>
      <c r="W36" s="11" t="str">
        <f t="shared" si="15"/>
        <v/>
      </c>
      <c r="X36" s="11" t="str">
        <f t="shared" si="16"/>
        <v/>
      </c>
    </row>
    <row r="37" spans="1:24" ht="15.75" hidden="1" thickBot="1">
      <c r="A37" s="29"/>
      <c r="B37" s="5"/>
      <c r="C37" s="5"/>
      <c r="D37" s="6" t="str">
        <f t="shared" si="0"/>
        <v/>
      </c>
      <c r="E37" s="7"/>
      <c r="F37" s="7"/>
      <c r="G37" s="8" t="str">
        <f t="shared" si="1"/>
        <v/>
      </c>
      <c r="H37" s="7"/>
      <c r="I37" s="7"/>
      <c r="J37" s="9" t="str">
        <f t="shared" si="13"/>
        <v/>
      </c>
      <c r="K37" s="28"/>
      <c r="L37" s="28"/>
      <c r="M37" s="9" t="str">
        <f t="shared" si="14"/>
        <v/>
      </c>
      <c r="N37" s="7"/>
      <c r="O37" s="15"/>
      <c r="P37" s="9" t="str">
        <f t="shared" si="2"/>
        <v/>
      </c>
      <c r="Q37" s="7"/>
      <c r="R37" s="7"/>
      <c r="S37" s="7"/>
      <c r="T37" s="5"/>
      <c r="U37" s="10" t="str">
        <f t="shared" si="9"/>
        <v/>
      </c>
      <c r="V37" s="9" t="str">
        <f t="shared" si="10"/>
        <v/>
      </c>
      <c r="W37" s="11" t="str">
        <f t="shared" si="15"/>
        <v/>
      </c>
      <c r="X37" s="11" t="str">
        <f t="shared" si="16"/>
        <v/>
      </c>
    </row>
    <row r="38" spans="1:24" s="43" customFormat="1" ht="19.5" thickBot="1">
      <c r="A38" s="31"/>
      <c r="B38" s="32" t="s">
        <v>41</v>
      </c>
      <c r="C38" s="32"/>
      <c r="D38" s="33">
        <f>SUM(D3:D37)</f>
        <v>27195.000000006985</v>
      </c>
      <c r="E38" s="33">
        <f>SUM(E3:E37)</f>
        <v>1245</v>
      </c>
      <c r="F38" s="33">
        <f>SUM(F3:F37)</f>
        <v>1472</v>
      </c>
      <c r="G38" s="33">
        <f>SUM(G3:G37)</f>
        <v>227</v>
      </c>
      <c r="H38" s="33">
        <f>SUM(H2:H37)</f>
        <v>4861</v>
      </c>
      <c r="I38" s="33">
        <f>SUM(I3:I37)</f>
        <v>1542</v>
      </c>
      <c r="J38" s="34">
        <f>(D38-G38-H38-I38)/D38</f>
        <v>0.75620518477667598</v>
      </c>
      <c r="K38" s="35">
        <f>SUM(K3:K37)</f>
        <v>1342</v>
      </c>
      <c r="L38" s="35">
        <f>SUM(L3:L37)</f>
        <v>2741</v>
      </c>
      <c r="M38" s="36">
        <f>(D38-G38-H38-I38-E38-K38-L38)/D38</f>
        <v>0.56028681742978748</v>
      </c>
      <c r="N38" s="37">
        <f>AVERAGE(N3:N37)</f>
        <v>17000</v>
      </c>
      <c r="O38" s="38">
        <f>AVERAGE(O3:O37)</f>
        <v>16813.550527427451</v>
      </c>
      <c r="P38" s="34">
        <f>O38/N38</f>
        <v>0.98903238396632065</v>
      </c>
      <c r="Q38" s="37">
        <f>SUM(Q3:Q35)</f>
        <v>135573</v>
      </c>
      <c r="R38" s="37"/>
      <c r="S38" s="32"/>
      <c r="T38" s="32"/>
      <c r="U38" s="39"/>
      <c r="V38" s="40">
        <f>AVERAGE(V3:V37)</f>
        <v>0.99569620810782622</v>
      </c>
      <c r="W38" s="41">
        <f>V38*P38*J38</f>
        <v>0.74469256157625063</v>
      </c>
      <c r="X38" s="42">
        <f>V38*P38*M38</f>
        <v>0.55175689573249098</v>
      </c>
    </row>
    <row r="39" spans="1:24" ht="28.5">
      <c r="Q39" s="66"/>
      <c r="R39" s="66"/>
      <c r="S39" s="44"/>
      <c r="T39" s="45"/>
      <c r="U39" s="22"/>
    </row>
    <row r="40" spans="1:24" ht="28.5">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G44" s="16">
        <f>AVERAGE('January 2026 (w Utilization)'!X38,'February 2026 (w Utilization) '!X38,'March 2026 (w Utilization'!X38,'April 2026 (w Utilization) '!X38,'May 2026 (w Utilization)'!X38,'June 2026 (w Utilization)'!X38,'July 2026 (w Utilization)'!X38)</f>
        <v>0.55354563180899996</v>
      </c>
      <c r="Q44" s="22"/>
      <c r="R44" s="22"/>
      <c r="S44" s="22"/>
      <c r="T44" s="22"/>
      <c r="U44" s="22"/>
    </row>
    <row r="46" spans="1:24">
      <c r="C46" s="17"/>
      <c r="D46" s="53" t="s">
        <v>43</v>
      </c>
      <c r="E46" s="53" t="s">
        <v>44</v>
      </c>
    </row>
    <row r="47" spans="1:24">
      <c r="C47" s="4" t="s">
        <v>45</v>
      </c>
      <c r="D47" s="54">
        <f>W38</f>
        <v>0.74469256157625063</v>
      </c>
      <c r="E47" s="55">
        <f t="shared" ref="E47:E52" si="26">100%-D47</f>
        <v>0.25530743842374937</v>
      </c>
    </row>
    <row r="48" spans="1:24">
      <c r="C48" s="4" t="s">
        <v>46</v>
      </c>
      <c r="D48" s="54">
        <f>X38</f>
        <v>0.55175689573249098</v>
      </c>
      <c r="E48" s="55">
        <f t="shared" si="26"/>
        <v>0.44824310426750902</v>
      </c>
    </row>
    <row r="49" spans="3:5">
      <c r="C49" s="4" t="s">
        <v>11</v>
      </c>
      <c r="D49" s="54">
        <f>J38</f>
        <v>0.75620518477667598</v>
      </c>
      <c r="E49" s="55">
        <f t="shared" si="26"/>
        <v>0.24379481522332402</v>
      </c>
    </row>
    <row r="50" spans="3:5" ht="30">
      <c r="C50" s="4" t="s">
        <v>14</v>
      </c>
      <c r="D50" s="54">
        <f>M38</f>
        <v>0.56028681742978748</v>
      </c>
      <c r="E50" s="55">
        <f>100%-D50</f>
        <v>0.43971318257021252</v>
      </c>
    </row>
    <row r="51" spans="3:5">
      <c r="C51" s="4" t="s">
        <v>17</v>
      </c>
      <c r="D51" s="54">
        <f>P38</f>
        <v>0.98903238396632065</v>
      </c>
      <c r="E51" s="55">
        <f t="shared" si="26"/>
        <v>1.096761603367935E-2</v>
      </c>
    </row>
    <row r="52" spans="3:5">
      <c r="C52" s="4" t="str">
        <f>V2</f>
        <v>Quality</v>
      </c>
      <c r="D52" s="54">
        <f>V38</f>
        <v>0.99569620810782622</v>
      </c>
      <c r="E52" s="55">
        <f t="shared" si="26"/>
        <v>4.3037918921737806E-3</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52"/>
  <sheetViews>
    <sheetView topLeftCell="A47" zoomScale="80" zoomScaleNormal="80" workbookViewId="0">
      <selection activeCell="I50" sqref="I50"/>
    </sheetView>
  </sheetViews>
  <sheetFormatPr defaultRowHeight="15"/>
  <cols>
    <col min="1" max="1" width="48.71093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30"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30"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30">
      <c r="A3" s="27" t="s">
        <v>68</v>
      </c>
      <c r="B3" s="5">
        <v>46237.121527777781</v>
      </c>
      <c r="C3" s="5">
        <v>46237.979166666664</v>
      </c>
      <c r="D3" s="6">
        <f t="shared" ref="D3:D36" si="0">IF(B3="","",(C3-B3)*24*60)</f>
        <v>1234.9999999918509</v>
      </c>
      <c r="E3" s="7">
        <v>0</v>
      </c>
      <c r="F3" s="7">
        <v>0</v>
      </c>
      <c r="G3" s="8">
        <f t="shared" ref="G3:G36" si="1">IF(E3="","",F3-E3)</f>
        <v>0</v>
      </c>
      <c r="H3" s="7">
        <f>6+5+7+5+5+5+9+26+60+17+12+20+8+20+28+7+11+8+7+5+21+6+11+6+10+6+8+15</f>
        <v>354</v>
      </c>
      <c r="I3" s="7">
        <f>2+1+3+2+3+4+4+3+3+3+2+4+3+2+1+3+3+1+2+3+2+2+3+4+3+4+4+4+4+2+3+4+3+3</f>
        <v>97</v>
      </c>
      <c r="J3" s="9">
        <f>IF(B3="","",(D3-G3-H3-I3)/D3)</f>
        <v>0.63481781376277258</v>
      </c>
      <c r="K3" s="28">
        <v>0</v>
      </c>
      <c r="L3" s="28">
        <f>6+7+12+10+4</f>
        <v>39</v>
      </c>
      <c r="M3" s="9">
        <f>IF(B3="","",(D3-G3-H3-I3-K3-L3-E3)/D3)</f>
        <v>0.60323886639414315</v>
      </c>
      <c r="N3" s="7">
        <v>17000</v>
      </c>
      <c r="O3" s="15">
        <f>AVERAGE(17000,17000,17000,17000,17000,17000,16000,15000,13000,13000,13000,17000,17000,17000)</f>
        <v>15928.571428571429</v>
      </c>
      <c r="P3" s="9">
        <f t="shared" ref="P3:P36" si="2">IF(B3="","",O3/N3)</f>
        <v>0.93697478991596639</v>
      </c>
      <c r="Q3" s="7">
        <v>5831</v>
      </c>
      <c r="R3" s="7">
        <v>57</v>
      </c>
      <c r="S3" s="7">
        <v>64</v>
      </c>
      <c r="T3" s="5">
        <v>46241</v>
      </c>
      <c r="U3" s="10">
        <f>IF(S3="","",(T3-C3))</f>
        <v>3.0208333333357587</v>
      </c>
      <c r="V3" s="9">
        <f>IF(B3="","",IF(U3&lt;3,(Q3-R3)/Q3,(Q3-R3-S3)/Q3))</f>
        <v>0.97924884239410048</v>
      </c>
      <c r="W3" s="11">
        <f>IF(B3="","",V3*P3*J3)</f>
        <v>0.58246532716223431</v>
      </c>
      <c r="X3" s="11">
        <f>IF(B3="","",V3*P3*M3)</f>
        <v>0.55349064889748523</v>
      </c>
    </row>
    <row r="4" spans="1:30">
      <c r="A4" s="27" t="s">
        <v>26</v>
      </c>
      <c r="B4" s="5">
        <v>46238.0625</v>
      </c>
      <c r="C4" s="5">
        <v>46239</v>
      </c>
      <c r="D4" s="6">
        <f>IF(B4="","",(C4-B4)*24*60)</f>
        <v>1350</v>
      </c>
      <c r="E4" s="7">
        <v>0</v>
      </c>
      <c r="F4" s="7">
        <v>0</v>
      </c>
      <c r="G4" s="8">
        <f t="shared" si="1"/>
        <v>0</v>
      </c>
      <c r="H4" s="7">
        <f>5+8+5+5+7+5+11+6</f>
        <v>52</v>
      </c>
      <c r="I4" s="7">
        <f>2+2+4+1+2+2+3+2+3+3+2+3+1+3+3+3+4+3+4+2+4+1+1+2+1+3+1+2+2+1+2+4+3+1+2+3+3+2+3+3</f>
        <v>96</v>
      </c>
      <c r="J4" s="9">
        <f t="shared" ref="J4:J5" si="3">IF(B4="","",(D4-G4-H4-I4)/D4)</f>
        <v>0.89037037037037037</v>
      </c>
      <c r="K4" s="28">
        <v>0</v>
      </c>
      <c r="L4" s="28">
        <f>2+6+7+4+3+5+5+6+5+5+2+5+4+4+6+4+28+2+3+2+2+2+4</f>
        <v>116</v>
      </c>
      <c r="M4" s="9">
        <f t="shared" ref="M4:M36" si="4">IF(B4="","",(D4-G4-H4-I4-K4-L4-E4)/D4)</f>
        <v>0.80444444444444441</v>
      </c>
      <c r="N4" s="7">
        <v>17000</v>
      </c>
      <c r="O4" s="15">
        <f>AVERAGE(15700,15700,15700,15700,15700,15700,15700,15700,16000,16000,16000,16000,16000,16000,16000,16000,17000,17000,17000,17000,17000)</f>
        <v>16123.809523809523</v>
      </c>
      <c r="P4" s="9">
        <f>IF(B4="","",O4/N4)</f>
        <v>0.94845938375350136</v>
      </c>
      <c r="Q4" s="7">
        <v>10243</v>
      </c>
      <c r="R4" s="7">
        <v>21</v>
      </c>
      <c r="S4" s="7"/>
      <c r="T4" s="5"/>
      <c r="U4" s="10" t="str">
        <f t="shared" ref="U4:U36" si="5">IF(S4="","",(T4-C4))</f>
        <v/>
      </c>
      <c r="V4" s="9">
        <f t="shared" ref="V4:V36" si="6">IF(B4="","",IF(U4&lt;3,(Q4-R4)/Q4,(Q4-R4-S4)/Q4))</f>
        <v>0.99794981938885097</v>
      </c>
      <c r="W4" s="11">
        <f t="shared" ref="W4:W36" si="7">IF(B4="","",V4*P4*J4)</f>
        <v>0.84274879599910379</v>
      </c>
      <c r="X4" s="11">
        <f t="shared" ref="X4:X36" si="8">IF(B4="","",V4*P4*M4)</f>
        <v>0.76141862933030502</v>
      </c>
    </row>
    <row r="5" spans="1:30">
      <c r="A5" s="29" t="s">
        <v>118</v>
      </c>
      <c r="B5" s="5">
        <v>46239.006944444445</v>
      </c>
      <c r="C5" s="5">
        <v>46240</v>
      </c>
      <c r="D5" s="6">
        <f t="shared" si="0"/>
        <v>1429.9999999988358</v>
      </c>
      <c r="E5" s="7">
        <f>10+10</f>
        <v>20</v>
      </c>
      <c r="F5" s="7">
        <f>14+21</f>
        <v>35</v>
      </c>
      <c r="G5" s="8">
        <f t="shared" si="1"/>
        <v>15</v>
      </c>
      <c r="H5" s="7">
        <f>13+7+10+25+6+12+5+9+6+15+29</f>
        <v>137</v>
      </c>
      <c r="I5" s="7">
        <f>1+2+4+2+2+4+4+3+4+2+2+2+3+1+4+2+2+2+2+2+2+3+2+1+2+2</f>
        <v>62</v>
      </c>
      <c r="J5" s="9">
        <f t="shared" si="3"/>
        <v>0.85034965034952847</v>
      </c>
      <c r="K5" s="28">
        <v>0</v>
      </c>
      <c r="L5" s="28">
        <f>16+16+60+60+60+60+15+6+4+14+33</f>
        <v>344</v>
      </c>
      <c r="M5" s="9">
        <f t="shared" si="4"/>
        <v>0.59580419580386679</v>
      </c>
      <c r="N5" s="7">
        <v>17000</v>
      </c>
      <c r="O5" s="15">
        <f>AVERAGE(15500,15000,15500,15500,11000,16000,16000,16000,16000,16000,15000,17000,17000,16000,15000,15000,15000)</f>
        <v>15441.176470588236</v>
      </c>
      <c r="P5" s="9">
        <f t="shared" si="2"/>
        <v>0.90830449826989623</v>
      </c>
      <c r="Q5" s="7">
        <f>2644+4281+407</f>
        <v>7332</v>
      </c>
      <c r="R5" s="7">
        <v>63</v>
      </c>
      <c r="S5" s="7"/>
      <c r="T5" s="5"/>
      <c r="U5" s="10" t="str">
        <f t="shared" si="5"/>
        <v/>
      </c>
      <c r="V5" s="9">
        <f t="shared" si="6"/>
        <v>0.99140752864157122</v>
      </c>
      <c r="W5" s="11">
        <f t="shared" si="7"/>
        <v>0.76573979031225159</v>
      </c>
      <c r="X5" s="11">
        <f t="shared" si="8"/>
        <v>0.53652162939619374</v>
      </c>
    </row>
    <row r="6" spans="1:30">
      <c r="A6" s="29" t="s">
        <v>27</v>
      </c>
      <c r="B6" s="5">
        <v>46240.006944444445</v>
      </c>
      <c r="C6" s="5">
        <v>46240.945833333331</v>
      </c>
      <c r="D6" s="6">
        <f t="shared" si="0"/>
        <v>1351.9999999960419</v>
      </c>
      <c r="E6" s="7">
        <v>45</v>
      </c>
      <c r="F6" s="7">
        <v>60</v>
      </c>
      <c r="G6" s="8">
        <f t="shared" si="1"/>
        <v>15</v>
      </c>
      <c r="H6" s="7">
        <f>5+8+15+60+60+60+60+60+5+5+5+6+6+10</f>
        <v>365</v>
      </c>
      <c r="I6" s="7">
        <f>2+2+1+2+2+1+1+1+2+2+2+4+2+3+4+2+3+4+3+4+1+2+1+2+2+3+3+3+4+4+3+2+2</f>
        <v>79</v>
      </c>
      <c r="J6" s="9">
        <f t="shared" ref="J6:J36" si="9">IF(B6="","",(D6-G6-H6-I6)/D6)</f>
        <v>0.66050295857888774</v>
      </c>
      <c r="K6" s="28">
        <v>0</v>
      </c>
      <c r="L6" s="28">
        <f>16+47+13+2+2</f>
        <v>80</v>
      </c>
      <c r="M6" s="9">
        <f t="shared" si="4"/>
        <v>0.56804733727684187</v>
      </c>
      <c r="N6" s="7">
        <v>17000</v>
      </c>
      <c r="O6" s="7">
        <f>AVERAGE(14000,15000,16000,15000,15500,15500,17000,17000,17000,16000,15500,15500,15500,15500,15500)</f>
        <v>15700</v>
      </c>
      <c r="P6" s="9">
        <f t="shared" si="2"/>
        <v>0.92352941176470593</v>
      </c>
      <c r="Q6" s="7">
        <v>6934</v>
      </c>
      <c r="R6" s="7">
        <v>66</v>
      </c>
      <c r="S6" s="7"/>
      <c r="T6" s="5"/>
      <c r="U6" s="10" t="str">
        <f t="shared" si="5"/>
        <v/>
      </c>
      <c r="V6" s="9">
        <f t="shared" si="6"/>
        <v>0.99048168445341789</v>
      </c>
      <c r="W6" s="11">
        <f t="shared" si="7"/>
        <v>0.60418779429970715</v>
      </c>
      <c r="X6" s="11">
        <f t="shared" si="8"/>
        <v>0.51961503473890291</v>
      </c>
    </row>
    <row r="7" spans="1:30">
      <c r="A7" s="29" t="s">
        <v>119</v>
      </c>
      <c r="B7" s="5">
        <v>46241.055555555555</v>
      </c>
      <c r="C7" s="5">
        <v>46241.809027777781</v>
      </c>
      <c r="D7" s="6">
        <f>IF(B7="","",(C7-B7)*24*60)</f>
        <v>1085.0000000058208</v>
      </c>
      <c r="E7" s="7">
        <v>60</v>
      </c>
      <c r="F7" s="7">
        <v>135</v>
      </c>
      <c r="G7" s="8">
        <f t="shared" si="1"/>
        <v>75</v>
      </c>
      <c r="H7" s="7">
        <f>6+40+6+13+11+16+5+7+6+5+5+6</f>
        <v>126</v>
      </c>
      <c r="I7" s="7">
        <f>4+2+1+2+1+2+2+4+2+2+1+2+1+3+3+4+3+4+3+4+3+2+3</f>
        <v>58</v>
      </c>
      <c r="J7" s="9">
        <f t="shared" si="9"/>
        <v>0.76129032258192575</v>
      </c>
      <c r="K7" s="28">
        <v>0</v>
      </c>
      <c r="L7" s="28">
        <f>3+6+4+8+5+4+4+2+2+5+4+5</f>
        <v>52</v>
      </c>
      <c r="M7" s="9">
        <f t="shared" si="4"/>
        <v>0.65806451613086669</v>
      </c>
      <c r="N7" s="7">
        <v>17000</v>
      </c>
      <c r="O7" s="15">
        <f>AVERAGE(17000,17000,16000,16000,16000,16000,17000,17000,17000,17000,15000,15000)</f>
        <v>16333.333333333334</v>
      </c>
      <c r="P7" s="9">
        <f t="shared" si="2"/>
        <v>0.96078431372549022</v>
      </c>
      <c r="Q7" s="15">
        <f>5846+497</f>
        <v>6343</v>
      </c>
      <c r="R7" s="15">
        <f>13+3</f>
        <v>16</v>
      </c>
      <c r="S7" s="7"/>
      <c r="T7" s="5"/>
      <c r="U7" s="10" t="str">
        <f t="shared" si="5"/>
        <v/>
      </c>
      <c r="V7" s="9">
        <f t="shared" ref="V7" si="10">IF(B7="","",IF(U7&lt;3,(Q7-R7)/Q7,(Q7-R7-S7)/Q7))</f>
        <v>0.99747753428976826</v>
      </c>
      <c r="W7" s="11">
        <f t="shared" ref="W7" si="11">IF(B7="","",V7*P7*J7)</f>
        <v>0.7295907784026745</v>
      </c>
      <c r="X7" s="11">
        <f t="shared" ref="X7" si="12">IF(B7="","",V7*P7*M7)</f>
        <v>0.63066321523012769</v>
      </c>
    </row>
    <row r="8" spans="1:30">
      <c r="A8" s="29" t="s">
        <v>120</v>
      </c>
      <c r="B8" s="5">
        <v>46246.402777777781</v>
      </c>
      <c r="C8" s="5">
        <v>46247.006944444445</v>
      </c>
      <c r="D8" s="6">
        <f t="shared" si="0"/>
        <v>869.99999999650754</v>
      </c>
      <c r="E8" s="7">
        <v>0</v>
      </c>
      <c r="F8" s="7">
        <v>0</v>
      </c>
      <c r="G8" s="8">
        <f t="shared" si="1"/>
        <v>0</v>
      </c>
      <c r="H8" s="7">
        <f>7+5+9+11+17+7+6+6+9+6+9+6+8+5+22+5+15+5+10+14+10+5+5</f>
        <v>202</v>
      </c>
      <c r="I8" s="7">
        <f>3+4+4+3+2+4+1+4+3+3+3+3+2+2+2+2</f>
        <v>45</v>
      </c>
      <c r="J8" s="9">
        <f t="shared" si="9"/>
        <v>0.71609195402184878</v>
      </c>
      <c r="K8" s="28">
        <v>0</v>
      </c>
      <c r="L8" s="28">
        <f>46+4+10+6+6+10</f>
        <v>82</v>
      </c>
      <c r="M8" s="9">
        <f t="shared" si="4"/>
        <v>0.62183908045825209</v>
      </c>
      <c r="N8" s="7">
        <v>17000</v>
      </c>
      <c r="O8" s="15">
        <f>AVERAGE(15000,14900,14000,14000,16000,16000,16000,17000,17000,17000)</f>
        <v>15690</v>
      </c>
      <c r="P8" s="9">
        <f t="shared" si="2"/>
        <v>0.92294117647058826</v>
      </c>
      <c r="Q8" s="15">
        <v>4542</v>
      </c>
      <c r="R8" s="15">
        <v>15</v>
      </c>
      <c r="S8" s="15">
        <v>8</v>
      </c>
      <c r="T8" s="5"/>
      <c r="U8" s="10">
        <f t="shared" si="5"/>
        <v>-46247.006944444445</v>
      </c>
      <c r="V8" s="9">
        <f t="shared" si="6"/>
        <v>0.99669749009247033</v>
      </c>
      <c r="W8" s="11">
        <f t="shared" si="7"/>
        <v>0.6587280862045084</v>
      </c>
      <c r="X8" s="11">
        <f t="shared" si="8"/>
        <v>0.57202551305992988</v>
      </c>
    </row>
    <row r="9" spans="1:30">
      <c r="A9" s="29" t="s">
        <v>121</v>
      </c>
      <c r="B9" s="5">
        <v>46247.011805555558</v>
      </c>
      <c r="C9" s="5">
        <v>46248</v>
      </c>
      <c r="D9" s="6">
        <f t="shared" si="0"/>
        <v>1422.9999999969732</v>
      </c>
      <c r="E9" s="7">
        <f>5+10</f>
        <v>15</v>
      </c>
      <c r="F9" s="7">
        <v>135</v>
      </c>
      <c r="G9" s="8">
        <f t="shared" si="1"/>
        <v>120</v>
      </c>
      <c r="H9" s="7">
        <f>10+5+21+42+10+5+5+5+5+10+5</f>
        <v>123</v>
      </c>
      <c r="I9" s="7">
        <f>1+1+4+4+2+2+1+2+2+3+3+2+3+2+2+4+1+2+1+1+2+4+3+2+3+4+1+3+2+3+4+1+3+4+4+2+4+1+3+4+4+2</f>
        <v>106</v>
      </c>
      <c r="J9" s="9">
        <f t="shared" si="9"/>
        <v>0.75474349964810794</v>
      </c>
      <c r="K9" s="28">
        <v>0</v>
      </c>
      <c r="L9" s="28">
        <f>6+2+4+1+2+3+2+2+2+2+7+31+3+7+5</f>
        <v>79</v>
      </c>
      <c r="M9" s="9">
        <f t="shared" si="4"/>
        <v>0.68868587491149524</v>
      </c>
      <c r="N9" s="7">
        <v>17000</v>
      </c>
      <c r="O9" s="15">
        <f>AVERAGE(16000,16000,16800,16000,16000,16000,16000,17000,15000,15000,15000,15000,15000,15000)</f>
        <v>15700</v>
      </c>
      <c r="P9" s="9">
        <f t="shared" si="2"/>
        <v>0.92352941176470593</v>
      </c>
      <c r="Q9" s="15">
        <f>899+4088+3184</f>
        <v>8171</v>
      </c>
      <c r="R9" s="15">
        <f>6+3</f>
        <v>9</v>
      </c>
      <c r="S9" s="7"/>
      <c r="T9" s="5"/>
      <c r="U9" s="10" t="str">
        <f t="shared" si="5"/>
        <v/>
      </c>
      <c r="V9" s="9">
        <f t="shared" si="6"/>
        <v>0.99889854362991071</v>
      </c>
      <c r="W9" s="11">
        <f t="shared" si="7"/>
        <v>0.69626007453049432</v>
      </c>
      <c r="X9" s="11">
        <f t="shared" si="8"/>
        <v>0.63532111083770948</v>
      </c>
    </row>
    <row r="10" spans="1:30">
      <c r="A10" s="29" t="s">
        <v>30</v>
      </c>
      <c r="B10" s="5">
        <v>46248.011805555558</v>
      </c>
      <c r="C10" s="5">
        <v>46248.818055555559</v>
      </c>
      <c r="D10" s="6">
        <f t="shared" si="0"/>
        <v>1161.0000000020955</v>
      </c>
      <c r="E10" s="7">
        <f>10+10</f>
        <v>20</v>
      </c>
      <c r="F10" s="7">
        <v>37</v>
      </c>
      <c r="G10" s="8">
        <f t="shared" si="1"/>
        <v>17</v>
      </c>
      <c r="H10" s="7">
        <f>9+16+6+5+6+6+5+5+5+8+5+8+5+5</f>
        <v>94</v>
      </c>
      <c r="I10" s="7">
        <f>2+2+3+2+3+2+2+4+2+4+4+2+1+2+1+2+4+2+4+3</f>
        <v>51</v>
      </c>
      <c r="J10" s="9">
        <f t="shared" si="9"/>
        <v>0.86046511627932165</v>
      </c>
      <c r="K10" s="28">
        <v>0</v>
      </c>
      <c r="L10" s="28">
        <f>34+2+6+37+30+30+6+6</f>
        <v>151</v>
      </c>
      <c r="M10" s="9">
        <f t="shared" si="4"/>
        <v>0.71317829457416104</v>
      </c>
      <c r="N10" s="7">
        <v>17000</v>
      </c>
      <c r="O10" s="15">
        <f>AVERAGE(17000,17000,17000,17000,17000,17000,17000,17000,17000,17000,17000,16000,16000,16000,16000)</f>
        <v>16733.333333333332</v>
      </c>
      <c r="P10" s="9">
        <f t="shared" si="2"/>
        <v>0.98431372549019602</v>
      </c>
      <c r="Q10" s="15">
        <f>6323+649</f>
        <v>6972</v>
      </c>
      <c r="R10" s="15">
        <f>13+2</f>
        <v>15</v>
      </c>
      <c r="S10" s="7">
        <f>13+280</f>
        <v>293</v>
      </c>
      <c r="T10" s="5"/>
      <c r="U10" s="10">
        <f t="shared" si="5"/>
        <v>-46248.818055555559</v>
      </c>
      <c r="V10" s="9">
        <f t="shared" si="6"/>
        <v>0.99784853700516352</v>
      </c>
      <c r="W10" s="11">
        <f t="shared" si="7"/>
        <v>0.84514540475783551</v>
      </c>
      <c r="X10" s="11">
        <f t="shared" si="8"/>
        <v>0.70048087601580666</v>
      </c>
      <c r="AD10" t="s">
        <v>101</v>
      </c>
    </row>
    <row r="11" spans="1:30">
      <c r="A11" s="29" t="s">
        <v>122</v>
      </c>
      <c r="B11" s="5">
        <v>46251.083333333336</v>
      </c>
      <c r="C11" s="5">
        <v>46252</v>
      </c>
      <c r="D11" s="6">
        <f t="shared" si="0"/>
        <v>1319.9999999965075</v>
      </c>
      <c r="E11" s="7">
        <v>5</v>
      </c>
      <c r="F11" s="7">
        <v>89</v>
      </c>
      <c r="G11" s="8">
        <f t="shared" si="1"/>
        <v>84</v>
      </c>
      <c r="H11" s="7">
        <f>5+22+16+5+5+6+12+7+15+5+22+26+51+8+18+11+6+13+11+7+34+14+12+10+10</f>
        <v>351</v>
      </c>
      <c r="I11" s="7">
        <f>2+3+1+3+3+3+3+2+3+3+2+3+3</f>
        <v>34</v>
      </c>
      <c r="J11" s="9">
        <f t="shared" si="9"/>
        <v>0.64469696969602963</v>
      </c>
      <c r="K11" s="28">
        <v>0</v>
      </c>
      <c r="L11" s="28">
        <f>3+15+2+2+3+2+4+2+3+3+2+4</f>
        <v>45</v>
      </c>
      <c r="M11" s="9">
        <f t="shared" si="4"/>
        <v>0.60681818181714153</v>
      </c>
      <c r="N11" s="7">
        <v>17000</v>
      </c>
      <c r="O11" s="15">
        <f>AVERAGE(18000,17000,17000,17000,17000,15000,15000,15000,15000,15000,15000,15000,16000,16000,16000,16000)</f>
        <v>15937.5</v>
      </c>
      <c r="P11" s="9">
        <f t="shared" si="2"/>
        <v>0.9375</v>
      </c>
      <c r="Q11" s="15">
        <v>5598</v>
      </c>
      <c r="R11" s="15">
        <v>17</v>
      </c>
      <c r="S11" s="7"/>
      <c r="T11" s="5"/>
      <c r="U11" s="10" t="str">
        <f t="shared" si="5"/>
        <v/>
      </c>
      <c r="V11" s="9">
        <f t="shared" si="6"/>
        <v>0.99696320114326542</v>
      </c>
      <c r="W11" s="11">
        <f t="shared" si="7"/>
        <v>0.60256795750829673</v>
      </c>
      <c r="X11" s="11">
        <f t="shared" si="8"/>
        <v>0.5671644347403314</v>
      </c>
    </row>
    <row r="12" spans="1:30">
      <c r="A12" s="29" t="s">
        <v>123</v>
      </c>
      <c r="B12" s="5">
        <v>46252.052083333336</v>
      </c>
      <c r="C12" s="5">
        <v>46253</v>
      </c>
      <c r="D12" s="6">
        <f t="shared" si="0"/>
        <v>1364.9999999965075</v>
      </c>
      <c r="E12" s="7">
        <v>10</v>
      </c>
      <c r="F12" s="7">
        <v>40</v>
      </c>
      <c r="G12" s="8">
        <f t="shared" si="1"/>
        <v>30</v>
      </c>
      <c r="H12" s="7">
        <f>60+15+24+5+5+8+10+10+6+5+5+5+7+7+7</f>
        <v>179</v>
      </c>
      <c r="I12" s="7">
        <f>4+2+4+3+3+1+2+3+4+2+3+2+1+2+2+3+2+2+1+3+3+2+2+3+3+4+2+4+1+3+2+2+4+2+4+2+3+2+3+3+2+2</f>
        <v>107</v>
      </c>
      <c r="J12" s="9">
        <f t="shared" si="9"/>
        <v>0.76849816849757613</v>
      </c>
      <c r="K12" s="28">
        <v>0</v>
      </c>
      <c r="L12" s="28">
        <f>10+2+3+3+10+2+3+6</f>
        <v>39</v>
      </c>
      <c r="M12" s="9">
        <f t="shared" si="4"/>
        <v>0.73260073260004843</v>
      </c>
      <c r="N12" s="7">
        <v>17000</v>
      </c>
      <c r="O12" s="15">
        <f>AVERAGE(17000,17000,17000,17000,17000,17000,17000,17000,17000,17000,17000,17000,17000,17000,17000,16000,15000,15500,15500,15500,16000,16000)</f>
        <v>16568.18181818182</v>
      </c>
      <c r="P12" s="9">
        <f t="shared" si="2"/>
        <v>0.97459893048128354</v>
      </c>
      <c r="Q12" s="15">
        <v>9518</v>
      </c>
      <c r="R12" s="15">
        <v>14</v>
      </c>
      <c r="S12" s="7"/>
      <c r="T12" s="5"/>
      <c r="U12" s="10" t="str">
        <f t="shared" si="5"/>
        <v/>
      </c>
      <c r="V12" s="9">
        <f t="shared" si="6"/>
        <v>0.99852910275267914</v>
      </c>
      <c r="W12" s="11">
        <f t="shared" si="7"/>
        <v>0.74787582416166487</v>
      </c>
      <c r="X12" s="11">
        <f t="shared" si="8"/>
        <v>0.71294168175552231</v>
      </c>
    </row>
    <row r="13" spans="1:30">
      <c r="A13" s="29" t="s">
        <v>124</v>
      </c>
      <c r="B13" s="5">
        <v>46253.052777777775</v>
      </c>
      <c r="C13" s="5">
        <v>46254</v>
      </c>
      <c r="D13" s="6">
        <f t="shared" si="0"/>
        <v>1364.0000000037253</v>
      </c>
      <c r="E13" s="7">
        <v>57</v>
      </c>
      <c r="F13" s="7">
        <v>60</v>
      </c>
      <c r="G13" s="8">
        <f t="shared" si="1"/>
        <v>3</v>
      </c>
      <c r="H13" s="7">
        <f>9+7+8+30+60+28+7+5</f>
        <v>154</v>
      </c>
      <c r="I13" s="7">
        <f>3+4+2+2+4+1+2+3+2+1+1+1+2+3+4+3+3+2+4+4+4+1+4+2+3+2</f>
        <v>67</v>
      </c>
      <c r="J13" s="9">
        <f t="shared" si="9"/>
        <v>0.83577712610015531</v>
      </c>
      <c r="K13" s="28">
        <v>30</v>
      </c>
      <c r="L13" s="28">
        <f>3+3+30+10+2+5+2+3+3+2+3+3+3+3+4+5+2+2+32+15+2</f>
        <v>137</v>
      </c>
      <c r="M13" s="9">
        <f t="shared" si="4"/>
        <v>0.67155425220031051</v>
      </c>
      <c r="N13" s="7">
        <v>17000</v>
      </c>
      <c r="O13" s="15">
        <f>AVERAGE(16000,17000,16500,17000,17000,18000,16500,16500,16500,16500,16000,16000,16000,16000,16000,16000,16000)</f>
        <v>16441.176470588234</v>
      </c>
      <c r="P13" s="9">
        <f t="shared" si="2"/>
        <v>0.96712802768166084</v>
      </c>
      <c r="Q13" s="15">
        <v>8651</v>
      </c>
      <c r="R13" s="15">
        <v>38</v>
      </c>
      <c r="S13" s="7"/>
      <c r="T13" s="5"/>
      <c r="U13" s="10" t="str">
        <f t="shared" si="5"/>
        <v/>
      </c>
      <c r="V13" s="9">
        <f t="shared" si="6"/>
        <v>0.99560744422610103</v>
      </c>
      <c r="W13" s="11">
        <f t="shared" si="7"/>
        <v>0.80475296541297425</v>
      </c>
      <c r="X13" s="11">
        <f t="shared" si="8"/>
        <v>0.64662606694638025</v>
      </c>
    </row>
    <row r="14" spans="1:30">
      <c r="A14" s="29" t="s">
        <v>125</v>
      </c>
      <c r="B14" s="5">
        <v>46254.003472222219</v>
      </c>
      <c r="C14" s="5">
        <v>46254.861111111109</v>
      </c>
      <c r="D14" s="6">
        <f t="shared" si="0"/>
        <v>1235.0000000023283</v>
      </c>
      <c r="E14" s="7">
        <v>60</v>
      </c>
      <c r="F14" s="7">
        <v>164</v>
      </c>
      <c r="G14" s="8">
        <f t="shared" si="1"/>
        <v>104</v>
      </c>
      <c r="H14" s="7">
        <f>6+7+5+6+9+13+5+5</f>
        <v>56</v>
      </c>
      <c r="I14" s="7">
        <f>1+2+2+2+3+3+2+4+3+2+3+3+1+1+3+4+1+4+1+2+1+2+2+2+3+2+2+3+3+1</f>
        <v>68</v>
      </c>
      <c r="J14" s="9">
        <f t="shared" si="9"/>
        <v>0.81538461538496343</v>
      </c>
      <c r="K14" s="28">
        <v>0</v>
      </c>
      <c r="L14" s="28">
        <f>2+6+2+2+2+2+2+2+3+3+4+4+3+3+4</f>
        <v>44</v>
      </c>
      <c r="M14" s="9">
        <f t="shared" si="4"/>
        <v>0.73117408906933268</v>
      </c>
      <c r="N14" s="7">
        <v>17000</v>
      </c>
      <c r="O14" s="15">
        <f>AVERAGE(16000,16000,16000,16000,16000,15500,15500,17000,17000,17000,17000,17000,17000,17000,17000,16000,16000)</f>
        <v>16411.764705882353</v>
      </c>
      <c r="P14" s="9">
        <f t="shared" si="2"/>
        <v>0.96539792387543255</v>
      </c>
      <c r="Q14" s="15">
        <v>8710</v>
      </c>
      <c r="R14" s="15">
        <v>7</v>
      </c>
      <c r="S14" s="7"/>
      <c r="T14" s="5"/>
      <c r="U14" s="10" t="str">
        <f t="shared" si="5"/>
        <v/>
      </c>
      <c r="V14" s="9">
        <f t="shared" si="6"/>
        <v>0.99919632606199771</v>
      </c>
      <c r="W14" s="11">
        <f t="shared" si="7"/>
        <v>0.78653798634469352</v>
      </c>
      <c r="X14" s="11">
        <f t="shared" si="8"/>
        <v>0.70530665508386026</v>
      </c>
    </row>
    <row r="15" spans="1:30">
      <c r="A15" s="29" t="s">
        <v>27</v>
      </c>
      <c r="B15" s="5">
        <v>46258.142361111109</v>
      </c>
      <c r="C15" s="5">
        <v>46259</v>
      </c>
      <c r="D15" s="6">
        <f t="shared" si="0"/>
        <v>1235.0000000023283</v>
      </c>
      <c r="E15" s="7">
        <v>60</v>
      </c>
      <c r="F15" s="7">
        <v>122</v>
      </c>
      <c r="G15" s="8">
        <f t="shared" si="1"/>
        <v>62</v>
      </c>
      <c r="H15" s="7">
        <f>20+6+20+12+10+8+5+7+10+17+19+5+37+5+32+13+10+9+7+15+22+13+24+8</f>
        <v>334</v>
      </c>
      <c r="I15" s="7">
        <f>3+1+2+3+3+2+3+4+3+4+1+4+1+2+2+2+3+2+2+2+2+2+2+1+1+2+1+1+1+1+1</f>
        <v>64</v>
      </c>
      <c r="J15" s="9">
        <f t="shared" si="9"/>
        <v>0.62753036437317189</v>
      </c>
      <c r="K15" s="28">
        <v>0</v>
      </c>
      <c r="L15" s="28">
        <f>8+6+7+3+32</f>
        <v>56</v>
      </c>
      <c r="M15" s="9">
        <f t="shared" si="4"/>
        <v>0.53360323886727601</v>
      </c>
      <c r="N15" s="7">
        <v>17000</v>
      </c>
      <c r="O15" s="15">
        <f>AVERAGE(16000,17000,17000,17000,17000,17000,16000,17000,16000,15500,15000,15000)</f>
        <v>16291.666666666666</v>
      </c>
      <c r="P15" s="9">
        <f t="shared" si="2"/>
        <v>0.95833333333333326</v>
      </c>
      <c r="Q15" s="7">
        <v>5744</v>
      </c>
      <c r="R15" s="7">
        <v>49</v>
      </c>
      <c r="S15" s="7"/>
      <c r="T15" s="5"/>
      <c r="U15" s="10" t="str">
        <f t="shared" si="5"/>
        <v/>
      </c>
      <c r="V15" s="9">
        <f>IF(B15="","",IF(U15&lt;3,(Q15-R15)/Q15,(Q15-R15-S15)/Q15))</f>
        <v>0.99146935933147629</v>
      </c>
      <c r="W15" s="11">
        <f>IF(B15="","",V15*P15*J15)</f>
        <v>0.59625308131252841</v>
      </c>
      <c r="X15" s="11">
        <f t="shared" si="8"/>
        <v>0.50700745881956644</v>
      </c>
    </row>
    <row r="16" spans="1:30">
      <c r="A16" s="29" t="s">
        <v>67</v>
      </c>
      <c r="B16" s="5">
        <v>46259.017361111109</v>
      </c>
      <c r="C16" s="5">
        <v>46260</v>
      </c>
      <c r="D16" s="6">
        <f t="shared" si="0"/>
        <v>1415.0000000023283</v>
      </c>
      <c r="E16" s="7">
        <v>45</v>
      </c>
      <c r="F16" s="7">
        <v>21</v>
      </c>
      <c r="G16" s="8">
        <f t="shared" si="1"/>
        <v>-24</v>
      </c>
      <c r="H16" s="7">
        <f>6+7+5+6+5+5+13+18+6+37+7+6+5+5+10+13+5+13+5+5+5</f>
        <v>187</v>
      </c>
      <c r="I16" s="7">
        <f>4+3+4+3+2+2+1+2+1+2+2+2+4+2+1+3+4+4+4+2+4+1+3+2+3+1+1+1+1+2+2+1+1+1+2+2+2</f>
        <v>82</v>
      </c>
      <c r="J16" s="9">
        <f t="shared" si="9"/>
        <v>0.82685512367519653</v>
      </c>
      <c r="K16" s="28">
        <v>0</v>
      </c>
      <c r="L16" s="28">
        <f>4+6+7+3+16+4+12+48+60+60+38</f>
        <v>258</v>
      </c>
      <c r="M16" s="9">
        <f t="shared" si="4"/>
        <v>0.61272084805717431</v>
      </c>
      <c r="N16" s="7">
        <v>17000</v>
      </c>
      <c r="O16" s="15">
        <f>AVERAGE(17000,17000,15500,15500,15500,15500,16000,16000,16000,16000,16000,16000,16000,17000,17000,17000,17000)</f>
        <v>16235.294117647059</v>
      </c>
      <c r="P16" s="9">
        <f t="shared" si="2"/>
        <v>0.95501730103806237</v>
      </c>
      <c r="Q16" s="7">
        <v>7239</v>
      </c>
      <c r="R16" s="7">
        <v>6</v>
      </c>
      <c r="S16" s="7"/>
      <c r="T16" s="5"/>
      <c r="U16" s="10" t="str">
        <f t="shared" si="5"/>
        <v/>
      </c>
      <c r="V16" s="9">
        <f>IF(B16="","",IF(U16&lt;3,(Q16-R16)/Q16,(Q16-R16-S16)/Q16))</f>
        <v>0.99917115623704933</v>
      </c>
      <c r="W16" s="11">
        <f t="shared" si="7"/>
        <v>0.78900644300971834</v>
      </c>
      <c r="X16" s="11">
        <f t="shared" si="8"/>
        <v>0.58467400520504398</v>
      </c>
    </row>
    <row r="17" spans="1:24">
      <c r="A17" s="29" t="s">
        <v>69</v>
      </c>
      <c r="B17" s="5">
        <v>46260.006944444445</v>
      </c>
      <c r="C17" s="5">
        <v>46261</v>
      </c>
      <c r="D17" s="6">
        <f t="shared" si="0"/>
        <v>1429.9999999988358</v>
      </c>
      <c r="E17" s="7">
        <v>60</v>
      </c>
      <c r="F17" s="7">
        <v>62</v>
      </c>
      <c r="G17" s="8">
        <f t="shared" si="1"/>
        <v>2</v>
      </c>
      <c r="H17" s="7">
        <f>5+5+5+29+5+10+8+11+28+18+20+5</f>
        <v>149</v>
      </c>
      <c r="I17" s="7">
        <f>2+4+1+4+4+2+1+3+4+2+1+3+4+4+2+2+3+3+2+2+3+3+3+4+2+3+2+2+1+1+2+2+1+4+3+1</f>
        <v>90</v>
      </c>
      <c r="J17" s="9">
        <f t="shared" si="9"/>
        <v>0.83146853146839428</v>
      </c>
      <c r="K17" s="28">
        <v>0</v>
      </c>
      <c r="L17" s="28">
        <f>10+16+60+6+6+6+15+5+7+6+5+3+5+6+4+1+1+3+6+4+4+21+10+9+2</f>
        <v>221</v>
      </c>
      <c r="M17" s="9">
        <f t="shared" si="4"/>
        <v>0.63496503496473777</v>
      </c>
      <c r="N17" s="7">
        <v>17000</v>
      </c>
      <c r="O17" s="15">
        <f>AVERAGE(15500,15500,15500,17000,17000,17000,16000,15500,15500,15500,16000,17000,16000,14000,15000,15000,15500,15500,15500,15500,15500)</f>
        <v>15738.095238095239</v>
      </c>
      <c r="P17" s="9">
        <f t="shared" si="2"/>
        <v>0.92577030812324934</v>
      </c>
      <c r="Q17" s="7">
        <v>6289</v>
      </c>
      <c r="R17" s="7">
        <v>54</v>
      </c>
      <c r="S17" s="7"/>
      <c r="T17" s="5"/>
      <c r="U17" s="10" t="str">
        <f t="shared" si="5"/>
        <v/>
      </c>
      <c r="V17" s="9">
        <f>IF(B17="","",IF(U17&lt;3,(Q17-R17)/Q17,(Q17-R17-S17)/Q17))</f>
        <v>0.99141357926538398</v>
      </c>
      <c r="W17" s="11">
        <f t="shared" si="7"/>
        <v>0.76313949084086052</v>
      </c>
      <c r="X17" s="11">
        <f t="shared" si="8"/>
        <v>0.58278440511630902</v>
      </c>
    </row>
    <row r="18" spans="1:24">
      <c r="A18" s="29" t="s">
        <v>126</v>
      </c>
      <c r="B18" s="5">
        <v>46261.006944444445</v>
      </c>
      <c r="C18" s="5">
        <v>46261.958333333336</v>
      </c>
      <c r="D18" s="6">
        <f t="shared" si="0"/>
        <v>1370.0000000023283</v>
      </c>
      <c r="E18" s="7">
        <f>120+2</f>
        <v>122</v>
      </c>
      <c r="F18" s="7">
        <v>117</v>
      </c>
      <c r="G18" s="8">
        <f t="shared" si="1"/>
        <v>-5</v>
      </c>
      <c r="H18" s="7">
        <f>5+15+7+5+17+26+19+14+35+7+7</f>
        <v>157</v>
      </c>
      <c r="I18" s="7">
        <f>2+2+2+2+3+2+2+2+2+2+3+3+1+3+2+2+1+2+2+2+2+2+2+2+2+2+4+4+2+2+2</f>
        <v>68</v>
      </c>
      <c r="J18" s="9">
        <f t="shared" si="9"/>
        <v>0.83941605839443345</v>
      </c>
      <c r="K18" s="28">
        <v>0</v>
      </c>
      <c r="L18" s="28">
        <f>3+5+3+2+2+4+7+5+15+23+2+3+2+20+8+7+4+8</f>
        <v>123</v>
      </c>
      <c r="M18" s="9">
        <f t="shared" si="4"/>
        <v>0.6605839416064162</v>
      </c>
      <c r="N18" s="7">
        <v>17000</v>
      </c>
      <c r="O18" s="15">
        <f>AVERAGE(10000,10000,10000,10000,10000,10000,15000,15000,17000,15500,15000,16500,16500)</f>
        <v>13115.384615384615</v>
      </c>
      <c r="P18" s="9">
        <f t="shared" si="2"/>
        <v>0.77149321266968329</v>
      </c>
      <c r="Q18" s="15">
        <v>6283</v>
      </c>
      <c r="R18" s="7">
        <v>13</v>
      </c>
      <c r="S18" s="7"/>
      <c r="T18" s="5"/>
      <c r="U18" s="10" t="str">
        <f t="shared" si="5"/>
        <v/>
      </c>
      <c r="V18" s="9">
        <f>IF(B18="","",IF(U18&lt;3,(Q18-R18)/Q18,(Q18-R18-S18)/Q18))</f>
        <v>0.99793092471749167</v>
      </c>
      <c r="W18" s="11">
        <f t="shared" si="7"/>
        <v>0.64626385065906722</v>
      </c>
      <c r="X18" s="11">
        <f t="shared" si="8"/>
        <v>0.50858155204067512</v>
      </c>
    </row>
    <row r="19" spans="1:24">
      <c r="A19" s="29" t="s">
        <v>127</v>
      </c>
      <c r="B19" s="5">
        <v>46262</v>
      </c>
      <c r="C19" s="5">
        <v>46262.816666666666</v>
      </c>
      <c r="D19" s="6">
        <f t="shared" si="0"/>
        <v>1175.999999998603</v>
      </c>
      <c r="E19" s="7">
        <f>20+20+100</f>
        <v>140</v>
      </c>
      <c r="F19" s="7">
        <v>208</v>
      </c>
      <c r="G19" s="8">
        <f t="shared" si="1"/>
        <v>68</v>
      </c>
      <c r="H19" s="7">
        <f>6+5+10+33+6+11+15+6+60+50+60+16+43</f>
        <v>321</v>
      </c>
      <c r="I19" s="7">
        <f>2+3+3+3+2+3+2+2+2+2+4+4+4</f>
        <v>36</v>
      </c>
      <c r="J19" s="9">
        <f t="shared" si="9"/>
        <v>0.63860544217644144</v>
      </c>
      <c r="K19" s="28">
        <v>0</v>
      </c>
      <c r="L19" s="28">
        <f>24+5+36+5+3</f>
        <v>73</v>
      </c>
      <c r="M19" s="9">
        <f t="shared" si="4"/>
        <v>0.45748299319663444</v>
      </c>
      <c r="N19" s="7">
        <v>17000</v>
      </c>
      <c r="O19" s="30">
        <f>AVERAGE(15000,15000,15000,15000,16000,17000,17000,14000,16000)</f>
        <v>15555.555555555555</v>
      </c>
      <c r="P19" s="9">
        <f t="shared" si="2"/>
        <v>0.91503267973856206</v>
      </c>
      <c r="Q19" s="7">
        <v>3620</v>
      </c>
      <c r="R19" s="7">
        <v>59</v>
      </c>
      <c r="S19" s="7"/>
      <c r="T19" s="5"/>
      <c r="U19" s="10" t="str">
        <f t="shared" si="5"/>
        <v/>
      </c>
      <c r="V19" s="9">
        <f t="shared" si="6"/>
        <v>0.98370165745856353</v>
      </c>
      <c r="W19" s="11">
        <f t="shared" si="7"/>
        <v>0.57482099653819207</v>
      </c>
      <c r="X19" s="11">
        <f t="shared" si="8"/>
        <v>0.41178920923744289</v>
      </c>
    </row>
    <row r="20" spans="1:24">
      <c r="A20" s="29" t="s">
        <v>128</v>
      </c>
      <c r="B20" s="5">
        <v>46265.434027777781</v>
      </c>
      <c r="C20" s="5">
        <v>46265.926388888889</v>
      </c>
      <c r="D20" s="6">
        <f t="shared" si="0"/>
        <v>708.99999999557622</v>
      </c>
      <c r="E20" s="7">
        <v>0</v>
      </c>
      <c r="F20" s="7">
        <v>0</v>
      </c>
      <c r="G20" s="8">
        <f t="shared" si="1"/>
        <v>0</v>
      </c>
      <c r="H20" s="7">
        <f>7+6</f>
        <v>13</v>
      </c>
      <c r="I20" s="7">
        <f>3+4+2+4+2+2+1+3+2+4+1+2+3+2+1</f>
        <v>36</v>
      </c>
      <c r="J20" s="9">
        <f t="shared" si="9"/>
        <v>0.93088857545796089</v>
      </c>
      <c r="K20" s="28">
        <v>0</v>
      </c>
      <c r="L20" s="28">
        <f>10+38+3+3+3+3+2+2+2+30+2+3+3+2+2+2+2</f>
        <v>112</v>
      </c>
      <c r="M20" s="9">
        <f t="shared" si="4"/>
        <v>0.7729196050761572</v>
      </c>
      <c r="N20" s="7">
        <v>17000</v>
      </c>
      <c r="O20" s="15">
        <f>AVERAGE(15500,17000,17000,17000,17000,17000,17000,17000)</f>
        <v>16812.5</v>
      </c>
      <c r="P20" s="9">
        <f t="shared" si="2"/>
        <v>0.98897058823529416</v>
      </c>
      <c r="Q20" s="7">
        <v>4222</v>
      </c>
      <c r="R20" s="15">
        <v>17</v>
      </c>
      <c r="S20" s="7"/>
      <c r="T20" s="5"/>
      <c r="U20" s="10" t="str">
        <f t="shared" si="5"/>
        <v/>
      </c>
      <c r="V20" s="9">
        <f t="shared" si="6"/>
        <v>0.99597347228801514</v>
      </c>
      <c r="W20" s="11">
        <f t="shared" si="7"/>
        <v>0.9169145143840346</v>
      </c>
      <c r="X20" s="11">
        <f t="shared" si="8"/>
        <v>0.76131689982085249</v>
      </c>
    </row>
    <row r="21" spans="1:24">
      <c r="A21" s="29"/>
      <c r="B21" s="5"/>
      <c r="C21" s="5"/>
      <c r="D21" s="6"/>
      <c r="E21" s="7"/>
      <c r="F21" s="7"/>
      <c r="G21" s="8"/>
      <c r="H21" s="7"/>
      <c r="I21" s="7"/>
      <c r="J21" s="9"/>
      <c r="K21" s="28"/>
      <c r="L21" s="28"/>
      <c r="M21" s="9"/>
      <c r="N21" s="7"/>
      <c r="O21" s="15"/>
      <c r="P21" s="9"/>
      <c r="Q21" s="15"/>
      <c r="R21" s="15"/>
      <c r="S21" s="7"/>
      <c r="T21" s="5"/>
      <c r="U21" s="10"/>
      <c r="V21" s="9"/>
      <c r="W21" s="11"/>
      <c r="X21" s="11"/>
    </row>
    <row r="22" spans="1:24">
      <c r="A22" s="29"/>
      <c r="B22" s="5"/>
      <c r="C22" s="5"/>
      <c r="D22" s="6" t="str">
        <f t="shared" si="0"/>
        <v/>
      </c>
      <c r="E22" s="7"/>
      <c r="F22" s="7"/>
      <c r="G22" s="8" t="str">
        <f t="shared" si="1"/>
        <v/>
      </c>
      <c r="H22" s="7"/>
      <c r="I22" s="7"/>
      <c r="J22" s="9" t="str">
        <f t="shared" si="9"/>
        <v/>
      </c>
      <c r="K22" s="28"/>
      <c r="L22" s="28"/>
      <c r="M22" s="9" t="str">
        <f t="shared" si="4"/>
        <v/>
      </c>
      <c r="N22" s="7"/>
      <c r="O22" s="15"/>
      <c r="P22" s="9" t="str">
        <f t="shared" si="2"/>
        <v/>
      </c>
      <c r="Q22" s="15"/>
      <c r="R22" s="7"/>
      <c r="S22" s="7"/>
      <c r="T22" s="5"/>
      <c r="U22" s="10" t="str">
        <f t="shared" si="5"/>
        <v/>
      </c>
      <c r="V22" s="9" t="str">
        <f t="shared" si="6"/>
        <v/>
      </c>
      <c r="W22" s="11" t="str">
        <f t="shared" si="7"/>
        <v/>
      </c>
      <c r="X22" s="11" t="str">
        <f t="shared" si="8"/>
        <v/>
      </c>
    </row>
    <row r="23" spans="1:24" ht="15.75" thickBot="1">
      <c r="A23" s="29"/>
      <c r="B23" s="5"/>
      <c r="C23" s="5"/>
      <c r="D23" s="6" t="str">
        <f t="shared" si="0"/>
        <v/>
      </c>
      <c r="E23" s="7"/>
      <c r="F23" s="7"/>
      <c r="G23" s="8" t="str">
        <f t="shared" si="1"/>
        <v/>
      </c>
      <c r="H23" s="7"/>
      <c r="I23" s="7"/>
      <c r="J23" s="9" t="str">
        <f t="shared" si="9"/>
        <v/>
      </c>
      <c r="K23" s="28"/>
      <c r="L23" s="28"/>
      <c r="M23" s="9" t="str">
        <f t="shared" si="4"/>
        <v/>
      </c>
      <c r="N23" s="7"/>
      <c r="O23" s="15"/>
      <c r="P23" s="9" t="str">
        <f t="shared" si="2"/>
        <v/>
      </c>
      <c r="Q23" s="7"/>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c r="J24" s="9" t="str">
        <f t="shared" si="9"/>
        <v/>
      </c>
      <c r="K24" s="28"/>
      <c r="L24" s="28"/>
      <c r="M24" s="9" t="str">
        <f t="shared" si="4"/>
        <v/>
      </c>
      <c r="N24" s="7"/>
      <c r="O24" s="15"/>
      <c r="P24" s="9" t="str">
        <f t="shared" si="2"/>
        <v/>
      </c>
      <c r="Q24" s="7"/>
      <c r="R24" s="7"/>
      <c r="S24" s="7"/>
      <c r="T24" s="5"/>
      <c r="U24" s="10" t="str">
        <f t="shared" si="5"/>
        <v/>
      </c>
      <c r="V24" s="9" t="str">
        <f t="shared" si="6"/>
        <v/>
      </c>
      <c r="W24" s="11" t="str">
        <f t="shared" si="7"/>
        <v/>
      </c>
      <c r="X24" s="11" t="str">
        <f t="shared" si="8"/>
        <v/>
      </c>
    </row>
    <row r="25" spans="1:24">
      <c r="A25" s="29"/>
      <c r="B25" s="5"/>
      <c r="C25" s="5"/>
      <c r="D25" s="6" t="str">
        <f t="shared" si="0"/>
        <v/>
      </c>
      <c r="E25" s="7"/>
      <c r="F25" s="7"/>
      <c r="G25" s="8" t="str">
        <f t="shared" si="1"/>
        <v/>
      </c>
      <c r="H25" s="7"/>
      <c r="I25" s="7"/>
      <c r="J25" s="9" t="str">
        <f t="shared" si="9"/>
        <v/>
      </c>
      <c r="K25" s="28"/>
      <c r="L25" s="28"/>
      <c r="M25" s="9" t="str">
        <f t="shared" si="4"/>
        <v/>
      </c>
      <c r="N25" s="7"/>
      <c r="O25" s="15"/>
      <c r="P25" s="9" t="str">
        <f t="shared" si="2"/>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9"/>
        <v/>
      </c>
      <c r="K26" s="28"/>
      <c r="L26" s="28"/>
      <c r="M26" s="9" t="str">
        <f t="shared" si="4"/>
        <v/>
      </c>
      <c r="N26" s="7"/>
      <c r="O26" s="15"/>
      <c r="P26" s="9" t="str">
        <f t="shared" si="2"/>
        <v/>
      </c>
      <c r="Q26" s="7"/>
      <c r="R26" s="7"/>
      <c r="S26" s="7"/>
      <c r="T26" s="5"/>
      <c r="U26" s="10" t="str">
        <f t="shared" si="5"/>
        <v/>
      </c>
      <c r="V26" s="9" t="str">
        <f t="shared" si="6"/>
        <v/>
      </c>
      <c r="W26" s="11" t="str">
        <f t="shared" si="7"/>
        <v/>
      </c>
      <c r="X26" s="11" t="str">
        <f t="shared" si="8"/>
        <v/>
      </c>
    </row>
    <row r="27" spans="1:24">
      <c r="A27" s="29"/>
      <c r="B27" s="5"/>
      <c r="C27" s="5"/>
      <c r="D27" s="6" t="str">
        <f t="shared" si="0"/>
        <v/>
      </c>
      <c r="E27" s="7"/>
      <c r="F27" s="7"/>
      <c r="G27" s="8" t="str">
        <f t="shared" si="1"/>
        <v/>
      </c>
      <c r="H27" s="7"/>
      <c r="I27" s="7"/>
      <c r="J27" s="9" t="str">
        <f t="shared" si="9"/>
        <v/>
      </c>
      <c r="K27" s="28"/>
      <c r="L27" s="28"/>
      <c r="M27" s="9" t="str">
        <f t="shared" si="4"/>
        <v/>
      </c>
      <c r="N27" s="7"/>
      <c r="O27" s="15"/>
      <c r="P27" s="9" t="str">
        <f t="shared" si="2"/>
        <v/>
      </c>
      <c r="Q27" s="15"/>
      <c r="R27" s="7"/>
      <c r="S27" s="7"/>
      <c r="T27" s="5"/>
      <c r="U27" s="10" t="str">
        <f t="shared" si="5"/>
        <v/>
      </c>
      <c r="V27" s="9" t="str">
        <f t="shared" si="6"/>
        <v/>
      </c>
      <c r="W27" s="11" t="str">
        <f t="shared" si="7"/>
        <v/>
      </c>
      <c r="X27" s="11" t="str">
        <f t="shared" si="8"/>
        <v/>
      </c>
    </row>
    <row r="28" spans="1:24">
      <c r="A28" s="29"/>
      <c r="B28" s="5"/>
      <c r="C28" s="5"/>
      <c r="D28" s="6" t="str">
        <f t="shared" si="0"/>
        <v/>
      </c>
      <c r="E28" s="7"/>
      <c r="F28" s="7"/>
      <c r="G28" s="8" t="str">
        <f t="shared" si="1"/>
        <v/>
      </c>
      <c r="H28" s="7"/>
      <c r="I28" s="7"/>
      <c r="J28" s="9" t="str">
        <f t="shared" si="9"/>
        <v/>
      </c>
      <c r="K28" s="28"/>
      <c r="L28" s="28"/>
      <c r="M28" s="9" t="str">
        <f t="shared" si="4"/>
        <v/>
      </c>
      <c r="N28" s="7"/>
      <c r="O28" s="7"/>
      <c r="P28" s="9" t="str">
        <f t="shared" si="2"/>
        <v/>
      </c>
      <c r="Q28" s="7"/>
      <c r="R28" s="7"/>
      <c r="S28" s="7"/>
      <c r="T28" s="5"/>
      <c r="U28" s="10" t="str">
        <f t="shared" si="5"/>
        <v/>
      </c>
      <c r="V28" s="9" t="str">
        <f t="shared" si="6"/>
        <v/>
      </c>
      <c r="W28" s="11" t="str">
        <f t="shared" si="7"/>
        <v/>
      </c>
      <c r="X28" s="11" t="str">
        <f t="shared" si="8"/>
        <v/>
      </c>
    </row>
    <row r="29" spans="1:24">
      <c r="A29" s="29"/>
      <c r="B29" s="5"/>
      <c r="C29" s="5"/>
      <c r="D29" s="6" t="str">
        <f t="shared" si="0"/>
        <v/>
      </c>
      <c r="E29" s="7"/>
      <c r="F29" s="7"/>
      <c r="G29" s="8" t="str">
        <f t="shared" si="1"/>
        <v/>
      </c>
      <c r="H29" s="7"/>
      <c r="I29" s="7"/>
      <c r="J29" s="9" t="str">
        <f t="shared" si="9"/>
        <v/>
      </c>
      <c r="K29" s="28"/>
      <c r="L29" s="28"/>
      <c r="M29" s="9" t="str">
        <f t="shared" si="4"/>
        <v/>
      </c>
      <c r="N29" s="7"/>
      <c r="O29" s="15"/>
      <c r="P29" s="9" t="str">
        <f t="shared" si="2"/>
        <v/>
      </c>
      <c r="Q29" s="15"/>
      <c r="R29" s="7"/>
      <c r="S29" s="7"/>
      <c r="T29" s="5"/>
      <c r="U29" s="10" t="str">
        <f t="shared" si="5"/>
        <v/>
      </c>
      <c r="V29" s="9" t="str">
        <f t="shared" si="6"/>
        <v/>
      </c>
      <c r="W29" s="11" t="str">
        <f t="shared" si="7"/>
        <v/>
      </c>
      <c r="X29" s="11" t="str">
        <f t="shared" si="8"/>
        <v/>
      </c>
    </row>
    <row r="30" spans="1:24">
      <c r="A30" s="29"/>
      <c r="B30" s="5"/>
      <c r="C30" s="5"/>
      <c r="D30" s="6" t="str">
        <f t="shared" si="0"/>
        <v/>
      </c>
      <c r="E30" s="7"/>
      <c r="F30" s="7"/>
      <c r="G30" s="8" t="str">
        <f t="shared" si="1"/>
        <v/>
      </c>
      <c r="H30" s="7"/>
      <c r="I30" s="7"/>
      <c r="J30" s="9" t="str">
        <f t="shared" si="9"/>
        <v/>
      </c>
      <c r="K30" s="28"/>
      <c r="L30" s="28"/>
      <c r="M30" s="9" t="str">
        <f t="shared" si="4"/>
        <v/>
      </c>
      <c r="N30" s="7"/>
      <c r="O30" s="15"/>
      <c r="P30" s="9" t="str">
        <f t="shared" si="2"/>
        <v/>
      </c>
      <c r="Q30" s="15"/>
      <c r="R30" s="15"/>
      <c r="S30" s="7"/>
      <c r="T30" s="5"/>
      <c r="U30" s="10" t="str">
        <f t="shared" si="5"/>
        <v/>
      </c>
      <c r="V30" s="9" t="str">
        <f t="shared" si="6"/>
        <v/>
      </c>
      <c r="W30" s="11" t="str">
        <f t="shared" si="7"/>
        <v/>
      </c>
      <c r="X30" s="11" t="str">
        <f t="shared" si="8"/>
        <v/>
      </c>
    </row>
    <row r="31" spans="1:24">
      <c r="A31" s="29"/>
      <c r="B31" s="5"/>
      <c r="C31" s="5"/>
      <c r="D31" s="6" t="str">
        <f t="shared" si="0"/>
        <v/>
      </c>
      <c r="E31" s="7"/>
      <c r="F31" s="7"/>
      <c r="G31" s="8" t="str">
        <f t="shared" si="1"/>
        <v/>
      </c>
      <c r="H31" s="7"/>
      <c r="I31" s="7"/>
      <c r="J31" s="9" t="str">
        <f t="shared" si="9"/>
        <v/>
      </c>
      <c r="K31" s="28"/>
      <c r="L31" s="28"/>
      <c r="M31" s="9" t="str">
        <f t="shared" si="4"/>
        <v/>
      </c>
      <c r="N31" s="7"/>
      <c r="O31" s="15"/>
      <c r="P31" s="9" t="str">
        <f t="shared" si="2"/>
        <v/>
      </c>
      <c r="Q31" s="15"/>
      <c r="R31" s="7"/>
      <c r="S31" s="7"/>
      <c r="T31" s="5"/>
      <c r="U31" s="10" t="str">
        <f t="shared" si="5"/>
        <v/>
      </c>
      <c r="V31" s="9" t="str">
        <f t="shared" si="6"/>
        <v/>
      </c>
      <c r="W31" s="11" t="str">
        <f t="shared" si="7"/>
        <v/>
      </c>
      <c r="X31" s="11" t="str">
        <f t="shared" si="8"/>
        <v/>
      </c>
    </row>
    <row r="32" spans="1:24">
      <c r="A32" s="29"/>
      <c r="B32" s="5"/>
      <c r="C32" s="5"/>
      <c r="D32" s="6" t="str">
        <f t="shared" si="0"/>
        <v/>
      </c>
      <c r="E32" s="7"/>
      <c r="F32" s="7"/>
      <c r="G32" s="8" t="str">
        <f t="shared" si="1"/>
        <v/>
      </c>
      <c r="H32" s="7"/>
      <c r="I32" s="7"/>
      <c r="J32" s="9" t="str">
        <f t="shared" si="9"/>
        <v/>
      </c>
      <c r="K32" s="28"/>
      <c r="L32" s="28"/>
      <c r="M32" s="9" t="str">
        <f t="shared" si="4"/>
        <v/>
      </c>
      <c r="N32" s="7"/>
      <c r="O32" s="15"/>
      <c r="P32" s="9" t="str">
        <f t="shared" si="2"/>
        <v/>
      </c>
      <c r="Q32" s="15"/>
      <c r="R32" s="7"/>
      <c r="S32" s="7"/>
      <c r="T32" s="5"/>
      <c r="U32" s="10" t="str">
        <f t="shared" si="5"/>
        <v/>
      </c>
      <c r="V32" s="9" t="str">
        <f t="shared" si="6"/>
        <v/>
      </c>
      <c r="W32" s="11" t="str">
        <f t="shared" si="7"/>
        <v/>
      </c>
      <c r="X32" s="11" t="str">
        <f t="shared" si="8"/>
        <v/>
      </c>
    </row>
    <row r="33" spans="1:24">
      <c r="A33" s="29"/>
      <c r="B33" s="5"/>
      <c r="C33" s="5"/>
      <c r="D33" s="6" t="str">
        <f t="shared" si="0"/>
        <v/>
      </c>
      <c r="E33" s="7"/>
      <c r="F33" s="7"/>
      <c r="G33" s="8" t="str">
        <f t="shared" si="1"/>
        <v/>
      </c>
      <c r="H33" s="7"/>
      <c r="I33" s="7"/>
      <c r="J33" s="9" t="str">
        <f t="shared" si="9"/>
        <v/>
      </c>
      <c r="K33" s="28"/>
      <c r="L33" s="28"/>
      <c r="M33" s="9" t="str">
        <f t="shared" si="4"/>
        <v/>
      </c>
      <c r="N33" s="7"/>
      <c r="O33" s="15"/>
      <c r="P33" s="9" t="str">
        <f t="shared" si="2"/>
        <v/>
      </c>
      <c r="Q33" s="15"/>
      <c r="R33" s="7"/>
      <c r="S33" s="7"/>
      <c r="T33" s="5"/>
      <c r="U33" s="10" t="str">
        <f t="shared" si="5"/>
        <v/>
      </c>
      <c r="V33" s="9" t="str">
        <f t="shared" si="6"/>
        <v/>
      </c>
      <c r="W33" s="11" t="str">
        <f t="shared" si="7"/>
        <v/>
      </c>
      <c r="X33" s="11" t="str">
        <f t="shared" si="8"/>
        <v/>
      </c>
    </row>
    <row r="34" spans="1:24">
      <c r="A34" s="29"/>
      <c r="B34" s="5"/>
      <c r="C34" s="5"/>
      <c r="D34" s="6" t="str">
        <f t="shared" si="0"/>
        <v/>
      </c>
      <c r="E34" s="7"/>
      <c r="F34" s="7"/>
      <c r="G34" s="8" t="str">
        <f t="shared" si="1"/>
        <v/>
      </c>
      <c r="H34" s="7"/>
      <c r="I34" s="7"/>
      <c r="J34" s="9" t="str">
        <f t="shared" si="9"/>
        <v/>
      </c>
      <c r="K34" s="28"/>
      <c r="L34" s="28"/>
      <c r="M34" s="9" t="str">
        <f t="shared" si="4"/>
        <v/>
      </c>
      <c r="N34" s="7"/>
      <c r="O34" s="15"/>
      <c r="P34" s="9" t="str">
        <f t="shared" si="2"/>
        <v/>
      </c>
      <c r="Q34" s="15"/>
      <c r="R34" s="7"/>
      <c r="S34" s="7"/>
      <c r="T34" s="5"/>
      <c r="U34" s="10" t="str">
        <f t="shared" si="5"/>
        <v/>
      </c>
      <c r="V34" s="9" t="str">
        <f t="shared" si="6"/>
        <v/>
      </c>
      <c r="W34" s="11" t="str">
        <f t="shared" si="7"/>
        <v/>
      </c>
      <c r="X34" s="11" t="str">
        <f t="shared" si="8"/>
        <v/>
      </c>
    </row>
    <row r="35" spans="1:24">
      <c r="A35" s="29"/>
      <c r="B35" s="5"/>
      <c r="C35" s="5"/>
      <c r="D35" s="6" t="str">
        <f t="shared" si="0"/>
        <v/>
      </c>
      <c r="E35" s="7"/>
      <c r="F35" s="7"/>
      <c r="G35" s="8" t="str">
        <f t="shared" si="1"/>
        <v/>
      </c>
      <c r="H35" s="7"/>
      <c r="I35" s="7"/>
      <c r="J35" s="9" t="str">
        <f t="shared" si="9"/>
        <v/>
      </c>
      <c r="K35" s="28"/>
      <c r="L35" s="28"/>
      <c r="M35" s="9" t="str">
        <f t="shared" si="4"/>
        <v/>
      </c>
      <c r="N35" s="7"/>
      <c r="O35" s="15"/>
      <c r="P35" s="9" t="str">
        <f t="shared" si="2"/>
        <v/>
      </c>
      <c r="Q35" s="15"/>
      <c r="R35" s="7"/>
      <c r="S35" s="7"/>
      <c r="T35" s="5"/>
      <c r="U35" s="10" t="str">
        <f t="shared" si="5"/>
        <v/>
      </c>
      <c r="V35" s="9" t="str">
        <f t="shared" si="6"/>
        <v/>
      </c>
      <c r="W35" s="11" t="str">
        <f t="shared" si="7"/>
        <v/>
      </c>
      <c r="X35" s="11" t="str">
        <f t="shared" si="8"/>
        <v/>
      </c>
    </row>
    <row r="36" spans="1:24" ht="15.75" thickBot="1">
      <c r="A36" s="29"/>
      <c r="B36" s="5"/>
      <c r="C36" s="5"/>
      <c r="D36" s="6" t="str">
        <f t="shared" si="0"/>
        <v/>
      </c>
      <c r="E36" s="7"/>
      <c r="F36" s="7"/>
      <c r="G36" s="8" t="str">
        <f t="shared" si="1"/>
        <v/>
      </c>
      <c r="H36" s="7"/>
      <c r="I36" s="7"/>
      <c r="J36" s="9" t="str">
        <f t="shared" si="9"/>
        <v/>
      </c>
      <c r="K36" s="28"/>
      <c r="L36" s="28"/>
      <c r="M36" s="9" t="str">
        <f t="shared" si="4"/>
        <v/>
      </c>
      <c r="N36" s="7"/>
      <c r="O36" s="15"/>
      <c r="P36" s="9" t="str">
        <f t="shared" si="2"/>
        <v/>
      </c>
      <c r="Q36" s="7"/>
      <c r="R36" s="7"/>
      <c r="S36" s="7"/>
      <c r="T36" s="5"/>
      <c r="U36" s="10" t="str">
        <f t="shared" si="5"/>
        <v/>
      </c>
      <c r="V36" s="9" t="str">
        <f t="shared" si="6"/>
        <v/>
      </c>
      <c r="W36" s="11" t="str">
        <f t="shared" si="7"/>
        <v/>
      </c>
      <c r="X36" s="11" t="str">
        <f t="shared" si="8"/>
        <v/>
      </c>
    </row>
    <row r="37" spans="1:24" ht="15.75" thickBot="1">
      <c r="A37" s="29"/>
      <c r="B37" s="5"/>
      <c r="C37" s="5"/>
      <c r="D37" s="6" t="str">
        <f>IF(B37="","",(C37-B37)*24*60)</f>
        <v/>
      </c>
      <c r="E37" s="7"/>
      <c r="F37" s="7"/>
      <c r="G37" s="8" t="str">
        <f>IF(E37="","",F37-E37)</f>
        <v/>
      </c>
      <c r="H37" s="7"/>
      <c r="I37" s="7"/>
      <c r="J37" s="9" t="str">
        <f>IF(B37="","",(D37-G37-H37-I37)/D37)</f>
        <v/>
      </c>
      <c r="K37" s="28"/>
      <c r="L37" s="28"/>
      <c r="M37" s="9" t="str">
        <f>IF(B37="","",(D37-G37-H37-I37-K37-L37-E37)/D37)</f>
        <v/>
      </c>
      <c r="N37" s="7"/>
      <c r="O37" s="15"/>
      <c r="P37" s="9" t="str">
        <f>IF(B37="","",O37/N37)</f>
        <v/>
      </c>
      <c r="Q37" s="15"/>
      <c r="R37" s="7"/>
      <c r="S37" s="7"/>
      <c r="T37" s="5"/>
      <c r="U37" s="10" t="str">
        <f>IF(S37="","",(T37-C37))</f>
        <v/>
      </c>
      <c r="V37" s="9" t="str">
        <f>IF(B37="","",IF(U37&lt;3,(Q37-R37)/Q37,(Q37-R37-S37)/Q37))</f>
        <v/>
      </c>
      <c r="W37" s="11" t="str">
        <f>IF(B37="","",V37*P37*J37)</f>
        <v/>
      </c>
      <c r="X37" s="11" t="str">
        <f>IF(B37="","",V37*P37*M37)</f>
        <v/>
      </c>
    </row>
    <row r="38" spans="1:24" s="43" customFormat="1" ht="19.5" thickBot="1">
      <c r="A38" s="31"/>
      <c r="B38" s="32" t="s">
        <v>41</v>
      </c>
      <c r="C38" s="32"/>
      <c r="D38" s="33">
        <f>SUM(D3:D36)</f>
        <v>22524.999999987194</v>
      </c>
      <c r="E38" s="33">
        <f>SUM(E3:E36)</f>
        <v>719</v>
      </c>
      <c r="F38" s="33">
        <f>SUM(F3:F36)</f>
        <v>1285</v>
      </c>
      <c r="G38" s="33">
        <f>SUM(G3:G36)</f>
        <v>566</v>
      </c>
      <c r="H38" s="33">
        <f>SUM(H2:H36)</f>
        <v>3354</v>
      </c>
      <c r="I38" s="33">
        <f>SUM(I3:I36)</f>
        <v>1246</v>
      </c>
      <c r="J38" s="34">
        <f>(D38-G38-H38-I38)/D38</f>
        <v>0.77065482796879303</v>
      </c>
      <c r="K38" s="35">
        <f>SUM(K3:K36)</f>
        <v>30</v>
      </c>
      <c r="L38" s="35">
        <f>SUM(L3:L36)</f>
        <v>2051</v>
      </c>
      <c r="M38" s="36">
        <f>(D38-G38-H38-I38-E38-K38-L38)/D38</f>
        <v>0.64634850166461577</v>
      </c>
      <c r="N38" s="37">
        <f>AVERAGE(N3:N36)</f>
        <v>17000</v>
      </c>
      <c r="O38" s="38">
        <f>AVERAGE(O3:O36)</f>
        <v>15930.963515424299</v>
      </c>
      <c r="P38" s="34">
        <f>O38/N38</f>
        <v>0.93711550090731166</v>
      </c>
      <c r="Q38" s="37">
        <f>SUM(Q3:Q34)</f>
        <v>122242</v>
      </c>
      <c r="R38" s="37"/>
      <c r="S38" s="32"/>
      <c r="T38" s="32"/>
      <c r="U38" s="39"/>
      <c r="V38" s="40">
        <f>AVERAGE(V3:V36)</f>
        <v>0.99444256685429311</v>
      </c>
      <c r="W38" s="41">
        <f>V38*P38*J38</f>
        <v>0.71817904812838051</v>
      </c>
      <c r="X38" s="42">
        <f>V38*P38*M38</f>
        <v>0.60233704485855222</v>
      </c>
    </row>
    <row r="39" spans="1:24" ht="28.5">
      <c r="Q39" s="66"/>
      <c r="R39" s="66"/>
      <c r="S39" s="44"/>
      <c r="T39" s="45"/>
      <c r="U39" s="22"/>
    </row>
    <row r="40" spans="1:24" ht="28.5">
      <c r="P40" s="16"/>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0.71817904812838051</v>
      </c>
      <c r="E47" s="55">
        <f t="shared" ref="E47:E52" si="13">100%-D47</f>
        <v>0.28182095187161949</v>
      </c>
    </row>
    <row r="48" spans="1:24">
      <c r="C48" s="4" t="s">
        <v>46</v>
      </c>
      <c r="D48" s="54">
        <f>X38</f>
        <v>0.60233704485855222</v>
      </c>
      <c r="E48" s="55">
        <f t="shared" si="13"/>
        <v>0.39766295514144778</v>
      </c>
    </row>
    <row r="49" spans="3:5">
      <c r="C49" s="4" t="s">
        <v>11</v>
      </c>
      <c r="D49" s="54">
        <f>J38</f>
        <v>0.77065482796879303</v>
      </c>
      <c r="E49" s="55">
        <f t="shared" si="13"/>
        <v>0.22934517203120697</v>
      </c>
    </row>
    <row r="50" spans="3:5" ht="30">
      <c r="C50" s="4" t="s">
        <v>14</v>
      </c>
      <c r="D50" s="54">
        <f>M38</f>
        <v>0.64634850166461577</v>
      </c>
      <c r="E50" s="55">
        <f>100%-D50</f>
        <v>0.35365149833538423</v>
      </c>
    </row>
    <row r="51" spans="3:5">
      <c r="C51" s="4" t="s">
        <v>17</v>
      </c>
      <c r="D51" s="54">
        <f>P38</f>
        <v>0.93711550090731166</v>
      </c>
      <c r="E51" s="55">
        <f t="shared" si="13"/>
        <v>6.288449909268834E-2</v>
      </c>
    </row>
    <row r="52" spans="3:5">
      <c r="C52" s="4" t="str">
        <f>V2</f>
        <v>Quality</v>
      </c>
      <c r="D52" s="54">
        <f>V38</f>
        <v>0.99444256685429311</v>
      </c>
      <c r="E52" s="55">
        <f t="shared" si="13"/>
        <v>5.5574331457068915E-3</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50"/>
  <sheetViews>
    <sheetView topLeftCell="A13" zoomScale="70" zoomScaleNormal="70" workbookViewId="0">
      <selection activeCell="W38" sqref="W38"/>
    </sheetView>
  </sheetViews>
  <sheetFormatPr defaultRowHeight="15"/>
  <cols>
    <col min="1" max="1" width="87.285156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6"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6"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6">
      <c r="A3" s="27" t="s">
        <v>129</v>
      </c>
      <c r="B3" s="5">
        <v>46266.055555555555</v>
      </c>
      <c r="C3" s="5">
        <v>46267</v>
      </c>
      <c r="D3" s="6">
        <f t="shared" ref="D3" si="0">IF(B3="","",(C3-B3)*24*60)</f>
        <v>1360.0000000011642</v>
      </c>
      <c r="E3" s="7">
        <v>30</v>
      </c>
      <c r="F3" s="7">
        <v>171</v>
      </c>
      <c r="G3" s="8">
        <f t="shared" ref="G3:G5" si="1">IF(E3="","",F3-E3)</f>
        <v>141</v>
      </c>
      <c r="H3" s="7">
        <f>5+8+26+35+6+19+5+25+10+5+20+18+10+5+10</f>
        <v>207</v>
      </c>
      <c r="I3" s="7">
        <f>3+3+2+1+1+3+2+2+2+2+3+2+3+4+2+3+4+4+4+2+1+2+3+4+3+4+2+4+4+1+3+4+3+3+4</f>
        <v>97</v>
      </c>
      <c r="J3" s="9">
        <f>IF(B3="","",(D3-G3-H3-I3)/D3)</f>
        <v>0.67279411764733887</v>
      </c>
      <c r="K3" s="28">
        <v>0</v>
      </c>
      <c r="L3" s="28">
        <f>40+4+16+5+10</f>
        <v>75</v>
      </c>
      <c r="M3" s="9">
        <f>IF(B3="","",(D3-G3-H3-I3-K3-L3-E3)/D3)</f>
        <v>0.59558823529446381</v>
      </c>
      <c r="N3" s="7">
        <v>17000</v>
      </c>
      <c r="O3" s="15">
        <f>AVERAGE(17000,17000,17000,17000,17000,16000,16000,16500,15000,15000,15000,15000,15000,15000,15000,16000,15000,15000,16000)</f>
        <v>15815.78947368421</v>
      </c>
      <c r="P3" s="9">
        <f t="shared" ref="P3" si="2">IF(B3="","",O3/N3)</f>
        <v>0.93034055727554177</v>
      </c>
      <c r="Q3" s="7">
        <v>7476</v>
      </c>
      <c r="R3" s="7">
        <v>24</v>
      </c>
      <c r="S3" s="7"/>
      <c r="T3" s="5"/>
      <c r="U3" s="10" t="str">
        <f>IF(S3="","",(T3-C3))</f>
        <v/>
      </c>
      <c r="V3" s="9">
        <f>IF(B3="","",IF(U3&lt;3,(Q3-R3)/Q3,(Q3-R3-S3)/Q3))</f>
        <v>0.9967897271268058</v>
      </c>
      <c r="W3" s="11">
        <f>IF(B3="","",V3*P3*J3)</f>
        <v>0.62391825577440985</v>
      </c>
      <c r="X3" s="11">
        <f>IF(B3="","",V3*P3*M3)</f>
        <v>0.5523210788823556</v>
      </c>
    </row>
    <row r="4" spans="1:26">
      <c r="A4" s="27" t="s">
        <v>130</v>
      </c>
      <c r="B4" s="5">
        <v>46267.008333333331</v>
      </c>
      <c r="C4" s="5">
        <v>46268</v>
      </c>
      <c r="D4" s="6">
        <f>IF(B4="","",(C4-B4)*24*60)</f>
        <v>1428.000000002794</v>
      </c>
      <c r="E4" s="7">
        <v>30</v>
      </c>
      <c r="F4" s="7">
        <v>43</v>
      </c>
      <c r="G4" s="8">
        <f t="shared" si="1"/>
        <v>13</v>
      </c>
      <c r="H4" s="7">
        <f>10+10+6+9+12+6+24+10+5+8+6+7+6+22+12+6+6</f>
        <v>165</v>
      </c>
      <c r="I4" s="7">
        <f>2+2+2+4+4+2+3+2+2+2+4+2+2+3+1+1+3+2+4+3+1+1+3+1+3+3+3+1+2+2+2</f>
        <v>72</v>
      </c>
      <c r="J4" s="9">
        <f t="shared" ref="J4:J6" si="3">IF(B4="","",(D4-G4-H4-I4)/D4)</f>
        <v>0.82492997198913809</v>
      </c>
      <c r="K4" s="28">
        <v>0</v>
      </c>
      <c r="L4" s="28">
        <f>10+30+13+2+3+3+1+30+15+2+6+2+3+3+3+3+12</f>
        <v>141</v>
      </c>
      <c r="M4" s="9">
        <f t="shared" ref="M4:M6" si="4">IF(B4="","",(D4-G4-H4-I4-K4-L4-E4)/D4)</f>
        <v>0.70518207282970846</v>
      </c>
      <c r="N4" s="7">
        <v>17000</v>
      </c>
      <c r="O4" s="15">
        <f>AVERAGE(12000,17000,17000,17000,17000,17000,17000,17000,17000,16000,16000,16000,16000,16000,16000,16000,16000,16000,15000,15000)</f>
        <v>16100</v>
      </c>
      <c r="P4" s="9">
        <f>IF(B4="","",O4/N4)</f>
        <v>0.94705882352941173</v>
      </c>
      <c r="Q4" s="7">
        <v>7870</v>
      </c>
      <c r="R4" s="7">
        <v>16</v>
      </c>
      <c r="S4" s="7"/>
      <c r="T4" s="5"/>
      <c r="U4" s="10" t="str">
        <f t="shared" ref="U4:U5" si="5">IF(S4="","",(T4-C4))</f>
        <v/>
      </c>
      <c r="V4" s="9">
        <f t="shared" ref="V4" si="6">IF(B4="","",IF(U4&lt;3,(Q4-R4)/Q4,(Q4-R4-S4)/Q4))</f>
        <v>0.99796696315120714</v>
      </c>
      <c r="W4" s="11">
        <f t="shared" ref="W4" si="7">IF(B4="","",V4*P4*J4)</f>
        <v>0.779668884072377</v>
      </c>
      <c r="X4" s="11">
        <f t="shared" ref="X4:X5" si="8">IF(B4="","",V4*P4*M4)</f>
        <v>0.6664911428363326</v>
      </c>
    </row>
    <row r="5" spans="1:26">
      <c r="A5" s="29" t="s">
        <v>131</v>
      </c>
      <c r="B5" s="5">
        <v>46268</v>
      </c>
      <c r="C5" s="5">
        <v>46269</v>
      </c>
      <c r="D5" s="6">
        <f>IF(B5="","",(C5-B5)*24*60)</f>
        <v>1440</v>
      </c>
      <c r="E5" s="7">
        <f>10+60</f>
        <v>70</v>
      </c>
      <c r="F5" s="7">
        <v>87</v>
      </c>
      <c r="G5" s="8">
        <f t="shared" si="1"/>
        <v>17</v>
      </c>
      <c r="H5" s="7">
        <f>9+13+13+6+7+5+7</f>
        <v>60</v>
      </c>
      <c r="I5" s="7">
        <f>1+1+1+2+2+2+1+2+4+4+4+3+2+3+1+2+2+1+3+4+4+2+3+2+2+3+1+4+2+2</f>
        <v>70</v>
      </c>
      <c r="J5" s="9">
        <f t="shared" si="3"/>
        <v>0.8979166666666667</v>
      </c>
      <c r="K5" s="28">
        <v>0</v>
      </c>
      <c r="L5" s="28">
        <f>2+40+17+3+48+6+4+45+60+60+30+1+2+2+4+2+1+2+13</f>
        <v>342</v>
      </c>
      <c r="M5" s="9">
        <f t="shared" si="4"/>
        <v>0.6118055555555556</v>
      </c>
      <c r="N5" s="7">
        <v>17000</v>
      </c>
      <c r="O5" s="15">
        <f>AVERAGE(17000,15000,15000,15000,17000,17000,16500,16500,16500,13000,16500,16500,17000,15000,15000,15000,15000)</f>
        <v>15794.117647058823</v>
      </c>
      <c r="P5" s="9">
        <f>IF(B5="","",O5/N5)</f>
        <v>0.9290657439446367</v>
      </c>
      <c r="Q5" s="7">
        <v>6783</v>
      </c>
      <c r="R5" s="7">
        <v>3</v>
      </c>
      <c r="S5" s="7"/>
      <c r="T5" s="5"/>
      <c r="U5" s="10" t="str">
        <f t="shared" si="5"/>
        <v/>
      </c>
      <c r="V5" s="9">
        <f t="shared" ref="V5" si="9">IF(B5="","",IF(U5&lt;3,(Q5-R5)/Q5,(Q5-R5-S5)/Q5))</f>
        <v>0.99955771782397174</v>
      </c>
      <c r="W5" s="11">
        <f t="shared" ref="W5" si="10">IF(B5="","",V5*P5*J5)</f>
        <v>0.83385465368081313</v>
      </c>
      <c r="X5" s="11">
        <f t="shared" si="8"/>
        <v>0.56815618707872884</v>
      </c>
    </row>
    <row r="6" spans="1:26">
      <c r="A6" s="29" t="s">
        <v>132</v>
      </c>
      <c r="B6" s="5">
        <v>46269</v>
      </c>
      <c r="C6" s="5">
        <v>46269.171527777777</v>
      </c>
      <c r="D6" s="6">
        <f>IF(B6="","",(C6-B6)*24*60)</f>
        <v>246.99999999837019</v>
      </c>
      <c r="E6" s="7">
        <v>0</v>
      </c>
      <c r="F6" s="7">
        <v>0</v>
      </c>
      <c r="G6" s="8">
        <f t="shared" ref="G6:G37" si="11">IF(E6="","",F6-E6)</f>
        <v>0</v>
      </c>
      <c r="H6" s="7">
        <v>0</v>
      </c>
      <c r="I6" s="7">
        <f>4+4</f>
        <v>8</v>
      </c>
      <c r="J6" s="9">
        <f t="shared" si="3"/>
        <v>0.96761133603217497</v>
      </c>
      <c r="K6" s="28">
        <v>0</v>
      </c>
      <c r="L6" s="28">
        <f>45+2+2+1+1+2+1+3+2+2+2+1+1+2</f>
        <v>67</v>
      </c>
      <c r="M6" s="9">
        <f t="shared" si="4"/>
        <v>0.69635627530164013</v>
      </c>
      <c r="N6" s="7">
        <v>17000</v>
      </c>
      <c r="O6" s="15">
        <f>AVERAGE(15000,15000,15000,15000,15000)</f>
        <v>15000</v>
      </c>
      <c r="P6" s="9">
        <f t="shared" ref="P6:P37" si="12">IF(B6="","",O6/N6)</f>
        <v>0.88235294117647056</v>
      </c>
      <c r="Q6" s="7">
        <v>1459</v>
      </c>
      <c r="R6" s="7">
        <v>6</v>
      </c>
      <c r="S6" s="7"/>
      <c r="T6" s="5"/>
      <c r="U6" s="10" t="str">
        <f t="shared" ref="U6:U37" si="13">IF(S6="","",(T6-C6))</f>
        <v/>
      </c>
      <c r="V6" s="9">
        <f t="shared" ref="V6" si="14">IF(B6="","",IF(U6&lt;3,(Q6-R6)/Q6,(Q6-R6-S6)/Q6))</f>
        <v>0.99588759424263196</v>
      </c>
      <c r="W6" s="11">
        <f t="shared" ref="W6" si="15">IF(B6="","",V6*P6*J6)</f>
        <v>0.850263640237925</v>
      </c>
      <c r="X6" s="11">
        <f t="shared" ref="X6" si="16">IF(B6="","",V6*P6*M6)</f>
        <v>0.61190521389345021</v>
      </c>
    </row>
    <row r="7" spans="1:26">
      <c r="A7" s="29" t="s">
        <v>26</v>
      </c>
      <c r="B7" s="5">
        <v>46273.388888888891</v>
      </c>
      <c r="C7" s="5">
        <v>46273.916666666664</v>
      </c>
      <c r="D7" s="6">
        <f t="shared" ref="D7:D37" si="17">IF(B7="","",(C7-B7)*24*60)</f>
        <v>759.99999999417923</v>
      </c>
      <c r="E7" s="7">
        <v>0</v>
      </c>
      <c r="F7" s="7">
        <v>0</v>
      </c>
      <c r="G7" s="8">
        <f t="shared" si="11"/>
        <v>0</v>
      </c>
      <c r="H7" s="7">
        <f>30+10+60+27+5+5+50</f>
        <v>187</v>
      </c>
      <c r="I7" s="7">
        <f>1+3+1+4+4+3+1+3+1+2+4+2+2+2+3+2</f>
        <v>38</v>
      </c>
      <c r="J7" s="9">
        <f t="shared" ref="J7:J37" si="18">IF(B7="","",(D7-G7-H7-I7)/D7)</f>
        <v>0.70394736841878525</v>
      </c>
      <c r="K7" s="28">
        <v>0</v>
      </c>
      <c r="L7" s="28">
        <f>3</f>
        <v>3</v>
      </c>
      <c r="M7" s="9">
        <f t="shared" ref="M7:M37" si="19">IF(B7="","",(D7-G7-H7-I7-K7-L7-E7)/D7)</f>
        <v>0.69999999999770235</v>
      </c>
      <c r="N7" s="7">
        <v>17000</v>
      </c>
      <c r="O7" s="15">
        <f>AVERAGE(16000,16000,16000,16000,17000,17000,17000,17000)</f>
        <v>16500</v>
      </c>
      <c r="P7" s="9">
        <f t="shared" si="12"/>
        <v>0.97058823529411764</v>
      </c>
      <c r="Q7" s="15">
        <v>3961</v>
      </c>
      <c r="R7" s="15">
        <v>24</v>
      </c>
      <c r="S7" s="7"/>
      <c r="T7" s="5"/>
      <c r="U7" s="10" t="str">
        <f t="shared" si="13"/>
        <v/>
      </c>
      <c r="V7" s="9">
        <f t="shared" ref="V7:V37" si="20">IF(B7="","",IF(U7&lt;3,(Q7-R7)/Q7,(Q7-R7-S7)/Q7))</f>
        <v>0.99394092400908862</v>
      </c>
      <c r="W7" s="11">
        <f t="shared" ref="W7:W37" si="21">IF(B7="","",V7*P7*J7)</f>
        <v>0.67910321258993567</v>
      </c>
      <c r="X7" s="11">
        <f t="shared" ref="X7:X37" si="22">IF(B7="","",V7*P7*M7)</f>
        <v>0.67529515719219368</v>
      </c>
    </row>
    <row r="8" spans="1:26">
      <c r="A8" s="29" t="s">
        <v>26</v>
      </c>
      <c r="B8" s="5">
        <v>46274.34375</v>
      </c>
      <c r="C8" s="5">
        <v>46274.902777777781</v>
      </c>
      <c r="D8" s="6">
        <f t="shared" si="17"/>
        <v>805.00000000465661</v>
      </c>
      <c r="E8" s="7">
        <v>0</v>
      </c>
      <c r="F8" s="7">
        <v>0</v>
      </c>
      <c r="G8" s="8">
        <f t="shared" si="11"/>
        <v>0</v>
      </c>
      <c r="H8" s="7">
        <f>6</f>
        <v>6</v>
      </c>
      <c r="I8" s="7">
        <f>1+2+1+2+3+2+2+3+3+2+4+1+4+2+2+4+2+1+2+2+2+3+1+2+2+2</f>
        <v>57</v>
      </c>
      <c r="J8" s="9">
        <f t="shared" si="18"/>
        <v>0.92173913043523537</v>
      </c>
      <c r="K8" s="28">
        <v>0</v>
      </c>
      <c r="L8" s="28">
        <f>30+2+3</f>
        <v>35</v>
      </c>
      <c r="M8" s="9">
        <f t="shared" si="19"/>
        <v>0.87826086956592164</v>
      </c>
      <c r="N8" s="7">
        <v>17000</v>
      </c>
      <c r="O8" s="15">
        <f>AVERAGE(15000,15000,15000,15000,15000,15000,15000,15000,15000,15000,15000,15000,15000)</f>
        <v>15000</v>
      </c>
      <c r="P8" s="9">
        <f t="shared" si="12"/>
        <v>0.88235294117647056</v>
      </c>
      <c r="Q8" s="15">
        <v>6085</v>
      </c>
      <c r="R8" s="15">
        <v>34</v>
      </c>
      <c r="S8" s="7"/>
      <c r="T8" s="5"/>
      <c r="U8" s="10" t="str">
        <f t="shared" si="13"/>
        <v/>
      </c>
      <c r="V8" s="9">
        <f t="shared" si="20"/>
        <v>0.99441248972884144</v>
      </c>
      <c r="W8" s="11">
        <f t="shared" si="21"/>
        <v>0.80875491492052909</v>
      </c>
      <c r="X8" s="11">
        <f t="shared" si="22"/>
        <v>0.77060609817923409</v>
      </c>
    </row>
    <row r="9" spans="1:26">
      <c r="A9" s="29" t="s">
        <v>26</v>
      </c>
      <c r="B9" s="5">
        <v>46275.347222222219</v>
      </c>
      <c r="C9" s="5">
        <v>46275.902777777781</v>
      </c>
      <c r="D9" s="6">
        <f t="shared" si="17"/>
        <v>800.00000000931323</v>
      </c>
      <c r="E9" s="7">
        <v>0</v>
      </c>
      <c r="F9" s="7">
        <v>0</v>
      </c>
      <c r="G9" s="8">
        <f t="shared" si="11"/>
        <v>0</v>
      </c>
      <c r="H9" s="7">
        <f>5+7</f>
        <v>12</v>
      </c>
      <c r="I9" s="7">
        <f>2+2+4+2+2+2+2+1+2+2+2+2+3+1+4+2+2+2+2+2+4+2+3+3+1+2+2+4</f>
        <v>64</v>
      </c>
      <c r="J9" s="9">
        <f t="shared" si="18"/>
        <v>0.90500000000110592</v>
      </c>
      <c r="K9" s="28">
        <v>0</v>
      </c>
      <c r="L9" s="28">
        <f>11+5+5+3+2</f>
        <v>26</v>
      </c>
      <c r="M9" s="9">
        <f t="shared" si="19"/>
        <v>0.87250000000148431</v>
      </c>
      <c r="N9" s="7">
        <v>17000</v>
      </c>
      <c r="O9" s="15">
        <f>AVERAGE(15000,15000,15000,15000,15000,15000,15000,15000,15000,15000,15000,15000,15000)</f>
        <v>15000</v>
      </c>
      <c r="P9" s="9">
        <f t="shared" si="12"/>
        <v>0.88235294117647056</v>
      </c>
      <c r="Q9" s="15">
        <v>6104</v>
      </c>
      <c r="R9" s="15">
        <v>12</v>
      </c>
      <c r="S9" s="7"/>
      <c r="T9" s="5"/>
      <c r="U9" s="10" t="str">
        <f t="shared" si="13"/>
        <v/>
      </c>
      <c r="V9" s="9">
        <f t="shared" si="20"/>
        <v>0.99803407601572736</v>
      </c>
      <c r="W9" s="11">
        <f t="shared" si="21"/>
        <v>0.7969595636429444</v>
      </c>
      <c r="X9" s="11">
        <f t="shared" si="22"/>
        <v>0.76833946881635606</v>
      </c>
    </row>
    <row r="10" spans="1:26">
      <c r="A10" s="29" t="s">
        <v>133</v>
      </c>
      <c r="B10" s="5">
        <v>46276.345833333333</v>
      </c>
      <c r="C10" s="5">
        <v>46276.834722222222</v>
      </c>
      <c r="D10" s="6">
        <f t="shared" si="17"/>
        <v>704.00000000023283</v>
      </c>
      <c r="E10" s="7">
        <v>25</v>
      </c>
      <c r="F10" s="7">
        <v>15</v>
      </c>
      <c r="G10" s="8">
        <f t="shared" si="11"/>
        <v>-10</v>
      </c>
      <c r="H10" s="7">
        <f>60+23+8+8</f>
        <v>99</v>
      </c>
      <c r="I10" s="7">
        <f>1+2+3+1+2+4+2+3</f>
        <v>18</v>
      </c>
      <c r="J10" s="9">
        <f t="shared" si="18"/>
        <v>0.84801136363641394</v>
      </c>
      <c r="K10" s="28">
        <v>0</v>
      </c>
      <c r="L10" s="28">
        <f>3+35+2+9+2+4+4+3+4+3</f>
        <v>69</v>
      </c>
      <c r="M10" s="9">
        <f t="shared" si="19"/>
        <v>0.71448863636373083</v>
      </c>
      <c r="N10" s="7">
        <v>17000</v>
      </c>
      <c r="O10" s="15">
        <f>AVERAGE(15000,15000,15000,15000,15000,15000,15000,15000)</f>
        <v>15000</v>
      </c>
      <c r="P10" s="9">
        <f t="shared" si="12"/>
        <v>0.88235294117647056</v>
      </c>
      <c r="Q10" s="15">
        <v>4034</v>
      </c>
      <c r="R10" s="15">
        <v>7</v>
      </c>
      <c r="S10" s="7"/>
      <c r="T10" s="5"/>
      <c r="U10" s="10" t="str">
        <f t="shared" si="13"/>
        <v/>
      </c>
      <c r="V10" s="9">
        <f t="shared" si="20"/>
        <v>0.99826474962816059</v>
      </c>
      <c r="W10" s="11">
        <f t="shared" si="21"/>
        <v>0.74694692788441741</v>
      </c>
      <c r="X10" s="11">
        <f t="shared" si="22"/>
        <v>0.62933719384571085</v>
      </c>
    </row>
    <row r="11" spans="1:26">
      <c r="A11" s="29" t="s">
        <v>134</v>
      </c>
      <c r="B11" s="5">
        <v>46279.083333333336</v>
      </c>
      <c r="C11" s="5">
        <v>46280</v>
      </c>
      <c r="D11" s="6">
        <f t="shared" si="17"/>
        <v>1319.9999999965075</v>
      </c>
      <c r="E11" s="7">
        <v>60</v>
      </c>
      <c r="F11" s="7">
        <v>50</v>
      </c>
      <c r="G11" s="8">
        <f t="shared" si="11"/>
        <v>-10</v>
      </c>
      <c r="H11" s="7">
        <f>6+10+5+8+6+5+5+7+5+11+40+13+5+8+6+17+7</f>
        <v>164</v>
      </c>
      <c r="I11" s="7">
        <f>4+2+2+3+2+2+2+1+2+4+2+3+2+2+1+4+3+3+4+2+4+2+1+1+2+1+2</f>
        <v>63</v>
      </c>
      <c r="J11" s="9">
        <f t="shared" si="18"/>
        <v>0.8356060606056257</v>
      </c>
      <c r="K11" s="28">
        <v>20</v>
      </c>
      <c r="L11" s="28">
        <f>30+7+7+20+20+9</f>
        <v>93</v>
      </c>
      <c r="M11" s="9">
        <f t="shared" si="19"/>
        <v>0.70454545454467288</v>
      </c>
      <c r="N11" s="7">
        <v>17000</v>
      </c>
      <c r="O11" s="15">
        <f>AVERAGE(15000,15000,15000,15000,15000,15000,15000,15000,15000,15000,15000,15000,15000,15000,16000)</f>
        <v>15066.666666666666</v>
      </c>
      <c r="P11" s="9">
        <f t="shared" si="12"/>
        <v>0.88627450980392153</v>
      </c>
      <c r="Q11" s="15">
        <v>7544</v>
      </c>
      <c r="R11" s="15">
        <v>27</v>
      </c>
      <c r="S11" s="7"/>
      <c r="T11" s="5"/>
      <c r="U11" s="10" t="str">
        <f t="shared" si="13"/>
        <v/>
      </c>
      <c r="V11" s="9">
        <f t="shared" si="20"/>
        <v>0.99642099681866381</v>
      </c>
      <c r="W11" s="11">
        <f t="shared" si="21"/>
        <v>0.7379258266334926</v>
      </c>
      <c r="X11" s="11">
        <f t="shared" si="22"/>
        <v>0.62218587377039336</v>
      </c>
    </row>
    <row r="12" spans="1:26">
      <c r="A12" s="29" t="s">
        <v>61</v>
      </c>
      <c r="B12" s="5">
        <v>46280.006944444445</v>
      </c>
      <c r="C12" s="5">
        <v>46281</v>
      </c>
      <c r="D12" s="6">
        <f t="shared" si="17"/>
        <v>1429.9999999988358</v>
      </c>
      <c r="E12" s="7">
        <v>10</v>
      </c>
      <c r="F12" s="7">
        <v>14</v>
      </c>
      <c r="G12" s="8">
        <f t="shared" si="11"/>
        <v>4</v>
      </c>
      <c r="H12" s="7">
        <f>6+5+5+7+7+6+14+12+10+8+6+16+8+14+9</f>
        <v>133</v>
      </c>
      <c r="I12" s="7">
        <f>2+4+2+3+3+2+2+2+2+2+4+1+2+4+4+2+1+2+2+2+2+3+2+4+1+1+2+3+2+3+2+3+2+3+4</f>
        <v>85</v>
      </c>
      <c r="J12" s="9">
        <f t="shared" si="18"/>
        <v>0.84475524475511832</v>
      </c>
      <c r="K12" s="28">
        <v>0</v>
      </c>
      <c r="L12" s="28">
        <f>2+35+5+2+5+2+2+3+3+20+3+16+1+18+4+4</f>
        <v>125</v>
      </c>
      <c r="M12" s="9">
        <f t="shared" si="19"/>
        <v>0.75034965034944712</v>
      </c>
      <c r="N12" s="7">
        <v>17000</v>
      </c>
      <c r="O12" s="15">
        <f>AVERAGE(15000,15000,15000,15000,15000,15000,15000,16000,17000,17000,13500,17000,17000,16000,15000,15000,15000)</f>
        <v>15500</v>
      </c>
      <c r="P12" s="9">
        <f t="shared" si="12"/>
        <v>0.91176470588235292</v>
      </c>
      <c r="Q12" s="15">
        <v>9135</v>
      </c>
      <c r="R12" s="15">
        <v>24</v>
      </c>
      <c r="S12" s="7"/>
      <c r="T12" s="5"/>
      <c r="U12" s="10" t="str">
        <f t="shared" si="13"/>
        <v/>
      </c>
      <c r="V12" s="9">
        <f t="shared" si="20"/>
        <v>0.99737274220032845</v>
      </c>
      <c r="W12" s="11">
        <f t="shared" si="21"/>
        <v>0.76819445598338765</v>
      </c>
      <c r="X12" s="11">
        <f t="shared" si="22"/>
        <v>0.68234490999178399</v>
      </c>
    </row>
    <row r="13" spans="1:26">
      <c r="A13" s="29" t="s">
        <v>135</v>
      </c>
      <c r="B13" s="5">
        <v>46281.006944444445</v>
      </c>
      <c r="C13" s="5">
        <v>46282</v>
      </c>
      <c r="D13" s="6">
        <f t="shared" si="17"/>
        <v>1429.9999999988358</v>
      </c>
      <c r="E13" s="7">
        <v>60</v>
      </c>
      <c r="F13" s="7">
        <v>60</v>
      </c>
      <c r="G13" s="8">
        <f t="shared" si="11"/>
        <v>0</v>
      </c>
      <c r="H13" s="7">
        <f>31+5+6+15+14</f>
        <v>71</v>
      </c>
      <c r="I13" s="7">
        <f>1+3+3+2+3+1+2+3+3+2+2</f>
        <v>25</v>
      </c>
      <c r="J13" s="9">
        <f t="shared" si="18"/>
        <v>0.93286713286707823</v>
      </c>
      <c r="K13" s="28">
        <v>0</v>
      </c>
      <c r="L13" s="28">
        <f>5+3+2+9+35+2+22+12+10+25+60+60+60+60+60+60+60+60+60+60+60+60+35+4+10</f>
        <v>894</v>
      </c>
      <c r="M13" s="9">
        <f t="shared" si="19"/>
        <v>0.26573426573366798</v>
      </c>
      <c r="N13" s="7">
        <v>17000</v>
      </c>
      <c r="O13" s="15">
        <f>AVERAGE(15000,15000,15000,15000,15000,15000,15000,15000,15000,17000)</f>
        <v>15200</v>
      </c>
      <c r="P13" s="9">
        <f t="shared" si="12"/>
        <v>0.89411764705882357</v>
      </c>
      <c r="Q13" s="15">
        <v>3687</v>
      </c>
      <c r="R13" s="15">
        <v>23</v>
      </c>
      <c r="S13" s="7"/>
      <c r="T13" s="5"/>
      <c r="U13" s="10" t="str">
        <f t="shared" si="13"/>
        <v/>
      </c>
      <c r="V13" s="9">
        <f t="shared" si="20"/>
        <v>0.99376186601573091</v>
      </c>
      <c r="W13" s="11">
        <f t="shared" ref="W13" si="23">IF(B13="","",V13*P13*J13)</f>
        <v>0.82888978218126663</v>
      </c>
      <c r="X13" s="11">
        <f t="shared" ref="X13" si="24">IF(B13="","",V13*P13*M13)</f>
        <v>0.23611553015606543</v>
      </c>
      <c r="Z13" s="60"/>
    </row>
    <row r="14" spans="1:26">
      <c r="A14" s="29" t="s">
        <v>136</v>
      </c>
      <c r="B14" s="5">
        <v>46282.041666666664</v>
      </c>
      <c r="C14" s="5">
        <v>46282.959027777775</v>
      </c>
      <c r="D14" s="6">
        <f t="shared" si="17"/>
        <v>1320.9999999997672</v>
      </c>
      <c r="E14" s="7">
        <f>45+45</f>
        <v>90</v>
      </c>
      <c r="F14" s="7">
        <v>60</v>
      </c>
      <c r="G14" s="8">
        <f t="shared" si="11"/>
        <v>-30</v>
      </c>
      <c r="H14" s="7">
        <f>50+10+6+10+60+23+60+60+25+10+12+8+8+5+6+8+9+5+10+7+5+15+7+5+7+13+8+10+7+36+6+9+35+8+11</f>
        <v>574</v>
      </c>
      <c r="I14" s="7">
        <f>4+4+1+4+4+4+4+2+3+2+4+3+2+2+3+2+4+2+2+1+2+3+2+3</f>
        <v>67</v>
      </c>
      <c r="J14" s="9">
        <f t="shared" si="18"/>
        <v>0.53747161241475572</v>
      </c>
      <c r="K14" s="28">
        <v>0</v>
      </c>
      <c r="L14" s="28">
        <f>4+4+2+25+5+2+3+38</f>
        <v>83</v>
      </c>
      <c r="M14" s="9">
        <f t="shared" si="19"/>
        <v>0.406510219530554</v>
      </c>
      <c r="N14" s="7">
        <v>17000</v>
      </c>
      <c r="O14" s="15">
        <f>AVERAGE(17000,17000,15000,15000,15000,15000,15000,15000,15000,15000,15000,17000,17000,17000)</f>
        <v>15714.285714285714</v>
      </c>
      <c r="P14" s="9">
        <f t="shared" si="12"/>
        <v>0.9243697478991596</v>
      </c>
      <c r="Q14" s="15">
        <v>4397</v>
      </c>
      <c r="R14" s="15">
        <v>27</v>
      </c>
      <c r="S14" s="7"/>
      <c r="T14" s="5"/>
      <c r="U14" s="10" t="str">
        <f t="shared" si="13"/>
        <v/>
      </c>
      <c r="V14" s="9">
        <f t="shared" si="20"/>
        <v>0.99385944962474415</v>
      </c>
      <c r="W14" s="11">
        <f t="shared" si="21"/>
        <v>0.49377173528890606</v>
      </c>
      <c r="X14" s="11">
        <f t="shared" si="22"/>
        <v>0.37345834063396416</v>
      </c>
    </row>
    <row r="15" spans="1:26">
      <c r="A15" s="29" t="s">
        <v>137</v>
      </c>
      <c r="B15" s="5">
        <v>46283.131944444445</v>
      </c>
      <c r="C15" s="5">
        <v>46283.822916666664</v>
      </c>
      <c r="D15" s="6">
        <f t="shared" si="17"/>
        <v>994.99999999534339</v>
      </c>
      <c r="E15" s="7">
        <f>60+30+20+30</f>
        <v>140</v>
      </c>
      <c r="F15" s="7">
        <v>38</v>
      </c>
      <c r="G15" s="8">
        <f t="shared" si="11"/>
        <v>-102</v>
      </c>
      <c r="H15" s="7">
        <f>45+33+9+10+8</f>
        <v>105</v>
      </c>
      <c r="I15" s="7">
        <f>2+4+3+2+1+2+4+3+2+1+4+2+2+2+2+2+3+2+2+1+3+1+1+2+3+2+1+1+1</f>
        <v>61</v>
      </c>
      <c r="J15" s="9">
        <f t="shared" si="18"/>
        <v>0.93567839195949798</v>
      </c>
      <c r="K15" s="28">
        <v>0</v>
      </c>
      <c r="L15" s="28">
        <f>3+3+5</f>
        <v>11</v>
      </c>
      <c r="M15" s="9">
        <f t="shared" si="19"/>
        <v>0.78391959798893851</v>
      </c>
      <c r="N15" s="7">
        <v>17000</v>
      </c>
      <c r="O15" s="15">
        <f>AVERAGE(16000,16000,16000,15000,15000,16000,17000,15000,15000,15000,17000,16000,15000)</f>
        <v>15692.307692307691</v>
      </c>
      <c r="P15" s="9">
        <f t="shared" si="12"/>
        <v>0.92307692307692302</v>
      </c>
      <c r="Q15" s="15">
        <v>6679</v>
      </c>
      <c r="R15" s="7">
        <v>23</v>
      </c>
      <c r="S15" s="7"/>
      <c r="T15" s="5"/>
      <c r="U15" s="10" t="str">
        <f t="shared" si="13"/>
        <v/>
      </c>
      <c r="V15" s="9">
        <f t="shared" si="20"/>
        <v>0.9965563707141788</v>
      </c>
      <c r="W15" s="11">
        <f t="shared" si="21"/>
        <v>0.86072885764323326</v>
      </c>
      <c r="X15" s="11">
        <f t="shared" si="22"/>
        <v>0.72112621800329957</v>
      </c>
    </row>
    <row r="16" spans="1:26">
      <c r="A16" s="29" t="s">
        <v>138</v>
      </c>
      <c r="B16" s="5">
        <v>46286.416666666664</v>
      </c>
      <c r="C16" s="5">
        <v>46286.745833333334</v>
      </c>
      <c r="D16" s="6">
        <f t="shared" si="17"/>
        <v>474.00000000488944</v>
      </c>
      <c r="E16" s="7">
        <v>30</v>
      </c>
      <c r="F16" s="7">
        <v>16</v>
      </c>
      <c r="G16" s="8">
        <f t="shared" si="11"/>
        <v>-14</v>
      </c>
      <c r="H16" s="7">
        <f>25+5+5+7+6</f>
        <v>48</v>
      </c>
      <c r="I16" s="7">
        <f>2+4+4+2+2+3+2+3+2+2+2+2+1+2+2+3+2+2</f>
        <v>42</v>
      </c>
      <c r="J16" s="9">
        <f t="shared" si="18"/>
        <v>0.83966244725903794</v>
      </c>
      <c r="K16" s="28">
        <v>0</v>
      </c>
      <c r="L16" s="28">
        <f>2+2+11+6+4+6</f>
        <v>31</v>
      </c>
      <c r="M16" s="9">
        <f t="shared" si="19"/>
        <v>0.71097046413800247</v>
      </c>
      <c r="N16" s="7">
        <v>17000</v>
      </c>
      <c r="O16" s="15">
        <f>AVERAGE(15000,15000,15000,15000,15000,15000,15000)</f>
        <v>15000</v>
      </c>
      <c r="P16" s="9">
        <f t="shared" si="12"/>
        <v>0.88235294117647056</v>
      </c>
      <c r="Q16" s="7">
        <v>2726</v>
      </c>
      <c r="R16" s="7">
        <v>29</v>
      </c>
      <c r="S16" s="7"/>
      <c r="T16" s="5"/>
      <c r="U16" s="10" t="str">
        <f t="shared" si="13"/>
        <v/>
      </c>
      <c r="V16" s="9">
        <f t="shared" si="20"/>
        <v>0.98936170212765961</v>
      </c>
      <c r="W16" s="11">
        <f t="shared" si="21"/>
        <v>0.73299694238195123</v>
      </c>
      <c r="X16" s="11">
        <f t="shared" si="22"/>
        <v>0.62065318990770557</v>
      </c>
    </row>
    <row r="17" spans="1:24">
      <c r="A17" s="29" t="s">
        <v>58</v>
      </c>
      <c r="B17" s="5">
        <v>46225.340277777781</v>
      </c>
      <c r="C17" s="5">
        <v>46225.895833333336</v>
      </c>
      <c r="D17" s="6">
        <f t="shared" si="17"/>
        <v>799.99999999883585</v>
      </c>
      <c r="E17" s="7">
        <v>0</v>
      </c>
      <c r="F17" s="7">
        <v>0</v>
      </c>
      <c r="G17" s="8">
        <f t="shared" si="11"/>
        <v>0</v>
      </c>
      <c r="H17" s="7">
        <f>20+5+5</f>
        <v>30</v>
      </c>
      <c r="I17" s="7">
        <f>4+2+4+2+2+2+2+4+2+4+4+2+4+2+2+4+2+3+2+1+1+1</f>
        <v>56</v>
      </c>
      <c r="J17" s="9">
        <f t="shared" si="18"/>
        <v>0.89249999999984353</v>
      </c>
      <c r="K17" s="28">
        <v>0</v>
      </c>
      <c r="L17" s="28">
        <f>2+40+4+2</f>
        <v>48</v>
      </c>
      <c r="M17" s="9">
        <f t="shared" si="19"/>
        <v>0.83249999999975621</v>
      </c>
      <c r="N17" s="7">
        <v>17000</v>
      </c>
      <c r="O17" s="15">
        <f>AVERAGE(15000,15000,15000,15000,15000,15000,15000,15000,15000,15000,15000,15000,15000)</f>
        <v>15000</v>
      </c>
      <c r="P17" s="9">
        <f t="shared" si="12"/>
        <v>0.88235294117647056</v>
      </c>
      <c r="Q17" s="7">
        <v>5538</v>
      </c>
      <c r="R17" s="7">
        <v>3</v>
      </c>
      <c r="S17" s="7"/>
      <c r="T17" s="5"/>
      <c r="U17" s="10" t="str">
        <f t="shared" si="13"/>
        <v/>
      </c>
      <c r="V17" s="9">
        <f t="shared" si="20"/>
        <v>0.99945828819068261</v>
      </c>
      <c r="W17" s="11">
        <f t="shared" si="21"/>
        <v>0.78707340195002451</v>
      </c>
      <c r="X17" s="11">
        <f t="shared" si="22"/>
        <v>0.73416090433985259</v>
      </c>
    </row>
    <row r="18" spans="1:24">
      <c r="A18" s="29" t="s">
        <v>139</v>
      </c>
      <c r="B18" s="5">
        <v>46226.333333333336</v>
      </c>
      <c r="C18" s="5">
        <v>46226.892361111109</v>
      </c>
      <c r="D18" s="6">
        <f t="shared" si="17"/>
        <v>804.99999999417923</v>
      </c>
      <c r="E18" s="7">
        <v>30</v>
      </c>
      <c r="F18" s="7">
        <v>31</v>
      </c>
      <c r="G18" s="8">
        <f t="shared" si="11"/>
        <v>1</v>
      </c>
      <c r="H18" s="7">
        <f>6+60+15+15+13+10+5</f>
        <v>124</v>
      </c>
      <c r="I18" s="7">
        <f>2+4+3+4+3+3+3+2+2+1+3+2+2+3+2+2</f>
        <v>41</v>
      </c>
      <c r="J18" s="9">
        <f t="shared" si="18"/>
        <v>0.79378881987428529</v>
      </c>
      <c r="K18" s="28">
        <v>0</v>
      </c>
      <c r="L18" s="28">
        <f>2+15+3+3+30+8</f>
        <v>61</v>
      </c>
      <c r="M18" s="9">
        <f t="shared" si="19"/>
        <v>0.68074534161259836</v>
      </c>
      <c r="N18" s="7">
        <v>17000</v>
      </c>
      <c r="O18" s="15">
        <f>AVERAGE(15000,15500,15500,15000,15000,15000,15000,15000)</f>
        <v>15125</v>
      </c>
      <c r="P18" s="9">
        <f t="shared" si="12"/>
        <v>0.88970588235294112</v>
      </c>
      <c r="Q18" s="7">
        <v>4245</v>
      </c>
      <c r="R18" s="7">
        <v>4</v>
      </c>
      <c r="S18" s="7"/>
      <c r="T18" s="5"/>
      <c r="U18" s="10" t="str">
        <f t="shared" si="13"/>
        <v/>
      </c>
      <c r="V18" s="9">
        <f t="shared" ref="V18" si="25">IF(B18="","",IF(U18&lt;3,(Q18-R18)/Q18,(Q18-R18-S18)/Q18))</f>
        <v>0.99905771495877504</v>
      </c>
      <c r="W18" s="11">
        <f t="shared" ref="W18" si="26">IF(B18="","",V18*P18*J18)</f>
        <v>0.70557310433643061</v>
      </c>
      <c r="X18" s="11">
        <f t="shared" ref="X18" si="27">IF(B18="","",V18*P18*M18)</f>
        <v>0.60509242750513159</v>
      </c>
    </row>
    <row r="19" spans="1:24">
      <c r="A19" s="29" t="s">
        <v>140</v>
      </c>
      <c r="B19" s="5">
        <v>46227.368055555555</v>
      </c>
      <c r="C19" s="5">
        <v>46227.890277777777</v>
      </c>
      <c r="D19" s="6">
        <f t="shared" si="17"/>
        <v>751.99999999953434</v>
      </c>
      <c r="E19" s="7">
        <v>0</v>
      </c>
      <c r="F19" s="7">
        <v>0</v>
      </c>
      <c r="G19" s="8">
        <f t="shared" si="11"/>
        <v>0</v>
      </c>
      <c r="H19" s="7">
        <f>5+23+6+5+5+5+14</f>
        <v>63</v>
      </c>
      <c r="I19" s="7">
        <f>3+4+2+1+3+2+4+3+1+3+2+4+3+4+3+1+1+2+4+4+3+2</f>
        <v>59</v>
      </c>
      <c r="J19" s="9">
        <f t="shared" si="18"/>
        <v>0.83776595744670801</v>
      </c>
      <c r="K19" s="28">
        <v>0</v>
      </c>
      <c r="L19" s="28">
        <f>1+12+14+2+2</f>
        <v>31</v>
      </c>
      <c r="M19" s="9">
        <f t="shared" si="19"/>
        <v>0.79654255319136336</v>
      </c>
      <c r="N19" s="7">
        <v>17000</v>
      </c>
      <c r="O19" s="15">
        <f>AVERAGE(15000,15000,15000,15000,15000,15000,16000,16000,16000,16000,16000,18000)</f>
        <v>15666.666666666666</v>
      </c>
      <c r="P19" s="9">
        <f t="shared" si="12"/>
        <v>0.92156862745098034</v>
      </c>
      <c r="Q19" s="15">
        <v>5378</v>
      </c>
      <c r="R19" s="7">
        <v>19</v>
      </c>
      <c r="S19" s="7"/>
      <c r="T19" s="5"/>
      <c r="U19" s="10" t="str">
        <f t="shared" si="13"/>
        <v/>
      </c>
      <c r="V19" s="9">
        <f t="shared" si="20"/>
        <v>0.99646708813685381</v>
      </c>
      <c r="W19" s="11">
        <f t="shared" si="21"/>
        <v>0.76933120775262576</v>
      </c>
      <c r="X19" s="11">
        <f t="shared" si="22"/>
        <v>0.73147522768857964</v>
      </c>
    </row>
    <row r="20" spans="1:24">
      <c r="A20" s="29" t="s">
        <v>141</v>
      </c>
      <c r="B20" s="5">
        <v>46228.336805555555</v>
      </c>
      <c r="C20" s="5">
        <v>46228.814583333333</v>
      </c>
      <c r="D20" s="6">
        <f t="shared" si="17"/>
        <v>688.00000000046566</v>
      </c>
      <c r="E20" s="7">
        <v>25</v>
      </c>
      <c r="F20" s="7">
        <v>103</v>
      </c>
      <c r="G20" s="8">
        <f t="shared" si="11"/>
        <v>78</v>
      </c>
      <c r="H20" s="7">
        <f>5+6+8+18</f>
        <v>37</v>
      </c>
      <c r="I20" s="7">
        <f>3+3+2+2+4+2+4+4+2+4+4+1+2</f>
        <v>37</v>
      </c>
      <c r="J20" s="9">
        <f t="shared" si="18"/>
        <v>0.77906976744200995</v>
      </c>
      <c r="K20" s="28">
        <v>0</v>
      </c>
      <c r="L20" s="28">
        <f>7+2+12+15</f>
        <v>36</v>
      </c>
      <c r="M20" s="9">
        <f t="shared" si="19"/>
        <v>0.69040697674439555</v>
      </c>
      <c r="N20" s="7">
        <v>17000</v>
      </c>
      <c r="O20" s="30">
        <f>AVERAGE(15000,16000,16000,16000,16000,16000,16000,16000,17000)</f>
        <v>16000</v>
      </c>
      <c r="P20" s="9">
        <f t="shared" si="12"/>
        <v>0.94117647058823528</v>
      </c>
      <c r="Q20" s="7">
        <v>3985</v>
      </c>
      <c r="R20" s="7">
        <v>4</v>
      </c>
      <c r="S20" s="7"/>
      <c r="T20" s="5"/>
      <c r="U20" s="10" t="str">
        <f t="shared" si="13"/>
        <v/>
      </c>
      <c r="V20" s="9">
        <f t="shared" si="20"/>
        <v>0.9989962358845671</v>
      </c>
      <c r="W20" s="11">
        <f t="shared" si="21"/>
        <v>0.73250613192097225</v>
      </c>
      <c r="X20" s="11">
        <f t="shared" si="22"/>
        <v>0.64914256093750111</v>
      </c>
    </row>
    <row r="21" spans="1:24">
      <c r="A21" s="29" t="s">
        <v>68</v>
      </c>
      <c r="B21" s="5">
        <v>46231.378472222219</v>
      </c>
      <c r="C21" s="5">
        <v>46231.904166666667</v>
      </c>
      <c r="D21" s="6">
        <f t="shared" si="17"/>
        <v>757.0000000053551</v>
      </c>
      <c r="E21" s="7">
        <v>0</v>
      </c>
      <c r="F21" s="7">
        <v>0</v>
      </c>
      <c r="G21" s="8">
        <f t="shared" si="11"/>
        <v>0</v>
      </c>
      <c r="H21" s="7">
        <f>15+15+7+8+10+18+9+23+5+16+14+5+22+6+9+5</f>
        <v>187</v>
      </c>
      <c r="I21" s="7">
        <f>2+4+3+3+4+4+2+4+2+2+3+3+4+4+3+2+4+3</f>
        <v>56</v>
      </c>
      <c r="J21" s="9">
        <f t="shared" si="18"/>
        <v>0.6789960369903818</v>
      </c>
      <c r="K21" s="28">
        <v>0</v>
      </c>
      <c r="L21" s="28">
        <f>4+4</f>
        <v>8</v>
      </c>
      <c r="M21" s="9">
        <f t="shared" si="19"/>
        <v>0.66842800528636148</v>
      </c>
      <c r="N21" s="7">
        <v>17000</v>
      </c>
      <c r="O21" s="15">
        <f>AVERAGE(15000,15000,15000,15000,15000,15000,15000,15000,15000,15000)</f>
        <v>15000</v>
      </c>
      <c r="P21" s="9">
        <f t="shared" si="12"/>
        <v>0.88235294117647056</v>
      </c>
      <c r="Q21" s="7">
        <v>3920</v>
      </c>
      <c r="R21" s="15">
        <v>10</v>
      </c>
      <c r="S21" s="7"/>
      <c r="T21" s="5"/>
      <c r="U21" s="10" t="str">
        <f t="shared" si="13"/>
        <v/>
      </c>
      <c r="V21" s="9">
        <f t="shared" si="20"/>
        <v>0.99744897959183676</v>
      </c>
      <c r="W21" s="11">
        <f t="shared" si="21"/>
        <v>0.59758579786143295</v>
      </c>
      <c r="X21" s="11">
        <f t="shared" si="22"/>
        <v>0.58828485159131305</v>
      </c>
    </row>
    <row r="22" spans="1:24">
      <c r="A22" s="29" t="s">
        <v>142</v>
      </c>
      <c r="B22" s="5">
        <v>46294.341666666667</v>
      </c>
      <c r="C22" s="5">
        <v>46294.899305555555</v>
      </c>
      <c r="D22" s="6">
        <f t="shared" si="17"/>
        <v>802.99999999813735</v>
      </c>
      <c r="E22" s="7">
        <v>60</v>
      </c>
      <c r="F22" s="7">
        <v>114</v>
      </c>
      <c r="G22" s="8">
        <f t="shared" si="11"/>
        <v>54</v>
      </c>
      <c r="H22" s="7">
        <f>6+5+7</f>
        <v>18</v>
      </c>
      <c r="I22" s="7">
        <f>4+4+2+3+2+2+3+1+2+2+3+2+4+1+3+1+1</f>
        <v>40</v>
      </c>
      <c r="J22" s="9">
        <f t="shared" si="18"/>
        <v>0.86052303860490686</v>
      </c>
      <c r="K22" s="28">
        <v>0</v>
      </c>
      <c r="L22" s="28">
        <f>6+45+3+7+9+2+2</f>
        <v>74</v>
      </c>
      <c r="M22" s="9">
        <f t="shared" si="19"/>
        <v>0.69364881693577751</v>
      </c>
      <c r="N22" s="7">
        <v>17000</v>
      </c>
      <c r="O22" s="30">
        <f>AVERAGE(15000,15000,15000,15000,15000,15000,15000,15000)</f>
        <v>15000</v>
      </c>
      <c r="P22" s="9">
        <f t="shared" si="12"/>
        <v>0.88235294117647056</v>
      </c>
      <c r="Q22" s="15">
        <v>4759</v>
      </c>
      <c r="R22" s="7">
        <v>7</v>
      </c>
      <c r="S22" s="7"/>
      <c r="T22" s="5"/>
      <c r="U22" s="10" t="str">
        <f t="shared" si="13"/>
        <v/>
      </c>
      <c r="V22" s="9">
        <f t="shared" si="20"/>
        <v>0.99852910275267914</v>
      </c>
      <c r="W22" s="11">
        <f t="shared" si="21"/>
        <v>0.75816820379661776</v>
      </c>
      <c r="X22" s="11">
        <f t="shared" si="22"/>
        <v>0.6111428212944171</v>
      </c>
    </row>
    <row r="23" spans="1:24">
      <c r="A23" s="29" t="s">
        <v>95</v>
      </c>
      <c r="B23" s="5">
        <v>46295.347222222219</v>
      </c>
      <c r="C23" s="5">
        <v>46295.897916666669</v>
      </c>
      <c r="D23" s="6">
        <f t="shared" si="17"/>
        <v>793.00000000745058</v>
      </c>
      <c r="E23" s="7">
        <v>45</v>
      </c>
      <c r="F23" s="7">
        <v>199</v>
      </c>
      <c r="G23" s="8">
        <f t="shared" si="11"/>
        <v>154</v>
      </c>
      <c r="H23" s="7">
        <f>9+6</f>
        <v>15</v>
      </c>
      <c r="I23" s="7">
        <f>2+3+1+2+2+4+1+3+3+3+4+3+2+3+4+1+4+1+2+2+1</f>
        <v>51</v>
      </c>
      <c r="J23" s="9">
        <f t="shared" si="18"/>
        <v>0.72257250946036189</v>
      </c>
      <c r="K23" s="28">
        <v>0</v>
      </c>
      <c r="L23" s="28">
        <f>4+2+6+3+3+20</f>
        <v>38</v>
      </c>
      <c r="M23" s="9">
        <f t="shared" si="19"/>
        <v>0.61790668348404387</v>
      </c>
      <c r="N23" s="7">
        <v>17000</v>
      </c>
      <c r="O23" s="15">
        <f>AVERAGE(15000,15000,15000,15000,15000,15000,15000,15000,15000)</f>
        <v>15000</v>
      </c>
      <c r="P23" s="9">
        <f t="shared" si="12"/>
        <v>0.88235294117647056</v>
      </c>
      <c r="Q23" s="15">
        <v>4799</v>
      </c>
      <c r="R23" s="7">
        <v>7</v>
      </c>
      <c r="S23" s="7"/>
      <c r="T23" s="5"/>
      <c r="U23" s="10" t="str">
        <f t="shared" si="13"/>
        <v/>
      </c>
      <c r="V23" s="9">
        <f t="shared" si="20"/>
        <v>0.99854136278391337</v>
      </c>
      <c r="W23" s="11">
        <f t="shared" si="21"/>
        <v>0.63663400438830164</v>
      </c>
      <c r="X23" s="11">
        <f t="shared" si="22"/>
        <v>0.54441651335245178</v>
      </c>
    </row>
    <row r="24" spans="1:24" ht="15.75" thickBot="1">
      <c r="A24" s="29"/>
      <c r="B24" s="5"/>
      <c r="C24" s="5"/>
      <c r="D24" s="6" t="str">
        <f t="shared" si="17"/>
        <v/>
      </c>
      <c r="E24" s="7"/>
      <c r="F24" s="7"/>
      <c r="G24" s="8" t="str">
        <f t="shared" si="11"/>
        <v/>
      </c>
      <c r="H24" s="7"/>
      <c r="I24" s="7"/>
      <c r="J24" s="9" t="str">
        <f t="shared" si="18"/>
        <v/>
      </c>
      <c r="K24" s="28"/>
      <c r="L24" s="28"/>
      <c r="M24" s="9" t="str">
        <f t="shared" si="19"/>
        <v/>
      </c>
      <c r="N24" s="7"/>
      <c r="O24" s="15"/>
      <c r="P24" s="9" t="str">
        <f t="shared" si="12"/>
        <v/>
      </c>
      <c r="Q24" s="7"/>
      <c r="R24" s="7"/>
      <c r="S24" s="7"/>
      <c r="T24" s="5"/>
      <c r="U24" s="10" t="str">
        <f t="shared" si="13"/>
        <v/>
      </c>
      <c r="V24" s="9" t="str">
        <f t="shared" si="20"/>
        <v/>
      </c>
      <c r="W24" s="11" t="str">
        <f t="shared" si="21"/>
        <v/>
      </c>
      <c r="X24" s="11" t="str">
        <f t="shared" si="22"/>
        <v/>
      </c>
    </row>
    <row r="25" spans="1:24" hidden="1">
      <c r="A25" s="29"/>
      <c r="B25" s="5"/>
      <c r="C25" s="5"/>
      <c r="D25" s="6" t="str">
        <f t="shared" si="17"/>
        <v/>
      </c>
      <c r="E25" s="7"/>
      <c r="F25" s="7"/>
      <c r="G25" s="8" t="str">
        <f t="shared" si="11"/>
        <v/>
      </c>
      <c r="H25" s="7"/>
      <c r="I25" s="7"/>
      <c r="J25" s="9" t="str">
        <f t="shared" si="18"/>
        <v/>
      </c>
      <c r="K25" s="28"/>
      <c r="L25" s="28"/>
      <c r="M25" s="9" t="str">
        <f t="shared" si="19"/>
        <v/>
      </c>
      <c r="N25" s="7"/>
      <c r="O25" s="15"/>
      <c r="P25" s="9" t="str">
        <f t="shared" si="12"/>
        <v/>
      </c>
      <c r="Q25" s="7"/>
      <c r="R25" s="7"/>
      <c r="S25" s="7"/>
      <c r="T25" s="5"/>
      <c r="U25" s="10" t="str">
        <f t="shared" si="13"/>
        <v/>
      </c>
      <c r="V25" s="9" t="str">
        <f t="shared" si="20"/>
        <v/>
      </c>
      <c r="W25" s="11" t="str">
        <f t="shared" si="21"/>
        <v/>
      </c>
      <c r="X25" s="11" t="str">
        <f t="shared" si="22"/>
        <v/>
      </c>
    </row>
    <row r="26" spans="1:24" hidden="1">
      <c r="A26" s="29"/>
      <c r="B26" s="5"/>
      <c r="C26" s="5"/>
      <c r="D26" s="6" t="str">
        <f t="shared" si="17"/>
        <v/>
      </c>
      <c r="E26" s="7"/>
      <c r="F26" s="7"/>
      <c r="G26" s="8" t="str">
        <f t="shared" si="11"/>
        <v/>
      </c>
      <c r="H26" s="7"/>
      <c r="I26" s="7"/>
      <c r="J26" s="9" t="str">
        <f t="shared" si="18"/>
        <v/>
      </c>
      <c r="K26" s="28"/>
      <c r="L26" s="28"/>
      <c r="M26" s="9" t="str">
        <f t="shared" si="19"/>
        <v/>
      </c>
      <c r="N26" s="7"/>
      <c r="O26" s="15"/>
      <c r="P26" s="9" t="str">
        <f t="shared" si="12"/>
        <v/>
      </c>
      <c r="Q26" s="7"/>
      <c r="R26" s="7"/>
      <c r="S26" s="7"/>
      <c r="T26" s="5"/>
      <c r="U26" s="10" t="str">
        <f t="shared" si="13"/>
        <v/>
      </c>
      <c r="V26" s="9" t="str">
        <f t="shared" si="20"/>
        <v/>
      </c>
      <c r="W26" s="11" t="str">
        <f t="shared" si="21"/>
        <v/>
      </c>
      <c r="X26" s="11" t="str">
        <f t="shared" si="22"/>
        <v/>
      </c>
    </row>
    <row r="27" spans="1:24" hidden="1">
      <c r="A27" s="29"/>
      <c r="B27" s="5"/>
      <c r="C27" s="5"/>
      <c r="D27" s="6" t="str">
        <f t="shared" si="17"/>
        <v/>
      </c>
      <c r="E27" s="7"/>
      <c r="F27" s="7"/>
      <c r="G27" s="8" t="str">
        <f t="shared" si="11"/>
        <v/>
      </c>
      <c r="H27" s="7"/>
      <c r="I27" s="7"/>
      <c r="J27" s="9" t="str">
        <f t="shared" si="18"/>
        <v/>
      </c>
      <c r="K27" s="28"/>
      <c r="L27" s="28"/>
      <c r="M27" s="9" t="str">
        <f t="shared" si="19"/>
        <v/>
      </c>
      <c r="N27" s="7"/>
      <c r="O27" s="15"/>
      <c r="P27" s="9" t="str">
        <f t="shared" si="12"/>
        <v/>
      </c>
      <c r="Q27" s="7"/>
      <c r="R27" s="7"/>
      <c r="S27" s="7"/>
      <c r="T27" s="5"/>
      <c r="U27" s="10" t="str">
        <f t="shared" si="13"/>
        <v/>
      </c>
      <c r="V27" s="9" t="str">
        <f t="shared" si="20"/>
        <v/>
      </c>
      <c r="W27" s="11" t="str">
        <f t="shared" si="21"/>
        <v/>
      </c>
      <c r="X27" s="11" t="str">
        <f t="shared" si="22"/>
        <v/>
      </c>
    </row>
    <row r="28" spans="1:24" hidden="1">
      <c r="A28" s="29"/>
      <c r="B28" s="5"/>
      <c r="C28" s="5"/>
      <c r="D28" s="6" t="str">
        <f t="shared" si="17"/>
        <v/>
      </c>
      <c r="E28" s="7"/>
      <c r="F28" s="7"/>
      <c r="G28" s="8" t="str">
        <f t="shared" si="11"/>
        <v/>
      </c>
      <c r="H28" s="7"/>
      <c r="I28" s="7"/>
      <c r="J28" s="9" t="str">
        <f t="shared" si="18"/>
        <v/>
      </c>
      <c r="K28" s="28"/>
      <c r="L28" s="28"/>
      <c r="M28" s="9" t="str">
        <f t="shared" si="19"/>
        <v/>
      </c>
      <c r="N28" s="7"/>
      <c r="O28" s="15"/>
      <c r="P28" s="9" t="str">
        <f t="shared" si="12"/>
        <v/>
      </c>
      <c r="Q28" s="15"/>
      <c r="R28" s="7"/>
      <c r="S28" s="7"/>
      <c r="T28" s="5"/>
      <c r="U28" s="10" t="str">
        <f t="shared" si="13"/>
        <v/>
      </c>
      <c r="V28" s="9" t="str">
        <f t="shared" si="20"/>
        <v/>
      </c>
      <c r="W28" s="11" t="str">
        <f t="shared" si="21"/>
        <v/>
      </c>
      <c r="X28" s="11" t="str">
        <f t="shared" si="22"/>
        <v/>
      </c>
    </row>
    <row r="29" spans="1:24" hidden="1">
      <c r="A29" s="29"/>
      <c r="B29" s="5"/>
      <c r="C29" s="5"/>
      <c r="D29" s="6" t="str">
        <f t="shared" si="17"/>
        <v/>
      </c>
      <c r="E29" s="7"/>
      <c r="F29" s="7"/>
      <c r="G29" s="8" t="str">
        <f t="shared" si="11"/>
        <v/>
      </c>
      <c r="H29" s="7"/>
      <c r="I29" s="7"/>
      <c r="J29" s="9" t="str">
        <f t="shared" si="18"/>
        <v/>
      </c>
      <c r="K29" s="28"/>
      <c r="L29" s="28"/>
      <c r="M29" s="9" t="str">
        <f t="shared" si="19"/>
        <v/>
      </c>
      <c r="N29" s="7"/>
      <c r="O29" s="7"/>
      <c r="P29" s="9" t="str">
        <f t="shared" si="12"/>
        <v/>
      </c>
      <c r="Q29" s="7"/>
      <c r="R29" s="7"/>
      <c r="S29" s="7"/>
      <c r="T29" s="5"/>
      <c r="U29" s="10" t="str">
        <f t="shared" si="13"/>
        <v/>
      </c>
      <c r="V29" s="9" t="str">
        <f t="shared" si="20"/>
        <v/>
      </c>
      <c r="W29" s="11" t="str">
        <f t="shared" si="21"/>
        <v/>
      </c>
      <c r="X29" s="11" t="str">
        <f t="shared" si="22"/>
        <v/>
      </c>
    </row>
    <row r="30" spans="1:24" hidden="1">
      <c r="A30" s="29"/>
      <c r="B30" s="5"/>
      <c r="C30" s="5"/>
      <c r="D30" s="6" t="str">
        <f t="shared" si="17"/>
        <v/>
      </c>
      <c r="E30" s="7"/>
      <c r="F30" s="7"/>
      <c r="G30" s="8" t="str">
        <f t="shared" si="11"/>
        <v/>
      </c>
      <c r="H30" s="7"/>
      <c r="I30" s="7"/>
      <c r="J30" s="9" t="str">
        <f t="shared" si="18"/>
        <v/>
      </c>
      <c r="K30" s="28"/>
      <c r="L30" s="28"/>
      <c r="M30" s="9" t="str">
        <f t="shared" si="19"/>
        <v/>
      </c>
      <c r="N30" s="7"/>
      <c r="O30" s="15"/>
      <c r="P30" s="9" t="str">
        <f t="shared" si="12"/>
        <v/>
      </c>
      <c r="Q30" s="15"/>
      <c r="R30" s="7"/>
      <c r="S30" s="7"/>
      <c r="T30" s="5"/>
      <c r="U30" s="10" t="str">
        <f t="shared" si="13"/>
        <v/>
      </c>
      <c r="V30" s="9" t="str">
        <f t="shared" si="20"/>
        <v/>
      </c>
      <c r="W30" s="11" t="str">
        <f t="shared" si="21"/>
        <v/>
      </c>
      <c r="X30" s="11" t="str">
        <f t="shared" si="22"/>
        <v/>
      </c>
    </row>
    <row r="31" spans="1:24" hidden="1">
      <c r="A31" s="29"/>
      <c r="B31" s="5"/>
      <c r="C31" s="5"/>
      <c r="D31" s="6" t="str">
        <f t="shared" si="17"/>
        <v/>
      </c>
      <c r="E31" s="7"/>
      <c r="F31" s="7"/>
      <c r="G31" s="8" t="str">
        <f t="shared" si="11"/>
        <v/>
      </c>
      <c r="H31" s="7"/>
      <c r="I31" s="7"/>
      <c r="J31" s="9" t="str">
        <f t="shared" si="18"/>
        <v/>
      </c>
      <c r="K31" s="28"/>
      <c r="L31" s="28"/>
      <c r="M31" s="9" t="str">
        <f t="shared" si="19"/>
        <v/>
      </c>
      <c r="N31" s="7"/>
      <c r="O31" s="15"/>
      <c r="P31" s="9" t="str">
        <f t="shared" si="12"/>
        <v/>
      </c>
      <c r="Q31" s="15"/>
      <c r="R31" s="15"/>
      <c r="S31" s="7"/>
      <c r="T31" s="5"/>
      <c r="U31" s="10" t="str">
        <f t="shared" si="13"/>
        <v/>
      </c>
      <c r="V31" s="9" t="str">
        <f t="shared" si="20"/>
        <v/>
      </c>
      <c r="W31" s="11" t="str">
        <f t="shared" si="21"/>
        <v/>
      </c>
      <c r="X31" s="11" t="str">
        <f t="shared" si="22"/>
        <v/>
      </c>
    </row>
    <row r="32" spans="1:24" hidden="1">
      <c r="A32" s="29"/>
      <c r="B32" s="5"/>
      <c r="C32" s="5"/>
      <c r="D32" s="6" t="str">
        <f t="shared" si="17"/>
        <v/>
      </c>
      <c r="E32" s="7"/>
      <c r="F32" s="7"/>
      <c r="G32" s="8" t="str">
        <f t="shared" si="11"/>
        <v/>
      </c>
      <c r="H32" s="7"/>
      <c r="I32" s="7"/>
      <c r="J32" s="9" t="str">
        <f t="shared" si="18"/>
        <v/>
      </c>
      <c r="K32" s="28"/>
      <c r="L32" s="28"/>
      <c r="M32" s="9" t="str">
        <f t="shared" si="19"/>
        <v/>
      </c>
      <c r="N32" s="7"/>
      <c r="O32" s="15"/>
      <c r="P32" s="9" t="str">
        <f t="shared" si="12"/>
        <v/>
      </c>
      <c r="Q32" s="15"/>
      <c r="R32" s="7"/>
      <c r="S32" s="7"/>
      <c r="T32" s="5"/>
      <c r="U32" s="10" t="str">
        <f t="shared" si="13"/>
        <v/>
      </c>
      <c r="V32" s="9" t="str">
        <f t="shared" si="20"/>
        <v/>
      </c>
      <c r="W32" s="11" t="str">
        <f t="shared" si="21"/>
        <v/>
      </c>
      <c r="X32" s="11" t="str">
        <f t="shared" si="22"/>
        <v/>
      </c>
    </row>
    <row r="33" spans="1:24" hidden="1">
      <c r="A33" s="29"/>
      <c r="B33" s="5"/>
      <c r="C33" s="5"/>
      <c r="D33" s="6" t="str">
        <f t="shared" si="17"/>
        <v/>
      </c>
      <c r="E33" s="7"/>
      <c r="F33" s="7"/>
      <c r="G33" s="8" t="str">
        <f t="shared" si="11"/>
        <v/>
      </c>
      <c r="H33" s="7"/>
      <c r="I33" s="7"/>
      <c r="J33" s="9" t="str">
        <f t="shared" si="18"/>
        <v/>
      </c>
      <c r="K33" s="28"/>
      <c r="L33" s="28"/>
      <c r="M33" s="9" t="str">
        <f t="shared" si="19"/>
        <v/>
      </c>
      <c r="N33" s="7"/>
      <c r="O33" s="15"/>
      <c r="P33" s="9" t="str">
        <f t="shared" si="12"/>
        <v/>
      </c>
      <c r="Q33" s="15"/>
      <c r="R33" s="7"/>
      <c r="S33" s="7"/>
      <c r="T33" s="5"/>
      <c r="U33" s="10" t="str">
        <f t="shared" si="13"/>
        <v/>
      </c>
      <c r="V33" s="9" t="str">
        <f t="shared" si="20"/>
        <v/>
      </c>
      <c r="W33" s="11" t="str">
        <f t="shared" si="21"/>
        <v/>
      </c>
      <c r="X33" s="11" t="str">
        <f t="shared" si="22"/>
        <v/>
      </c>
    </row>
    <row r="34" spans="1:24" hidden="1">
      <c r="A34" s="29"/>
      <c r="B34" s="5"/>
      <c r="C34" s="5"/>
      <c r="D34" s="6" t="str">
        <f t="shared" si="17"/>
        <v/>
      </c>
      <c r="E34" s="7"/>
      <c r="F34" s="7"/>
      <c r="G34" s="8" t="str">
        <f t="shared" si="11"/>
        <v/>
      </c>
      <c r="H34" s="7"/>
      <c r="I34" s="7"/>
      <c r="J34" s="9" t="str">
        <f t="shared" si="18"/>
        <v/>
      </c>
      <c r="K34" s="28"/>
      <c r="L34" s="28"/>
      <c r="M34" s="9" t="str">
        <f t="shared" si="19"/>
        <v/>
      </c>
      <c r="N34" s="7"/>
      <c r="O34" s="15"/>
      <c r="P34" s="9" t="str">
        <f t="shared" si="12"/>
        <v/>
      </c>
      <c r="Q34" s="15"/>
      <c r="R34" s="7"/>
      <c r="S34" s="7"/>
      <c r="T34" s="5"/>
      <c r="U34" s="10" t="str">
        <f t="shared" si="13"/>
        <v/>
      </c>
      <c r="V34" s="9" t="str">
        <f t="shared" si="20"/>
        <v/>
      </c>
      <c r="W34" s="11" t="str">
        <f t="shared" si="21"/>
        <v/>
      </c>
      <c r="X34" s="11" t="str">
        <f t="shared" si="22"/>
        <v/>
      </c>
    </row>
    <row r="35" spans="1:24" hidden="1">
      <c r="A35" s="29"/>
      <c r="B35" s="5"/>
      <c r="C35" s="5"/>
      <c r="D35" s="6" t="str">
        <f t="shared" si="17"/>
        <v/>
      </c>
      <c r="E35" s="7"/>
      <c r="F35" s="7"/>
      <c r="G35" s="8" t="str">
        <f t="shared" si="11"/>
        <v/>
      </c>
      <c r="H35" s="7"/>
      <c r="I35" s="7"/>
      <c r="J35" s="9" t="str">
        <f t="shared" si="18"/>
        <v/>
      </c>
      <c r="K35" s="28"/>
      <c r="L35" s="28"/>
      <c r="M35" s="9" t="str">
        <f t="shared" si="19"/>
        <v/>
      </c>
      <c r="N35" s="7"/>
      <c r="O35" s="15"/>
      <c r="P35" s="9" t="str">
        <f t="shared" si="12"/>
        <v/>
      </c>
      <c r="Q35" s="15"/>
      <c r="R35" s="7"/>
      <c r="S35" s="7"/>
      <c r="T35" s="5"/>
      <c r="U35" s="10" t="str">
        <f t="shared" si="13"/>
        <v/>
      </c>
      <c r="V35" s="9" t="str">
        <f t="shared" si="20"/>
        <v/>
      </c>
      <c r="W35" s="11" t="str">
        <f t="shared" si="21"/>
        <v/>
      </c>
      <c r="X35" s="11" t="str">
        <f t="shared" si="22"/>
        <v/>
      </c>
    </row>
    <row r="36" spans="1:24" hidden="1">
      <c r="A36" s="29"/>
      <c r="B36" s="5"/>
      <c r="C36" s="5"/>
      <c r="D36" s="6" t="str">
        <f t="shared" si="17"/>
        <v/>
      </c>
      <c r="E36" s="7"/>
      <c r="F36" s="7"/>
      <c r="G36" s="8" t="str">
        <f t="shared" si="11"/>
        <v/>
      </c>
      <c r="H36" s="7"/>
      <c r="I36" s="7"/>
      <c r="J36" s="9" t="str">
        <f t="shared" si="18"/>
        <v/>
      </c>
      <c r="K36" s="28"/>
      <c r="L36" s="28"/>
      <c r="M36" s="9" t="str">
        <f t="shared" si="19"/>
        <v/>
      </c>
      <c r="N36" s="7"/>
      <c r="O36" s="15"/>
      <c r="P36" s="9" t="str">
        <f t="shared" si="12"/>
        <v/>
      </c>
      <c r="Q36" s="15"/>
      <c r="R36" s="7"/>
      <c r="S36" s="7"/>
      <c r="T36" s="5"/>
      <c r="U36" s="10" t="str">
        <f t="shared" si="13"/>
        <v/>
      </c>
      <c r="V36" s="9" t="str">
        <f t="shared" si="20"/>
        <v/>
      </c>
      <c r="W36" s="11" t="str">
        <f t="shared" si="21"/>
        <v/>
      </c>
      <c r="X36" s="11" t="str">
        <f t="shared" si="22"/>
        <v/>
      </c>
    </row>
    <row r="37" spans="1:24" ht="15.75" hidden="1" thickBot="1">
      <c r="A37" s="29"/>
      <c r="B37" s="5"/>
      <c r="C37" s="5"/>
      <c r="D37" s="6" t="str">
        <f t="shared" si="17"/>
        <v/>
      </c>
      <c r="E37" s="7"/>
      <c r="F37" s="7"/>
      <c r="G37" s="8" t="str">
        <f t="shared" si="11"/>
        <v/>
      </c>
      <c r="H37" s="7"/>
      <c r="I37" s="7"/>
      <c r="J37" s="9" t="str">
        <f t="shared" si="18"/>
        <v/>
      </c>
      <c r="K37" s="28"/>
      <c r="L37" s="28"/>
      <c r="M37" s="9" t="str">
        <f t="shared" si="19"/>
        <v/>
      </c>
      <c r="N37" s="7"/>
      <c r="O37" s="15"/>
      <c r="P37" s="9" t="str">
        <f t="shared" si="12"/>
        <v/>
      </c>
      <c r="Q37" s="7"/>
      <c r="R37" s="7"/>
      <c r="S37" s="7"/>
      <c r="T37" s="5"/>
      <c r="U37" s="10" t="str">
        <f t="shared" si="13"/>
        <v/>
      </c>
      <c r="V37" s="9" t="str">
        <f t="shared" si="20"/>
        <v/>
      </c>
      <c r="W37" s="11" t="str">
        <f t="shared" si="21"/>
        <v/>
      </c>
      <c r="X37" s="11" t="str">
        <f t="shared" si="22"/>
        <v/>
      </c>
    </row>
    <row r="38" spans="1:24" s="43" customFormat="1" ht="19.5" thickBot="1">
      <c r="A38" s="31"/>
      <c r="B38" s="32" t="s">
        <v>41</v>
      </c>
      <c r="C38" s="32"/>
      <c r="D38" s="33">
        <f>SUM(D3:D37)</f>
        <v>19912.000000008848</v>
      </c>
      <c r="E38" s="33">
        <f>SUM(E3:E37)</f>
        <v>705</v>
      </c>
      <c r="F38" s="33">
        <f>SUM(F3:F37)</f>
        <v>1001</v>
      </c>
      <c r="G38" s="33">
        <f>SUM(G3:G37)</f>
        <v>296</v>
      </c>
      <c r="H38" s="33">
        <f>SUM(H2:H37)</f>
        <v>2305</v>
      </c>
      <c r="I38" s="33">
        <f>SUM(I3:I37)</f>
        <v>1107</v>
      </c>
      <c r="J38" s="34">
        <f>(D38-G38-H38-I38)/D38</f>
        <v>0.81378063479317231</v>
      </c>
      <c r="K38" s="35">
        <f>SUM(K3:K37)</f>
        <v>20</v>
      </c>
      <c r="L38" s="35">
        <f>SUM(L3:L37)</f>
        <v>2291</v>
      </c>
      <c r="M38" s="36">
        <f>(D38-G38-H38-I38-E38-K38-L38)/D38</f>
        <v>0.66231418240272133</v>
      </c>
      <c r="N38" s="37">
        <f>AVERAGE(N3:N37)</f>
        <v>17000</v>
      </c>
      <c r="O38" s="38">
        <f>AVERAGE(O3:O37)</f>
        <v>15389.277802889035</v>
      </c>
      <c r="P38" s="34">
        <f>O38/N38</f>
        <v>0.90525163546406084</v>
      </c>
      <c r="Q38" s="37">
        <f>SUM(Q3:Q35)</f>
        <v>110564</v>
      </c>
      <c r="R38" s="37"/>
      <c r="S38" s="32"/>
      <c r="T38" s="32"/>
      <c r="U38" s="39"/>
      <c r="V38" s="40">
        <f>AVERAGE(V3:V37)</f>
        <v>0.99669934007271688</v>
      </c>
      <c r="W38" s="40">
        <f>AVERAGE(W3:W37)</f>
        <v>0.73946902404390458</v>
      </c>
      <c r="X38" s="42">
        <f>V38*P38*M38</f>
        <v>0.59758204985496943</v>
      </c>
    </row>
    <row r="39" spans="1:24" ht="28.5">
      <c r="Q39" s="66"/>
      <c r="R39" s="66"/>
      <c r="S39" s="44"/>
      <c r="T39" s="45"/>
      <c r="U39" s="22"/>
      <c r="V39" s="16"/>
    </row>
    <row r="40" spans="1:24" ht="28.5">
      <c r="C40" t="s">
        <v>101</v>
      </c>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f>W38</f>
        <v>0.73946902404390458</v>
      </c>
      <c r="E47" s="18">
        <f>100%-D47</f>
        <v>0.26053097595609542</v>
      </c>
    </row>
    <row r="48" spans="1:24">
      <c r="C48" s="4" t="s">
        <v>143</v>
      </c>
      <c r="D48" s="16">
        <f>J38</f>
        <v>0.81378063479317231</v>
      </c>
      <c r="E48" s="18">
        <f>100%-D48</f>
        <v>0.18621936520682769</v>
      </c>
    </row>
    <row r="49" spans="3:5">
      <c r="C49" s="4" t="s">
        <v>17</v>
      </c>
      <c r="D49" s="16">
        <f>P38</f>
        <v>0.90525163546406084</v>
      </c>
      <c r="E49" s="18">
        <f>100%-D49</f>
        <v>9.4748364535939156E-2</v>
      </c>
    </row>
    <row r="50" spans="3:5">
      <c r="C50" s="4" t="str">
        <f>V2</f>
        <v>Quality</v>
      </c>
      <c r="D50" s="16">
        <f>V38</f>
        <v>0.99669934007271688</v>
      </c>
      <c r="E50" s="18">
        <f>100%-D50</f>
        <v>3.3006599272831227E-3</v>
      </c>
    </row>
  </sheetData>
  <mergeCells count="2">
    <mergeCell ref="Q39:R39"/>
    <mergeCell ref="R41:S41"/>
  </mergeCells>
  <pageMargins left="0.7" right="0.7" top="0.75" bottom="0.75" header="0.3" footer="0.3"/>
  <pageSetup paperSize="5" scale="4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50"/>
  <sheetViews>
    <sheetView tabSelected="1" topLeftCell="H1" zoomScale="98" zoomScaleNormal="98" workbookViewId="0">
      <selection activeCell="R12" sqref="R12"/>
    </sheetView>
  </sheetViews>
  <sheetFormatPr defaultColWidth="9.140625" defaultRowHeight="15"/>
  <cols>
    <col min="1" max="1" width="78.855468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8" max="18" width="9.140625" bestFit="1"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144</v>
      </c>
      <c r="B3" s="5">
        <v>46296.34375</v>
      </c>
      <c r="C3" s="5">
        <v>46296.9</v>
      </c>
      <c r="D3" s="6">
        <f t="shared" ref="D3:D37" si="0">IF(B3="","",(C3-B3)*24*60)</f>
        <v>801.00000000209548</v>
      </c>
      <c r="E3" s="7">
        <v>100</v>
      </c>
      <c r="F3" s="7">
        <v>93</v>
      </c>
      <c r="G3" s="8">
        <f t="shared" ref="G3:G37" si="1">IF(E3="","",F3-E3)</f>
        <v>-7</v>
      </c>
      <c r="H3" s="7">
        <f>5+8</f>
        <v>13</v>
      </c>
      <c r="I3" s="7">
        <f>4+2+2+4+1+2+3+2+4+2+3+3+3+2+2+2+1+2+3+1+3+2+4+3+1+2</f>
        <v>63</v>
      </c>
      <c r="J3" s="9">
        <f>IF(B3="","",(D3-G3-H3-I3)/D3)</f>
        <v>0.91385767790284711</v>
      </c>
      <c r="K3" s="28">
        <v>0</v>
      </c>
      <c r="L3" s="28">
        <f>2+7+4+2</f>
        <v>15</v>
      </c>
      <c r="M3" s="9">
        <f>IF(B3="","",(D3-G3-H3-I3-K3-L3-E3)/D3)</f>
        <v>0.77028714107425889</v>
      </c>
      <c r="N3" s="7">
        <v>17000</v>
      </c>
      <c r="O3" s="15">
        <f>AVERAGE(15000,15500,15500,15500,15500,15500,15000,15000,15000,15000,15000,15000)</f>
        <v>15208.333333333334</v>
      </c>
      <c r="P3" s="9">
        <f t="shared" ref="P3:P37" si="2">IF(B3="","",O3/N3)</f>
        <v>0.89460784313725494</v>
      </c>
      <c r="Q3" s="7">
        <v>5484</v>
      </c>
      <c r="R3" s="7">
        <v>4</v>
      </c>
      <c r="S3" s="7"/>
      <c r="T3" s="5"/>
      <c r="U3" s="10" t="str">
        <f>IF(S3="","",(T3-C3))</f>
        <v/>
      </c>
      <c r="V3" s="9">
        <f>IF(B3="","",IF(U3&lt;3,(Q3-R3)/Q3,(Q3-R3-S3)/Q3))</f>
        <v>0.99927060539752011</v>
      </c>
      <c r="W3" s="11">
        <f>IF(B3="","",V3*P3*J3)</f>
        <v>0.81694793380264641</v>
      </c>
      <c r="X3" s="11">
        <f>IF(B3="","",V3*P3*M3)</f>
        <v>0.68860228846516636</v>
      </c>
    </row>
    <row r="4" spans="1:24">
      <c r="A4" s="27" t="s">
        <v>76</v>
      </c>
      <c r="B4" s="5">
        <v>46297.357638888891</v>
      </c>
      <c r="C4" s="5">
        <v>46297.79791666667</v>
      </c>
      <c r="D4" s="6">
        <f t="shared" si="0"/>
        <v>634.00000000256114</v>
      </c>
      <c r="E4" s="7">
        <v>10</v>
      </c>
      <c r="F4" s="7">
        <v>9</v>
      </c>
      <c r="G4" s="8">
        <f t="shared" si="1"/>
        <v>-1</v>
      </c>
      <c r="H4" s="7">
        <f>6+5+5+16+5</f>
        <v>37</v>
      </c>
      <c r="I4" s="7">
        <f>3+3+3+3+3+4+4+2+2+4+1+1+2+1+1+2+2+1+1+2+1</f>
        <v>46</v>
      </c>
      <c r="J4" s="9">
        <f t="shared" ref="J4:J37" si="3">IF(B4="","",(D4-G4-H4-I4)/D4)</f>
        <v>0.87066246056834584</v>
      </c>
      <c r="K4" s="28">
        <v>0</v>
      </c>
      <c r="L4" s="28">
        <f>4+7+5+2+2+5+3+2</f>
        <v>30</v>
      </c>
      <c r="M4" s="9">
        <f t="shared" ref="M4:M37" si="4">IF(B4="","",(D4-G4-H4-I4-K4-L4-E4)/D4)</f>
        <v>0.80757097791875843</v>
      </c>
      <c r="N4" s="7">
        <v>17000</v>
      </c>
      <c r="O4" s="15">
        <f>AVERAGE(15000,15000,16000,16000,15000,15000,15000,15000,15000,15000)</f>
        <v>15200</v>
      </c>
      <c r="P4" s="9">
        <f t="shared" si="2"/>
        <v>0.89411764705882357</v>
      </c>
      <c r="Q4" s="7">
        <v>4296</v>
      </c>
      <c r="R4" s="7">
        <v>9</v>
      </c>
      <c r="S4" s="7"/>
      <c r="T4" s="5"/>
      <c r="U4" s="10" t="str">
        <f t="shared" ref="U4:U37" si="5">IF(S4="","",(T4-C4))</f>
        <v/>
      </c>
      <c r="V4" s="9">
        <f t="shared" ref="V4:V37" si="6">IF(B4="","",IF(U4&lt;3,(Q4-R4)/Q4,(Q4-R4-S4)/Q4))</f>
        <v>0.99790502793296088</v>
      </c>
      <c r="W4" s="11">
        <f t="shared" ref="W4:W37" si="7">IF(B4="","",V4*P4*J4)</f>
        <v>0.77684378793595654</v>
      </c>
      <c r="X4" s="11">
        <f t="shared" ref="X4:X37" si="8">IF(B4="","",V4*P4*M4)</f>
        <v>0.72055075982491645</v>
      </c>
    </row>
    <row r="5" spans="1:24">
      <c r="A5" s="29" t="s">
        <v>26</v>
      </c>
      <c r="B5" s="5">
        <v>46300.400694444441</v>
      </c>
      <c r="C5" s="5">
        <v>46300.894444444442</v>
      </c>
      <c r="D5" s="6">
        <f t="shared" si="0"/>
        <v>711.00000000209548</v>
      </c>
      <c r="E5" s="7">
        <v>0</v>
      </c>
      <c r="F5" s="7">
        <v>0</v>
      </c>
      <c r="G5" s="8">
        <f t="shared" si="1"/>
        <v>0</v>
      </c>
      <c r="H5" s="7">
        <f>10+5+12+6+6+5+8+8+7+25+17+5+12</f>
        <v>126</v>
      </c>
      <c r="I5" s="7">
        <f>2+2+1+3+1+1+3+2+1+3+2+2+2+2+1+4+1</f>
        <v>33</v>
      </c>
      <c r="J5" s="9">
        <f t="shared" si="3"/>
        <v>0.77637130801753673</v>
      </c>
      <c r="K5" s="28">
        <v>0</v>
      </c>
      <c r="L5" s="28">
        <f>3</f>
        <v>3</v>
      </c>
      <c r="M5" s="9">
        <f t="shared" si="4"/>
        <v>0.77215189873484869</v>
      </c>
      <c r="N5" s="7">
        <v>17000</v>
      </c>
      <c r="O5" s="15">
        <f>AVERAGE(15500,15500,17000,17000,17000,15200,15200,15200,15200,15200,15200)</f>
        <v>15745.454545454546</v>
      </c>
      <c r="P5" s="9">
        <f t="shared" si="2"/>
        <v>0.92620320855614979</v>
      </c>
      <c r="Q5" s="7">
        <v>4947</v>
      </c>
      <c r="R5" s="7">
        <v>13</v>
      </c>
      <c r="S5" s="7"/>
      <c r="T5" s="5"/>
      <c r="U5" s="10" t="str">
        <f t="shared" si="5"/>
        <v/>
      </c>
      <c r="V5" s="9">
        <f t="shared" si="6"/>
        <v>0.99737214473418234</v>
      </c>
      <c r="W5" s="11">
        <f t="shared" si="7"/>
        <v>0.71718796466823931</v>
      </c>
      <c r="X5" s="11">
        <f t="shared" si="8"/>
        <v>0.71329020399070919</v>
      </c>
    </row>
    <row r="6" spans="1:24">
      <c r="A6" s="29" t="s">
        <v>26</v>
      </c>
      <c r="B6" s="5">
        <v>46301.357638888891</v>
      </c>
      <c r="C6" s="5">
        <v>46301.895833333336</v>
      </c>
      <c r="D6" s="6">
        <f>IF(B6="","",(C6-B6)*24*60)</f>
        <v>775.00000000116415</v>
      </c>
      <c r="E6" s="7">
        <v>0</v>
      </c>
      <c r="F6" s="7">
        <v>0</v>
      </c>
      <c r="G6" s="8">
        <f>IF(E6="","",F6-E6)</f>
        <v>0</v>
      </c>
      <c r="H6" s="7">
        <f>6+5+5+5+11</f>
        <v>32</v>
      </c>
      <c r="I6" s="7">
        <f>4+1+3+4+4+2+3+2+2+2+1+3+3+1+4+2+3</f>
        <v>44</v>
      </c>
      <c r="J6" s="9">
        <f>IF(B6="","",(D6-G6-H6-I6)/D6)</f>
        <v>0.901935483871115</v>
      </c>
      <c r="K6" s="28">
        <v>0</v>
      </c>
      <c r="L6" s="28">
        <f>9+12+2+2+3+9+4+3+3+4+7+5</f>
        <v>63</v>
      </c>
      <c r="M6" s="9">
        <f>IF(B6="","",(D6-G6-H6-I6-K6-L6-E6)/D6)</f>
        <v>0.82064516129059195</v>
      </c>
      <c r="N6" s="7">
        <v>17000</v>
      </c>
      <c r="O6" s="15">
        <f>AVERAGE(15200,15200,15200,15200,15500,15500,15000,15000,15000,15000,15000,15000)</f>
        <v>15150</v>
      </c>
      <c r="P6" s="9">
        <f>IF(B6="","",O6/N6)</f>
        <v>0.89117647058823535</v>
      </c>
      <c r="Q6" s="7">
        <v>5412</v>
      </c>
      <c r="R6" s="7">
        <v>21</v>
      </c>
      <c r="S6" s="7"/>
      <c r="T6" s="5"/>
      <c r="U6" s="10" t="str">
        <f>IF(S6="","",(T6-C6))</f>
        <v/>
      </c>
      <c r="V6" s="9">
        <f>IF(B6="","",IF(U6&lt;3,(Q6-R6)/Q6,(Q6-R6-S6)/Q6))</f>
        <v>0.99611973392461195</v>
      </c>
      <c r="W6" s="11">
        <f>IF(B6="","",V6*P6*J6)</f>
        <v>0.80066478666438512</v>
      </c>
      <c r="X6" s="11">
        <f>IF(B6="","",V6*P6*M6)</f>
        <v>0.72850186597801569</v>
      </c>
    </row>
    <row r="7" spans="1:24">
      <c r="A7" s="29" t="s">
        <v>26</v>
      </c>
      <c r="B7" s="5">
        <v>46302.347222222219</v>
      </c>
      <c r="C7" s="5">
        <v>46302.872916666667</v>
      </c>
      <c r="D7" s="6">
        <f t="shared" si="0"/>
        <v>757.0000000053551</v>
      </c>
      <c r="E7" s="7">
        <v>0</v>
      </c>
      <c r="F7" s="7">
        <v>0</v>
      </c>
      <c r="G7" s="8">
        <f t="shared" si="1"/>
        <v>0</v>
      </c>
      <c r="H7" s="7">
        <f>5+7+7</f>
        <v>19</v>
      </c>
      <c r="I7" s="7">
        <f>2+2+2+3+1+4+3+4+3+2+3+2+3+1+1+2+2+2+2+2+3+2+4+4+2+1+1+1+3+2+3+2+2+1+2+2</f>
        <v>81</v>
      </c>
      <c r="J7" s="9">
        <f t="shared" si="3"/>
        <v>0.86789960369974561</v>
      </c>
      <c r="K7" s="28">
        <v>0</v>
      </c>
      <c r="L7" s="28">
        <f>4+4+3+3+3+2+4</f>
        <v>23</v>
      </c>
      <c r="M7" s="9">
        <f t="shared" si="4"/>
        <v>0.83751651255068704</v>
      </c>
      <c r="N7" s="7">
        <v>17000</v>
      </c>
      <c r="O7" s="15">
        <f>AVERAGE(17000,17000,18000,18000,17000,17000,16500,17000,18000,15000,15000,15000)</f>
        <v>16708.333333333332</v>
      </c>
      <c r="P7" s="9">
        <f t="shared" si="2"/>
        <v>0.98284313725490191</v>
      </c>
      <c r="Q7" s="15">
        <v>6158</v>
      </c>
      <c r="R7" s="15">
        <v>11</v>
      </c>
      <c r="S7" s="7"/>
      <c r="T7" s="5"/>
      <c r="U7" s="10" t="str">
        <f t="shared" si="5"/>
        <v/>
      </c>
      <c r="V7" s="9">
        <f t="shared" si="6"/>
        <v>0.99821370574861967</v>
      </c>
      <c r="W7" s="11">
        <f t="shared" si="7"/>
        <v>0.85148544394700854</v>
      </c>
      <c r="X7" s="11">
        <f t="shared" si="8"/>
        <v>0.82167697330679301</v>
      </c>
    </row>
    <row r="8" spans="1:24">
      <c r="A8" s="29" t="s">
        <v>31</v>
      </c>
      <c r="B8" s="5">
        <v>46303.333333333336</v>
      </c>
      <c r="C8" s="5">
        <v>46303.907638888886</v>
      </c>
      <c r="D8" s="6">
        <f t="shared" si="0"/>
        <v>826.99999999254942</v>
      </c>
      <c r="E8" s="7">
        <v>10</v>
      </c>
      <c r="F8" s="7">
        <v>12</v>
      </c>
      <c r="G8" s="8">
        <f t="shared" si="1"/>
        <v>2</v>
      </c>
      <c r="H8" s="7">
        <f>6+5+6+15+8+8+16+8+7+7+7+5</f>
        <v>98</v>
      </c>
      <c r="I8" s="47">
        <f>1+4+3+1+2+1+1+1+1+1+2+1+1+1+2+2+2+2+2+2+2+2+3+3+2+2+2+2+2+3+2+4</f>
        <v>62</v>
      </c>
      <c r="J8" s="9">
        <f t="shared" si="3"/>
        <v>0.80411124546377333</v>
      </c>
      <c r="K8" s="28">
        <v>0</v>
      </c>
      <c r="L8" s="28">
        <f>3+2+1+7+13+7+3+4</f>
        <v>40</v>
      </c>
      <c r="M8" s="9">
        <f t="shared" si="4"/>
        <v>0.74365175332296263</v>
      </c>
      <c r="N8" s="7">
        <v>17000</v>
      </c>
      <c r="O8" s="15">
        <f>AVERAGE(15000,15000,16000,15000,14000,16000,18000,18000,18000,18000,15500,15500,15500,15500)</f>
        <v>16071.428571428571</v>
      </c>
      <c r="P8" s="9">
        <f t="shared" si="2"/>
        <v>0.94537815126050417</v>
      </c>
      <c r="Q8" s="15">
        <v>5473</v>
      </c>
      <c r="R8" s="15">
        <v>24</v>
      </c>
      <c r="S8" s="7"/>
      <c r="T8" s="5"/>
      <c r="U8" s="10" t="str">
        <f t="shared" si="5"/>
        <v/>
      </c>
      <c r="V8" s="9">
        <f t="shared" si="6"/>
        <v>0.99561483646994331</v>
      </c>
      <c r="W8" s="11">
        <f t="shared" si="7"/>
        <v>0.75685564867694477</v>
      </c>
      <c r="X8" s="11">
        <f t="shared" si="8"/>
        <v>0.69994920892616097</v>
      </c>
    </row>
    <row r="9" spans="1:24">
      <c r="A9" s="29" t="s">
        <v>53</v>
      </c>
      <c r="B9" s="5">
        <v>46304.345833333333</v>
      </c>
      <c r="C9" s="5">
        <v>46304.791666666664</v>
      </c>
      <c r="D9" s="6">
        <f t="shared" si="0"/>
        <v>641.99999999720603</v>
      </c>
      <c r="E9" s="7">
        <v>0</v>
      </c>
      <c r="F9" s="7">
        <v>0</v>
      </c>
      <c r="G9" s="8">
        <f t="shared" si="1"/>
        <v>0</v>
      </c>
      <c r="H9" s="7">
        <f>16+6+5+6+23+14+6</f>
        <v>76</v>
      </c>
      <c r="I9" s="7">
        <f>1+1+2+2+3+2+1+5+3+2+1+4+2+2+1+3+2+1+2+2+2+2+1</f>
        <v>47</v>
      </c>
      <c r="J9" s="9">
        <f t="shared" si="3"/>
        <v>0.80841121495243728</v>
      </c>
      <c r="K9" s="28">
        <v>0</v>
      </c>
      <c r="L9" s="28">
        <f>2+2</f>
        <v>4</v>
      </c>
      <c r="M9" s="9">
        <f t="shared" si="4"/>
        <v>0.80218068535739451</v>
      </c>
      <c r="N9" s="7">
        <v>17000</v>
      </c>
      <c r="O9" s="15">
        <f>AVERAGE(15000,16000,16000,16000,15500,15000,15000,15500,15000)</f>
        <v>15444.444444444445</v>
      </c>
      <c r="P9" s="9">
        <f t="shared" si="2"/>
        <v>0.90849673202614389</v>
      </c>
      <c r="Q9" s="15">
        <v>4674</v>
      </c>
      <c r="R9" s="15">
        <v>9</v>
      </c>
      <c r="S9" s="7"/>
      <c r="T9" s="5"/>
      <c r="U9" s="10" t="str">
        <f t="shared" si="5"/>
        <v/>
      </c>
      <c r="V9" s="9">
        <f t="shared" si="6"/>
        <v>0.99807445442875486</v>
      </c>
      <c r="W9" s="11">
        <f t="shared" si="7"/>
        <v>0.73302475125598676</v>
      </c>
      <c r="X9" s="11">
        <f t="shared" si="8"/>
        <v>0.72737523486862687</v>
      </c>
    </row>
    <row r="10" spans="1:24">
      <c r="A10" s="29" t="s">
        <v>145</v>
      </c>
      <c r="B10" s="5">
        <v>46307.388194444444</v>
      </c>
      <c r="C10" s="5">
        <v>46308</v>
      </c>
      <c r="D10" s="6">
        <f>IF(B10="","",(C10-B10)*24*60)</f>
        <v>881.00000000093132</v>
      </c>
      <c r="E10" s="7">
        <v>60</v>
      </c>
      <c r="F10" s="7">
        <v>112</v>
      </c>
      <c r="G10" s="8">
        <f t="shared" si="1"/>
        <v>52</v>
      </c>
      <c r="H10" s="7">
        <f>11+20+11+5+5+25+9+5+6+6+6+5+5</f>
        <v>119</v>
      </c>
      <c r="I10" s="7">
        <f>2+3+1+2+2+4+1+4</f>
        <v>19</v>
      </c>
      <c r="J10" s="9">
        <f t="shared" si="3"/>
        <v>0.78433598183904751</v>
      </c>
      <c r="K10" s="28">
        <v>0</v>
      </c>
      <c r="L10" s="28">
        <f>2+40+13+7+20+60+5+23+9</f>
        <v>179</v>
      </c>
      <c r="M10" s="9">
        <f>IF(B10="","",(D10-G10-H10-I10-K10-L10-E10)/D10)</f>
        <v>0.51305334846816519</v>
      </c>
      <c r="N10" s="7">
        <v>17000</v>
      </c>
      <c r="O10" s="15">
        <f>AVERAGE(16000,15000,15000,15000,16000,17000,16000,17000)</f>
        <v>15875</v>
      </c>
      <c r="P10" s="9">
        <f t="shared" si="2"/>
        <v>0.93382352941176472</v>
      </c>
      <c r="Q10" s="15">
        <v>3593</v>
      </c>
      <c r="R10" s="15">
        <v>17</v>
      </c>
      <c r="S10" s="7"/>
      <c r="T10" s="5"/>
      <c r="U10" s="10" t="str">
        <f t="shared" si="5"/>
        <v/>
      </c>
      <c r="V10" s="9">
        <f t="shared" si="6"/>
        <v>0.99526857779014755</v>
      </c>
      <c r="W10" s="11">
        <f t="shared" si="7"/>
        <v>0.72896595263700481</v>
      </c>
      <c r="X10" s="11">
        <f t="shared" si="8"/>
        <v>0.47683445816521131</v>
      </c>
    </row>
    <row r="11" spans="1:24">
      <c r="A11" s="29" t="s">
        <v>146</v>
      </c>
      <c r="B11" s="5">
        <v>46308.036805555559</v>
      </c>
      <c r="C11" s="5">
        <v>46309</v>
      </c>
      <c r="D11" s="6">
        <f t="shared" si="0"/>
        <v>1386.9999999948777</v>
      </c>
      <c r="E11" s="7">
        <v>30</v>
      </c>
      <c r="F11" s="7">
        <v>85</v>
      </c>
      <c r="G11" s="8">
        <f t="shared" si="1"/>
        <v>55</v>
      </c>
      <c r="H11" s="7">
        <f>9+8+13+30+5+7+60+7+5+8+6+19+10+30+27+7</f>
        <v>251</v>
      </c>
      <c r="I11" s="7">
        <f>3+4+4+2+4+3+2+2+1+2+3+2+1+1+2+2+2+1+1+1+1+2+1+2+1+1+2+1+1+4+2+3+3+1+2+4+3+3+3+1+4+2+3</f>
        <v>93</v>
      </c>
      <c r="J11" s="9">
        <f t="shared" si="3"/>
        <v>0.71232876712222526</v>
      </c>
      <c r="K11" s="28">
        <v>0</v>
      </c>
      <c r="L11" s="28">
        <f>12+24+18+3+1+1+4+5</f>
        <v>68</v>
      </c>
      <c r="M11" s="9">
        <f>IF(B11="","",(D11-G11-H11-I11-K11-L11-E11)/D11)</f>
        <v>0.64167267483645607</v>
      </c>
      <c r="N11" s="7">
        <v>17000</v>
      </c>
      <c r="O11" s="15">
        <f>AVERAGE(15000,15000,15000,15000,15000,15000,15000,15000,15000,15000,15000,15000,15000,15000,15000,15000,15000,16000,16000,16000)</f>
        <v>15150</v>
      </c>
      <c r="P11" s="9">
        <f t="shared" si="2"/>
        <v>0.89117647058823535</v>
      </c>
      <c r="Q11" s="15">
        <v>8619</v>
      </c>
      <c r="R11" s="15">
        <v>10</v>
      </c>
      <c r="S11" s="7"/>
      <c r="T11" s="5"/>
      <c r="U11" s="10" t="str">
        <f t="shared" si="5"/>
        <v/>
      </c>
      <c r="V11" s="9">
        <f t="shared" si="6"/>
        <v>0.99883977259542867</v>
      </c>
      <c r="W11" s="11">
        <f t="shared" si="7"/>
        <v>0.63407411188517737</v>
      </c>
      <c r="X11" s="11">
        <f t="shared" si="8"/>
        <v>0.57118012102984395</v>
      </c>
    </row>
    <row r="12" spans="1:24">
      <c r="A12" s="29"/>
      <c r="B12" s="5"/>
      <c r="C12" s="5"/>
      <c r="D12" s="6" t="str">
        <f t="shared" si="0"/>
        <v/>
      </c>
      <c r="E12" s="7"/>
      <c r="F12" s="7"/>
      <c r="G12" s="8" t="str">
        <f t="shared" si="1"/>
        <v/>
      </c>
      <c r="H12" s="7"/>
      <c r="I12" s="7"/>
      <c r="J12" s="9" t="str">
        <f t="shared" si="3"/>
        <v/>
      </c>
      <c r="K12" s="28"/>
      <c r="L12" s="28"/>
      <c r="M12" s="9" t="str">
        <f t="shared" si="4"/>
        <v/>
      </c>
      <c r="N12" s="7"/>
      <c r="O12" s="15"/>
      <c r="P12" s="9" t="str">
        <f t="shared" si="2"/>
        <v/>
      </c>
      <c r="Q12" s="15"/>
      <c r="R12" s="15"/>
      <c r="S12" s="7"/>
      <c r="T12" s="5"/>
      <c r="U12" s="10" t="str">
        <f t="shared" si="5"/>
        <v/>
      </c>
      <c r="V12" s="9" t="str">
        <f t="shared" si="6"/>
        <v/>
      </c>
      <c r="W12" s="11" t="str">
        <f t="shared" si="7"/>
        <v/>
      </c>
      <c r="X12" s="11" t="str">
        <f t="shared" si="8"/>
        <v/>
      </c>
    </row>
    <row r="13" spans="1:24">
      <c r="A13" s="29"/>
      <c r="B13" s="5"/>
      <c r="C13" s="5"/>
      <c r="D13" s="6" t="str">
        <f t="shared" si="0"/>
        <v/>
      </c>
      <c r="E13" s="7"/>
      <c r="F13" s="7"/>
      <c r="G13" s="8" t="str">
        <f t="shared" si="1"/>
        <v/>
      </c>
      <c r="H13" s="7"/>
      <c r="I13" s="7"/>
      <c r="J13" s="9" t="str">
        <f t="shared" si="3"/>
        <v/>
      </c>
      <c r="K13" s="28"/>
      <c r="L13" s="28"/>
      <c r="M13" s="9" t="str">
        <f t="shared" si="4"/>
        <v/>
      </c>
      <c r="N13" s="7"/>
      <c r="O13" s="15"/>
      <c r="P13" s="9" t="str">
        <f t="shared" si="2"/>
        <v/>
      </c>
      <c r="Q13" s="15"/>
      <c r="R13" s="15"/>
      <c r="S13" s="7"/>
      <c r="T13" s="5"/>
      <c r="U13" s="10" t="str">
        <f t="shared" si="5"/>
        <v/>
      </c>
      <c r="V13" s="9" t="str">
        <f t="shared" si="6"/>
        <v/>
      </c>
      <c r="W13" s="11" t="str">
        <f t="shared" si="7"/>
        <v/>
      </c>
      <c r="X13" s="11" t="str">
        <f t="shared" si="8"/>
        <v/>
      </c>
    </row>
    <row r="14" spans="1:24">
      <c r="A14" s="29"/>
      <c r="B14" s="5"/>
      <c r="C14" s="5"/>
      <c r="D14" s="6" t="str">
        <f t="shared" si="0"/>
        <v/>
      </c>
      <c r="E14" s="7"/>
      <c r="F14" s="7"/>
      <c r="G14" s="8" t="str">
        <f t="shared" si="1"/>
        <v/>
      </c>
      <c r="H14" s="7"/>
      <c r="I14" s="7"/>
      <c r="J14" s="9" t="str">
        <f>IF(B14="","",(D14-G14-H14-I14)/D14)</f>
        <v/>
      </c>
      <c r="K14" s="28"/>
      <c r="L14" s="28"/>
      <c r="M14" s="9" t="str">
        <f t="shared" si="4"/>
        <v/>
      </c>
      <c r="N14" s="7"/>
      <c r="O14" s="15"/>
      <c r="P14" s="9" t="str">
        <f t="shared" si="2"/>
        <v/>
      </c>
      <c r="Q14" s="15"/>
      <c r="R14" s="15"/>
      <c r="S14" s="7"/>
      <c r="T14" s="5"/>
      <c r="U14" s="10" t="str">
        <f t="shared" si="5"/>
        <v/>
      </c>
      <c r="V14" s="9" t="str">
        <f t="shared" si="6"/>
        <v/>
      </c>
      <c r="W14" s="11" t="str">
        <f t="shared" si="7"/>
        <v/>
      </c>
      <c r="X14" s="11" t="str">
        <f t="shared" si="8"/>
        <v/>
      </c>
    </row>
    <row r="15" spans="1:24">
      <c r="A15" s="29"/>
      <c r="B15" s="5"/>
      <c r="C15" s="5"/>
      <c r="D15" s="6" t="str">
        <f t="shared" si="0"/>
        <v/>
      </c>
      <c r="E15" s="7"/>
      <c r="F15" s="7"/>
      <c r="G15" s="8" t="str">
        <f t="shared" si="1"/>
        <v/>
      </c>
      <c r="H15" s="7"/>
      <c r="I15" s="7"/>
      <c r="J15" s="9" t="str">
        <f t="shared" si="3"/>
        <v/>
      </c>
      <c r="K15" s="28"/>
      <c r="L15" s="28"/>
      <c r="M15" s="9" t="str">
        <f t="shared" si="4"/>
        <v/>
      </c>
      <c r="N15" s="7"/>
      <c r="O15" s="15"/>
      <c r="P15" s="9" t="str">
        <f t="shared" si="2"/>
        <v/>
      </c>
      <c r="Q15" s="15"/>
      <c r="R15" s="7"/>
      <c r="S15" s="7"/>
      <c r="T15" s="5"/>
      <c r="U15" s="10" t="str">
        <f t="shared" si="5"/>
        <v/>
      </c>
      <c r="V15" s="9" t="str">
        <f t="shared" si="6"/>
        <v/>
      </c>
      <c r="W15" s="11" t="str">
        <f t="shared" si="7"/>
        <v/>
      </c>
      <c r="X15" s="11" t="str">
        <f t="shared" si="8"/>
        <v/>
      </c>
    </row>
    <row r="16" spans="1:24">
      <c r="A16" s="29"/>
      <c r="B16" s="5"/>
      <c r="C16" s="5"/>
      <c r="D16" s="6" t="str">
        <f t="shared" si="0"/>
        <v/>
      </c>
      <c r="E16" s="7"/>
      <c r="F16" s="7"/>
      <c r="G16" s="8" t="str">
        <f t="shared" si="1"/>
        <v/>
      </c>
      <c r="H16" s="7"/>
      <c r="I16" s="7"/>
      <c r="J16" s="9" t="str">
        <f>IF(B16="","",(D16-G16-H16-I16)/D16)</f>
        <v/>
      </c>
      <c r="K16" s="28"/>
      <c r="L16" s="28"/>
      <c r="M16" s="9" t="str">
        <f t="shared" si="4"/>
        <v/>
      </c>
      <c r="N16" s="7"/>
      <c r="O16" s="15"/>
      <c r="P16" s="9" t="str">
        <f t="shared" si="2"/>
        <v/>
      </c>
      <c r="Q16" s="7"/>
      <c r="R16" s="7"/>
      <c r="S16" s="7"/>
      <c r="T16" s="5"/>
      <c r="U16" s="10" t="str">
        <f t="shared" si="5"/>
        <v/>
      </c>
      <c r="V16" s="9" t="str">
        <f t="shared" si="6"/>
        <v/>
      </c>
      <c r="W16" s="11" t="str">
        <f t="shared" si="7"/>
        <v/>
      </c>
      <c r="X16" s="11" t="str">
        <f t="shared" si="8"/>
        <v/>
      </c>
    </row>
    <row r="17" spans="1:24">
      <c r="A17" s="29"/>
      <c r="B17" s="5"/>
      <c r="C17" s="5"/>
      <c r="D17" s="6" t="str">
        <f t="shared" si="0"/>
        <v/>
      </c>
      <c r="E17" s="7"/>
      <c r="F17" s="7"/>
      <c r="G17" s="8" t="str">
        <f t="shared" si="1"/>
        <v/>
      </c>
      <c r="H17" s="7"/>
      <c r="I17" s="7"/>
      <c r="J17" s="9" t="str">
        <f>IF(B17="","",(D17-G17-H17-I17)/D17)</f>
        <v/>
      </c>
      <c r="K17" s="28"/>
      <c r="L17" s="28"/>
      <c r="M17" s="9" t="str">
        <f t="shared" si="4"/>
        <v/>
      </c>
      <c r="N17" s="7"/>
      <c r="O17" s="15"/>
      <c r="P17" s="9" t="str">
        <f t="shared" si="2"/>
        <v/>
      </c>
      <c r="Q17" s="7"/>
      <c r="R17" s="7"/>
      <c r="S17" s="7"/>
      <c r="T17" s="5"/>
      <c r="U17" s="10" t="str">
        <f t="shared" si="5"/>
        <v/>
      </c>
      <c r="V17" s="9" t="str">
        <f t="shared" si="6"/>
        <v/>
      </c>
      <c r="W17" s="11" t="str">
        <f t="shared" si="7"/>
        <v/>
      </c>
      <c r="X17" s="11" t="str">
        <f t="shared" si="8"/>
        <v/>
      </c>
    </row>
    <row r="18" spans="1:24">
      <c r="A18" s="29"/>
      <c r="B18" s="5"/>
      <c r="C18" s="5"/>
      <c r="D18" s="6" t="str">
        <f t="shared" si="0"/>
        <v/>
      </c>
      <c r="E18" s="7"/>
      <c r="F18" s="7"/>
      <c r="G18" s="8" t="str">
        <f t="shared" si="1"/>
        <v/>
      </c>
      <c r="H18" s="7"/>
      <c r="I18" s="7"/>
      <c r="J18" s="9" t="str">
        <f t="shared" si="3"/>
        <v/>
      </c>
      <c r="K18" s="28"/>
      <c r="L18" s="28"/>
      <c r="M18" s="9" t="str">
        <f t="shared" si="4"/>
        <v/>
      </c>
      <c r="N18" s="7"/>
      <c r="O18" s="15"/>
      <c r="P18" s="9" t="str">
        <f t="shared" si="2"/>
        <v/>
      </c>
      <c r="Q18" s="7"/>
      <c r="R18" s="7"/>
      <c r="S18" s="7"/>
      <c r="T18" s="5"/>
      <c r="U18" s="10" t="str">
        <f t="shared" si="5"/>
        <v/>
      </c>
      <c r="V18" s="9" t="str">
        <f t="shared" si="6"/>
        <v/>
      </c>
      <c r="W18" s="11" t="str">
        <f t="shared" si="7"/>
        <v/>
      </c>
      <c r="X18" s="11" t="str">
        <f t="shared" si="8"/>
        <v/>
      </c>
    </row>
    <row r="19" spans="1:24">
      <c r="A19" s="29"/>
      <c r="B19" s="5"/>
      <c r="C19" s="5"/>
      <c r="D19" s="6" t="str">
        <f t="shared" si="0"/>
        <v/>
      </c>
      <c r="E19" s="7"/>
      <c r="F19" s="7"/>
      <c r="G19" s="8" t="str">
        <f t="shared" si="1"/>
        <v/>
      </c>
      <c r="H19" s="7"/>
      <c r="I19" s="7"/>
      <c r="J19" s="9" t="str">
        <f t="shared" si="3"/>
        <v/>
      </c>
      <c r="K19" s="28"/>
      <c r="L19" s="28"/>
      <c r="M19" s="9" t="str">
        <f t="shared" si="4"/>
        <v/>
      </c>
      <c r="N19" s="7"/>
      <c r="O19" s="15"/>
      <c r="P19" s="9" t="str">
        <f t="shared" si="2"/>
        <v/>
      </c>
      <c r="Q19" s="15"/>
      <c r="R19" s="7"/>
      <c r="S19" s="7"/>
      <c r="T19" s="5"/>
      <c r="U19" s="10" t="str">
        <f t="shared" si="5"/>
        <v/>
      </c>
      <c r="V19" s="9" t="str">
        <f t="shared" si="6"/>
        <v/>
      </c>
      <c r="W19" s="11" t="str">
        <f t="shared" si="7"/>
        <v/>
      </c>
      <c r="X19" s="11" t="str">
        <f t="shared" si="8"/>
        <v/>
      </c>
    </row>
    <row r="20" spans="1:24">
      <c r="A20" s="29"/>
      <c r="B20" s="5"/>
      <c r="C20" s="5"/>
      <c r="D20" s="6" t="str">
        <f t="shared" si="0"/>
        <v/>
      </c>
      <c r="E20" s="7"/>
      <c r="F20" s="7"/>
      <c r="G20" s="8" t="str">
        <f t="shared" si="1"/>
        <v/>
      </c>
      <c r="H20" s="7"/>
      <c r="I20" s="7"/>
      <c r="J20" s="9" t="str">
        <f t="shared" si="3"/>
        <v/>
      </c>
      <c r="K20" s="28"/>
      <c r="L20" s="28"/>
      <c r="M20" s="9" t="str">
        <f t="shared" si="4"/>
        <v/>
      </c>
      <c r="N20" s="7"/>
      <c r="O20" s="30"/>
      <c r="P20" s="9" t="str">
        <f t="shared" si="2"/>
        <v/>
      </c>
      <c r="Q20" s="7"/>
      <c r="R20" s="7"/>
      <c r="S20" s="7"/>
      <c r="T20" s="5"/>
      <c r="U20" s="10" t="str">
        <f t="shared" si="5"/>
        <v/>
      </c>
      <c r="V20" s="9" t="str">
        <f t="shared" si="6"/>
        <v/>
      </c>
      <c r="W20" s="11" t="str">
        <f t="shared" si="7"/>
        <v/>
      </c>
      <c r="X20" s="11" t="str">
        <f t="shared" si="8"/>
        <v/>
      </c>
    </row>
    <row r="21" spans="1:24">
      <c r="A21" s="29"/>
      <c r="B21" s="5"/>
      <c r="C21" s="5"/>
      <c r="D21" s="6" t="str">
        <f t="shared" si="0"/>
        <v/>
      </c>
      <c r="E21" s="7"/>
      <c r="F21" s="7"/>
      <c r="G21" s="8" t="str">
        <f t="shared" si="1"/>
        <v/>
      </c>
      <c r="H21" s="7"/>
      <c r="I21" s="7"/>
      <c r="J21" s="9" t="str">
        <f t="shared" si="3"/>
        <v/>
      </c>
      <c r="K21" s="28"/>
      <c r="L21" s="28"/>
      <c r="M21" s="9" t="str">
        <f t="shared" si="4"/>
        <v/>
      </c>
      <c r="N21" s="7"/>
      <c r="O21" s="15"/>
      <c r="P21" s="9" t="str">
        <f t="shared" si="2"/>
        <v/>
      </c>
      <c r="Q21" s="7"/>
      <c r="R21" s="15"/>
      <c r="S21" s="7"/>
      <c r="T21" s="5"/>
      <c r="U21" s="10" t="str">
        <f t="shared" si="5"/>
        <v/>
      </c>
      <c r="V21" s="9" t="str">
        <f t="shared" si="6"/>
        <v/>
      </c>
      <c r="W21" s="11" t="str">
        <f t="shared" si="7"/>
        <v/>
      </c>
      <c r="X21" s="11" t="str">
        <f>IF(B21="","",V21*P21*M21)</f>
        <v/>
      </c>
    </row>
    <row r="22" spans="1:24">
      <c r="A22" s="29"/>
      <c r="B22" s="5"/>
      <c r="C22" s="5"/>
      <c r="D22" s="6" t="str">
        <f t="shared" si="0"/>
        <v/>
      </c>
      <c r="E22" s="7"/>
      <c r="F22" s="7"/>
      <c r="G22" s="8" t="str">
        <f t="shared" si="1"/>
        <v/>
      </c>
      <c r="H22" s="7"/>
      <c r="I22" s="7"/>
      <c r="J22" s="9" t="str">
        <f t="shared" si="3"/>
        <v/>
      </c>
      <c r="K22" s="28"/>
      <c r="L22" s="28"/>
      <c r="M22" s="9" t="str">
        <f t="shared" si="4"/>
        <v/>
      </c>
      <c r="N22" s="7"/>
      <c r="O22" s="30"/>
      <c r="P22" s="9" t="str">
        <f t="shared" si="2"/>
        <v/>
      </c>
      <c r="Q22" s="15"/>
      <c r="R22" s="7"/>
      <c r="S22" s="7"/>
      <c r="T22" s="5"/>
      <c r="U22" s="10" t="str">
        <f t="shared" si="5"/>
        <v/>
      </c>
      <c r="V22" s="9" t="str">
        <f t="shared" ref="V22" si="9">IF(B22="","",IF(U22&lt;3,(Q22-R22)/Q22,(Q22-R22-S22)/Q22))</f>
        <v/>
      </c>
      <c r="W22" s="11" t="str">
        <f t="shared" ref="W22" si="10">IF(B22="","",V22*P22*J22)</f>
        <v/>
      </c>
      <c r="X22" s="11" t="str">
        <f t="shared" ref="X22" si="11">IF(B22="","",V22*P22*M22)</f>
        <v/>
      </c>
    </row>
    <row r="23" spans="1:24">
      <c r="A23" s="29"/>
      <c r="B23" s="5"/>
      <c r="C23" s="5"/>
      <c r="D23" s="6" t="str">
        <f t="shared" si="0"/>
        <v/>
      </c>
      <c r="E23" s="7"/>
      <c r="F23" s="7"/>
      <c r="G23" s="8" t="str">
        <f t="shared" si="1"/>
        <v/>
      </c>
      <c r="H23" s="7"/>
      <c r="I23" s="7"/>
      <c r="J23" s="9" t="str">
        <f t="shared" si="3"/>
        <v/>
      </c>
      <c r="K23" s="28"/>
      <c r="L23" s="28"/>
      <c r="M23" s="9" t="str">
        <f t="shared" si="4"/>
        <v/>
      </c>
      <c r="N23" s="7"/>
      <c r="O23" s="15"/>
      <c r="P23" s="9" t="str">
        <f t="shared" si="2"/>
        <v/>
      </c>
      <c r="Q23" s="15"/>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c r="J24" s="9" t="str">
        <f t="shared" si="3"/>
        <v/>
      </c>
      <c r="K24" s="28"/>
      <c r="L24" s="28"/>
      <c r="M24" s="9" t="str">
        <f t="shared" si="4"/>
        <v/>
      </c>
      <c r="N24" s="7"/>
      <c r="O24" s="15"/>
      <c r="P24" s="9" t="str">
        <f t="shared" si="2"/>
        <v/>
      </c>
      <c r="Q24" s="48"/>
      <c r="R24" s="7"/>
      <c r="S24" s="7"/>
      <c r="T24" s="5"/>
      <c r="U24" s="10" t="str">
        <f t="shared" si="5"/>
        <v/>
      </c>
      <c r="V24" s="9" t="str">
        <f t="shared" ref="V24" si="12">IF(B24="","",IF(U24&lt;3,(Q24-R24)/Q24,(Q24-R24-S24)/Q24))</f>
        <v/>
      </c>
      <c r="W24" s="11" t="str">
        <f>IF(B24="","",V24*P24*J24)</f>
        <v/>
      </c>
      <c r="X24" s="11" t="str">
        <f t="shared" ref="X24" si="13">IF(B24="","",V24*P24*M24)</f>
        <v/>
      </c>
    </row>
    <row r="25" spans="1:24">
      <c r="A25" s="29"/>
      <c r="B25" s="5"/>
      <c r="C25" s="5"/>
      <c r="D25" s="6" t="str">
        <f t="shared" si="0"/>
        <v/>
      </c>
      <c r="E25" s="7"/>
      <c r="F25" s="7"/>
      <c r="G25" s="8" t="str">
        <f t="shared" si="1"/>
        <v/>
      </c>
      <c r="H25" s="7"/>
      <c r="I25" s="7"/>
      <c r="J25" s="9" t="str">
        <f t="shared" si="3"/>
        <v/>
      </c>
      <c r="K25" s="28"/>
      <c r="L25" s="28"/>
      <c r="M25" s="9" t="str">
        <f t="shared" si="4"/>
        <v/>
      </c>
      <c r="N25" s="7"/>
      <c r="O25" s="15"/>
      <c r="P25" s="9" t="str">
        <f t="shared" si="2"/>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3"/>
        <v/>
      </c>
      <c r="K26" s="28"/>
      <c r="L26" s="28"/>
      <c r="M26" s="9" t="str">
        <f t="shared" si="4"/>
        <v/>
      </c>
      <c r="N26" s="7"/>
      <c r="O26" s="15"/>
      <c r="P26" s="9" t="str">
        <f t="shared" si="2"/>
        <v/>
      </c>
      <c r="Q26" s="7"/>
      <c r="R26" s="7"/>
      <c r="S26" s="7"/>
      <c r="T26" s="5"/>
      <c r="U26" s="10" t="str">
        <f t="shared" si="5"/>
        <v/>
      </c>
      <c r="V26" s="9" t="str">
        <f t="shared" si="6"/>
        <v/>
      </c>
      <c r="W26" s="11" t="str">
        <f t="shared" si="7"/>
        <v/>
      </c>
      <c r="X26" s="11" t="str">
        <f t="shared" si="8"/>
        <v/>
      </c>
    </row>
    <row r="27" spans="1:24">
      <c r="A27" s="29"/>
      <c r="B27" s="5"/>
      <c r="C27" s="5"/>
      <c r="D27" s="6" t="str">
        <f t="shared" si="0"/>
        <v/>
      </c>
      <c r="E27" s="7"/>
      <c r="F27" s="7"/>
      <c r="G27" s="8" t="str">
        <f t="shared" si="1"/>
        <v/>
      </c>
      <c r="H27" s="7"/>
      <c r="I27" s="7"/>
      <c r="J27" s="9" t="str">
        <f t="shared" si="3"/>
        <v/>
      </c>
      <c r="K27" s="28"/>
      <c r="L27" s="28"/>
      <c r="M27" s="9" t="str">
        <f t="shared" si="4"/>
        <v/>
      </c>
      <c r="N27" s="7"/>
      <c r="O27" s="15"/>
      <c r="P27" s="9" t="str">
        <f t="shared" si="2"/>
        <v/>
      </c>
      <c r="Q27" s="7"/>
      <c r="R27" s="7"/>
      <c r="S27" s="7"/>
      <c r="T27" s="5"/>
      <c r="U27" s="10" t="str">
        <f t="shared" si="5"/>
        <v/>
      </c>
      <c r="V27" s="9" t="str">
        <f t="shared" si="6"/>
        <v/>
      </c>
      <c r="W27" s="11" t="str">
        <f t="shared" si="7"/>
        <v/>
      </c>
      <c r="X27" s="11" t="str">
        <f t="shared" si="8"/>
        <v/>
      </c>
    </row>
    <row r="28" spans="1:24" ht="15.75" thickBot="1">
      <c r="A28" s="29"/>
      <c r="B28" s="5"/>
      <c r="C28" s="5"/>
      <c r="D28" s="6" t="str">
        <f t="shared" si="0"/>
        <v/>
      </c>
      <c r="E28" s="7"/>
      <c r="F28" s="7"/>
      <c r="G28" s="8" t="str">
        <f t="shared" si="1"/>
        <v/>
      </c>
      <c r="H28" s="7"/>
      <c r="I28" s="7"/>
      <c r="J28" s="9" t="str">
        <f t="shared" si="3"/>
        <v/>
      </c>
      <c r="K28" s="28"/>
      <c r="L28" s="28"/>
      <c r="M28" s="9" t="str">
        <f t="shared" si="4"/>
        <v/>
      </c>
      <c r="N28" s="7"/>
      <c r="O28" s="15"/>
      <c r="P28" s="9" t="str">
        <f t="shared" si="2"/>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3"/>
        <v/>
      </c>
      <c r="K29" s="28"/>
      <c r="L29" s="28"/>
      <c r="M29" s="9" t="str">
        <f t="shared" si="4"/>
        <v/>
      </c>
      <c r="N29" s="7"/>
      <c r="O29" s="7"/>
      <c r="P29" s="9" t="str">
        <f t="shared" si="2"/>
        <v/>
      </c>
      <c r="Q29" s="7"/>
      <c r="R29" s="7"/>
      <c r="S29" s="7"/>
      <c r="T29" s="5"/>
      <c r="U29" s="10" t="str">
        <f t="shared" si="5"/>
        <v/>
      </c>
      <c r="V29" s="9" t="str">
        <f t="shared" si="6"/>
        <v/>
      </c>
      <c r="W29" s="11" t="str">
        <f t="shared" si="7"/>
        <v/>
      </c>
      <c r="X29" s="11" t="str">
        <f t="shared" si="8"/>
        <v/>
      </c>
    </row>
    <row r="30" spans="1:24" ht="15.75" hidden="1" thickBot="1">
      <c r="A30" s="29"/>
      <c r="B30" s="5"/>
      <c r="C30" s="5"/>
      <c r="D30" s="6" t="str">
        <f t="shared" si="0"/>
        <v/>
      </c>
      <c r="E30" s="7"/>
      <c r="F30" s="7"/>
      <c r="G30" s="8" t="str">
        <f t="shared" si="1"/>
        <v/>
      </c>
      <c r="H30" s="7"/>
      <c r="I30" s="7"/>
      <c r="J30" s="9" t="str">
        <f t="shared" si="3"/>
        <v/>
      </c>
      <c r="K30" s="28"/>
      <c r="L30" s="28"/>
      <c r="M30" s="9" t="str">
        <f t="shared" si="4"/>
        <v/>
      </c>
      <c r="N30" s="7"/>
      <c r="O30" s="15"/>
      <c r="P30" s="9" t="str">
        <f t="shared" si="2"/>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3"/>
        <v/>
      </c>
      <c r="K31" s="28"/>
      <c r="L31" s="28"/>
      <c r="M31" s="9" t="str">
        <f t="shared" si="4"/>
        <v/>
      </c>
      <c r="N31" s="7"/>
      <c r="O31" s="15"/>
      <c r="P31" s="9" t="str">
        <f t="shared" si="2"/>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3"/>
        <v/>
      </c>
      <c r="K32" s="28"/>
      <c r="L32" s="28"/>
      <c r="M32" s="9" t="str">
        <f t="shared" si="4"/>
        <v/>
      </c>
      <c r="N32" s="7"/>
      <c r="O32" s="15"/>
      <c r="P32" s="9" t="str">
        <f t="shared" si="2"/>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3"/>
        <v/>
      </c>
      <c r="K33" s="28"/>
      <c r="L33" s="28"/>
      <c r="M33" s="9" t="str">
        <f t="shared" si="4"/>
        <v/>
      </c>
      <c r="N33" s="7"/>
      <c r="O33" s="15"/>
      <c r="P33" s="9" t="str">
        <f t="shared" si="2"/>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3"/>
        <v/>
      </c>
      <c r="K34" s="28"/>
      <c r="L34" s="28"/>
      <c r="M34" s="9" t="str">
        <f t="shared" si="4"/>
        <v/>
      </c>
      <c r="N34" s="7"/>
      <c r="O34" s="15"/>
      <c r="P34" s="9" t="str">
        <f t="shared" si="2"/>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3"/>
        <v/>
      </c>
      <c r="K35" s="28"/>
      <c r="L35" s="28"/>
      <c r="M35" s="9" t="str">
        <f t="shared" si="4"/>
        <v/>
      </c>
      <c r="N35" s="7"/>
      <c r="O35" s="15"/>
      <c r="P35" s="9" t="str">
        <f t="shared" si="2"/>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3"/>
        <v/>
      </c>
      <c r="K36" s="28"/>
      <c r="L36" s="28"/>
      <c r="M36" s="9" t="str">
        <f t="shared" si="4"/>
        <v/>
      </c>
      <c r="N36" s="7"/>
      <c r="O36" s="15"/>
      <c r="P36" s="9" t="str">
        <f t="shared" si="2"/>
        <v/>
      </c>
      <c r="Q36" s="15"/>
      <c r="R36" s="7"/>
      <c r="S36" s="7"/>
      <c r="T36" s="5"/>
      <c r="U36" s="10" t="str">
        <f t="shared" si="5"/>
        <v/>
      </c>
      <c r="V36" s="9" t="str">
        <f t="shared" si="6"/>
        <v/>
      </c>
      <c r="W36" s="11" t="str">
        <f t="shared" si="7"/>
        <v/>
      </c>
      <c r="X36" s="11" t="str">
        <f t="shared" si="8"/>
        <v/>
      </c>
    </row>
    <row r="37" spans="1:24" ht="15.75" hidden="1" thickBot="1">
      <c r="A37" s="29"/>
      <c r="B37" s="5"/>
      <c r="C37" s="5"/>
      <c r="D37" s="6" t="str">
        <f t="shared" si="0"/>
        <v/>
      </c>
      <c r="E37" s="7"/>
      <c r="F37" s="7"/>
      <c r="G37" s="8" t="str">
        <f t="shared" si="1"/>
        <v/>
      </c>
      <c r="H37" s="7"/>
      <c r="I37" s="7"/>
      <c r="J37" s="9" t="str">
        <f t="shared" si="3"/>
        <v/>
      </c>
      <c r="K37" s="28"/>
      <c r="L37" s="28"/>
      <c r="M37" s="9" t="str">
        <f t="shared" si="4"/>
        <v/>
      </c>
      <c r="N37" s="7"/>
      <c r="O37" s="15"/>
      <c r="P37" s="9" t="str">
        <f t="shared" si="2"/>
        <v/>
      </c>
      <c r="Q37" s="7"/>
      <c r="R37" s="7"/>
      <c r="S37" s="7"/>
      <c r="T37" s="5"/>
      <c r="U37" s="10" t="str">
        <f t="shared" si="5"/>
        <v/>
      </c>
      <c r="V37" s="9" t="str">
        <f t="shared" si="6"/>
        <v/>
      </c>
      <c r="W37" s="11" t="str">
        <f t="shared" si="7"/>
        <v/>
      </c>
      <c r="X37" s="11" t="str">
        <f t="shared" si="8"/>
        <v/>
      </c>
    </row>
    <row r="38" spans="1:24" s="43" customFormat="1" ht="19.5" thickBot="1">
      <c r="A38" s="31"/>
      <c r="B38" s="32" t="s">
        <v>41</v>
      </c>
      <c r="C38" s="32"/>
      <c r="D38" s="33">
        <f>SUM(D3:D37)</f>
        <v>7414.9999999988358</v>
      </c>
      <c r="E38" s="33">
        <f>SUM(E3:E37)</f>
        <v>210</v>
      </c>
      <c r="F38" s="33">
        <f>SUM(F3:F37)</f>
        <v>311</v>
      </c>
      <c r="G38" s="33">
        <f>SUM(G3:G37)</f>
        <v>101</v>
      </c>
      <c r="H38" s="33">
        <f>SUM(H2:H37)</f>
        <v>771</v>
      </c>
      <c r="I38" s="33">
        <f>SUM(I3:I37)</f>
        <v>488</v>
      </c>
      <c r="J38" s="34">
        <f>(D38-G38-H38-I38)/D38</f>
        <v>0.8165879973027359</v>
      </c>
      <c r="K38" s="35">
        <f>SUM(K3:K37)</f>
        <v>0</v>
      </c>
      <c r="L38" s="35">
        <f>SUM(L3:L37)</f>
        <v>425</v>
      </c>
      <c r="M38" s="36">
        <f>(D38-G38-H38-I38-E38-K38-L38)/D38</f>
        <v>0.73095077545511622</v>
      </c>
      <c r="N38" s="37">
        <f>AVERAGE(N3:N37)</f>
        <v>17000</v>
      </c>
      <c r="O38" s="38">
        <f>AVERAGE(O3:O37)</f>
        <v>15616.999358666026</v>
      </c>
      <c r="P38" s="34">
        <f>O38/N38</f>
        <v>0.91864702109800156</v>
      </c>
      <c r="Q38" s="37">
        <f>SUM(Q3:Q35)</f>
        <v>48656</v>
      </c>
      <c r="R38" s="37"/>
      <c r="S38" s="32"/>
      <c r="T38" s="32"/>
      <c r="U38" s="39"/>
      <c r="V38" s="40">
        <f>AVERAGE(V3:V37)</f>
        <v>0.99740876211357432</v>
      </c>
      <c r="W38" s="41">
        <f>V38*P38*J38</f>
        <v>0.74821229819867618</v>
      </c>
      <c r="X38" s="42">
        <f>V38*P38*M38</f>
        <v>0.66974577311919625</v>
      </c>
    </row>
    <row r="39" spans="1:24" ht="28.5">
      <c r="Q39" s="66"/>
      <c r="R39" s="66"/>
      <c r="S39" s="44"/>
      <c r="T39" s="45"/>
      <c r="U39" s="22"/>
    </row>
    <row r="40" spans="1:24" ht="28.5">
      <c r="Q40" s="22"/>
      <c r="R40" s="22"/>
      <c r="S40" s="22"/>
      <c r="T40" s="22"/>
      <c r="U40" s="22"/>
    </row>
    <row r="41" spans="1:24" ht="28.5">
      <c r="Q41" s="22"/>
      <c r="R41" s="67"/>
      <c r="S41" s="67"/>
      <c r="T41" s="46">
        <f>AVERAGE('January 2026 (w Utilization)'!X38,'February 2026 (w Utilization) '!X38,'March 2026 (w Utilization'!X38,'April 2026 (w Utilization) '!X38,'May 2026 (w Utilization)'!X38,'June 2026 (w Utilization)'!X38,'June 2026 (w Utilization)'!X38,'July 2026 (w Utilization)'!X38,'August 2026 (w Utilization)'!X38,'September 2026 (w Utilization)'!X38,'October 2026 (w Utilization) '!X38)</f>
        <v>0.57748863398235184</v>
      </c>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f>W38</f>
        <v>0.74821229819867618</v>
      </c>
      <c r="E47" s="18">
        <f>100%-D47</f>
        <v>0.25178770180132382</v>
      </c>
    </row>
    <row r="48" spans="1:24">
      <c r="C48" s="4" t="s">
        <v>143</v>
      </c>
      <c r="D48" s="16">
        <f>J38</f>
        <v>0.8165879973027359</v>
      </c>
      <c r="E48" s="18">
        <f>100%-D48</f>
        <v>0.1834120026972641</v>
      </c>
    </row>
    <row r="49" spans="3:5">
      <c r="C49" s="4" t="s">
        <v>17</v>
      </c>
      <c r="D49" s="16">
        <f>P38</f>
        <v>0.91864702109800156</v>
      </c>
      <c r="E49" s="18">
        <f>100%-D49</f>
        <v>8.1352978901998441E-2</v>
      </c>
    </row>
    <row r="50" spans="3:5">
      <c r="C50" s="4" t="str">
        <f>V2</f>
        <v>Quality</v>
      </c>
      <c r="D50" s="16">
        <f>V38</f>
        <v>0.99740876211357432</v>
      </c>
      <c r="E50" s="18">
        <f>100%-D50</f>
        <v>2.5912378864256791E-3</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3:R36"/>
  <sheetViews>
    <sheetView topLeftCell="B1" workbookViewId="0">
      <selection activeCell="R13" sqref="R13"/>
    </sheetView>
  </sheetViews>
  <sheetFormatPr defaultRowHeight="15"/>
  <cols>
    <col min="2" max="2" width="18" customWidth="1"/>
    <col min="3" max="3" width="11" bestFit="1" customWidth="1"/>
    <col min="4" max="4" width="11.42578125" bestFit="1" customWidth="1"/>
    <col min="11" max="11" width="13.42578125" customWidth="1"/>
    <col min="12" max="12" width="10.5703125" bestFit="1" customWidth="1"/>
    <col min="13" max="13" width="13.42578125" bestFit="1" customWidth="1"/>
    <col min="14" max="14" width="13" bestFit="1" customWidth="1"/>
  </cols>
  <sheetData>
    <row r="3" spans="2:18" ht="18.75">
      <c r="B3" t="s">
        <v>24</v>
      </c>
      <c r="C3" s="24" t="s">
        <v>147</v>
      </c>
      <c r="D3" s="24" t="s">
        <v>148</v>
      </c>
      <c r="E3" s="24" t="s">
        <v>149</v>
      </c>
      <c r="F3" s="24" t="s">
        <v>150</v>
      </c>
      <c r="G3" s="24" t="s">
        <v>151</v>
      </c>
      <c r="H3" s="24" t="s">
        <v>152</v>
      </c>
      <c r="I3" s="24" t="s">
        <v>153</v>
      </c>
      <c r="J3" s="24" t="s">
        <v>154</v>
      </c>
      <c r="K3" s="24" t="s">
        <v>155</v>
      </c>
      <c r="L3" s="24" t="s">
        <v>156</v>
      </c>
      <c r="M3" s="24" t="s">
        <v>157</v>
      </c>
      <c r="N3" s="24" t="s">
        <v>158</v>
      </c>
      <c r="O3" s="23" t="s">
        <v>159</v>
      </c>
      <c r="P3" s="23" t="s">
        <v>160</v>
      </c>
    </row>
    <row r="4" spans="2:18">
      <c r="B4" s="23" t="s">
        <v>161</v>
      </c>
      <c r="C4" s="26">
        <f>'January 2026 (w Utilization)'!W38</f>
        <v>0.64362996422531538</v>
      </c>
      <c r="D4" s="26">
        <f>'February 2026 (w Utilization) '!W38</f>
        <v>0.60499999999999998</v>
      </c>
      <c r="E4" s="26">
        <f>'March 2026 (w Utilization'!W38</f>
        <v>0.62883701226206656</v>
      </c>
      <c r="F4" s="26">
        <f>'April 2026 (w Utilization) '!W38</f>
        <v>0.59018107126946273</v>
      </c>
      <c r="G4" s="26">
        <f>'May 2026 (w Utilization)'!W38</f>
        <v>0.69367246046800968</v>
      </c>
      <c r="H4" s="26">
        <f>'June 2026 (w Utilization)'!W38</f>
        <v>0.71826436760350876</v>
      </c>
      <c r="I4" s="26">
        <f>'July 2026 (w Utilization)'!W38</f>
        <v>0.74469256157625063</v>
      </c>
      <c r="J4" s="26">
        <f>'August 2026 (w Utilization)'!W38</f>
        <v>0.71817904812838051</v>
      </c>
      <c r="K4" s="26">
        <f>'September 2026 (w Utilization)'!W38</f>
        <v>0.73946902404390458</v>
      </c>
      <c r="L4" s="26">
        <f>'October 2026 (w Utilization) '!W38</f>
        <v>0.74821229819867618</v>
      </c>
      <c r="M4" s="26" t="e">
        <f>'November 2025 (w Utilization)'!W38</f>
        <v>#DIV/0!</v>
      </c>
      <c r="N4" s="26" t="e">
        <f>'December 2025 (w Utilization)'!W38</f>
        <v>#DIV/0!</v>
      </c>
      <c r="O4" s="26">
        <f>K5</f>
        <v>0.67576950106409983</v>
      </c>
      <c r="P4" s="52">
        <v>0.72</v>
      </c>
    </row>
    <row r="5" spans="2:18">
      <c r="B5" s="23" t="s">
        <v>159</v>
      </c>
      <c r="C5" s="25">
        <f>C4</f>
        <v>0.64362996422531538</v>
      </c>
      <c r="D5" s="25">
        <f>AVERAGE(C5,D4)</f>
        <v>0.62431498211265768</v>
      </c>
      <c r="E5" s="25">
        <f>AVERAGE($C$4:E4)</f>
        <v>0.62582232549579397</v>
      </c>
      <c r="F5" s="25">
        <f>AVERAGE($C$4:F4)</f>
        <v>0.61691201193921119</v>
      </c>
      <c r="G5" s="25">
        <f>AVERAGE($C$4:G4)</f>
        <v>0.63226410164497093</v>
      </c>
      <c r="H5" s="25">
        <f>AVERAGE($C$4:H4)</f>
        <v>0.64659747930472722</v>
      </c>
      <c r="I5" s="25">
        <f>AVERAGE($C$4:I4)</f>
        <v>0.66061106248637347</v>
      </c>
      <c r="J5" s="25">
        <f>AVERAGE($C$4:J4)</f>
        <v>0.66780706069162432</v>
      </c>
      <c r="K5" s="25">
        <f>AVERAGE($C$4:K4)</f>
        <v>0.67576950106409983</v>
      </c>
      <c r="L5" s="25">
        <f>AVERAGE($C$4:L4)</f>
        <v>0.68301378077755748</v>
      </c>
      <c r="M5" s="25" t="e">
        <f>AVERAGE($C$4:M4)</f>
        <v>#DIV/0!</v>
      </c>
      <c r="N5" s="25" t="e">
        <f>AVERAGE($C$4:N4)</f>
        <v>#DIV/0!</v>
      </c>
    </row>
    <row r="7" spans="2:18">
      <c r="P7" s="16"/>
    </row>
    <row r="8" spans="2:18">
      <c r="Q8" s="16"/>
    </row>
    <row r="11" spans="2:18">
      <c r="Q11" s="16"/>
    </row>
    <row r="12" spans="2:18">
      <c r="R12" s="16">
        <f>+P4-O4</f>
        <v>4.4230498935900142E-2</v>
      </c>
    </row>
    <row r="32" spans="3:16" ht="18.75">
      <c r="C32" s="24" t="s">
        <v>147</v>
      </c>
      <c r="D32" s="24" t="s">
        <v>148</v>
      </c>
      <c r="E32" s="24" t="s">
        <v>149</v>
      </c>
      <c r="F32" s="24" t="s">
        <v>150</v>
      </c>
      <c r="G32" s="24" t="s">
        <v>151</v>
      </c>
      <c r="H32" s="24" t="s">
        <v>152</v>
      </c>
      <c r="I32" s="24" t="s">
        <v>153</v>
      </c>
      <c r="J32" s="24" t="s">
        <v>154</v>
      </c>
      <c r="K32" s="24" t="s">
        <v>155</v>
      </c>
      <c r="L32" s="24" t="s">
        <v>156</v>
      </c>
      <c r="M32" s="24" t="s">
        <v>157</v>
      </c>
      <c r="N32" s="24" t="s">
        <v>158</v>
      </c>
      <c r="O32" s="23" t="s">
        <v>159</v>
      </c>
      <c r="P32" s="23" t="s">
        <v>160</v>
      </c>
    </row>
    <row r="33" spans="2:17" ht="30">
      <c r="B33" s="4" t="s">
        <v>11</v>
      </c>
      <c r="C33" s="26">
        <f>'January 2026 (w Utilization)'!J38</f>
        <v>0.7606447540905179</v>
      </c>
      <c r="D33" s="26">
        <f>'February 2026 (w Utilization) '!J38</f>
        <v>0.70134795333667943</v>
      </c>
      <c r="E33" s="26">
        <f>'March 2026 (w Utilization'!J38</f>
        <v>0.75578396832908379</v>
      </c>
      <c r="F33" s="26">
        <f>'April 2026 (w Utilization) '!M38</f>
        <v>0.60481937340157499</v>
      </c>
      <c r="G33" s="26">
        <f>'May 2026 (w Utilization)'!M38</f>
        <v>0.69471008873943429</v>
      </c>
      <c r="H33" s="26">
        <f>'June 2026 (w Utilization)'!M38</f>
        <v>0.61407863383738615</v>
      </c>
      <c r="I33" s="26">
        <f>'July 2026 (w Utilization)'!M38</f>
        <v>0.56028681742978748</v>
      </c>
      <c r="J33" s="26">
        <f>'August 2026 (w Utilization)'!M38</f>
        <v>0.64634850166461577</v>
      </c>
      <c r="K33" s="26">
        <f>'September 2026 (w Utilization)'!M38</f>
        <v>0.66231418240272133</v>
      </c>
      <c r="L33" s="26"/>
      <c r="M33" s="26"/>
      <c r="N33" s="26"/>
      <c r="O33" s="26">
        <f>AVERAGE(C33,D33,E33,F33,G33,H33,I33)</f>
        <v>0.67023879845206624</v>
      </c>
      <c r="P33" s="64">
        <v>0.89</v>
      </c>
      <c r="Q33" s="16"/>
    </row>
    <row r="34" spans="2:17">
      <c r="B34" s="4" t="s">
        <v>17</v>
      </c>
      <c r="C34" s="25">
        <f>'January 2026 (w Utilization)'!P38</f>
        <v>0.87063192938306744</v>
      </c>
      <c r="D34" s="25">
        <f>'February 2026 (w Utilization) '!P38</f>
        <v>0.86496339636910569</v>
      </c>
      <c r="E34" s="25">
        <f>'March 2026 (w Utilization'!P38</f>
        <v>0.84548021362606396</v>
      </c>
      <c r="F34" s="25">
        <f>'April 2026 (w Utilization) '!P38</f>
        <v>0.88131466486729659</v>
      </c>
      <c r="G34" s="25">
        <f>'May 2026 (w Utilization)'!P38</f>
        <v>0.88647126989988445</v>
      </c>
      <c r="H34" s="26">
        <f>'June 2026 (w Utilization)'!P38</f>
        <v>0.99364916129622016</v>
      </c>
      <c r="I34" s="26">
        <f>'July 2026 (w Utilization)'!P38</f>
        <v>0.98903238396632065</v>
      </c>
      <c r="J34" s="26">
        <f>'August 2026 (w Utilization)'!P38</f>
        <v>0.93711550090731166</v>
      </c>
      <c r="K34" s="26">
        <f>'September 2026 (w Utilization)'!P38</f>
        <v>0.90525163546406084</v>
      </c>
      <c r="L34" s="26"/>
      <c r="M34" s="26"/>
      <c r="N34" s="26"/>
      <c r="O34" s="63">
        <f>AVERAGE(C34,D34,E34,F34,G34,H34,I34)</f>
        <v>0.90450614562970855</v>
      </c>
      <c r="P34" s="62">
        <v>90</v>
      </c>
    </row>
    <row r="35" spans="2:17">
      <c r="B35" s="4" t="s">
        <v>23</v>
      </c>
      <c r="C35" s="25">
        <f>'January 2026 (w Utilization)'!V38</f>
        <v>0.97189598882433748</v>
      </c>
      <c r="D35" s="25">
        <f>'February 2026 (w Utilization) '!P38</f>
        <v>0.86496339636910569</v>
      </c>
      <c r="E35" s="25">
        <f>'March 2026 (w Utilization'!P38</f>
        <v>0.84548021362606396</v>
      </c>
      <c r="F35" s="25">
        <f>'April 2026 (w Utilization) '!V38</f>
        <v>0.99133748201668848</v>
      </c>
      <c r="G35" s="25">
        <f>'May 2026 (w Utilization)'!V38</f>
        <v>0.99688193454019081</v>
      </c>
      <c r="H35" s="26">
        <f>'June 2026 (w Utilization)'!V38</f>
        <v>0.99625021965001648</v>
      </c>
      <c r="I35" s="26">
        <f>'July 2026 (w Utilization)'!V38</f>
        <v>0.99569620810782622</v>
      </c>
      <c r="J35" s="26">
        <f>'August 2026 (w Utilization)'!V38</f>
        <v>0.99444256685429311</v>
      </c>
      <c r="K35" s="26">
        <f>'September 2026 (w Utilization)'!V38</f>
        <v>0.99669934007271688</v>
      </c>
      <c r="L35" s="26"/>
      <c r="M35" s="26"/>
      <c r="N35" s="26"/>
      <c r="O35" s="63">
        <f>AVERAGE(C35,D35,E35,F35,G35,H35,I35)</f>
        <v>0.95178649187631847</v>
      </c>
      <c r="P35" s="62">
        <v>90</v>
      </c>
    </row>
    <row r="36" spans="2:17">
      <c r="P36">
        <f>P33*P34*P35</f>
        <v>7208.9999999999991</v>
      </c>
    </row>
  </sheetData>
  <phoneticPr fontId="8" type="noConversion"/>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50"/>
  <sheetViews>
    <sheetView zoomScale="70" zoomScaleNormal="70" workbookViewId="0">
      <pane ySplit="2" topLeftCell="A3" activePane="bottomLeft" state="frozen"/>
      <selection pane="bottomLeft" activeCell="Q3" sqref="Q3:T24"/>
    </sheetView>
  </sheetViews>
  <sheetFormatPr defaultRowHeight="1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c r="B3" s="5"/>
      <c r="C3" s="5"/>
      <c r="D3" s="6" t="str">
        <f t="shared" ref="D3:D37" si="0">IF(B3="","",(C3-B3)*24*60)</f>
        <v/>
      </c>
      <c r="E3" s="7"/>
      <c r="F3" s="7"/>
      <c r="G3" s="8" t="str">
        <f t="shared" ref="G3:G37" si="1">IF(E3="","",F3-E3)</f>
        <v/>
      </c>
      <c r="H3" s="7"/>
      <c r="I3" s="7"/>
      <c r="J3" s="9" t="str">
        <f t="shared" ref="J3:J37" si="2">IF(B3="","",(D3-G3-H3-I3)/D3)</f>
        <v/>
      </c>
      <c r="K3" s="28"/>
      <c r="L3" s="28"/>
      <c r="M3" s="9" t="str">
        <f t="shared" ref="M3:M37" si="3">IF(B3="","",(D3-G3-H3-I3-K3-L3-E3)/D3)</f>
        <v/>
      </c>
      <c r="N3" s="7"/>
      <c r="O3" s="15"/>
      <c r="P3" s="9" t="str">
        <f t="shared" ref="P3:P37" si="4">IF(B3="","",O3/N3)</f>
        <v/>
      </c>
      <c r="Q3" s="7"/>
      <c r="R3" s="7"/>
      <c r="S3" s="7"/>
      <c r="T3" s="5"/>
      <c r="U3" s="10" t="str">
        <f t="shared" ref="U3:U37" si="5">IF(S3="","",(T3-C3))</f>
        <v/>
      </c>
      <c r="V3" s="9" t="str">
        <f t="shared" ref="V3:V37" si="6">IF(B3="","",IF(U3&lt;3,(Q3-R3)/Q3,(Q3-R3-S3)/Q3))</f>
        <v/>
      </c>
      <c r="W3" s="11" t="str">
        <f t="shared" ref="W3:W37" si="7">IF(B3="","",V3*P3*J3)</f>
        <v/>
      </c>
      <c r="X3" s="11" t="str">
        <f t="shared" ref="X3:X37" si="8">IF(B3="","",V3*P3*M3)</f>
        <v/>
      </c>
    </row>
    <row r="4" spans="1:24">
      <c r="A4" s="59"/>
      <c r="B4" s="5"/>
      <c r="C4" s="5"/>
      <c r="D4" s="6" t="str">
        <f t="shared" si="0"/>
        <v/>
      </c>
      <c r="E4" s="7"/>
      <c r="F4" s="7"/>
      <c r="G4" s="8" t="str">
        <f t="shared" si="1"/>
        <v/>
      </c>
      <c r="H4" s="7"/>
      <c r="I4" s="7"/>
      <c r="J4" s="9" t="str">
        <f t="shared" si="2"/>
        <v/>
      </c>
      <c r="K4" s="28"/>
      <c r="L4" s="28"/>
      <c r="M4" s="9" t="str">
        <f t="shared" si="3"/>
        <v/>
      </c>
      <c r="N4" s="7"/>
      <c r="O4" s="15"/>
      <c r="P4" s="9" t="str">
        <f t="shared" si="4"/>
        <v/>
      </c>
      <c r="Q4" s="7"/>
      <c r="R4" s="7"/>
      <c r="S4" s="7"/>
      <c r="T4" s="5"/>
      <c r="U4" s="10" t="str">
        <f t="shared" si="5"/>
        <v/>
      </c>
      <c r="V4" s="9" t="str">
        <f t="shared" si="6"/>
        <v/>
      </c>
      <c r="W4" s="11" t="str">
        <f t="shared" si="7"/>
        <v/>
      </c>
      <c r="X4" s="11" t="str">
        <f t="shared" si="8"/>
        <v/>
      </c>
    </row>
    <row r="5" spans="1:24">
      <c r="A5" s="29"/>
      <c r="B5" s="5"/>
      <c r="C5" s="5"/>
      <c r="D5" s="6" t="str">
        <f t="shared" si="0"/>
        <v/>
      </c>
      <c r="E5" s="7"/>
      <c r="F5" s="7"/>
      <c r="G5" s="8" t="str">
        <f t="shared" si="1"/>
        <v/>
      </c>
      <c r="H5" s="7"/>
      <c r="I5" s="7"/>
      <c r="J5" s="9" t="str">
        <f t="shared" si="2"/>
        <v/>
      </c>
      <c r="K5" s="28"/>
      <c r="L5" s="28"/>
      <c r="M5" s="9" t="str">
        <f t="shared" si="3"/>
        <v/>
      </c>
      <c r="N5" s="7"/>
      <c r="O5" s="15"/>
      <c r="P5" s="9" t="str">
        <f t="shared" si="4"/>
        <v/>
      </c>
      <c r="Q5" s="7"/>
      <c r="R5" s="7"/>
      <c r="S5" s="7"/>
      <c r="T5" s="5"/>
      <c r="U5" s="10" t="str">
        <f t="shared" si="5"/>
        <v/>
      </c>
      <c r="V5" s="9" t="str">
        <f t="shared" si="6"/>
        <v/>
      </c>
      <c r="W5" s="11" t="str">
        <f t="shared" si="7"/>
        <v/>
      </c>
      <c r="X5" s="11" t="str">
        <f t="shared" si="8"/>
        <v/>
      </c>
    </row>
    <row r="6" spans="1:24">
      <c r="A6" s="29"/>
      <c r="B6" s="5"/>
      <c r="C6" s="5"/>
      <c r="D6" s="6" t="str">
        <f t="shared" si="0"/>
        <v/>
      </c>
      <c r="E6" s="7"/>
      <c r="F6" s="7"/>
      <c r="G6" s="8" t="str">
        <f t="shared" si="1"/>
        <v/>
      </c>
      <c r="H6" s="7"/>
      <c r="I6" s="7"/>
      <c r="J6" s="9" t="str">
        <f t="shared" si="2"/>
        <v/>
      </c>
      <c r="K6" s="28"/>
      <c r="L6" s="28"/>
      <c r="M6" s="9" t="str">
        <f t="shared" si="3"/>
        <v/>
      </c>
      <c r="N6" s="7"/>
      <c r="O6" s="15"/>
      <c r="P6" s="9" t="str">
        <f t="shared" si="4"/>
        <v/>
      </c>
      <c r="Q6" s="7"/>
      <c r="R6" s="7"/>
      <c r="S6" s="7"/>
      <c r="T6" s="5"/>
      <c r="U6" s="10" t="str">
        <f t="shared" si="5"/>
        <v/>
      </c>
      <c r="V6" s="9" t="str">
        <f t="shared" si="6"/>
        <v/>
      </c>
      <c r="W6" s="11" t="str">
        <f t="shared" si="7"/>
        <v/>
      </c>
      <c r="X6" s="11" t="str">
        <f t="shared" si="8"/>
        <v/>
      </c>
    </row>
    <row r="7" spans="1:24">
      <c r="A7" s="29"/>
      <c r="B7" s="5"/>
      <c r="C7" s="5"/>
      <c r="D7" s="6" t="str">
        <f t="shared" si="0"/>
        <v/>
      </c>
      <c r="E7" s="7"/>
      <c r="F7" s="7"/>
      <c r="G7" s="8" t="str">
        <f t="shared" si="1"/>
        <v/>
      </c>
      <c r="H7" s="7"/>
      <c r="I7" s="7"/>
      <c r="J7" s="9" t="str">
        <f t="shared" si="2"/>
        <v/>
      </c>
      <c r="K7" s="28"/>
      <c r="L7" s="28"/>
      <c r="M7" s="9" t="str">
        <f t="shared" si="3"/>
        <v/>
      </c>
      <c r="N7" s="7"/>
      <c r="O7" s="15"/>
      <c r="P7" s="9" t="str">
        <f t="shared" si="4"/>
        <v/>
      </c>
      <c r="Q7" s="15"/>
      <c r="R7" s="15"/>
      <c r="S7" s="7"/>
      <c r="T7" s="5"/>
      <c r="U7" s="10" t="str">
        <f t="shared" si="5"/>
        <v/>
      </c>
      <c r="V7" s="9" t="str">
        <f t="shared" si="6"/>
        <v/>
      </c>
      <c r="W7" s="11" t="str">
        <f t="shared" si="7"/>
        <v/>
      </c>
      <c r="X7" s="11" t="str">
        <f t="shared" si="8"/>
        <v/>
      </c>
    </row>
    <row r="8" spans="1:24">
      <c r="A8" s="29"/>
      <c r="B8" s="5"/>
      <c r="C8" s="5"/>
      <c r="D8" s="6" t="str">
        <f t="shared" si="0"/>
        <v/>
      </c>
      <c r="E8" s="7"/>
      <c r="F8" s="7"/>
      <c r="G8" s="8" t="str">
        <f t="shared" si="1"/>
        <v/>
      </c>
      <c r="H8" s="7"/>
      <c r="I8" s="7"/>
      <c r="J8" s="9" t="str">
        <f t="shared" si="2"/>
        <v/>
      </c>
      <c r="K8" s="28"/>
      <c r="L8" s="28"/>
      <c r="M8" s="9" t="str">
        <f t="shared" si="3"/>
        <v/>
      </c>
      <c r="N8" s="7"/>
      <c r="O8" s="15"/>
      <c r="P8" s="9" t="str">
        <f t="shared" si="4"/>
        <v/>
      </c>
      <c r="Q8" s="15"/>
      <c r="R8" s="15"/>
      <c r="S8" s="7"/>
      <c r="T8" s="5"/>
      <c r="U8" s="10" t="str">
        <f t="shared" si="5"/>
        <v/>
      </c>
      <c r="V8" s="9" t="str">
        <f t="shared" si="6"/>
        <v/>
      </c>
      <c r="W8" s="11" t="str">
        <f t="shared" si="7"/>
        <v/>
      </c>
      <c r="X8" s="11" t="str">
        <f t="shared" si="8"/>
        <v/>
      </c>
    </row>
    <row r="9" spans="1:24">
      <c r="A9" s="29"/>
      <c r="B9" s="5"/>
      <c r="C9" s="5"/>
      <c r="D9" s="6" t="str">
        <f t="shared" si="0"/>
        <v/>
      </c>
      <c r="E9" s="7"/>
      <c r="F9" s="7"/>
      <c r="G9" s="8" t="str">
        <f t="shared" si="1"/>
        <v/>
      </c>
      <c r="H9" s="7"/>
      <c r="I9" s="7"/>
      <c r="J9" s="9" t="str">
        <f t="shared" si="2"/>
        <v/>
      </c>
      <c r="K9" s="28"/>
      <c r="L9" s="28"/>
      <c r="M9" s="9" t="str">
        <f t="shared" si="3"/>
        <v/>
      </c>
      <c r="N9" s="7"/>
      <c r="O9" s="15"/>
      <c r="P9" s="9" t="str">
        <f t="shared" si="4"/>
        <v/>
      </c>
      <c r="Q9" s="15"/>
      <c r="R9" s="15"/>
      <c r="S9" s="7"/>
      <c r="T9" s="5"/>
      <c r="U9" s="10" t="str">
        <f t="shared" si="5"/>
        <v/>
      </c>
      <c r="V9" s="9" t="str">
        <f t="shared" si="6"/>
        <v/>
      </c>
      <c r="W9" s="11" t="str">
        <f t="shared" si="7"/>
        <v/>
      </c>
      <c r="X9" s="11" t="str">
        <f t="shared" si="8"/>
        <v/>
      </c>
    </row>
    <row r="10" spans="1:24">
      <c r="A10" s="29"/>
      <c r="B10" s="5"/>
      <c r="C10" s="5"/>
      <c r="D10" s="6" t="str">
        <f t="shared" si="0"/>
        <v/>
      </c>
      <c r="E10" s="7"/>
      <c r="F10" s="7"/>
      <c r="G10" s="8" t="str">
        <f t="shared" si="1"/>
        <v/>
      </c>
      <c r="H10" s="7"/>
      <c r="I10" s="7"/>
      <c r="J10" s="9" t="str">
        <f t="shared" si="2"/>
        <v/>
      </c>
      <c r="K10" s="28"/>
      <c r="L10" s="28"/>
      <c r="M10" s="9" t="str">
        <f t="shared" si="3"/>
        <v/>
      </c>
      <c r="N10" s="7"/>
      <c r="O10" s="15"/>
      <c r="P10" s="9" t="str">
        <f t="shared" si="4"/>
        <v/>
      </c>
      <c r="Q10" s="15"/>
      <c r="R10" s="15"/>
      <c r="S10" s="7"/>
      <c r="T10" s="5"/>
      <c r="U10" s="10" t="str">
        <f t="shared" si="5"/>
        <v/>
      </c>
      <c r="V10" s="9" t="str">
        <f t="shared" si="6"/>
        <v/>
      </c>
      <c r="W10" s="11" t="str">
        <f t="shared" si="7"/>
        <v/>
      </c>
      <c r="X10" s="11" t="str">
        <f t="shared" si="8"/>
        <v/>
      </c>
    </row>
    <row r="11" spans="1:24">
      <c r="A11" s="29"/>
      <c r="B11" s="5"/>
      <c r="C11" s="5"/>
      <c r="D11" s="6" t="str">
        <f t="shared" si="0"/>
        <v/>
      </c>
      <c r="E11" s="7"/>
      <c r="F11" s="7"/>
      <c r="G11" s="8" t="str">
        <f t="shared" si="1"/>
        <v/>
      </c>
      <c r="H11" s="7"/>
      <c r="I11" s="7"/>
      <c r="J11" s="9" t="str">
        <f t="shared" si="2"/>
        <v/>
      </c>
      <c r="K11" s="28"/>
      <c r="L11" s="28"/>
      <c r="M11" s="9" t="str">
        <f t="shared" si="3"/>
        <v/>
      </c>
      <c r="N11" s="7"/>
      <c r="O11" s="15"/>
      <c r="P11" s="9" t="str">
        <f t="shared" si="4"/>
        <v/>
      </c>
      <c r="Q11" s="15"/>
      <c r="R11" s="15"/>
      <c r="S11" s="7"/>
      <c r="T11" s="5"/>
      <c r="U11" s="10" t="str">
        <f t="shared" si="5"/>
        <v/>
      </c>
      <c r="V11" s="9" t="str">
        <f t="shared" si="6"/>
        <v/>
      </c>
      <c r="W11" s="11" t="str">
        <f t="shared" si="7"/>
        <v/>
      </c>
      <c r="X11" s="11" t="str">
        <f t="shared" si="8"/>
        <v/>
      </c>
    </row>
    <row r="12" spans="1:24">
      <c r="A12" s="29"/>
      <c r="B12" s="5"/>
      <c r="C12" s="5"/>
      <c r="D12" s="6" t="str">
        <f t="shared" si="0"/>
        <v/>
      </c>
      <c r="E12" s="7"/>
      <c r="F12" s="7"/>
      <c r="G12" s="8" t="str">
        <f t="shared" si="1"/>
        <v/>
      </c>
      <c r="H12" s="7"/>
      <c r="I12" s="7"/>
      <c r="J12" s="9" t="str">
        <f t="shared" si="2"/>
        <v/>
      </c>
      <c r="K12" s="28"/>
      <c r="L12" s="28"/>
      <c r="M12" s="9" t="str">
        <f t="shared" si="3"/>
        <v/>
      </c>
      <c r="N12" s="7"/>
      <c r="O12" s="15"/>
      <c r="P12" s="9" t="str">
        <f t="shared" si="4"/>
        <v/>
      </c>
      <c r="Q12" s="15"/>
      <c r="R12" s="15"/>
      <c r="S12" s="7"/>
      <c r="T12" s="5"/>
      <c r="U12" s="10" t="str">
        <f t="shared" si="5"/>
        <v/>
      </c>
      <c r="V12" s="9" t="str">
        <f t="shared" si="6"/>
        <v/>
      </c>
      <c r="W12" s="11" t="str">
        <f t="shared" si="7"/>
        <v/>
      </c>
      <c r="X12" s="11" t="str">
        <f t="shared" si="8"/>
        <v/>
      </c>
    </row>
    <row r="13" spans="1:24">
      <c r="A13" s="29"/>
      <c r="B13" s="5"/>
      <c r="C13" s="5"/>
      <c r="D13" s="6" t="str">
        <f t="shared" si="0"/>
        <v/>
      </c>
      <c r="E13" s="7"/>
      <c r="F13" s="7"/>
      <c r="G13" s="8" t="str">
        <f t="shared" si="1"/>
        <v/>
      </c>
      <c r="H13" s="7"/>
      <c r="I13" s="7"/>
      <c r="J13" s="9" t="str">
        <f t="shared" si="2"/>
        <v/>
      </c>
      <c r="K13" s="28"/>
      <c r="L13" s="28"/>
      <c r="M13" s="9" t="str">
        <f t="shared" si="3"/>
        <v/>
      </c>
      <c r="N13" s="7"/>
      <c r="O13" s="15"/>
      <c r="P13" s="9" t="str">
        <f t="shared" si="4"/>
        <v/>
      </c>
      <c r="Q13" s="15"/>
      <c r="R13" s="15"/>
      <c r="S13" s="7"/>
      <c r="T13" s="5"/>
      <c r="U13" s="10" t="str">
        <f t="shared" si="5"/>
        <v/>
      </c>
      <c r="V13" s="9" t="str">
        <f t="shared" ref="V13" si="9">IF(B13="","",IF(U13&lt;3,(Q13-R13)/Q13,(Q13-R13-S13)/Q13))</f>
        <v/>
      </c>
      <c r="W13" s="11" t="str">
        <f t="shared" ref="W13" si="10">IF(B13="","",V13*P13*J13)</f>
        <v/>
      </c>
      <c r="X13" s="11" t="str">
        <f t="shared" ref="X13" si="11">IF(B13="","",V13*P13*M13)</f>
        <v/>
      </c>
    </row>
    <row r="14" spans="1:24">
      <c r="A14" s="29"/>
      <c r="B14" s="5"/>
      <c r="C14" s="5"/>
      <c r="D14" s="6" t="str">
        <f t="shared" si="0"/>
        <v/>
      </c>
      <c r="E14" s="7"/>
      <c r="F14" s="7"/>
      <c r="G14" s="8" t="str">
        <f t="shared" si="1"/>
        <v/>
      </c>
      <c r="H14" s="7"/>
      <c r="I14" s="7"/>
      <c r="J14" s="9" t="str">
        <f t="shared" si="2"/>
        <v/>
      </c>
      <c r="K14" s="28"/>
      <c r="L14" s="28"/>
      <c r="M14" s="9" t="str">
        <f t="shared" si="3"/>
        <v/>
      </c>
      <c r="N14" s="7"/>
      <c r="O14" s="15"/>
      <c r="P14" s="9" t="str">
        <f t="shared" si="4"/>
        <v/>
      </c>
      <c r="Q14" s="15"/>
      <c r="R14" s="15"/>
      <c r="S14" s="7"/>
      <c r="T14" s="5"/>
      <c r="U14" s="10" t="str">
        <f t="shared" si="5"/>
        <v/>
      </c>
      <c r="V14" s="9" t="str">
        <f t="shared" si="6"/>
        <v/>
      </c>
      <c r="W14" s="11" t="str">
        <f t="shared" si="7"/>
        <v/>
      </c>
      <c r="X14" s="11" t="str">
        <f t="shared" si="8"/>
        <v/>
      </c>
    </row>
    <row r="15" spans="1:24">
      <c r="A15" s="29"/>
      <c r="B15" s="5"/>
      <c r="C15" s="5"/>
      <c r="D15" s="6" t="str">
        <f t="shared" si="0"/>
        <v/>
      </c>
      <c r="E15" s="7"/>
      <c r="F15" s="7"/>
      <c r="G15" s="8" t="str">
        <f t="shared" si="1"/>
        <v/>
      </c>
      <c r="H15" s="7"/>
      <c r="I15" s="7"/>
      <c r="J15" s="9" t="str">
        <f t="shared" si="2"/>
        <v/>
      </c>
      <c r="K15" s="28"/>
      <c r="L15" s="28"/>
      <c r="M15" s="9" t="str">
        <f t="shared" si="3"/>
        <v/>
      </c>
      <c r="N15" s="7"/>
      <c r="O15" s="15"/>
      <c r="P15" s="9" t="str">
        <f t="shared" si="4"/>
        <v/>
      </c>
      <c r="Q15" s="15"/>
      <c r="R15" s="15"/>
      <c r="S15" s="7"/>
      <c r="T15" s="5"/>
      <c r="U15" s="10" t="str">
        <f t="shared" si="5"/>
        <v/>
      </c>
      <c r="V15" s="9" t="str">
        <f t="shared" si="6"/>
        <v/>
      </c>
      <c r="W15" s="11" t="str">
        <f t="shared" si="7"/>
        <v/>
      </c>
      <c r="X15" s="11" t="str">
        <f t="shared" si="8"/>
        <v/>
      </c>
    </row>
    <row r="16" spans="1:24">
      <c r="A16" s="29"/>
      <c r="B16" s="5"/>
      <c r="C16" s="5"/>
      <c r="D16" s="6" t="str">
        <f t="shared" si="0"/>
        <v/>
      </c>
      <c r="E16" s="7"/>
      <c r="F16" s="7"/>
      <c r="G16" s="8" t="str">
        <f t="shared" si="1"/>
        <v/>
      </c>
      <c r="H16" s="7"/>
      <c r="I16" s="7"/>
      <c r="J16" s="9" t="str">
        <f t="shared" si="2"/>
        <v/>
      </c>
      <c r="K16" s="28"/>
      <c r="L16" s="28"/>
      <c r="M16" s="9" t="str">
        <f t="shared" si="3"/>
        <v/>
      </c>
      <c r="N16" s="7"/>
      <c r="O16" s="15"/>
      <c r="P16" s="9" t="str">
        <f t="shared" si="4"/>
        <v/>
      </c>
      <c r="Q16" s="15"/>
      <c r="R16" s="15"/>
      <c r="S16" s="7"/>
      <c r="T16" s="5"/>
      <c r="U16" s="10" t="str">
        <f t="shared" si="5"/>
        <v/>
      </c>
      <c r="V16" s="9" t="str">
        <f t="shared" si="6"/>
        <v/>
      </c>
      <c r="W16" s="11" t="str">
        <f t="shared" si="7"/>
        <v/>
      </c>
      <c r="X16" s="11" t="str">
        <f t="shared" si="8"/>
        <v/>
      </c>
    </row>
    <row r="17" spans="1:24">
      <c r="A17" s="29"/>
      <c r="B17" s="5"/>
      <c r="C17" s="5"/>
      <c r="D17" s="6" t="str">
        <f t="shared" si="0"/>
        <v/>
      </c>
      <c r="E17" s="7"/>
      <c r="F17" s="7"/>
      <c r="G17" s="8" t="str">
        <f t="shared" si="1"/>
        <v/>
      </c>
      <c r="H17" s="7"/>
      <c r="I17" s="7"/>
      <c r="J17" s="9" t="str">
        <f t="shared" si="2"/>
        <v/>
      </c>
      <c r="K17" s="28"/>
      <c r="L17" s="28"/>
      <c r="M17" s="9" t="str">
        <f t="shared" si="3"/>
        <v/>
      </c>
      <c r="N17" s="7"/>
      <c r="O17" s="15"/>
      <c r="P17" s="9" t="str">
        <f t="shared" si="4"/>
        <v/>
      </c>
      <c r="Q17" s="15"/>
      <c r="R17" s="15"/>
      <c r="S17" s="7"/>
      <c r="T17" s="5"/>
      <c r="U17" s="10" t="str">
        <f t="shared" si="5"/>
        <v/>
      </c>
      <c r="V17" s="9" t="str">
        <f t="shared" si="6"/>
        <v/>
      </c>
      <c r="W17" s="11" t="str">
        <f t="shared" si="7"/>
        <v/>
      </c>
      <c r="X17" s="11" t="str">
        <f t="shared" si="8"/>
        <v/>
      </c>
    </row>
    <row r="18" spans="1:24">
      <c r="A18" s="29"/>
      <c r="B18" s="5"/>
      <c r="C18" s="5"/>
      <c r="D18" s="6" t="str">
        <f t="shared" si="0"/>
        <v/>
      </c>
      <c r="E18" s="7"/>
      <c r="F18" s="7"/>
      <c r="G18" s="8" t="str">
        <f t="shared" si="1"/>
        <v/>
      </c>
      <c r="H18" s="7"/>
      <c r="I18" s="7"/>
      <c r="J18" s="9" t="str">
        <f t="shared" si="2"/>
        <v/>
      </c>
      <c r="K18" s="28"/>
      <c r="L18" s="28"/>
      <c r="M18" s="9" t="str">
        <f t="shared" si="3"/>
        <v/>
      </c>
      <c r="N18" s="7"/>
      <c r="O18" s="15"/>
      <c r="P18" s="9" t="str">
        <f t="shared" si="4"/>
        <v/>
      </c>
      <c r="Q18" s="15"/>
      <c r="R18" s="15"/>
      <c r="S18" s="7"/>
      <c r="T18" s="5"/>
      <c r="U18" s="10" t="str">
        <f t="shared" si="5"/>
        <v/>
      </c>
      <c r="V18" s="9" t="str">
        <f t="shared" si="6"/>
        <v/>
      </c>
      <c r="W18" s="11" t="str">
        <f t="shared" si="7"/>
        <v/>
      </c>
      <c r="X18" s="11" t="str">
        <f t="shared" si="8"/>
        <v/>
      </c>
    </row>
    <row r="19" spans="1:24">
      <c r="A19" s="29"/>
      <c r="B19" s="5"/>
      <c r="C19" s="5"/>
      <c r="D19" s="6" t="str">
        <f t="shared" si="0"/>
        <v/>
      </c>
      <c r="E19" s="7"/>
      <c r="F19" s="7"/>
      <c r="G19" s="8" t="str">
        <f t="shared" si="1"/>
        <v/>
      </c>
      <c r="H19" s="7"/>
      <c r="I19" s="7"/>
      <c r="J19" s="9" t="str">
        <f t="shared" si="2"/>
        <v/>
      </c>
      <c r="K19" s="28"/>
      <c r="L19" s="28"/>
      <c r="M19" s="9" t="str">
        <f t="shared" si="3"/>
        <v/>
      </c>
      <c r="N19" s="7"/>
      <c r="O19" s="15"/>
      <c r="P19" s="9" t="str">
        <f t="shared" si="4"/>
        <v/>
      </c>
      <c r="Q19" s="15"/>
      <c r="R19" s="15"/>
      <c r="S19" s="7"/>
      <c r="T19" s="5"/>
      <c r="U19" s="10" t="str">
        <f t="shared" si="5"/>
        <v/>
      </c>
      <c r="V19" s="9" t="str">
        <f t="shared" si="6"/>
        <v/>
      </c>
      <c r="W19" s="11" t="str">
        <f t="shared" si="7"/>
        <v/>
      </c>
      <c r="X19" s="11" t="str">
        <f t="shared" si="8"/>
        <v/>
      </c>
    </row>
    <row r="20" spans="1:24">
      <c r="A20" s="29"/>
      <c r="B20" s="5"/>
      <c r="C20" s="5"/>
      <c r="D20" s="6" t="str">
        <f t="shared" si="0"/>
        <v/>
      </c>
      <c r="E20" s="7"/>
      <c r="F20" s="7"/>
      <c r="G20" s="8" t="str">
        <f t="shared" si="1"/>
        <v/>
      </c>
      <c r="H20" s="7"/>
      <c r="I20" s="7"/>
      <c r="J20" s="9" t="str">
        <f t="shared" si="2"/>
        <v/>
      </c>
      <c r="K20" s="28"/>
      <c r="L20" s="28"/>
      <c r="M20" s="9" t="str">
        <f t="shared" si="3"/>
        <v/>
      </c>
      <c r="N20" s="7"/>
      <c r="O20" s="15"/>
      <c r="P20" s="9" t="str">
        <f t="shared" si="4"/>
        <v/>
      </c>
      <c r="Q20" s="15"/>
      <c r="R20" s="15"/>
      <c r="S20" s="7"/>
      <c r="T20" s="5"/>
      <c r="U20" s="10" t="str">
        <f t="shared" si="5"/>
        <v/>
      </c>
      <c r="V20" s="9" t="str">
        <f t="shared" si="6"/>
        <v/>
      </c>
      <c r="W20" s="11" t="str">
        <f t="shared" si="7"/>
        <v/>
      </c>
      <c r="X20" s="11" t="str">
        <f t="shared" si="8"/>
        <v/>
      </c>
    </row>
    <row r="21" spans="1:24">
      <c r="A21" s="29"/>
      <c r="B21" s="5"/>
      <c r="C21" s="5"/>
      <c r="D21" s="6" t="str">
        <f t="shared" si="0"/>
        <v/>
      </c>
      <c r="E21" s="7"/>
      <c r="F21" s="7"/>
      <c r="G21" s="8" t="str">
        <f t="shared" si="1"/>
        <v/>
      </c>
      <c r="H21" s="7"/>
      <c r="I21" s="7"/>
      <c r="J21" s="9" t="str">
        <f t="shared" si="2"/>
        <v/>
      </c>
      <c r="K21" s="28"/>
      <c r="L21" s="28"/>
      <c r="M21" s="9" t="str">
        <f t="shared" si="3"/>
        <v/>
      </c>
      <c r="N21" s="7"/>
      <c r="O21" s="15"/>
      <c r="P21" s="9" t="str">
        <f t="shared" si="4"/>
        <v/>
      </c>
      <c r="Q21" s="15"/>
      <c r="R21" s="15"/>
      <c r="S21" s="7"/>
      <c r="T21" s="5"/>
      <c r="U21" s="10" t="str">
        <f t="shared" si="5"/>
        <v/>
      </c>
      <c r="V21" s="9" t="str">
        <f t="shared" si="6"/>
        <v/>
      </c>
      <c r="W21" s="11" t="str">
        <f t="shared" si="7"/>
        <v/>
      </c>
      <c r="X21" s="11" t="str">
        <f t="shared" si="8"/>
        <v/>
      </c>
    </row>
    <row r="22" spans="1:24">
      <c r="A22" s="29"/>
      <c r="B22" s="5"/>
      <c r="C22" s="5"/>
      <c r="D22" s="6" t="str">
        <f t="shared" si="0"/>
        <v/>
      </c>
      <c r="E22" s="7"/>
      <c r="F22" s="7"/>
      <c r="G22" s="8" t="str">
        <f t="shared" si="1"/>
        <v/>
      </c>
      <c r="H22" s="7"/>
      <c r="I22" s="7"/>
      <c r="J22" s="9" t="str">
        <f>IF(B22="","",(D22-G22-H22-I22)/D22)</f>
        <v/>
      </c>
      <c r="K22" s="28"/>
      <c r="L22" s="28"/>
      <c r="M22" s="9" t="str">
        <f t="shared" si="3"/>
        <v/>
      </c>
      <c r="N22" s="7"/>
      <c r="O22" s="15"/>
      <c r="P22" s="9" t="str">
        <f t="shared" si="4"/>
        <v/>
      </c>
      <c r="Q22" s="15"/>
      <c r="R22" s="15"/>
      <c r="S22" s="7"/>
      <c r="T22" s="5"/>
      <c r="U22" s="10" t="str">
        <f t="shared" si="5"/>
        <v/>
      </c>
      <c r="V22" s="9" t="str">
        <f t="shared" si="6"/>
        <v/>
      </c>
      <c r="W22" s="11" t="str">
        <f t="shared" si="7"/>
        <v/>
      </c>
      <c r="X22" s="11" t="str">
        <f t="shared" si="8"/>
        <v/>
      </c>
    </row>
    <row r="23" spans="1:24">
      <c r="A23" s="29"/>
      <c r="B23" s="5"/>
      <c r="C23" s="5"/>
      <c r="D23" s="6" t="str">
        <f t="shared" si="0"/>
        <v/>
      </c>
      <c r="E23" s="7"/>
      <c r="F23" s="7"/>
      <c r="G23" s="8" t="str">
        <f t="shared" si="1"/>
        <v/>
      </c>
      <c r="H23" s="7"/>
      <c r="I23" s="7"/>
      <c r="J23" s="9" t="str">
        <f t="shared" si="2"/>
        <v/>
      </c>
      <c r="K23" s="28"/>
      <c r="L23" s="28"/>
      <c r="M23" s="9" t="str">
        <f t="shared" si="3"/>
        <v/>
      </c>
      <c r="N23" s="7"/>
      <c r="O23" s="15"/>
      <c r="P23" s="9" t="str">
        <f t="shared" si="4"/>
        <v/>
      </c>
      <c r="Q23" s="15"/>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t="s">
        <v>101</v>
      </c>
      <c r="J24" s="9" t="str">
        <f t="shared" si="2"/>
        <v/>
      </c>
      <c r="K24" s="28"/>
      <c r="L24" s="28"/>
      <c r="M24" s="9" t="str">
        <f t="shared" si="3"/>
        <v/>
      </c>
      <c r="N24" s="7"/>
      <c r="O24" s="15"/>
      <c r="P24" s="9" t="str">
        <f t="shared" si="4"/>
        <v/>
      </c>
      <c r="Q24" s="7"/>
      <c r="R24" s="7"/>
      <c r="S24" s="7"/>
      <c r="T24" s="5"/>
      <c r="U24" s="10" t="str">
        <f t="shared" si="5"/>
        <v/>
      </c>
      <c r="V24" s="9" t="str">
        <f t="shared" si="6"/>
        <v/>
      </c>
      <c r="W24" s="11" t="str">
        <f t="shared" si="7"/>
        <v/>
      </c>
      <c r="X24" s="11" t="str">
        <f t="shared" si="8"/>
        <v/>
      </c>
    </row>
    <row r="25" spans="1:24">
      <c r="A25" s="29"/>
      <c r="B25" s="5"/>
      <c r="C25" s="5"/>
      <c r="D25" s="6" t="str">
        <f t="shared" si="0"/>
        <v/>
      </c>
      <c r="E25" s="7"/>
      <c r="F25" s="7"/>
      <c r="G25" s="8" t="str">
        <f t="shared" si="1"/>
        <v/>
      </c>
      <c r="H25" s="7"/>
      <c r="I25" s="7"/>
      <c r="J25" s="9" t="str">
        <f t="shared" si="2"/>
        <v/>
      </c>
      <c r="K25" s="28"/>
      <c r="L25" s="28"/>
      <c r="M25" s="9" t="str">
        <f t="shared" si="3"/>
        <v/>
      </c>
      <c r="N25" s="7"/>
      <c r="O25" s="15"/>
      <c r="P25" s="9" t="str">
        <f t="shared" si="4"/>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2"/>
        <v/>
      </c>
      <c r="K26" s="28"/>
      <c r="L26" s="28"/>
      <c r="M26" s="9" t="str">
        <f t="shared" si="3"/>
        <v/>
      </c>
      <c r="N26" s="7"/>
      <c r="O26" s="15"/>
      <c r="P26" s="9" t="str">
        <f t="shared" si="4"/>
        <v/>
      </c>
      <c r="Q26" s="7"/>
      <c r="R26" s="7"/>
      <c r="S26" s="7"/>
      <c r="T26" s="5"/>
      <c r="U26" s="10" t="str">
        <f t="shared" si="5"/>
        <v/>
      </c>
      <c r="V26" s="9" t="str">
        <f t="shared" si="6"/>
        <v/>
      </c>
      <c r="W26" s="11" t="str">
        <f t="shared" si="7"/>
        <v/>
      </c>
      <c r="X26" s="11" t="str">
        <f t="shared" si="8"/>
        <v/>
      </c>
    </row>
    <row r="27" spans="1:24" ht="15.75" thickBot="1">
      <c r="A27" s="29"/>
      <c r="B27" s="5"/>
      <c r="C27" s="5"/>
      <c r="D27" s="6" t="str">
        <f t="shared" si="0"/>
        <v/>
      </c>
      <c r="E27" s="7"/>
      <c r="F27" s="7"/>
      <c r="G27" s="8" t="str">
        <f t="shared" si="1"/>
        <v/>
      </c>
      <c r="H27" s="7"/>
      <c r="I27" s="7"/>
      <c r="J27" s="9" t="str">
        <f t="shared" si="2"/>
        <v/>
      </c>
      <c r="K27" s="28"/>
      <c r="L27" s="28"/>
      <c r="M27" s="9" t="str">
        <f t="shared" si="3"/>
        <v/>
      </c>
      <c r="N27" s="7"/>
      <c r="O27" s="15"/>
      <c r="P27" s="9" t="str">
        <f t="shared" si="4"/>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1"/>
        <v/>
      </c>
      <c r="H28" s="7"/>
      <c r="I28" s="7"/>
      <c r="J28" s="9" t="str">
        <f t="shared" si="2"/>
        <v/>
      </c>
      <c r="K28" s="28"/>
      <c r="L28" s="28"/>
      <c r="M28" s="9" t="str">
        <f t="shared" si="3"/>
        <v/>
      </c>
      <c r="N28" s="7"/>
      <c r="O28" s="15"/>
      <c r="P28" s="9" t="str">
        <f t="shared" si="4"/>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2"/>
        <v/>
      </c>
      <c r="K29" s="28"/>
      <c r="L29" s="28"/>
      <c r="M29" s="9" t="str">
        <f t="shared" si="3"/>
        <v/>
      </c>
      <c r="N29" s="7"/>
      <c r="O29" s="7"/>
      <c r="P29" s="9" t="str">
        <f t="shared" si="4"/>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1"/>
        <v/>
      </c>
      <c r="H30" s="7"/>
      <c r="I30" s="7"/>
      <c r="J30" s="9" t="str">
        <f t="shared" si="2"/>
        <v/>
      </c>
      <c r="K30" s="28"/>
      <c r="L30" s="28"/>
      <c r="M30" s="9" t="str">
        <f t="shared" si="3"/>
        <v/>
      </c>
      <c r="N30" s="7"/>
      <c r="O30" s="15"/>
      <c r="P30" s="9" t="str">
        <f t="shared" si="4"/>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2"/>
        <v/>
      </c>
      <c r="K31" s="28"/>
      <c r="L31" s="28"/>
      <c r="M31" s="9" t="str">
        <f t="shared" si="3"/>
        <v/>
      </c>
      <c r="N31" s="7"/>
      <c r="O31" s="15"/>
      <c r="P31" s="9" t="str">
        <f t="shared" si="4"/>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4"/>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4"/>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4"/>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4"/>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4"/>
        <v/>
      </c>
      <c r="Q36" s="15"/>
      <c r="R36" s="7"/>
      <c r="S36" s="7"/>
      <c r="T36" s="5"/>
      <c r="U36" s="10" t="str">
        <f t="shared" si="5"/>
        <v/>
      </c>
      <c r="V36" s="9" t="str">
        <f t="shared" si="6"/>
        <v/>
      </c>
      <c r="W36" s="11" t="str">
        <f t="shared" si="7"/>
        <v/>
      </c>
      <c r="X36" s="11" t="str">
        <f t="shared" si="8"/>
        <v/>
      </c>
    </row>
    <row r="37" spans="1:24" ht="15.75" hidden="1"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4"/>
        <v/>
      </c>
      <c r="Q37" s="7"/>
      <c r="R37" s="7"/>
      <c r="S37" s="7"/>
      <c r="T37" s="5"/>
      <c r="U37" s="10" t="str">
        <f t="shared" si="5"/>
        <v/>
      </c>
      <c r="V37" s="9" t="str">
        <f t="shared" si="6"/>
        <v/>
      </c>
      <c r="W37" s="11" t="str">
        <f t="shared" si="7"/>
        <v/>
      </c>
      <c r="X37" s="11" t="str">
        <f t="shared" si="8"/>
        <v/>
      </c>
    </row>
    <row r="38" spans="1:24" s="43" customFormat="1" ht="19.5" thickBot="1">
      <c r="A38" s="31"/>
      <c r="B38" s="32" t="s">
        <v>41</v>
      </c>
      <c r="C38" s="32"/>
      <c r="D38" s="33">
        <f>SUM(D3:D37)</f>
        <v>0</v>
      </c>
      <c r="E38" s="33">
        <f>SUM(E3:E37)</f>
        <v>0</v>
      </c>
      <c r="F38" s="33">
        <f>SUM(F3:F37)</f>
        <v>0</v>
      </c>
      <c r="G38" s="33">
        <f>SUM(G3:G37)</f>
        <v>0</v>
      </c>
      <c r="H38" s="33">
        <f>SUM(H2:H37)</f>
        <v>0</v>
      </c>
      <c r="I38" s="33">
        <f>SUM(I3:I37)</f>
        <v>0</v>
      </c>
      <c r="J38" s="34" t="e">
        <f>(D38-G38-H38-I38)/D38</f>
        <v>#DIV/0!</v>
      </c>
      <c r="K38" s="35">
        <f>SUM(K3:K37)</f>
        <v>0</v>
      </c>
      <c r="L38" s="35">
        <f>SUM(L3:L37)</f>
        <v>0</v>
      </c>
      <c r="M38" s="36" t="e">
        <f>(D38-G38-H38-I38-E38-K38-L38)/D38</f>
        <v>#DIV/0!</v>
      </c>
      <c r="N38" s="37" t="e">
        <f>AVERAGE(N3:N37)</f>
        <v>#DIV/0!</v>
      </c>
      <c r="O38" s="38" t="e">
        <f>AVERAGE(O3:O37)</f>
        <v>#DIV/0!</v>
      </c>
      <c r="P38" s="34" t="e">
        <f>O38/N38</f>
        <v>#DIV/0!</v>
      </c>
      <c r="Q38" s="37">
        <f>SUM(Q3:Q35)</f>
        <v>0</v>
      </c>
      <c r="R38" s="37"/>
      <c r="S38" s="32"/>
      <c r="T38" s="32"/>
      <c r="U38" s="39"/>
      <c r="V38" s="40" t="e">
        <f>AVERAGE(V3:V37)</f>
        <v>#DIV/0!</v>
      </c>
      <c r="W38" s="41" t="e">
        <f>V38*P38*J38</f>
        <v>#DIV/0!</v>
      </c>
      <c r="X38" s="42" t="e">
        <f>V38*P38*M38</f>
        <v>#DIV/0!</v>
      </c>
    </row>
    <row r="39" spans="1:24" ht="28.5">
      <c r="Q39" s="66"/>
      <c r="R39" s="66"/>
      <c r="S39" s="44"/>
      <c r="T39" s="45"/>
      <c r="U39" s="22"/>
    </row>
    <row r="40" spans="1:24" ht="28.5">
      <c r="Q40" s="22"/>
      <c r="R40" s="22"/>
      <c r="S40" s="22"/>
      <c r="T40" s="22"/>
      <c r="U40" s="22"/>
    </row>
    <row r="41" spans="1:24" ht="28.5">
      <c r="Q41" s="22"/>
      <c r="R41" s="67" t="s">
        <v>101</v>
      </c>
      <c r="S41" s="67"/>
      <c r="T41" s="46"/>
      <c r="U41" s="22"/>
      <c r="V41" s="16" t="e">
        <f>AVERAGE(X38,'October 2026 (w Utilization) '!X38,'September 2026 (w Utilization)'!X38,'August 2026 (w Utilization)'!X38,'July 2026 (w Utilization)'!X38,'June 2026 (w Utilization)'!X38,'May 2026 (w Utilization)'!X38,'April 2026 (w Utilization) '!X38,'March 2026 (w Utilization'!X38,'February 2026 (w Utilization) '!X38,'January 2026 (w Utilization)'!X38)</f>
        <v>#DIV/0!</v>
      </c>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t="e">
        <f>W38</f>
        <v>#DIV/0!</v>
      </c>
      <c r="E47" s="18" t="e">
        <f>100%-D47</f>
        <v>#DIV/0!</v>
      </c>
    </row>
    <row r="48" spans="1:24">
      <c r="C48" s="4" t="s">
        <v>143</v>
      </c>
      <c r="D48" s="16" t="e">
        <f>J38</f>
        <v>#DIV/0!</v>
      </c>
      <c r="E48" s="18" t="e">
        <f>100%-D48</f>
        <v>#DIV/0!</v>
      </c>
    </row>
    <row r="49" spans="3:5">
      <c r="C49" s="4" t="s">
        <v>17</v>
      </c>
      <c r="D49" s="16" t="e">
        <f>P38</f>
        <v>#DIV/0!</v>
      </c>
      <c r="E49" s="18" t="e">
        <f>100%-D49</f>
        <v>#DIV/0!</v>
      </c>
    </row>
    <row r="50" spans="3:5">
      <c r="C50" s="4" t="str">
        <f>V2</f>
        <v>Quality</v>
      </c>
      <c r="D50" s="16" t="e">
        <f>V38</f>
        <v>#DIV/0!</v>
      </c>
      <c r="E50" s="18" t="e">
        <f>100%-D50</f>
        <v>#DIV/0!</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J50"/>
  <sheetViews>
    <sheetView topLeftCell="G1" zoomScale="70" zoomScaleNormal="70" workbookViewId="0">
      <selection activeCell="A3" sqref="A3:A27"/>
    </sheetView>
  </sheetViews>
  <sheetFormatPr defaultRowHeight="15"/>
  <cols>
    <col min="1" max="1" width="60" customWidth="1"/>
    <col min="2" max="2" width="19.7109375"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36"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36"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36">
      <c r="A3" s="29"/>
      <c r="B3" s="5"/>
      <c r="C3" s="5"/>
      <c r="D3" s="6" t="str">
        <f>IF(B3="","",(C3-B3)*24*60)</f>
        <v/>
      </c>
      <c r="E3" s="7"/>
      <c r="F3" s="7"/>
      <c r="G3" s="8" t="str">
        <f>IF(E3="","",F3-E3)</f>
        <v/>
      </c>
      <c r="H3" s="7"/>
      <c r="I3" s="7"/>
      <c r="J3" s="9" t="str">
        <f>IF(B3="","",(D3-G3-H3-I3)/D3)</f>
        <v/>
      </c>
      <c r="K3" s="28"/>
      <c r="L3" s="28"/>
      <c r="M3" s="9" t="str">
        <f>IF(B3="","",(D3-G3-H3-I3-K3-L3-E3)/D3)</f>
        <v/>
      </c>
      <c r="N3" s="7"/>
      <c r="O3" s="15"/>
      <c r="P3" s="9" t="str">
        <f>IF(B3="","",O3/N3)</f>
        <v/>
      </c>
      <c r="Q3" s="15"/>
      <c r="R3" s="15"/>
      <c r="S3" s="7"/>
      <c r="T3" s="5"/>
      <c r="U3" s="10" t="str">
        <f>IF(S3="","",(T3-C3))</f>
        <v/>
      </c>
      <c r="V3" s="9" t="str">
        <f>IF(B3="","",IF(U3&lt;3,(Q3-R3)/Q3,(Q3-R3-S3)/Q3))</f>
        <v/>
      </c>
      <c r="W3" s="11" t="str">
        <f>IF(B3="","",V3*P3*J3)</f>
        <v/>
      </c>
      <c r="X3" s="11" t="str">
        <f>IF(B3="","",V3*P3*M3)</f>
        <v/>
      </c>
    </row>
    <row r="4" spans="1:36">
      <c r="A4" s="29"/>
      <c r="B4" s="5"/>
      <c r="C4" s="5"/>
      <c r="D4" s="6" t="str">
        <f>IF(B4="","",(C4-B4)*24*60)</f>
        <v/>
      </c>
      <c r="E4" s="7"/>
      <c r="F4" s="7"/>
      <c r="G4" s="8" t="str">
        <f>IF(E4="","",F4-E4)</f>
        <v/>
      </c>
      <c r="H4" s="7"/>
      <c r="I4" s="7"/>
      <c r="J4" s="9" t="str">
        <f>IF(B4="","",(D4-G4-H4-I4)/D4)</f>
        <v/>
      </c>
      <c r="K4" s="28"/>
      <c r="L4" s="28"/>
      <c r="M4" s="9" t="str">
        <f>IF(B4="","",(D4-G4-H4-I4-K4-L4-E4)/D4)</f>
        <v/>
      </c>
      <c r="N4" s="7"/>
      <c r="O4" s="15"/>
      <c r="P4" s="9" t="str">
        <f>IF(B4="","",O4/N4)</f>
        <v/>
      </c>
      <c r="Q4" s="15"/>
      <c r="R4" s="15"/>
      <c r="S4" s="7"/>
      <c r="T4" s="5"/>
      <c r="U4" s="10" t="str">
        <f>IF(S4="","",(T4-C4))</f>
        <v/>
      </c>
      <c r="V4" s="9" t="str">
        <f>IF(B4="","",IF(U4&lt;3,(Q4-R4)/Q4,(Q4-R4-S4)/Q4))</f>
        <v/>
      </c>
      <c r="W4" s="11" t="str">
        <f>IF(B4="","",V4*P4*J4)</f>
        <v/>
      </c>
      <c r="X4" s="11" t="str">
        <f>IF(B4="","",V4*P4*M4)</f>
        <v/>
      </c>
    </row>
    <row r="5" spans="1:36">
      <c r="A5" s="29"/>
      <c r="B5" s="5"/>
      <c r="C5" s="5"/>
      <c r="D5" s="6" t="str">
        <f>IF(B5="","",(C5-B5)*24*60)</f>
        <v/>
      </c>
      <c r="E5" s="7"/>
      <c r="F5" s="7"/>
      <c r="G5" s="8" t="str">
        <f>IF(E5="","",F5-E5)</f>
        <v/>
      </c>
      <c r="H5" s="7"/>
      <c r="I5" s="7"/>
      <c r="J5" s="9" t="str">
        <f>IF(B5="","",(D5-G5-H5-I5)/D5)</f>
        <v/>
      </c>
      <c r="K5" s="28"/>
      <c r="L5" s="28"/>
      <c r="M5" s="9" t="str">
        <f>IF(B5="","",(D5-G5-H5-I5-K5-L5-E5)/D5)</f>
        <v/>
      </c>
      <c r="N5" s="7"/>
      <c r="O5" s="15"/>
      <c r="P5" s="9" t="str">
        <f>IF(B5="","",O5/N5)</f>
        <v/>
      </c>
      <c r="Q5" s="15"/>
      <c r="R5" s="15"/>
      <c r="S5" s="7"/>
      <c r="T5" s="5"/>
      <c r="U5" s="10" t="str">
        <f t="shared" ref="U5:U12" si="0">IF(S5="","",(T5-C5))</f>
        <v/>
      </c>
      <c r="V5" s="9" t="str">
        <f>IF(B5="","",IF(U5&lt;3,(Q5-R5)/Q5,(Q5-R5-S5)/Q5))</f>
        <v/>
      </c>
      <c r="W5" s="11" t="str">
        <f>IF(B5="","",V5*P5*J5)</f>
        <v/>
      </c>
      <c r="X5" s="11" t="str">
        <f>IF(B5="","",V5*P5*M5)</f>
        <v/>
      </c>
    </row>
    <row r="6" spans="1:36">
      <c r="A6" s="29"/>
      <c r="B6" s="5"/>
      <c r="C6" s="5"/>
      <c r="D6" s="6" t="str">
        <f t="shared" ref="D6:D37" si="1">IF(B6="","",(C6-B6)*24*60)</f>
        <v/>
      </c>
      <c r="E6" s="7"/>
      <c r="F6" s="7"/>
      <c r="G6" s="8" t="str">
        <f>IF(E6="","",F6-E6)</f>
        <v/>
      </c>
      <c r="H6" s="7"/>
      <c r="I6" s="7"/>
      <c r="J6" s="9" t="str">
        <f t="shared" ref="J6:J37" si="2">IF(B6="","",(D6-G6-H6-I6)/D6)</f>
        <v/>
      </c>
      <c r="K6" s="28"/>
      <c r="L6" s="28"/>
      <c r="M6" s="9" t="str">
        <f t="shared" ref="M6:M37" si="3">IF(B6="","",(D6-G6-H6-I6-K6-L6-E6)/D6)</f>
        <v/>
      </c>
      <c r="N6" s="7"/>
      <c r="O6" s="15"/>
      <c r="P6" s="9" t="str">
        <f t="shared" ref="P6:P37" si="4">IF(B6="","",O6/N6)</f>
        <v/>
      </c>
      <c r="Q6" s="7"/>
      <c r="R6" s="7"/>
      <c r="S6" s="7"/>
      <c r="T6" s="5"/>
      <c r="U6" s="10" t="str">
        <f t="shared" si="0"/>
        <v/>
      </c>
      <c r="V6" s="9" t="str">
        <f t="shared" ref="V6:V37" si="5">IF(B6="","",IF(U6&lt;3,(Q6-R6)/Q6,(Q6-R6-S6)/Q6))</f>
        <v/>
      </c>
      <c r="W6" s="11" t="str">
        <f t="shared" ref="W6:W37" si="6">IF(B6="","",V6*P6*J6)</f>
        <v/>
      </c>
      <c r="X6" s="11" t="str">
        <f t="shared" ref="X6:X37" si="7">IF(B6="","",V6*P6*M6)</f>
        <v/>
      </c>
    </row>
    <row r="7" spans="1:36">
      <c r="A7" s="29"/>
      <c r="B7" s="5"/>
      <c r="C7" s="5"/>
      <c r="D7" s="6" t="str">
        <f t="shared" si="1"/>
        <v/>
      </c>
      <c r="E7" s="7"/>
      <c r="F7" s="7"/>
      <c r="G7" s="8" t="str">
        <f t="shared" ref="G7:G37" si="8">IF(E7="","",F7-E7)</f>
        <v/>
      </c>
      <c r="H7" s="7"/>
      <c r="I7" s="7"/>
      <c r="J7" s="9" t="str">
        <f t="shared" si="2"/>
        <v/>
      </c>
      <c r="K7" s="28"/>
      <c r="L7" s="28"/>
      <c r="M7" s="9" t="str">
        <f t="shared" si="3"/>
        <v/>
      </c>
      <c r="N7" s="7"/>
      <c r="O7" s="15"/>
      <c r="P7" s="9" t="str">
        <f t="shared" si="4"/>
        <v/>
      </c>
      <c r="Q7" s="15"/>
      <c r="R7" s="15"/>
      <c r="S7" s="7"/>
      <c r="T7" s="5"/>
      <c r="U7" s="10" t="str">
        <f t="shared" si="0"/>
        <v/>
      </c>
      <c r="V7" s="9" t="str">
        <f t="shared" si="5"/>
        <v/>
      </c>
      <c r="W7" s="11" t="str">
        <f t="shared" si="6"/>
        <v/>
      </c>
      <c r="X7" s="11" t="str">
        <f t="shared" si="7"/>
        <v/>
      </c>
    </row>
    <row r="8" spans="1:36" s="51" customFormat="1">
      <c r="A8" s="29"/>
      <c r="B8" s="5"/>
      <c r="C8" s="5"/>
      <c r="D8" s="6" t="str">
        <f t="shared" si="1"/>
        <v/>
      </c>
      <c r="E8" s="7"/>
      <c r="F8" s="7"/>
      <c r="G8" s="8" t="str">
        <f t="shared" si="8"/>
        <v/>
      </c>
      <c r="H8" s="7"/>
      <c r="I8" s="7"/>
      <c r="J8" s="9" t="str">
        <f t="shared" si="2"/>
        <v/>
      </c>
      <c r="K8" s="28"/>
      <c r="L8" s="28"/>
      <c r="M8" s="9" t="str">
        <f t="shared" si="3"/>
        <v/>
      </c>
      <c r="N8" s="7"/>
      <c r="O8" s="15"/>
      <c r="P8" s="9" t="str">
        <f t="shared" si="4"/>
        <v/>
      </c>
      <c r="Q8" s="15"/>
      <c r="R8" s="15"/>
      <c r="S8" s="7"/>
      <c r="T8" s="61"/>
      <c r="U8" s="10" t="str">
        <f>IF(S8="","",(T8-C8))</f>
        <v/>
      </c>
      <c r="V8" s="9" t="str">
        <f t="shared" si="5"/>
        <v/>
      </c>
      <c r="W8" s="11" t="str">
        <f t="shared" si="6"/>
        <v/>
      </c>
      <c r="X8" s="11" t="str">
        <f t="shared" si="7"/>
        <v/>
      </c>
      <c r="Y8"/>
      <c r="Z8"/>
      <c r="AA8"/>
      <c r="AB8"/>
      <c r="AC8"/>
      <c r="AD8"/>
      <c r="AE8"/>
      <c r="AF8"/>
      <c r="AG8"/>
      <c r="AH8"/>
      <c r="AI8"/>
      <c r="AJ8"/>
    </row>
    <row r="9" spans="1:36" s="51" customFormat="1">
      <c r="A9" s="29"/>
      <c r="B9" s="5"/>
      <c r="C9" s="5"/>
      <c r="D9" s="6" t="str">
        <f t="shared" si="1"/>
        <v/>
      </c>
      <c r="E9" s="7"/>
      <c r="F9" s="7"/>
      <c r="G9" s="8" t="str">
        <f t="shared" si="8"/>
        <v/>
      </c>
      <c r="H9" s="7"/>
      <c r="I9" s="7"/>
      <c r="J9" s="9" t="str">
        <f t="shared" si="2"/>
        <v/>
      </c>
      <c r="K9" s="28"/>
      <c r="L9" s="28"/>
      <c r="M9" s="9" t="str">
        <f t="shared" si="3"/>
        <v/>
      </c>
      <c r="N9" s="7"/>
      <c r="O9" s="15"/>
      <c r="P9" s="9" t="str">
        <f t="shared" si="4"/>
        <v/>
      </c>
      <c r="Q9" s="15"/>
      <c r="R9" s="15"/>
      <c r="S9" s="7"/>
      <c r="T9" s="5"/>
      <c r="U9" s="10" t="str">
        <f t="shared" si="0"/>
        <v/>
      </c>
      <c r="V9" s="9" t="str">
        <f t="shared" si="5"/>
        <v/>
      </c>
      <c r="W9" s="11" t="str">
        <f t="shared" si="6"/>
        <v/>
      </c>
      <c r="X9" s="11" t="str">
        <f t="shared" si="7"/>
        <v/>
      </c>
      <c r="Y9"/>
      <c r="Z9"/>
      <c r="AA9"/>
      <c r="AB9"/>
      <c r="AC9"/>
      <c r="AD9"/>
      <c r="AE9"/>
      <c r="AF9"/>
      <c r="AG9"/>
      <c r="AH9"/>
      <c r="AI9"/>
      <c r="AJ9"/>
    </row>
    <row r="10" spans="1:36">
      <c r="A10" s="29"/>
      <c r="B10" s="5"/>
      <c r="C10" s="5"/>
      <c r="D10" s="6" t="str">
        <f t="shared" si="1"/>
        <v/>
      </c>
      <c r="E10" s="7"/>
      <c r="F10" s="7"/>
      <c r="G10" s="8" t="str">
        <f t="shared" si="8"/>
        <v/>
      </c>
      <c r="H10" s="7"/>
      <c r="I10" s="7"/>
      <c r="J10" s="9" t="str">
        <f t="shared" si="2"/>
        <v/>
      </c>
      <c r="K10" s="28"/>
      <c r="L10" s="28"/>
      <c r="M10" s="9" t="str">
        <f t="shared" si="3"/>
        <v/>
      </c>
      <c r="N10" s="7"/>
      <c r="O10" s="15"/>
      <c r="P10" s="9" t="str">
        <f t="shared" si="4"/>
        <v/>
      </c>
      <c r="Q10" s="15"/>
      <c r="R10" s="15"/>
      <c r="S10" s="7"/>
      <c r="T10" s="5"/>
      <c r="U10" s="10" t="str">
        <f t="shared" si="0"/>
        <v/>
      </c>
      <c r="V10" s="9" t="str">
        <f t="shared" si="5"/>
        <v/>
      </c>
      <c r="W10" s="11" t="str">
        <f t="shared" si="6"/>
        <v/>
      </c>
      <c r="X10" s="11" t="str">
        <f t="shared" si="7"/>
        <v/>
      </c>
    </row>
    <row r="11" spans="1:36">
      <c r="A11" s="29"/>
      <c r="B11" s="5"/>
      <c r="C11" s="5"/>
      <c r="D11" s="6" t="str">
        <f t="shared" si="1"/>
        <v/>
      </c>
      <c r="E11" s="7"/>
      <c r="F11" s="7"/>
      <c r="G11" s="8" t="str">
        <f t="shared" si="8"/>
        <v/>
      </c>
      <c r="H11" s="7"/>
      <c r="I11" s="7"/>
      <c r="J11" s="9" t="str">
        <f t="shared" si="2"/>
        <v/>
      </c>
      <c r="K11" s="28"/>
      <c r="L11" s="28"/>
      <c r="M11" s="9" t="str">
        <f t="shared" si="3"/>
        <v/>
      </c>
      <c r="N11" s="7"/>
      <c r="O11" s="15"/>
      <c r="P11" s="9" t="str">
        <f t="shared" si="4"/>
        <v/>
      </c>
      <c r="Q11" s="15"/>
      <c r="R11" s="15"/>
      <c r="S11" s="7"/>
      <c r="T11" s="5"/>
      <c r="U11" s="10" t="str">
        <f t="shared" si="0"/>
        <v/>
      </c>
      <c r="V11" s="9" t="str">
        <f t="shared" si="5"/>
        <v/>
      </c>
      <c r="W11" s="11" t="str">
        <f t="shared" si="6"/>
        <v/>
      </c>
      <c r="X11" s="11" t="str">
        <f t="shared" si="7"/>
        <v/>
      </c>
    </row>
    <row r="12" spans="1:36">
      <c r="A12" s="29"/>
      <c r="B12" s="5"/>
      <c r="C12" s="5"/>
      <c r="D12" s="6" t="str">
        <f t="shared" si="1"/>
        <v/>
      </c>
      <c r="E12" s="7"/>
      <c r="F12" s="7"/>
      <c r="G12" s="8" t="str">
        <f>IF(E12="","",F12-E12)</f>
        <v/>
      </c>
      <c r="H12" s="7"/>
      <c r="I12" s="7"/>
      <c r="J12" s="9" t="str">
        <f t="shared" si="2"/>
        <v/>
      </c>
      <c r="K12" s="28"/>
      <c r="L12" s="28"/>
      <c r="M12" s="9" t="str">
        <f t="shared" si="3"/>
        <v/>
      </c>
      <c r="N12" s="7"/>
      <c r="O12" s="15"/>
      <c r="P12" s="9" t="str">
        <f t="shared" si="4"/>
        <v/>
      </c>
      <c r="Q12" s="15"/>
      <c r="R12" s="15"/>
      <c r="S12" s="7"/>
      <c r="T12" s="5"/>
      <c r="U12" s="10" t="str">
        <f t="shared" si="0"/>
        <v/>
      </c>
      <c r="V12" s="9" t="str">
        <f t="shared" si="5"/>
        <v/>
      </c>
      <c r="W12" s="11" t="str">
        <f t="shared" si="6"/>
        <v/>
      </c>
      <c r="X12" s="11" t="str">
        <f t="shared" si="7"/>
        <v/>
      </c>
    </row>
    <row r="13" spans="1:36">
      <c r="A13" s="29"/>
      <c r="B13" s="5"/>
      <c r="C13" s="5"/>
      <c r="D13" s="6" t="str">
        <f t="shared" si="1"/>
        <v/>
      </c>
      <c r="E13" s="7"/>
      <c r="F13" s="7"/>
      <c r="G13" s="8" t="str">
        <f t="shared" si="8"/>
        <v/>
      </c>
      <c r="H13" s="7"/>
      <c r="I13" s="7"/>
      <c r="J13" s="9" t="str">
        <f t="shared" si="2"/>
        <v/>
      </c>
      <c r="K13" s="28"/>
      <c r="L13" s="28"/>
      <c r="M13" s="9" t="str">
        <f t="shared" si="3"/>
        <v/>
      </c>
      <c r="N13" s="7"/>
      <c r="O13" s="15"/>
      <c r="P13" s="9" t="str">
        <f t="shared" si="4"/>
        <v/>
      </c>
      <c r="Q13" s="15"/>
      <c r="R13" s="15"/>
      <c r="S13" s="7"/>
      <c r="T13" s="5"/>
      <c r="U13" s="10" t="str">
        <f t="shared" ref="U13:U37" si="9">IF(S13="","",(T13-C13))</f>
        <v/>
      </c>
      <c r="V13" s="9" t="str">
        <f t="shared" si="5"/>
        <v/>
      </c>
      <c r="W13" s="11" t="str">
        <f t="shared" si="6"/>
        <v/>
      </c>
      <c r="X13" s="11" t="str">
        <f t="shared" si="7"/>
        <v/>
      </c>
    </row>
    <row r="14" spans="1:36">
      <c r="A14" s="29"/>
      <c r="B14" s="5"/>
      <c r="C14" s="5"/>
      <c r="D14" s="6" t="str">
        <f t="shared" si="1"/>
        <v/>
      </c>
      <c r="E14" s="7"/>
      <c r="F14" s="7"/>
      <c r="G14" s="8" t="str">
        <f t="shared" si="8"/>
        <v/>
      </c>
      <c r="H14" s="7"/>
      <c r="I14" s="7"/>
      <c r="J14" s="9" t="str">
        <f t="shared" si="2"/>
        <v/>
      </c>
      <c r="K14" s="28"/>
      <c r="L14" s="28"/>
      <c r="M14" s="9" t="str">
        <f t="shared" si="3"/>
        <v/>
      </c>
      <c r="N14" s="7"/>
      <c r="O14" s="15"/>
      <c r="P14" s="9" t="str">
        <f t="shared" si="4"/>
        <v/>
      </c>
      <c r="Q14" s="15"/>
      <c r="R14" s="15"/>
      <c r="S14" s="7"/>
      <c r="T14" s="5"/>
      <c r="U14" s="10" t="str">
        <f t="shared" si="9"/>
        <v/>
      </c>
      <c r="V14" s="9" t="str">
        <f t="shared" ref="V14" si="10">IF(B14="","",IF(U14&lt;3,(Q14-R14)/Q14,(Q14-R14-S14)/Q14))</f>
        <v/>
      </c>
      <c r="W14" s="11" t="str">
        <f t="shared" ref="W14" si="11">IF(B14="","",V14*P14*J14)</f>
        <v/>
      </c>
      <c r="X14" s="11" t="str">
        <f t="shared" ref="X14" si="12">IF(B14="","",V14*P14*M14)</f>
        <v/>
      </c>
    </row>
    <row r="15" spans="1:36">
      <c r="A15" s="29"/>
      <c r="B15" s="5"/>
      <c r="C15" s="5"/>
      <c r="D15" s="6" t="str">
        <f t="shared" si="1"/>
        <v/>
      </c>
      <c r="E15" s="7"/>
      <c r="F15" s="7"/>
      <c r="G15" s="8" t="str">
        <f t="shared" si="8"/>
        <v/>
      </c>
      <c r="H15" s="7"/>
      <c r="I15" s="7"/>
      <c r="J15" s="9" t="str">
        <f t="shared" si="2"/>
        <v/>
      </c>
      <c r="K15" s="28"/>
      <c r="L15" s="28"/>
      <c r="M15" s="9" t="str">
        <f t="shared" si="3"/>
        <v/>
      </c>
      <c r="N15" s="7"/>
      <c r="O15" s="15"/>
      <c r="P15" s="9" t="str">
        <f t="shared" si="4"/>
        <v/>
      </c>
      <c r="Q15" s="15"/>
      <c r="R15" s="7"/>
      <c r="S15" s="7"/>
      <c r="T15" s="5"/>
      <c r="U15" s="10" t="str">
        <f t="shared" si="9"/>
        <v/>
      </c>
      <c r="V15" s="9" t="str">
        <f t="shared" si="5"/>
        <v/>
      </c>
      <c r="W15" s="11" t="str">
        <f t="shared" si="6"/>
        <v/>
      </c>
      <c r="X15" s="11" t="str">
        <f t="shared" si="7"/>
        <v/>
      </c>
    </row>
    <row r="16" spans="1:36">
      <c r="A16" s="29"/>
      <c r="B16" s="5"/>
      <c r="C16" s="5"/>
      <c r="D16" s="6" t="str">
        <f t="shared" si="1"/>
        <v/>
      </c>
      <c r="E16" s="7"/>
      <c r="F16" s="7"/>
      <c r="G16" s="8" t="str">
        <f t="shared" si="8"/>
        <v/>
      </c>
      <c r="H16" s="7"/>
      <c r="I16" s="7"/>
      <c r="J16" s="9" t="str">
        <f>IF(B16="","",(D16-G16-H16-I16)/D16)</f>
        <v/>
      </c>
      <c r="K16" s="28"/>
      <c r="L16" s="28"/>
      <c r="M16" s="9" t="str">
        <f t="shared" si="3"/>
        <v/>
      </c>
      <c r="N16" s="7"/>
      <c r="O16" s="15"/>
      <c r="P16" s="9" t="str">
        <f t="shared" si="4"/>
        <v/>
      </c>
      <c r="Q16" s="7"/>
      <c r="R16" s="7"/>
      <c r="S16" s="7"/>
      <c r="T16" s="5"/>
      <c r="U16" s="10" t="str">
        <f t="shared" si="9"/>
        <v/>
      </c>
      <c r="V16" s="9" t="str">
        <f t="shared" si="5"/>
        <v/>
      </c>
      <c r="W16" s="11" t="str">
        <f t="shared" si="6"/>
        <v/>
      </c>
      <c r="X16" s="11" t="str">
        <f t="shared" si="7"/>
        <v/>
      </c>
    </row>
    <row r="17" spans="1:24">
      <c r="A17" s="29"/>
      <c r="B17" s="5"/>
      <c r="C17" s="5"/>
      <c r="D17" s="6" t="str">
        <f t="shared" si="1"/>
        <v/>
      </c>
      <c r="E17" s="7"/>
      <c r="F17" s="7"/>
      <c r="G17" s="8" t="str">
        <f t="shared" si="8"/>
        <v/>
      </c>
      <c r="H17" s="7"/>
      <c r="I17" s="7"/>
      <c r="J17" s="9" t="str">
        <f t="shared" si="2"/>
        <v/>
      </c>
      <c r="K17" s="28"/>
      <c r="L17" s="28"/>
      <c r="M17" s="9" t="str">
        <f t="shared" si="3"/>
        <v/>
      </c>
      <c r="N17" s="7"/>
      <c r="O17" s="15"/>
      <c r="P17" s="9" t="str">
        <f t="shared" si="4"/>
        <v/>
      </c>
      <c r="Q17" s="7"/>
      <c r="R17" s="7"/>
      <c r="S17" s="7"/>
      <c r="T17" s="5"/>
      <c r="U17" s="10" t="str">
        <f t="shared" si="9"/>
        <v/>
      </c>
      <c r="V17" s="9" t="str">
        <f t="shared" si="5"/>
        <v/>
      </c>
      <c r="W17" s="11" t="str">
        <f t="shared" si="6"/>
        <v/>
      </c>
      <c r="X17" s="11" t="str">
        <f t="shared" si="7"/>
        <v/>
      </c>
    </row>
    <row r="18" spans="1:24">
      <c r="A18" s="29"/>
      <c r="B18" s="5"/>
      <c r="C18" s="5"/>
      <c r="D18" s="6" t="str">
        <f t="shared" si="1"/>
        <v/>
      </c>
      <c r="E18" s="7"/>
      <c r="F18" s="7"/>
      <c r="G18" s="8" t="str">
        <f t="shared" si="8"/>
        <v/>
      </c>
      <c r="H18" s="7"/>
      <c r="I18" s="7"/>
      <c r="J18" s="9" t="str">
        <f t="shared" si="2"/>
        <v/>
      </c>
      <c r="K18" s="28"/>
      <c r="L18" s="28"/>
      <c r="M18" s="9" t="str">
        <f t="shared" si="3"/>
        <v/>
      </c>
      <c r="N18" s="7"/>
      <c r="O18" s="15"/>
      <c r="P18" s="9" t="str">
        <f t="shared" si="4"/>
        <v/>
      </c>
      <c r="Q18" s="7"/>
      <c r="R18" s="7"/>
      <c r="S18" s="7"/>
      <c r="T18" s="5"/>
      <c r="U18" s="10" t="str">
        <f t="shared" si="9"/>
        <v/>
      </c>
      <c r="V18" s="9" t="str">
        <f t="shared" si="5"/>
        <v/>
      </c>
      <c r="W18" s="11" t="str">
        <f t="shared" si="6"/>
        <v/>
      </c>
      <c r="X18" s="11" t="str">
        <f t="shared" si="7"/>
        <v/>
      </c>
    </row>
    <row r="19" spans="1:24">
      <c r="A19" s="29"/>
      <c r="B19" s="5"/>
      <c r="C19" s="5"/>
      <c r="D19" s="6" t="str">
        <f t="shared" si="1"/>
        <v/>
      </c>
      <c r="E19" s="7"/>
      <c r="F19" s="7"/>
      <c r="G19" s="8" t="str">
        <f t="shared" si="8"/>
        <v/>
      </c>
      <c r="H19" s="7"/>
      <c r="I19" s="7"/>
      <c r="J19" s="9" t="str">
        <f t="shared" si="2"/>
        <v/>
      </c>
      <c r="K19" s="28"/>
      <c r="L19" s="28"/>
      <c r="M19" s="9" t="str">
        <f t="shared" si="3"/>
        <v/>
      </c>
      <c r="N19" s="7"/>
      <c r="O19" s="15"/>
      <c r="P19" s="9" t="str">
        <f t="shared" si="4"/>
        <v/>
      </c>
      <c r="Q19" s="15"/>
      <c r="R19" s="7"/>
      <c r="S19" s="7"/>
      <c r="T19" s="5"/>
      <c r="U19" s="10" t="str">
        <f t="shared" si="9"/>
        <v/>
      </c>
      <c r="V19" s="9" t="str">
        <f t="shared" si="5"/>
        <v/>
      </c>
      <c r="W19" s="11" t="str">
        <f t="shared" si="6"/>
        <v/>
      </c>
      <c r="X19" s="11" t="str">
        <f t="shared" si="7"/>
        <v/>
      </c>
    </row>
    <row r="20" spans="1:24">
      <c r="A20" s="29"/>
      <c r="B20" s="5"/>
      <c r="C20" s="5"/>
      <c r="D20" s="6" t="str">
        <f t="shared" si="1"/>
        <v/>
      </c>
      <c r="E20" s="7"/>
      <c r="F20" s="7"/>
      <c r="G20" s="8" t="str">
        <f t="shared" si="8"/>
        <v/>
      </c>
      <c r="H20" s="7"/>
      <c r="I20" s="7"/>
      <c r="J20" s="9" t="str">
        <f t="shared" si="2"/>
        <v/>
      </c>
      <c r="K20" s="28"/>
      <c r="L20" s="28"/>
      <c r="M20" s="9" t="str">
        <f t="shared" si="3"/>
        <v/>
      </c>
      <c r="N20" s="7"/>
      <c r="O20" s="30"/>
      <c r="P20" s="9" t="str">
        <f t="shared" si="4"/>
        <v/>
      </c>
      <c r="Q20" s="7"/>
      <c r="R20" s="7"/>
      <c r="S20" s="7"/>
      <c r="T20" s="5"/>
      <c r="U20" s="10" t="str">
        <f t="shared" si="9"/>
        <v/>
      </c>
      <c r="V20" s="9" t="str">
        <f t="shared" si="5"/>
        <v/>
      </c>
      <c r="W20" s="11" t="str">
        <f t="shared" si="6"/>
        <v/>
      </c>
      <c r="X20" s="11" t="str">
        <f t="shared" si="7"/>
        <v/>
      </c>
    </row>
    <row r="21" spans="1:24">
      <c r="A21" s="29"/>
      <c r="B21" s="5"/>
      <c r="C21" s="5"/>
      <c r="D21" s="6" t="str">
        <f t="shared" si="1"/>
        <v/>
      </c>
      <c r="E21" s="7"/>
      <c r="F21" s="7"/>
      <c r="G21" s="8" t="str">
        <f t="shared" si="8"/>
        <v/>
      </c>
      <c r="H21" s="7"/>
      <c r="I21" s="7"/>
      <c r="J21" s="9" t="str">
        <f t="shared" si="2"/>
        <v/>
      </c>
      <c r="K21" s="28"/>
      <c r="L21" s="28"/>
      <c r="M21" s="9" t="str">
        <f t="shared" si="3"/>
        <v/>
      </c>
      <c r="N21" s="7"/>
      <c r="O21" s="15"/>
      <c r="P21" s="9" t="str">
        <f t="shared" si="4"/>
        <v/>
      </c>
      <c r="Q21" s="7"/>
      <c r="R21" s="15"/>
      <c r="S21" s="7"/>
      <c r="T21" s="5"/>
      <c r="U21" s="10" t="str">
        <f t="shared" si="9"/>
        <v/>
      </c>
      <c r="V21" s="9" t="str">
        <f t="shared" si="5"/>
        <v/>
      </c>
      <c r="W21" s="11" t="str">
        <f t="shared" si="6"/>
        <v/>
      </c>
      <c r="X21" s="11" t="str">
        <f t="shared" si="7"/>
        <v/>
      </c>
    </row>
    <row r="22" spans="1:24">
      <c r="A22" s="29"/>
      <c r="B22" s="5"/>
      <c r="C22" s="5"/>
      <c r="D22" s="6" t="str">
        <f t="shared" si="1"/>
        <v/>
      </c>
      <c r="E22" s="7"/>
      <c r="F22" s="7"/>
      <c r="G22" s="8" t="str">
        <f t="shared" si="8"/>
        <v/>
      </c>
      <c r="H22" s="7"/>
      <c r="I22" s="7"/>
      <c r="J22" s="9" t="str">
        <f t="shared" si="2"/>
        <v/>
      </c>
      <c r="K22" s="28"/>
      <c r="L22" s="28"/>
      <c r="M22" s="9" t="str">
        <f t="shared" si="3"/>
        <v/>
      </c>
      <c r="N22" s="7"/>
      <c r="O22" s="30"/>
      <c r="P22" s="9" t="str">
        <f t="shared" si="4"/>
        <v/>
      </c>
      <c r="Q22" s="15"/>
      <c r="R22" s="7"/>
      <c r="S22" s="7"/>
      <c r="T22" s="5"/>
      <c r="U22" s="10" t="str">
        <f t="shared" si="9"/>
        <v/>
      </c>
      <c r="V22" s="9" t="str">
        <f t="shared" si="5"/>
        <v/>
      </c>
      <c r="W22" s="11" t="str">
        <f t="shared" si="6"/>
        <v/>
      </c>
      <c r="X22" s="11" t="str">
        <f t="shared" si="7"/>
        <v/>
      </c>
    </row>
    <row r="23" spans="1:24">
      <c r="A23" s="29"/>
      <c r="B23" s="5"/>
      <c r="C23" s="5"/>
      <c r="D23" s="6" t="str">
        <f t="shared" si="1"/>
        <v/>
      </c>
      <c r="E23" s="7"/>
      <c r="F23" s="7"/>
      <c r="G23" s="8" t="str">
        <f t="shared" si="8"/>
        <v/>
      </c>
      <c r="H23" s="7"/>
      <c r="I23" s="7"/>
      <c r="J23" s="9" t="str">
        <f t="shared" si="2"/>
        <v/>
      </c>
      <c r="K23" s="28"/>
      <c r="L23" s="28"/>
      <c r="M23" s="9" t="str">
        <f t="shared" si="3"/>
        <v/>
      </c>
      <c r="N23" s="7"/>
      <c r="O23" s="15"/>
      <c r="P23" s="9" t="str">
        <f t="shared" si="4"/>
        <v/>
      </c>
      <c r="Q23" s="15"/>
      <c r="R23" s="7"/>
      <c r="S23" s="7"/>
      <c r="T23" s="5"/>
      <c r="U23" s="10" t="str">
        <f t="shared" si="9"/>
        <v/>
      </c>
      <c r="V23" s="9" t="str">
        <f t="shared" si="5"/>
        <v/>
      </c>
      <c r="W23" s="11" t="str">
        <f t="shared" si="6"/>
        <v/>
      </c>
      <c r="X23" s="11" t="str">
        <f t="shared" si="7"/>
        <v/>
      </c>
    </row>
    <row r="24" spans="1:24">
      <c r="A24" s="29"/>
      <c r="B24" s="5"/>
      <c r="C24" s="5"/>
      <c r="D24" s="6" t="str">
        <f t="shared" si="1"/>
        <v/>
      </c>
      <c r="E24" s="7"/>
      <c r="F24" s="7"/>
      <c r="G24" s="8" t="str">
        <f t="shared" si="8"/>
        <v/>
      </c>
      <c r="H24" s="7"/>
      <c r="I24" s="7"/>
      <c r="J24" s="9" t="str">
        <f t="shared" si="2"/>
        <v/>
      </c>
      <c r="K24" s="28"/>
      <c r="L24" s="28"/>
      <c r="M24" s="9" t="str">
        <f t="shared" si="3"/>
        <v/>
      </c>
      <c r="N24" s="7"/>
      <c r="O24" s="15"/>
      <c r="P24" s="9" t="str">
        <f t="shared" si="4"/>
        <v/>
      </c>
      <c r="Q24" s="7"/>
      <c r="R24" s="7"/>
      <c r="S24" s="7"/>
      <c r="T24" s="5"/>
      <c r="U24" s="10" t="str">
        <f t="shared" si="9"/>
        <v/>
      </c>
      <c r="V24" s="9" t="str">
        <f t="shared" si="5"/>
        <v/>
      </c>
      <c r="W24" s="11" t="str">
        <f t="shared" si="6"/>
        <v/>
      </c>
      <c r="X24" s="11" t="str">
        <f t="shared" si="7"/>
        <v/>
      </c>
    </row>
    <row r="25" spans="1:24">
      <c r="A25" s="29"/>
      <c r="B25" s="5"/>
      <c r="C25" s="5"/>
      <c r="D25" s="6" t="str">
        <f t="shared" si="1"/>
        <v/>
      </c>
      <c r="E25" s="7"/>
      <c r="F25" s="7"/>
      <c r="G25" s="8" t="str">
        <f t="shared" si="8"/>
        <v/>
      </c>
      <c r="H25" s="7"/>
      <c r="I25" s="7"/>
      <c r="J25" s="9" t="str">
        <f t="shared" si="2"/>
        <v/>
      </c>
      <c r="K25" s="28"/>
      <c r="L25" s="28"/>
      <c r="M25" s="9" t="str">
        <f t="shared" si="3"/>
        <v/>
      </c>
      <c r="N25" s="7"/>
      <c r="O25" s="15"/>
      <c r="P25" s="9" t="str">
        <f t="shared" si="4"/>
        <v/>
      </c>
      <c r="Q25" s="7"/>
      <c r="R25" s="7"/>
      <c r="S25" s="7"/>
      <c r="T25" s="5"/>
      <c r="U25" s="10" t="str">
        <f t="shared" si="9"/>
        <v/>
      </c>
      <c r="V25" s="9" t="str">
        <f t="shared" si="5"/>
        <v/>
      </c>
      <c r="W25" s="11" t="str">
        <f t="shared" si="6"/>
        <v/>
      </c>
      <c r="X25" s="11" t="str">
        <f t="shared" si="7"/>
        <v/>
      </c>
    </row>
    <row r="26" spans="1:24" ht="15.75" thickBot="1">
      <c r="A26" s="29"/>
      <c r="B26" s="5"/>
      <c r="C26" s="5"/>
      <c r="D26" s="6" t="str">
        <f t="shared" si="1"/>
        <v/>
      </c>
      <c r="E26" s="7"/>
      <c r="F26" s="7"/>
      <c r="G26" s="8" t="str">
        <f t="shared" si="8"/>
        <v/>
      </c>
      <c r="H26" s="7"/>
      <c r="I26" s="7"/>
      <c r="J26" s="9" t="str">
        <f t="shared" si="2"/>
        <v/>
      </c>
      <c r="K26" s="28"/>
      <c r="L26" s="28"/>
      <c r="M26" s="9" t="str">
        <f t="shared" si="3"/>
        <v/>
      </c>
      <c r="N26" s="7"/>
      <c r="O26" s="15"/>
      <c r="P26" s="9" t="str">
        <f t="shared" si="4"/>
        <v/>
      </c>
      <c r="Q26" s="7"/>
      <c r="R26" s="7"/>
      <c r="S26" s="7"/>
      <c r="T26" s="5"/>
      <c r="U26" s="10" t="str">
        <f t="shared" si="9"/>
        <v/>
      </c>
      <c r="V26" s="9" t="str">
        <f t="shared" si="5"/>
        <v/>
      </c>
      <c r="W26" s="11" t="str">
        <f t="shared" si="6"/>
        <v/>
      </c>
      <c r="X26" s="11" t="str">
        <f t="shared" si="7"/>
        <v/>
      </c>
    </row>
    <row r="27" spans="1:24">
      <c r="A27" s="29"/>
      <c r="B27" s="5"/>
      <c r="C27" s="5"/>
      <c r="D27" s="6" t="str">
        <f t="shared" si="1"/>
        <v/>
      </c>
      <c r="E27" s="7"/>
      <c r="F27" s="7"/>
      <c r="G27" s="8" t="str">
        <f t="shared" si="8"/>
        <v/>
      </c>
      <c r="H27" s="7"/>
      <c r="I27" s="7"/>
      <c r="J27" s="9" t="str">
        <f t="shared" si="2"/>
        <v/>
      </c>
      <c r="K27" s="28"/>
      <c r="L27" s="28"/>
      <c r="M27" s="9" t="str">
        <f t="shared" si="3"/>
        <v/>
      </c>
      <c r="N27" s="7"/>
      <c r="O27" s="15"/>
      <c r="P27" s="9" t="str">
        <f t="shared" si="4"/>
        <v/>
      </c>
      <c r="Q27" s="7"/>
      <c r="R27" s="7"/>
      <c r="S27" s="7"/>
      <c r="T27" s="5"/>
      <c r="U27" s="10" t="str">
        <f t="shared" si="9"/>
        <v/>
      </c>
      <c r="V27" s="9" t="str">
        <f t="shared" si="5"/>
        <v/>
      </c>
      <c r="W27" s="11" t="str">
        <f t="shared" si="6"/>
        <v/>
      </c>
      <c r="X27" s="11" t="str">
        <f t="shared" si="7"/>
        <v/>
      </c>
    </row>
    <row r="28" spans="1:24">
      <c r="A28" s="29"/>
      <c r="B28" s="5"/>
      <c r="C28" s="5"/>
      <c r="D28" s="6" t="str">
        <f t="shared" si="1"/>
        <v/>
      </c>
      <c r="E28" s="7"/>
      <c r="F28" s="7"/>
      <c r="G28" s="8" t="str">
        <f t="shared" si="8"/>
        <v/>
      </c>
      <c r="H28" s="7"/>
      <c r="I28" s="7"/>
      <c r="J28" s="9" t="str">
        <f t="shared" si="2"/>
        <v/>
      </c>
      <c r="K28" s="28"/>
      <c r="L28" s="28"/>
      <c r="M28" s="9" t="str">
        <f t="shared" si="3"/>
        <v/>
      </c>
      <c r="N28" s="7"/>
      <c r="O28" s="15"/>
      <c r="P28" s="9" t="str">
        <f t="shared" si="4"/>
        <v/>
      </c>
      <c r="Q28" s="15"/>
      <c r="R28" s="7"/>
      <c r="S28" s="7"/>
      <c r="T28" s="5"/>
      <c r="U28" s="10" t="str">
        <f t="shared" si="9"/>
        <v/>
      </c>
      <c r="V28" s="9" t="str">
        <f t="shared" si="5"/>
        <v/>
      </c>
      <c r="W28" s="11" t="str">
        <f t="shared" si="6"/>
        <v/>
      </c>
      <c r="X28" s="11" t="str">
        <f t="shared" si="7"/>
        <v/>
      </c>
    </row>
    <row r="29" spans="1:24">
      <c r="A29" s="29"/>
      <c r="B29" s="5"/>
      <c r="C29" s="5"/>
      <c r="D29" s="6" t="str">
        <f t="shared" si="1"/>
        <v/>
      </c>
      <c r="E29" s="7"/>
      <c r="F29" s="7"/>
      <c r="G29" s="8" t="str">
        <f t="shared" si="8"/>
        <v/>
      </c>
      <c r="H29" s="7"/>
      <c r="I29" s="7"/>
      <c r="J29" s="9" t="str">
        <f t="shared" si="2"/>
        <v/>
      </c>
      <c r="K29" s="28"/>
      <c r="L29" s="28"/>
      <c r="M29" s="9" t="str">
        <f t="shared" si="3"/>
        <v/>
      </c>
      <c r="N29" s="7"/>
      <c r="O29" s="7"/>
      <c r="P29" s="9" t="str">
        <f t="shared" si="4"/>
        <v/>
      </c>
      <c r="Q29" s="7"/>
      <c r="R29" s="7"/>
      <c r="S29" s="7"/>
      <c r="T29" s="5"/>
      <c r="U29" s="10" t="str">
        <f t="shared" si="9"/>
        <v/>
      </c>
      <c r="V29" s="9" t="str">
        <f t="shared" si="5"/>
        <v/>
      </c>
      <c r="W29" s="11" t="str">
        <f t="shared" si="6"/>
        <v/>
      </c>
      <c r="X29" s="11" t="str">
        <f t="shared" si="7"/>
        <v/>
      </c>
    </row>
    <row r="30" spans="1:24">
      <c r="A30" s="29"/>
      <c r="B30" s="5"/>
      <c r="C30" s="5"/>
      <c r="D30" s="6" t="str">
        <f t="shared" si="1"/>
        <v/>
      </c>
      <c r="E30" s="7"/>
      <c r="F30" s="7"/>
      <c r="G30" s="8" t="str">
        <f t="shared" si="8"/>
        <v/>
      </c>
      <c r="H30" s="7"/>
      <c r="I30" s="7"/>
      <c r="J30" s="9" t="str">
        <f t="shared" si="2"/>
        <v/>
      </c>
      <c r="K30" s="28"/>
      <c r="L30" s="28"/>
      <c r="M30" s="9" t="str">
        <f t="shared" si="3"/>
        <v/>
      </c>
      <c r="N30" s="7"/>
      <c r="O30" s="15"/>
      <c r="P30" s="9" t="str">
        <f t="shared" si="4"/>
        <v/>
      </c>
      <c r="Q30" s="15"/>
      <c r="R30" s="7"/>
      <c r="S30" s="7"/>
      <c r="T30" s="5"/>
      <c r="U30" s="10" t="str">
        <f t="shared" si="9"/>
        <v/>
      </c>
      <c r="V30" s="9" t="str">
        <f t="shared" si="5"/>
        <v/>
      </c>
      <c r="W30" s="11" t="str">
        <f t="shared" si="6"/>
        <v/>
      </c>
      <c r="X30" s="11" t="str">
        <f t="shared" si="7"/>
        <v/>
      </c>
    </row>
    <row r="31" spans="1:24">
      <c r="A31" s="29"/>
      <c r="B31" s="5"/>
      <c r="C31" s="5"/>
      <c r="D31" s="6" t="str">
        <f t="shared" si="1"/>
        <v/>
      </c>
      <c r="E31" s="7"/>
      <c r="F31" s="7"/>
      <c r="G31" s="8" t="str">
        <f t="shared" si="8"/>
        <v/>
      </c>
      <c r="H31" s="7"/>
      <c r="I31" s="7"/>
      <c r="J31" s="9" t="str">
        <f t="shared" si="2"/>
        <v/>
      </c>
      <c r="K31" s="28"/>
      <c r="L31" s="28"/>
      <c r="M31" s="9" t="str">
        <f t="shared" si="3"/>
        <v/>
      </c>
      <c r="N31" s="7"/>
      <c r="O31" s="15"/>
      <c r="P31" s="9" t="str">
        <f t="shared" si="4"/>
        <v/>
      </c>
      <c r="Q31" s="15"/>
      <c r="R31" s="15"/>
      <c r="S31" s="7"/>
      <c r="T31" s="5"/>
      <c r="U31" s="10" t="str">
        <f t="shared" si="9"/>
        <v/>
      </c>
      <c r="V31" s="9" t="str">
        <f t="shared" si="5"/>
        <v/>
      </c>
      <c r="W31" s="11" t="str">
        <f t="shared" si="6"/>
        <v/>
      </c>
      <c r="X31" s="11" t="str">
        <f t="shared" si="7"/>
        <v/>
      </c>
    </row>
    <row r="32" spans="1:24">
      <c r="A32" s="29"/>
      <c r="B32" s="5"/>
      <c r="C32" s="5"/>
      <c r="D32" s="6" t="str">
        <f t="shared" si="1"/>
        <v/>
      </c>
      <c r="E32" s="7"/>
      <c r="F32" s="7"/>
      <c r="G32" s="8" t="str">
        <f t="shared" si="8"/>
        <v/>
      </c>
      <c r="H32" s="7"/>
      <c r="I32" s="7"/>
      <c r="J32" s="9" t="str">
        <f t="shared" si="2"/>
        <v/>
      </c>
      <c r="K32" s="28"/>
      <c r="L32" s="28"/>
      <c r="M32" s="9" t="str">
        <f t="shared" si="3"/>
        <v/>
      </c>
      <c r="N32" s="7"/>
      <c r="O32" s="15"/>
      <c r="P32" s="9" t="str">
        <f t="shared" si="4"/>
        <v/>
      </c>
      <c r="Q32" s="15"/>
      <c r="R32" s="7"/>
      <c r="S32" s="7"/>
      <c r="T32" s="5"/>
      <c r="U32" s="10" t="str">
        <f t="shared" si="9"/>
        <v/>
      </c>
      <c r="V32" s="9" t="str">
        <f t="shared" si="5"/>
        <v/>
      </c>
      <c r="W32" s="11" t="str">
        <f t="shared" si="6"/>
        <v/>
      </c>
      <c r="X32" s="11" t="str">
        <f t="shared" si="7"/>
        <v/>
      </c>
    </row>
    <row r="33" spans="1:24">
      <c r="A33" s="29"/>
      <c r="B33" s="5"/>
      <c r="C33" s="5"/>
      <c r="D33" s="6" t="str">
        <f t="shared" si="1"/>
        <v/>
      </c>
      <c r="E33" s="7"/>
      <c r="F33" s="7"/>
      <c r="G33" s="8" t="str">
        <f t="shared" si="8"/>
        <v/>
      </c>
      <c r="H33" s="7"/>
      <c r="I33" s="7"/>
      <c r="J33" s="9" t="str">
        <f t="shared" si="2"/>
        <v/>
      </c>
      <c r="K33" s="28"/>
      <c r="L33" s="28"/>
      <c r="M33" s="9" t="str">
        <f t="shared" si="3"/>
        <v/>
      </c>
      <c r="N33" s="7"/>
      <c r="O33" s="15"/>
      <c r="P33" s="9" t="str">
        <f t="shared" si="4"/>
        <v/>
      </c>
      <c r="Q33" s="15"/>
      <c r="R33" s="7"/>
      <c r="S33" s="7"/>
      <c r="T33" s="5"/>
      <c r="U33" s="10" t="str">
        <f t="shared" si="9"/>
        <v/>
      </c>
      <c r="V33" s="9" t="str">
        <f t="shared" si="5"/>
        <v/>
      </c>
      <c r="W33" s="11" t="str">
        <f t="shared" si="6"/>
        <v/>
      </c>
      <c r="X33" s="11" t="str">
        <f t="shared" si="7"/>
        <v/>
      </c>
    </row>
    <row r="34" spans="1:24">
      <c r="A34" s="29"/>
      <c r="B34" s="5"/>
      <c r="C34" s="5"/>
      <c r="D34" s="6" t="str">
        <f t="shared" si="1"/>
        <v/>
      </c>
      <c r="E34" s="7"/>
      <c r="F34" s="7"/>
      <c r="G34" s="8" t="str">
        <f t="shared" si="8"/>
        <v/>
      </c>
      <c r="H34" s="7"/>
      <c r="I34" s="7"/>
      <c r="J34" s="9" t="str">
        <f t="shared" si="2"/>
        <v/>
      </c>
      <c r="K34" s="28"/>
      <c r="L34" s="28"/>
      <c r="M34" s="9" t="str">
        <f t="shared" si="3"/>
        <v/>
      </c>
      <c r="N34" s="7"/>
      <c r="O34" s="15"/>
      <c r="P34" s="9" t="str">
        <f t="shared" si="4"/>
        <v/>
      </c>
      <c r="Q34" s="15"/>
      <c r="R34" s="7"/>
      <c r="S34" s="7"/>
      <c r="T34" s="5"/>
      <c r="U34" s="10" t="str">
        <f t="shared" si="9"/>
        <v/>
      </c>
      <c r="V34" s="9" t="str">
        <f t="shared" si="5"/>
        <v/>
      </c>
      <c r="W34" s="11" t="str">
        <f t="shared" si="6"/>
        <v/>
      </c>
      <c r="X34" s="11" t="str">
        <f t="shared" si="7"/>
        <v/>
      </c>
    </row>
    <row r="35" spans="1:24">
      <c r="A35" s="29"/>
      <c r="B35" s="5"/>
      <c r="C35" s="5"/>
      <c r="D35" s="6" t="str">
        <f t="shared" si="1"/>
        <v/>
      </c>
      <c r="E35" s="7"/>
      <c r="F35" s="7"/>
      <c r="G35" s="8" t="str">
        <f t="shared" si="8"/>
        <v/>
      </c>
      <c r="H35" s="7"/>
      <c r="I35" s="7"/>
      <c r="J35" s="9" t="str">
        <f t="shared" si="2"/>
        <v/>
      </c>
      <c r="K35" s="28"/>
      <c r="L35" s="28"/>
      <c r="M35" s="9" t="str">
        <f t="shared" si="3"/>
        <v/>
      </c>
      <c r="N35" s="7"/>
      <c r="O35" s="15"/>
      <c r="P35" s="9" t="str">
        <f t="shared" si="4"/>
        <v/>
      </c>
      <c r="Q35" s="15"/>
      <c r="R35" s="7"/>
      <c r="S35" s="7"/>
      <c r="T35" s="5"/>
      <c r="U35" s="10" t="str">
        <f t="shared" si="9"/>
        <v/>
      </c>
      <c r="V35" s="9" t="str">
        <f t="shared" si="5"/>
        <v/>
      </c>
      <c r="W35" s="11" t="str">
        <f t="shared" si="6"/>
        <v/>
      </c>
      <c r="X35" s="11" t="str">
        <f t="shared" si="7"/>
        <v/>
      </c>
    </row>
    <row r="36" spans="1:24">
      <c r="A36" s="29"/>
      <c r="B36" s="5"/>
      <c r="C36" s="5"/>
      <c r="D36" s="6" t="str">
        <f t="shared" si="1"/>
        <v/>
      </c>
      <c r="E36" s="7"/>
      <c r="F36" s="7"/>
      <c r="G36" s="8" t="str">
        <f t="shared" si="8"/>
        <v/>
      </c>
      <c r="H36" s="7"/>
      <c r="I36" s="7"/>
      <c r="J36" s="9" t="str">
        <f t="shared" si="2"/>
        <v/>
      </c>
      <c r="K36" s="28"/>
      <c r="L36" s="28"/>
      <c r="M36" s="9" t="str">
        <f t="shared" si="3"/>
        <v/>
      </c>
      <c r="N36" s="7"/>
      <c r="O36" s="15"/>
      <c r="P36" s="9" t="str">
        <f t="shared" si="4"/>
        <v/>
      </c>
      <c r="Q36" s="15"/>
      <c r="R36" s="7"/>
      <c r="S36" s="7"/>
      <c r="T36" s="5"/>
      <c r="U36" s="10" t="str">
        <f t="shared" si="9"/>
        <v/>
      </c>
      <c r="V36" s="9" t="str">
        <f t="shared" si="5"/>
        <v/>
      </c>
      <c r="W36" s="11" t="str">
        <f t="shared" si="6"/>
        <v/>
      </c>
      <c r="X36" s="11" t="str">
        <f t="shared" si="7"/>
        <v/>
      </c>
    </row>
    <row r="37" spans="1:24" ht="15.75" thickBot="1">
      <c r="A37" s="29"/>
      <c r="B37" s="5"/>
      <c r="C37" s="5"/>
      <c r="D37" s="6" t="str">
        <f t="shared" si="1"/>
        <v/>
      </c>
      <c r="E37" s="7"/>
      <c r="F37" s="7"/>
      <c r="G37" s="8" t="str">
        <f t="shared" si="8"/>
        <v/>
      </c>
      <c r="H37" s="7"/>
      <c r="I37" s="7"/>
      <c r="J37" s="9" t="str">
        <f t="shared" si="2"/>
        <v/>
      </c>
      <c r="K37" s="28"/>
      <c r="L37" s="28"/>
      <c r="M37" s="9" t="str">
        <f t="shared" si="3"/>
        <v/>
      </c>
      <c r="N37" s="7"/>
      <c r="O37" s="15"/>
      <c r="P37" s="9" t="str">
        <f t="shared" si="4"/>
        <v/>
      </c>
      <c r="Q37" s="7"/>
      <c r="R37" s="7"/>
      <c r="S37" s="7"/>
      <c r="T37" s="5"/>
      <c r="U37" s="10" t="str">
        <f t="shared" si="9"/>
        <v/>
      </c>
      <c r="V37" s="9" t="str">
        <f t="shared" si="5"/>
        <v/>
      </c>
      <c r="W37" s="11" t="str">
        <f t="shared" si="6"/>
        <v/>
      </c>
      <c r="X37" s="11" t="str">
        <f t="shared" si="7"/>
        <v/>
      </c>
    </row>
    <row r="38" spans="1:24" s="43" customFormat="1" ht="19.5" thickBot="1">
      <c r="A38" s="31"/>
      <c r="B38" s="32" t="s">
        <v>41</v>
      </c>
      <c r="C38" s="32"/>
      <c r="D38" s="33">
        <f>SUM(D3:D37)</f>
        <v>0</v>
      </c>
      <c r="E38" s="33">
        <f>SUM(E3:E37)</f>
        <v>0</v>
      </c>
      <c r="F38" s="33">
        <f>SUM(F3:F37)</f>
        <v>0</v>
      </c>
      <c r="G38" s="33">
        <f>SUM(G3:G37)</f>
        <v>0</v>
      </c>
      <c r="H38" s="33">
        <f>SUM(H2:H37)</f>
        <v>0</v>
      </c>
      <c r="I38" s="33">
        <f>SUM(I3:I37)</f>
        <v>0</v>
      </c>
      <c r="J38" s="34" t="e">
        <f>(D38-G38-H38-I38)/D38</f>
        <v>#DIV/0!</v>
      </c>
      <c r="K38" s="35">
        <f>SUM(K3:K37)</f>
        <v>0</v>
      </c>
      <c r="L38" s="35">
        <f>SUM(L3:L37)</f>
        <v>0</v>
      </c>
      <c r="M38" s="36" t="e">
        <f>(D38-G38-H38-I38-E38-K38-L38)/D38</f>
        <v>#DIV/0!</v>
      </c>
      <c r="N38" s="37" t="e">
        <f>AVERAGE(N3:N37)</f>
        <v>#DIV/0!</v>
      </c>
      <c r="O38" s="38" t="e">
        <f>AVERAGE(O3:O37)</f>
        <v>#DIV/0!</v>
      </c>
      <c r="P38" s="34" t="e">
        <f>O38/N38</f>
        <v>#DIV/0!</v>
      </c>
      <c r="Q38" s="37">
        <f>SUM(Q3:Q35)</f>
        <v>0</v>
      </c>
      <c r="R38" s="37"/>
      <c r="S38" s="32"/>
      <c r="T38" s="32"/>
      <c r="U38" s="39"/>
      <c r="V38" s="40" t="e">
        <f>AVERAGE(V3:V37)</f>
        <v>#DIV/0!</v>
      </c>
      <c r="W38" s="41" t="e">
        <f>V38*P38*J38</f>
        <v>#DIV/0!</v>
      </c>
      <c r="X38" s="42" t="e">
        <f>V38*P38*M38</f>
        <v>#DIV/0!</v>
      </c>
    </row>
    <row r="39" spans="1:24" ht="28.5">
      <c r="Q39" s="66"/>
      <c r="R39" s="66"/>
      <c r="S39" s="44"/>
      <c r="T39" s="45"/>
      <c r="U39" s="22"/>
    </row>
    <row r="40" spans="1:24" ht="28.5">
      <c r="Q40" s="22"/>
      <c r="R40" s="22"/>
      <c r="S40" s="22"/>
      <c r="T40" s="22"/>
      <c r="U40" s="22"/>
      <c r="W40" s="16" t="e">
        <f>AVERAGE(W38,'November 2025 (w Utilization)'!W38,'October 2026 (w Utilization) '!W38,'September 2026 (w Utilization)'!W38,'August 2026 (w Utilization)'!W38,'July 2026 (w Utilization)'!W38,'June 2026 (w Utilization)'!W38,'May 2026 (w Utilization)'!W38,'April 2026 (w Utilization) '!W38,'March 2026 (w Utilization'!W38,'February 2026 (w Utilization) '!W38,'January 2026 (w Utilization)'!W38)</f>
        <v>#DIV/0!</v>
      </c>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t="e">
        <f>W38</f>
        <v>#DIV/0!</v>
      </c>
      <c r="E47" s="18" t="e">
        <f>100%-D47</f>
        <v>#DIV/0!</v>
      </c>
    </row>
    <row r="48" spans="1:24">
      <c r="C48" s="4" t="s">
        <v>143</v>
      </c>
      <c r="D48" s="16" t="e">
        <f>J38</f>
        <v>#DIV/0!</v>
      </c>
      <c r="E48" s="18" t="e">
        <f>100%-D48</f>
        <v>#DIV/0!</v>
      </c>
    </row>
    <row r="49" spans="3:5">
      <c r="C49" s="4" t="s">
        <v>17</v>
      </c>
      <c r="D49" s="16" t="e">
        <f>P38</f>
        <v>#DIV/0!</v>
      </c>
      <c r="E49" s="18" t="e">
        <f>100%-D49</f>
        <v>#DIV/0!</v>
      </c>
    </row>
    <row r="50" spans="3:5">
      <c r="C50" s="4" t="str">
        <f>V2</f>
        <v>Quality</v>
      </c>
      <c r="D50" s="16" t="e">
        <f>V38</f>
        <v>#DIV/0!</v>
      </c>
      <c r="E50" s="18" t="e">
        <f>100%-D50</f>
        <v>#DIV/0!</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A9D3CB8B02F24FBD87913D50150624" ma:contentTypeVersion="4" ma:contentTypeDescription="Create a new document." ma:contentTypeScope="" ma:versionID="500ab49bf8b3ce09fa5e1a39689d4b20">
  <xsd:schema xmlns:xsd="http://www.w3.org/2001/XMLSchema" xmlns:xs="http://www.w3.org/2001/XMLSchema" xmlns:p="http://schemas.microsoft.com/office/2006/metadata/properties" xmlns:ns2="1dad3094-c8e6-4667-8455-c68e96f815a4" targetNamespace="http://schemas.microsoft.com/office/2006/metadata/properties" ma:root="true" ma:fieldsID="c9f2927e2397c07eda7eaadef1fb651c" ns2:_="">
    <xsd:import namespace="1dad3094-c8e6-4667-8455-c68e96f815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d3094-c8e6-4667-8455-c68e96f815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8D3D60-3D91-41A8-AAEA-3AD996B641F7}"/>
</file>

<file path=customXml/itemProps2.xml><?xml version="1.0" encoding="utf-8"?>
<ds:datastoreItem xmlns:ds="http://schemas.openxmlformats.org/officeDocument/2006/customXml" ds:itemID="{4A0221E9-7351-4007-92F0-8B6A656CD9C4}"/>
</file>

<file path=customXml/itemProps3.xml><?xml version="1.0" encoding="utf-8"?>
<ds:datastoreItem xmlns:ds="http://schemas.openxmlformats.org/officeDocument/2006/customXml" ds:itemID="{77075DFF-DEDE-4E50-8ADC-F3E74E8E52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Reshelle Fleming</dc:creator>
  <cp:keywords/>
  <dc:description/>
  <cp:lastModifiedBy/>
  <cp:revision/>
  <dcterms:created xsi:type="dcterms:W3CDTF">2021-04-09T14:58:45Z</dcterms:created>
  <dcterms:modified xsi:type="dcterms:W3CDTF">2026-10-22T12:18:08Z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0x01010065A9D3CB8B02F24FBD87913D50150624</vt:lpwstr>
  </property>
</Properties>
</file>